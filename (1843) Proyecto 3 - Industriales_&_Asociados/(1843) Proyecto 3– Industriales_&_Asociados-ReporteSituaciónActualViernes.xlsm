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icolas\Documents\U. Sabana\Semestre 6\Simulación\Corte 3\Proyecto final\"/>
    </mc:Choice>
  </mc:AlternateContent>
  <xr:revisionPtr revIDLastSave="0" documentId="13_ncr:1_{F7185D26-F6CC-497F-A418-FF859460DAF2}" xr6:coauthVersionLast="47" xr6:coauthVersionMax="47" xr10:uidLastSave="{00000000-0000-0000-0000-000000000000}"/>
  <bookViews>
    <workbookView xWindow="-120" yWindow="-120" windowWidth="29040" windowHeight="157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ContinuousTimeStatsByRep!$A$1:$L$324</definedName>
    <definedName name="ExternalData_1" localSheetId="4" hidden="1">CounterStatsByRep!$A$1:$G$2</definedName>
    <definedName name="ExternalData_1" localSheetId="2" hidden="1">DiscreteTimeStatsByRep!$A$1:$K$956</definedName>
    <definedName name="ExternalData_1" localSheetId="6" hidden="1">FrequencyStatsByRep!$A$1:$K$2</definedName>
    <definedName name="ExternalData_1" localSheetId="5" hidden="1">OutputStatsByRep!$A$1:$H$358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K2" i="20" s="1" a="1"/>
  <c r="K2" i="20" s="1"/>
  <c r="I124" i="20"/>
  <c r="I125" i="20"/>
  <c r="I126" i="20"/>
  <c r="I127" i="20"/>
  <c r="I128" i="20"/>
  <c r="I129" i="20"/>
  <c r="I130" i="20"/>
  <c r="I131" i="20"/>
  <c r="K5" i="20" s="1" a="1"/>
  <c r="K5" i="20" s="1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K6" i="20" s="1" a="1"/>
  <c r="K6" i="20" s="1"/>
  <c r="I348" i="20"/>
  <c r="I349" i="20"/>
  <c r="I350" i="20"/>
  <c r="I351" i="20"/>
  <c r="I352" i="20"/>
  <c r="I353" i="20"/>
  <c r="I354" i="20"/>
  <c r="I355" i="20"/>
  <c r="I356" i="20"/>
  <c r="I357" i="20"/>
  <c r="I358" i="20"/>
  <c r="J2" i="20" a="1"/>
  <c r="J2" i="20" s="1"/>
  <c r="J3" i="20" a="1"/>
  <c r="J3" i="20"/>
  <c r="J4" i="20" a="1"/>
  <c r="J4" i="20" s="1"/>
  <c r="J5" i="20" a="1"/>
  <c r="J5" i="20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N11" i="20" s="1"/>
  <c r="J12" i="20" a="1"/>
  <c r="J12" i="20" s="1"/>
  <c r="J13" i="20" a="1"/>
  <c r="J13" i="20" s="1"/>
  <c r="J14" i="20" a="1"/>
  <c r="J14" i="20"/>
  <c r="J15" i="20" a="1"/>
  <c r="J15" i="20" s="1"/>
  <c r="J16" i="20" a="1"/>
  <c r="J16" i="20"/>
  <c r="J17" i="20" a="1"/>
  <c r="J17" i="20" s="1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/>
  <c r="J47" i="20" a="1"/>
  <c r="J47" i="20" s="1"/>
  <c r="J48" i="20" a="1"/>
  <c r="J48" i="20" s="1"/>
  <c r="J49" i="20" a="1"/>
  <c r="J49" i="20" s="1"/>
  <c r="J50" i="20" a="1"/>
  <c r="J50" i="20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 s="1"/>
  <c r="J76" i="20" a="1"/>
  <c r="J76" i="20" s="1"/>
  <c r="J77" i="20" a="1"/>
  <c r="J77" i="20" s="1"/>
  <c r="J78" i="20" a="1"/>
  <c r="J78" i="20"/>
  <c r="J79" i="20" a="1"/>
  <c r="J79" i="20" s="1"/>
  <c r="J80" i="20" a="1"/>
  <c r="J80" i="20" s="1"/>
  <c r="J81" i="20" a="1"/>
  <c r="J81" i="20" s="1"/>
  <c r="J82" i="20" a="1"/>
  <c r="J82" i="20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 s="1"/>
  <c r="J109" i="20" a="1"/>
  <c r="J109" i="20" s="1"/>
  <c r="J110" i="20" a="1"/>
  <c r="J110" i="20"/>
  <c r="J111" i="20" a="1"/>
  <c r="J111" i="20" s="1"/>
  <c r="J112" i="20" a="1"/>
  <c r="J112" i="20" s="1"/>
  <c r="J113" i="20" a="1"/>
  <c r="J113" i="20" s="1"/>
  <c r="J114" i="20" a="1"/>
  <c r="J114" i="20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/>
  <c r="J143" i="20" a="1"/>
  <c r="J143" i="20" s="1"/>
  <c r="J144" i="20" a="1"/>
  <c r="J144" i="20" s="1"/>
  <c r="J145" i="20" a="1"/>
  <c r="J145" i="20" s="1"/>
  <c r="J146" i="20" a="1"/>
  <c r="J146" i="20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/>
  <c r="J171" i="20" a="1"/>
  <c r="J171" i="20" s="1"/>
  <c r="J172" i="20" a="1"/>
  <c r="J172" i="20" s="1"/>
  <c r="J173" i="20" a="1"/>
  <c r="J173" i="20" s="1"/>
  <c r="J174" i="20" a="1"/>
  <c r="J174" i="20"/>
  <c r="J175" i="20" a="1"/>
  <c r="J175" i="20" s="1"/>
  <c r="J176" i="20" a="1"/>
  <c r="J176" i="20" s="1"/>
  <c r="J177" i="20" a="1"/>
  <c r="J177" i="20" s="1"/>
  <c r="J178" i="20" a="1"/>
  <c r="J178" i="20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/>
  <c r="J203" i="20" a="1"/>
  <c r="J203" i="20" s="1"/>
  <c r="J204" i="20" a="1"/>
  <c r="J204" i="20" s="1"/>
  <c r="J205" i="20" a="1"/>
  <c r="J205" i="20" s="1"/>
  <c r="J206" i="20" a="1"/>
  <c r="J206" i="20"/>
  <c r="J207" i="20" a="1"/>
  <c r="J207" i="20" s="1"/>
  <c r="J208" i="20" a="1"/>
  <c r="J208" i="20" s="1"/>
  <c r="J209" i="20" a="1"/>
  <c r="J209" i="20" s="1"/>
  <c r="J210" i="20" a="1"/>
  <c r="J210" i="20" s="1"/>
  <c r="N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/>
  <c r="J235" i="20" a="1"/>
  <c r="J235" i="20" s="1"/>
  <c r="J236" i="20" a="1"/>
  <c r="J236" i="20" s="1"/>
  <c r="J237" i="20" a="1"/>
  <c r="J237" i="20" s="1"/>
  <c r="J238" i="20" a="1"/>
  <c r="J238" i="20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/>
  <c r="J267" i="20" a="1"/>
  <c r="J267" i="20" s="1"/>
  <c r="J268" i="20" a="1"/>
  <c r="J268" i="20" s="1"/>
  <c r="J269" i="20" a="1"/>
  <c r="J269" i="20" s="1"/>
  <c r="J270" i="20" a="1"/>
  <c r="J270" i="20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N286" i="20" s="1"/>
  <c r="J287" i="20" a="1"/>
  <c r="J287" i="20" s="1"/>
  <c r="J288" i="20" a="1"/>
  <c r="J288" i="20" s="1"/>
  <c r="J289" i="20" a="1"/>
  <c r="J289" i="20" s="1"/>
  <c r="J290" i="20" a="1"/>
  <c r="J290" i="20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/>
  <c r="J299" i="20" a="1"/>
  <c r="J299" i="20" s="1"/>
  <c r="J300" i="20" a="1"/>
  <c r="J300" i="20" s="1"/>
  <c r="J301" i="20" a="1"/>
  <c r="J301" i="20" s="1"/>
  <c r="J302" i="20" a="1"/>
  <c r="J302" i="20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 s="1"/>
  <c r="J354" i="20" a="1"/>
  <c r="J354" i="20" s="1"/>
  <c r="J355" i="20" a="1"/>
  <c r="J355" i="20" s="1"/>
  <c r="J356" i="20" a="1"/>
  <c r="J356" i="20" s="1"/>
  <c r="J357" i="20" a="1"/>
  <c r="J357" i="20" s="1"/>
  <c r="J358" i="20" a="1"/>
  <c r="J358" i="20" s="1"/>
  <c r="K3" i="20" a="1"/>
  <c r="K3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/>
  <c r="K40" i="20" a="1"/>
  <c r="K40" i="20" s="1"/>
  <c r="K41" i="20" a="1"/>
  <c r="K41" i="20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/>
  <c r="K72" i="20" a="1"/>
  <c r="K72" i="20" s="1"/>
  <c r="K73" i="20" a="1"/>
  <c r="K73" i="20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/>
  <c r="K168" i="20" a="1"/>
  <c r="K168" i="20" s="1"/>
  <c r="K169" i="20" a="1"/>
  <c r="K169" i="20" s="1"/>
  <c r="K170" i="20" a="1"/>
  <c r="K170" i="20" s="1"/>
  <c r="K171" i="20" a="1"/>
  <c r="K171" i="20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/>
  <c r="K184" i="20" a="1"/>
  <c r="K184" i="20" s="1"/>
  <c r="K185" i="20" a="1"/>
  <c r="K185" i="20" s="1"/>
  <c r="K186" i="20" a="1"/>
  <c r="K186" i="20" s="1"/>
  <c r="K187" i="20" a="1"/>
  <c r="K187" i="20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/>
  <c r="K248" i="20" a="1"/>
  <c r="K248" i="20" s="1"/>
  <c r="K249" i="20" a="1"/>
  <c r="K249" i="20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/>
  <c r="K297" i="20" a="1"/>
  <c r="K297" i="20" s="1"/>
  <c r="K298" i="20" a="1"/>
  <c r="K298" i="20"/>
  <c r="K299" i="20" a="1"/>
  <c r="K299" i="20" s="1"/>
  <c r="K300" i="20" a="1"/>
  <c r="K300" i="20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/>
  <c r="K320" i="20" a="1"/>
  <c r="K320" i="20" s="1"/>
  <c r="K321" i="20" a="1"/>
  <c r="K321" i="20" s="1"/>
  <c r="K322" i="20" a="1"/>
  <c r="K322" i="20" s="1"/>
  <c r="K323" i="20" a="1"/>
  <c r="K323" i="20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/>
  <c r="K343" i="20" a="1"/>
  <c r="K343" i="20" s="1"/>
  <c r="K344" i="20" a="1"/>
  <c r="K344" i="20" s="1"/>
  <c r="K345" i="20" a="1"/>
  <c r="K345" i="20" s="1"/>
  <c r="K346" i="20" a="1"/>
  <c r="K346" i="20"/>
  <c r="K347" i="20" a="1"/>
  <c r="K347" i="20" s="1"/>
  <c r="K348" i="20" a="1"/>
  <c r="K348" i="20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N23" i="20" s="1"/>
  <c r="L24" i="20" a="1"/>
  <c r="L24" i="20" s="1"/>
  <c r="L25" i="20" a="1"/>
  <c r="L25" i="20" s="1"/>
  <c r="L26" i="20" a="1"/>
  <c r="L26" i="20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/>
  <c r="L36" i="20" a="1"/>
  <c r="L36" i="20" s="1"/>
  <c r="L37" i="20" a="1"/>
  <c r="L37" i="20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/>
  <c r="L82" i="20" a="1"/>
  <c r="L82" i="20" s="1"/>
  <c r="L83" i="20" a="1"/>
  <c r="L83" i="20" s="1"/>
  <c r="L84" i="20" a="1"/>
  <c r="L84" i="20" s="1"/>
  <c r="L85" i="20" a="1"/>
  <c r="L85" i="20"/>
  <c r="L86" i="20" a="1"/>
  <c r="L86" i="20" s="1"/>
  <c r="L87" i="20" a="1"/>
  <c r="L87" i="20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N99" i="20" s="1"/>
  <c r="L100" i="20" a="1"/>
  <c r="L100" i="20" s="1"/>
  <c r="L101" i="20" a="1"/>
  <c r="L101" i="20"/>
  <c r="L102" i="20" a="1"/>
  <c r="L102" i="20" s="1"/>
  <c r="L103" i="20" a="1"/>
  <c r="L103" i="20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N119" i="20" s="1"/>
  <c r="L120" i="20" a="1"/>
  <c r="L120" i="20" s="1"/>
  <c r="L121" i="20" a="1"/>
  <c r="L121" i="20" s="1"/>
  <c r="L122" i="20" a="1"/>
  <c r="L122" i="20"/>
  <c r="L123" i="20" a="1"/>
  <c r="L123" i="20" s="1"/>
  <c r="L124" i="20" a="1"/>
  <c r="L124" i="20" s="1"/>
  <c r="L125" i="20" a="1"/>
  <c r="L125" i="20" s="1"/>
  <c r="L126" i="20" a="1"/>
  <c r="L126" i="20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/>
  <c r="L196" i="20" a="1"/>
  <c r="L196" i="20" s="1"/>
  <c r="L197" i="20" a="1"/>
  <c r="L197" i="20"/>
  <c r="L198" i="20" a="1"/>
  <c r="L198" i="20" s="1"/>
  <c r="L199" i="20" a="1"/>
  <c r="L199" i="20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/>
  <c r="L219" i="20" a="1"/>
  <c r="L219" i="20" s="1"/>
  <c r="L220" i="20" a="1"/>
  <c r="L220" i="20" s="1"/>
  <c r="L221" i="20" a="1"/>
  <c r="L221" i="20" s="1"/>
  <c r="L222" i="20" a="1"/>
  <c r="L222" i="20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/>
  <c r="L260" i="20" a="1"/>
  <c r="L260" i="20" s="1"/>
  <c r="L261" i="20" a="1"/>
  <c r="L261" i="20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N269" i="20" s="1"/>
  <c r="L270" i="20" a="1"/>
  <c r="L270" i="20" s="1"/>
  <c r="N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 s="1"/>
  <c r="L289" i="20" a="1"/>
  <c r="L289" i="20" s="1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 s="1"/>
  <c r="L302" i="20" a="1"/>
  <c r="L302" i="20"/>
  <c r="L303" i="20" a="1"/>
  <c r="L303" i="20" s="1"/>
  <c r="L304" i="20" a="1"/>
  <c r="L304" i="20" s="1"/>
  <c r="L305" i="20" a="1"/>
  <c r="L305" i="20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/>
  <c r="L312" i="20" a="1"/>
  <c r="L312" i="20" s="1"/>
  <c r="L313" i="20" a="1"/>
  <c r="L313" i="20" s="1"/>
  <c r="L314" i="20" a="1"/>
  <c r="L314" i="20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 s="1"/>
  <c r="L321" i="20" a="1"/>
  <c r="L321" i="20" s="1"/>
  <c r="L322" i="20" a="1"/>
  <c r="L322" i="20" s="1"/>
  <c r="L323" i="20" a="1"/>
  <c r="L323" i="20" s="1"/>
  <c r="L324" i="20" a="1"/>
  <c r="L324" i="20" s="1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/>
  <c r="L334" i="20" a="1"/>
  <c r="L334" i="20" s="1"/>
  <c r="N334" i="20" s="1"/>
  <c r="L335" i="20" a="1"/>
  <c r="L335" i="20" s="1"/>
  <c r="L336" i="20" a="1"/>
  <c r="L336" i="20" s="1"/>
  <c r="L337" i="20" a="1"/>
  <c r="L337" i="20" s="1"/>
  <c r="N337" i="20" s="1"/>
  <c r="L338" i="20" a="1"/>
  <c r="L338" i="20" s="1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/>
  <c r="N343" i="20" s="1"/>
  <c r="L344" i="20" a="1"/>
  <c r="L344" i="20" s="1"/>
  <c r="L345" i="20" a="1"/>
  <c r="L345" i="20" s="1"/>
  <c r="L346" i="20" a="1"/>
  <c r="L346" i="20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/>
  <c r="L356" i="20" a="1"/>
  <c r="L356" i="20" s="1"/>
  <c r="L357" i="20" a="1"/>
  <c r="L357" i="20" s="1"/>
  <c r="L358" i="20" a="1"/>
  <c r="L358" i="20" s="1"/>
  <c r="M2" i="20" a="1"/>
  <c r="M2" i="20" s="1"/>
  <c r="M3" i="20" a="1"/>
  <c r="M3" i="20" s="1"/>
  <c r="M4" i="20" a="1"/>
  <c r="M4" i="20" s="1"/>
  <c r="M5" i="20" a="1"/>
  <c r="M5" i="20" s="1"/>
  <c r="N5" i="20" s="1"/>
  <c r="M6" i="20" a="1"/>
  <c r="M6" i="20" s="1"/>
  <c r="M7" i="20" a="1"/>
  <c r="M7" i="20" s="1"/>
  <c r="M8" i="20" a="1"/>
  <c r="M8" i="20" s="1"/>
  <c r="N8" i="20" s="1"/>
  <c r="M9" i="20" a="1"/>
  <c r="M9" i="20"/>
  <c r="M10" i="20" a="1"/>
  <c r="M10" i="20" s="1"/>
  <c r="M11" i="20" a="1"/>
  <c r="M11" i="20" s="1"/>
  <c r="M12" i="20" a="1"/>
  <c r="M12" i="20"/>
  <c r="M13" i="20" a="1"/>
  <c r="M13" i="20" s="1"/>
  <c r="N13" i="20" s="1"/>
  <c r="M14" i="20" a="1"/>
  <c r="M14" i="20" s="1"/>
  <c r="N14" i="20" s="1"/>
  <c r="M15" i="20" a="1"/>
  <c r="M15" i="20" s="1"/>
  <c r="M16" i="20" a="1"/>
  <c r="M16" i="20" s="1"/>
  <c r="N16" i="20" s="1"/>
  <c r="M17" i="20" a="1"/>
  <c r="M17" i="20" s="1"/>
  <c r="N17" i="20" s="1"/>
  <c r="M18" i="20" a="1"/>
  <c r="M18" i="20" s="1"/>
  <c r="N18" i="20" s="1"/>
  <c r="M19" i="20" a="1"/>
  <c r="M19" i="20" s="1"/>
  <c r="N19" i="20" s="1"/>
  <c r="M20" i="20" a="1"/>
  <c r="M20" i="20" s="1"/>
  <c r="M21" i="20" a="1"/>
  <c r="M21" i="20"/>
  <c r="N21" i="20" s="1"/>
  <c r="M22" i="20" a="1"/>
  <c r="M22" i="20" s="1"/>
  <c r="M23" i="20" a="1"/>
  <c r="M23" i="20" s="1"/>
  <c r="M24" i="20" a="1"/>
  <c r="M24" i="20" s="1"/>
  <c r="M25" i="20" a="1"/>
  <c r="M25" i="20" s="1"/>
  <c r="N25" i="20" s="1"/>
  <c r="M26" i="20" a="1"/>
  <c r="M26" i="20" s="1"/>
  <c r="N26" i="20" s="1"/>
  <c r="M27" i="20" a="1"/>
  <c r="M27" i="20" s="1"/>
  <c r="M28" i="20" a="1"/>
  <c r="M28" i="20" s="1"/>
  <c r="N28" i="20" s="1"/>
  <c r="M29" i="20" a="1"/>
  <c r="M29" i="20" s="1"/>
  <c r="N29" i="20" s="1"/>
  <c r="M30" i="20" a="1"/>
  <c r="M30" i="20" s="1"/>
  <c r="M31" i="20" a="1"/>
  <c r="M31" i="20" s="1"/>
  <c r="N31" i="20" s="1"/>
  <c r="M32" i="20" a="1"/>
  <c r="M32" i="20" s="1"/>
  <c r="N32" i="20" s="1"/>
  <c r="M33" i="20" a="1"/>
  <c r="M33" i="20" s="1"/>
  <c r="N33" i="20" s="1"/>
  <c r="M34" i="20" a="1"/>
  <c r="M34" i="20" s="1"/>
  <c r="M35" i="20" a="1"/>
  <c r="M35" i="20" s="1"/>
  <c r="N35" i="20" s="1"/>
  <c r="M36" i="20" a="1"/>
  <c r="M36" i="20" s="1"/>
  <c r="N36" i="20" s="1"/>
  <c r="M37" i="20" a="1"/>
  <c r="M37" i="20" s="1"/>
  <c r="N37" i="20" s="1"/>
  <c r="M38" i="20" a="1"/>
  <c r="M38" i="20"/>
  <c r="M39" i="20" a="1"/>
  <c r="M39" i="20" s="1"/>
  <c r="N39" i="20" s="1"/>
  <c r="M40" i="20" a="1"/>
  <c r="M40" i="20"/>
  <c r="M41" i="20" a="1"/>
  <c r="M41" i="20" s="1"/>
  <c r="N41" i="20" s="1"/>
  <c r="M42" i="20" a="1"/>
  <c r="M42" i="20" s="1"/>
  <c r="M43" i="20" a="1"/>
  <c r="M43" i="20" s="1"/>
  <c r="N43" i="20" s="1"/>
  <c r="M44" i="20" a="1"/>
  <c r="M44" i="20" s="1"/>
  <c r="N44" i="20" s="1"/>
  <c r="M45" i="20" a="1"/>
  <c r="M45" i="20" s="1"/>
  <c r="M46" i="20" a="1"/>
  <c r="M46" i="20" s="1"/>
  <c r="N46" i="20" s="1"/>
  <c r="M47" i="20" a="1"/>
  <c r="M47" i="20" s="1"/>
  <c r="M48" i="20" a="1"/>
  <c r="M48" i="20" s="1"/>
  <c r="M49" i="20" a="1"/>
  <c r="M49" i="20" s="1"/>
  <c r="N49" i="20" s="1"/>
  <c r="M50" i="20" a="1"/>
  <c r="M50" i="20" s="1"/>
  <c r="N50" i="20" s="1"/>
  <c r="M51" i="20" a="1"/>
  <c r="M51" i="20" s="1"/>
  <c r="N51" i="20" s="1"/>
  <c r="M52" i="20" a="1"/>
  <c r="M52" i="20" s="1"/>
  <c r="M53" i="20" a="1"/>
  <c r="M53" i="20"/>
  <c r="M54" i="20" a="1"/>
  <c r="M54" i="20" s="1"/>
  <c r="M55" i="20" a="1"/>
  <c r="M55" i="20" s="1"/>
  <c r="M56" i="20" a="1"/>
  <c r="M56" i="20" s="1"/>
  <c r="M57" i="20" a="1"/>
  <c r="M57" i="20" s="1"/>
  <c r="N57" i="20" s="1"/>
  <c r="M58" i="20" a="1"/>
  <c r="M58" i="20" s="1"/>
  <c r="N58" i="20" s="1"/>
  <c r="M59" i="20" a="1"/>
  <c r="M59" i="20" s="1"/>
  <c r="M60" i="20" a="1"/>
  <c r="M60" i="20"/>
  <c r="N60" i="20" s="1"/>
  <c r="M61" i="20" a="1"/>
  <c r="M61" i="20" s="1"/>
  <c r="N61" i="20" s="1"/>
  <c r="M62" i="20" a="1"/>
  <c r="M62" i="20"/>
  <c r="M63" i="20" a="1"/>
  <c r="M63" i="20" s="1"/>
  <c r="N63" i="20" s="1"/>
  <c r="M64" i="20" a="1"/>
  <c r="M64" i="20" s="1"/>
  <c r="N64" i="20" s="1"/>
  <c r="M65" i="20" a="1"/>
  <c r="M65" i="20" s="1"/>
  <c r="N65" i="20" s="1"/>
  <c r="M66" i="20" a="1"/>
  <c r="M66" i="20" s="1"/>
  <c r="M67" i="20" a="1"/>
  <c r="M67" i="20" s="1"/>
  <c r="M68" i="20" a="1"/>
  <c r="M68" i="20" s="1"/>
  <c r="M69" i="20" a="1"/>
  <c r="M69" i="20" s="1"/>
  <c r="N69" i="20" s="1"/>
  <c r="M70" i="20" a="1"/>
  <c r="M70" i="20" s="1"/>
  <c r="M71" i="20" a="1"/>
  <c r="M71" i="20" s="1"/>
  <c r="M72" i="20" a="1"/>
  <c r="M72" i="20" s="1"/>
  <c r="N72" i="20" s="1"/>
  <c r="M73" i="20" a="1"/>
  <c r="M73" i="20" s="1"/>
  <c r="N73" i="20" s="1"/>
  <c r="M74" i="20" a="1"/>
  <c r="M74" i="20" s="1"/>
  <c r="M75" i="20" a="1"/>
  <c r="M75" i="20" s="1"/>
  <c r="N75" i="20" s="1"/>
  <c r="M76" i="20" a="1"/>
  <c r="M76" i="20" s="1"/>
  <c r="N76" i="20" s="1"/>
  <c r="M77" i="20" a="1"/>
  <c r="M77" i="20" s="1"/>
  <c r="N77" i="20" s="1"/>
  <c r="M78" i="20" a="1"/>
  <c r="M78" i="20"/>
  <c r="N78" i="20" s="1"/>
  <c r="M79" i="20" a="1"/>
  <c r="M79" i="20" s="1"/>
  <c r="M80" i="20" a="1"/>
  <c r="M80" i="20" s="1"/>
  <c r="N80" i="20" s="1"/>
  <c r="M81" i="20" a="1"/>
  <c r="M81" i="20"/>
  <c r="M82" i="20" a="1"/>
  <c r="M82" i="20" s="1"/>
  <c r="N82" i="20" s="1"/>
  <c r="M83" i="20" a="1"/>
  <c r="M83" i="20" s="1"/>
  <c r="N83" i="20" s="1"/>
  <c r="M84" i="20" a="1"/>
  <c r="M84" i="20" s="1"/>
  <c r="M85" i="20" a="1"/>
  <c r="M85" i="20"/>
  <c r="M86" i="20" a="1"/>
  <c r="M86" i="20" s="1"/>
  <c r="M87" i="20" a="1"/>
  <c r="M87" i="20" s="1"/>
  <c r="M88" i="20" a="1"/>
  <c r="M88" i="20" s="1"/>
  <c r="N88" i="20" s="1"/>
  <c r="M89" i="20" a="1"/>
  <c r="M89" i="20" s="1"/>
  <c r="N89" i="20" s="1"/>
  <c r="M90" i="20" a="1"/>
  <c r="M90" i="20" s="1"/>
  <c r="M91" i="20" a="1"/>
  <c r="M91" i="20" s="1"/>
  <c r="M92" i="20" a="1"/>
  <c r="M92" i="20"/>
  <c r="N92" i="20" s="1"/>
  <c r="M93" i="20" a="1"/>
  <c r="M93" i="20" s="1"/>
  <c r="M94" i="20" a="1"/>
  <c r="M94" i="20"/>
  <c r="M95" i="20" a="1"/>
  <c r="M95" i="20" s="1"/>
  <c r="M96" i="20" a="1"/>
  <c r="M96" i="20"/>
  <c r="N96" i="20" s="1"/>
  <c r="M97" i="20" a="1"/>
  <c r="M97" i="20" s="1"/>
  <c r="M98" i="20" a="1"/>
  <c r="M98" i="20" s="1"/>
  <c r="M99" i="20" a="1"/>
  <c r="M99" i="20" s="1"/>
  <c r="M100" i="20" a="1"/>
  <c r="M100" i="20" s="1"/>
  <c r="N100" i="20" s="1"/>
  <c r="M101" i="20" a="1"/>
  <c r="M101" i="20" s="1"/>
  <c r="N101" i="20" s="1"/>
  <c r="M102" i="20" a="1"/>
  <c r="M102" i="20"/>
  <c r="M103" i="20" a="1"/>
  <c r="M103" i="20" s="1"/>
  <c r="M104" i="20" a="1"/>
  <c r="M104" i="20" s="1"/>
  <c r="N104" i="20" s="1"/>
  <c r="M105" i="20" a="1"/>
  <c r="M105" i="20"/>
  <c r="N105" i="20" s="1"/>
  <c r="M106" i="20" a="1"/>
  <c r="M106" i="20" s="1"/>
  <c r="N106" i="20" s="1"/>
  <c r="M107" i="20" a="1"/>
  <c r="M107" i="20" s="1"/>
  <c r="M108" i="20" a="1"/>
  <c r="M108" i="20"/>
  <c r="M109" i="20" a="1"/>
  <c r="M109" i="20" s="1"/>
  <c r="N109" i="20" s="1"/>
  <c r="M110" i="20" a="1"/>
  <c r="M110" i="20" s="1"/>
  <c r="N110" i="20" s="1"/>
  <c r="M111" i="20" a="1"/>
  <c r="M111" i="20" s="1"/>
  <c r="M112" i="20" a="1"/>
  <c r="M112" i="20" s="1"/>
  <c r="N112" i="20" s="1"/>
  <c r="M113" i="20" a="1"/>
  <c r="M113" i="20" s="1"/>
  <c r="N113" i="20" s="1"/>
  <c r="M114" i="20" a="1"/>
  <c r="M114" i="20" s="1"/>
  <c r="N114" i="20" s="1"/>
  <c r="M115" i="20" a="1"/>
  <c r="M115" i="20" s="1"/>
  <c r="N115" i="20" s="1"/>
  <c r="M116" i="20" a="1"/>
  <c r="M116" i="20" s="1"/>
  <c r="M117" i="20" a="1"/>
  <c r="M117" i="20"/>
  <c r="N117" i="20" s="1"/>
  <c r="M118" i="20" a="1"/>
  <c r="M118" i="20" s="1"/>
  <c r="M119" i="20" a="1"/>
  <c r="M119" i="20" s="1"/>
  <c r="M120" i="20" a="1"/>
  <c r="M120" i="20" s="1"/>
  <c r="N120" i="20" s="1"/>
  <c r="M121" i="20" a="1"/>
  <c r="M121" i="20" s="1"/>
  <c r="N121" i="20" s="1"/>
  <c r="M122" i="20" a="1"/>
  <c r="M122" i="20" s="1"/>
  <c r="M123" i="20" a="1"/>
  <c r="M123" i="20" s="1"/>
  <c r="M124" i="20" a="1"/>
  <c r="M124" i="20" s="1"/>
  <c r="N124" i="20" s="1"/>
  <c r="M125" i="20" a="1"/>
  <c r="M125" i="20" s="1"/>
  <c r="N125" i="20" s="1"/>
  <c r="M126" i="20" a="1"/>
  <c r="M126" i="20"/>
  <c r="M127" i="20" a="1"/>
  <c r="M127" i="20" s="1"/>
  <c r="N127" i="20" s="1"/>
  <c r="M128" i="20" a="1"/>
  <c r="M128" i="20" s="1"/>
  <c r="N128" i="20" s="1"/>
  <c r="M129" i="20" a="1"/>
  <c r="M129" i="20" s="1"/>
  <c r="N129" i="20" s="1"/>
  <c r="M130" i="20" a="1"/>
  <c r="M130" i="20" s="1"/>
  <c r="M131" i="20" a="1"/>
  <c r="M131" i="20" s="1"/>
  <c r="M132" i="20" a="1"/>
  <c r="M132" i="20" s="1"/>
  <c r="M133" i="20" a="1"/>
  <c r="M133" i="20" s="1"/>
  <c r="N133" i="20" s="1"/>
  <c r="M134" i="20" a="1"/>
  <c r="M134" i="20" s="1"/>
  <c r="M135" i="20" a="1"/>
  <c r="M135" i="20" s="1"/>
  <c r="N135" i="20" s="1"/>
  <c r="M136" i="20" a="1"/>
  <c r="M136" i="20" s="1"/>
  <c r="N136" i="20" s="1"/>
  <c r="M137" i="20" a="1"/>
  <c r="M137" i="20"/>
  <c r="N137" i="20" s="1"/>
  <c r="M138" i="20" a="1"/>
  <c r="M138" i="20" s="1"/>
  <c r="M139" i="20" a="1"/>
  <c r="M139" i="20" s="1"/>
  <c r="M140" i="20" a="1"/>
  <c r="M140" i="20"/>
  <c r="N140" i="20" s="1"/>
  <c r="M141" i="20" a="1"/>
  <c r="M141" i="20" s="1"/>
  <c r="N141" i="20" s="1"/>
  <c r="M142" i="20" a="1"/>
  <c r="M142" i="20" s="1"/>
  <c r="M143" i="20" a="1"/>
  <c r="M143" i="20" s="1"/>
  <c r="M144" i="20" a="1"/>
  <c r="M144" i="20" s="1"/>
  <c r="M145" i="20" a="1"/>
  <c r="M145" i="20" s="1"/>
  <c r="N145" i="20" s="1"/>
  <c r="M146" i="20" a="1"/>
  <c r="M146" i="20" s="1"/>
  <c r="N146" i="20" s="1"/>
  <c r="M147" i="20" a="1"/>
  <c r="M147" i="20" s="1"/>
  <c r="N147" i="20" s="1"/>
  <c r="M148" i="20" a="1"/>
  <c r="M148" i="20" s="1"/>
  <c r="M149" i="20" a="1"/>
  <c r="M149" i="20"/>
  <c r="N149" i="20" s="1"/>
  <c r="M150" i="20" a="1"/>
  <c r="M150" i="20" s="1"/>
  <c r="N150" i="20" s="1"/>
  <c r="M151" i="20" a="1"/>
  <c r="M151" i="20" s="1"/>
  <c r="M152" i="20" a="1"/>
  <c r="M152" i="20" s="1"/>
  <c r="M153" i="20" a="1"/>
  <c r="M153" i="20" s="1"/>
  <c r="N153" i="20" s="1"/>
  <c r="M154" i="20" a="1"/>
  <c r="M154" i="20" s="1"/>
  <c r="M155" i="20" a="1"/>
  <c r="M155" i="20" s="1"/>
  <c r="M156" i="20" a="1"/>
  <c r="M156" i="20" s="1"/>
  <c r="N156" i="20" s="1"/>
  <c r="M157" i="20" a="1"/>
  <c r="M157" i="20" s="1"/>
  <c r="N157" i="20" s="1"/>
  <c r="M158" i="20" a="1"/>
  <c r="M158" i="20" s="1"/>
  <c r="M159" i="20" a="1"/>
  <c r="M159" i="20"/>
  <c r="M160" i="20" a="1"/>
  <c r="M160" i="20" s="1"/>
  <c r="M161" i="20" a="1"/>
  <c r="M161" i="20" s="1"/>
  <c r="N161" i="20" s="1"/>
  <c r="M162" i="20" a="1"/>
  <c r="M162" i="20" s="1"/>
  <c r="N162" i="20" s="1"/>
  <c r="M163" i="20" a="1"/>
  <c r="M163" i="20" s="1"/>
  <c r="M164" i="20" a="1"/>
  <c r="M164" i="20" s="1"/>
  <c r="M165" i="20" a="1"/>
  <c r="M165" i="20" s="1"/>
  <c r="N165" i="20" s="1"/>
  <c r="M166" i="20" a="1"/>
  <c r="M166" i="20" s="1"/>
  <c r="M167" i="20" a="1"/>
  <c r="M167" i="20"/>
  <c r="M168" i="20" a="1"/>
  <c r="M168" i="20" s="1"/>
  <c r="M169" i="20" a="1"/>
  <c r="M169" i="20" s="1"/>
  <c r="N169" i="20" s="1"/>
  <c r="M170" i="20" a="1"/>
  <c r="M170" i="20" s="1"/>
  <c r="M171" i="20" a="1"/>
  <c r="M171" i="20" s="1"/>
  <c r="N171" i="20" s="1"/>
  <c r="M172" i="20" a="1"/>
  <c r="M172" i="20" s="1"/>
  <c r="M173" i="20" a="1"/>
  <c r="M173" i="20" s="1"/>
  <c r="M174" i="20" a="1"/>
  <c r="M174" i="20" s="1"/>
  <c r="N174" i="20" s="1"/>
  <c r="M175" i="20" a="1"/>
  <c r="M175" i="20" s="1"/>
  <c r="N175" i="20" s="1"/>
  <c r="M176" i="20" a="1"/>
  <c r="M176" i="20" s="1"/>
  <c r="M177" i="20" a="1"/>
  <c r="M177" i="20" s="1"/>
  <c r="N177" i="20" s="1"/>
  <c r="M178" i="20" a="1"/>
  <c r="M178" i="20" s="1"/>
  <c r="N178" i="20" s="1"/>
  <c r="M179" i="20" a="1"/>
  <c r="M179" i="20"/>
  <c r="M180" i="20" a="1"/>
  <c r="M180" i="20" s="1"/>
  <c r="N180" i="20" s="1"/>
  <c r="M181" i="20" a="1"/>
  <c r="M181" i="20" s="1"/>
  <c r="M182" i="20" a="1"/>
  <c r="M182" i="20"/>
  <c r="M183" i="20" a="1"/>
  <c r="M183" i="20" s="1"/>
  <c r="M184" i="20" a="1"/>
  <c r="M184" i="20" s="1"/>
  <c r="M185" i="20" a="1"/>
  <c r="M185" i="20" s="1"/>
  <c r="N185" i="20" s="1"/>
  <c r="M186" i="20" a="1"/>
  <c r="M186" i="20" s="1"/>
  <c r="M187" i="20" a="1"/>
  <c r="M187" i="20" s="1"/>
  <c r="N187" i="20" s="1"/>
  <c r="M188" i="20" a="1"/>
  <c r="M188" i="20" s="1"/>
  <c r="M189" i="20" a="1"/>
  <c r="M189" i="20" s="1"/>
  <c r="N189" i="20" s="1"/>
  <c r="M190" i="20" a="1"/>
  <c r="M190" i="20" s="1"/>
  <c r="M191" i="20" a="1"/>
  <c r="M191" i="20" s="1"/>
  <c r="N191" i="20" s="1"/>
  <c r="M192" i="20" a="1"/>
  <c r="M192" i="20" s="1"/>
  <c r="M193" i="20" a="1"/>
  <c r="M193" i="20" s="1"/>
  <c r="N193" i="20" s="1"/>
  <c r="M194" i="20" a="1"/>
  <c r="M194" i="20" s="1"/>
  <c r="N194" i="20" s="1"/>
  <c r="M195" i="20" a="1"/>
  <c r="M195" i="20" s="1"/>
  <c r="N195" i="20" s="1"/>
  <c r="M196" i="20" a="1"/>
  <c r="M196" i="20" s="1"/>
  <c r="M197" i="20" a="1"/>
  <c r="M197" i="20" s="1"/>
  <c r="M198" i="20" a="1"/>
  <c r="M198" i="20" s="1"/>
  <c r="M199" i="20" a="1"/>
  <c r="M199" i="20"/>
  <c r="N199" i="20" s="1"/>
  <c r="M200" i="20" a="1"/>
  <c r="M200" i="20" s="1"/>
  <c r="N200" i="20" s="1"/>
  <c r="M201" i="20" a="1"/>
  <c r="M201" i="20" s="1"/>
  <c r="N201" i="20" s="1"/>
  <c r="M202" i="20" a="1"/>
  <c r="M202" i="20" s="1"/>
  <c r="M203" i="20" a="1"/>
  <c r="M203" i="20"/>
  <c r="M204" i="20" a="1"/>
  <c r="M204" i="20" s="1"/>
  <c r="M205" i="20" a="1"/>
  <c r="M205" i="20" s="1"/>
  <c r="M206" i="20" a="1"/>
  <c r="M206" i="20"/>
  <c r="M207" i="20" a="1"/>
  <c r="M207" i="20" s="1"/>
  <c r="N207" i="20" s="1"/>
  <c r="M208" i="20" a="1"/>
  <c r="M208" i="20" s="1"/>
  <c r="N208" i="20" s="1"/>
  <c r="M209" i="20" a="1"/>
  <c r="M209" i="20" s="1"/>
  <c r="N209" i="20" s="1"/>
  <c r="M210" i="20" a="1"/>
  <c r="M210" i="20" s="1"/>
  <c r="M211" i="20" a="1"/>
  <c r="M211" i="20"/>
  <c r="M212" i="20" a="1"/>
  <c r="M212" i="20" s="1"/>
  <c r="M213" i="20" a="1"/>
  <c r="M213" i="20" s="1"/>
  <c r="M214" i="20" a="1"/>
  <c r="M214" i="20"/>
  <c r="M215" i="20" a="1"/>
  <c r="M215" i="20" s="1"/>
  <c r="M216" i="20" a="1"/>
  <c r="M216" i="20" s="1"/>
  <c r="M217" i="20" a="1"/>
  <c r="M217" i="20" s="1"/>
  <c r="N217" i="20" s="1"/>
  <c r="M218" i="20" a="1"/>
  <c r="M218" i="20" s="1"/>
  <c r="M219" i="20" a="1"/>
  <c r="M219" i="20" s="1"/>
  <c r="N219" i="20" s="1"/>
  <c r="M220" i="20" a="1"/>
  <c r="M220" i="20" s="1"/>
  <c r="M221" i="20" a="1"/>
  <c r="M221" i="20" s="1"/>
  <c r="N221" i="20" s="1"/>
  <c r="M222" i="20" a="1"/>
  <c r="M222" i="20" s="1"/>
  <c r="M223" i="20" a="1"/>
  <c r="M223" i="20"/>
  <c r="N223" i="20" s="1"/>
  <c r="M224" i="20" a="1"/>
  <c r="M224" i="20" s="1"/>
  <c r="M225" i="20" a="1"/>
  <c r="M225" i="20" s="1"/>
  <c r="N225" i="20" s="1"/>
  <c r="M226" i="20" a="1"/>
  <c r="M226" i="20" s="1"/>
  <c r="M227" i="20" a="1"/>
  <c r="M227" i="20" s="1"/>
  <c r="N227" i="20" s="1"/>
  <c r="M228" i="20" a="1"/>
  <c r="M228" i="20" s="1"/>
  <c r="M229" i="20" a="1"/>
  <c r="M229" i="20" s="1"/>
  <c r="N229" i="20" s="1"/>
  <c r="M230" i="20" a="1"/>
  <c r="M230" i="20" s="1"/>
  <c r="M231" i="20" a="1"/>
  <c r="M231" i="20"/>
  <c r="N231" i="20" s="1"/>
  <c r="M232" i="20" a="1"/>
  <c r="M232" i="20" s="1"/>
  <c r="N232" i="20" s="1"/>
  <c r="M233" i="20" a="1"/>
  <c r="M233" i="20" s="1"/>
  <c r="M234" i="20" a="1"/>
  <c r="M234" i="20" s="1"/>
  <c r="M235" i="20" a="1"/>
  <c r="M235" i="20" s="1"/>
  <c r="N235" i="20" s="1"/>
  <c r="M236" i="20" a="1"/>
  <c r="M236" i="20" s="1"/>
  <c r="M237" i="20" a="1"/>
  <c r="M237" i="20" s="1"/>
  <c r="M238" i="20" a="1"/>
  <c r="M238" i="20" s="1"/>
  <c r="N238" i="20" s="1"/>
  <c r="M239" i="20" a="1"/>
  <c r="M239" i="20" s="1"/>
  <c r="M240" i="20" a="1"/>
  <c r="M240" i="20" s="1"/>
  <c r="N240" i="20" s="1"/>
  <c r="M241" i="20" a="1"/>
  <c r="M241" i="20" s="1"/>
  <c r="N241" i="20" s="1"/>
  <c r="M242" i="20" a="1"/>
  <c r="M242" i="20" s="1"/>
  <c r="M243" i="20" a="1"/>
  <c r="M243" i="20"/>
  <c r="N243" i="20" s="1"/>
  <c r="M244" i="20" a="1"/>
  <c r="M244" i="20" s="1"/>
  <c r="N244" i="20" s="1"/>
  <c r="M245" i="20" a="1"/>
  <c r="M245" i="20" s="1"/>
  <c r="M246" i="20" a="1"/>
  <c r="M246" i="20"/>
  <c r="M247" i="20" a="1"/>
  <c r="M247" i="20" s="1"/>
  <c r="N247" i="20" s="1"/>
  <c r="M248" i="20" a="1"/>
  <c r="M248" i="20" s="1"/>
  <c r="M249" i="20" a="1"/>
  <c r="M249" i="20" s="1"/>
  <c r="N249" i="20" s="1"/>
  <c r="M250" i="20" a="1"/>
  <c r="M250" i="20" s="1"/>
  <c r="M251" i="20" a="1"/>
  <c r="M251" i="20" s="1"/>
  <c r="N251" i="20" s="1"/>
  <c r="M252" i="20" a="1"/>
  <c r="M252" i="20" s="1"/>
  <c r="N252" i="20" s="1"/>
  <c r="M253" i="20" a="1"/>
  <c r="M253" i="20" s="1"/>
  <c r="M254" i="20" a="1"/>
  <c r="M254" i="20" s="1"/>
  <c r="M255" i="20" a="1"/>
  <c r="M255" i="20" s="1"/>
  <c r="N255" i="20" s="1"/>
  <c r="M256" i="20" a="1"/>
  <c r="M256" i="20" s="1"/>
  <c r="M257" i="20" a="1"/>
  <c r="M257" i="20" s="1"/>
  <c r="N257" i="20" s="1"/>
  <c r="M258" i="20" a="1"/>
  <c r="M258" i="20" s="1"/>
  <c r="M259" i="20" a="1"/>
  <c r="M259" i="20" s="1"/>
  <c r="M260" i="20" a="1"/>
  <c r="M260" i="20" s="1"/>
  <c r="M261" i="20" a="1"/>
  <c r="M261" i="20" s="1"/>
  <c r="N261" i="20" s="1"/>
  <c r="M262" i="20" a="1"/>
  <c r="M262" i="20" s="1"/>
  <c r="M263" i="20" a="1"/>
  <c r="M263" i="20"/>
  <c r="M264" i="20" a="1"/>
  <c r="M264" i="20" s="1"/>
  <c r="N264" i="20" s="1"/>
  <c r="M265" i="20" a="1"/>
  <c r="M265" i="20" s="1"/>
  <c r="M266" i="20" a="1"/>
  <c r="M266" i="20" s="1"/>
  <c r="N266" i="20" s="1"/>
  <c r="M267" i="20" a="1"/>
  <c r="M267" i="20" s="1"/>
  <c r="M268" i="20" a="1"/>
  <c r="M268" i="20" s="1"/>
  <c r="N268" i="20" s="1"/>
  <c r="M269" i="20" a="1"/>
  <c r="M269" i="20" s="1"/>
  <c r="M270" i="20" a="1"/>
  <c r="M270" i="20" s="1"/>
  <c r="M271" i="20" a="1"/>
  <c r="M271" i="20" s="1"/>
  <c r="N271" i="20" s="1"/>
  <c r="M272" i="20" a="1"/>
  <c r="M272" i="20" s="1"/>
  <c r="M273" i="20" a="1"/>
  <c r="M273" i="20" s="1"/>
  <c r="M274" i="20" a="1"/>
  <c r="M274" i="20" s="1"/>
  <c r="N274" i="20" s="1"/>
  <c r="M275" i="20" a="1"/>
  <c r="M275" i="20" s="1"/>
  <c r="N275" i="20" s="1"/>
  <c r="M276" i="20" a="1"/>
  <c r="M276" i="20" s="1"/>
  <c r="N276" i="20" s="1"/>
  <c r="M277" i="20" a="1"/>
  <c r="M277" i="20" s="1"/>
  <c r="N277" i="20" s="1"/>
  <c r="M278" i="20" a="1"/>
  <c r="M278" i="20" s="1"/>
  <c r="N278" i="20" s="1"/>
  <c r="M279" i="20" a="1"/>
  <c r="M279" i="20"/>
  <c r="M280" i="20" a="1"/>
  <c r="M280" i="20" s="1"/>
  <c r="M281" i="20" a="1"/>
  <c r="M281" i="20" s="1"/>
  <c r="N281" i="20" s="1"/>
  <c r="M282" i="20" a="1"/>
  <c r="M282" i="20" s="1"/>
  <c r="M283" i="20" a="1"/>
  <c r="M283" i="20" s="1"/>
  <c r="M284" i="20" a="1"/>
  <c r="M284" i="20" s="1"/>
  <c r="N284" i="20" s="1"/>
  <c r="M285" i="20" a="1"/>
  <c r="M285" i="20" s="1"/>
  <c r="M286" i="20" a="1"/>
  <c r="M286" i="20" s="1"/>
  <c r="M287" i="20" a="1"/>
  <c r="M287" i="20" s="1"/>
  <c r="N287" i="20" s="1"/>
  <c r="M288" i="20" a="1"/>
  <c r="M288" i="20" s="1"/>
  <c r="N288" i="20" s="1"/>
  <c r="M289" i="20" a="1"/>
  <c r="M289" i="20" s="1"/>
  <c r="M290" i="20" a="1"/>
  <c r="M290" i="20" s="1"/>
  <c r="N290" i="20" s="1"/>
  <c r="M291" i="20" a="1"/>
  <c r="M291" i="20" s="1"/>
  <c r="M292" i="20" a="1"/>
  <c r="M292" i="20" s="1"/>
  <c r="N292" i="20" s="1"/>
  <c r="M293" i="20" a="1"/>
  <c r="M293" i="20" s="1"/>
  <c r="M294" i="20" a="1"/>
  <c r="M294" i="20" s="1"/>
  <c r="M295" i="20" a="1"/>
  <c r="M295" i="20"/>
  <c r="M296" i="20" a="1"/>
  <c r="M296" i="20" s="1"/>
  <c r="M297" i="20" a="1"/>
  <c r="M297" i="20" s="1"/>
  <c r="M298" i="20" a="1"/>
  <c r="M298" i="20" s="1"/>
  <c r="N298" i="20" s="1"/>
  <c r="M299" i="20" a="1"/>
  <c r="M299" i="20" s="1"/>
  <c r="N299" i="20" s="1"/>
  <c r="M300" i="20" a="1"/>
  <c r="M300" i="20" s="1"/>
  <c r="N300" i="20" s="1"/>
  <c r="M301" i="20" a="1"/>
  <c r="M301" i="20" s="1"/>
  <c r="M302" i="20" a="1"/>
  <c r="M302" i="20" s="1"/>
  <c r="M303" i="20" a="1"/>
  <c r="M303" i="20" s="1"/>
  <c r="N303" i="20" s="1"/>
  <c r="M304" i="20" a="1"/>
  <c r="M304" i="20" s="1"/>
  <c r="N304" i="20" s="1"/>
  <c r="M305" i="20" a="1"/>
  <c r="M305" i="20" s="1"/>
  <c r="M306" i="20" a="1"/>
  <c r="M306" i="20" s="1"/>
  <c r="N306" i="20" s="1"/>
  <c r="M307" i="20" a="1"/>
  <c r="M307" i="20" s="1"/>
  <c r="M308" i="20" a="1"/>
  <c r="M308" i="20" s="1"/>
  <c r="N308" i="20" s="1"/>
  <c r="M309" i="20" a="1"/>
  <c r="M309" i="20" s="1"/>
  <c r="N309" i="20" s="1"/>
  <c r="M310" i="20" a="1"/>
  <c r="M310" i="20" s="1"/>
  <c r="N310" i="20" s="1"/>
  <c r="M311" i="20" a="1"/>
  <c r="M311" i="20" s="1"/>
  <c r="M312" i="20" a="1"/>
  <c r="M312" i="20"/>
  <c r="M313" i="20" a="1"/>
  <c r="M313" i="20" s="1"/>
  <c r="N313" i="20" s="1"/>
  <c r="M314" i="20" a="1"/>
  <c r="M314" i="20"/>
  <c r="M315" i="20" a="1"/>
  <c r="M315" i="20" s="1"/>
  <c r="M316" i="20" a="1"/>
  <c r="M316" i="20" s="1"/>
  <c r="M317" i="20" a="1"/>
  <c r="M317" i="20" s="1"/>
  <c r="M318" i="20" a="1"/>
  <c r="M318" i="20" s="1"/>
  <c r="N318" i="20" s="1"/>
  <c r="M319" i="20" a="1"/>
  <c r="M319" i="20" s="1"/>
  <c r="M320" i="20" a="1"/>
  <c r="M320" i="20" s="1"/>
  <c r="N320" i="20" s="1"/>
  <c r="M321" i="20" a="1"/>
  <c r="M321" i="20" s="1"/>
  <c r="M322" i="20" a="1"/>
  <c r="M322" i="20" s="1"/>
  <c r="M323" i="20" a="1"/>
  <c r="M323" i="20"/>
  <c r="N323" i="20" s="1"/>
  <c r="M324" i="20" a="1"/>
  <c r="M324" i="20" s="1"/>
  <c r="N324" i="20" s="1"/>
  <c r="M325" i="20" a="1"/>
  <c r="M325" i="20" s="1"/>
  <c r="N325" i="20" s="1"/>
  <c r="M326" i="20" a="1"/>
  <c r="M326" i="20"/>
  <c r="N326" i="20" s="1"/>
  <c r="M327" i="20" a="1"/>
  <c r="M327" i="20" s="1"/>
  <c r="M328" i="20" a="1"/>
  <c r="M328" i="20" s="1"/>
  <c r="M329" i="20" a="1"/>
  <c r="M329" i="20" s="1"/>
  <c r="N329" i="20" s="1"/>
  <c r="M330" i="20" a="1"/>
  <c r="M330" i="20" s="1"/>
  <c r="M331" i="20" a="1"/>
  <c r="M331" i="20" s="1"/>
  <c r="M332" i="20" a="1"/>
  <c r="M332" i="20"/>
  <c r="M333" i="20" a="1"/>
  <c r="M333" i="20" s="1"/>
  <c r="M334" i="20" a="1"/>
  <c r="M334" i="20" s="1"/>
  <c r="M335" i="20" a="1"/>
  <c r="M335" i="20"/>
  <c r="M336" i="20" a="1"/>
  <c r="M336" i="20" s="1"/>
  <c r="N336" i="20" s="1"/>
  <c r="M337" i="20" a="1"/>
  <c r="M337" i="20" s="1"/>
  <c r="M338" i="20" a="1"/>
  <c r="M338" i="20" s="1"/>
  <c r="M339" i="20" a="1"/>
  <c r="M339" i="20" s="1"/>
  <c r="M340" i="20" a="1"/>
  <c r="M340" i="20" s="1"/>
  <c r="M341" i="20" a="1"/>
  <c r="M341" i="20" s="1"/>
  <c r="M342" i="20" a="1"/>
  <c r="M342" i="20" s="1"/>
  <c r="M343" i="20" a="1"/>
  <c r="M343" i="20" s="1"/>
  <c r="M344" i="20" a="1"/>
  <c r="M344" i="20" s="1"/>
  <c r="N344" i="20" s="1"/>
  <c r="M345" i="20" a="1"/>
  <c r="M345" i="20" s="1"/>
  <c r="M346" i="20" a="1"/>
  <c r="M346" i="20"/>
  <c r="N346" i="20" s="1"/>
  <c r="M347" i="20" a="1"/>
  <c r="M347" i="20" s="1"/>
  <c r="N347" i="20" s="1"/>
  <c r="M348" i="20" a="1"/>
  <c r="M348" i="20" s="1"/>
  <c r="M349" i="20" a="1"/>
  <c r="M349" i="20" s="1"/>
  <c r="M350" i="20" a="1"/>
  <c r="M350" i="20" s="1"/>
  <c r="M351" i="20" a="1"/>
  <c r="M351" i="20" s="1"/>
  <c r="N351" i="20" s="1"/>
  <c r="M352" i="20" a="1"/>
  <c r="M352" i="20" s="1"/>
  <c r="N352" i="20" s="1"/>
  <c r="M353" i="20" a="1"/>
  <c r="M353" i="20" s="1"/>
  <c r="M354" i="20" a="1"/>
  <c r="M354" i="20" s="1"/>
  <c r="M355" i="20" a="1"/>
  <c r="M355" i="20"/>
  <c r="M356" i="20" a="1"/>
  <c r="M356" i="20" s="1"/>
  <c r="N356" i="20" s="1"/>
  <c r="M357" i="20" a="1"/>
  <c r="M357" i="20" s="1"/>
  <c r="M358" i="20" a="1"/>
  <c r="M358" i="20"/>
  <c r="N2" i="20"/>
  <c r="N7" i="20"/>
  <c r="N9" i="20"/>
  <c r="N12" i="20"/>
  <c r="N20" i="20"/>
  <c r="N22" i="20"/>
  <c r="N24" i="20"/>
  <c r="N27" i="20"/>
  <c r="N34" i="20"/>
  <c r="N40" i="20"/>
  <c r="N42" i="20"/>
  <c r="N45" i="20"/>
  <c r="N47" i="20"/>
  <c r="N48" i="20"/>
  <c r="N52" i="20"/>
  <c r="N55" i="20"/>
  <c r="N56" i="20"/>
  <c r="N59" i="20"/>
  <c r="N62" i="20"/>
  <c r="N66" i="20"/>
  <c r="N67" i="20"/>
  <c r="N68" i="20"/>
  <c r="N71" i="20"/>
  <c r="N74" i="20"/>
  <c r="N79" i="20"/>
  <c r="N81" i="20"/>
  <c r="N84" i="20"/>
  <c r="N85" i="20"/>
  <c r="N87" i="20"/>
  <c r="N90" i="20"/>
  <c r="N91" i="20"/>
  <c r="N93" i="20"/>
  <c r="N94" i="20"/>
  <c r="N95" i="20"/>
  <c r="N97" i="20"/>
  <c r="N98" i="20"/>
  <c r="N102" i="20"/>
  <c r="N103" i="20"/>
  <c r="N107" i="20"/>
  <c r="N108" i="20"/>
  <c r="N111" i="20"/>
  <c r="N116" i="20"/>
  <c r="N122" i="20"/>
  <c r="N123" i="20"/>
  <c r="N130" i="20"/>
  <c r="N131" i="20"/>
  <c r="N132" i="20"/>
  <c r="N134" i="20"/>
  <c r="N138" i="20"/>
  <c r="N139" i="20"/>
  <c r="N143" i="20"/>
  <c r="N144" i="20"/>
  <c r="N148" i="20"/>
  <c r="N151" i="20"/>
  <c r="N152" i="20"/>
  <c r="N154" i="20"/>
  <c r="N155" i="20"/>
  <c r="N158" i="20"/>
  <c r="N159" i="20"/>
  <c r="N160" i="20"/>
  <c r="N163" i="20"/>
  <c r="N164" i="20"/>
  <c r="N167" i="20"/>
  <c r="N168" i="20"/>
  <c r="N170" i="20"/>
  <c r="N172" i="20"/>
  <c r="N173" i="20"/>
  <c r="N176" i="20"/>
  <c r="N179" i="20"/>
  <c r="N181" i="20"/>
  <c r="N182" i="20"/>
  <c r="N183" i="20"/>
  <c r="N184" i="20"/>
  <c r="N188" i="20"/>
  <c r="N192" i="20"/>
  <c r="N196" i="20"/>
  <c r="N197" i="20"/>
  <c r="N198" i="20"/>
  <c r="N202" i="20"/>
  <c r="N203" i="20"/>
  <c r="N204" i="20"/>
  <c r="N205" i="20"/>
  <c r="N206" i="20"/>
  <c r="N211" i="20"/>
  <c r="N212" i="20"/>
  <c r="N213" i="20"/>
  <c r="N215" i="20"/>
  <c r="N216" i="20"/>
  <c r="N220" i="20"/>
  <c r="N224" i="20"/>
  <c r="N226" i="20"/>
  <c r="N228" i="20"/>
  <c r="N230" i="20"/>
  <c r="N234" i="20"/>
  <c r="N236" i="20"/>
  <c r="N237" i="20"/>
  <c r="N239" i="20"/>
  <c r="N245" i="20"/>
  <c r="N248" i="20"/>
  <c r="N250" i="20"/>
  <c r="N253" i="20"/>
  <c r="N254" i="20"/>
  <c r="N256" i="20"/>
  <c r="N258" i="20"/>
  <c r="N259" i="20"/>
  <c r="N260" i="20"/>
  <c r="N262" i="20"/>
  <c r="N263" i="20"/>
  <c r="N267" i="20"/>
  <c r="N273" i="20"/>
  <c r="N279" i="20"/>
  <c r="N280" i="20"/>
  <c r="N283" i="20"/>
  <c r="N285" i="20"/>
  <c r="N291" i="20"/>
  <c r="N293" i="20"/>
  <c r="N295" i="20"/>
  <c r="N296" i="20"/>
  <c r="N301" i="20"/>
  <c r="N302" i="20"/>
  <c r="N305" i="20"/>
  <c r="N307" i="20"/>
  <c r="N311" i="20"/>
  <c r="N312" i="20"/>
  <c r="N315" i="20"/>
  <c r="N316" i="20"/>
  <c r="N317" i="20"/>
  <c r="N319" i="20"/>
  <c r="N322" i="20"/>
  <c r="N327" i="20"/>
  <c r="N328" i="20"/>
  <c r="N330" i="20"/>
  <c r="N331" i="20"/>
  <c r="N332" i="20"/>
  <c r="N333" i="20"/>
  <c r="N335" i="20"/>
  <c r="N339" i="20"/>
  <c r="N341" i="20"/>
  <c r="N342" i="20"/>
  <c r="N345" i="20"/>
  <c r="N348" i="20"/>
  <c r="N349" i="20"/>
  <c r="N350" i="20"/>
  <c r="N354" i="20"/>
  <c r="N355" i="20"/>
  <c r="N357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/>
  <c r="O12" i="20" a="1"/>
  <c r="O12" i="20" s="1"/>
  <c r="O13" i="20" a="1"/>
  <c r="O13" i="20" s="1"/>
  <c r="O14" i="20" a="1"/>
  <c r="O14" i="20" s="1"/>
  <c r="O15" i="20" a="1"/>
  <c r="O15" i="20"/>
  <c r="O16" i="20" a="1"/>
  <c r="O16" i="20" s="1"/>
  <c r="O17" i="20" a="1"/>
  <c r="O17" i="20"/>
  <c r="O18" i="20" a="1"/>
  <c r="O18" i="20" s="1"/>
  <c r="O19" i="20" a="1"/>
  <c r="O19" i="20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/>
  <c r="O92" i="20" a="1"/>
  <c r="O92" i="20" s="1"/>
  <c r="O93" i="20" a="1"/>
  <c r="O93" i="20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/>
  <c r="O110" i="20" a="1"/>
  <c r="O110" i="20" s="1"/>
  <c r="O111" i="20" a="1"/>
  <c r="O111" i="20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/>
  <c r="O128" i="20" a="1"/>
  <c r="O128" i="20" s="1"/>
  <c r="O129" i="20" a="1"/>
  <c r="O129" i="20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/>
  <c r="O146" i="20" a="1"/>
  <c r="O146" i="20" s="1"/>
  <c r="O147" i="20" a="1"/>
  <c r="O147" i="20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/>
  <c r="O210" i="20" a="1"/>
  <c r="O210" i="20" s="1"/>
  <c r="O211" i="20" a="1"/>
  <c r="O211" i="20" s="1"/>
  <c r="O212" i="20" a="1"/>
  <c r="O212" i="20" s="1"/>
  <c r="O213" i="20" a="1"/>
  <c r="O213" i="20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/>
  <c r="O221" i="20" a="1"/>
  <c r="O221" i="20" s="1"/>
  <c r="O222" i="20" a="1"/>
  <c r="O222" i="20" s="1"/>
  <c r="O223" i="20" a="1"/>
  <c r="O223" i="20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/>
  <c r="O342" i="20" a="1"/>
  <c r="O342" i="20" s="1"/>
  <c r="O343" i="20" a="1"/>
  <c r="O343" i="20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/>
  <c r="P17" i="20" a="1"/>
  <c r="P17" i="20" s="1"/>
  <c r="P18" i="20" a="1"/>
  <c r="P18" i="20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/>
  <c r="P29" i="20" a="1"/>
  <c r="P29" i="20" s="1"/>
  <c r="P30" i="20" a="1"/>
  <c r="P30" i="20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/>
  <c r="P113" i="20" a="1"/>
  <c r="P113" i="20" s="1"/>
  <c r="P114" i="20" a="1"/>
  <c r="P114" i="20" s="1"/>
  <c r="P115" i="20" a="1"/>
  <c r="P115" i="20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/>
  <c r="P241" i="20" a="1"/>
  <c r="P241" i="20" s="1"/>
  <c r="P242" i="20" a="1"/>
  <c r="P242" i="20"/>
  <c r="P243" i="20" a="1"/>
  <c r="P243" i="20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/>
  <c r="P348" i="20" a="1"/>
  <c r="P348" i="20" s="1"/>
  <c r="P349" i="20" a="1"/>
  <c r="P349" i="20" s="1"/>
  <c r="P350" i="20" a="1"/>
  <c r="P350" i="20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O9" i="18" s="1" a="1"/>
  <c r="O9" i="18" s="1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O12" i="18" s="1" a="1"/>
  <c r="O12" i="18" s="1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N2" i="18" a="1"/>
  <c r="N2" i="18"/>
  <c r="N3" i="18" a="1"/>
  <c r="N3" i="18" s="1"/>
  <c r="N4" i="18" a="1"/>
  <c r="N4" i="18" s="1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/>
  <c r="N12" i="18" a="1"/>
  <c r="N12" i="18" s="1"/>
  <c r="N13" i="18" a="1"/>
  <c r="N13" i="18"/>
  <c r="N14" i="18" a="1"/>
  <c r="N14" i="18"/>
  <c r="N15" i="18" a="1"/>
  <c r="N15" i="18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/>
  <c r="N23" i="18" a="1"/>
  <c r="N23" i="18"/>
  <c r="N24" i="18" a="1"/>
  <c r="N24" i="18" s="1"/>
  <c r="N25" i="18" a="1"/>
  <c r="N25" i="18"/>
  <c r="N26" i="18" a="1"/>
  <c r="N26" i="18" s="1"/>
  <c r="N27" i="18" a="1"/>
  <c r="N27" i="18" s="1"/>
  <c r="N28" i="18" a="1"/>
  <c r="N28" i="18" s="1"/>
  <c r="N29" i="18" a="1"/>
  <c r="N29" i="18"/>
  <c r="N30" i="18" a="1"/>
  <c r="N30" i="18" s="1"/>
  <c r="N31" i="18" a="1"/>
  <c r="N31" i="18"/>
  <c r="N32" i="18" a="1"/>
  <c r="N32" i="18" s="1"/>
  <c r="N33" i="18" a="1"/>
  <c r="N33" i="18" s="1"/>
  <c r="N34" i="18" a="1"/>
  <c r="N34" i="18"/>
  <c r="N35" i="18" a="1"/>
  <c r="N35" i="18" s="1"/>
  <c r="N36" i="18" a="1"/>
  <c r="N36" i="18" s="1"/>
  <c r="N37" i="18" a="1"/>
  <c r="N37" i="18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/>
  <c r="N44" i="18" a="1"/>
  <c r="N44" i="18" s="1"/>
  <c r="N45" i="18" a="1"/>
  <c r="N45" i="18"/>
  <c r="N46" i="18" a="1"/>
  <c r="N46" i="18"/>
  <c r="N47" i="18" a="1"/>
  <c r="N47" i="18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/>
  <c r="N54" i="18" a="1"/>
  <c r="N54" i="18"/>
  <c r="N55" i="18" a="1"/>
  <c r="N55" i="18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N61" i="18" a="1"/>
  <c r="N61" i="18"/>
  <c r="N62" i="18" a="1"/>
  <c r="N62" i="18"/>
  <c r="N63" i="18" a="1"/>
  <c r="N63" i="18"/>
  <c r="N64" i="18" a="1"/>
  <c r="N64" i="18" s="1"/>
  <c r="N65" i="18" a="1"/>
  <c r="N65" i="18" s="1"/>
  <c r="N66" i="18" a="1"/>
  <c r="N66" i="18"/>
  <c r="N67" i="18" a="1"/>
  <c r="N67" i="18" s="1"/>
  <c r="N68" i="18" a="1"/>
  <c r="N68" i="18" s="1"/>
  <c r="N69" i="18" a="1"/>
  <c r="N69" i="18"/>
  <c r="N70" i="18" a="1"/>
  <c r="N70" i="18"/>
  <c r="N71" i="18" a="1"/>
  <c r="N71" i="18"/>
  <c r="N72" i="18" a="1"/>
  <c r="N72" i="18" s="1"/>
  <c r="N73" i="18" a="1"/>
  <c r="N73" i="18" s="1"/>
  <c r="N74" i="18" a="1"/>
  <c r="N74" i="18" s="1"/>
  <c r="N75" i="18" a="1"/>
  <c r="N75" i="18"/>
  <c r="N76" i="18" a="1"/>
  <c r="N76" i="18" s="1"/>
  <c r="N77" i="18" a="1"/>
  <c r="N77" i="18"/>
  <c r="N78" i="18" a="1"/>
  <c r="N78" i="18"/>
  <c r="N79" i="18" a="1"/>
  <c r="N79" i="18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/>
  <c r="N86" i="18" a="1"/>
  <c r="N86" i="18"/>
  <c r="N87" i="18" a="1"/>
  <c r="N87" i="18"/>
  <c r="N88" i="18" a="1"/>
  <c r="N88" i="18" s="1"/>
  <c r="N89" i="18" a="1"/>
  <c r="N89" i="18"/>
  <c r="N90" i="18" a="1"/>
  <c r="N90" i="18" s="1"/>
  <c r="N91" i="18" a="1"/>
  <c r="N91" i="18" s="1"/>
  <c r="N92" i="18" a="1"/>
  <c r="N92" i="18" s="1"/>
  <c r="N93" i="18" a="1"/>
  <c r="N93" i="18"/>
  <c r="N94" i="18" a="1"/>
  <c r="N94" i="18"/>
  <c r="N95" i="18" a="1"/>
  <c r="N95" i="18"/>
  <c r="N96" i="18" a="1"/>
  <c r="N96" i="18" s="1"/>
  <c r="N97" i="18" a="1"/>
  <c r="N97" i="18" s="1"/>
  <c r="N98" i="18" a="1"/>
  <c r="N98" i="18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/>
  <c r="N144" i="18" a="1"/>
  <c r="N144" i="18" s="1"/>
  <c r="N145" i="18" a="1"/>
  <c r="N145" i="18" s="1"/>
  <c r="N146" i="18" a="1"/>
  <c r="N146" i="18"/>
  <c r="N147" i="18" a="1"/>
  <c r="N147" i="18"/>
  <c r="N148" i="18" a="1"/>
  <c r="N148" i="18" s="1"/>
  <c r="N149" i="18" a="1"/>
  <c r="N149" i="18" s="1"/>
  <c r="N150" i="18" a="1"/>
  <c r="N150" i="18"/>
  <c r="N151" i="18" a="1"/>
  <c r="N151" i="18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/>
  <c r="N167" i="18" a="1"/>
  <c r="N167" i="18"/>
  <c r="N168" i="18" a="1"/>
  <c r="N168" i="18" s="1"/>
  <c r="N169" i="18" a="1"/>
  <c r="N169" i="18" s="1"/>
  <c r="N170" i="18" a="1"/>
  <c r="N170" i="18" s="1"/>
  <c r="N171" i="18" a="1"/>
  <c r="N171" i="18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/>
  <c r="N179" i="18" a="1"/>
  <c r="N179" i="18" s="1"/>
  <c r="N180" i="18" a="1"/>
  <c r="N180" i="18" s="1"/>
  <c r="N181" i="18" a="1"/>
  <c r="N181" i="18" s="1"/>
  <c r="N182" i="18" a="1"/>
  <c r="N182" i="18"/>
  <c r="N183" i="18" a="1"/>
  <c r="N183" i="18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/>
  <c r="N199" i="18" a="1"/>
  <c r="N199" i="18"/>
  <c r="N200" i="18" a="1"/>
  <c r="N200" i="18" s="1"/>
  <c r="N201" i="18" a="1"/>
  <c r="N201" i="18" s="1"/>
  <c r="N202" i="18" a="1"/>
  <c r="N202" i="18" s="1"/>
  <c r="N203" i="18" a="1"/>
  <c r="N203" i="18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/>
  <c r="N211" i="18" a="1"/>
  <c r="N211" i="18" s="1"/>
  <c r="N212" i="18" a="1"/>
  <c r="N212" i="18" s="1"/>
  <c r="N213" i="18" a="1"/>
  <c r="N213" i="18" s="1"/>
  <c r="N214" i="18" a="1"/>
  <c r="N214" i="18"/>
  <c r="N215" i="18" a="1"/>
  <c r="N215" i="18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/>
  <c r="N231" i="18" a="1"/>
  <c r="N231" i="18"/>
  <c r="N232" i="18" a="1"/>
  <c r="N232" i="18" s="1"/>
  <c r="N233" i="18" a="1"/>
  <c r="N233" i="18" s="1"/>
  <c r="N234" i="18" a="1"/>
  <c r="N234" i="18" s="1"/>
  <c r="N235" i="18" a="1"/>
  <c r="N235" i="18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/>
  <c r="N243" i="18" a="1"/>
  <c r="N243" i="18" s="1"/>
  <c r="N244" i="18" a="1"/>
  <c r="N244" i="18" s="1"/>
  <c r="N245" i="18" a="1"/>
  <c r="N245" i="18" s="1"/>
  <c r="N246" i="18" a="1"/>
  <c r="N246" i="18"/>
  <c r="N247" i="18" a="1"/>
  <c r="N247" i="18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/>
  <c r="N263" i="18" a="1"/>
  <c r="N263" i="18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/>
  <c r="N323" i="18" a="1"/>
  <c r="N323" i="18" s="1"/>
  <c r="N324" i="18" a="1"/>
  <c r="N324" i="18" s="1"/>
  <c r="O5" i="18" a="1"/>
  <c r="O5" i="18" s="1"/>
  <c r="O6" i="18" a="1"/>
  <c r="O6" i="18" s="1"/>
  <c r="O8" i="18" a="1"/>
  <c r="O8" i="18" s="1"/>
  <c r="O10" i="18" a="1"/>
  <c r="O10" i="18" s="1"/>
  <c r="O13" i="18" a="1"/>
  <c r="O13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/>
  <c r="O27" i="18" a="1"/>
  <c r="O27" i="18" s="1"/>
  <c r="O28" i="18" a="1"/>
  <c r="O28" i="18"/>
  <c r="O29" i="18" a="1"/>
  <c r="O29" i="18"/>
  <c r="O30" i="18" a="1"/>
  <c r="O30" i="18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/>
  <c r="O49" i="18" a="1"/>
  <c r="O49" i="18"/>
  <c r="O50" i="18" a="1"/>
  <c r="O50" i="18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/>
  <c r="O58" i="18" a="1"/>
  <c r="O58" i="18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/>
  <c r="O81" i="18" a="1"/>
  <c r="O81" i="18"/>
  <c r="O82" i="18" a="1"/>
  <c r="O82" i="18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/>
  <c r="O90" i="18" a="1"/>
  <c r="O90" i="18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/>
  <c r="O113" i="18" a="1"/>
  <c r="O113" i="18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/>
  <c r="O146" i="18" a="1"/>
  <c r="O146" i="18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/>
  <c r="O211" i="18" a="1"/>
  <c r="O211" i="18" s="1"/>
  <c r="O212" i="18" a="1"/>
  <c r="O212" i="18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/>
  <c r="O219" i="18" a="1"/>
  <c r="O219" i="18" s="1"/>
  <c r="O220" i="18" a="1"/>
  <c r="O220" i="18" s="1"/>
  <c r="O221" i="18" a="1"/>
  <c r="O221" i="18"/>
  <c r="O222" i="18" a="1"/>
  <c r="O222" i="18" s="1"/>
  <c r="O223" i="18" a="1"/>
  <c r="O223" i="18" s="1"/>
  <c r="O224" i="18" a="1"/>
  <c r="O224" i="18"/>
  <c r="O225" i="18" a="1"/>
  <c r="O225" i="18" s="1"/>
  <c r="O226" i="18" a="1"/>
  <c r="O226" i="18"/>
  <c r="O227" i="18" a="1"/>
  <c r="O227" i="18" s="1"/>
  <c r="O228" i="18" a="1"/>
  <c r="O228" i="18" s="1"/>
  <c r="O229" i="18" a="1"/>
  <c r="O229" i="18"/>
  <c r="O230" i="18" a="1"/>
  <c r="O230" i="18" s="1"/>
  <c r="O231" i="18" a="1"/>
  <c r="O231" i="18" s="1"/>
  <c r="O232" i="18" a="1"/>
  <c r="O232" i="18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/>
  <c r="O239" i="18" a="1"/>
  <c r="O239" i="18" s="1"/>
  <c r="O240" i="18" a="1"/>
  <c r="O240" i="18"/>
  <c r="O241" i="18" a="1"/>
  <c r="O241" i="18" s="1"/>
  <c r="O242" i="18" a="1"/>
  <c r="O242" i="18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/>
  <c r="O250" i="18" a="1"/>
  <c r="O250" i="18" s="1"/>
  <c r="O251" i="18" a="1"/>
  <c r="O251" i="18" s="1"/>
  <c r="O252" i="18" a="1"/>
  <c r="O252" i="18" s="1"/>
  <c r="O253" i="18" a="1"/>
  <c r="O253" i="18"/>
  <c r="O254" i="18" a="1"/>
  <c r="O254" i="18" s="1"/>
  <c r="O255" i="18" a="1"/>
  <c r="O255" i="18" s="1"/>
  <c r="O256" i="18" a="1"/>
  <c r="O256" i="18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/>
  <c r="O263" i="18" a="1"/>
  <c r="O263" i="18" s="1"/>
  <c r="O264" i="18" a="1"/>
  <c r="O264" i="18" s="1"/>
  <c r="O265" i="18" a="1"/>
  <c r="O265" i="18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/>
  <c r="O273" i="18" a="1"/>
  <c r="O273" i="18" s="1"/>
  <c r="O274" i="18" a="1"/>
  <c r="O274" i="18"/>
  <c r="O275" i="18" a="1"/>
  <c r="O275" i="18" s="1"/>
  <c r="O276" i="18" a="1"/>
  <c r="O276" i="18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/>
  <c r="O283" i="18" a="1"/>
  <c r="O283" i="18" s="1"/>
  <c r="O284" i="18" a="1"/>
  <c r="O284" i="18" s="1"/>
  <c r="O285" i="18" a="1"/>
  <c r="O285" i="18"/>
  <c r="O286" i="18" a="1"/>
  <c r="O286" i="18" s="1"/>
  <c r="O287" i="18" a="1"/>
  <c r="O287" i="18" s="1"/>
  <c r="O288" i="18" a="1"/>
  <c r="O288" i="18"/>
  <c r="O289" i="18" a="1"/>
  <c r="O289" i="18" s="1"/>
  <c r="O290" i="18" a="1"/>
  <c r="O290" i="18"/>
  <c r="O291" i="18" a="1"/>
  <c r="O291" i="18" s="1"/>
  <c r="O292" i="18" a="1"/>
  <c r="O292" i="18" s="1"/>
  <c r="O293" i="18" a="1"/>
  <c r="O293" i="18"/>
  <c r="O294" i="18" a="1"/>
  <c r="O294" i="18"/>
  <c r="O295" i="18" a="1"/>
  <c r="O295" i="18" s="1"/>
  <c r="O296" i="18" a="1"/>
  <c r="O296" i="18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/>
  <c r="O314" i="18" a="1"/>
  <c r="O314" i="18" s="1"/>
  <c r="O315" i="18" a="1"/>
  <c r="O315" i="18" s="1"/>
  <c r="O316" i="18" a="1"/>
  <c r="O316" i="18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/>
  <c r="O323" i="18" a="1"/>
  <c r="O323" i="18" s="1"/>
  <c r="O324" i="18" a="1"/>
  <c r="O324" i="18" s="1"/>
  <c r="P2" i="18" a="1"/>
  <c r="P2" i="18" s="1"/>
  <c r="P3" i="18" a="1"/>
  <c r="P3" i="18"/>
  <c r="P4" i="18" a="1"/>
  <c r="P4" i="18" s="1"/>
  <c r="P5" i="18" a="1"/>
  <c r="P5" i="18" s="1"/>
  <c r="P6" i="18" a="1"/>
  <c r="P6" i="18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/>
  <c r="P14" i="18" a="1"/>
  <c r="P14" i="18" s="1"/>
  <c r="P15" i="18" a="1"/>
  <c r="P15" i="18"/>
  <c r="P16" i="18" a="1"/>
  <c r="P16" i="18" s="1"/>
  <c r="P17" i="18" a="1"/>
  <c r="P17" i="18"/>
  <c r="P18" i="18" a="1"/>
  <c r="P18" i="18" s="1"/>
  <c r="P19" i="18" a="1"/>
  <c r="P19" i="18" s="1"/>
  <c r="P20" i="18" a="1"/>
  <c r="P20" i="18" s="1"/>
  <c r="P21" i="18" a="1"/>
  <c r="P21" i="18" s="1"/>
  <c r="P22" i="18" a="1"/>
  <c r="P22" i="18"/>
  <c r="P23" i="18" a="1"/>
  <c r="P23" i="18"/>
  <c r="P24" i="18" a="1"/>
  <c r="P24" i="18" s="1"/>
  <c r="P25" i="18" a="1"/>
  <c r="P25" i="18" s="1"/>
  <c r="P26" i="18" a="1"/>
  <c r="P26" i="18"/>
  <c r="P27" i="18" a="1"/>
  <c r="P27" i="18" s="1"/>
  <c r="P28" i="18" a="1"/>
  <c r="P28" i="18" s="1"/>
  <c r="P29" i="18" a="1"/>
  <c r="P29" i="18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/>
  <c r="P36" i="18" a="1"/>
  <c r="P36" i="18" s="1"/>
  <c r="P37" i="18" a="1"/>
  <c r="P37" i="18" s="1"/>
  <c r="P38" i="18" a="1"/>
  <c r="P38" i="18"/>
  <c r="P39" i="18" a="1"/>
  <c r="P39" i="18" s="1"/>
  <c r="P40" i="18" a="1"/>
  <c r="P40" i="18" s="1"/>
  <c r="P41" i="18" a="1"/>
  <c r="P41" i="18"/>
  <c r="P42" i="18" a="1"/>
  <c r="P42" i="18" s="1"/>
  <c r="P43" i="18" a="1"/>
  <c r="P43" i="18" s="1"/>
  <c r="P44" i="18" a="1"/>
  <c r="P44" i="18"/>
  <c r="P45" i="18" a="1"/>
  <c r="P45" i="18" s="1"/>
  <c r="P46" i="18" a="1"/>
  <c r="P46" i="18" s="1"/>
  <c r="P47" i="18" a="1"/>
  <c r="P47" i="18" s="1"/>
  <c r="P48" i="18" a="1"/>
  <c r="P48" i="18" s="1"/>
  <c r="P49" i="18" a="1"/>
  <c r="P49" i="18"/>
  <c r="P50" i="18" a="1"/>
  <c r="P50" i="18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/>
  <c r="P57" i="18" a="1"/>
  <c r="P57" i="18" s="1"/>
  <c r="P58" i="18" a="1"/>
  <c r="P58" i="18"/>
  <c r="P59" i="18" a="1"/>
  <c r="P59" i="18" s="1"/>
  <c r="P60" i="18" a="1"/>
  <c r="P60" i="18" s="1"/>
  <c r="P61" i="18" a="1"/>
  <c r="P61" i="18" s="1"/>
  <c r="P62" i="18" a="1"/>
  <c r="P62" i="18"/>
  <c r="P63" i="18" a="1"/>
  <c r="P63" i="18" s="1"/>
  <c r="P64" i="18" a="1"/>
  <c r="P64" i="18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/>
  <c r="P74" i="18" a="1"/>
  <c r="P74" i="18" s="1"/>
  <c r="P75" i="18" a="1"/>
  <c r="P75" i="18" s="1"/>
  <c r="P76" i="18" a="1"/>
  <c r="P76" i="18"/>
  <c r="P77" i="18" a="1"/>
  <c r="P77" i="18" s="1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P84" i="18" a="1"/>
  <c r="P84" i="18" s="1"/>
  <c r="P85" i="18" a="1"/>
  <c r="P85" i="18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/>
  <c r="P95" i="18" a="1"/>
  <c r="P95" i="18" s="1"/>
  <c r="P96" i="18" a="1"/>
  <c r="P96" i="18"/>
  <c r="P97" i="18" a="1"/>
  <c r="P97" i="18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/>
  <c r="P153" i="18" a="1"/>
  <c r="P153" i="18" s="1"/>
  <c r="P154" i="18" a="1"/>
  <c r="P154" i="18"/>
  <c r="P155" i="18" a="1"/>
  <c r="P155" i="18" s="1"/>
  <c r="P156" i="18" a="1"/>
  <c r="P156" i="18" s="1"/>
  <c r="P157" i="18" a="1"/>
  <c r="P157" i="18" s="1"/>
  <c r="P158" i="18" a="1"/>
  <c r="P158" i="18"/>
  <c r="P159" i="18" a="1"/>
  <c r="P159" i="18" s="1"/>
  <c r="P160" i="18" a="1"/>
  <c r="P160" i="18"/>
  <c r="P161" i="18" a="1"/>
  <c r="P161" i="18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/>
  <c r="P169" i="18" a="1"/>
  <c r="P169" i="18"/>
  <c r="P170" i="18" a="1"/>
  <c r="P170" i="18"/>
  <c r="P171" i="18" a="1"/>
  <c r="P171" i="18" s="1"/>
  <c r="P172" i="18" a="1"/>
  <c r="P172" i="18" s="1"/>
  <c r="R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/>
  <c r="P179" i="18" a="1"/>
  <c r="P179" i="18" s="1"/>
  <c r="P180" i="18" a="1"/>
  <c r="P180" i="18" s="1"/>
  <c r="P181" i="18" a="1"/>
  <c r="P181" i="18"/>
  <c r="P182" i="18" a="1"/>
  <c r="P182" i="18" s="1"/>
  <c r="P183" i="18" a="1"/>
  <c r="P183" i="18" s="1"/>
  <c r="P184" i="18" a="1"/>
  <c r="P184" i="18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/>
  <c r="P191" i="18" a="1"/>
  <c r="P191" i="18" s="1"/>
  <c r="P192" i="18" a="1"/>
  <c r="P192" i="18" s="1"/>
  <c r="P193" i="18" a="1"/>
  <c r="P193" i="18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/>
  <c r="P201" i="18" a="1"/>
  <c r="P201" i="18" s="1"/>
  <c r="P202" i="18" a="1"/>
  <c r="P202" i="18"/>
  <c r="P203" i="18" a="1"/>
  <c r="P203" i="18" s="1"/>
  <c r="P204" i="18" a="1"/>
  <c r="P204" i="18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/>
  <c r="P210" i="18" a="1"/>
  <c r="P210" i="18"/>
  <c r="P211" i="18" a="1"/>
  <c r="P211" i="18" s="1"/>
  <c r="P212" i="18" a="1"/>
  <c r="P212" i="18" s="1"/>
  <c r="P213" i="18" a="1"/>
  <c r="P213" i="18"/>
  <c r="P214" i="18" a="1"/>
  <c r="P214" i="18" s="1"/>
  <c r="P215" i="18" a="1"/>
  <c r="P215" i="18" s="1"/>
  <c r="P216" i="18" a="1"/>
  <c r="P216" i="18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/>
  <c r="P223" i="18" a="1"/>
  <c r="P223" i="18" s="1"/>
  <c r="P224" i="18" a="1"/>
  <c r="P224" i="18" s="1"/>
  <c r="P225" i="18" a="1"/>
  <c r="P225" i="18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/>
  <c r="P235" i="18" a="1"/>
  <c r="P235" i="18" s="1"/>
  <c r="P236" i="18" a="1"/>
  <c r="P236" i="18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/>
  <c r="P242" i="18" a="1"/>
  <c r="P242" i="18"/>
  <c r="P243" i="18" a="1"/>
  <c r="P243" i="18" s="1"/>
  <c r="P244" i="18" a="1"/>
  <c r="P244" i="18" s="1"/>
  <c r="P245" i="18" a="1"/>
  <c r="P245" i="18"/>
  <c r="P246" i="18" a="1"/>
  <c r="P246" i="18" s="1"/>
  <c r="P247" i="18" a="1"/>
  <c r="P247" i="18" s="1"/>
  <c r="P248" i="18" a="1"/>
  <c r="P248" i="18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/>
  <c r="P255" i="18" a="1"/>
  <c r="P255" i="18" s="1"/>
  <c r="P256" i="18" a="1"/>
  <c r="P256" i="18" s="1"/>
  <c r="R256" i="18" s="1"/>
  <c r="P257" i="18" a="1"/>
  <c r="P257" i="18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/>
  <c r="P265" i="18" a="1"/>
  <c r="P265" i="18" s="1"/>
  <c r="P266" i="18" a="1"/>
  <c r="P266" i="18"/>
  <c r="P267" i="18" a="1"/>
  <c r="P267" i="18" s="1"/>
  <c r="P268" i="18" a="1"/>
  <c r="P268" i="18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/>
  <c r="P275" i="18" a="1"/>
  <c r="P275" i="18" s="1"/>
  <c r="P276" i="18" a="1"/>
  <c r="P276" i="18" s="1"/>
  <c r="P277" i="18" a="1"/>
  <c r="P277" i="18"/>
  <c r="P278" i="18" a="1"/>
  <c r="P278" i="18" s="1"/>
  <c r="P279" i="18" a="1"/>
  <c r="P279" i="18" s="1"/>
  <c r="P280" i="18" a="1"/>
  <c r="P280" i="18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R296" i="18" s="1"/>
  <c r="U296" i="18" s="1"/>
  <c r="P297" i="18" a="1"/>
  <c r="P297" i="18" s="1"/>
  <c r="P298" i="18" a="1"/>
  <c r="P298" i="18"/>
  <c r="P299" i="18" a="1"/>
  <c r="P299" i="18" s="1"/>
  <c r="P300" i="18" a="1"/>
  <c r="P300" i="18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/>
  <c r="P306" i="18" a="1"/>
  <c r="P306" i="18"/>
  <c r="P307" i="18" a="1"/>
  <c r="P307" i="18" s="1"/>
  <c r="P308" i="18" a="1"/>
  <c r="P308" i="18" s="1"/>
  <c r="P309" i="18" a="1"/>
  <c r="P309" i="18"/>
  <c r="P310" i="18" a="1"/>
  <c r="P310" i="18" s="1"/>
  <c r="P311" i="18" a="1"/>
  <c r="P311" i="18" s="1"/>
  <c r="P312" i="18" a="1"/>
  <c r="P312" i="18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 s="1"/>
  <c r="P324" i="18" a="1"/>
  <c r="P324" i="18" s="1"/>
  <c r="Q2" i="18" a="1"/>
  <c r="Q2" i="18" s="1"/>
  <c r="R2" i="18" s="1"/>
  <c r="Q3" i="18" a="1"/>
  <c r="Q3" i="18" s="1"/>
  <c r="R3" i="18" s="1"/>
  <c r="Q4" i="18" a="1"/>
  <c r="Q4" i="18" s="1"/>
  <c r="Q5" i="18" a="1"/>
  <c r="Q5" i="18" s="1"/>
  <c r="R5" i="18" s="1"/>
  <c r="U5" i="18" s="1"/>
  <c r="Q6" i="18" a="1"/>
  <c r="Q6" i="18" s="1"/>
  <c r="Q7" i="18" a="1"/>
  <c r="Q7" i="18"/>
  <c r="Q8" i="18" a="1"/>
  <c r="Q8" i="18" s="1"/>
  <c r="Q9" i="18" a="1"/>
  <c r="Q9" i="18"/>
  <c r="R9" i="18" s="1"/>
  <c r="Q10" i="18" a="1"/>
  <c r="Q10" i="18" s="1"/>
  <c r="R10" i="18" s="1"/>
  <c r="Q11" i="18" a="1"/>
  <c r="Q11" i="18" s="1"/>
  <c r="R11" i="18" s="1"/>
  <c r="Q12" i="18" a="1"/>
  <c r="Q12" i="18" s="1"/>
  <c r="Q13" i="18" a="1"/>
  <c r="Q13" i="18" s="1"/>
  <c r="R13" i="18" s="1"/>
  <c r="Q14" i="18" a="1"/>
  <c r="Q14" i="18" s="1"/>
  <c r="R14" i="18" s="1"/>
  <c r="U14" i="18" s="1"/>
  <c r="Q15" i="18" a="1"/>
  <c r="Q15" i="18"/>
  <c r="R15" i="18" s="1"/>
  <c r="Q16" i="18" a="1"/>
  <c r="Q16" i="18" s="1"/>
  <c r="Q17" i="18" a="1"/>
  <c r="Q17" i="18" s="1"/>
  <c r="R17" i="18" s="1"/>
  <c r="Q18" i="18" a="1"/>
  <c r="Q18" i="18"/>
  <c r="Q19" i="18" a="1"/>
  <c r="Q19" i="18" s="1"/>
  <c r="R19" i="18" s="1"/>
  <c r="Q20" i="18" a="1"/>
  <c r="Q20" i="18" s="1"/>
  <c r="R20" i="18" s="1"/>
  <c r="Q21" i="18" a="1"/>
  <c r="Q21" i="18"/>
  <c r="Q22" i="18" a="1"/>
  <c r="Q22" i="18" s="1"/>
  <c r="Q23" i="18" a="1"/>
  <c r="Q23" i="18" s="1"/>
  <c r="R23" i="18" s="1"/>
  <c r="Q24" i="18" a="1"/>
  <c r="Q24" i="18" s="1"/>
  <c r="Q25" i="18" a="1"/>
  <c r="Q25" i="18" s="1"/>
  <c r="R25" i="18" s="1"/>
  <c r="Q26" i="18" a="1"/>
  <c r="Q26" i="18" s="1"/>
  <c r="R26" i="18" s="1"/>
  <c r="Q27" i="18" a="1"/>
  <c r="Q27" i="18"/>
  <c r="Q28" i="18" a="1"/>
  <c r="Q28" i="18" s="1"/>
  <c r="R28" i="18" s="1"/>
  <c r="Q29" i="18" a="1"/>
  <c r="Q29" i="18" s="1"/>
  <c r="R29" i="18" s="1"/>
  <c r="Q30" i="18" a="1"/>
  <c r="Q30" i="18"/>
  <c r="Q31" i="18" a="1"/>
  <c r="Q31" i="18" s="1"/>
  <c r="R31" i="18" s="1"/>
  <c r="Q32" i="18" a="1"/>
  <c r="Q32" i="18" s="1"/>
  <c r="Q33" i="18" a="1"/>
  <c r="Q33" i="18" s="1"/>
  <c r="R33" i="18" s="1"/>
  <c r="Q34" i="18" a="1"/>
  <c r="Q34" i="18" s="1"/>
  <c r="R34" i="18" s="1"/>
  <c r="Q35" i="18" a="1"/>
  <c r="Q35" i="18" s="1"/>
  <c r="R35" i="18" s="1"/>
  <c r="Q36" i="18" a="1"/>
  <c r="Q36" i="18" s="1"/>
  <c r="Q37" i="18" a="1"/>
  <c r="Q37" i="18"/>
  <c r="R37" i="18" s="1"/>
  <c r="Q38" i="18" a="1"/>
  <c r="Q38" i="18" s="1"/>
  <c r="Q39" i="18" a="1"/>
  <c r="Q39" i="18" s="1"/>
  <c r="Q40" i="18" a="1"/>
  <c r="Q40" i="18" s="1"/>
  <c r="R40" i="18" s="1"/>
  <c r="U40" i="18" s="1"/>
  <c r="Q41" i="18" a="1"/>
  <c r="Q41" i="18"/>
  <c r="R41" i="18" s="1"/>
  <c r="Q42" i="18" a="1"/>
  <c r="Q42" i="18" s="1"/>
  <c r="R42" i="18" s="1"/>
  <c r="Q43" i="18" a="1"/>
  <c r="Q43" i="18" s="1"/>
  <c r="R43" i="18" s="1"/>
  <c r="Q44" i="18" a="1"/>
  <c r="Q44" i="18" s="1"/>
  <c r="Q45" i="18" a="1"/>
  <c r="Q45" i="18" s="1"/>
  <c r="R45" i="18" s="1"/>
  <c r="Q46" i="18" a="1"/>
  <c r="Q46" i="18"/>
  <c r="Q47" i="18" a="1"/>
  <c r="Q47" i="18"/>
  <c r="R47" i="18" s="1"/>
  <c r="Q48" i="18" a="1"/>
  <c r="Q48" i="18" s="1"/>
  <c r="R48" i="18" s="1"/>
  <c r="Q49" i="18" a="1"/>
  <c r="Q49" i="18" s="1"/>
  <c r="R49" i="18" s="1"/>
  <c r="Q50" i="18" a="1"/>
  <c r="Q50" i="18"/>
  <c r="Q51" i="18" a="1"/>
  <c r="Q51" i="18" s="1"/>
  <c r="R51" i="18" s="1"/>
  <c r="Q52" i="18" a="1"/>
  <c r="Q52" i="18" s="1"/>
  <c r="R52" i="18" s="1"/>
  <c r="Q53" i="18" a="1"/>
  <c r="Q53" i="18"/>
  <c r="Q54" i="18" a="1"/>
  <c r="Q54" i="18" s="1"/>
  <c r="Q55" i="18" a="1"/>
  <c r="Q55" i="18" s="1"/>
  <c r="R55" i="18" s="1"/>
  <c r="Q56" i="18" a="1"/>
  <c r="Q56" i="18" s="1"/>
  <c r="R56" i="18" s="1"/>
  <c r="Q57" i="18" a="1"/>
  <c r="Q57" i="18" s="1"/>
  <c r="R57" i="18" s="1"/>
  <c r="Q58" i="18" a="1"/>
  <c r="Q58" i="18" s="1"/>
  <c r="R58" i="18" s="1"/>
  <c r="Q59" i="18" a="1"/>
  <c r="Q59" i="18"/>
  <c r="Q60" i="18" a="1"/>
  <c r="Q60" i="18" s="1"/>
  <c r="R60" i="18" s="1"/>
  <c r="Q61" i="18" a="1"/>
  <c r="Q61" i="18" s="1"/>
  <c r="R61" i="18" s="1"/>
  <c r="Q62" i="18" a="1"/>
  <c r="Q62" i="18" s="1"/>
  <c r="R62" i="18" s="1"/>
  <c r="U62" i="18" s="1"/>
  <c r="Q63" i="18" a="1"/>
  <c r="Q63" i="18" s="1"/>
  <c r="R63" i="18" s="1"/>
  <c r="Q64" i="18" a="1"/>
  <c r="Q64" i="18" s="1"/>
  <c r="Q65" i="18" a="1"/>
  <c r="Q65" i="18" s="1"/>
  <c r="R65" i="18" s="1"/>
  <c r="Q66" i="18" a="1"/>
  <c r="Q66" i="18" s="1"/>
  <c r="R66" i="18" s="1"/>
  <c r="Q67" i="18" a="1"/>
  <c r="Q67" i="18" s="1"/>
  <c r="R67" i="18" s="1"/>
  <c r="Q68" i="18" a="1"/>
  <c r="Q68" i="18" s="1"/>
  <c r="Q69" i="18" a="1"/>
  <c r="Q69" i="18" s="1"/>
  <c r="R69" i="18" s="1"/>
  <c r="U69" i="18" s="1"/>
  <c r="Q70" i="18" a="1"/>
  <c r="Q70" i="18" s="1"/>
  <c r="R70" i="18" s="1"/>
  <c r="Q71" i="18" a="1"/>
  <c r="Q71" i="18"/>
  <c r="Q72" i="18" a="1"/>
  <c r="Q72" i="18" s="1"/>
  <c r="Q73" i="18" a="1"/>
  <c r="Q73" i="18"/>
  <c r="R73" i="18" s="1"/>
  <c r="Q74" i="18" a="1"/>
  <c r="Q74" i="18" s="1"/>
  <c r="R74" i="18" s="1"/>
  <c r="Q75" i="18" a="1"/>
  <c r="Q75" i="18" s="1"/>
  <c r="R75" i="18" s="1"/>
  <c r="Q76" i="18" a="1"/>
  <c r="Q76" i="18" s="1"/>
  <c r="Q77" i="18" a="1"/>
  <c r="Q77" i="18" s="1"/>
  <c r="R77" i="18" s="1"/>
  <c r="Q78" i="18" a="1"/>
  <c r="Q78" i="18"/>
  <c r="R78" i="18" s="1"/>
  <c r="Q79" i="18" a="1"/>
  <c r="Q79" i="18"/>
  <c r="R79" i="18" s="1"/>
  <c r="Q80" i="18" a="1"/>
  <c r="Q80" i="18" s="1"/>
  <c r="R80" i="18" s="1"/>
  <c r="Q81" i="18" a="1"/>
  <c r="Q81" i="18" s="1"/>
  <c r="R81" i="18" s="1"/>
  <c r="Q82" i="18" a="1"/>
  <c r="Q82" i="18"/>
  <c r="Q83" i="18" a="1"/>
  <c r="Q83" i="18" s="1"/>
  <c r="R83" i="18" s="1"/>
  <c r="Q84" i="18" a="1"/>
  <c r="Q84" i="18" s="1"/>
  <c r="R84" i="18" s="1"/>
  <c r="Q85" i="18" a="1"/>
  <c r="Q85" i="18"/>
  <c r="Q86" i="18" a="1"/>
  <c r="Q86" i="18" s="1"/>
  <c r="R86" i="18" s="1"/>
  <c r="Q87" i="18" a="1"/>
  <c r="Q87" i="18" s="1"/>
  <c r="R87" i="18" s="1"/>
  <c r="Q88" i="18" a="1"/>
  <c r="Q88" i="18" s="1"/>
  <c r="Q89" i="18" a="1"/>
  <c r="Q89" i="18" s="1"/>
  <c r="R89" i="18" s="1"/>
  <c r="Q90" i="18" a="1"/>
  <c r="Q90" i="18" s="1"/>
  <c r="R90" i="18" s="1"/>
  <c r="Q91" i="18" a="1"/>
  <c r="Q91" i="18"/>
  <c r="Q92" i="18" a="1"/>
  <c r="Q92" i="18" s="1"/>
  <c r="R92" i="18" s="1"/>
  <c r="Q93" i="18" a="1"/>
  <c r="Q93" i="18" s="1"/>
  <c r="R93" i="18" s="1"/>
  <c r="Q94" i="18" a="1"/>
  <c r="Q94" i="18"/>
  <c r="Q95" i="18" a="1"/>
  <c r="Q95" i="18" s="1"/>
  <c r="R95" i="18" s="1"/>
  <c r="Q96" i="18" a="1"/>
  <c r="Q96" i="18" s="1"/>
  <c r="Q97" i="18" a="1"/>
  <c r="Q97" i="18" s="1"/>
  <c r="R97" i="18" s="1"/>
  <c r="Q98" i="18" a="1"/>
  <c r="Q98" i="18" s="1"/>
  <c r="R98" i="18" s="1"/>
  <c r="Q99" i="18" a="1"/>
  <c r="Q99" i="18" s="1"/>
  <c r="R99" i="18" s="1"/>
  <c r="Q100" i="18" a="1"/>
  <c r="Q100" i="18" s="1"/>
  <c r="Q101" i="18" a="1"/>
  <c r="Q101" i="18"/>
  <c r="R101" i="18" s="1"/>
  <c r="Q102" i="18" a="1"/>
  <c r="Q102" i="18" s="1"/>
  <c r="Q103" i="18" a="1"/>
  <c r="Q103" i="18"/>
  <c r="R103" i="18" s="1"/>
  <c r="Q104" i="18" a="1"/>
  <c r="Q104" i="18" s="1"/>
  <c r="Q105" i="18" a="1"/>
  <c r="Q105" i="18"/>
  <c r="R105" i="18" s="1"/>
  <c r="Q106" i="18" a="1"/>
  <c r="Q106" i="18" s="1"/>
  <c r="R106" i="18" s="1"/>
  <c r="Q107" i="18" a="1"/>
  <c r="Q107" i="18" s="1"/>
  <c r="R107" i="18" s="1"/>
  <c r="Q108" i="18" a="1"/>
  <c r="Q108" i="18" s="1"/>
  <c r="Q109" i="18" a="1"/>
  <c r="Q109" i="18" s="1"/>
  <c r="R109" i="18" s="1"/>
  <c r="Q110" i="18" a="1"/>
  <c r="Q110" i="18" s="1"/>
  <c r="R110" i="18" s="1"/>
  <c r="U110" i="18" s="1"/>
  <c r="Q111" i="18" a="1"/>
  <c r="Q111" i="18"/>
  <c r="R111" i="18" s="1"/>
  <c r="Q112" i="18" a="1"/>
  <c r="Q112" i="18" s="1"/>
  <c r="R112" i="18" s="1"/>
  <c r="Q113" i="18" a="1"/>
  <c r="Q113" i="18" s="1"/>
  <c r="R113" i="18" s="1"/>
  <c r="Q114" i="18" a="1"/>
  <c r="Q114" i="18"/>
  <c r="Q115" i="18" a="1"/>
  <c r="Q115" i="18" s="1"/>
  <c r="R115" i="18" s="1"/>
  <c r="Q116" i="18" a="1"/>
  <c r="Q116" i="18" s="1"/>
  <c r="R116" i="18" s="1"/>
  <c r="Q117" i="18" a="1"/>
  <c r="Q117" i="18"/>
  <c r="Q118" i="18" a="1"/>
  <c r="Q118" i="18" s="1"/>
  <c r="Q119" i="18" a="1"/>
  <c r="Q119" i="18" s="1"/>
  <c r="R119" i="18" s="1"/>
  <c r="Q120" i="18" a="1"/>
  <c r="Q120" i="18" s="1"/>
  <c r="R120" i="18" s="1"/>
  <c r="Q121" i="18" a="1"/>
  <c r="Q121" i="18" s="1"/>
  <c r="R121" i="18" s="1"/>
  <c r="Q122" i="18" a="1"/>
  <c r="Q122" i="18" s="1"/>
  <c r="R122" i="18" s="1"/>
  <c r="Q123" i="18" a="1"/>
  <c r="Q123" i="18"/>
  <c r="Q124" i="18" a="1"/>
  <c r="Q124" i="18" s="1"/>
  <c r="R124" i="18" s="1"/>
  <c r="Q125" i="18" a="1"/>
  <c r="Q125" i="18" s="1"/>
  <c r="R125" i="18" s="1"/>
  <c r="Q126" i="18" a="1"/>
  <c r="Q126" i="18" s="1"/>
  <c r="R126" i="18" s="1"/>
  <c r="U126" i="18" s="1"/>
  <c r="Q127" i="18" a="1"/>
  <c r="Q127" i="18" s="1"/>
  <c r="R127" i="18" s="1"/>
  <c r="Q128" i="18" a="1"/>
  <c r="Q128" i="18" s="1"/>
  <c r="Q129" i="18" a="1"/>
  <c r="Q129" i="18" s="1"/>
  <c r="R129" i="18" s="1"/>
  <c r="Q130" i="18" a="1"/>
  <c r="Q130" i="18" s="1"/>
  <c r="R130" i="18" s="1"/>
  <c r="Q131" i="18" a="1"/>
  <c r="Q131" i="18" s="1"/>
  <c r="R131" i="18" s="1"/>
  <c r="Q132" i="18" a="1"/>
  <c r="Q132" i="18" s="1"/>
  <c r="Q133" i="18" a="1"/>
  <c r="Q133" i="18" s="1"/>
  <c r="R133" i="18" s="1"/>
  <c r="U133" i="18" s="1"/>
  <c r="Q134" i="18" a="1"/>
  <c r="Q134" i="18" s="1"/>
  <c r="Q135" i="18" a="1"/>
  <c r="Q135" i="18" s="1"/>
  <c r="R135" i="18" s="1"/>
  <c r="U135" i="18" s="1"/>
  <c r="Q136" i="18" a="1"/>
  <c r="Q136" i="18" s="1"/>
  <c r="Q137" i="18" a="1"/>
  <c r="Q137" i="18"/>
  <c r="R137" i="18" s="1"/>
  <c r="Q138" i="18" a="1"/>
  <c r="Q138" i="18" s="1"/>
  <c r="R138" i="18" s="1"/>
  <c r="Q139" i="18" a="1"/>
  <c r="Q139" i="18" s="1"/>
  <c r="R139" i="18" s="1"/>
  <c r="Q140" i="18" a="1"/>
  <c r="Q140" i="18" s="1"/>
  <c r="Q141" i="18" a="1"/>
  <c r="Q141" i="18" s="1"/>
  <c r="R141" i="18" s="1"/>
  <c r="Q142" i="18" a="1"/>
  <c r="Q142" i="18" s="1"/>
  <c r="R142" i="18" s="1"/>
  <c r="U142" i="18" s="1"/>
  <c r="Q143" i="18" a="1"/>
  <c r="Q143" i="18"/>
  <c r="R143" i="18" s="1"/>
  <c r="Q144" i="18" a="1"/>
  <c r="Q144" i="18" s="1"/>
  <c r="Q145" i="18" a="1"/>
  <c r="Q145" i="18" s="1"/>
  <c r="R145" i="18" s="1"/>
  <c r="Q146" i="18" a="1"/>
  <c r="Q146" i="18"/>
  <c r="R146" i="18" s="1"/>
  <c r="U146" i="18" s="1"/>
  <c r="Q147" i="18" a="1"/>
  <c r="Q147" i="18" s="1"/>
  <c r="R147" i="18" s="1"/>
  <c r="Q148" i="18" a="1"/>
  <c r="Q148" i="18" s="1"/>
  <c r="Q149" i="18" a="1"/>
  <c r="Q149" i="18"/>
  <c r="R149" i="18" s="1"/>
  <c r="Q150" i="18" a="1"/>
  <c r="Q150" i="18" s="1"/>
  <c r="Q151" i="18" a="1"/>
  <c r="Q151" i="18" s="1"/>
  <c r="R151" i="18" s="1"/>
  <c r="Q152" i="18" a="1"/>
  <c r="Q152" i="18" s="1"/>
  <c r="Q153" i="18" a="1"/>
  <c r="Q153" i="18" s="1"/>
  <c r="R153" i="18" s="1"/>
  <c r="Q154" i="18" a="1"/>
  <c r="Q154" i="18" s="1"/>
  <c r="Q155" i="18" a="1"/>
  <c r="Q155" i="18"/>
  <c r="Q156" i="18" a="1"/>
  <c r="Q156" i="18" s="1"/>
  <c r="Q157" i="18" a="1"/>
  <c r="Q157" i="18" s="1"/>
  <c r="Q158" i="18" a="1"/>
  <c r="Q158" i="18"/>
  <c r="Q159" i="18" a="1"/>
  <c r="Q159" i="18" s="1"/>
  <c r="R159" i="18" s="1"/>
  <c r="Q160" i="18" a="1"/>
  <c r="Q160" i="18" s="1"/>
  <c r="Q161" i="18" a="1"/>
  <c r="Q161" i="18" s="1"/>
  <c r="R161" i="18" s="1"/>
  <c r="Q162" i="18" a="1"/>
  <c r="Q162" i="18" s="1"/>
  <c r="Q163" i="18" a="1"/>
  <c r="Q163" i="18" s="1"/>
  <c r="R163" i="18" s="1"/>
  <c r="Q164" i="18" a="1"/>
  <c r="Q164" i="18" s="1"/>
  <c r="Q165" i="18" a="1"/>
  <c r="Q165" i="18"/>
  <c r="Q166" i="18" a="1"/>
  <c r="Q166" i="18" s="1"/>
  <c r="R166" i="18" s="1"/>
  <c r="Q167" i="18" a="1"/>
  <c r="Q167" i="18" s="1"/>
  <c r="R167" i="18" s="1"/>
  <c r="U167" i="18" s="1"/>
  <c r="Q168" i="18" a="1"/>
  <c r="Q168" i="18" s="1"/>
  <c r="Q169" i="18" a="1"/>
  <c r="Q169" i="18"/>
  <c r="R169" i="18" s="1"/>
  <c r="Q170" i="18" a="1"/>
  <c r="Q170" i="18" s="1"/>
  <c r="Q171" i="18" a="1"/>
  <c r="Q171" i="18" s="1"/>
  <c r="R171" i="18" s="1"/>
  <c r="Q172" i="18" a="1"/>
  <c r="Q172" i="18" s="1"/>
  <c r="Q173" i="18" a="1"/>
  <c r="Q173" i="18" s="1"/>
  <c r="Q174" i="18" a="1"/>
  <c r="Q174" i="18"/>
  <c r="R174" i="18" s="1"/>
  <c r="Q175" i="18" a="1"/>
  <c r="Q175" i="18"/>
  <c r="R175" i="18" s="1"/>
  <c r="Q176" i="18" a="1"/>
  <c r="Q176" i="18" s="1"/>
  <c r="Q177" i="18" a="1"/>
  <c r="Q177" i="18" s="1"/>
  <c r="R177" i="18" s="1"/>
  <c r="Q178" i="18" a="1"/>
  <c r="Q178" i="18"/>
  <c r="Q179" i="18" a="1"/>
  <c r="Q179" i="18" s="1"/>
  <c r="R179" i="18" s="1"/>
  <c r="Q180" i="18" a="1"/>
  <c r="Q180" i="18" s="1"/>
  <c r="R180" i="18" s="1"/>
  <c r="Q181" i="18" a="1"/>
  <c r="Q181" i="18"/>
  <c r="Q182" i="18" a="1"/>
  <c r="Q182" i="18" s="1"/>
  <c r="Q183" i="18" a="1"/>
  <c r="Q183" i="18" s="1"/>
  <c r="R183" i="18" s="1"/>
  <c r="Q184" i="18" a="1"/>
  <c r="Q184" i="18" s="1"/>
  <c r="Q185" i="18" a="1"/>
  <c r="Q185" i="18" s="1"/>
  <c r="R185" i="18" s="1"/>
  <c r="Q186" i="18" a="1"/>
  <c r="Q186" i="18" s="1"/>
  <c r="R186" i="18" s="1"/>
  <c r="Q187" i="18" a="1"/>
  <c r="Q187" i="18"/>
  <c r="Q188" i="18" a="1"/>
  <c r="Q188" i="18" s="1"/>
  <c r="Q189" i="18" a="1"/>
  <c r="Q189" i="18" s="1"/>
  <c r="Q190" i="18" a="1"/>
  <c r="Q190" i="18"/>
  <c r="R190" i="18" s="1"/>
  <c r="Q191" i="18" a="1"/>
  <c r="Q191" i="18" s="1"/>
  <c r="R191" i="18" s="1"/>
  <c r="Q192" i="18" a="1"/>
  <c r="Q192" i="18" s="1"/>
  <c r="Q193" i="18" a="1"/>
  <c r="Q193" i="18" s="1"/>
  <c r="R193" i="18" s="1"/>
  <c r="Q194" i="18" a="1"/>
  <c r="Q194" i="18" s="1"/>
  <c r="Q195" i="18" a="1"/>
  <c r="Q195" i="18" s="1"/>
  <c r="R195" i="18" s="1"/>
  <c r="Q196" i="18" a="1"/>
  <c r="Q196" i="18" s="1"/>
  <c r="Q197" i="18" a="1"/>
  <c r="Q197" i="18"/>
  <c r="R197" i="18" s="1"/>
  <c r="Q198" i="18" a="1"/>
  <c r="Q198" i="18" s="1"/>
  <c r="R198" i="18" s="1"/>
  <c r="Q199" i="18" a="1"/>
  <c r="Q199" i="18"/>
  <c r="Q200" i="18" a="1"/>
  <c r="Q200" i="18" s="1"/>
  <c r="Q201" i="18" a="1"/>
  <c r="Q201" i="18"/>
  <c r="R201" i="18" s="1"/>
  <c r="Q202" i="18" a="1"/>
  <c r="Q202" i="18" s="1"/>
  <c r="R202" i="18" s="1"/>
  <c r="Q203" i="18" a="1"/>
  <c r="Q203" i="18" s="1"/>
  <c r="R203" i="18" s="1"/>
  <c r="Q204" i="18" a="1"/>
  <c r="Q204" i="18" s="1"/>
  <c r="Q205" i="18" a="1"/>
  <c r="Q205" i="18" s="1"/>
  <c r="R205" i="18" s="1"/>
  <c r="Q206" i="18" a="1"/>
  <c r="Q206" i="18" s="1"/>
  <c r="R206" i="18" s="1"/>
  <c r="U206" i="18" s="1"/>
  <c r="Q207" i="18" a="1"/>
  <c r="Q207" i="18"/>
  <c r="R207" i="18" s="1"/>
  <c r="Q208" i="18" a="1"/>
  <c r="Q208" i="18" s="1"/>
  <c r="Q209" i="18" a="1"/>
  <c r="Q209" i="18" s="1"/>
  <c r="R209" i="18" s="1"/>
  <c r="Q210" i="18" a="1"/>
  <c r="Q210" i="18"/>
  <c r="Q211" i="18" a="1"/>
  <c r="Q211" i="18" s="1"/>
  <c r="R211" i="18" s="1"/>
  <c r="Q212" i="18" a="1"/>
  <c r="Q212" i="18" s="1"/>
  <c r="R212" i="18" s="1"/>
  <c r="Q213" i="18" a="1"/>
  <c r="Q213" i="18"/>
  <c r="Q214" i="18" a="1"/>
  <c r="Q214" i="18" s="1"/>
  <c r="Q215" i="18" a="1"/>
  <c r="Q215" i="18" s="1"/>
  <c r="Q216" i="18" a="1"/>
  <c r="Q216" i="18" s="1"/>
  <c r="R216" i="18" s="1"/>
  <c r="Q217" i="18" a="1"/>
  <c r="Q217" i="18" s="1"/>
  <c r="R217" i="18" s="1"/>
  <c r="Q218" i="18" a="1"/>
  <c r="Q218" i="18" s="1"/>
  <c r="Q219" i="18" a="1"/>
  <c r="Q219" i="18"/>
  <c r="Q220" i="18" a="1"/>
  <c r="Q220" i="18" s="1"/>
  <c r="Q221" i="18" a="1"/>
  <c r="Q221" i="18" s="1"/>
  <c r="R221" i="18" s="1"/>
  <c r="Q222" i="18" a="1"/>
  <c r="Q222" i="18" s="1"/>
  <c r="R222" i="18" s="1"/>
  <c r="U222" i="18" s="1"/>
  <c r="Q223" i="18" a="1"/>
  <c r="Q223" i="18" s="1"/>
  <c r="Q224" i="18" a="1"/>
  <c r="Q224" i="18" s="1"/>
  <c r="Q225" i="18" a="1"/>
  <c r="Q225" i="18" s="1"/>
  <c r="R225" i="18" s="1"/>
  <c r="Q226" i="18" a="1"/>
  <c r="Q226" i="18" s="1"/>
  <c r="R226" i="18" s="1"/>
  <c r="Q227" i="18" a="1"/>
  <c r="Q227" i="18" s="1"/>
  <c r="R227" i="18" s="1"/>
  <c r="Q228" i="18" a="1"/>
  <c r="Q228" i="18" s="1"/>
  <c r="Q229" i="18" a="1"/>
  <c r="Q229" i="18" s="1"/>
  <c r="R229" i="18" s="1"/>
  <c r="U229" i="18" s="1"/>
  <c r="Q230" i="18" a="1"/>
  <c r="Q230" i="18" s="1"/>
  <c r="Q231" i="18" a="1"/>
  <c r="Q231" i="18" s="1"/>
  <c r="R231" i="18" s="1"/>
  <c r="U231" i="18" s="1"/>
  <c r="Q232" i="18" a="1"/>
  <c r="Q232" i="18" s="1"/>
  <c r="Q233" i="18" a="1"/>
  <c r="Q233" i="18"/>
  <c r="R233" i="18" s="1"/>
  <c r="Q234" i="18" a="1"/>
  <c r="Q234" i="18" s="1"/>
  <c r="Q235" i="18" a="1"/>
  <c r="Q235" i="18" s="1"/>
  <c r="R235" i="18" s="1"/>
  <c r="Q236" i="18" a="1"/>
  <c r="Q236" i="18" s="1"/>
  <c r="Q237" i="18" a="1"/>
  <c r="Q237" i="18" s="1"/>
  <c r="R237" i="18" s="1"/>
  <c r="Q238" i="18" a="1"/>
  <c r="Q238" i="18" s="1"/>
  <c r="R238" i="18" s="1"/>
  <c r="U238" i="18" s="1"/>
  <c r="Q239" i="18" a="1"/>
  <c r="Q239" i="18"/>
  <c r="R239" i="18" s="1"/>
  <c r="U239" i="18" s="1"/>
  <c r="Q240" i="18" a="1"/>
  <c r="Q240" i="18" s="1"/>
  <c r="Q241" i="18" a="1"/>
  <c r="Q241" i="18" s="1"/>
  <c r="R241" i="18" s="1"/>
  <c r="Q242" i="18" a="1"/>
  <c r="Q242" i="18"/>
  <c r="R242" i="18" s="1"/>
  <c r="Q243" i="18" a="1"/>
  <c r="Q243" i="18" s="1"/>
  <c r="Q244" i="18" a="1"/>
  <c r="Q244" i="18" s="1"/>
  <c r="R244" i="18" s="1"/>
  <c r="Q245" i="18" a="1"/>
  <c r="Q245" i="18"/>
  <c r="Q246" i="18" a="1"/>
  <c r="Q246" i="18" s="1"/>
  <c r="R246" i="18" s="1"/>
  <c r="U246" i="18" s="1"/>
  <c r="Q247" i="18" a="1"/>
  <c r="Q247" i="18" s="1"/>
  <c r="R247" i="18" s="1"/>
  <c r="Q248" i="18" a="1"/>
  <c r="Q248" i="18" s="1"/>
  <c r="Q249" i="18" a="1"/>
  <c r="Q249" i="18" s="1"/>
  <c r="R249" i="18" s="1"/>
  <c r="Q250" i="18" a="1"/>
  <c r="Q250" i="18" s="1"/>
  <c r="Q251" i="18" a="1"/>
  <c r="Q251" i="18"/>
  <c r="Q252" i="18" a="1"/>
  <c r="Q252" i="18" s="1"/>
  <c r="R252" i="18" s="1"/>
  <c r="Q253" i="18" a="1"/>
  <c r="Q253" i="18" s="1"/>
  <c r="R253" i="18" s="1"/>
  <c r="U253" i="18" s="1"/>
  <c r="Q254" i="18" a="1"/>
  <c r="Q254" i="18" s="1"/>
  <c r="R254" i="18" s="1"/>
  <c r="U254" i="18" s="1"/>
  <c r="Q255" i="18" a="1"/>
  <c r="Q255" i="18" s="1"/>
  <c r="Q256" i="18" a="1"/>
  <c r="Q256" i="18" s="1"/>
  <c r="Q257" i="18" a="1"/>
  <c r="Q257" i="18" s="1"/>
  <c r="R257" i="18" s="1"/>
  <c r="Q258" i="18" a="1"/>
  <c r="Q258" i="18" s="1"/>
  <c r="R258" i="18" s="1"/>
  <c r="Q259" i="18" a="1"/>
  <c r="Q259" i="18" s="1"/>
  <c r="Q260" i="18" a="1"/>
  <c r="Q260" i="18" s="1"/>
  <c r="Q261" i="18" a="1"/>
  <c r="Q261" i="18" s="1"/>
  <c r="R261" i="18" s="1"/>
  <c r="U261" i="18" s="1"/>
  <c r="Q262" i="18" a="1"/>
  <c r="Q262" i="18" s="1"/>
  <c r="R262" i="18" s="1"/>
  <c r="Q263" i="18" a="1"/>
  <c r="Q263" i="18"/>
  <c r="Q264" i="18" a="1"/>
  <c r="Q264" i="18" s="1"/>
  <c r="Q265" i="18" a="1"/>
  <c r="Q265" i="18"/>
  <c r="R265" i="18" s="1"/>
  <c r="Q266" i="18" a="1"/>
  <c r="Q266" i="18" s="1"/>
  <c r="R266" i="18" s="1"/>
  <c r="U266" i="18" s="1"/>
  <c r="Q267" i="18" a="1"/>
  <c r="Q267" i="18" s="1"/>
  <c r="R267" i="18" s="1"/>
  <c r="Q268" i="18" a="1"/>
  <c r="Q268" i="18" s="1"/>
  <c r="Q269" i="18" a="1"/>
  <c r="Q269" i="18" s="1"/>
  <c r="Q270" i="18" a="1"/>
  <c r="Q270" i="18" s="1"/>
  <c r="R270" i="18" s="1"/>
  <c r="U270" i="18" s="1"/>
  <c r="Q271" i="18" a="1"/>
  <c r="Q271" i="18"/>
  <c r="R271" i="18" s="1"/>
  <c r="Q272" i="18" a="1"/>
  <c r="Q272" i="18" s="1"/>
  <c r="Q273" i="18" a="1"/>
  <c r="Q273" i="18" s="1"/>
  <c r="Q274" i="18" a="1"/>
  <c r="Q274" i="18"/>
  <c r="R274" i="18" s="1"/>
  <c r="Q275" i="18" a="1"/>
  <c r="Q275" i="18" s="1"/>
  <c r="Q276" i="18" a="1"/>
  <c r="Q276" i="18" s="1"/>
  <c r="R276" i="18" s="1"/>
  <c r="Q277" i="18" a="1"/>
  <c r="Q277" i="18" s="1"/>
  <c r="Q278" i="18" a="1"/>
  <c r="Q278" i="18" s="1"/>
  <c r="R278" i="18" s="1"/>
  <c r="U278" i="18" s="1"/>
  <c r="Q279" i="18" a="1"/>
  <c r="Q279" i="18" s="1"/>
  <c r="R279" i="18" s="1"/>
  <c r="Q280" i="18" a="1"/>
  <c r="Q280" i="18" s="1"/>
  <c r="Q281" i="18" a="1"/>
  <c r="Q281" i="18" s="1"/>
  <c r="R281" i="18" s="1"/>
  <c r="Q282" i="18" a="1"/>
  <c r="Q282" i="18" s="1"/>
  <c r="R282" i="18" s="1"/>
  <c r="U282" i="18" s="1"/>
  <c r="Q283" i="18" a="1"/>
  <c r="Q283" i="18" s="1"/>
  <c r="Q284" i="18" a="1"/>
  <c r="Q284" i="18" s="1"/>
  <c r="Q285" i="18" a="1"/>
  <c r="Q285" i="18" s="1"/>
  <c r="R285" i="18" s="1"/>
  <c r="Q286" i="18" a="1"/>
  <c r="Q286" i="18" s="1"/>
  <c r="Q287" i="18" a="1"/>
  <c r="Q287" i="18" s="1"/>
  <c r="Q288" i="18" a="1"/>
  <c r="Q288" i="18" s="1"/>
  <c r="Q289" i="18" a="1"/>
  <c r="Q289" i="18" s="1"/>
  <c r="Q290" i="18" a="1"/>
  <c r="Q290" i="18"/>
  <c r="Q291" i="18" a="1"/>
  <c r="Q291" i="18" s="1"/>
  <c r="R291" i="18" s="1"/>
  <c r="U291" i="18" s="1"/>
  <c r="Q292" i="18" a="1"/>
  <c r="Q292" i="18" s="1"/>
  <c r="Q293" i="18" a="1"/>
  <c r="Q293" i="18" s="1"/>
  <c r="Q294" i="18" a="1"/>
  <c r="Q294" i="18" s="1"/>
  <c r="R294" i="18" s="1"/>
  <c r="U294" i="18" s="1"/>
  <c r="Q295" i="18" a="1"/>
  <c r="Q295" i="18" s="1"/>
  <c r="Q296" i="18" a="1"/>
  <c r="Q296" i="18" s="1"/>
  <c r="Q297" i="18" a="1"/>
  <c r="Q297" i="18" s="1"/>
  <c r="R297" i="18" s="1"/>
  <c r="Q298" i="18" a="1"/>
  <c r="Q298" i="18" s="1"/>
  <c r="R298" i="18" s="1"/>
  <c r="U298" i="18" s="1"/>
  <c r="Q299" i="18" a="1"/>
  <c r="Q299" i="18" s="1"/>
  <c r="Q300" i="18" a="1"/>
  <c r="Q300" i="18" s="1"/>
  <c r="R300" i="18" s="1"/>
  <c r="U300" i="18" s="1"/>
  <c r="Q301" i="18" a="1"/>
  <c r="Q301" i="18" s="1"/>
  <c r="Q302" i="18" a="1"/>
  <c r="Q302" i="18" s="1"/>
  <c r="Q303" i="18" a="1"/>
  <c r="Q303" i="18" s="1"/>
  <c r="Q304" i="18" a="1"/>
  <c r="Q304" i="18" s="1"/>
  <c r="Q305" i="18" a="1"/>
  <c r="Q305" i="18" s="1"/>
  <c r="R305" i="18" s="1"/>
  <c r="Q306" i="18" a="1"/>
  <c r="Q306" i="18"/>
  <c r="Q307" i="18" a="1"/>
  <c r="Q307" i="18" s="1"/>
  <c r="Q308" i="18" a="1"/>
  <c r="Q308" i="18" s="1"/>
  <c r="R308" i="18" s="1"/>
  <c r="Q309" i="18" a="1"/>
  <c r="Q309" i="18" s="1"/>
  <c r="Q310" i="18" a="1"/>
  <c r="Q310" i="18"/>
  <c r="R310" i="18" s="1"/>
  <c r="U310" i="18" s="1"/>
  <c r="Q311" i="18" a="1"/>
  <c r="Q311" i="18" s="1"/>
  <c r="Q312" i="18" a="1"/>
  <c r="Q312" i="18" s="1"/>
  <c r="Q313" i="18" a="1"/>
  <c r="Q313" i="18" s="1"/>
  <c r="R313" i="18" s="1"/>
  <c r="Q314" i="18" a="1"/>
  <c r="Q314" i="18" s="1"/>
  <c r="R314" i="18" s="1"/>
  <c r="U314" i="18" s="1"/>
  <c r="Q315" i="18" a="1"/>
  <c r="Q315" i="18" s="1"/>
  <c r="Q316" i="18" a="1"/>
  <c r="Q316" i="18" s="1"/>
  <c r="Q317" i="18" a="1"/>
  <c r="Q317" i="18" s="1"/>
  <c r="R317" i="18" s="1"/>
  <c r="Q318" i="18" a="1"/>
  <c r="Q318" i="18" s="1"/>
  <c r="R318" i="18" s="1"/>
  <c r="U318" i="18" s="1"/>
  <c r="Q319" i="18" a="1"/>
  <c r="Q319" i="18" s="1"/>
  <c r="Q320" i="18" a="1"/>
  <c r="Q320" i="18" s="1"/>
  <c r="Q321" i="18" a="1"/>
  <c r="Q321" i="18" s="1"/>
  <c r="Q322" i="18" a="1"/>
  <c r="Q322" i="18"/>
  <c r="Q323" i="18" a="1"/>
  <c r="Q323" i="18" s="1"/>
  <c r="Q324" i="18" a="1"/>
  <c r="Q324" i="18" s="1"/>
  <c r="R4" i="18"/>
  <c r="R6" i="18"/>
  <c r="R7" i="18"/>
  <c r="R8" i="18"/>
  <c r="R12" i="18"/>
  <c r="R16" i="18"/>
  <c r="R18" i="18"/>
  <c r="R22" i="18"/>
  <c r="R24" i="18"/>
  <c r="R27" i="18"/>
  <c r="R32" i="18"/>
  <c r="R36" i="18"/>
  <c r="R38" i="18"/>
  <c r="R44" i="18"/>
  <c r="R46" i="18"/>
  <c r="R50" i="18"/>
  <c r="R53" i="18"/>
  <c r="R54" i="18"/>
  <c r="R59" i="18"/>
  <c r="R64" i="18"/>
  <c r="R71" i="18"/>
  <c r="R72" i="18"/>
  <c r="R76" i="18"/>
  <c r="R82" i="18"/>
  <c r="R85" i="18"/>
  <c r="R88" i="18"/>
  <c r="R94" i="18"/>
  <c r="R96" i="18"/>
  <c r="R102" i="18"/>
  <c r="R104" i="18"/>
  <c r="R108" i="18"/>
  <c r="R114" i="18"/>
  <c r="R117" i="18"/>
  <c r="R118" i="18"/>
  <c r="R123" i="18"/>
  <c r="R128" i="18"/>
  <c r="R136" i="18"/>
  <c r="R140" i="18"/>
  <c r="R144" i="18"/>
  <c r="R148" i="18"/>
  <c r="R150" i="18"/>
  <c r="R152" i="18"/>
  <c r="R154" i="18"/>
  <c r="R156" i="18"/>
  <c r="R157" i="18"/>
  <c r="R158" i="18"/>
  <c r="R160" i="18"/>
  <c r="R162" i="18"/>
  <c r="R164" i="18"/>
  <c r="R165" i="18"/>
  <c r="R168" i="18"/>
  <c r="R170" i="18"/>
  <c r="R173" i="18"/>
  <c r="R176" i="18"/>
  <c r="R178" i="18"/>
  <c r="R181" i="18"/>
  <c r="R182" i="18"/>
  <c r="R184" i="18"/>
  <c r="R187" i="18"/>
  <c r="R188" i="18"/>
  <c r="R189" i="18"/>
  <c r="R192" i="18"/>
  <c r="R194" i="18"/>
  <c r="R196" i="18"/>
  <c r="R199" i="18"/>
  <c r="R200" i="18"/>
  <c r="R204" i="18"/>
  <c r="R208" i="18"/>
  <c r="R210" i="18"/>
  <c r="R213" i="18"/>
  <c r="R214" i="18"/>
  <c r="R215" i="18"/>
  <c r="R218" i="18"/>
  <c r="R219" i="18"/>
  <c r="R220" i="18"/>
  <c r="R223" i="18"/>
  <c r="R224" i="18"/>
  <c r="R228" i="18"/>
  <c r="R230" i="18"/>
  <c r="R232" i="18"/>
  <c r="R234" i="18"/>
  <c r="R236" i="18"/>
  <c r="R240" i="18"/>
  <c r="R243" i="18"/>
  <c r="R245" i="18"/>
  <c r="R248" i="18"/>
  <c r="R250" i="18"/>
  <c r="R251" i="18"/>
  <c r="R255" i="18"/>
  <c r="R259" i="18"/>
  <c r="R260" i="18"/>
  <c r="R263" i="18"/>
  <c r="R264" i="18"/>
  <c r="R268" i="18"/>
  <c r="R269" i="18"/>
  <c r="R272" i="18"/>
  <c r="R275" i="18"/>
  <c r="R277" i="18"/>
  <c r="R280" i="18"/>
  <c r="R283" i="18"/>
  <c r="R284" i="18"/>
  <c r="R286" i="18"/>
  <c r="R287" i="18"/>
  <c r="R288" i="18"/>
  <c r="R290" i="18"/>
  <c r="R292" i="18"/>
  <c r="R293" i="18"/>
  <c r="R295" i="18"/>
  <c r="R299" i="18"/>
  <c r="R301" i="18"/>
  <c r="R302" i="18"/>
  <c r="R303" i="18"/>
  <c r="R304" i="18"/>
  <c r="R306" i="18"/>
  <c r="R307" i="18"/>
  <c r="R309" i="18"/>
  <c r="R311" i="18"/>
  <c r="R312" i="18"/>
  <c r="R315" i="18"/>
  <c r="R316" i="18"/>
  <c r="R319" i="18"/>
  <c r="R320" i="18"/>
  <c r="R322" i="18"/>
  <c r="R323" i="18"/>
  <c r="R324" i="18"/>
  <c r="S2" i="18" a="1"/>
  <c r="S2" i="18" s="1"/>
  <c r="S3" i="18" a="1"/>
  <c r="S3" i="18" s="1"/>
  <c r="S4" i="18" a="1"/>
  <c r="S4" i="18" s="1"/>
  <c r="S5" i="18" a="1"/>
  <c r="S5" i="18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/>
  <c r="S12" i="18" a="1"/>
  <c r="S12" i="18" s="1"/>
  <c r="S13" i="18" a="1"/>
  <c r="S13" i="18" s="1"/>
  <c r="S14" i="18" a="1"/>
  <c r="S14" i="18" s="1"/>
  <c r="S15" i="18" a="1"/>
  <c r="S15" i="18" s="1"/>
  <c r="S16" i="18" a="1"/>
  <c r="S16" i="18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/>
  <c r="S28" i="18" a="1"/>
  <c r="S28" i="18" s="1"/>
  <c r="S29" i="18" a="1"/>
  <c r="S29" i="18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/>
  <c r="S37" i="18" a="1"/>
  <c r="S37" i="18"/>
  <c r="S38" i="18" a="1"/>
  <c r="S38" i="18" s="1"/>
  <c r="S39" i="18" a="1"/>
  <c r="S39" i="18"/>
  <c r="S40" i="18" a="1"/>
  <c r="S40" i="18" s="1"/>
  <c r="S41" i="18" a="1"/>
  <c r="S41" i="18" s="1"/>
  <c r="S42" i="18" a="1"/>
  <c r="S42" i="18" s="1"/>
  <c r="S43" i="18" a="1"/>
  <c r="S43" i="18"/>
  <c r="S44" i="18" a="1"/>
  <c r="S44" i="18" s="1"/>
  <c r="S45" i="18" a="1"/>
  <c r="S45" i="18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/>
  <c r="S60" i="18" a="1"/>
  <c r="S60" i="18"/>
  <c r="S61" i="18" a="1"/>
  <c r="S61" i="18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/>
  <c r="S92" i="18" a="1"/>
  <c r="S92" i="18" s="1"/>
  <c r="S93" i="18" a="1"/>
  <c r="S93" i="18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/>
  <c r="S101" i="18" a="1"/>
  <c r="S101" i="18"/>
  <c r="S102" i="18" a="1"/>
  <c r="S102" i="18" s="1"/>
  <c r="S103" i="18" a="1"/>
  <c r="S103" i="18"/>
  <c r="S104" i="18" a="1"/>
  <c r="S104" i="18" s="1"/>
  <c r="S105" i="18" a="1"/>
  <c r="S105" i="18" s="1"/>
  <c r="S106" i="18" a="1"/>
  <c r="S106" i="18" s="1"/>
  <c r="S107" i="18" a="1"/>
  <c r="S107" i="18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/>
  <c r="S125" i="18" a="1"/>
  <c r="S125" i="18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/>
  <c r="S133" i="18" a="1"/>
  <c r="S133" i="18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/>
  <c r="S186" i="18" a="1"/>
  <c r="S186" i="18" s="1"/>
  <c r="S187" i="18" a="1"/>
  <c r="S187" i="18"/>
  <c r="S188" i="18" a="1"/>
  <c r="S188" i="18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/>
  <c r="S262" i="18" a="1"/>
  <c r="S262" i="18" s="1"/>
  <c r="S263" i="18" a="1"/>
  <c r="S263" i="18"/>
  <c r="S264" i="18" a="1"/>
  <c r="S264" i="18" s="1"/>
  <c r="S265" i="18" a="1"/>
  <c r="S265" i="18" s="1"/>
  <c r="S266" i="18" a="1"/>
  <c r="S266" i="18" s="1"/>
  <c r="S267" i="18" a="1"/>
  <c r="S267" i="18"/>
  <c r="S268" i="18" a="1"/>
  <c r="S268" i="18" s="1"/>
  <c r="S269" i="18" a="1"/>
  <c r="S269" i="18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/>
  <c r="S282" i="18" a="1"/>
  <c r="S282" i="18" s="1"/>
  <c r="S283" i="18" a="1"/>
  <c r="S283" i="18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/>
  <c r="S294" i="18" a="1"/>
  <c r="S294" i="18" s="1"/>
  <c r="S295" i="18" a="1"/>
  <c r="S295" i="18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/>
  <c r="S302" i="18" a="1"/>
  <c r="S302" i="18"/>
  <c r="S303" i="18" a="1"/>
  <c r="S303" i="18" s="1"/>
  <c r="S304" i="18" a="1"/>
  <c r="S304" i="18" s="1"/>
  <c r="S305" i="18" a="1"/>
  <c r="S305" i="18" s="1"/>
  <c r="S306" i="18" a="1"/>
  <c r="S306" i="18"/>
  <c r="S307" i="18" a="1"/>
  <c r="S307" i="18" s="1"/>
  <c r="S308" i="18" a="1"/>
  <c r="S308" i="18" s="1"/>
  <c r="S309" i="18" a="1"/>
  <c r="S309" i="18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/>
  <c r="S319" i="18" a="1"/>
  <c r="S319" i="18" s="1"/>
  <c r="S320" i="18" a="1"/>
  <c r="S320" i="18" s="1"/>
  <c r="S321" i="18" a="1"/>
  <c r="S321" i="18"/>
  <c r="S322" i="18" a="1"/>
  <c r="S322" i="18" s="1"/>
  <c r="S323" i="18" a="1"/>
  <c r="S323" i="18" s="1"/>
  <c r="S324" i="18" a="1"/>
  <c r="S324" i="18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/>
  <c r="T8" i="18" a="1"/>
  <c r="T8" i="18" s="1"/>
  <c r="T9" i="18" a="1"/>
  <c r="T9" i="18"/>
  <c r="T10" i="18" a="1"/>
  <c r="T10" i="18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/>
  <c r="T19" i="18" a="1"/>
  <c r="T19" i="18"/>
  <c r="T20" i="18" a="1"/>
  <c r="T20" i="18" s="1"/>
  <c r="T21" i="18" a="1"/>
  <c r="T21" i="18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/>
  <c r="T40" i="18" a="1"/>
  <c r="T40" i="18" s="1"/>
  <c r="T41" i="18" a="1"/>
  <c r="T41" i="18" s="1"/>
  <c r="T42" i="18" a="1"/>
  <c r="T42" i="18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/>
  <c r="T83" i="18" a="1"/>
  <c r="T83" i="18" s="1"/>
  <c r="T84" i="18" a="1"/>
  <c r="T84" i="18" s="1"/>
  <c r="T85" i="18" a="1"/>
  <c r="T85" i="18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/>
  <c r="T104" i="18" a="1"/>
  <c r="T104" i="18" s="1"/>
  <c r="T105" i="18" a="1"/>
  <c r="T105" i="18"/>
  <c r="T106" i="18" a="1"/>
  <c r="T106" i="18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/>
  <c r="T115" i="18" a="1"/>
  <c r="T115" i="18"/>
  <c r="T116" i="18" a="1"/>
  <c r="T116" i="18" s="1"/>
  <c r="T117" i="18" a="1"/>
  <c r="T117" i="18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/>
  <c r="T124" i="18" a="1"/>
  <c r="T124" i="18" s="1"/>
  <c r="T125" i="18" a="1"/>
  <c r="T125" i="18" s="1"/>
  <c r="T126" i="18" a="1"/>
  <c r="T126" i="18"/>
  <c r="T127" i="18" a="1"/>
  <c r="T127" i="18" s="1"/>
  <c r="T128" i="18" a="1"/>
  <c r="T128" i="18" s="1"/>
  <c r="T129" i="18" a="1"/>
  <c r="T129" i="18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/>
  <c r="T168" i="18" a="1"/>
  <c r="T168" i="18" s="1"/>
  <c r="T169" i="18" a="1"/>
  <c r="T169" i="18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/>
  <c r="T179" i="18" a="1"/>
  <c r="T179" i="18"/>
  <c r="T180" i="18" a="1"/>
  <c r="T180" i="18" s="1"/>
  <c r="T181" i="18" a="1"/>
  <c r="T181" i="18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/>
  <c r="T200" i="18" a="1"/>
  <c r="T200" i="18" s="1"/>
  <c r="T201" i="18" a="1"/>
  <c r="T201" i="18"/>
  <c r="T202" i="18" a="1"/>
  <c r="T202" i="18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/>
  <c r="T212" i="18" a="1"/>
  <c r="T212" i="18" s="1"/>
  <c r="T213" i="18" a="1"/>
  <c r="T213" i="18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/>
  <c r="T252" i="18" a="1"/>
  <c r="T252" i="18" s="1"/>
  <c r="T253" i="18" a="1"/>
  <c r="T253" i="18" s="1"/>
  <c r="T254" i="18" a="1"/>
  <c r="T254" i="18"/>
  <c r="T255" i="18" a="1"/>
  <c r="T255" i="18" s="1"/>
  <c r="T256" i="18" a="1"/>
  <c r="T256" i="18" s="1"/>
  <c r="T257" i="18" a="1"/>
  <c r="T257" i="18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/>
  <c r="T264" i="18" a="1"/>
  <c r="T264" i="18" s="1"/>
  <c r="T265" i="18" a="1"/>
  <c r="T265" i="18"/>
  <c r="T266" i="18" a="1"/>
  <c r="T266" i="18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/>
  <c r="T275" i="18" a="1"/>
  <c r="T275" i="18"/>
  <c r="T276" i="18" a="1"/>
  <c r="T276" i="18" s="1"/>
  <c r="T277" i="18" a="1"/>
  <c r="T277" i="18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/>
  <c r="T296" i="18" a="1"/>
  <c r="T296" i="18" s="1"/>
  <c r="T297" i="18" a="1"/>
  <c r="T297" i="18" s="1"/>
  <c r="T298" i="18" a="1"/>
  <c r="T298" i="18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U2" i="18"/>
  <c r="U3" i="18"/>
  <c r="U4" i="18"/>
  <c r="U6" i="18"/>
  <c r="U7" i="18"/>
  <c r="U8" i="18"/>
  <c r="U9" i="18"/>
  <c r="U10" i="18"/>
  <c r="U11" i="18"/>
  <c r="U12" i="18"/>
  <c r="U13" i="18"/>
  <c r="U15" i="18"/>
  <c r="U16" i="18"/>
  <c r="U17" i="18"/>
  <c r="U18" i="18"/>
  <c r="U19" i="18"/>
  <c r="U20" i="18"/>
  <c r="U22" i="18"/>
  <c r="U23" i="18"/>
  <c r="U24" i="18"/>
  <c r="U25" i="18"/>
  <c r="U26" i="18"/>
  <c r="U27" i="18"/>
  <c r="U28" i="18"/>
  <c r="U29" i="18"/>
  <c r="U31" i="18"/>
  <c r="U32" i="18"/>
  <c r="U33" i="18"/>
  <c r="U34" i="18"/>
  <c r="U35" i="18"/>
  <c r="U36" i="18"/>
  <c r="U37" i="18"/>
  <c r="U38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3" i="18"/>
  <c r="U64" i="18"/>
  <c r="U65" i="18"/>
  <c r="U66" i="18"/>
  <c r="U67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2" i="18"/>
  <c r="U93" i="18"/>
  <c r="U94" i="18"/>
  <c r="U95" i="18"/>
  <c r="U96" i="18"/>
  <c r="U97" i="18"/>
  <c r="U98" i="18"/>
  <c r="U99" i="18"/>
  <c r="U101" i="18"/>
  <c r="U102" i="18"/>
  <c r="U103" i="18"/>
  <c r="U104" i="18"/>
  <c r="U105" i="18"/>
  <c r="U106" i="18"/>
  <c r="U107" i="18"/>
  <c r="U108" i="18"/>
  <c r="U109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7" i="18"/>
  <c r="U128" i="18"/>
  <c r="U129" i="18"/>
  <c r="U130" i="18"/>
  <c r="U131" i="18"/>
  <c r="U136" i="18"/>
  <c r="U137" i="18"/>
  <c r="U138" i="18"/>
  <c r="U139" i="18"/>
  <c r="U140" i="18"/>
  <c r="U141" i="18"/>
  <c r="U143" i="18"/>
  <c r="U144" i="18"/>
  <c r="U145" i="18"/>
  <c r="U147" i="18"/>
  <c r="U148" i="18"/>
  <c r="U149" i="18"/>
  <c r="U150" i="18"/>
  <c r="U151" i="18"/>
  <c r="U152" i="18"/>
  <c r="U153" i="18"/>
  <c r="U154" i="18"/>
  <c r="U156" i="18"/>
  <c r="U157" i="18"/>
  <c r="U158" i="18"/>
  <c r="U159" i="18"/>
  <c r="U160" i="18"/>
  <c r="U161" i="18"/>
  <c r="U162" i="18"/>
  <c r="U163" i="18"/>
  <c r="U164" i="18"/>
  <c r="U165" i="18"/>
  <c r="U166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3" i="18"/>
  <c r="U224" i="18"/>
  <c r="U225" i="18"/>
  <c r="U226" i="18"/>
  <c r="U227" i="18"/>
  <c r="U228" i="18"/>
  <c r="U230" i="18"/>
  <c r="U232" i="18"/>
  <c r="U233" i="18"/>
  <c r="U234" i="18"/>
  <c r="U235" i="18"/>
  <c r="U236" i="18"/>
  <c r="U237" i="18"/>
  <c r="U240" i="18"/>
  <c r="U241" i="18"/>
  <c r="U242" i="18"/>
  <c r="U243" i="18"/>
  <c r="U244" i="18"/>
  <c r="U245" i="18"/>
  <c r="U247" i="18"/>
  <c r="U248" i="18"/>
  <c r="U249" i="18"/>
  <c r="U250" i="18"/>
  <c r="U251" i="18"/>
  <c r="U252" i="18"/>
  <c r="U255" i="18"/>
  <c r="U256" i="18"/>
  <c r="U257" i="18"/>
  <c r="U258" i="18"/>
  <c r="U259" i="18"/>
  <c r="U260" i="18"/>
  <c r="U262" i="18"/>
  <c r="U263" i="18"/>
  <c r="U264" i="18"/>
  <c r="U265" i="18"/>
  <c r="U267" i="18"/>
  <c r="U268" i="18"/>
  <c r="U269" i="18"/>
  <c r="U271" i="18"/>
  <c r="U272" i="18"/>
  <c r="U274" i="18"/>
  <c r="U275" i="18"/>
  <c r="U276" i="18"/>
  <c r="U277" i="18"/>
  <c r="U279" i="18"/>
  <c r="U280" i="18"/>
  <c r="U281" i="18"/>
  <c r="U283" i="18"/>
  <c r="U284" i="18"/>
  <c r="U285" i="18"/>
  <c r="U286" i="18"/>
  <c r="U287" i="18"/>
  <c r="U288" i="18"/>
  <c r="U290" i="18"/>
  <c r="U292" i="18"/>
  <c r="U293" i="18"/>
  <c r="U295" i="18"/>
  <c r="U297" i="18"/>
  <c r="U299" i="18"/>
  <c r="U301" i="18"/>
  <c r="U302" i="18"/>
  <c r="U303" i="18"/>
  <c r="U304" i="18"/>
  <c r="U305" i="18"/>
  <c r="U306" i="18"/>
  <c r="U307" i="18"/>
  <c r="U308" i="18"/>
  <c r="U309" i="18"/>
  <c r="U311" i="18"/>
  <c r="U312" i="18"/>
  <c r="U313" i="18"/>
  <c r="U315" i="18"/>
  <c r="U316" i="18"/>
  <c r="U317" i="18"/>
  <c r="U319" i="18"/>
  <c r="U320" i="18"/>
  <c r="U322" i="18"/>
  <c r="U323" i="18"/>
  <c r="U324" i="18"/>
  <c r="L2" i="17"/>
  <c r="L3" i="17"/>
  <c r="L4" i="17"/>
  <c r="L5" i="17"/>
  <c r="L6" i="17"/>
  <c r="L7" i="17"/>
  <c r="L104" i="17"/>
  <c r="N104" i="17" s="1" a="1"/>
  <c r="N104" i="17" s="1"/>
  <c r="L121" i="17"/>
  <c r="N121" i="17" s="1" a="1"/>
  <c r="N121" i="17" s="1"/>
  <c r="L138" i="17"/>
  <c r="L155" i="17"/>
  <c r="L172" i="17"/>
  <c r="L173" i="17"/>
  <c r="L174" i="17"/>
  <c r="L223" i="17"/>
  <c r="L240" i="17"/>
  <c r="N240" i="17" s="1" a="1"/>
  <c r="N240" i="17" s="1"/>
  <c r="L257" i="17"/>
  <c r="N257" i="17" s="1" a="1"/>
  <c r="N257" i="17" s="1"/>
  <c r="L274" i="17"/>
  <c r="L291" i="17"/>
  <c r="L308" i="17"/>
  <c r="L325" i="17"/>
  <c r="L342" i="17"/>
  <c r="L359" i="17"/>
  <c r="L444" i="17"/>
  <c r="N444" i="17" s="1" a="1"/>
  <c r="N444" i="17" s="1"/>
  <c r="L461" i="17"/>
  <c r="N461" i="17" s="1" a="1"/>
  <c r="N461" i="17" s="1"/>
  <c r="L478" i="17"/>
  <c r="L376" i="17"/>
  <c r="L377" i="17"/>
  <c r="L378" i="17"/>
  <c r="L427" i="17"/>
  <c r="L597" i="17"/>
  <c r="L614" i="17"/>
  <c r="N614" i="17" s="1" a="1"/>
  <c r="N614" i="17" s="1"/>
  <c r="L631" i="17"/>
  <c r="N631" i="17" s="1" a="1"/>
  <c r="N631" i="17" s="1"/>
  <c r="L648" i="17"/>
  <c r="L665" i="17"/>
  <c r="L682" i="17"/>
  <c r="L699" i="17"/>
  <c r="L729" i="17"/>
  <c r="L736" i="17"/>
  <c r="L753" i="17"/>
  <c r="N753" i="17" s="1" a="1"/>
  <c r="N753" i="17" s="1"/>
  <c r="L770" i="17"/>
  <c r="N770" i="17" s="1" a="1"/>
  <c r="N770" i="17" s="1"/>
  <c r="L787" i="17"/>
  <c r="L804" i="17"/>
  <c r="L821" i="17"/>
  <c r="L838" i="17"/>
  <c r="L855" i="17"/>
  <c r="L872" i="17"/>
  <c r="L889" i="17"/>
  <c r="N889" i="17" s="1" a="1"/>
  <c r="N889" i="17" s="1"/>
  <c r="L906" i="17"/>
  <c r="N906" i="17" s="1" a="1"/>
  <c r="N906" i="17" s="1"/>
  <c r="L923" i="17"/>
  <c r="L940" i="17"/>
  <c r="L495" i="17"/>
  <c r="L496" i="17"/>
  <c r="L497" i="17"/>
  <c r="L498" i="17"/>
  <c r="L499" i="17"/>
  <c r="N499" i="17" s="1" a="1"/>
  <c r="N499" i="17" s="1"/>
  <c r="L500" i="17"/>
  <c r="N500" i="17" s="1" a="1"/>
  <c r="N500" i="17" s="1"/>
  <c r="L8" i="17"/>
  <c r="L9" i="17"/>
  <c r="L10" i="17"/>
  <c r="L11" i="17"/>
  <c r="L12" i="17"/>
  <c r="L13" i="17"/>
  <c r="L105" i="17"/>
  <c r="N105" i="17" s="1" a="1"/>
  <c r="N105" i="17" s="1"/>
  <c r="L122" i="17"/>
  <c r="N122" i="17" s="1" a="1"/>
  <c r="N122" i="17" s="1"/>
  <c r="L139" i="17"/>
  <c r="L156" i="17"/>
  <c r="L175" i="17"/>
  <c r="L176" i="17"/>
  <c r="L177" i="17"/>
  <c r="L224" i="17"/>
  <c r="L241" i="17"/>
  <c r="N241" i="17" s="1" a="1"/>
  <c r="N241" i="17" s="1"/>
  <c r="L258" i="17"/>
  <c r="N258" i="17" s="1" a="1"/>
  <c r="N258" i="17" s="1"/>
  <c r="L275" i="17"/>
  <c r="L292" i="17"/>
  <c r="L309" i="17"/>
  <c r="L326" i="17"/>
  <c r="L343" i="17"/>
  <c r="L360" i="17"/>
  <c r="L445" i="17"/>
  <c r="N445" i="17" s="1" a="1"/>
  <c r="N445" i="17" s="1"/>
  <c r="L462" i="17"/>
  <c r="N462" i="17" s="1" a="1"/>
  <c r="N462" i="17" s="1"/>
  <c r="L479" i="17"/>
  <c r="L379" i="17"/>
  <c r="L380" i="17"/>
  <c r="L381" i="17"/>
  <c r="L428" i="17"/>
  <c r="L598" i="17"/>
  <c r="L615" i="17"/>
  <c r="L632" i="17"/>
  <c r="N632" i="17" s="1" a="1"/>
  <c r="N632" i="17" s="1"/>
  <c r="L649" i="17"/>
  <c r="L666" i="17"/>
  <c r="L683" i="17"/>
  <c r="L700" i="17"/>
  <c r="L716" i="17"/>
  <c r="L737" i="17"/>
  <c r="L754" i="17"/>
  <c r="L771" i="17"/>
  <c r="N771" i="17" s="1" a="1"/>
  <c r="N771" i="17" s="1"/>
  <c r="L788" i="17"/>
  <c r="L805" i="17"/>
  <c r="L822" i="17"/>
  <c r="L839" i="17"/>
  <c r="L856" i="17"/>
  <c r="L873" i="17"/>
  <c r="L890" i="17"/>
  <c r="L907" i="17"/>
  <c r="L924" i="17"/>
  <c r="L941" i="17"/>
  <c r="L501" i="17"/>
  <c r="L502" i="17"/>
  <c r="L503" i="17"/>
  <c r="L504" i="17"/>
  <c r="L505" i="17"/>
  <c r="L506" i="17"/>
  <c r="L14" i="17"/>
  <c r="L15" i="17"/>
  <c r="L16" i="17"/>
  <c r="L17" i="17"/>
  <c r="L18" i="17"/>
  <c r="L19" i="17"/>
  <c r="L106" i="17"/>
  <c r="L123" i="17"/>
  <c r="L140" i="17"/>
  <c r="L157" i="17"/>
  <c r="L178" i="17"/>
  <c r="L179" i="17"/>
  <c r="L180" i="17"/>
  <c r="L225" i="17"/>
  <c r="L242" i="17"/>
  <c r="L259" i="17"/>
  <c r="L276" i="17"/>
  <c r="L293" i="17"/>
  <c r="L310" i="17"/>
  <c r="L327" i="17"/>
  <c r="L344" i="17"/>
  <c r="L361" i="17"/>
  <c r="L446" i="17"/>
  <c r="L463" i="17"/>
  <c r="L480" i="17"/>
  <c r="L382" i="17"/>
  <c r="L383" i="17"/>
  <c r="L384" i="17"/>
  <c r="L429" i="17"/>
  <c r="L599" i="17"/>
  <c r="L616" i="17"/>
  <c r="L633" i="17"/>
  <c r="L650" i="17"/>
  <c r="L667" i="17"/>
  <c r="L684" i="17"/>
  <c r="L701" i="17"/>
  <c r="L717" i="17"/>
  <c r="L730" i="17"/>
  <c r="L738" i="17"/>
  <c r="L755" i="17"/>
  <c r="L772" i="17"/>
  <c r="L789" i="17"/>
  <c r="L806" i="17"/>
  <c r="L823" i="17"/>
  <c r="L840" i="17"/>
  <c r="L857" i="17"/>
  <c r="L874" i="17"/>
  <c r="L891" i="17"/>
  <c r="L908" i="17"/>
  <c r="L925" i="17"/>
  <c r="L942" i="17"/>
  <c r="L507" i="17"/>
  <c r="L508" i="17"/>
  <c r="L509" i="17"/>
  <c r="L510" i="17"/>
  <c r="L511" i="17"/>
  <c r="L512" i="17"/>
  <c r="L20" i="17"/>
  <c r="L21" i="17"/>
  <c r="L22" i="17"/>
  <c r="L23" i="17"/>
  <c r="L24" i="17"/>
  <c r="L25" i="17"/>
  <c r="N6" i="17" s="1" a="1"/>
  <c r="N6" i="17" s="1"/>
  <c r="L107" i="17"/>
  <c r="L124" i="17"/>
  <c r="L141" i="17"/>
  <c r="L158" i="17"/>
  <c r="L181" i="17"/>
  <c r="L182" i="17"/>
  <c r="L183" i="17"/>
  <c r="L226" i="17"/>
  <c r="L243" i="17"/>
  <c r="L260" i="17"/>
  <c r="L277" i="17"/>
  <c r="L294" i="17"/>
  <c r="L311" i="17"/>
  <c r="L328" i="17"/>
  <c r="L345" i="17"/>
  <c r="L362" i="17"/>
  <c r="L447" i="17"/>
  <c r="L464" i="17"/>
  <c r="L481" i="17"/>
  <c r="L385" i="17"/>
  <c r="L386" i="17"/>
  <c r="L387" i="17"/>
  <c r="L430" i="17"/>
  <c r="L600" i="17"/>
  <c r="L617" i="17"/>
  <c r="L634" i="17"/>
  <c r="L651" i="17"/>
  <c r="L668" i="17"/>
  <c r="L685" i="17"/>
  <c r="L702" i="17"/>
  <c r="L718" i="17"/>
  <c r="L739" i="17"/>
  <c r="L756" i="17"/>
  <c r="L773" i="17"/>
  <c r="L790" i="17"/>
  <c r="L807" i="17"/>
  <c r="L824" i="17"/>
  <c r="L841" i="17"/>
  <c r="L858" i="17"/>
  <c r="L875" i="17"/>
  <c r="L892" i="17"/>
  <c r="L909" i="17"/>
  <c r="L926" i="17"/>
  <c r="L943" i="17"/>
  <c r="L513" i="17"/>
  <c r="L514" i="17"/>
  <c r="L515" i="17"/>
  <c r="L516" i="17"/>
  <c r="L517" i="17"/>
  <c r="L518" i="17"/>
  <c r="L26" i="17"/>
  <c r="L27" i="17"/>
  <c r="L28" i="17"/>
  <c r="L29" i="17"/>
  <c r="L30" i="17"/>
  <c r="L31" i="17"/>
  <c r="L108" i="17"/>
  <c r="L125" i="17"/>
  <c r="L142" i="17"/>
  <c r="L159" i="17"/>
  <c r="L184" i="17"/>
  <c r="L185" i="17"/>
  <c r="L186" i="17"/>
  <c r="L227" i="17"/>
  <c r="L244" i="17"/>
  <c r="L261" i="17"/>
  <c r="L278" i="17"/>
  <c r="L295" i="17"/>
  <c r="L312" i="17"/>
  <c r="L329" i="17"/>
  <c r="L346" i="17"/>
  <c r="L363" i="17"/>
  <c r="L448" i="17"/>
  <c r="L465" i="17"/>
  <c r="L482" i="17"/>
  <c r="L388" i="17"/>
  <c r="L389" i="17"/>
  <c r="L390" i="17"/>
  <c r="L431" i="17"/>
  <c r="L601" i="17"/>
  <c r="L618" i="17"/>
  <c r="L635" i="17"/>
  <c r="L652" i="17"/>
  <c r="L669" i="17"/>
  <c r="L686" i="17"/>
  <c r="L703" i="17"/>
  <c r="L719" i="17"/>
  <c r="L731" i="17"/>
  <c r="L740" i="17"/>
  <c r="L757" i="17"/>
  <c r="L774" i="17"/>
  <c r="L791" i="17"/>
  <c r="L808" i="17"/>
  <c r="L825" i="17"/>
  <c r="L842" i="17"/>
  <c r="L859" i="17"/>
  <c r="L876" i="17"/>
  <c r="L893" i="17"/>
  <c r="L910" i="17"/>
  <c r="L927" i="17"/>
  <c r="L944" i="17"/>
  <c r="L519" i="17"/>
  <c r="L520" i="17"/>
  <c r="L521" i="17"/>
  <c r="L522" i="17"/>
  <c r="L523" i="17"/>
  <c r="L524" i="17"/>
  <c r="L32" i="17"/>
  <c r="L33" i="17"/>
  <c r="L34" i="17"/>
  <c r="L35" i="17"/>
  <c r="L36" i="17"/>
  <c r="N174" i="17" s="1" a="1"/>
  <c r="N174" i="17" s="1"/>
  <c r="L37" i="17"/>
  <c r="N5" i="17" s="1" a="1"/>
  <c r="N5" i="17" s="1"/>
  <c r="L109" i="17"/>
  <c r="L126" i="17"/>
  <c r="L143" i="17"/>
  <c r="L160" i="17"/>
  <c r="L187" i="17"/>
  <c r="L188" i="17"/>
  <c r="L189" i="17"/>
  <c r="L228" i="17"/>
  <c r="L245" i="17"/>
  <c r="L262" i="17"/>
  <c r="L279" i="17"/>
  <c r="L296" i="17"/>
  <c r="L313" i="17"/>
  <c r="L330" i="17"/>
  <c r="L347" i="17"/>
  <c r="L364" i="17"/>
  <c r="L449" i="17"/>
  <c r="L466" i="17"/>
  <c r="L483" i="17"/>
  <c r="L391" i="17"/>
  <c r="L392" i="17"/>
  <c r="L393" i="17"/>
  <c r="L432" i="17"/>
  <c r="L602" i="17"/>
  <c r="L619" i="17"/>
  <c r="L636" i="17"/>
  <c r="L653" i="17"/>
  <c r="L670" i="17"/>
  <c r="L687" i="17"/>
  <c r="L704" i="17"/>
  <c r="L720" i="17"/>
  <c r="L741" i="17"/>
  <c r="L758" i="17"/>
  <c r="L775" i="17"/>
  <c r="L792" i="17"/>
  <c r="L809" i="17"/>
  <c r="L826" i="17"/>
  <c r="L843" i="17"/>
  <c r="L860" i="17"/>
  <c r="L877" i="17"/>
  <c r="L894" i="17"/>
  <c r="L911" i="17"/>
  <c r="L928" i="17"/>
  <c r="L945" i="17"/>
  <c r="L525" i="17"/>
  <c r="L526" i="17"/>
  <c r="L527" i="17"/>
  <c r="L528" i="17"/>
  <c r="L529" i="17"/>
  <c r="L530" i="17"/>
  <c r="L38" i="17"/>
  <c r="L39" i="17"/>
  <c r="L40" i="17"/>
  <c r="L41" i="17"/>
  <c r="L42" i="17"/>
  <c r="L43" i="17"/>
  <c r="L110" i="17"/>
  <c r="L127" i="17"/>
  <c r="L144" i="17"/>
  <c r="L161" i="17"/>
  <c r="L190" i="17"/>
  <c r="L191" i="17"/>
  <c r="L192" i="17"/>
  <c r="L229" i="17"/>
  <c r="L246" i="17"/>
  <c r="L263" i="17"/>
  <c r="L280" i="17"/>
  <c r="L297" i="17"/>
  <c r="L314" i="17"/>
  <c r="L331" i="17"/>
  <c r="L348" i="17"/>
  <c r="L365" i="17"/>
  <c r="L450" i="17"/>
  <c r="L467" i="17"/>
  <c r="L484" i="17"/>
  <c r="L394" i="17"/>
  <c r="L395" i="17"/>
  <c r="L396" i="17"/>
  <c r="L433" i="17"/>
  <c r="L603" i="17"/>
  <c r="L620" i="17"/>
  <c r="L637" i="17"/>
  <c r="L654" i="17"/>
  <c r="L671" i="17"/>
  <c r="L688" i="17"/>
  <c r="L705" i="17"/>
  <c r="L721" i="17"/>
  <c r="L732" i="17"/>
  <c r="L742" i="17"/>
  <c r="L759" i="17"/>
  <c r="L776" i="17"/>
  <c r="L793" i="17"/>
  <c r="L810" i="17"/>
  <c r="L827" i="17"/>
  <c r="L844" i="17"/>
  <c r="L861" i="17"/>
  <c r="L878" i="17"/>
  <c r="L895" i="17"/>
  <c r="L912" i="17"/>
  <c r="L929" i="17"/>
  <c r="L946" i="17"/>
  <c r="L531" i="17"/>
  <c r="L532" i="17"/>
  <c r="L533" i="17"/>
  <c r="L534" i="17"/>
  <c r="L535" i="17"/>
  <c r="L536" i="17"/>
  <c r="L44" i="17"/>
  <c r="L45" i="17"/>
  <c r="L46" i="17"/>
  <c r="L47" i="17"/>
  <c r="L48" i="17"/>
  <c r="L49" i="17"/>
  <c r="L111" i="17"/>
  <c r="L128" i="17"/>
  <c r="L145" i="17"/>
  <c r="L162" i="17"/>
  <c r="L193" i="17"/>
  <c r="L194" i="17"/>
  <c r="L195" i="17"/>
  <c r="L230" i="17"/>
  <c r="L247" i="17"/>
  <c r="L264" i="17"/>
  <c r="L281" i="17"/>
  <c r="L298" i="17"/>
  <c r="L315" i="17"/>
  <c r="L332" i="17"/>
  <c r="L349" i="17"/>
  <c r="L366" i="17"/>
  <c r="L451" i="17"/>
  <c r="L468" i="17"/>
  <c r="L485" i="17"/>
  <c r="L397" i="17"/>
  <c r="L398" i="17"/>
  <c r="L399" i="17"/>
  <c r="L434" i="17"/>
  <c r="L604" i="17"/>
  <c r="L621" i="17"/>
  <c r="L638" i="17"/>
  <c r="L655" i="17"/>
  <c r="L672" i="17"/>
  <c r="L689" i="17"/>
  <c r="L706" i="17"/>
  <c r="L722" i="17"/>
  <c r="L733" i="17"/>
  <c r="L743" i="17"/>
  <c r="L760" i="17"/>
  <c r="L777" i="17"/>
  <c r="L794" i="17"/>
  <c r="L811" i="17"/>
  <c r="L828" i="17"/>
  <c r="L845" i="17"/>
  <c r="L862" i="17"/>
  <c r="L879" i="17"/>
  <c r="L896" i="17"/>
  <c r="L913" i="17"/>
  <c r="L930" i="17"/>
  <c r="L947" i="17"/>
  <c r="L537" i="17"/>
  <c r="L538" i="17"/>
  <c r="L539" i="17"/>
  <c r="L540" i="17"/>
  <c r="L541" i="17"/>
  <c r="L542" i="17"/>
  <c r="L50" i="17"/>
  <c r="L51" i="17"/>
  <c r="L52" i="17"/>
  <c r="L53" i="17"/>
  <c r="L54" i="17"/>
  <c r="L55" i="17"/>
  <c r="L112" i="17"/>
  <c r="L129" i="17"/>
  <c r="L146" i="17"/>
  <c r="L163" i="17"/>
  <c r="L196" i="17"/>
  <c r="L197" i="17"/>
  <c r="L198" i="17"/>
  <c r="L231" i="17"/>
  <c r="L248" i="17"/>
  <c r="L265" i="17"/>
  <c r="L282" i="17"/>
  <c r="L299" i="17"/>
  <c r="L316" i="17"/>
  <c r="L333" i="17"/>
  <c r="L350" i="17"/>
  <c r="L367" i="17"/>
  <c r="L452" i="17"/>
  <c r="L469" i="17"/>
  <c r="L486" i="17"/>
  <c r="L400" i="17"/>
  <c r="L401" i="17"/>
  <c r="L402" i="17"/>
  <c r="L435" i="17"/>
  <c r="L605" i="17"/>
  <c r="L622" i="17"/>
  <c r="L639" i="17"/>
  <c r="L656" i="17"/>
  <c r="L673" i="17"/>
  <c r="L690" i="17"/>
  <c r="L707" i="17"/>
  <c r="L744" i="17"/>
  <c r="L761" i="17"/>
  <c r="L778" i="17"/>
  <c r="L795" i="17"/>
  <c r="L812" i="17"/>
  <c r="L829" i="17"/>
  <c r="L846" i="17"/>
  <c r="L863" i="17"/>
  <c r="L880" i="17"/>
  <c r="L897" i="17"/>
  <c r="L914" i="17"/>
  <c r="L931" i="17"/>
  <c r="L948" i="17"/>
  <c r="L543" i="17"/>
  <c r="L544" i="17"/>
  <c r="L545" i="17"/>
  <c r="L546" i="17"/>
  <c r="L547" i="17"/>
  <c r="L548" i="17"/>
  <c r="L56" i="17"/>
  <c r="L57" i="17"/>
  <c r="L58" i="17"/>
  <c r="L59" i="17"/>
  <c r="L60" i="17"/>
  <c r="L61" i="17"/>
  <c r="L113" i="17"/>
  <c r="L130" i="17"/>
  <c r="L147" i="17"/>
  <c r="L164" i="17"/>
  <c r="L199" i="17"/>
  <c r="L200" i="17"/>
  <c r="L201" i="17"/>
  <c r="L232" i="17"/>
  <c r="L249" i="17"/>
  <c r="L266" i="17"/>
  <c r="L283" i="17"/>
  <c r="L300" i="17"/>
  <c r="L317" i="17"/>
  <c r="L334" i="17"/>
  <c r="L351" i="17"/>
  <c r="L368" i="17"/>
  <c r="L453" i="17"/>
  <c r="L470" i="17"/>
  <c r="L487" i="17"/>
  <c r="L403" i="17"/>
  <c r="L404" i="17"/>
  <c r="L405" i="17"/>
  <c r="L436" i="17"/>
  <c r="L606" i="17"/>
  <c r="L623" i="17"/>
  <c r="L640" i="17"/>
  <c r="L657" i="17"/>
  <c r="L674" i="17"/>
  <c r="L691" i="17"/>
  <c r="L708" i="17"/>
  <c r="L745" i="17"/>
  <c r="L762" i="17"/>
  <c r="L779" i="17"/>
  <c r="L796" i="17"/>
  <c r="L813" i="17"/>
  <c r="L830" i="17"/>
  <c r="L847" i="17"/>
  <c r="L864" i="17"/>
  <c r="L881" i="17"/>
  <c r="L898" i="17"/>
  <c r="L915" i="17"/>
  <c r="L932" i="17"/>
  <c r="L949" i="17"/>
  <c r="L549" i="17"/>
  <c r="L550" i="17"/>
  <c r="L551" i="17"/>
  <c r="L552" i="17"/>
  <c r="L553" i="17"/>
  <c r="L554" i="17"/>
  <c r="L62" i="17"/>
  <c r="L63" i="17"/>
  <c r="L64" i="17"/>
  <c r="L65" i="17"/>
  <c r="L66" i="17"/>
  <c r="L67" i="17"/>
  <c r="L114" i="17"/>
  <c r="L131" i="17"/>
  <c r="L148" i="17"/>
  <c r="L165" i="17"/>
  <c r="L202" i="17"/>
  <c r="L203" i="17"/>
  <c r="L204" i="17"/>
  <c r="L233" i="17"/>
  <c r="L250" i="17"/>
  <c r="L267" i="17"/>
  <c r="L284" i="17"/>
  <c r="L301" i="17"/>
  <c r="L318" i="17"/>
  <c r="L335" i="17"/>
  <c r="L352" i="17"/>
  <c r="L369" i="17"/>
  <c r="L454" i="17"/>
  <c r="L471" i="17"/>
  <c r="L488" i="17"/>
  <c r="L406" i="17"/>
  <c r="L407" i="17"/>
  <c r="L408" i="17"/>
  <c r="L437" i="17"/>
  <c r="L607" i="17"/>
  <c r="L624" i="17"/>
  <c r="L641" i="17"/>
  <c r="L658" i="17"/>
  <c r="L675" i="17"/>
  <c r="L692" i="17"/>
  <c r="L709" i="17"/>
  <c r="L723" i="17"/>
  <c r="L734" i="17"/>
  <c r="L746" i="17"/>
  <c r="L763" i="17"/>
  <c r="L780" i="17"/>
  <c r="L797" i="17"/>
  <c r="L814" i="17"/>
  <c r="L831" i="17"/>
  <c r="L848" i="17"/>
  <c r="L865" i="17"/>
  <c r="L882" i="17"/>
  <c r="L899" i="17"/>
  <c r="L916" i="17"/>
  <c r="L933" i="17"/>
  <c r="L950" i="17"/>
  <c r="L555" i="17"/>
  <c r="L556" i="17"/>
  <c r="L557" i="17"/>
  <c r="L558" i="17"/>
  <c r="L559" i="17"/>
  <c r="L560" i="17"/>
  <c r="L68" i="17"/>
  <c r="L69" i="17"/>
  <c r="L70" i="17"/>
  <c r="L71" i="17"/>
  <c r="L72" i="17"/>
  <c r="L73" i="17"/>
  <c r="L115" i="17"/>
  <c r="L132" i="17"/>
  <c r="L149" i="17"/>
  <c r="L166" i="17"/>
  <c r="L205" i="17"/>
  <c r="L206" i="17"/>
  <c r="L207" i="17"/>
  <c r="L234" i="17"/>
  <c r="L251" i="17"/>
  <c r="L268" i="17"/>
  <c r="L285" i="17"/>
  <c r="L302" i="17"/>
  <c r="L319" i="17"/>
  <c r="L336" i="17"/>
  <c r="L353" i="17"/>
  <c r="L370" i="17"/>
  <c r="L455" i="17"/>
  <c r="L472" i="17"/>
  <c r="L489" i="17"/>
  <c r="L409" i="17"/>
  <c r="L410" i="17"/>
  <c r="L411" i="17"/>
  <c r="L438" i="17"/>
  <c r="L608" i="17"/>
  <c r="L625" i="17"/>
  <c r="L642" i="17"/>
  <c r="L659" i="17"/>
  <c r="L676" i="17"/>
  <c r="L693" i="17"/>
  <c r="L710" i="17"/>
  <c r="L724" i="17"/>
  <c r="L747" i="17"/>
  <c r="L764" i="17"/>
  <c r="L781" i="17"/>
  <c r="L798" i="17"/>
  <c r="L815" i="17"/>
  <c r="L832" i="17"/>
  <c r="L849" i="17"/>
  <c r="L866" i="17"/>
  <c r="L883" i="17"/>
  <c r="L900" i="17"/>
  <c r="L917" i="17"/>
  <c r="L934" i="17"/>
  <c r="L951" i="17"/>
  <c r="L561" i="17"/>
  <c r="L562" i="17"/>
  <c r="L563" i="17"/>
  <c r="L564" i="17"/>
  <c r="L565" i="17"/>
  <c r="L566" i="17"/>
  <c r="L74" i="17"/>
  <c r="L75" i="17"/>
  <c r="L76" i="17"/>
  <c r="L77" i="17"/>
  <c r="L78" i="17"/>
  <c r="L79" i="17"/>
  <c r="L116" i="17"/>
  <c r="L133" i="17"/>
  <c r="L150" i="17"/>
  <c r="L167" i="17"/>
  <c r="L208" i="17"/>
  <c r="L209" i="17"/>
  <c r="L210" i="17"/>
  <c r="L235" i="17"/>
  <c r="L252" i="17"/>
  <c r="L269" i="17"/>
  <c r="L286" i="17"/>
  <c r="L303" i="17"/>
  <c r="L320" i="17"/>
  <c r="L337" i="17"/>
  <c r="L354" i="17"/>
  <c r="L371" i="17"/>
  <c r="L456" i="17"/>
  <c r="L473" i="17"/>
  <c r="L490" i="17"/>
  <c r="L412" i="17"/>
  <c r="L413" i="17"/>
  <c r="L414" i="17"/>
  <c r="L439" i="17"/>
  <c r="L609" i="17"/>
  <c r="L626" i="17"/>
  <c r="L643" i="17"/>
  <c r="L660" i="17"/>
  <c r="L677" i="17"/>
  <c r="L694" i="17"/>
  <c r="L711" i="17"/>
  <c r="L748" i="17"/>
  <c r="L765" i="17"/>
  <c r="L782" i="17"/>
  <c r="L799" i="17"/>
  <c r="L816" i="17"/>
  <c r="L833" i="17"/>
  <c r="L850" i="17"/>
  <c r="L867" i="17"/>
  <c r="L884" i="17"/>
  <c r="L901" i="17"/>
  <c r="L918" i="17"/>
  <c r="L935" i="17"/>
  <c r="L952" i="17"/>
  <c r="L567" i="17"/>
  <c r="L568" i="17"/>
  <c r="L569" i="17"/>
  <c r="L570" i="17"/>
  <c r="L571" i="17"/>
  <c r="L572" i="17"/>
  <c r="L80" i="17"/>
  <c r="L81" i="17"/>
  <c r="L82" i="17"/>
  <c r="L83" i="17"/>
  <c r="L84" i="17"/>
  <c r="L85" i="17"/>
  <c r="L117" i="17"/>
  <c r="L134" i="17"/>
  <c r="L151" i="17"/>
  <c r="L168" i="17"/>
  <c r="L211" i="17"/>
  <c r="L212" i="17"/>
  <c r="L213" i="17"/>
  <c r="L236" i="17"/>
  <c r="L253" i="17"/>
  <c r="L270" i="17"/>
  <c r="L287" i="17"/>
  <c r="L304" i="17"/>
  <c r="L321" i="17"/>
  <c r="L338" i="17"/>
  <c r="L355" i="17"/>
  <c r="L372" i="17"/>
  <c r="L457" i="17"/>
  <c r="L474" i="17"/>
  <c r="L491" i="17"/>
  <c r="L415" i="17"/>
  <c r="L416" i="17"/>
  <c r="L417" i="17"/>
  <c r="L440" i="17"/>
  <c r="L610" i="17"/>
  <c r="L627" i="17"/>
  <c r="L644" i="17"/>
  <c r="L661" i="17"/>
  <c r="L678" i="17"/>
  <c r="L695" i="17"/>
  <c r="L712" i="17"/>
  <c r="L725" i="17"/>
  <c r="L749" i="17"/>
  <c r="L766" i="17"/>
  <c r="L783" i="17"/>
  <c r="L800" i="17"/>
  <c r="L817" i="17"/>
  <c r="L834" i="17"/>
  <c r="L851" i="17"/>
  <c r="L868" i="17"/>
  <c r="L885" i="17"/>
  <c r="L902" i="17"/>
  <c r="L919" i="17"/>
  <c r="L936" i="17"/>
  <c r="L953" i="17"/>
  <c r="L573" i="17"/>
  <c r="L574" i="17"/>
  <c r="L575" i="17"/>
  <c r="L576" i="17"/>
  <c r="L577" i="17"/>
  <c r="L578" i="17"/>
  <c r="L86" i="17"/>
  <c r="L87" i="17"/>
  <c r="L88" i="17"/>
  <c r="L89" i="17"/>
  <c r="L90" i="17"/>
  <c r="L91" i="17"/>
  <c r="L118" i="17"/>
  <c r="L135" i="17"/>
  <c r="L152" i="17"/>
  <c r="L169" i="17"/>
  <c r="L214" i="17"/>
  <c r="L215" i="17"/>
  <c r="L216" i="17"/>
  <c r="L237" i="17"/>
  <c r="L254" i="17"/>
  <c r="L271" i="17"/>
  <c r="L288" i="17"/>
  <c r="L305" i="17"/>
  <c r="L322" i="17"/>
  <c r="L339" i="17"/>
  <c r="L356" i="17"/>
  <c r="L373" i="17"/>
  <c r="L458" i="17"/>
  <c r="L475" i="17"/>
  <c r="L492" i="17"/>
  <c r="L418" i="17"/>
  <c r="L419" i="17"/>
  <c r="L420" i="17"/>
  <c r="L441" i="17"/>
  <c r="L611" i="17"/>
  <c r="L628" i="17"/>
  <c r="L645" i="17"/>
  <c r="L662" i="17"/>
  <c r="L679" i="17"/>
  <c r="L696" i="17"/>
  <c r="L713" i="17"/>
  <c r="L726" i="17"/>
  <c r="L735" i="17"/>
  <c r="L750" i="17"/>
  <c r="L767" i="17"/>
  <c r="L784" i="17"/>
  <c r="L801" i="17"/>
  <c r="L818" i="17"/>
  <c r="L835" i="17"/>
  <c r="L852" i="17"/>
  <c r="L869" i="17"/>
  <c r="L886" i="17"/>
  <c r="L903" i="17"/>
  <c r="L920" i="17"/>
  <c r="L937" i="17"/>
  <c r="L954" i="17"/>
  <c r="L579" i="17"/>
  <c r="L580" i="17"/>
  <c r="L581" i="17"/>
  <c r="L582" i="17"/>
  <c r="L583" i="17"/>
  <c r="L584" i="17"/>
  <c r="L92" i="17"/>
  <c r="L93" i="17"/>
  <c r="L94" i="17"/>
  <c r="L95" i="17"/>
  <c r="L96" i="17"/>
  <c r="L97" i="17"/>
  <c r="L119" i="17"/>
  <c r="L136" i="17"/>
  <c r="L153" i="17"/>
  <c r="L170" i="17"/>
  <c r="L217" i="17"/>
  <c r="L218" i="17"/>
  <c r="L219" i="17"/>
  <c r="L238" i="17"/>
  <c r="L255" i="17"/>
  <c r="L272" i="17"/>
  <c r="L289" i="17"/>
  <c r="L306" i="17"/>
  <c r="L323" i="17"/>
  <c r="L340" i="17"/>
  <c r="L357" i="17"/>
  <c r="L374" i="17"/>
  <c r="L459" i="17"/>
  <c r="L476" i="17"/>
  <c r="L493" i="17"/>
  <c r="L421" i="17"/>
  <c r="L422" i="17"/>
  <c r="L423" i="17"/>
  <c r="L442" i="17"/>
  <c r="L612" i="17"/>
  <c r="L629" i="17"/>
  <c r="L646" i="17"/>
  <c r="L663" i="17"/>
  <c r="L680" i="17"/>
  <c r="L697" i="17"/>
  <c r="L714" i="17"/>
  <c r="L727" i="17"/>
  <c r="L751" i="17"/>
  <c r="L768" i="17"/>
  <c r="L785" i="17"/>
  <c r="L802" i="17"/>
  <c r="L819" i="17"/>
  <c r="L836" i="17"/>
  <c r="L853" i="17"/>
  <c r="L870" i="17"/>
  <c r="L887" i="17"/>
  <c r="L904" i="17"/>
  <c r="L921" i="17"/>
  <c r="L938" i="17"/>
  <c r="L955" i="17"/>
  <c r="L585" i="17"/>
  <c r="L586" i="17"/>
  <c r="L587" i="17"/>
  <c r="L588" i="17"/>
  <c r="L589" i="17"/>
  <c r="L590" i="17"/>
  <c r="L98" i="17"/>
  <c r="L99" i="17"/>
  <c r="L100" i="17"/>
  <c r="L101" i="17"/>
  <c r="L102" i="17"/>
  <c r="L103" i="17"/>
  <c r="L120" i="17"/>
  <c r="L137" i="17"/>
  <c r="L154" i="17"/>
  <c r="L171" i="17"/>
  <c r="L220" i="17"/>
  <c r="L221" i="17"/>
  <c r="L222" i="17"/>
  <c r="L239" i="17"/>
  <c r="L256" i="17"/>
  <c r="L273" i="17"/>
  <c r="L290" i="17"/>
  <c r="L307" i="17"/>
  <c r="L324" i="17"/>
  <c r="L341" i="17"/>
  <c r="L358" i="17"/>
  <c r="L375" i="17"/>
  <c r="L460" i="17"/>
  <c r="L477" i="17"/>
  <c r="L494" i="17"/>
  <c r="L424" i="17"/>
  <c r="L425" i="17"/>
  <c r="L426" i="17"/>
  <c r="L443" i="17"/>
  <c r="L613" i="17"/>
  <c r="L630" i="17"/>
  <c r="L647" i="17"/>
  <c r="L664" i="17"/>
  <c r="L681" i="17"/>
  <c r="L698" i="17"/>
  <c r="L715" i="17"/>
  <c r="L728" i="17"/>
  <c r="L752" i="17"/>
  <c r="L769" i="17"/>
  <c r="L786" i="17"/>
  <c r="L803" i="17"/>
  <c r="L820" i="17"/>
  <c r="L837" i="17"/>
  <c r="L854" i="17"/>
  <c r="L871" i="17"/>
  <c r="L888" i="17"/>
  <c r="L905" i="17"/>
  <c r="L922" i="17"/>
  <c r="L939" i="17"/>
  <c r="L956" i="17"/>
  <c r="L591" i="17"/>
  <c r="L592" i="17"/>
  <c r="L593" i="17"/>
  <c r="L594" i="17"/>
  <c r="L595" i="17"/>
  <c r="L596" i="17"/>
  <c r="M2" i="17" a="1"/>
  <c r="M2" i="17"/>
  <c r="M3" i="17" a="1"/>
  <c r="M3" i="17" s="1"/>
  <c r="M4" i="17" a="1"/>
  <c r="M4" i="17"/>
  <c r="M5" i="17" a="1"/>
  <c r="M5" i="17" s="1"/>
  <c r="M6" i="17" a="1"/>
  <c r="M6" i="17" s="1"/>
  <c r="M7" i="17" a="1"/>
  <c r="M7" i="17" s="1"/>
  <c r="M104" i="17" a="1"/>
  <c r="M104" i="17"/>
  <c r="M121" i="17" a="1"/>
  <c r="M121" i="17" s="1"/>
  <c r="M138" i="17" a="1"/>
  <c r="M138" i="17" s="1"/>
  <c r="M155" i="17" a="1"/>
  <c r="M155" i="17" s="1"/>
  <c r="M172" i="17" a="1"/>
  <c r="M172" i="17" s="1"/>
  <c r="M173" i="17" a="1"/>
  <c r="M173" i="17" s="1"/>
  <c r="M174" i="17" a="1"/>
  <c r="M174" i="17"/>
  <c r="M223" i="17" a="1"/>
  <c r="M223" i="17" s="1"/>
  <c r="M240" i="17" a="1"/>
  <c r="M240" i="17"/>
  <c r="M257" i="17" a="1"/>
  <c r="M257" i="17" s="1"/>
  <c r="M274" i="17" a="1"/>
  <c r="M274" i="17"/>
  <c r="M291" i="17" a="1"/>
  <c r="M291" i="17" s="1"/>
  <c r="M308" i="17" a="1"/>
  <c r="M308" i="17"/>
  <c r="M325" i="17" a="1"/>
  <c r="M325" i="17" s="1"/>
  <c r="M342" i="17" a="1"/>
  <c r="M342" i="17" s="1"/>
  <c r="M359" i="17" a="1"/>
  <c r="M359" i="17" s="1"/>
  <c r="M444" i="17" a="1"/>
  <c r="M444" i="17"/>
  <c r="M461" i="17" a="1"/>
  <c r="M461" i="17" s="1"/>
  <c r="M478" i="17" a="1"/>
  <c r="M478" i="17" s="1"/>
  <c r="M376" i="17" a="1"/>
  <c r="M376" i="17" s="1"/>
  <c r="M377" i="17" a="1"/>
  <c r="M377" i="17"/>
  <c r="M378" i="17" a="1"/>
  <c r="M378" i="17" s="1"/>
  <c r="M427" i="17" a="1"/>
  <c r="M427" i="17"/>
  <c r="M597" i="17" a="1"/>
  <c r="M597" i="17" s="1"/>
  <c r="M614" i="17" a="1"/>
  <c r="M614" i="17"/>
  <c r="M631" i="17" a="1"/>
  <c r="M631" i="17" s="1"/>
  <c r="M648" i="17" a="1"/>
  <c r="M648" i="17" s="1"/>
  <c r="M665" i="17" a="1"/>
  <c r="M665" i="17" s="1"/>
  <c r="M682" i="17" a="1"/>
  <c r="M682" i="17" s="1"/>
  <c r="M699" i="17" a="1"/>
  <c r="M699" i="17" s="1"/>
  <c r="M729" i="17" a="1"/>
  <c r="M729" i="17" s="1"/>
  <c r="M736" i="17" a="1"/>
  <c r="M736" i="17" s="1"/>
  <c r="M753" i="17" a="1"/>
  <c r="M753" i="17" s="1"/>
  <c r="M770" i="17" a="1"/>
  <c r="M770" i="17" s="1"/>
  <c r="M787" i="17" a="1"/>
  <c r="M787" i="17" s="1"/>
  <c r="M804" i="17" a="1"/>
  <c r="M804" i="17" s="1"/>
  <c r="M821" i="17" a="1"/>
  <c r="M821" i="17"/>
  <c r="M838" i="17" a="1"/>
  <c r="M838" i="17" s="1"/>
  <c r="M855" i="17" a="1"/>
  <c r="M855" i="17" s="1"/>
  <c r="M872" i="17" a="1"/>
  <c r="M872" i="17" s="1"/>
  <c r="M889" i="17" a="1"/>
  <c r="M889" i="17" s="1"/>
  <c r="M906" i="17" a="1"/>
  <c r="M906" i="17" s="1"/>
  <c r="M923" i="17" a="1"/>
  <c r="M923" i="17"/>
  <c r="M940" i="17" a="1"/>
  <c r="M940" i="17" s="1"/>
  <c r="M495" i="17" a="1"/>
  <c r="M495" i="17" s="1"/>
  <c r="M496" i="17" a="1"/>
  <c r="M496" i="17" s="1"/>
  <c r="M497" i="17" a="1"/>
  <c r="M497" i="17" s="1"/>
  <c r="M498" i="17" a="1"/>
  <c r="M498" i="17" s="1"/>
  <c r="M499" i="17" a="1"/>
  <c r="M499" i="17"/>
  <c r="M500" i="17" a="1"/>
  <c r="M500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/>
  <c r="M13" i="17" a="1"/>
  <c r="M13" i="17" s="1"/>
  <c r="M105" i="17" a="1"/>
  <c r="M105" i="17" s="1"/>
  <c r="M122" i="17" a="1"/>
  <c r="M122" i="17" s="1"/>
  <c r="M139" i="17" a="1"/>
  <c r="M139" i="17" s="1"/>
  <c r="M156" i="17" a="1"/>
  <c r="M156" i="17" s="1"/>
  <c r="M175" i="17" a="1"/>
  <c r="M175" i="17" s="1"/>
  <c r="M176" i="17" a="1"/>
  <c r="M176" i="17" s="1"/>
  <c r="M177" i="17" a="1"/>
  <c r="M177" i="17"/>
  <c r="M224" i="17" a="1"/>
  <c r="M224" i="17" s="1"/>
  <c r="M241" i="17" a="1"/>
  <c r="M241" i="17" s="1"/>
  <c r="M258" i="17" a="1"/>
  <c r="M258" i="17" s="1"/>
  <c r="M275" i="17" a="1"/>
  <c r="M275" i="17" s="1"/>
  <c r="M292" i="17" a="1"/>
  <c r="M292" i="17" s="1"/>
  <c r="M309" i="17" a="1"/>
  <c r="M309" i="17" s="1"/>
  <c r="M326" i="17" a="1"/>
  <c r="M326" i="17" s="1"/>
  <c r="M343" i="17" a="1"/>
  <c r="M343" i="17" s="1"/>
  <c r="M360" i="17" a="1"/>
  <c r="M360" i="17" s="1"/>
  <c r="M445" i="17" a="1"/>
  <c r="M445" i="17" s="1"/>
  <c r="M462" i="17" a="1"/>
  <c r="M462" i="17" s="1"/>
  <c r="M479" i="17" a="1"/>
  <c r="M479" i="17" s="1"/>
  <c r="M379" i="17" a="1"/>
  <c r="M379" i="17" s="1"/>
  <c r="M380" i="17" a="1"/>
  <c r="M380" i="17" s="1"/>
  <c r="M381" i="17" a="1"/>
  <c r="M381" i="17" s="1"/>
  <c r="M428" i="17" a="1"/>
  <c r="M428" i="17" s="1"/>
  <c r="M598" i="17" a="1"/>
  <c r="M598" i="17" s="1"/>
  <c r="M615" i="17" a="1"/>
  <c r="M615" i="17" s="1"/>
  <c r="M632" i="17" a="1"/>
  <c r="M632" i="17" s="1"/>
  <c r="M649" i="17" a="1"/>
  <c r="M649" i="17" s="1"/>
  <c r="M666" i="17" a="1"/>
  <c r="M666" i="17" s="1"/>
  <c r="M683" i="17" a="1"/>
  <c r="M683" i="17" s="1"/>
  <c r="M700" i="17" a="1"/>
  <c r="M700" i="17" s="1"/>
  <c r="M716" i="17" a="1"/>
  <c r="M716" i="17" s="1"/>
  <c r="M737" i="17" a="1"/>
  <c r="M737" i="17" s="1"/>
  <c r="M754" i="17" a="1"/>
  <c r="M754" i="17" s="1"/>
  <c r="M771" i="17" a="1"/>
  <c r="M771" i="17" s="1"/>
  <c r="M788" i="17" a="1"/>
  <c r="M788" i="17" s="1"/>
  <c r="M805" i="17" a="1"/>
  <c r="M805" i="17" s="1"/>
  <c r="M822" i="17" a="1"/>
  <c r="M822" i="17" s="1"/>
  <c r="M839" i="17" a="1"/>
  <c r="M839" i="17" s="1"/>
  <c r="M856" i="17" a="1"/>
  <c r="M856" i="17" s="1"/>
  <c r="M873" i="17" a="1"/>
  <c r="M873" i="17" s="1"/>
  <c r="M890" i="17" a="1"/>
  <c r="M890" i="17" s="1"/>
  <c r="M907" i="17" a="1"/>
  <c r="M907" i="17" s="1"/>
  <c r="M924" i="17" a="1"/>
  <c r="M924" i="17" s="1"/>
  <c r="M941" i="17" a="1"/>
  <c r="M941" i="17" s="1"/>
  <c r="M501" i="17" a="1"/>
  <c r="M501" i="17" s="1"/>
  <c r="M502" i="17" a="1"/>
  <c r="M502" i="17" s="1"/>
  <c r="M503" i="17" a="1"/>
  <c r="M503" i="17" s="1"/>
  <c r="M504" i="17" a="1"/>
  <c r="M504" i="17" s="1"/>
  <c r="M505" i="17" a="1"/>
  <c r="M505" i="17" s="1"/>
  <c r="M506" i="17" a="1"/>
  <c r="M506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06" i="17" a="1"/>
  <c r="M106" i="17" s="1"/>
  <c r="M123" i="17" a="1"/>
  <c r="M123" i="17" s="1"/>
  <c r="M140" i="17" a="1"/>
  <c r="M140" i="17" s="1"/>
  <c r="M157" i="17" a="1"/>
  <c r="M157" i="17" s="1"/>
  <c r="M178" i="17" a="1"/>
  <c r="M178" i="17" s="1"/>
  <c r="M179" i="17" a="1"/>
  <c r="M179" i="17" s="1"/>
  <c r="M180" i="17" a="1"/>
  <c r="M180" i="17" s="1"/>
  <c r="M225" i="17" a="1"/>
  <c r="M225" i="17" s="1"/>
  <c r="M242" i="17" a="1"/>
  <c r="M242" i="17" s="1"/>
  <c r="M259" i="17" a="1"/>
  <c r="M259" i="17" s="1"/>
  <c r="M276" i="17" a="1"/>
  <c r="M276" i="17" s="1"/>
  <c r="M293" i="17" a="1"/>
  <c r="M293" i="17" s="1"/>
  <c r="M310" i="17" a="1"/>
  <c r="M310" i="17" s="1"/>
  <c r="M327" i="17" a="1"/>
  <c r="M327" i="17" s="1"/>
  <c r="M344" i="17" a="1"/>
  <c r="M344" i="17" s="1"/>
  <c r="M361" i="17" a="1"/>
  <c r="M361" i="17" s="1"/>
  <c r="M446" i="17" a="1"/>
  <c r="M446" i="17" s="1"/>
  <c r="M463" i="17" a="1"/>
  <c r="M463" i="17" s="1"/>
  <c r="M480" i="17" a="1"/>
  <c r="M480" i="17" s="1"/>
  <c r="M382" i="17" a="1"/>
  <c r="M382" i="17" s="1"/>
  <c r="M383" i="17" a="1"/>
  <c r="M383" i="17" s="1"/>
  <c r="M384" i="17" a="1"/>
  <c r="M384" i="17" s="1"/>
  <c r="M429" i="17" a="1"/>
  <c r="M429" i="17" s="1"/>
  <c r="M599" i="17" a="1"/>
  <c r="M599" i="17" s="1"/>
  <c r="M616" i="17" a="1"/>
  <c r="M616" i="17" s="1"/>
  <c r="M633" i="17" a="1"/>
  <c r="M633" i="17" s="1"/>
  <c r="M650" i="17" a="1"/>
  <c r="M650" i="17" s="1"/>
  <c r="M667" i="17" a="1"/>
  <c r="M667" i="17" s="1"/>
  <c r="M684" i="17" a="1"/>
  <c r="M684" i="17" s="1"/>
  <c r="M701" i="17" a="1"/>
  <c r="M701" i="17" s="1"/>
  <c r="M717" i="17" a="1"/>
  <c r="M717" i="17" s="1"/>
  <c r="M730" i="17" a="1"/>
  <c r="M730" i="17" s="1"/>
  <c r="M738" i="17" a="1"/>
  <c r="M738" i="17" s="1"/>
  <c r="M755" i="17" a="1"/>
  <c r="M755" i="17" s="1"/>
  <c r="M772" i="17" a="1"/>
  <c r="M772" i="17" s="1"/>
  <c r="M789" i="17" a="1"/>
  <c r="M789" i="17" s="1"/>
  <c r="M806" i="17" a="1"/>
  <c r="M806" i="17" s="1"/>
  <c r="M823" i="17" a="1"/>
  <c r="M823" i="17" s="1"/>
  <c r="M840" i="17" a="1"/>
  <c r="M840" i="17" s="1"/>
  <c r="M857" i="17" a="1"/>
  <c r="M857" i="17" s="1"/>
  <c r="M874" i="17" a="1"/>
  <c r="M874" i="17" s="1"/>
  <c r="M891" i="17" a="1"/>
  <c r="M891" i="17" s="1"/>
  <c r="M908" i="17" a="1"/>
  <c r="M908" i="17" s="1"/>
  <c r="M925" i="17" a="1"/>
  <c r="M925" i="17" s="1"/>
  <c r="M942" i="17" a="1"/>
  <c r="M942" i="17" s="1"/>
  <c r="M507" i="17" a="1"/>
  <c r="M507" i="17" s="1"/>
  <c r="M508" i="17" a="1"/>
  <c r="M508" i="17" s="1"/>
  <c r="M509" i="17" a="1"/>
  <c r="M509" i="17" s="1"/>
  <c r="M510" i="17" a="1"/>
  <c r="M510" i="17" s="1"/>
  <c r="M511" i="17" a="1"/>
  <c r="M511" i="17" s="1"/>
  <c r="M512" i="17" a="1"/>
  <c r="M512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07" i="17" a="1"/>
  <c r="M107" i="17" s="1"/>
  <c r="M124" i="17" a="1"/>
  <c r="M124" i="17" s="1"/>
  <c r="M141" i="17" a="1"/>
  <c r="M141" i="17" s="1"/>
  <c r="M158" i="17" a="1"/>
  <c r="M158" i="17" s="1"/>
  <c r="M181" i="17" a="1"/>
  <c r="M181" i="17" s="1"/>
  <c r="M182" i="17" a="1"/>
  <c r="M182" i="17" s="1"/>
  <c r="M183" i="17" a="1"/>
  <c r="M183" i="17" s="1"/>
  <c r="M226" i="17" a="1"/>
  <c r="M226" i="17" s="1"/>
  <c r="M243" i="17" a="1"/>
  <c r="M243" i="17" s="1"/>
  <c r="M260" i="17" a="1"/>
  <c r="M260" i="17" s="1"/>
  <c r="M277" i="17" a="1"/>
  <c r="M277" i="17" s="1"/>
  <c r="M294" i="17" a="1"/>
  <c r="M294" i="17" s="1"/>
  <c r="M311" i="17" a="1"/>
  <c r="M311" i="17" s="1"/>
  <c r="M328" i="17" a="1"/>
  <c r="M328" i="17" s="1"/>
  <c r="M345" i="17" a="1"/>
  <c r="M345" i="17" s="1"/>
  <c r="M362" i="17" a="1"/>
  <c r="M362" i="17" s="1"/>
  <c r="M447" i="17" a="1"/>
  <c r="M447" i="17" s="1"/>
  <c r="M464" i="17" a="1"/>
  <c r="M464" i="17" s="1"/>
  <c r="M481" i="17" a="1"/>
  <c r="M481" i="17" s="1"/>
  <c r="M385" i="17" a="1"/>
  <c r="M385" i="17" s="1"/>
  <c r="M386" i="17" a="1"/>
  <c r="M386" i="17" s="1"/>
  <c r="M387" i="17" a="1"/>
  <c r="M387" i="17" s="1"/>
  <c r="M430" i="17" a="1"/>
  <c r="M430" i="17" s="1"/>
  <c r="M600" i="17" a="1"/>
  <c r="M600" i="17" s="1"/>
  <c r="M617" i="17" a="1"/>
  <c r="M617" i="17" s="1"/>
  <c r="M634" i="17" a="1"/>
  <c r="M634" i="17" s="1"/>
  <c r="M651" i="17" a="1"/>
  <c r="M651" i="17" s="1"/>
  <c r="M668" i="17" a="1"/>
  <c r="M668" i="17" s="1"/>
  <c r="M685" i="17" a="1"/>
  <c r="M685" i="17" s="1"/>
  <c r="M702" i="17" a="1"/>
  <c r="M702" i="17" s="1"/>
  <c r="M718" i="17" a="1"/>
  <c r="M718" i="17" s="1"/>
  <c r="M739" i="17" a="1"/>
  <c r="M739" i="17" s="1"/>
  <c r="M756" i="17" a="1"/>
  <c r="M756" i="17" s="1"/>
  <c r="M773" i="17" a="1"/>
  <c r="M773" i="17" s="1"/>
  <c r="M790" i="17" a="1"/>
  <c r="M790" i="17" s="1"/>
  <c r="M807" i="17" a="1"/>
  <c r="M807" i="17" s="1"/>
  <c r="M824" i="17" a="1"/>
  <c r="M824" i="17" s="1"/>
  <c r="M841" i="17" a="1"/>
  <c r="M841" i="17" s="1"/>
  <c r="M858" i="17" a="1"/>
  <c r="M858" i="17" s="1"/>
  <c r="M875" i="17" a="1"/>
  <c r="M875" i="17" s="1"/>
  <c r="M892" i="17" a="1"/>
  <c r="M892" i="17" s="1"/>
  <c r="M909" i="17" a="1"/>
  <c r="M909" i="17" s="1"/>
  <c r="M926" i="17" a="1"/>
  <c r="M926" i="17" s="1"/>
  <c r="M943" i="17" a="1"/>
  <c r="M943" i="17" s="1"/>
  <c r="M513" i="17" a="1"/>
  <c r="M513" i="17" s="1"/>
  <c r="M514" i="17" a="1"/>
  <c r="M514" i="17" s="1"/>
  <c r="M515" i="17" a="1"/>
  <c r="M515" i="17" s="1"/>
  <c r="M516" i="17" a="1"/>
  <c r="M516" i="17" s="1"/>
  <c r="M517" i="17" a="1"/>
  <c r="M517" i="17" s="1"/>
  <c r="M518" i="17" a="1"/>
  <c r="M518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08" i="17" a="1"/>
  <c r="M108" i="17" s="1"/>
  <c r="M125" i="17" a="1"/>
  <c r="M125" i="17" s="1"/>
  <c r="M142" i="17" a="1"/>
  <c r="M142" i="17" s="1"/>
  <c r="M159" i="17" a="1"/>
  <c r="M159" i="17" s="1"/>
  <c r="M184" i="17" a="1"/>
  <c r="M184" i="17" s="1"/>
  <c r="M185" i="17" a="1"/>
  <c r="M185" i="17" s="1"/>
  <c r="M186" i="17" a="1"/>
  <c r="M186" i="17" s="1"/>
  <c r="M227" i="17" a="1"/>
  <c r="M227" i="17" s="1"/>
  <c r="M244" i="17" a="1"/>
  <c r="M244" i="17" s="1"/>
  <c r="M261" i="17" a="1"/>
  <c r="M261" i="17" s="1"/>
  <c r="M278" i="17" a="1"/>
  <c r="M278" i="17" s="1"/>
  <c r="M295" i="17" a="1"/>
  <c r="M295" i="17" s="1"/>
  <c r="M312" i="17" a="1"/>
  <c r="M312" i="17" s="1"/>
  <c r="M329" i="17" a="1"/>
  <c r="M329" i="17" s="1"/>
  <c r="M346" i="17" a="1"/>
  <c r="M346" i="17" s="1"/>
  <c r="M363" i="17" a="1"/>
  <c r="M363" i="17" s="1"/>
  <c r="M448" i="17" a="1"/>
  <c r="M448" i="17" s="1"/>
  <c r="M465" i="17" a="1"/>
  <c r="M465" i="17" s="1"/>
  <c r="M482" i="17" a="1"/>
  <c r="M482" i="17" s="1"/>
  <c r="M388" i="17" a="1"/>
  <c r="M388" i="17" s="1"/>
  <c r="M389" i="17" a="1"/>
  <c r="M389" i="17" s="1"/>
  <c r="M390" i="17" a="1"/>
  <c r="M390" i="17" s="1"/>
  <c r="M431" i="17" a="1"/>
  <c r="M431" i="17" s="1"/>
  <c r="M601" i="17" a="1"/>
  <c r="M601" i="17" s="1"/>
  <c r="M618" i="17" a="1"/>
  <c r="M618" i="17" s="1"/>
  <c r="M635" i="17" a="1"/>
  <c r="M635" i="17" s="1"/>
  <c r="M652" i="17" a="1"/>
  <c r="M652" i="17" s="1"/>
  <c r="M669" i="17" a="1"/>
  <c r="M669" i="17" s="1"/>
  <c r="M686" i="17" a="1"/>
  <c r="M686" i="17" s="1"/>
  <c r="M703" i="17" a="1"/>
  <c r="M703" i="17" s="1"/>
  <c r="M719" i="17" a="1"/>
  <c r="M719" i="17" s="1"/>
  <c r="M731" i="17" a="1"/>
  <c r="M731" i="17" s="1"/>
  <c r="M740" i="17" a="1"/>
  <c r="M740" i="17" s="1"/>
  <c r="M757" i="17" a="1"/>
  <c r="M757" i="17" s="1"/>
  <c r="M774" i="17" a="1"/>
  <c r="M774" i="17" s="1"/>
  <c r="M791" i="17" a="1"/>
  <c r="M791" i="17" s="1"/>
  <c r="M808" i="17" a="1"/>
  <c r="M808" i="17" s="1"/>
  <c r="M825" i="17" a="1"/>
  <c r="M825" i="17" s="1"/>
  <c r="M842" i="17" a="1"/>
  <c r="M842" i="17" s="1"/>
  <c r="M859" i="17" a="1"/>
  <c r="M859" i="17" s="1"/>
  <c r="M876" i="17" a="1"/>
  <c r="M876" i="17" s="1"/>
  <c r="M893" i="17" a="1"/>
  <c r="M893" i="17" s="1"/>
  <c r="M910" i="17" a="1"/>
  <c r="M910" i="17" s="1"/>
  <c r="M927" i="17" a="1"/>
  <c r="M927" i="17" s="1"/>
  <c r="M944" i="17" a="1"/>
  <c r="M944" i="17" s="1"/>
  <c r="M519" i="17" a="1"/>
  <c r="M519" i="17" s="1"/>
  <c r="M520" i="17" a="1"/>
  <c r="M520" i="17" s="1"/>
  <c r="M521" i="17" a="1"/>
  <c r="M521" i="17" s="1"/>
  <c r="M522" i="17" a="1"/>
  <c r="M522" i="17" s="1"/>
  <c r="M523" i="17" a="1"/>
  <c r="M523" i="17" s="1"/>
  <c r="M524" i="17" a="1"/>
  <c r="M524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09" i="17" a="1"/>
  <c r="M109" i="17" s="1"/>
  <c r="M126" i="17" a="1"/>
  <c r="M126" i="17" s="1"/>
  <c r="M143" i="17" a="1"/>
  <c r="M143" i="17" s="1"/>
  <c r="M160" i="17" a="1"/>
  <c r="M160" i="17" s="1"/>
  <c r="M187" i="17" a="1"/>
  <c r="M187" i="17" s="1"/>
  <c r="M188" i="17" a="1"/>
  <c r="M188" i="17" s="1"/>
  <c r="M189" i="17" a="1"/>
  <c r="M189" i="17" s="1"/>
  <c r="M228" i="17" a="1"/>
  <c r="M228" i="17" s="1"/>
  <c r="M245" i="17" a="1"/>
  <c r="M245" i="17" s="1"/>
  <c r="M262" i="17" a="1"/>
  <c r="M262" i="17" s="1"/>
  <c r="M279" i="17" a="1"/>
  <c r="M279" i="17" s="1"/>
  <c r="M296" i="17" a="1"/>
  <c r="M296" i="17" s="1"/>
  <c r="M313" i="17" a="1"/>
  <c r="M313" i="17" s="1"/>
  <c r="M330" i="17" a="1"/>
  <c r="M330" i="17" s="1"/>
  <c r="M347" i="17" a="1"/>
  <c r="M347" i="17" s="1"/>
  <c r="M364" i="17" a="1"/>
  <c r="M364" i="17" s="1"/>
  <c r="M449" i="17" a="1"/>
  <c r="M449" i="17" s="1"/>
  <c r="M466" i="17" a="1"/>
  <c r="M466" i="17" s="1"/>
  <c r="M483" i="17" a="1"/>
  <c r="M483" i="17" s="1"/>
  <c r="M391" i="17" a="1"/>
  <c r="M391" i="17" s="1"/>
  <c r="M392" i="17" a="1"/>
  <c r="M392" i="17" s="1"/>
  <c r="M393" i="17" a="1"/>
  <c r="M393" i="17" s="1"/>
  <c r="M432" i="17" a="1"/>
  <c r="M432" i="17" s="1"/>
  <c r="M602" i="17" a="1"/>
  <c r="M602" i="17" s="1"/>
  <c r="M619" i="17" a="1"/>
  <c r="M619" i="17" s="1"/>
  <c r="M636" i="17" a="1"/>
  <c r="M636" i="17" s="1"/>
  <c r="M653" i="17" a="1"/>
  <c r="M653" i="17" s="1"/>
  <c r="M670" i="17" a="1"/>
  <c r="M670" i="17" s="1"/>
  <c r="M687" i="17" a="1"/>
  <c r="M687" i="17" s="1"/>
  <c r="M704" i="17" a="1"/>
  <c r="M704" i="17" s="1"/>
  <c r="M720" i="17" a="1"/>
  <c r="M720" i="17"/>
  <c r="M741" i="17" a="1"/>
  <c r="M741" i="17" s="1"/>
  <c r="M758" i="17" a="1"/>
  <c r="M758" i="17" s="1"/>
  <c r="M775" i="17" a="1"/>
  <c r="M775" i="17" s="1"/>
  <c r="M792" i="17" a="1"/>
  <c r="M792" i="17" s="1"/>
  <c r="M809" i="17" a="1"/>
  <c r="M809" i="17" s="1"/>
  <c r="M826" i="17" a="1"/>
  <c r="M826" i="17" s="1"/>
  <c r="M843" i="17" a="1"/>
  <c r="M843" i="17" s="1"/>
  <c r="M860" i="17" a="1"/>
  <c r="M860" i="17"/>
  <c r="M877" i="17" a="1"/>
  <c r="M877" i="17" s="1"/>
  <c r="M894" i="17" a="1"/>
  <c r="M894" i="17" s="1"/>
  <c r="M911" i="17" a="1"/>
  <c r="M911" i="17" s="1"/>
  <c r="M928" i="17" a="1"/>
  <c r="M928" i="17" s="1"/>
  <c r="M945" i="17" a="1"/>
  <c r="M945" i="17" s="1"/>
  <c r="M525" i="17" a="1"/>
  <c r="M525" i="17"/>
  <c r="M526" i="17" a="1"/>
  <c r="M526" i="17"/>
  <c r="M527" i="17" a="1"/>
  <c r="M527" i="17" s="1"/>
  <c r="M528" i="17" a="1"/>
  <c r="M528" i="17" s="1"/>
  <c r="M529" i="17" a="1"/>
  <c r="M529" i="17" s="1"/>
  <c r="M530" i="17" a="1"/>
  <c r="M530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10" i="17" a="1"/>
  <c r="M110" i="17" s="1"/>
  <c r="M127" i="17" a="1"/>
  <c r="M127" i="17" s="1"/>
  <c r="M144" i="17" a="1"/>
  <c r="M144" i="17" s="1"/>
  <c r="M161" i="17" a="1"/>
  <c r="M161" i="17" s="1"/>
  <c r="M190" i="17" a="1"/>
  <c r="M190" i="17" s="1"/>
  <c r="M191" i="17" a="1"/>
  <c r="M191" i="17" s="1"/>
  <c r="M192" i="17" a="1"/>
  <c r="M192" i="17" s="1"/>
  <c r="M229" i="17" a="1"/>
  <c r="M229" i="17"/>
  <c r="M246" i="17" a="1"/>
  <c r="M246" i="17" s="1"/>
  <c r="M263" i="17" a="1"/>
  <c r="M263" i="17" s="1"/>
  <c r="M280" i="17" a="1"/>
  <c r="M280" i="17" s="1"/>
  <c r="M297" i="17" a="1"/>
  <c r="M297" i="17"/>
  <c r="M314" i="17" a="1"/>
  <c r="M314" i="17" s="1"/>
  <c r="M331" i="17" a="1"/>
  <c r="M331" i="17" s="1"/>
  <c r="M348" i="17" a="1"/>
  <c r="M348" i="17" s="1"/>
  <c r="M365" i="17" a="1"/>
  <c r="M365" i="17"/>
  <c r="M450" i="17" a="1"/>
  <c r="M450" i="17" s="1"/>
  <c r="M467" i="17" a="1"/>
  <c r="M467" i="17" s="1"/>
  <c r="M484" i="17" a="1"/>
  <c r="M484" i="17" s="1"/>
  <c r="M394" i="17" a="1"/>
  <c r="M394" i="17"/>
  <c r="M395" i="17" a="1"/>
  <c r="M395" i="17" s="1"/>
  <c r="M396" i="17" a="1"/>
  <c r="M396" i="17" s="1"/>
  <c r="M433" i="17" a="1"/>
  <c r="M433" i="17" s="1"/>
  <c r="M603" i="17" a="1"/>
  <c r="M603" i="17" s="1"/>
  <c r="M620" i="17" a="1"/>
  <c r="M620" i="17" s="1"/>
  <c r="M637" i="17" a="1"/>
  <c r="M637" i="17" s="1"/>
  <c r="M654" i="17" a="1"/>
  <c r="M654" i="17" s="1"/>
  <c r="M671" i="17" a="1"/>
  <c r="M671" i="17"/>
  <c r="M688" i="17" a="1"/>
  <c r="M688" i="17" s="1"/>
  <c r="M705" i="17" a="1"/>
  <c r="M705" i="17" s="1"/>
  <c r="M721" i="17" a="1"/>
  <c r="M721" i="17" s="1"/>
  <c r="M732" i="17" a="1"/>
  <c r="M732" i="17" s="1"/>
  <c r="M742" i="17" a="1"/>
  <c r="M742" i="17" s="1"/>
  <c r="M759" i="17" a="1"/>
  <c r="M759" i="17" s="1"/>
  <c r="M776" i="17" a="1"/>
  <c r="M776" i="17" s="1"/>
  <c r="M793" i="17" a="1"/>
  <c r="M793" i="17" s="1"/>
  <c r="M810" i="17" a="1"/>
  <c r="M810" i="17" s="1"/>
  <c r="M827" i="17" a="1"/>
  <c r="M827" i="17" s="1"/>
  <c r="M844" i="17" a="1"/>
  <c r="M844" i="17" s="1"/>
  <c r="M861" i="17" a="1"/>
  <c r="M861" i="17"/>
  <c r="M878" i="17" a="1"/>
  <c r="M878" i="17" s="1"/>
  <c r="M895" i="17" a="1"/>
  <c r="M895" i="17" s="1"/>
  <c r="M912" i="17" a="1"/>
  <c r="M912" i="17" s="1"/>
  <c r="M929" i="17" a="1"/>
  <c r="M929" i="17"/>
  <c r="M946" i="17" a="1"/>
  <c r="M946" i="17" s="1"/>
  <c r="M531" i="17" a="1"/>
  <c r="M531" i="17" s="1"/>
  <c r="M532" i="17" a="1"/>
  <c r="M532" i="17" s="1"/>
  <c r="M533" i="17" a="1"/>
  <c r="M533" i="17"/>
  <c r="M534" i="17" a="1"/>
  <c r="M534" i="17" s="1"/>
  <c r="M535" i="17" a="1"/>
  <c r="M535" i="17" s="1"/>
  <c r="M536" i="17" a="1"/>
  <c r="M536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11" i="17" a="1"/>
  <c r="M111" i="17"/>
  <c r="M128" i="17" a="1"/>
  <c r="M128" i="17" s="1"/>
  <c r="M145" i="17" a="1"/>
  <c r="M145" i="17" s="1"/>
  <c r="M162" i="17" a="1"/>
  <c r="M162" i="17" s="1"/>
  <c r="M193" i="17" a="1"/>
  <c r="M193" i="17"/>
  <c r="M194" i="17" a="1"/>
  <c r="M194" i="17" s="1"/>
  <c r="M195" i="17" a="1"/>
  <c r="M195" i="17"/>
  <c r="M230" i="17" a="1"/>
  <c r="M230" i="17" s="1"/>
  <c r="M247" i="17" a="1"/>
  <c r="M247" i="17" s="1"/>
  <c r="M264" i="17" a="1"/>
  <c r="M264" i="17" s="1"/>
  <c r="M281" i="17" a="1"/>
  <c r="M281" i="17" s="1"/>
  <c r="M298" i="17" a="1"/>
  <c r="M298" i="17" s="1"/>
  <c r="M315" i="17" a="1"/>
  <c r="M315" i="17"/>
  <c r="M332" i="17" a="1"/>
  <c r="M332" i="17" s="1"/>
  <c r="M349" i="17" a="1"/>
  <c r="M349" i="17" s="1"/>
  <c r="M366" i="17" a="1"/>
  <c r="M366" i="17" s="1"/>
  <c r="M451" i="17" a="1"/>
  <c r="M451" i="17"/>
  <c r="M468" i="17" a="1"/>
  <c r="M468" i="17" s="1"/>
  <c r="M485" i="17" a="1"/>
  <c r="M485" i="17" s="1"/>
  <c r="M397" i="17" a="1"/>
  <c r="M397" i="17" s="1"/>
  <c r="M398" i="17" a="1"/>
  <c r="M398" i="17"/>
  <c r="M399" i="17" a="1"/>
  <c r="M399" i="17" s="1"/>
  <c r="M434" i="17" a="1"/>
  <c r="M434" i="17"/>
  <c r="M604" i="17" a="1"/>
  <c r="M604" i="17" s="1"/>
  <c r="M621" i="17" a="1"/>
  <c r="M621" i="17"/>
  <c r="M638" i="17" a="1"/>
  <c r="M638" i="17" s="1"/>
  <c r="M655" i="17" a="1"/>
  <c r="M655" i="17" s="1"/>
  <c r="M672" i="17" a="1"/>
  <c r="M672" i="17" s="1"/>
  <c r="M689" i="17" a="1"/>
  <c r="M689" i="17"/>
  <c r="M706" i="17" a="1"/>
  <c r="M706" i="17" s="1"/>
  <c r="M722" i="17" a="1"/>
  <c r="M722" i="17" s="1"/>
  <c r="M733" i="17" a="1"/>
  <c r="M733" i="17" s="1"/>
  <c r="M743" i="17" a="1"/>
  <c r="M743" i="17"/>
  <c r="M760" i="17" a="1"/>
  <c r="M760" i="17" s="1"/>
  <c r="M777" i="17" a="1"/>
  <c r="M777" i="17" s="1"/>
  <c r="M794" i="17" a="1"/>
  <c r="M794" i="17" s="1"/>
  <c r="M811" i="17" a="1"/>
  <c r="M811" i="17"/>
  <c r="M828" i="17" a="1"/>
  <c r="M828" i="17" s="1"/>
  <c r="M845" i="17" a="1"/>
  <c r="M845" i="17"/>
  <c r="M862" i="17" a="1"/>
  <c r="M862" i="17" s="1"/>
  <c r="M879" i="17" a="1"/>
  <c r="M879" i="17"/>
  <c r="M896" i="17" a="1"/>
  <c r="M896" i="17" s="1"/>
  <c r="M913" i="17" a="1"/>
  <c r="M913" i="17" s="1"/>
  <c r="M930" i="17" a="1"/>
  <c r="M930" i="17" s="1"/>
  <c r="M947" i="17" a="1"/>
  <c r="M947" i="17"/>
  <c r="M537" i="17" a="1"/>
  <c r="M537" i="17" s="1"/>
  <c r="M538" i="17" a="1"/>
  <c r="M538" i="17" s="1"/>
  <c r="M539" i="17" a="1"/>
  <c r="M539" i="17" s="1"/>
  <c r="M540" i="17" a="1"/>
  <c r="M540" i="17" s="1"/>
  <c r="M541" i="17" a="1"/>
  <c r="M541" i="17" s="1"/>
  <c r="M542" i="17" a="1"/>
  <c r="M542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/>
  <c r="M112" i="17" a="1"/>
  <c r="M112" i="17" s="1"/>
  <c r="M129" i="17" a="1"/>
  <c r="M129" i="17" s="1"/>
  <c r="M146" i="17" a="1"/>
  <c r="M146" i="17" s="1"/>
  <c r="M163" i="17" a="1"/>
  <c r="M163" i="17"/>
  <c r="M196" i="17" a="1"/>
  <c r="M196" i="17" s="1"/>
  <c r="M197" i="17" a="1"/>
  <c r="M197" i="17" s="1"/>
  <c r="M198" i="17" a="1"/>
  <c r="M198" i="17" s="1"/>
  <c r="M231" i="17" a="1"/>
  <c r="M231" i="17" s="1"/>
  <c r="M248" i="17" a="1"/>
  <c r="M248" i="17" s="1"/>
  <c r="M265" i="17" a="1"/>
  <c r="M265" i="17" s="1"/>
  <c r="M282" i="17" a="1"/>
  <c r="M282" i="17" s="1"/>
  <c r="M299" i="17" a="1"/>
  <c r="M299" i="17" s="1"/>
  <c r="M316" i="17" a="1"/>
  <c r="M316" i="17" s="1"/>
  <c r="M333" i="17" a="1"/>
  <c r="M333" i="17" s="1"/>
  <c r="M350" i="17" a="1"/>
  <c r="M350" i="17" s="1"/>
  <c r="M367" i="17" a="1"/>
  <c r="M367" i="17" s="1"/>
  <c r="M452" i="17" a="1"/>
  <c r="M452" i="17" s="1"/>
  <c r="M469" i="17" a="1"/>
  <c r="M469" i="17" s="1"/>
  <c r="M486" i="17" a="1"/>
  <c r="M486" i="17" s="1"/>
  <c r="M400" i="17" a="1"/>
  <c r="M400" i="17" s="1"/>
  <c r="M401" i="17" a="1"/>
  <c r="M401" i="17" s="1"/>
  <c r="M402" i="17" a="1"/>
  <c r="M402" i="17" s="1"/>
  <c r="M435" i="17" a="1"/>
  <c r="M435" i="17" s="1"/>
  <c r="M605" i="17" a="1"/>
  <c r="M605" i="17" s="1"/>
  <c r="M622" i="17" a="1"/>
  <c r="M622" i="17" s="1"/>
  <c r="M639" i="17" a="1"/>
  <c r="M639" i="17" s="1"/>
  <c r="M656" i="17" a="1"/>
  <c r="M656" i="17" s="1"/>
  <c r="M673" i="17" a="1"/>
  <c r="M673" i="17" s="1"/>
  <c r="M690" i="17" a="1"/>
  <c r="M690" i="17" s="1"/>
  <c r="M707" i="17" a="1"/>
  <c r="M707" i="17" s="1"/>
  <c r="M744" i="17" a="1"/>
  <c r="M744" i="17" s="1"/>
  <c r="M761" i="17" a="1"/>
  <c r="M761" i="17" s="1"/>
  <c r="M778" i="17" a="1"/>
  <c r="M778" i="17" s="1"/>
  <c r="M795" i="17" a="1"/>
  <c r="M795" i="17" s="1"/>
  <c r="M812" i="17" a="1"/>
  <c r="M812" i="17" s="1"/>
  <c r="M829" i="17" a="1"/>
  <c r="M829" i="17" s="1"/>
  <c r="M846" i="17" a="1"/>
  <c r="M846" i="17" s="1"/>
  <c r="M863" i="17" a="1"/>
  <c r="M863" i="17" s="1"/>
  <c r="M880" i="17" a="1"/>
  <c r="M880" i="17" s="1"/>
  <c r="M897" i="17" a="1"/>
  <c r="M897" i="17" s="1"/>
  <c r="M914" i="17" a="1"/>
  <c r="M914" i="17" s="1"/>
  <c r="M931" i="17" a="1"/>
  <c r="M931" i="17" s="1"/>
  <c r="M948" i="17" a="1"/>
  <c r="M948" i="17" s="1"/>
  <c r="M543" i="17" a="1"/>
  <c r="M543" i="17" s="1"/>
  <c r="M544" i="17" a="1"/>
  <c r="M544" i="17" s="1"/>
  <c r="M545" i="17" a="1"/>
  <c r="M545" i="17" s="1"/>
  <c r="M546" i="17" a="1"/>
  <c r="M546" i="17" s="1"/>
  <c r="M547" i="17" a="1"/>
  <c r="M547" i="17" s="1"/>
  <c r="M548" i="17" a="1"/>
  <c r="M548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13" i="17" a="1"/>
  <c r="M113" i="17" s="1"/>
  <c r="M130" i="17" a="1"/>
  <c r="M130" i="17" s="1"/>
  <c r="M147" i="17" a="1"/>
  <c r="M147" i="17" s="1"/>
  <c r="M164" i="17" a="1"/>
  <c r="M164" i="17" s="1"/>
  <c r="M199" i="17" a="1"/>
  <c r="M199" i="17" s="1"/>
  <c r="M200" i="17" a="1"/>
  <c r="M200" i="17" s="1"/>
  <c r="M201" i="17" a="1"/>
  <c r="M201" i="17" s="1"/>
  <c r="M232" i="17" a="1"/>
  <c r="M232" i="17" s="1"/>
  <c r="M249" i="17" a="1"/>
  <c r="M249" i="17" s="1"/>
  <c r="M266" i="17" a="1"/>
  <c r="M266" i="17" s="1"/>
  <c r="M283" i="17" a="1"/>
  <c r="M283" i="17" s="1"/>
  <c r="M300" i="17" a="1"/>
  <c r="M300" i="17" s="1"/>
  <c r="M317" i="17" a="1"/>
  <c r="M317" i="17" s="1"/>
  <c r="M334" i="17" a="1"/>
  <c r="M334" i="17" s="1"/>
  <c r="M351" i="17" a="1"/>
  <c r="M351" i="17" s="1"/>
  <c r="M368" i="17" a="1"/>
  <c r="M368" i="17" s="1"/>
  <c r="M453" i="17" a="1"/>
  <c r="M453" i="17" s="1"/>
  <c r="M470" i="17" a="1"/>
  <c r="M470" i="17" s="1"/>
  <c r="M487" i="17" a="1"/>
  <c r="M487" i="17" s="1"/>
  <c r="M403" i="17" a="1"/>
  <c r="M403" i="17" s="1"/>
  <c r="M404" i="17" a="1"/>
  <c r="M404" i="17" s="1"/>
  <c r="M405" i="17" a="1"/>
  <c r="M405" i="17" s="1"/>
  <c r="M436" i="17" a="1"/>
  <c r="M436" i="17" s="1"/>
  <c r="M606" i="17" a="1"/>
  <c r="M606" i="17" s="1"/>
  <c r="M623" i="17" a="1"/>
  <c r="M623" i="17" s="1"/>
  <c r="M640" i="17" a="1"/>
  <c r="M640" i="17" s="1"/>
  <c r="M657" i="17" a="1"/>
  <c r="M657" i="17" s="1"/>
  <c r="M674" i="17" a="1"/>
  <c r="M674" i="17" s="1"/>
  <c r="M691" i="17" a="1"/>
  <c r="M691" i="17" s="1"/>
  <c r="M708" i="17" a="1"/>
  <c r="M708" i="17" s="1"/>
  <c r="M745" i="17" a="1"/>
  <c r="M745" i="17" s="1"/>
  <c r="M762" i="17" a="1"/>
  <c r="M762" i="17" s="1"/>
  <c r="M779" i="17" a="1"/>
  <c r="M779" i="17" s="1"/>
  <c r="M796" i="17" a="1"/>
  <c r="M796" i="17" s="1"/>
  <c r="M813" i="17" a="1"/>
  <c r="M813" i="17" s="1"/>
  <c r="M830" i="17" a="1"/>
  <c r="M830" i="17" s="1"/>
  <c r="M847" i="17" a="1"/>
  <c r="M847" i="17" s="1"/>
  <c r="M864" i="17" a="1"/>
  <c r="M864" i="17" s="1"/>
  <c r="M881" i="17" a="1"/>
  <c r="M881" i="17" s="1"/>
  <c r="M898" i="17" a="1"/>
  <c r="M898" i="17" s="1"/>
  <c r="M915" i="17" a="1"/>
  <c r="M915" i="17" s="1"/>
  <c r="M932" i="17" a="1"/>
  <c r="M932" i="17" s="1"/>
  <c r="M949" i="17" a="1"/>
  <c r="M949" i="17" s="1"/>
  <c r="M549" i="17" a="1"/>
  <c r="M549" i="17" s="1"/>
  <c r="M550" i="17" a="1"/>
  <c r="M550" i="17" s="1"/>
  <c r="M551" i="17" a="1"/>
  <c r="M551" i="17" s="1"/>
  <c r="M552" i="17" a="1"/>
  <c r="M552" i="17" s="1"/>
  <c r="M553" i="17" a="1"/>
  <c r="M553" i="17" s="1"/>
  <c r="M554" i="17" a="1"/>
  <c r="M554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/>
  <c r="M67" i="17" a="1"/>
  <c r="M67" i="17" s="1"/>
  <c r="M114" i="17" a="1"/>
  <c r="M114" i="17" s="1"/>
  <c r="M131" i="17" a="1"/>
  <c r="M131" i="17" s="1"/>
  <c r="M148" i="17" a="1"/>
  <c r="M148" i="17"/>
  <c r="M165" i="17" a="1"/>
  <c r="M165" i="17" s="1"/>
  <c r="M202" i="17" a="1"/>
  <c r="M202" i="17" s="1"/>
  <c r="M203" i="17" a="1"/>
  <c r="M203" i="17" s="1"/>
  <c r="M204" i="17" a="1"/>
  <c r="M204" i="17" s="1"/>
  <c r="M233" i="17" a="1"/>
  <c r="M233" i="17" s="1"/>
  <c r="M250" i="17" a="1"/>
  <c r="M250" i="17" s="1"/>
  <c r="M267" i="17" a="1"/>
  <c r="M267" i="17" s="1"/>
  <c r="M284" i="17" a="1"/>
  <c r="M284" i="17" s="1"/>
  <c r="M301" i="17" a="1"/>
  <c r="M301" i="17" s="1"/>
  <c r="M318" i="17" a="1"/>
  <c r="M318" i="17" s="1"/>
  <c r="M335" i="17" a="1"/>
  <c r="M335" i="17" s="1"/>
  <c r="M352" i="17" a="1"/>
  <c r="M352" i="17" s="1"/>
  <c r="M369" i="17" a="1"/>
  <c r="M369" i="17" s="1"/>
  <c r="M454" i="17" a="1"/>
  <c r="M454" i="17" s="1"/>
  <c r="M471" i="17" a="1"/>
  <c r="M471" i="17" s="1"/>
  <c r="M488" i="17" a="1"/>
  <c r="M488" i="17" s="1"/>
  <c r="M406" i="17" a="1"/>
  <c r="M406" i="17" s="1"/>
  <c r="M407" i="17" a="1"/>
  <c r="M407" i="17" s="1"/>
  <c r="M408" i="17" a="1"/>
  <c r="M408" i="17" s="1"/>
  <c r="M437" i="17" a="1"/>
  <c r="M437" i="17" s="1"/>
  <c r="M607" i="17" a="1"/>
  <c r="M607" i="17" s="1"/>
  <c r="M624" i="17" a="1"/>
  <c r="M624" i="17" s="1"/>
  <c r="M641" i="17" a="1"/>
  <c r="M641" i="17" s="1"/>
  <c r="M658" i="17" a="1"/>
  <c r="M658" i="17" s="1"/>
  <c r="M675" i="17" a="1"/>
  <c r="M675" i="17" s="1"/>
  <c r="M692" i="17" a="1"/>
  <c r="M692" i="17" s="1"/>
  <c r="M709" i="17" a="1"/>
  <c r="M709" i="17" s="1"/>
  <c r="M723" i="17" a="1"/>
  <c r="M723" i="17" s="1"/>
  <c r="M734" i="17" a="1"/>
  <c r="M734" i="17" s="1"/>
  <c r="M746" i="17" a="1"/>
  <c r="M746" i="17" s="1"/>
  <c r="M763" i="17" a="1"/>
  <c r="M763" i="17" s="1"/>
  <c r="M780" i="17" a="1"/>
  <c r="M780" i="17" s="1"/>
  <c r="M797" i="17" a="1"/>
  <c r="M797" i="17" s="1"/>
  <c r="M814" i="17" a="1"/>
  <c r="M814" i="17" s="1"/>
  <c r="M831" i="17" a="1"/>
  <c r="M831" i="17" s="1"/>
  <c r="M848" i="17" a="1"/>
  <c r="M848" i="17"/>
  <c r="M865" i="17" a="1"/>
  <c r="M865" i="17" s="1"/>
  <c r="M882" i="17" a="1"/>
  <c r="M882" i="17" s="1"/>
  <c r="M899" i="17" a="1"/>
  <c r="M899" i="17" s="1"/>
  <c r="M916" i="17" a="1"/>
  <c r="M916" i="17" s="1"/>
  <c r="M933" i="17" a="1"/>
  <c r="M933" i="17" s="1"/>
  <c r="M950" i="17" a="1"/>
  <c r="M950" i="17" s="1"/>
  <c r="M555" i="17" a="1"/>
  <c r="M555" i="17" s="1"/>
  <c r="M556" i="17" a="1"/>
  <c r="M556" i="17" s="1"/>
  <c r="M557" i="17" a="1"/>
  <c r="M557" i="17" s="1"/>
  <c r="M558" i="17" a="1"/>
  <c r="M558" i="17" s="1"/>
  <c r="M559" i="17" a="1"/>
  <c r="M559" i="17" s="1"/>
  <c r="M560" i="17" a="1"/>
  <c r="M560" i="17" s="1"/>
  <c r="M68" i="17" a="1"/>
  <c r="M68" i="17" s="1"/>
  <c r="M69" i="17" a="1"/>
  <c r="M69" i="17" s="1"/>
  <c r="M70" i="17" a="1"/>
  <c r="M70" i="17" s="1"/>
  <c r="M71" i="17" a="1"/>
  <c r="M71" i="17"/>
  <c r="M72" i="17" a="1"/>
  <c r="M72" i="17" s="1"/>
  <c r="M73" i="17" a="1"/>
  <c r="M73" i="17" s="1"/>
  <c r="M115" i="17" a="1"/>
  <c r="M115" i="17" s="1"/>
  <c r="M132" i="17" a="1"/>
  <c r="M132" i="17" s="1"/>
  <c r="M149" i="17" a="1"/>
  <c r="M149" i="17" s="1"/>
  <c r="M166" i="17" a="1"/>
  <c r="M166" i="17" s="1"/>
  <c r="M205" i="17" a="1"/>
  <c r="M205" i="17" s="1"/>
  <c r="M206" i="17" a="1"/>
  <c r="M206" i="17"/>
  <c r="M207" i="17" a="1"/>
  <c r="M207" i="17" s="1"/>
  <c r="M234" i="17" a="1"/>
  <c r="M234" i="17" s="1"/>
  <c r="M251" i="17" a="1"/>
  <c r="M251" i="17" s="1"/>
  <c r="M268" i="17" a="1"/>
  <c r="M268" i="17" s="1"/>
  <c r="M285" i="17" a="1"/>
  <c r="M285" i="17" s="1"/>
  <c r="M302" i="17" a="1"/>
  <c r="M302" i="17" s="1"/>
  <c r="M319" i="17" a="1"/>
  <c r="M319" i="17" s="1"/>
  <c r="M336" i="17" a="1"/>
  <c r="M336" i="17"/>
  <c r="M353" i="17" a="1"/>
  <c r="M353" i="17" s="1"/>
  <c r="M370" i="17" a="1"/>
  <c r="M370" i="17" s="1"/>
  <c r="M455" i="17" a="1"/>
  <c r="M455" i="17" s="1"/>
  <c r="M472" i="17" a="1"/>
  <c r="M472" i="17" s="1"/>
  <c r="M489" i="17" a="1"/>
  <c r="M489" i="17" s="1"/>
  <c r="M409" i="17" a="1"/>
  <c r="M409" i="17" s="1"/>
  <c r="M410" i="17" a="1"/>
  <c r="M410" i="17" s="1"/>
  <c r="M411" i="17" a="1"/>
  <c r="M411" i="17" s="1"/>
  <c r="M438" i="17" a="1"/>
  <c r="M438" i="17" s="1"/>
  <c r="M608" i="17" a="1"/>
  <c r="M608" i="17" s="1"/>
  <c r="M625" i="17" a="1"/>
  <c r="M625" i="17" s="1"/>
  <c r="M642" i="17" a="1"/>
  <c r="M642" i="17"/>
  <c r="M659" i="17" a="1"/>
  <c r="M659" i="17" s="1"/>
  <c r="M676" i="17" a="1"/>
  <c r="M676" i="17" s="1"/>
  <c r="M693" i="17" a="1"/>
  <c r="M693" i="17" s="1"/>
  <c r="M710" i="17" a="1"/>
  <c r="M710" i="17"/>
  <c r="M724" i="17" a="1"/>
  <c r="M724" i="17" s="1"/>
  <c r="M747" i="17" a="1"/>
  <c r="M747" i="17" s="1"/>
  <c r="M764" i="17" a="1"/>
  <c r="M764" i="17" s="1"/>
  <c r="M781" i="17" a="1"/>
  <c r="M781" i="17" s="1"/>
  <c r="M798" i="17" a="1"/>
  <c r="M798" i="17" s="1"/>
  <c r="M815" i="17" a="1"/>
  <c r="M815" i="17" s="1"/>
  <c r="M832" i="17" a="1"/>
  <c r="M832" i="17" s="1"/>
  <c r="M849" i="17" a="1"/>
  <c r="M849" i="17" s="1"/>
  <c r="M866" i="17" a="1"/>
  <c r="M866" i="17" s="1"/>
  <c r="M883" i="17" a="1"/>
  <c r="M883" i="17" s="1"/>
  <c r="M900" i="17" a="1"/>
  <c r="M900" i="17" s="1"/>
  <c r="M917" i="17" a="1"/>
  <c r="M917" i="17" s="1"/>
  <c r="M934" i="17" a="1"/>
  <c r="M934" i="17" s="1"/>
  <c r="M951" i="17" a="1"/>
  <c r="M951" i="17" s="1"/>
  <c r="M561" i="17" a="1"/>
  <c r="M561" i="17" s="1"/>
  <c r="M562" i="17" a="1"/>
  <c r="M562" i="17"/>
  <c r="M563" i="17" a="1"/>
  <c r="M563" i="17" s="1"/>
  <c r="M564" i="17" a="1"/>
  <c r="M564" i="17" s="1"/>
  <c r="M565" i="17" a="1"/>
  <c r="M565" i="17" s="1"/>
  <c r="M566" i="17" a="1"/>
  <c r="M566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16" i="17" a="1"/>
  <c r="M116" i="17" s="1"/>
  <c r="M133" i="17" a="1"/>
  <c r="M133" i="17" s="1"/>
  <c r="M150" i="17" a="1"/>
  <c r="M150" i="17" s="1"/>
  <c r="M167" i="17" a="1"/>
  <c r="M167" i="17" s="1"/>
  <c r="M208" i="17" a="1"/>
  <c r="M208" i="17" s="1"/>
  <c r="M209" i="17" a="1"/>
  <c r="M209" i="17"/>
  <c r="M210" i="17" a="1"/>
  <c r="M210" i="17" s="1"/>
  <c r="M235" i="17" a="1"/>
  <c r="M235" i="17" s="1"/>
  <c r="M252" i="17" a="1"/>
  <c r="M252" i="17" s="1"/>
  <c r="M269" i="17" a="1"/>
  <c r="M269" i="17" s="1"/>
  <c r="M286" i="17" a="1"/>
  <c r="M286" i="17" s="1"/>
  <c r="M303" i="17" a="1"/>
  <c r="M303" i="17" s="1"/>
  <c r="M320" i="17" a="1"/>
  <c r="M320" i="17" s="1"/>
  <c r="M337" i="17" a="1"/>
  <c r="M337" i="17" s="1"/>
  <c r="M354" i="17" a="1"/>
  <c r="M354" i="17" s="1"/>
  <c r="M371" i="17" a="1"/>
  <c r="M371" i="17" s="1"/>
  <c r="M456" i="17" a="1"/>
  <c r="M456" i="17" s="1"/>
  <c r="M473" i="17" a="1"/>
  <c r="M473" i="17" s="1"/>
  <c r="M490" i="17" a="1"/>
  <c r="M490" i="17" s="1"/>
  <c r="M412" i="17" a="1"/>
  <c r="M412" i="17" s="1"/>
  <c r="M413" i="17" a="1"/>
  <c r="M413" i="17" s="1"/>
  <c r="M414" i="17" a="1"/>
  <c r="M414" i="17" s="1"/>
  <c r="M439" i="17" a="1"/>
  <c r="M439" i="17" s="1"/>
  <c r="M609" i="17" a="1"/>
  <c r="M609" i="17" s="1"/>
  <c r="M626" i="17" a="1"/>
  <c r="M626" i="17" s="1"/>
  <c r="M643" i="17" a="1"/>
  <c r="M643" i="17" s="1"/>
  <c r="M660" i="17" a="1"/>
  <c r="M660" i="17" s="1"/>
  <c r="M677" i="17" a="1"/>
  <c r="M677" i="17" s="1"/>
  <c r="M694" i="17" a="1"/>
  <c r="M694" i="17" s="1"/>
  <c r="M711" i="17" a="1"/>
  <c r="M711" i="17" s="1"/>
  <c r="M748" i="17" a="1"/>
  <c r="M748" i="17" s="1"/>
  <c r="M765" i="17" a="1"/>
  <c r="M765" i="17"/>
  <c r="M782" i="17" a="1"/>
  <c r="M782" i="17" s="1"/>
  <c r="M799" i="17" a="1"/>
  <c r="M799" i="17" s="1"/>
  <c r="M816" i="17" a="1"/>
  <c r="M816" i="17" s="1"/>
  <c r="M833" i="17" a="1"/>
  <c r="M833" i="17" s="1"/>
  <c r="M850" i="17" a="1"/>
  <c r="M850" i="17" s="1"/>
  <c r="M867" i="17" a="1"/>
  <c r="M867" i="17" s="1"/>
  <c r="M884" i="17" a="1"/>
  <c r="M884" i="17" s="1"/>
  <c r="M901" i="17" a="1"/>
  <c r="M901" i="17"/>
  <c r="M918" i="17" a="1"/>
  <c r="M918" i="17"/>
  <c r="M935" i="17" a="1"/>
  <c r="M935" i="17" s="1"/>
  <c r="M952" i="17" a="1"/>
  <c r="M952" i="17" s="1"/>
  <c r="M567" i="17" a="1"/>
  <c r="M567" i="17" s="1"/>
  <c r="M568" i="17" a="1"/>
  <c r="M568" i="17" s="1"/>
  <c r="M569" i="17" a="1"/>
  <c r="M569" i="17" s="1"/>
  <c r="M570" i="17" a="1"/>
  <c r="M570" i="17" s="1"/>
  <c r="M571" i="17" a="1"/>
  <c r="M571" i="17"/>
  <c r="M572" i="17" a="1"/>
  <c r="M572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17" i="17" a="1"/>
  <c r="M117" i="17" s="1"/>
  <c r="M134" i="17" a="1"/>
  <c r="M134" i="17" s="1"/>
  <c r="M151" i="17" a="1"/>
  <c r="M151" i="17"/>
  <c r="M168" i="17" a="1"/>
  <c r="M168" i="17" s="1"/>
  <c r="M211" i="17" a="1"/>
  <c r="M211" i="17" s="1"/>
  <c r="M212" i="17" a="1"/>
  <c r="M212" i="17" s="1"/>
  <c r="M213" i="17" a="1"/>
  <c r="M213" i="17" s="1"/>
  <c r="M236" i="17" a="1"/>
  <c r="M236" i="17" s="1"/>
  <c r="M253" i="17" a="1"/>
  <c r="M253" i="17" s="1"/>
  <c r="M270" i="17" a="1"/>
  <c r="M270" i="17" s="1"/>
  <c r="M287" i="17" a="1"/>
  <c r="M287" i="17"/>
  <c r="M304" i="17" a="1"/>
  <c r="M304" i="17" s="1"/>
  <c r="M321" i="17" a="1"/>
  <c r="M321" i="17" s="1"/>
  <c r="M338" i="17" a="1"/>
  <c r="M338" i="17" s="1"/>
  <c r="M355" i="17" a="1"/>
  <c r="M355" i="17" s="1"/>
  <c r="M372" i="17" a="1"/>
  <c r="M372" i="17" s="1"/>
  <c r="M457" i="17" a="1"/>
  <c r="M457" i="17" s="1"/>
  <c r="M474" i="17" a="1"/>
  <c r="M474" i="17"/>
  <c r="M491" i="17" a="1"/>
  <c r="M491" i="17" s="1"/>
  <c r="M415" i="17" a="1"/>
  <c r="M415" i="17" s="1"/>
  <c r="M416" i="17" a="1"/>
  <c r="M416" i="17" s="1"/>
  <c r="M417" i="17" a="1"/>
  <c r="M417" i="17" s="1"/>
  <c r="M440" i="17" a="1"/>
  <c r="M440" i="17" s="1"/>
  <c r="M610" i="17" a="1"/>
  <c r="M610" i="17" s="1"/>
  <c r="M627" i="17" a="1"/>
  <c r="M627" i="17"/>
  <c r="M644" i="17" a="1"/>
  <c r="M644" i="17" s="1"/>
  <c r="M661" i="17" a="1"/>
  <c r="M661" i="17" s="1"/>
  <c r="M678" i="17" a="1"/>
  <c r="M678" i="17" s="1"/>
  <c r="M695" i="17" a="1"/>
  <c r="M695" i="17" s="1"/>
  <c r="M712" i="17" a="1"/>
  <c r="M712" i="17" s="1"/>
  <c r="M725" i="17" a="1"/>
  <c r="M725" i="17" s="1"/>
  <c r="M749" i="17" a="1"/>
  <c r="M749" i="17" s="1"/>
  <c r="M766" i="17" a="1"/>
  <c r="M766" i="17" s="1"/>
  <c r="M783" i="17" a="1"/>
  <c r="M783" i="17" s="1"/>
  <c r="M800" i="17" a="1"/>
  <c r="M800" i="17" s="1"/>
  <c r="M817" i="17" a="1"/>
  <c r="M817" i="17" s="1"/>
  <c r="M834" i="17" a="1"/>
  <c r="M834" i="17" s="1"/>
  <c r="M851" i="17" a="1"/>
  <c r="M851" i="17" s="1"/>
  <c r="M868" i="17" a="1"/>
  <c r="M868" i="17" s="1"/>
  <c r="M885" i="17" a="1"/>
  <c r="M885" i="17" s="1"/>
  <c r="M902" i="17" a="1"/>
  <c r="M902" i="17"/>
  <c r="M919" i="17" a="1"/>
  <c r="M919" i="17" s="1"/>
  <c r="M936" i="17" a="1"/>
  <c r="M936" i="17"/>
  <c r="M953" i="17" a="1"/>
  <c r="M953" i="17" s="1"/>
  <c r="M573" i="17" a="1"/>
  <c r="M573" i="17" s="1"/>
  <c r="M574" i="17" a="1"/>
  <c r="M574" i="17" s="1"/>
  <c r="M575" i="17" a="1"/>
  <c r="M575" i="17" s="1"/>
  <c r="M576" i="17" a="1"/>
  <c r="M576" i="17" s="1"/>
  <c r="M577" i="17" a="1"/>
  <c r="M577" i="17" s="1"/>
  <c r="M578" i="17" a="1"/>
  <c r="M578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18" i="17" a="1"/>
  <c r="M118" i="17" s="1"/>
  <c r="M135" i="17" a="1"/>
  <c r="M135" i="17" s="1"/>
  <c r="M152" i="17" a="1"/>
  <c r="M152" i="17" s="1"/>
  <c r="M169" i="17" a="1"/>
  <c r="M169" i="17" s="1"/>
  <c r="M214" i="17" a="1"/>
  <c r="M214" i="17" s="1"/>
  <c r="M215" i="17" a="1"/>
  <c r="M215" i="17" s="1"/>
  <c r="M216" i="17" a="1"/>
  <c r="M216" i="17" s="1"/>
  <c r="M237" i="17" a="1"/>
  <c r="M237" i="17"/>
  <c r="M254" i="17" a="1"/>
  <c r="M254" i="17" s="1"/>
  <c r="M271" i="17" a="1"/>
  <c r="M271" i="17" s="1"/>
  <c r="M288" i="17" a="1"/>
  <c r="M288" i="17" s="1"/>
  <c r="M305" i="17" a="1"/>
  <c r="M305" i="17"/>
  <c r="M322" i="17" a="1"/>
  <c r="M322" i="17" s="1"/>
  <c r="M339" i="17" a="1"/>
  <c r="M339" i="17"/>
  <c r="M356" i="17" a="1"/>
  <c r="M356" i="17" s="1"/>
  <c r="M373" i="17" a="1"/>
  <c r="M373" i="17" s="1"/>
  <c r="M458" i="17" a="1"/>
  <c r="M458" i="17" s="1"/>
  <c r="M475" i="17" a="1"/>
  <c r="M475" i="17" s="1"/>
  <c r="M492" i="17" a="1"/>
  <c r="M492" i="17" s="1"/>
  <c r="M418" i="17" a="1"/>
  <c r="M418" i="17"/>
  <c r="M419" i="17" a="1"/>
  <c r="M419" i="17" s="1"/>
  <c r="M420" i="17" a="1"/>
  <c r="M420" i="17" s="1"/>
  <c r="M441" i="17" a="1"/>
  <c r="M441" i="17" s="1"/>
  <c r="M611" i="17" a="1"/>
  <c r="M611" i="17"/>
  <c r="M628" i="17" a="1"/>
  <c r="M628" i="17" s="1"/>
  <c r="M645" i="17" a="1"/>
  <c r="M645" i="17" s="1"/>
  <c r="M662" i="17" a="1"/>
  <c r="M662" i="17" s="1"/>
  <c r="M679" i="17" a="1"/>
  <c r="M679" i="17"/>
  <c r="M696" i="17" a="1"/>
  <c r="M696" i="17" s="1"/>
  <c r="M713" i="17" a="1"/>
  <c r="M713" i="17"/>
  <c r="M726" i="17" a="1"/>
  <c r="M726" i="17" s="1"/>
  <c r="M735" i="17" a="1"/>
  <c r="M735" i="17"/>
  <c r="M750" i="17" a="1"/>
  <c r="M750" i="17" s="1"/>
  <c r="M767" i="17" a="1"/>
  <c r="M767" i="17" s="1"/>
  <c r="M784" i="17" a="1"/>
  <c r="M784" i="17" s="1"/>
  <c r="M801" i="17" a="1"/>
  <c r="M801" i="17"/>
  <c r="M818" i="17" a="1"/>
  <c r="M818" i="17" s="1"/>
  <c r="M835" i="17" a="1"/>
  <c r="M835" i="17" s="1"/>
  <c r="M852" i="17" a="1"/>
  <c r="M852" i="17" s="1"/>
  <c r="M869" i="17" a="1"/>
  <c r="M869" i="17"/>
  <c r="M886" i="17" a="1"/>
  <c r="M886" i="17" s="1"/>
  <c r="M903" i="17" a="1"/>
  <c r="M903" i="17" s="1"/>
  <c r="M920" i="17" a="1"/>
  <c r="M920" i="17" s="1"/>
  <c r="M937" i="17" a="1"/>
  <c r="M937" i="17"/>
  <c r="M954" i="17" a="1"/>
  <c r="M954" i="17" s="1"/>
  <c r="M579" i="17" a="1"/>
  <c r="M579" i="17"/>
  <c r="M580" i="17" a="1"/>
  <c r="M580" i="17" s="1"/>
  <c r="M581" i="17" a="1"/>
  <c r="M581" i="17"/>
  <c r="M582" i="17" a="1"/>
  <c r="M582" i="17" s="1"/>
  <c r="M583" i="17" a="1"/>
  <c r="M583" i="17" s="1"/>
  <c r="M584" i="17" a="1"/>
  <c r="M584" i="17" s="1"/>
  <c r="M92" i="17" a="1"/>
  <c r="M92" i="17"/>
  <c r="M93" i="17" a="1"/>
  <c r="M93" i="17" s="1"/>
  <c r="M94" i="17" a="1"/>
  <c r="M94" i="17" s="1"/>
  <c r="M95" i="17" a="1"/>
  <c r="M95" i="17" s="1"/>
  <c r="M96" i="17" a="1"/>
  <c r="M96" i="17"/>
  <c r="M97" i="17" a="1"/>
  <c r="M97" i="17" s="1"/>
  <c r="M119" i="17" a="1"/>
  <c r="M119" i="17" s="1"/>
  <c r="M136" i="17" a="1"/>
  <c r="M136" i="17" s="1"/>
  <c r="M153" i="17" a="1"/>
  <c r="M153" i="17" s="1"/>
  <c r="M170" i="17" a="1"/>
  <c r="M170" i="17" s="1"/>
  <c r="M217" i="17" a="1"/>
  <c r="M217" i="17"/>
  <c r="M218" i="17" a="1"/>
  <c r="M218" i="17" s="1"/>
  <c r="M219" i="17" a="1"/>
  <c r="M219" i="17"/>
  <c r="M238" i="17" a="1"/>
  <c r="M238" i="17" s="1"/>
  <c r="M255" i="17" a="1"/>
  <c r="M255" i="17" s="1"/>
  <c r="M272" i="17" a="1"/>
  <c r="M272" i="17" s="1"/>
  <c r="M289" i="17" a="1"/>
  <c r="M289" i="17" s="1"/>
  <c r="M306" i="17" a="1"/>
  <c r="M306" i="17" s="1"/>
  <c r="M323" i="17" a="1"/>
  <c r="M323" i="17" s="1"/>
  <c r="M340" i="17" a="1"/>
  <c r="M340" i="17" s="1"/>
  <c r="M357" i="17" a="1"/>
  <c r="M357" i="17" s="1"/>
  <c r="M374" i="17" a="1"/>
  <c r="M374" i="17" s="1"/>
  <c r="M459" i="17" a="1"/>
  <c r="M459" i="17" s="1"/>
  <c r="M476" i="17" a="1"/>
  <c r="M476" i="17" s="1"/>
  <c r="M493" i="17" a="1"/>
  <c r="M493" i="17" s="1"/>
  <c r="M421" i="17" a="1"/>
  <c r="M421" i="17" s="1"/>
  <c r="M422" i="17" a="1"/>
  <c r="M422" i="17" s="1"/>
  <c r="M423" i="17" a="1"/>
  <c r="M423" i="17" s="1"/>
  <c r="M442" i="17" a="1"/>
  <c r="M442" i="17" s="1"/>
  <c r="M612" i="17" a="1"/>
  <c r="M612" i="17" s="1"/>
  <c r="M629" i="17" a="1"/>
  <c r="M629" i="17" s="1"/>
  <c r="M646" i="17" a="1"/>
  <c r="M646" i="17" s="1"/>
  <c r="M663" i="17" a="1"/>
  <c r="M663" i="17" s="1"/>
  <c r="M680" i="17" a="1"/>
  <c r="M680" i="17" s="1"/>
  <c r="M697" i="17" a="1"/>
  <c r="M697" i="17" s="1"/>
  <c r="M714" i="17" a="1"/>
  <c r="M714" i="17" s="1"/>
  <c r="M727" i="17" a="1"/>
  <c r="M727" i="17" s="1"/>
  <c r="M751" i="17" a="1"/>
  <c r="M751" i="17" s="1"/>
  <c r="M768" i="17" a="1"/>
  <c r="M768" i="17" s="1"/>
  <c r="M785" i="17" a="1"/>
  <c r="M785" i="17" s="1"/>
  <c r="M802" i="17" a="1"/>
  <c r="M802" i="17" s="1"/>
  <c r="M819" i="17" a="1"/>
  <c r="M819" i="17" s="1"/>
  <c r="M836" i="17" a="1"/>
  <c r="M836" i="17" s="1"/>
  <c r="M853" i="17" a="1"/>
  <c r="M853" i="17" s="1"/>
  <c r="M870" i="17" a="1"/>
  <c r="M870" i="17" s="1"/>
  <c r="M887" i="17" a="1"/>
  <c r="M887" i="17" s="1"/>
  <c r="M904" i="17" a="1"/>
  <c r="M904" i="17" s="1"/>
  <c r="M921" i="17" a="1"/>
  <c r="M921" i="17" s="1"/>
  <c r="M938" i="17" a="1"/>
  <c r="M938" i="17" s="1"/>
  <c r="M955" i="17" a="1"/>
  <c r="M955" i="17" s="1"/>
  <c r="M585" i="17" a="1"/>
  <c r="M585" i="17" s="1"/>
  <c r="M586" i="17" a="1"/>
  <c r="M586" i="17" s="1"/>
  <c r="M587" i="17" a="1"/>
  <c r="M587" i="17" s="1"/>
  <c r="M588" i="17" a="1"/>
  <c r="M588" i="17" s="1"/>
  <c r="M589" i="17" a="1"/>
  <c r="M589" i="17" s="1"/>
  <c r="M590" i="17" a="1"/>
  <c r="M590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20" i="17" a="1"/>
  <c r="M120" i="17" s="1"/>
  <c r="M137" i="17" a="1"/>
  <c r="M137" i="17" s="1"/>
  <c r="M154" i="17" a="1"/>
  <c r="M154" i="17" s="1"/>
  <c r="M171" i="17" a="1"/>
  <c r="M171" i="17" s="1"/>
  <c r="M220" i="17" a="1"/>
  <c r="M220" i="17" s="1"/>
  <c r="M221" i="17" a="1"/>
  <c r="M221" i="17" s="1"/>
  <c r="M222" i="17" a="1"/>
  <c r="M222" i="17" s="1"/>
  <c r="M239" i="17" a="1"/>
  <c r="M239" i="17" s="1"/>
  <c r="M256" i="17" a="1"/>
  <c r="M256" i="17" s="1"/>
  <c r="M273" i="17" a="1"/>
  <c r="M273" i="17" s="1"/>
  <c r="M290" i="17" a="1"/>
  <c r="M290" i="17" s="1"/>
  <c r="M307" i="17" a="1"/>
  <c r="M307" i="17" s="1"/>
  <c r="M324" i="17" a="1"/>
  <c r="M324" i="17" s="1"/>
  <c r="M341" i="17" a="1"/>
  <c r="M341" i="17" s="1"/>
  <c r="M358" i="17" a="1"/>
  <c r="M358" i="17" s="1"/>
  <c r="M375" i="17" a="1"/>
  <c r="M375" i="17" s="1"/>
  <c r="M460" i="17" a="1"/>
  <c r="M460" i="17" s="1"/>
  <c r="M477" i="17" a="1"/>
  <c r="M477" i="17" s="1"/>
  <c r="M494" i="17" a="1"/>
  <c r="M494" i="17" s="1"/>
  <c r="M424" i="17" a="1"/>
  <c r="M424" i="17" s="1"/>
  <c r="M425" i="17" a="1"/>
  <c r="M425" i="17" s="1"/>
  <c r="M426" i="17" a="1"/>
  <c r="M426" i="17" s="1"/>
  <c r="M443" i="17" a="1"/>
  <c r="M443" i="17" s="1"/>
  <c r="M613" i="17" a="1"/>
  <c r="M613" i="17" s="1"/>
  <c r="M630" i="17" a="1"/>
  <c r="M630" i="17" s="1"/>
  <c r="M647" i="17" a="1"/>
  <c r="M647" i="17" s="1"/>
  <c r="M664" i="17" a="1"/>
  <c r="M664" i="17" s="1"/>
  <c r="M681" i="17" a="1"/>
  <c r="M681" i="17" s="1"/>
  <c r="M698" i="17" a="1"/>
  <c r="M698" i="17" s="1"/>
  <c r="M715" i="17" a="1"/>
  <c r="M715" i="17" s="1"/>
  <c r="M728" i="17" a="1"/>
  <c r="M728" i="17" s="1"/>
  <c r="M752" i="17" a="1"/>
  <c r="M752" i="17" s="1"/>
  <c r="M769" i="17" a="1"/>
  <c r="M769" i="17" s="1"/>
  <c r="M786" i="17" a="1"/>
  <c r="M786" i="17" s="1"/>
  <c r="M803" i="17" a="1"/>
  <c r="M803" i="17" s="1"/>
  <c r="M820" i="17" a="1"/>
  <c r="M820" i="17" s="1"/>
  <c r="M837" i="17" a="1"/>
  <c r="M837" i="17" s="1"/>
  <c r="M854" i="17" a="1"/>
  <c r="M854" i="17" s="1"/>
  <c r="M871" i="17" a="1"/>
  <c r="M871" i="17" s="1"/>
  <c r="M888" i="17" a="1"/>
  <c r="M888" i="17" s="1"/>
  <c r="M905" i="17" a="1"/>
  <c r="M905" i="17" s="1"/>
  <c r="M922" i="17" a="1"/>
  <c r="M922" i="17" s="1"/>
  <c r="M939" i="17" a="1"/>
  <c r="M939" i="17" s="1"/>
  <c r="M956" i="17" a="1"/>
  <c r="M956" i="17" s="1"/>
  <c r="M591" i="17" a="1"/>
  <c r="M591" i="17" s="1"/>
  <c r="M592" i="17" a="1"/>
  <c r="M592" i="17" s="1"/>
  <c r="M593" i="17" a="1"/>
  <c r="M593" i="17" s="1"/>
  <c r="M594" i="17" a="1"/>
  <c r="M594" i="17" s="1"/>
  <c r="M595" i="17" a="1"/>
  <c r="M595" i="17" s="1"/>
  <c r="M596" i="17" a="1"/>
  <c r="M596" i="17" s="1"/>
  <c r="N4" i="17" a="1"/>
  <c r="N4" i="17" s="1"/>
  <c r="N172" i="17" a="1"/>
  <c r="N172" i="17" s="1"/>
  <c r="N308" i="17" a="1"/>
  <c r="N308" i="17" s="1"/>
  <c r="N377" i="17" a="1"/>
  <c r="N377" i="17" s="1"/>
  <c r="N682" i="17" a="1"/>
  <c r="N682" i="17" s="1"/>
  <c r="N804" i="17" a="1"/>
  <c r="N804" i="17" s="1"/>
  <c r="N821" i="17" a="1"/>
  <c r="N821" i="17" s="1"/>
  <c r="N940" i="17" a="1"/>
  <c r="N940" i="17" s="1"/>
  <c r="N495" i="17" a="1"/>
  <c r="N495" i="17" s="1"/>
  <c r="N9" i="17" a="1"/>
  <c r="N9" i="17" s="1"/>
  <c r="N10" i="17" a="1"/>
  <c r="N10" i="17" s="1"/>
  <c r="N11" i="17" a="1"/>
  <c r="N11" i="17" s="1"/>
  <c r="N139" i="17" a="1"/>
  <c r="N139" i="17" s="1"/>
  <c r="N156" i="17" a="1"/>
  <c r="N156" i="17" s="1"/>
  <c r="N175" i="17" a="1"/>
  <c r="N175" i="17" s="1"/>
  <c r="N176" i="17" a="1"/>
  <c r="N176" i="17" s="1"/>
  <c r="N177" i="17" a="1"/>
  <c r="N177" i="17" s="1"/>
  <c r="N224" i="17" a="1"/>
  <c r="N224" i="17" s="1"/>
  <c r="N275" i="17" a="1"/>
  <c r="N275" i="17" s="1"/>
  <c r="N292" i="17" a="1"/>
  <c r="N292" i="17" s="1"/>
  <c r="N309" i="17" a="1"/>
  <c r="N309" i="17" s="1"/>
  <c r="N326" i="17" a="1"/>
  <c r="N326" i="17" s="1"/>
  <c r="N343" i="17" a="1"/>
  <c r="N343" i="17" s="1"/>
  <c r="N360" i="17" a="1"/>
  <c r="N360" i="17" s="1"/>
  <c r="N479" i="17" a="1"/>
  <c r="N479" i="17" s="1"/>
  <c r="N379" i="17" a="1"/>
  <c r="N379" i="17" s="1"/>
  <c r="N380" i="17" a="1"/>
  <c r="N380" i="17" s="1"/>
  <c r="N381" i="17" a="1"/>
  <c r="N381" i="17" s="1"/>
  <c r="N428" i="17" a="1"/>
  <c r="N428" i="17" s="1"/>
  <c r="N598" i="17" a="1"/>
  <c r="N598" i="17" s="1"/>
  <c r="N649" i="17" a="1"/>
  <c r="N649" i="17" s="1"/>
  <c r="N666" i="17" a="1"/>
  <c r="N666" i="17" s="1"/>
  <c r="N683" i="17" a="1"/>
  <c r="N683" i="17" s="1"/>
  <c r="N700" i="17" a="1"/>
  <c r="N700" i="17" s="1"/>
  <c r="N716" i="17" a="1"/>
  <c r="N716" i="17" s="1"/>
  <c r="N737" i="17" a="1"/>
  <c r="N737" i="17" s="1"/>
  <c r="N788" i="17" a="1"/>
  <c r="N788" i="17" s="1"/>
  <c r="N805" i="17" a="1"/>
  <c r="N805" i="17" s="1"/>
  <c r="N822" i="17" a="1"/>
  <c r="N822" i="17" s="1"/>
  <c r="N839" i="17" a="1"/>
  <c r="N839" i="17" s="1"/>
  <c r="N856" i="17" a="1"/>
  <c r="N856" i="17" s="1"/>
  <c r="N873" i="17" a="1"/>
  <c r="N873" i="17" s="1"/>
  <c r="N907" i="17" a="1"/>
  <c r="N907" i="17" s="1"/>
  <c r="N924" i="17" a="1"/>
  <c r="N924" i="17" s="1"/>
  <c r="N941" i="17" a="1"/>
  <c r="N941" i="17" s="1"/>
  <c r="N501" i="17" a="1"/>
  <c r="N501" i="17" s="1"/>
  <c r="N502" i="17" a="1"/>
  <c r="N502" i="17" s="1"/>
  <c r="N503" i="17" a="1"/>
  <c r="N503" i="17" s="1"/>
  <c r="N506" i="17" a="1"/>
  <c r="N506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23" i="17" a="1"/>
  <c r="N123" i="17" s="1"/>
  <c r="N140" i="17" a="1"/>
  <c r="N140" i="17" s="1"/>
  <c r="N157" i="17" a="1"/>
  <c r="N157" i="17" s="1"/>
  <c r="N178" i="17" a="1"/>
  <c r="N178" i="17" s="1"/>
  <c r="N179" i="17" a="1"/>
  <c r="N179" i="17" s="1"/>
  <c r="N180" i="17" a="1"/>
  <c r="N180" i="17" s="1"/>
  <c r="N259" i="17" a="1"/>
  <c r="N259" i="17" s="1"/>
  <c r="N276" i="17" a="1"/>
  <c r="N276" i="17" s="1"/>
  <c r="N293" i="17" a="1"/>
  <c r="N293" i="17" s="1"/>
  <c r="N310" i="17" a="1"/>
  <c r="N310" i="17" s="1"/>
  <c r="N327" i="17" a="1"/>
  <c r="N327" i="17" s="1"/>
  <c r="N344" i="17" a="1"/>
  <c r="N344" i="17" s="1"/>
  <c r="N463" i="17" a="1"/>
  <c r="N463" i="17" s="1"/>
  <c r="N480" i="17" a="1"/>
  <c r="N480" i="17" s="1"/>
  <c r="N382" i="17" a="1"/>
  <c r="N382" i="17" s="1"/>
  <c r="N383" i="17" a="1"/>
  <c r="N383" i="17" s="1"/>
  <c r="N384" i="17" a="1"/>
  <c r="N384" i="17" s="1"/>
  <c r="N429" i="17" a="1"/>
  <c r="N429" i="17" s="1"/>
  <c r="N633" i="17" a="1"/>
  <c r="N633" i="17" s="1"/>
  <c r="N650" i="17" a="1"/>
  <c r="N650" i="17" s="1"/>
  <c r="N667" i="17" a="1"/>
  <c r="N667" i="17" s="1"/>
  <c r="N684" i="17" a="1"/>
  <c r="N684" i="17" s="1"/>
  <c r="N701" i="17" a="1"/>
  <c r="N701" i="17" s="1"/>
  <c r="N717" i="17" a="1"/>
  <c r="N717" i="17" s="1"/>
  <c r="N738" i="17" a="1"/>
  <c r="N738" i="17" s="1"/>
  <c r="N755" i="17" a="1"/>
  <c r="N755" i="17" s="1"/>
  <c r="N772" i="17" a="1"/>
  <c r="N772" i="17" s="1"/>
  <c r="N789" i="17" a="1"/>
  <c r="N789" i="17" s="1"/>
  <c r="N806" i="17" a="1"/>
  <c r="N806" i="17" s="1"/>
  <c r="N823" i="17" a="1"/>
  <c r="N823" i="17" s="1"/>
  <c r="N840" i="17" a="1"/>
  <c r="N840" i="17" s="1"/>
  <c r="N857" i="17" a="1"/>
  <c r="N857" i="17" s="1"/>
  <c r="N874" i="17" a="1"/>
  <c r="N874" i="17" s="1"/>
  <c r="N891" i="17" a="1"/>
  <c r="N891" i="17" s="1"/>
  <c r="N908" i="17" a="1"/>
  <c r="N908" i="17" s="1"/>
  <c r="N925" i="17" a="1"/>
  <c r="N925" i="17" s="1"/>
  <c r="N942" i="17" a="1"/>
  <c r="N942" i="17" s="1"/>
  <c r="N507" i="17" a="1"/>
  <c r="N507" i="17" s="1"/>
  <c r="N508" i="17" a="1"/>
  <c r="N508" i="17" s="1"/>
  <c r="N509" i="17" a="1"/>
  <c r="N509" i="17"/>
  <c r="N510" i="17" a="1"/>
  <c r="N510" i="17"/>
  <c r="N511" i="17" a="1"/>
  <c r="N511" i="17" s="1"/>
  <c r="N512" i="17" a="1"/>
  <c r="N512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107" i="17" a="1"/>
  <c r="N107" i="17" s="1"/>
  <c r="N124" i="17" a="1"/>
  <c r="N124" i="17" s="1"/>
  <c r="N141" i="17" a="1"/>
  <c r="N141" i="17" s="1"/>
  <c r="N158" i="17" a="1"/>
  <c r="N158" i="17" s="1"/>
  <c r="N181" i="17" a="1"/>
  <c r="N181" i="17" s="1"/>
  <c r="N182" i="17" a="1"/>
  <c r="N182" i="17" s="1"/>
  <c r="N183" i="17" a="1"/>
  <c r="N183" i="17" s="1"/>
  <c r="N226" i="17" a="1"/>
  <c r="N226" i="17" s="1"/>
  <c r="N243" i="17" a="1"/>
  <c r="N243" i="17" s="1"/>
  <c r="N260" i="17" a="1"/>
  <c r="N260" i="17" s="1"/>
  <c r="N277" i="17" a="1"/>
  <c r="N277" i="17" s="1"/>
  <c r="N294" i="17" a="1"/>
  <c r="N294" i="17" s="1"/>
  <c r="N311" i="17" a="1"/>
  <c r="N311" i="17" s="1"/>
  <c r="N328" i="17" a="1"/>
  <c r="N328" i="17" s="1"/>
  <c r="N345" i="17" a="1"/>
  <c r="N345" i="17" s="1"/>
  <c r="N362" i="17" a="1"/>
  <c r="N362" i="17" s="1"/>
  <c r="N447" i="17" a="1"/>
  <c r="N447" i="17" s="1"/>
  <c r="N464" i="17" a="1"/>
  <c r="N464" i="17" s="1"/>
  <c r="N481" i="17" a="1"/>
  <c r="N481" i="17" s="1"/>
  <c r="N385" i="17" a="1"/>
  <c r="N385" i="17" s="1"/>
  <c r="N386" i="17" a="1"/>
  <c r="N386" i="17" s="1"/>
  <c r="N387" i="17" a="1"/>
  <c r="N387" i="17" s="1"/>
  <c r="N430" i="17" a="1"/>
  <c r="N430" i="17" s="1"/>
  <c r="N600" i="17" a="1"/>
  <c r="N600" i="17"/>
  <c r="N617" i="17" a="1"/>
  <c r="N617" i="17" s="1"/>
  <c r="N634" i="17" a="1"/>
  <c r="N634" i="17" s="1"/>
  <c r="N651" i="17" a="1"/>
  <c r="N651" i="17" s="1"/>
  <c r="N668" i="17" a="1"/>
  <c r="N668" i="17" s="1"/>
  <c r="N685" i="17" a="1"/>
  <c r="N685" i="17" s="1"/>
  <c r="N702" i="17" a="1"/>
  <c r="N702" i="17" s="1"/>
  <c r="N718" i="17" a="1"/>
  <c r="N718" i="17"/>
  <c r="N739" i="17" a="1"/>
  <c r="N739" i="17" s="1"/>
  <c r="N756" i="17" a="1"/>
  <c r="N756" i="17" s="1"/>
  <c r="N773" i="17" a="1"/>
  <c r="N773" i="17" s="1"/>
  <c r="N790" i="17" a="1"/>
  <c r="N790" i="17" s="1"/>
  <c r="N807" i="17" a="1"/>
  <c r="N807" i="17" s="1"/>
  <c r="N824" i="17" a="1"/>
  <c r="N824" i="17" s="1"/>
  <c r="N841" i="17" a="1"/>
  <c r="N841" i="17" s="1"/>
  <c r="N858" i="17" a="1"/>
  <c r="N858" i="17" s="1"/>
  <c r="N875" i="17" a="1"/>
  <c r="N875" i="17" s="1"/>
  <c r="N892" i="17" a="1"/>
  <c r="N892" i="17" s="1"/>
  <c r="N909" i="17" a="1"/>
  <c r="N909" i="17" s="1"/>
  <c r="N926" i="17" a="1"/>
  <c r="N926" i="17" s="1"/>
  <c r="N943" i="17" a="1"/>
  <c r="N943" i="17" s="1"/>
  <c r="N513" i="17" a="1"/>
  <c r="N513" i="17" s="1"/>
  <c r="N514" i="17" a="1"/>
  <c r="N514" i="17" s="1"/>
  <c r="N515" i="17" a="1"/>
  <c r="N515" i="17" s="1"/>
  <c r="N516" i="17" a="1"/>
  <c r="N516" i="17" s="1"/>
  <c r="N517" i="17" a="1"/>
  <c r="N517" i="17" s="1"/>
  <c r="N518" i="17" a="1"/>
  <c r="N518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108" i="17" a="1"/>
  <c r="N108" i="17" s="1"/>
  <c r="N125" i="17" a="1"/>
  <c r="N125" i="17" s="1"/>
  <c r="N142" i="17" a="1"/>
  <c r="N142" i="17" s="1"/>
  <c r="N159" i="17" a="1"/>
  <c r="N159" i="17" s="1"/>
  <c r="N184" i="17" a="1"/>
  <c r="N184" i="17" s="1"/>
  <c r="N185" i="17" a="1"/>
  <c r="N185" i="17" s="1"/>
  <c r="N186" i="17" a="1"/>
  <c r="N186" i="17" s="1"/>
  <c r="N227" i="17" a="1"/>
  <c r="N227" i="17" s="1"/>
  <c r="N244" i="17" a="1"/>
  <c r="N244" i="17" s="1"/>
  <c r="N261" i="17" a="1"/>
  <c r="N261" i="17" s="1"/>
  <c r="N278" i="17" a="1"/>
  <c r="N278" i="17" s="1"/>
  <c r="N295" i="17" a="1"/>
  <c r="N295" i="17" s="1"/>
  <c r="N312" i="17" a="1"/>
  <c r="N312" i="17" s="1"/>
  <c r="N329" i="17" a="1"/>
  <c r="N329" i="17"/>
  <c r="N346" i="17" a="1"/>
  <c r="N346" i="17" s="1"/>
  <c r="N363" i="17" a="1"/>
  <c r="N363" i="17" s="1"/>
  <c r="N448" i="17" a="1"/>
  <c r="N448" i="17" s="1"/>
  <c r="N465" i="17" a="1"/>
  <c r="N465" i="17" s="1"/>
  <c r="N482" i="17" a="1"/>
  <c r="N482" i="17" s="1"/>
  <c r="N388" i="17" a="1"/>
  <c r="N388" i="17" s="1"/>
  <c r="N389" i="17" a="1"/>
  <c r="N389" i="17" s="1"/>
  <c r="N390" i="17" a="1"/>
  <c r="N390" i="17" s="1"/>
  <c r="N431" i="17" a="1"/>
  <c r="N431" i="17"/>
  <c r="N601" i="17" a="1"/>
  <c r="N601" i="17" s="1"/>
  <c r="N618" i="17" a="1"/>
  <c r="N618" i="17" s="1"/>
  <c r="N635" i="17" a="1"/>
  <c r="N635" i="17" s="1"/>
  <c r="N652" i="17" a="1"/>
  <c r="N652" i="17" s="1"/>
  <c r="N669" i="17" a="1"/>
  <c r="N669" i="17" s="1"/>
  <c r="N686" i="17" a="1"/>
  <c r="N686" i="17" s="1"/>
  <c r="N703" i="17" a="1"/>
  <c r="N703" i="17"/>
  <c r="N719" i="17" a="1"/>
  <c r="N719" i="17" s="1"/>
  <c r="N731" i="17" a="1"/>
  <c r="N731" i="17" s="1"/>
  <c r="N740" i="17" a="1"/>
  <c r="N740" i="17" s="1"/>
  <c r="N757" i="17" a="1"/>
  <c r="N757" i="17" s="1"/>
  <c r="N774" i="17" a="1"/>
  <c r="N774" i="17" s="1"/>
  <c r="N791" i="17" a="1"/>
  <c r="N791" i="17" s="1"/>
  <c r="N808" i="17" a="1"/>
  <c r="N808" i="17" s="1"/>
  <c r="N825" i="17" a="1"/>
  <c r="N825" i="17" s="1"/>
  <c r="N842" i="17" a="1"/>
  <c r="N842" i="17" s="1"/>
  <c r="N859" i="17" a="1"/>
  <c r="N859" i="17" s="1"/>
  <c r="N876" i="17" a="1"/>
  <c r="N876" i="17" s="1"/>
  <c r="N893" i="17" a="1"/>
  <c r="N893" i="17" s="1"/>
  <c r="N910" i="17" a="1"/>
  <c r="N910" i="17" s="1"/>
  <c r="N927" i="17" a="1"/>
  <c r="N927" i="17" s="1"/>
  <c r="N944" i="17" a="1"/>
  <c r="N944" i="17" s="1"/>
  <c r="N519" i="17" a="1"/>
  <c r="N519" i="17" s="1"/>
  <c r="N520" i="17" a="1"/>
  <c r="N520" i="17" s="1"/>
  <c r="N521" i="17" a="1"/>
  <c r="N521" i="17"/>
  <c r="N522" i="17" a="1"/>
  <c r="N522" i="17" s="1"/>
  <c r="N523" i="17" a="1"/>
  <c r="N523" i="17" s="1"/>
  <c r="N524" i="17" a="1"/>
  <c r="N524" i="17" s="1"/>
  <c r="N32" i="17" a="1"/>
  <c r="N32" i="17" s="1"/>
  <c r="N33" i="17" a="1"/>
  <c r="N33" i="17" s="1"/>
  <c r="N34" i="17" a="1"/>
  <c r="N34" i="17" s="1"/>
  <c r="N35" i="17" a="1"/>
  <c r="N35" i="17"/>
  <c r="N36" i="17" a="1"/>
  <c r="N36" i="17" s="1"/>
  <c r="N37" i="17" a="1"/>
  <c r="N37" i="17" s="1"/>
  <c r="N109" i="17" a="1"/>
  <c r="N109" i="17" s="1"/>
  <c r="N126" i="17" a="1"/>
  <c r="N126" i="17" s="1"/>
  <c r="N143" i="17" a="1"/>
  <c r="N143" i="17" s="1"/>
  <c r="N160" i="17" a="1"/>
  <c r="N160" i="17" s="1"/>
  <c r="N187" i="17" a="1"/>
  <c r="N187" i="17"/>
  <c r="N188" i="17" a="1"/>
  <c r="N188" i="17" s="1"/>
  <c r="N189" i="17" a="1"/>
  <c r="N189" i="17" s="1"/>
  <c r="N228" i="17" a="1"/>
  <c r="N228" i="17" s="1"/>
  <c r="N245" i="17" a="1"/>
  <c r="N245" i="17" s="1"/>
  <c r="N262" i="17" a="1"/>
  <c r="N262" i="17" s="1"/>
  <c r="N279" i="17" a="1"/>
  <c r="N279" i="17" s="1"/>
  <c r="N296" i="17" a="1"/>
  <c r="N296" i="17" s="1"/>
  <c r="N313" i="17" a="1"/>
  <c r="N313" i="17" s="1"/>
  <c r="N330" i="17" a="1"/>
  <c r="N330" i="17" s="1"/>
  <c r="N347" i="17" a="1"/>
  <c r="N347" i="17" s="1"/>
  <c r="N364" i="17" a="1"/>
  <c r="N364" i="17" s="1"/>
  <c r="N449" i="17" a="1"/>
  <c r="N449" i="17" s="1"/>
  <c r="N466" i="17" a="1"/>
  <c r="N466" i="17" s="1"/>
  <c r="N483" i="17" a="1"/>
  <c r="N483" i="17" s="1"/>
  <c r="N391" i="17" a="1"/>
  <c r="N391" i="17" s="1"/>
  <c r="N392" i="17" a="1"/>
  <c r="N392" i="17" s="1"/>
  <c r="N393" i="17" a="1"/>
  <c r="N393" i="17" s="1"/>
  <c r="N432" i="17" a="1"/>
  <c r="N432" i="17" s="1"/>
  <c r="N602" i="17" a="1"/>
  <c r="N602" i="17" s="1"/>
  <c r="N619" i="17" a="1"/>
  <c r="N619" i="17" s="1"/>
  <c r="N636" i="17" a="1"/>
  <c r="N636" i="17" s="1"/>
  <c r="N653" i="17" a="1"/>
  <c r="N653" i="17" s="1"/>
  <c r="N670" i="17" a="1"/>
  <c r="N670" i="17" s="1"/>
  <c r="N687" i="17" a="1"/>
  <c r="N687" i="17"/>
  <c r="N704" i="17" a="1"/>
  <c r="N704" i="17" s="1"/>
  <c r="N720" i="17" a="1"/>
  <c r="N720" i="17" s="1"/>
  <c r="N741" i="17" a="1"/>
  <c r="N741" i="17" s="1"/>
  <c r="N758" i="17" a="1"/>
  <c r="N758" i="17" s="1"/>
  <c r="N775" i="17" a="1"/>
  <c r="N775" i="17" s="1"/>
  <c r="N792" i="17" a="1"/>
  <c r="N792" i="17" s="1"/>
  <c r="N809" i="17" a="1"/>
  <c r="N809" i="17" s="1"/>
  <c r="N826" i="17" a="1"/>
  <c r="N826" i="17" s="1"/>
  <c r="N843" i="17" a="1"/>
  <c r="N843" i="17" s="1"/>
  <c r="N860" i="17" a="1"/>
  <c r="N860" i="17" s="1"/>
  <c r="N877" i="17" a="1"/>
  <c r="N877" i="17" s="1"/>
  <c r="N894" i="17" a="1"/>
  <c r="N894" i="17" s="1"/>
  <c r="N911" i="17" a="1"/>
  <c r="N911" i="17" s="1"/>
  <c r="N928" i="17" a="1"/>
  <c r="N928" i="17" s="1"/>
  <c r="N945" i="17" a="1"/>
  <c r="N945" i="17" s="1"/>
  <c r="N525" i="17" a="1"/>
  <c r="N525" i="17" s="1"/>
  <c r="N526" i="17" a="1"/>
  <c r="N526" i="17" s="1"/>
  <c r="N527" i="17" a="1"/>
  <c r="N527" i="17" s="1"/>
  <c r="N528" i="17" a="1"/>
  <c r="N528" i="17" s="1"/>
  <c r="N529" i="17" a="1"/>
  <c r="N529" i="17" s="1"/>
  <c r="N530" i="17" a="1"/>
  <c r="N530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/>
  <c r="N43" i="17" a="1"/>
  <c r="N43" i="17" s="1"/>
  <c r="N110" i="17" a="1"/>
  <c r="N110" i="17" s="1"/>
  <c r="N127" i="17" a="1"/>
  <c r="N127" i="17" s="1"/>
  <c r="N144" i="17" a="1"/>
  <c r="N144" i="17" s="1"/>
  <c r="N161" i="17" a="1"/>
  <c r="N161" i="17" s="1"/>
  <c r="N190" i="17" a="1"/>
  <c r="N190" i="17"/>
  <c r="N191" i="17" a="1"/>
  <c r="N191" i="17" s="1"/>
  <c r="N192" i="17" a="1"/>
  <c r="N192" i="17" s="1"/>
  <c r="N229" i="17" a="1"/>
  <c r="N229" i="17" s="1"/>
  <c r="N246" i="17" a="1"/>
  <c r="N246" i="17" s="1"/>
  <c r="N263" i="17" a="1"/>
  <c r="N263" i="17" s="1"/>
  <c r="N280" i="17" a="1"/>
  <c r="N280" i="17" s="1"/>
  <c r="N297" i="17" a="1"/>
  <c r="N297" i="17" s="1"/>
  <c r="N314" i="17" a="1"/>
  <c r="N314" i="17" s="1"/>
  <c r="N331" i="17" a="1"/>
  <c r="N331" i="17"/>
  <c r="N348" i="17" a="1"/>
  <c r="N348" i="17" s="1"/>
  <c r="N365" i="17" a="1"/>
  <c r="N365" i="17" s="1"/>
  <c r="N450" i="17" a="1"/>
  <c r="N450" i="17" s="1"/>
  <c r="N467" i="17" a="1"/>
  <c r="N467" i="17" s="1"/>
  <c r="N484" i="17" a="1"/>
  <c r="N484" i="17" s="1"/>
  <c r="N394" i="17" a="1"/>
  <c r="N394" i="17" s="1"/>
  <c r="N395" i="17" a="1"/>
  <c r="N395" i="17" s="1"/>
  <c r="N396" i="17" a="1"/>
  <c r="N396" i="17" s="1"/>
  <c r="N433" i="17" a="1"/>
  <c r="N433" i="17" s="1"/>
  <c r="N603" i="17" a="1"/>
  <c r="N603" i="17" s="1"/>
  <c r="N620" i="17" a="1"/>
  <c r="N620" i="17" s="1"/>
  <c r="N637" i="17" a="1"/>
  <c r="N637" i="17" s="1"/>
  <c r="N654" i="17" a="1"/>
  <c r="N654" i="17" s="1"/>
  <c r="N671" i="17" a="1"/>
  <c r="N671" i="17" s="1"/>
  <c r="N688" i="17" a="1"/>
  <c r="N688" i="17" s="1"/>
  <c r="N705" i="17" a="1"/>
  <c r="N705" i="17" s="1"/>
  <c r="N721" i="17" a="1"/>
  <c r="N721" i="17" s="1"/>
  <c r="N732" i="17" a="1"/>
  <c r="N732" i="17" s="1"/>
  <c r="N742" i="17" a="1"/>
  <c r="N742" i="17" s="1"/>
  <c r="N759" i="17" a="1"/>
  <c r="N759" i="17" s="1"/>
  <c r="N776" i="17" a="1"/>
  <c r="N776" i="17" s="1"/>
  <c r="N793" i="17" a="1"/>
  <c r="N793" i="17" s="1"/>
  <c r="N810" i="17" a="1"/>
  <c r="N810" i="17" s="1"/>
  <c r="N827" i="17" a="1"/>
  <c r="N827" i="17"/>
  <c r="N844" i="17" a="1"/>
  <c r="N844" i="17" s="1"/>
  <c r="N861" i="17" a="1"/>
  <c r="N861" i="17" s="1"/>
  <c r="N878" i="17" a="1"/>
  <c r="N878" i="17" s="1"/>
  <c r="N895" i="17" a="1"/>
  <c r="N895" i="17" s="1"/>
  <c r="N912" i="17" a="1"/>
  <c r="N912" i="17" s="1"/>
  <c r="N929" i="17" a="1"/>
  <c r="N929" i="17" s="1"/>
  <c r="N946" i="17" a="1"/>
  <c r="N946" i="17" s="1"/>
  <c r="N531" i="17" a="1"/>
  <c r="N531" i="17"/>
  <c r="N532" i="17" a="1"/>
  <c r="N532" i="17" s="1"/>
  <c r="N533" i="17" a="1"/>
  <c r="N533" i="17" s="1"/>
  <c r="N534" i="17" a="1"/>
  <c r="N534" i="17" s="1"/>
  <c r="N535" i="17" a="1"/>
  <c r="N535" i="17" s="1"/>
  <c r="N536" i="17" a="1"/>
  <c r="N536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111" i="17" a="1"/>
  <c r="N111" i="17" s="1"/>
  <c r="N128" i="17" a="1"/>
  <c r="N128" i="17" s="1"/>
  <c r="N145" i="17" a="1"/>
  <c r="N145" i="17" s="1"/>
  <c r="N162" i="17" a="1"/>
  <c r="N162" i="17" s="1"/>
  <c r="N193" i="17" a="1"/>
  <c r="N193" i="17" s="1"/>
  <c r="N194" i="17" a="1"/>
  <c r="N194" i="17"/>
  <c r="N195" i="17" a="1"/>
  <c r="N195" i="17" s="1"/>
  <c r="N230" i="17" a="1"/>
  <c r="N230" i="17" s="1"/>
  <c r="N247" i="17" a="1"/>
  <c r="N247" i="17" s="1"/>
  <c r="N264" i="17" a="1"/>
  <c r="N264" i="17" s="1"/>
  <c r="N281" i="17" a="1"/>
  <c r="N281" i="17" s="1"/>
  <c r="N298" i="17" a="1"/>
  <c r="N298" i="17"/>
  <c r="N315" i="17" a="1"/>
  <c r="N315" i="17" s="1"/>
  <c r="N332" i="17" a="1"/>
  <c r="N332" i="17" s="1"/>
  <c r="N349" i="17" a="1"/>
  <c r="N349" i="17" s="1"/>
  <c r="N366" i="17" a="1"/>
  <c r="N366" i="17" s="1"/>
  <c r="N451" i="17" a="1"/>
  <c r="N451" i="17" s="1"/>
  <c r="N468" i="17" a="1"/>
  <c r="N468" i="17" s="1"/>
  <c r="N485" i="17" a="1"/>
  <c r="N485" i="17" s="1"/>
  <c r="N397" i="17" a="1"/>
  <c r="N397" i="17" s="1"/>
  <c r="N398" i="17" a="1"/>
  <c r="N398" i="17"/>
  <c r="N399" i="17" a="1"/>
  <c r="N399" i="17" s="1"/>
  <c r="N434" i="17" a="1"/>
  <c r="N434" i="17" s="1"/>
  <c r="N604" i="17" a="1"/>
  <c r="N604" i="17" s="1"/>
  <c r="N621" i="17" a="1"/>
  <c r="N621" i="17" s="1"/>
  <c r="N638" i="17" a="1"/>
  <c r="N638" i="17" s="1"/>
  <c r="N655" i="17" a="1"/>
  <c r="N655" i="17" s="1"/>
  <c r="N672" i="17" a="1"/>
  <c r="N672" i="17" s="1"/>
  <c r="N689" i="17" a="1"/>
  <c r="N689" i="17" s="1"/>
  <c r="N706" i="17" a="1"/>
  <c r="N706" i="17" s="1"/>
  <c r="N722" i="17" a="1"/>
  <c r="N722" i="17" s="1"/>
  <c r="N733" i="17" a="1"/>
  <c r="N733" i="17"/>
  <c r="N743" i="17" a="1"/>
  <c r="N743" i="17"/>
  <c r="N760" i="17" a="1"/>
  <c r="N760" i="17" s="1"/>
  <c r="N777" i="17" a="1"/>
  <c r="N777" i="17" s="1"/>
  <c r="N794" i="17" a="1"/>
  <c r="N794" i="17" s="1"/>
  <c r="N811" i="17" a="1"/>
  <c r="N811" i="17" s="1"/>
  <c r="N828" i="17" a="1"/>
  <c r="N828" i="17" s="1"/>
  <c r="N845" i="17" a="1"/>
  <c r="N845" i="17" s="1"/>
  <c r="N862" i="17" a="1"/>
  <c r="N862" i="17" s="1"/>
  <c r="N879" i="17" a="1"/>
  <c r="N879" i="17" s="1"/>
  <c r="N896" i="17" a="1"/>
  <c r="N896" i="17" s="1"/>
  <c r="N913" i="17" a="1"/>
  <c r="N913" i="17" s="1"/>
  <c r="N930" i="17" a="1"/>
  <c r="N930" i="17" s="1"/>
  <c r="N947" i="17" a="1"/>
  <c r="N947" i="17" s="1"/>
  <c r="N537" i="17" a="1"/>
  <c r="N537" i="17" s="1"/>
  <c r="N538" i="17" a="1"/>
  <c r="N538" i="17" s="1"/>
  <c r="N539" i="17" a="1"/>
  <c r="N539" i="17" s="1"/>
  <c r="N540" i="17" a="1"/>
  <c r="N540" i="17" s="1"/>
  <c r="N541" i="17" a="1"/>
  <c r="N541" i="17" s="1"/>
  <c r="N542" i="17" a="1"/>
  <c r="N542" i="17" s="1"/>
  <c r="N50" i="17" a="1"/>
  <c r="N50" i="17" s="1"/>
  <c r="N51" i="17" a="1"/>
  <c r="N51" i="17"/>
  <c r="N52" i="17" a="1"/>
  <c r="N52" i="17" s="1"/>
  <c r="N53" i="17" a="1"/>
  <c r="N53" i="17" s="1"/>
  <c r="N54" i="17" a="1"/>
  <c r="N54" i="17" s="1"/>
  <c r="N55" i="17" a="1"/>
  <c r="N55" i="17" s="1"/>
  <c r="N112" i="17" a="1"/>
  <c r="N112" i="17" s="1"/>
  <c r="N129" i="17" a="1"/>
  <c r="N129" i="17" s="1"/>
  <c r="N146" i="17" a="1"/>
  <c r="N146" i="17" s="1"/>
  <c r="N163" i="17" a="1"/>
  <c r="N163" i="17" s="1"/>
  <c r="N196" i="17" a="1"/>
  <c r="N196" i="17" s="1"/>
  <c r="N197" i="17" a="1"/>
  <c r="N197" i="17" s="1"/>
  <c r="N198" i="17" a="1"/>
  <c r="N198" i="17" s="1"/>
  <c r="N231" i="17" a="1"/>
  <c r="N231" i="17" s="1"/>
  <c r="N248" i="17" a="1"/>
  <c r="N248" i="17" s="1"/>
  <c r="N265" i="17" a="1"/>
  <c r="N265" i="17"/>
  <c r="N282" i="17" a="1"/>
  <c r="N282" i="17" s="1"/>
  <c r="N299" i="17" a="1"/>
  <c r="N299" i="17" s="1"/>
  <c r="N316" i="17" a="1"/>
  <c r="N316" i="17" s="1"/>
  <c r="N333" i="17" a="1"/>
  <c r="N333" i="17" s="1"/>
  <c r="N350" i="17" a="1"/>
  <c r="N350" i="17" s="1"/>
  <c r="N367" i="17" a="1"/>
  <c r="N367" i="17" s="1"/>
  <c r="N452" i="17" a="1"/>
  <c r="N452" i="17" s="1"/>
  <c r="N469" i="17" a="1"/>
  <c r="N469" i="17" s="1"/>
  <c r="N486" i="17" a="1"/>
  <c r="N486" i="17" s="1"/>
  <c r="N400" i="17" a="1"/>
  <c r="N400" i="17" s="1"/>
  <c r="N401" i="17" a="1"/>
  <c r="N401" i="17" s="1"/>
  <c r="N402" i="17" a="1"/>
  <c r="N402" i="17" s="1"/>
  <c r="N435" i="17" a="1"/>
  <c r="N435" i="17" s="1"/>
  <c r="N605" i="17" a="1"/>
  <c r="N605" i="17" s="1"/>
  <c r="N622" i="17" a="1"/>
  <c r="N622" i="17" s="1"/>
  <c r="N639" i="17" a="1"/>
  <c r="N639" i="17" s="1"/>
  <c r="N656" i="17" a="1"/>
  <c r="N656" i="17" s="1"/>
  <c r="N673" i="17" a="1"/>
  <c r="N673" i="17" s="1"/>
  <c r="N690" i="17" a="1"/>
  <c r="N690" i="17" s="1"/>
  <c r="N707" i="17" a="1"/>
  <c r="N707" i="17" s="1"/>
  <c r="N744" i="17" a="1"/>
  <c r="N744" i="17"/>
  <c r="N761" i="17" a="1"/>
  <c r="N761" i="17" s="1"/>
  <c r="N778" i="17" a="1"/>
  <c r="N778" i="17" s="1"/>
  <c r="N795" i="17" a="1"/>
  <c r="N795" i="17" s="1"/>
  <c r="N812" i="17" a="1"/>
  <c r="N812" i="17" s="1"/>
  <c r="N829" i="17" a="1"/>
  <c r="N829" i="17" s="1"/>
  <c r="N846" i="17" a="1"/>
  <c r="N846" i="17" s="1"/>
  <c r="N863" i="17" a="1"/>
  <c r="N863" i="17"/>
  <c r="N880" i="17" a="1"/>
  <c r="N880" i="17" s="1"/>
  <c r="N897" i="17" a="1"/>
  <c r="N897" i="17" s="1"/>
  <c r="N914" i="17" a="1"/>
  <c r="N914" i="17" s="1"/>
  <c r="N931" i="17" a="1"/>
  <c r="N931" i="17" s="1"/>
  <c r="N948" i="17" a="1"/>
  <c r="N948" i="17" s="1"/>
  <c r="N543" i="17" a="1"/>
  <c r="N543" i="17" s="1"/>
  <c r="N544" i="17" a="1"/>
  <c r="N544" i="17" s="1"/>
  <c r="N545" i="17" a="1"/>
  <c r="N545" i="17" s="1"/>
  <c r="N546" i="17" a="1"/>
  <c r="N546" i="17" s="1"/>
  <c r="N547" i="17" a="1"/>
  <c r="N547" i="17" s="1"/>
  <c r="N548" i="17" a="1"/>
  <c r="N548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/>
  <c r="N61" i="17" a="1"/>
  <c r="N61" i="17" s="1"/>
  <c r="N113" i="17" a="1"/>
  <c r="N113" i="17"/>
  <c r="N130" i="17" a="1"/>
  <c r="N130" i="17" s="1"/>
  <c r="N147" i="17" a="1"/>
  <c r="N147" i="17" s="1"/>
  <c r="N164" i="17" a="1"/>
  <c r="N164" i="17" s="1"/>
  <c r="N199" i="17" a="1"/>
  <c r="N199" i="17"/>
  <c r="N200" i="17" a="1"/>
  <c r="N200" i="17" s="1"/>
  <c r="N201" i="17" a="1"/>
  <c r="N201" i="17" s="1"/>
  <c r="N232" i="17" a="1"/>
  <c r="N232" i="17" s="1"/>
  <c r="N249" i="17" a="1"/>
  <c r="N249" i="17" s="1"/>
  <c r="N266" i="17" a="1"/>
  <c r="N266" i="17" s="1"/>
  <c r="N283" i="17" a="1"/>
  <c r="N283" i="17" s="1"/>
  <c r="N300" i="17" a="1"/>
  <c r="N300" i="17" s="1"/>
  <c r="N317" i="17" a="1"/>
  <c r="N317" i="17" s="1"/>
  <c r="N334" i="17" a="1"/>
  <c r="N334" i="17" s="1"/>
  <c r="N351" i="17" a="1"/>
  <c r="N351" i="17" s="1"/>
  <c r="N368" i="17" a="1"/>
  <c r="N368" i="17" s="1"/>
  <c r="N453" i="17" a="1"/>
  <c r="N453" i="17"/>
  <c r="N470" i="17" a="1"/>
  <c r="N470" i="17" s="1"/>
  <c r="N487" i="17" a="1"/>
  <c r="N487" i="17"/>
  <c r="N403" i="17" a="1"/>
  <c r="N403" i="17" s="1"/>
  <c r="N404" i="17" a="1"/>
  <c r="N404" i="17" s="1"/>
  <c r="N405" i="17" a="1"/>
  <c r="N405" i="17" s="1"/>
  <c r="N436" i="17" a="1"/>
  <c r="N436" i="17" s="1"/>
  <c r="N606" i="17" a="1"/>
  <c r="N606" i="17"/>
  <c r="N623" i="17" a="1"/>
  <c r="N623" i="17"/>
  <c r="N640" i="17" a="1"/>
  <c r="N640" i="17" s="1"/>
  <c r="N657" i="17" a="1"/>
  <c r="N657" i="17" s="1"/>
  <c r="N674" i="17" a="1"/>
  <c r="N674" i="17" s="1"/>
  <c r="N691" i="17" a="1"/>
  <c r="N691" i="17" s="1"/>
  <c r="N708" i="17" a="1"/>
  <c r="N708" i="17" s="1"/>
  <c r="N745" i="17" a="1"/>
  <c r="N745" i="17"/>
  <c r="N762" i="17" a="1"/>
  <c r="N762" i="17" s="1"/>
  <c r="N779" i="17" a="1"/>
  <c r="N779" i="17" s="1"/>
  <c r="N796" i="17" a="1"/>
  <c r="N796" i="17" s="1"/>
  <c r="N813" i="17" a="1"/>
  <c r="N813" i="17" s="1"/>
  <c r="N830" i="17" a="1"/>
  <c r="N830" i="17" s="1"/>
  <c r="N847" i="17" a="1"/>
  <c r="N847" i="17"/>
  <c r="N864" i="17" a="1"/>
  <c r="N864" i="17" s="1"/>
  <c r="N881" i="17" a="1"/>
  <c r="N881" i="17" s="1"/>
  <c r="N898" i="17" a="1"/>
  <c r="N898" i="17" s="1"/>
  <c r="N915" i="17" a="1"/>
  <c r="N915" i="17" s="1"/>
  <c r="N932" i="17" a="1"/>
  <c r="N932" i="17" s="1"/>
  <c r="N949" i="17" a="1"/>
  <c r="N949" i="17" s="1"/>
  <c r="N549" i="17" a="1"/>
  <c r="N549" i="17" s="1"/>
  <c r="N550" i="17" a="1"/>
  <c r="N550" i="17" s="1"/>
  <c r="N551" i="17" a="1"/>
  <c r="N551" i="17" s="1"/>
  <c r="N552" i="17" a="1"/>
  <c r="N552" i="17" s="1"/>
  <c r="N553" i="17" a="1"/>
  <c r="N553" i="17" s="1"/>
  <c r="N554" i="17" a="1"/>
  <c r="N554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114" i="17" a="1"/>
  <c r="N114" i="17" s="1"/>
  <c r="N131" i="17" a="1"/>
  <c r="N131" i="17" s="1"/>
  <c r="N148" i="17" a="1"/>
  <c r="N148" i="17" s="1"/>
  <c r="N165" i="17" a="1"/>
  <c r="N165" i="17" s="1"/>
  <c r="N202" i="17" a="1"/>
  <c r="N202" i="17" s="1"/>
  <c r="N203" i="17" a="1"/>
  <c r="N203" i="17" s="1"/>
  <c r="N204" i="17" a="1"/>
  <c r="N204" i="17" s="1"/>
  <c r="N233" i="17" a="1"/>
  <c r="N233" i="17" s="1"/>
  <c r="N250" i="17" a="1"/>
  <c r="N250" i="17" s="1"/>
  <c r="N267" i="17" a="1"/>
  <c r="N267" i="17" s="1"/>
  <c r="N284" i="17" a="1"/>
  <c r="N284" i="17" s="1"/>
  <c r="N301" i="17" a="1"/>
  <c r="N301" i="17" s="1"/>
  <c r="N318" i="17" a="1"/>
  <c r="N318" i="17" s="1"/>
  <c r="N335" i="17" a="1"/>
  <c r="N335" i="17" s="1"/>
  <c r="N352" i="17" a="1"/>
  <c r="N352" i="17" s="1"/>
  <c r="N369" i="17" a="1"/>
  <c r="N369" i="17" s="1"/>
  <c r="N454" i="17" a="1"/>
  <c r="N454" i="17"/>
  <c r="N471" i="17" a="1"/>
  <c r="N471" i="17" s="1"/>
  <c r="N488" i="17" a="1"/>
  <c r="N488" i="17" s="1"/>
  <c r="N406" i="17" a="1"/>
  <c r="N406" i="17" s="1"/>
  <c r="N407" i="17" a="1"/>
  <c r="N407" i="17" s="1"/>
  <c r="N408" i="17" a="1"/>
  <c r="N408" i="17" s="1"/>
  <c r="N437" i="17" a="1"/>
  <c r="N437" i="17" s="1"/>
  <c r="N607" i="17" a="1"/>
  <c r="N607" i="17"/>
  <c r="N624" i="17" a="1"/>
  <c r="N624" i="17" s="1"/>
  <c r="N641" i="17" a="1"/>
  <c r="N641" i="17" s="1"/>
  <c r="N658" i="17" a="1"/>
  <c r="N658" i="17" s="1"/>
  <c r="N675" i="17" a="1"/>
  <c r="N675" i="17" s="1"/>
  <c r="N692" i="17" a="1"/>
  <c r="N692" i="17" s="1"/>
  <c r="N709" i="17" a="1"/>
  <c r="N709" i="17" s="1"/>
  <c r="N723" i="17" a="1"/>
  <c r="N723" i="17" s="1"/>
  <c r="N734" i="17" a="1"/>
  <c r="N734" i="17" s="1"/>
  <c r="N746" i="17" a="1"/>
  <c r="N746" i="17" s="1"/>
  <c r="N763" i="17" a="1"/>
  <c r="N763" i="17" s="1"/>
  <c r="N780" i="17" a="1"/>
  <c r="N780" i="17" s="1"/>
  <c r="N797" i="17" a="1"/>
  <c r="N797" i="17" s="1"/>
  <c r="N814" i="17" a="1"/>
  <c r="N814" i="17" s="1"/>
  <c r="N831" i="17" a="1"/>
  <c r="N831" i="17" s="1"/>
  <c r="N848" i="17" a="1"/>
  <c r="N848" i="17" s="1"/>
  <c r="N865" i="17" a="1"/>
  <c r="N865" i="17"/>
  <c r="N882" i="17" a="1"/>
  <c r="N882" i="17" s="1"/>
  <c r="N899" i="17" a="1"/>
  <c r="N899" i="17" s="1"/>
  <c r="N916" i="17" a="1"/>
  <c r="N916" i="17" s="1"/>
  <c r="N933" i="17" a="1"/>
  <c r="N933" i="17" s="1"/>
  <c r="N950" i="17" a="1"/>
  <c r="N950" i="17" s="1"/>
  <c r="N555" i="17" a="1"/>
  <c r="N555" i="17" s="1"/>
  <c r="N556" i="17" a="1"/>
  <c r="N556" i="17" s="1"/>
  <c r="N557" i="17" a="1"/>
  <c r="N557" i="17" s="1"/>
  <c r="N558" i="17" a="1"/>
  <c r="N558" i="17"/>
  <c r="N559" i="17" a="1"/>
  <c r="N559" i="17" s="1"/>
  <c r="N560" i="17" a="1"/>
  <c r="N560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115" i="17" a="1"/>
  <c r="N115" i="17" s="1"/>
  <c r="N132" i="17" a="1"/>
  <c r="N132" i="17" s="1"/>
  <c r="N149" i="17" a="1"/>
  <c r="N149" i="17" s="1"/>
  <c r="N166" i="17" a="1"/>
  <c r="N166" i="17" s="1"/>
  <c r="N205" i="17" a="1"/>
  <c r="N205" i="17" s="1"/>
  <c r="N206" i="17" a="1"/>
  <c r="N206" i="17" s="1"/>
  <c r="N207" i="17" a="1"/>
  <c r="N207" i="17" s="1"/>
  <c r="N234" i="17" a="1"/>
  <c r="N234" i="17" s="1"/>
  <c r="N251" i="17" a="1"/>
  <c r="N251" i="17" s="1"/>
  <c r="N268" i="17" a="1"/>
  <c r="N268" i="17" s="1"/>
  <c r="N285" i="17" a="1"/>
  <c r="N285" i="17" s="1"/>
  <c r="N302" i="17" a="1"/>
  <c r="N302" i="17" s="1"/>
  <c r="N319" i="17" a="1"/>
  <c r="N319" i="17" s="1"/>
  <c r="N336" i="17" a="1"/>
  <c r="N336" i="17" s="1"/>
  <c r="N353" i="17" a="1"/>
  <c r="N353" i="17" s="1"/>
  <c r="N370" i="17" a="1"/>
  <c r="N370" i="17" s="1"/>
  <c r="N455" i="17" a="1"/>
  <c r="N455" i="17" s="1"/>
  <c r="N472" i="17" a="1"/>
  <c r="N472" i="17" s="1"/>
  <c r="N489" i="17" a="1"/>
  <c r="N489" i="17" s="1"/>
  <c r="N409" i="17" a="1"/>
  <c r="N409" i="17" s="1"/>
  <c r="N410" i="17" a="1"/>
  <c r="N410" i="17" s="1"/>
  <c r="N411" i="17" a="1"/>
  <c r="N411" i="17" s="1"/>
  <c r="N438" i="17" a="1"/>
  <c r="N438" i="17" s="1"/>
  <c r="N608" i="17" a="1"/>
  <c r="N608" i="17"/>
  <c r="N625" i="17" a="1"/>
  <c r="N625" i="17" s="1"/>
  <c r="N642" i="17" a="1"/>
  <c r="N642" i="17" s="1"/>
  <c r="N659" i="17" a="1"/>
  <c r="N659" i="17" s="1"/>
  <c r="N676" i="17" a="1"/>
  <c r="N676" i="17" s="1"/>
  <c r="N693" i="17" a="1"/>
  <c r="N693" i="17" s="1"/>
  <c r="N710" i="17" a="1"/>
  <c r="N710" i="17" s="1"/>
  <c r="N724" i="17" a="1"/>
  <c r="N724" i="17"/>
  <c r="N747" i="17" a="1"/>
  <c r="N747" i="17" s="1"/>
  <c r="N764" i="17" a="1"/>
  <c r="N764" i="17" s="1"/>
  <c r="N781" i="17" a="1"/>
  <c r="N781" i="17" s="1"/>
  <c r="N798" i="17" a="1"/>
  <c r="N798" i="17" s="1"/>
  <c r="N815" i="17" a="1"/>
  <c r="N815" i="17" s="1"/>
  <c r="N832" i="17" a="1"/>
  <c r="N832" i="17" s="1"/>
  <c r="N849" i="17" a="1"/>
  <c r="N849" i="17" s="1"/>
  <c r="N866" i="17" a="1"/>
  <c r="N866" i="17" s="1"/>
  <c r="N883" i="17" a="1"/>
  <c r="N883" i="17"/>
  <c r="N900" i="17" a="1"/>
  <c r="N900" i="17" s="1"/>
  <c r="N917" i="17" a="1"/>
  <c r="N917" i="17" s="1"/>
  <c r="N934" i="17" a="1"/>
  <c r="N934" i="17" s="1"/>
  <c r="N951" i="17" a="1"/>
  <c r="N951" i="17" s="1"/>
  <c r="N561" i="17" a="1"/>
  <c r="N561" i="17" s="1"/>
  <c r="N562" i="17" a="1"/>
  <c r="N562" i="17" s="1"/>
  <c r="N563" i="17" a="1"/>
  <c r="N563" i="17" s="1"/>
  <c r="N564" i="17" a="1"/>
  <c r="N564" i="17" s="1"/>
  <c r="N565" i="17" a="1"/>
  <c r="N565" i="17" s="1"/>
  <c r="N566" i="17" a="1"/>
  <c r="N566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116" i="17" a="1"/>
  <c r="N116" i="17" s="1"/>
  <c r="N133" i="17" a="1"/>
  <c r="N133" i="17" s="1"/>
  <c r="N150" i="17" a="1"/>
  <c r="N150" i="17" s="1"/>
  <c r="N167" i="17" a="1"/>
  <c r="N167" i="17" s="1"/>
  <c r="N208" i="17" a="1"/>
  <c r="N208" i="17" s="1"/>
  <c r="N209" i="17" a="1"/>
  <c r="N209" i="17" s="1"/>
  <c r="N210" i="17" a="1"/>
  <c r="N210" i="17" s="1"/>
  <c r="N235" i="17" a="1"/>
  <c r="N235" i="17" s="1"/>
  <c r="N252" i="17" a="1"/>
  <c r="N252" i="17" s="1"/>
  <c r="N269" i="17" a="1"/>
  <c r="N269" i="17" s="1"/>
  <c r="N286" i="17" a="1"/>
  <c r="N286" i="17" s="1"/>
  <c r="N303" i="17" a="1"/>
  <c r="N303" i="17" s="1"/>
  <c r="N320" i="17" a="1"/>
  <c r="N320" i="17" s="1"/>
  <c r="N337" i="17" a="1"/>
  <c r="N337" i="17" s="1"/>
  <c r="N354" i="17" a="1"/>
  <c r="N354" i="17" s="1"/>
  <c r="N371" i="17" a="1"/>
  <c r="N371" i="17" s="1"/>
  <c r="N456" i="17" a="1"/>
  <c r="N456" i="17" s="1"/>
  <c r="N473" i="17" a="1"/>
  <c r="N473" i="17" s="1"/>
  <c r="N490" i="17" a="1"/>
  <c r="N490" i="17" s="1"/>
  <c r="N412" i="17" a="1"/>
  <c r="N412" i="17" s="1"/>
  <c r="N413" i="17" a="1"/>
  <c r="N413" i="17" s="1"/>
  <c r="N414" i="17" a="1"/>
  <c r="N414" i="17" s="1"/>
  <c r="N439" i="17" a="1"/>
  <c r="N439" i="17" s="1"/>
  <c r="N609" i="17" a="1"/>
  <c r="N609" i="17" s="1"/>
  <c r="N626" i="17" a="1"/>
  <c r="N626" i="17" s="1"/>
  <c r="N643" i="17" a="1"/>
  <c r="N643" i="17" s="1"/>
  <c r="N660" i="17" a="1"/>
  <c r="N660" i="17" s="1"/>
  <c r="N677" i="17" a="1"/>
  <c r="N677" i="17" s="1"/>
  <c r="N694" i="17" a="1"/>
  <c r="N694" i="17" s="1"/>
  <c r="N711" i="17" a="1"/>
  <c r="N711" i="17" s="1"/>
  <c r="N748" i="17" a="1"/>
  <c r="N748" i="17" s="1"/>
  <c r="N765" i="17" a="1"/>
  <c r="N765" i="17"/>
  <c r="N782" i="17" a="1"/>
  <c r="N782" i="17" s="1"/>
  <c r="N799" i="17" a="1"/>
  <c r="N799" i="17" s="1"/>
  <c r="N816" i="17" a="1"/>
  <c r="N816" i="17" s="1"/>
  <c r="N833" i="17" a="1"/>
  <c r="N833" i="17" s="1"/>
  <c r="N850" i="17" a="1"/>
  <c r="N850" i="17" s="1"/>
  <c r="N867" i="17" a="1"/>
  <c r="N867" i="17" s="1"/>
  <c r="N884" i="17" a="1"/>
  <c r="N884" i="17"/>
  <c r="N901" i="17" a="1"/>
  <c r="N901" i="17" s="1"/>
  <c r="N918" i="17" a="1"/>
  <c r="N918" i="17"/>
  <c r="N935" i="17" a="1"/>
  <c r="N935" i="17" s="1"/>
  <c r="N952" i="17" a="1"/>
  <c r="N952" i="17" s="1"/>
  <c r="N567" i="17" a="1"/>
  <c r="N567" i="17" s="1"/>
  <c r="N568" i="17" a="1"/>
  <c r="N568" i="17" s="1"/>
  <c r="N569" i="17" a="1"/>
  <c r="N569" i="17" s="1"/>
  <c r="N570" i="17" a="1"/>
  <c r="N570" i="17" s="1"/>
  <c r="N571" i="17" a="1"/>
  <c r="N571" i="17"/>
  <c r="N572" i="17" a="1"/>
  <c r="N572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117" i="17" a="1"/>
  <c r="N117" i="17" s="1"/>
  <c r="N134" i="17" a="1"/>
  <c r="N134" i="17" s="1"/>
  <c r="N151" i="17" a="1"/>
  <c r="N151" i="17" s="1"/>
  <c r="N168" i="17" a="1"/>
  <c r="N168" i="17" s="1"/>
  <c r="N211" i="17" a="1"/>
  <c r="N211" i="17" s="1"/>
  <c r="N212" i="17" a="1"/>
  <c r="N212" i="17" s="1"/>
  <c r="N213" i="17" a="1"/>
  <c r="N213" i="17" s="1"/>
  <c r="N236" i="17" a="1"/>
  <c r="N236" i="17" s="1"/>
  <c r="N253" i="17" a="1"/>
  <c r="N253" i="17" s="1"/>
  <c r="N270" i="17" a="1"/>
  <c r="N270" i="17" s="1"/>
  <c r="N287" i="17" a="1"/>
  <c r="N287" i="17" s="1"/>
  <c r="N304" i="17" a="1"/>
  <c r="N304" i="17" s="1"/>
  <c r="N321" i="17" a="1"/>
  <c r="N321" i="17" s="1"/>
  <c r="N338" i="17" a="1"/>
  <c r="N338" i="17" s="1"/>
  <c r="N355" i="17" a="1"/>
  <c r="N355" i="17" s="1"/>
  <c r="N372" i="17" a="1"/>
  <c r="N372" i="17" s="1"/>
  <c r="N457" i="17" a="1"/>
  <c r="N457" i="17" s="1"/>
  <c r="N474" i="17" a="1"/>
  <c r="N474" i="17" s="1"/>
  <c r="N491" i="17" a="1"/>
  <c r="N491" i="17" s="1"/>
  <c r="N415" i="17" a="1"/>
  <c r="N415" i="17" s="1"/>
  <c r="N416" i="17" a="1"/>
  <c r="N416" i="17" s="1"/>
  <c r="N417" i="17" a="1"/>
  <c r="N417" i="17" s="1"/>
  <c r="N440" i="17" a="1"/>
  <c r="N440" i="17" s="1"/>
  <c r="N610" i="17" a="1"/>
  <c r="N610" i="17" s="1"/>
  <c r="N627" i="17" a="1"/>
  <c r="N627" i="17" s="1"/>
  <c r="N644" i="17" a="1"/>
  <c r="N644" i="17" s="1"/>
  <c r="N661" i="17" a="1"/>
  <c r="N661" i="17" s="1"/>
  <c r="N678" i="17" a="1"/>
  <c r="N678" i="17" s="1"/>
  <c r="N695" i="17" a="1"/>
  <c r="N695" i="17" s="1"/>
  <c r="N712" i="17" a="1"/>
  <c r="N712" i="17" s="1"/>
  <c r="N725" i="17" a="1"/>
  <c r="N725" i="17" s="1"/>
  <c r="N749" i="17" a="1"/>
  <c r="N749" i="17" s="1"/>
  <c r="N766" i="17" a="1"/>
  <c r="N766" i="17" s="1"/>
  <c r="N783" i="17" a="1"/>
  <c r="N783" i="17" s="1"/>
  <c r="N800" i="17" a="1"/>
  <c r="N800" i="17" s="1"/>
  <c r="N817" i="17" a="1"/>
  <c r="N817" i="17" s="1"/>
  <c r="N834" i="17" a="1"/>
  <c r="N834" i="17" s="1"/>
  <c r="N851" i="17" a="1"/>
  <c r="N851" i="17" s="1"/>
  <c r="N868" i="17" a="1"/>
  <c r="N868" i="17" s="1"/>
  <c r="N885" i="17" a="1"/>
  <c r="N885" i="17" s="1"/>
  <c r="N902" i="17" a="1"/>
  <c r="N902" i="17"/>
  <c r="N919" i="17" a="1"/>
  <c r="N919" i="17" s="1"/>
  <c r="N936" i="17" a="1"/>
  <c r="N936" i="17" s="1"/>
  <c r="N953" i="17" a="1"/>
  <c r="N953" i="17" s="1"/>
  <c r="N573" i="17" a="1"/>
  <c r="N573" i="17" s="1"/>
  <c r="N574" i="17" a="1"/>
  <c r="N574" i="17" s="1"/>
  <c r="N575" i="17" a="1"/>
  <c r="N575" i="17" s="1"/>
  <c r="N576" i="17" a="1"/>
  <c r="N576" i="17" s="1"/>
  <c r="N577" i="17" a="1"/>
  <c r="N577" i="17"/>
  <c r="N578" i="17" a="1"/>
  <c r="N578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118" i="17" a="1"/>
  <c r="N118" i="17" s="1"/>
  <c r="N135" i="17" a="1"/>
  <c r="N135" i="17" s="1"/>
  <c r="N152" i="17" a="1"/>
  <c r="N152" i="17" s="1"/>
  <c r="N169" i="17" a="1"/>
  <c r="N169" i="17" s="1"/>
  <c r="N214" i="17" a="1"/>
  <c r="N214" i="17"/>
  <c r="N215" i="17" a="1"/>
  <c r="N215" i="17" s="1"/>
  <c r="N216" i="17" a="1"/>
  <c r="N216" i="17" s="1"/>
  <c r="N237" i="17" a="1"/>
  <c r="N237" i="17" s="1"/>
  <c r="N254" i="17" a="1"/>
  <c r="N254" i="17" s="1"/>
  <c r="N271" i="17" a="1"/>
  <c r="N271" i="17" s="1"/>
  <c r="N288" i="17" a="1"/>
  <c r="N288" i="17" s="1"/>
  <c r="N305" i="17" a="1"/>
  <c r="N305" i="17" s="1"/>
  <c r="N322" i="17" a="1"/>
  <c r="N322" i="17" s="1"/>
  <c r="N339" i="17" a="1"/>
  <c r="N339" i="17" s="1"/>
  <c r="N356" i="17" a="1"/>
  <c r="N356" i="17" s="1"/>
  <c r="N373" i="17" a="1"/>
  <c r="N373" i="17" s="1"/>
  <c r="N458" i="17" a="1"/>
  <c r="N458" i="17" s="1"/>
  <c r="N475" i="17" a="1"/>
  <c r="N475" i="17" s="1"/>
  <c r="N492" i="17" a="1"/>
  <c r="N492" i="17" s="1"/>
  <c r="N418" i="17" a="1"/>
  <c r="N418" i="17" s="1"/>
  <c r="N419" i="17" a="1"/>
  <c r="N419" i="17" s="1"/>
  <c r="N420" i="17" a="1"/>
  <c r="N420" i="17" s="1"/>
  <c r="N441" i="17" a="1"/>
  <c r="N441" i="17" s="1"/>
  <c r="N611" i="17" a="1"/>
  <c r="N611" i="17" s="1"/>
  <c r="N628" i="17" a="1"/>
  <c r="N628" i="17" s="1"/>
  <c r="N645" i="17" a="1"/>
  <c r="N645" i="17" s="1"/>
  <c r="N662" i="17" a="1"/>
  <c r="N662" i="17" s="1"/>
  <c r="N679" i="17" a="1"/>
  <c r="N679" i="17" s="1"/>
  <c r="N696" i="17" a="1"/>
  <c r="N696" i="17" s="1"/>
  <c r="N713" i="17" a="1"/>
  <c r="N713" i="17" s="1"/>
  <c r="N726" i="17" a="1"/>
  <c r="N726" i="17" s="1"/>
  <c r="N735" i="17" a="1"/>
  <c r="N735" i="17" s="1"/>
  <c r="N750" i="17" a="1"/>
  <c r="N750" i="17" s="1"/>
  <c r="N767" i="17" a="1"/>
  <c r="N767" i="17" s="1"/>
  <c r="N784" i="17" a="1"/>
  <c r="N784" i="17" s="1"/>
  <c r="N801" i="17" a="1"/>
  <c r="N801" i="17" s="1"/>
  <c r="N818" i="17" a="1"/>
  <c r="N818" i="17" s="1"/>
  <c r="N835" i="17" a="1"/>
  <c r="N835" i="17" s="1"/>
  <c r="N852" i="17" a="1"/>
  <c r="N852" i="17" s="1"/>
  <c r="N869" i="17" a="1"/>
  <c r="N869" i="17" s="1"/>
  <c r="N886" i="17" a="1"/>
  <c r="N886" i="17" s="1"/>
  <c r="N903" i="17" a="1"/>
  <c r="N903" i="17" s="1"/>
  <c r="N920" i="17" a="1"/>
  <c r="N920" i="17" s="1"/>
  <c r="N937" i="17" a="1"/>
  <c r="N937" i="17" s="1"/>
  <c r="N954" i="17" a="1"/>
  <c r="N954" i="17" s="1"/>
  <c r="N579" i="17" a="1"/>
  <c r="N579" i="17" s="1"/>
  <c r="N580" i="17" a="1"/>
  <c r="N580" i="17" s="1"/>
  <c r="N581" i="17" a="1"/>
  <c r="N581" i="17" s="1"/>
  <c r="N582" i="17" a="1"/>
  <c r="N582" i="17" s="1"/>
  <c r="N583" i="17" a="1"/>
  <c r="N583" i="17"/>
  <c r="N584" i="17" a="1"/>
  <c r="N584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/>
  <c r="N119" i="17" a="1"/>
  <c r="N119" i="17" s="1"/>
  <c r="N136" i="17" a="1"/>
  <c r="N136" i="17" s="1"/>
  <c r="N153" i="17" a="1"/>
  <c r="N153" i="17"/>
  <c r="N170" i="17" a="1"/>
  <c r="N170" i="17" s="1"/>
  <c r="N217" i="17" a="1"/>
  <c r="N217" i="17" s="1"/>
  <c r="N218" i="17" a="1"/>
  <c r="N218" i="17" s="1"/>
  <c r="N219" i="17" a="1"/>
  <c r="N219" i="17"/>
  <c r="N238" i="17" a="1"/>
  <c r="N238" i="17" s="1"/>
  <c r="N255" i="17" a="1"/>
  <c r="N255" i="17"/>
  <c r="N272" i="17" a="1"/>
  <c r="N272" i="17" s="1"/>
  <c r="N289" i="17" a="1"/>
  <c r="N289" i="17" s="1"/>
  <c r="N306" i="17" a="1"/>
  <c r="N306" i="17"/>
  <c r="N323" i="17" a="1"/>
  <c r="N323" i="17" s="1"/>
  <c r="N340" i="17" a="1"/>
  <c r="N340" i="17" s="1"/>
  <c r="N357" i="17" a="1"/>
  <c r="N357" i="17" s="1"/>
  <c r="N374" i="17" a="1"/>
  <c r="N374" i="17" s="1"/>
  <c r="N459" i="17" a="1"/>
  <c r="N459" i="17" s="1"/>
  <c r="N476" i="17" a="1"/>
  <c r="N476" i="17" s="1"/>
  <c r="N493" i="17" a="1"/>
  <c r="N493" i="17" s="1"/>
  <c r="N421" i="17" a="1"/>
  <c r="N421" i="17" s="1"/>
  <c r="N422" i="17" a="1"/>
  <c r="N422" i="17" s="1"/>
  <c r="N423" i="17" a="1"/>
  <c r="N423" i="17" s="1"/>
  <c r="N442" i="17" a="1"/>
  <c r="N442" i="17" s="1"/>
  <c r="N612" i="17" a="1"/>
  <c r="N612" i="17" s="1"/>
  <c r="N629" i="17" a="1"/>
  <c r="N629" i="17"/>
  <c r="N646" i="17" a="1"/>
  <c r="N646" i="17" s="1"/>
  <c r="N663" i="17" a="1"/>
  <c r="N663" i="17" s="1"/>
  <c r="N680" i="17" a="1"/>
  <c r="N680" i="17" s="1"/>
  <c r="N697" i="17" a="1"/>
  <c r="N697" i="17" s="1"/>
  <c r="N714" i="17" a="1"/>
  <c r="N714" i="17" s="1"/>
  <c r="N727" i="17" a="1"/>
  <c r="N727" i="17" s="1"/>
  <c r="N751" i="17" a="1"/>
  <c r="N751" i="17"/>
  <c r="N768" i="17" a="1"/>
  <c r="N768" i="17" s="1"/>
  <c r="N785" i="17" a="1"/>
  <c r="N785" i="17" s="1"/>
  <c r="N802" i="17" a="1"/>
  <c r="N802" i="17" s="1"/>
  <c r="N819" i="17" a="1"/>
  <c r="N819" i="17" s="1"/>
  <c r="N836" i="17" a="1"/>
  <c r="N836" i="17" s="1"/>
  <c r="N853" i="17" a="1"/>
  <c r="N853" i="17" s="1"/>
  <c r="N870" i="17" a="1"/>
  <c r="N870" i="17" s="1"/>
  <c r="N887" i="17" a="1"/>
  <c r="N887" i="17" s="1"/>
  <c r="N904" i="17" a="1"/>
  <c r="N904" i="17" s="1"/>
  <c r="N921" i="17" a="1"/>
  <c r="N921" i="17" s="1"/>
  <c r="N938" i="17" a="1"/>
  <c r="N938" i="17" s="1"/>
  <c r="N955" i="17" a="1"/>
  <c r="N955" i="17"/>
  <c r="N585" i="17" a="1"/>
  <c r="N585" i="17" s="1"/>
  <c r="N586" i="17" a="1"/>
  <c r="N586" i="17" s="1"/>
  <c r="N587" i="17" a="1"/>
  <c r="N587" i="17" s="1"/>
  <c r="N588" i="17" a="1"/>
  <c r="N588" i="17" s="1"/>
  <c r="N589" i="17" a="1"/>
  <c r="N589" i="17" s="1"/>
  <c r="N590" i="17" a="1"/>
  <c r="N590" i="17" s="1"/>
  <c r="N98" i="17" a="1"/>
  <c r="N98" i="17" s="1"/>
  <c r="N99" i="17" a="1"/>
  <c r="N99" i="17" s="1"/>
  <c r="N100" i="17" a="1"/>
  <c r="N100" i="17"/>
  <c r="N101" i="17" a="1"/>
  <c r="N101" i="17" s="1"/>
  <c r="N102" i="17" a="1"/>
  <c r="N102" i="17" s="1"/>
  <c r="N103" i="17" a="1"/>
  <c r="N103" i="17" s="1"/>
  <c r="N120" i="17" a="1"/>
  <c r="N120" i="17" s="1"/>
  <c r="N137" i="17" a="1"/>
  <c r="N137" i="17" s="1"/>
  <c r="N154" i="17" a="1"/>
  <c r="N154" i="17" s="1"/>
  <c r="N171" i="17" a="1"/>
  <c r="N171" i="17" s="1"/>
  <c r="N220" i="17" a="1"/>
  <c r="N220" i="17" s="1"/>
  <c r="N221" i="17" a="1"/>
  <c r="N221" i="17" s="1"/>
  <c r="N222" i="17" a="1"/>
  <c r="N222" i="17" s="1"/>
  <c r="N239" i="17" a="1"/>
  <c r="N239" i="17" s="1"/>
  <c r="N256" i="17" a="1"/>
  <c r="N256" i="17" s="1"/>
  <c r="N273" i="17" a="1"/>
  <c r="N273" i="17" s="1"/>
  <c r="N290" i="17" a="1"/>
  <c r="N290" i="17" s="1"/>
  <c r="N307" i="17" a="1"/>
  <c r="N307" i="17" s="1"/>
  <c r="N324" i="17" a="1"/>
  <c r="N324" i="17" s="1"/>
  <c r="N341" i="17" a="1"/>
  <c r="N341" i="17" s="1"/>
  <c r="N358" i="17" a="1"/>
  <c r="N358" i="17" s="1"/>
  <c r="N375" i="17" a="1"/>
  <c r="N375" i="17" s="1"/>
  <c r="N460" i="17" a="1"/>
  <c r="N460" i="17" s="1"/>
  <c r="N477" i="17" a="1"/>
  <c r="N477" i="17" s="1"/>
  <c r="N494" i="17" a="1"/>
  <c r="N494" i="17" s="1"/>
  <c r="N424" i="17" a="1"/>
  <c r="N424" i="17" s="1"/>
  <c r="N425" i="17" a="1"/>
  <c r="N425" i="17" s="1"/>
  <c r="N426" i="17" a="1"/>
  <c r="N426" i="17" s="1"/>
  <c r="N443" i="17" a="1"/>
  <c r="N443" i="17" s="1"/>
  <c r="N613" i="17" a="1"/>
  <c r="N613" i="17" s="1"/>
  <c r="N630" i="17" a="1"/>
  <c r="N630" i="17" s="1"/>
  <c r="N647" i="17" a="1"/>
  <c r="N647" i="17" s="1"/>
  <c r="N664" i="17" a="1"/>
  <c r="N664" i="17" s="1"/>
  <c r="N681" i="17" a="1"/>
  <c r="N681" i="17" s="1"/>
  <c r="N698" i="17" a="1"/>
  <c r="N698" i="17"/>
  <c r="N715" i="17" a="1"/>
  <c r="N715" i="17" s="1"/>
  <c r="N728" i="17" a="1"/>
  <c r="N728" i="17"/>
  <c r="N752" i="17" a="1"/>
  <c r="N752" i="17" s="1"/>
  <c r="N769" i="17" a="1"/>
  <c r="N769" i="17" s="1"/>
  <c r="N786" i="17" a="1"/>
  <c r="N786" i="17" s="1"/>
  <c r="N803" i="17" a="1"/>
  <c r="N803" i="17" s="1"/>
  <c r="N820" i="17" a="1"/>
  <c r="N820" i="17" s="1"/>
  <c r="N837" i="17" a="1"/>
  <c r="N837" i="17" s="1"/>
  <c r="N854" i="17" a="1"/>
  <c r="N854" i="17" s="1"/>
  <c r="N871" i="17" a="1"/>
  <c r="N871" i="17" s="1"/>
  <c r="N888" i="17" a="1"/>
  <c r="N888" i="17" s="1"/>
  <c r="N905" i="17" a="1"/>
  <c r="N905" i="17" s="1"/>
  <c r="N922" i="17" a="1"/>
  <c r="N922" i="17" s="1"/>
  <c r="N939" i="17" a="1"/>
  <c r="N939" i="17" s="1"/>
  <c r="N956" i="17" a="1"/>
  <c r="N956" i="17" s="1"/>
  <c r="N591" i="17" a="1"/>
  <c r="N591" i="17" s="1"/>
  <c r="N592" i="17" a="1"/>
  <c r="N592" i="17" s="1"/>
  <c r="N593" i="17" a="1"/>
  <c r="N593" i="17" s="1"/>
  <c r="N594" i="17" a="1"/>
  <c r="N594" i="17" s="1"/>
  <c r="N595" i="17" a="1"/>
  <c r="N595" i="17" s="1"/>
  <c r="N596" i="17" a="1"/>
  <c r="N596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/>
  <c r="O104" i="17" a="1"/>
  <c r="O104" i="17" s="1"/>
  <c r="O121" i="17" a="1"/>
  <c r="O121" i="17" s="1"/>
  <c r="O138" i="17" a="1"/>
  <c r="O138" i="17" s="1"/>
  <c r="O155" i="17" a="1"/>
  <c r="O155" i="17" s="1"/>
  <c r="O172" i="17" a="1"/>
  <c r="O172" i="17" s="1"/>
  <c r="O173" i="17" a="1"/>
  <c r="O173" i="17" s="1"/>
  <c r="O174" i="17" a="1"/>
  <c r="O174" i="17"/>
  <c r="O223" i="17" a="1"/>
  <c r="O223" i="17" s="1"/>
  <c r="O240" i="17" a="1"/>
  <c r="O240" i="17" s="1"/>
  <c r="O257" i="17" a="1"/>
  <c r="O257" i="17" s="1"/>
  <c r="O274" i="17" a="1"/>
  <c r="O274" i="17" s="1"/>
  <c r="O291" i="17" a="1"/>
  <c r="O291" i="17" s="1"/>
  <c r="O308" i="17" a="1"/>
  <c r="O308" i="17" s="1"/>
  <c r="O325" i="17" a="1"/>
  <c r="O325" i="17" s="1"/>
  <c r="O342" i="17" a="1"/>
  <c r="O342" i="17" s="1"/>
  <c r="O359" i="17" a="1"/>
  <c r="O359" i="17" s="1"/>
  <c r="O444" i="17" a="1"/>
  <c r="O444" i="17" s="1"/>
  <c r="O461" i="17" a="1"/>
  <c r="O461" i="17" s="1"/>
  <c r="O478" i="17" a="1"/>
  <c r="O478" i="17"/>
  <c r="O376" i="17" a="1"/>
  <c r="O376" i="17" s="1"/>
  <c r="O377" i="17" a="1"/>
  <c r="O377" i="17" s="1"/>
  <c r="O378" i="17" a="1"/>
  <c r="O378" i="17" s="1"/>
  <c r="O427" i="17" a="1"/>
  <c r="O427" i="17" s="1"/>
  <c r="O597" i="17" a="1"/>
  <c r="O597" i="17" s="1"/>
  <c r="O614" i="17" a="1"/>
  <c r="O614" i="17"/>
  <c r="O631" i="17" a="1"/>
  <c r="O631" i="17" s="1"/>
  <c r="O648" i="17" a="1"/>
  <c r="O648" i="17" s="1"/>
  <c r="O665" i="17" a="1"/>
  <c r="O665" i="17" s="1"/>
  <c r="O682" i="17" a="1"/>
  <c r="O682" i="17" s="1"/>
  <c r="O699" i="17" a="1"/>
  <c r="O699" i="17" s="1"/>
  <c r="O729" i="17" a="1"/>
  <c r="O729" i="17"/>
  <c r="O736" i="17" a="1"/>
  <c r="O736" i="17" s="1"/>
  <c r="O753" i="17" a="1"/>
  <c r="O753" i="17" s="1"/>
  <c r="O770" i="17" a="1"/>
  <c r="O770" i="17" s="1"/>
  <c r="O787" i="17" a="1"/>
  <c r="O787" i="17" s="1"/>
  <c r="O804" i="17" a="1"/>
  <c r="O804" i="17" s="1"/>
  <c r="O821" i="17" a="1"/>
  <c r="O821" i="17" s="1"/>
  <c r="O838" i="17" a="1"/>
  <c r="O838" i="17" s="1"/>
  <c r="O855" i="17" a="1"/>
  <c r="O855" i="17" s="1"/>
  <c r="O872" i="17" a="1"/>
  <c r="O872" i="17" s="1"/>
  <c r="O889" i="17" a="1"/>
  <c r="O889" i="17"/>
  <c r="O906" i="17" a="1"/>
  <c r="O906" i="17" s="1"/>
  <c r="O923" i="17" a="1"/>
  <c r="O923" i="17" s="1"/>
  <c r="O940" i="17" a="1"/>
  <c r="O940" i="17" s="1"/>
  <c r="O495" i="17" a="1"/>
  <c r="O495" i="17" s="1"/>
  <c r="O496" i="17" a="1"/>
  <c r="O496" i="17" s="1"/>
  <c r="O497" i="17" a="1"/>
  <c r="O497" i="17" s="1"/>
  <c r="O498" i="17" a="1"/>
  <c r="O498" i="17" s="1"/>
  <c r="O499" i="17" a="1"/>
  <c r="O499" i="17" s="1"/>
  <c r="O500" i="17" a="1"/>
  <c r="O500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105" i="17" a="1"/>
  <c r="O105" i="17" s="1"/>
  <c r="O122" i="17" a="1"/>
  <c r="O122" i="17" s="1"/>
  <c r="O139" i="17" a="1"/>
  <c r="O139" i="17" s="1"/>
  <c r="O156" i="17" a="1"/>
  <c r="O156" i="17" s="1"/>
  <c r="O175" i="17" a="1"/>
  <c r="O175" i="17" s="1"/>
  <c r="O176" i="17" a="1"/>
  <c r="O176" i="17" s="1"/>
  <c r="O177" i="17" a="1"/>
  <c r="O177" i="17" s="1"/>
  <c r="O224" i="17" a="1"/>
  <c r="O224" i="17" s="1"/>
  <c r="O241" i="17" a="1"/>
  <c r="O241" i="17" s="1"/>
  <c r="O258" i="17" a="1"/>
  <c r="O258" i="17" s="1"/>
  <c r="O275" i="17" a="1"/>
  <c r="O275" i="17"/>
  <c r="O292" i="17" a="1"/>
  <c r="O292" i="17" s="1"/>
  <c r="O309" i="17" a="1"/>
  <c r="O309" i="17" s="1"/>
  <c r="O326" i="17" a="1"/>
  <c r="O326" i="17" s="1"/>
  <c r="O343" i="17" a="1"/>
  <c r="O343" i="17" s="1"/>
  <c r="O360" i="17" a="1"/>
  <c r="O360" i="17" s="1"/>
  <c r="O445" i="17" a="1"/>
  <c r="O445" i="17"/>
  <c r="O462" i="17" a="1"/>
  <c r="O462" i="17" s="1"/>
  <c r="O479" i="17" a="1"/>
  <c r="O479" i="17" s="1"/>
  <c r="O379" i="17" a="1"/>
  <c r="O379" i="17" s="1"/>
  <c r="O380" i="17" a="1"/>
  <c r="O380" i="17" s="1"/>
  <c r="O381" i="17" a="1"/>
  <c r="O381" i="17" s="1"/>
  <c r="O428" i="17" a="1"/>
  <c r="O428" i="17" s="1"/>
  <c r="O598" i="17" a="1"/>
  <c r="O598" i="17" s="1"/>
  <c r="O615" i="17" a="1"/>
  <c r="O615" i="17" s="1"/>
  <c r="O632" i="17" a="1"/>
  <c r="O632" i="17" s="1"/>
  <c r="O649" i="17" a="1"/>
  <c r="O649" i="17" s="1"/>
  <c r="O666" i="17" a="1"/>
  <c r="O666" i="17" s="1"/>
  <c r="O683" i="17" a="1"/>
  <c r="O683" i="17" s="1"/>
  <c r="O700" i="17" a="1"/>
  <c r="O700" i="17"/>
  <c r="O716" i="17" a="1"/>
  <c r="O716" i="17" s="1"/>
  <c r="O737" i="17" a="1"/>
  <c r="O737" i="17" s="1"/>
  <c r="O754" i="17" a="1"/>
  <c r="O754" i="17"/>
  <c r="O771" i="17" a="1"/>
  <c r="O771" i="17"/>
  <c r="O788" i="17" a="1"/>
  <c r="O788" i="17"/>
  <c r="O805" i="17" a="1"/>
  <c r="O805" i="17" s="1"/>
  <c r="O822" i="17" a="1"/>
  <c r="O822" i="17" s="1"/>
  <c r="O839" i="17" a="1"/>
  <c r="O839" i="17" s="1"/>
  <c r="O856" i="17" a="1"/>
  <c r="O856" i="17" s="1"/>
  <c r="O873" i="17" a="1"/>
  <c r="O873" i="17" s="1"/>
  <c r="O890" i="17" a="1"/>
  <c r="O890" i="17" s="1"/>
  <c r="O907" i="17" a="1"/>
  <c r="O907" i="17" s="1"/>
  <c r="O924" i="17" a="1"/>
  <c r="O924" i="17"/>
  <c r="O941" i="17" a="1"/>
  <c r="O941" i="17" s="1"/>
  <c r="O501" i="17" a="1"/>
  <c r="O501" i="17" s="1"/>
  <c r="O502" i="17" a="1"/>
  <c r="O502" i="17" s="1"/>
  <c r="O503" i="17" a="1"/>
  <c r="O503" i="17" s="1"/>
  <c r="O504" i="17" a="1"/>
  <c r="O504" i="17" s="1"/>
  <c r="O505" i="17" a="1"/>
  <c r="O505" i="17" s="1"/>
  <c r="O506" i="17" a="1"/>
  <c r="O506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106" i="17" a="1"/>
  <c r="O106" i="17" s="1"/>
  <c r="O123" i="17" a="1"/>
  <c r="O123" i="17"/>
  <c r="O140" i="17" a="1"/>
  <c r="O140" i="17" s="1"/>
  <c r="O157" i="17" a="1"/>
  <c r="O157" i="17" s="1"/>
  <c r="O178" i="17" a="1"/>
  <c r="O178" i="17" s="1"/>
  <c r="O179" i="17" a="1"/>
  <c r="O179" i="17"/>
  <c r="O180" i="17" a="1"/>
  <c r="O180" i="17" s="1"/>
  <c r="O225" i="17" a="1"/>
  <c r="O225" i="17" s="1"/>
  <c r="O242" i="17" a="1"/>
  <c r="O242" i="17" s="1"/>
  <c r="O259" i="17" a="1"/>
  <c r="O259" i="17" s="1"/>
  <c r="O276" i="17" a="1"/>
  <c r="O276" i="17" s="1"/>
  <c r="O293" i="17" a="1"/>
  <c r="O293" i="17" s="1"/>
  <c r="O310" i="17" a="1"/>
  <c r="O310" i="17" s="1"/>
  <c r="O327" i="17" a="1"/>
  <c r="O327" i="17" s="1"/>
  <c r="O344" i="17" a="1"/>
  <c r="O344" i="17" s="1"/>
  <c r="O361" i="17" a="1"/>
  <c r="O361" i="17" s="1"/>
  <c r="O446" i="17" a="1"/>
  <c r="O446" i="17" s="1"/>
  <c r="O463" i="17" a="1"/>
  <c r="O463" i="17" s="1"/>
  <c r="O480" i="17" a="1"/>
  <c r="O480" i="17"/>
  <c r="O382" i="17" a="1"/>
  <c r="O382" i="17" s="1"/>
  <c r="O383" i="17" a="1"/>
  <c r="O383" i="17" s="1"/>
  <c r="O384" i="17" a="1"/>
  <c r="O384" i="17" s="1"/>
  <c r="O429" i="17" a="1"/>
  <c r="O429" i="17" s="1"/>
  <c r="O599" i="17" a="1"/>
  <c r="O599" i="17" s="1"/>
  <c r="O616" i="17" a="1"/>
  <c r="O616" i="17"/>
  <c r="O633" i="17" a="1"/>
  <c r="O633" i="17" s="1"/>
  <c r="O650" i="17" a="1"/>
  <c r="O650" i="17" s="1"/>
  <c r="O667" i="17" a="1"/>
  <c r="O667" i="17" s="1"/>
  <c r="O684" i="17" a="1"/>
  <c r="O684" i="17" s="1"/>
  <c r="O701" i="17" a="1"/>
  <c r="O701" i="17" s="1"/>
  <c r="O717" i="17" a="1"/>
  <c r="O717" i="17" s="1"/>
  <c r="O730" i="17" a="1"/>
  <c r="O730" i="17" s="1"/>
  <c r="O738" i="17" a="1"/>
  <c r="O738" i="17" s="1"/>
  <c r="O755" i="17" a="1"/>
  <c r="O755" i="17"/>
  <c r="O772" i="17" a="1"/>
  <c r="O772" i="17" s="1"/>
  <c r="O789" i="17" a="1"/>
  <c r="O789" i="17" s="1"/>
  <c r="O806" i="17" a="1"/>
  <c r="O806" i="17" s="1"/>
  <c r="O823" i="17" a="1"/>
  <c r="O823" i="17"/>
  <c r="O840" i="17" a="1"/>
  <c r="O840" i="17" s="1"/>
  <c r="O857" i="17" a="1"/>
  <c r="O857" i="17" s="1"/>
  <c r="O874" i="17" a="1"/>
  <c r="O874" i="17" s="1"/>
  <c r="O891" i="17" a="1"/>
  <c r="O891" i="17" s="1"/>
  <c r="O908" i="17" a="1"/>
  <c r="O908" i="17" s="1"/>
  <c r="O925" i="17" a="1"/>
  <c r="O925" i="17" s="1"/>
  <c r="O942" i="17" a="1"/>
  <c r="O942" i="17" s="1"/>
  <c r="O507" i="17" a="1"/>
  <c r="O507" i="17" s="1"/>
  <c r="O508" i="17" a="1"/>
  <c r="O508" i="17" s="1"/>
  <c r="O509" i="17" a="1"/>
  <c r="O509" i="17" s="1"/>
  <c r="O510" i="17" a="1"/>
  <c r="O510" i="17" s="1"/>
  <c r="O511" i="17" a="1"/>
  <c r="O511" i="17" s="1"/>
  <c r="O512" i="17" a="1"/>
  <c r="O512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107" i="17" a="1"/>
  <c r="O107" i="17" s="1"/>
  <c r="O124" i="17" a="1"/>
  <c r="O124" i="17"/>
  <c r="O141" i="17" a="1"/>
  <c r="O141" i="17" s="1"/>
  <c r="O158" i="17" a="1"/>
  <c r="O158" i="17"/>
  <c r="O181" i="17" a="1"/>
  <c r="O181" i="17" s="1"/>
  <c r="O182" i="17" a="1"/>
  <c r="O182" i="17" s="1"/>
  <c r="O183" i="17" a="1"/>
  <c r="O183" i="17" s="1"/>
  <c r="O226" i="17" a="1"/>
  <c r="O226" i="17"/>
  <c r="O243" i="17" a="1"/>
  <c r="O243" i="17" s="1"/>
  <c r="O260" i="17" a="1"/>
  <c r="O260" i="17" s="1"/>
  <c r="O277" i="17" a="1"/>
  <c r="O277" i="17" s="1"/>
  <c r="O294" i="17" a="1"/>
  <c r="O294" i="17" s="1"/>
  <c r="O311" i="17" a="1"/>
  <c r="O311" i="17" s="1"/>
  <c r="O328" i="17" a="1"/>
  <c r="O328" i="17" s="1"/>
  <c r="O345" i="17" a="1"/>
  <c r="O345" i="17" s="1"/>
  <c r="O362" i="17" a="1"/>
  <c r="O362" i="17" s="1"/>
  <c r="O447" i="17" a="1"/>
  <c r="O447" i="17" s="1"/>
  <c r="O464" i="17" a="1"/>
  <c r="O464" i="17" s="1"/>
  <c r="O481" i="17" a="1"/>
  <c r="O481" i="17" s="1"/>
  <c r="O385" i="17" a="1"/>
  <c r="O385" i="17" s="1"/>
  <c r="O386" i="17" a="1"/>
  <c r="O386" i="17" s="1"/>
  <c r="O387" i="17" a="1"/>
  <c r="O387" i="17" s="1"/>
  <c r="O430" i="17" a="1"/>
  <c r="O430" i="17" s="1"/>
  <c r="O600" i="17" a="1"/>
  <c r="O600" i="17" s="1"/>
  <c r="O617" i="17" a="1"/>
  <c r="O617" i="17" s="1"/>
  <c r="O634" i="17" a="1"/>
  <c r="O634" i="17" s="1"/>
  <c r="O651" i="17" a="1"/>
  <c r="O651" i="17" s="1"/>
  <c r="O668" i="17" a="1"/>
  <c r="O668" i="17" s="1"/>
  <c r="O685" i="17" a="1"/>
  <c r="O685" i="17" s="1"/>
  <c r="O702" i="17" a="1"/>
  <c r="O702" i="17" s="1"/>
  <c r="O718" i="17" a="1"/>
  <c r="O718" i="17" s="1"/>
  <c r="O739" i="17" a="1"/>
  <c r="O739" i="17" s="1"/>
  <c r="O756" i="17" a="1"/>
  <c r="O756" i="17" s="1"/>
  <c r="O773" i="17" a="1"/>
  <c r="O773" i="17" s="1"/>
  <c r="O790" i="17" a="1"/>
  <c r="O790" i="17" s="1"/>
  <c r="O807" i="17" a="1"/>
  <c r="O807" i="17" s="1"/>
  <c r="O824" i="17" a="1"/>
  <c r="O824" i="17" s="1"/>
  <c r="O841" i="17" a="1"/>
  <c r="O841" i="17"/>
  <c r="O858" i="17" a="1"/>
  <c r="O858" i="17" s="1"/>
  <c r="O875" i="17" a="1"/>
  <c r="O875" i="17" s="1"/>
  <c r="O892" i="17" a="1"/>
  <c r="O892" i="17" s="1"/>
  <c r="O909" i="17" a="1"/>
  <c r="O909" i="17" s="1"/>
  <c r="O926" i="17" a="1"/>
  <c r="O926" i="17" s="1"/>
  <c r="O943" i="17" a="1"/>
  <c r="O943" i="17" s="1"/>
  <c r="O513" i="17" a="1"/>
  <c r="O513" i="17" s="1"/>
  <c r="O514" i="17" a="1"/>
  <c r="O514" i="17" s="1"/>
  <c r="O515" i="17" a="1"/>
  <c r="O515" i="17" s="1"/>
  <c r="O516" i="17" a="1"/>
  <c r="O516" i="17" s="1"/>
  <c r="O517" i="17" a="1"/>
  <c r="O517" i="17" s="1"/>
  <c r="O518" i="17" a="1"/>
  <c r="O518" i="17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108" i="17" a="1"/>
  <c r="O108" i="17" s="1"/>
  <c r="O125" i="17" a="1"/>
  <c r="O125" i="17" s="1"/>
  <c r="O142" i="17" a="1"/>
  <c r="O142" i="17"/>
  <c r="O159" i="17" a="1"/>
  <c r="O159" i="17" s="1"/>
  <c r="O184" i="17" a="1"/>
  <c r="O184" i="17" s="1"/>
  <c r="O185" i="17" a="1"/>
  <c r="O185" i="17"/>
  <c r="O186" i="17" a="1"/>
  <c r="O186" i="17" s="1"/>
  <c r="O227" i="17" a="1"/>
  <c r="O227" i="17" s="1"/>
  <c r="O244" i="17" a="1"/>
  <c r="O244" i="17" s="1"/>
  <c r="O261" i="17" a="1"/>
  <c r="O261" i="17" s="1"/>
  <c r="O278" i="17" a="1"/>
  <c r="O278" i="17" s="1"/>
  <c r="O295" i="17" a="1"/>
  <c r="O295" i="17" s="1"/>
  <c r="O312" i="17" a="1"/>
  <c r="O312" i="17" s="1"/>
  <c r="O329" i="17" a="1"/>
  <c r="O329" i="17" s="1"/>
  <c r="O346" i="17" a="1"/>
  <c r="O346" i="17" s="1"/>
  <c r="O363" i="17" a="1"/>
  <c r="O363" i="17" s="1"/>
  <c r="O448" i="17" a="1"/>
  <c r="O448" i="17"/>
  <c r="O465" i="17" a="1"/>
  <c r="O465" i="17" s="1"/>
  <c r="O482" i="17" a="1"/>
  <c r="O482" i="17" s="1"/>
  <c r="O388" i="17" a="1"/>
  <c r="O388" i="17" s="1"/>
  <c r="O389" i="17" a="1"/>
  <c r="O389" i="17" s="1"/>
  <c r="O390" i="17" a="1"/>
  <c r="O390" i="17" s="1"/>
  <c r="O431" i="17" a="1"/>
  <c r="O431" i="17" s="1"/>
  <c r="O601" i="17" a="1"/>
  <c r="O601" i="17" s="1"/>
  <c r="O618" i="17" a="1"/>
  <c r="O618" i="17" s="1"/>
  <c r="O635" i="17" a="1"/>
  <c r="O635" i="17"/>
  <c r="O652" i="17" a="1"/>
  <c r="O652" i="17" s="1"/>
  <c r="O669" i="17" a="1"/>
  <c r="O669" i="17" s="1"/>
  <c r="O686" i="17" a="1"/>
  <c r="O686" i="17" s="1"/>
  <c r="O703" i="17" a="1"/>
  <c r="O703" i="17" s="1"/>
  <c r="O719" i="17" a="1"/>
  <c r="O719" i="17" s="1"/>
  <c r="O731" i="17" a="1"/>
  <c r="O731" i="17" s="1"/>
  <c r="O740" i="17" a="1"/>
  <c r="O740" i="17" s="1"/>
  <c r="O757" i="17" a="1"/>
  <c r="O757" i="17" s="1"/>
  <c r="O774" i="17" a="1"/>
  <c r="O774" i="17" s="1"/>
  <c r="O791" i="17" a="1"/>
  <c r="O791" i="17" s="1"/>
  <c r="O808" i="17" a="1"/>
  <c r="O808" i="17"/>
  <c r="O825" i="17" a="1"/>
  <c r="O825" i="17" s="1"/>
  <c r="O842" i="17" a="1"/>
  <c r="O842" i="17" s="1"/>
  <c r="O859" i="17" a="1"/>
  <c r="O859" i="17" s="1"/>
  <c r="O876" i="17" a="1"/>
  <c r="O876" i="17" s="1"/>
  <c r="O893" i="17" a="1"/>
  <c r="O893" i="17" s="1"/>
  <c r="O910" i="17" a="1"/>
  <c r="O910" i="17" s="1"/>
  <c r="O927" i="17" a="1"/>
  <c r="O927" i="17" s="1"/>
  <c r="O944" i="17" a="1"/>
  <c r="O944" i="17" s="1"/>
  <c r="O519" i="17" a="1"/>
  <c r="O519" i="17" s="1"/>
  <c r="O520" i="17" a="1"/>
  <c r="O520" i="17" s="1"/>
  <c r="O521" i="17" a="1"/>
  <c r="O521" i="17" s="1"/>
  <c r="O522" i="17" a="1"/>
  <c r="O522" i="17" s="1"/>
  <c r="O523" i="17" a="1"/>
  <c r="O523" i="17"/>
  <c r="O524" i="17" a="1"/>
  <c r="O524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109" i="17" a="1"/>
  <c r="O109" i="17"/>
  <c r="O126" i="17" a="1"/>
  <c r="O126" i="17"/>
  <c r="O143" i="17" a="1"/>
  <c r="O143" i="17" s="1"/>
  <c r="O160" i="17" a="1"/>
  <c r="O160" i="17"/>
  <c r="O187" i="17" a="1"/>
  <c r="O187" i="17" s="1"/>
  <c r="O188" i="17" a="1"/>
  <c r="O188" i="17" s="1"/>
  <c r="O189" i="17" a="1"/>
  <c r="O189" i="17" s="1"/>
  <c r="O228" i="17" a="1"/>
  <c r="O228" i="17" s="1"/>
  <c r="O245" i="17" a="1"/>
  <c r="O245" i="17" s="1"/>
  <c r="O262" i="17" a="1"/>
  <c r="O262" i="17" s="1"/>
  <c r="O279" i="17" a="1"/>
  <c r="O279" i="17" s="1"/>
  <c r="O296" i="17" a="1"/>
  <c r="O296" i="17" s="1"/>
  <c r="O313" i="17" a="1"/>
  <c r="O313" i="17" s="1"/>
  <c r="O330" i="17" a="1"/>
  <c r="O330" i="17" s="1"/>
  <c r="O347" i="17" a="1"/>
  <c r="O347" i="17" s="1"/>
  <c r="O364" i="17" a="1"/>
  <c r="O364" i="17"/>
  <c r="O449" i="17" a="1"/>
  <c r="O449" i="17" s="1"/>
  <c r="O466" i="17" a="1"/>
  <c r="O466" i="17" s="1"/>
  <c r="O483" i="17" a="1"/>
  <c r="O483" i="17" s="1"/>
  <c r="O391" i="17" a="1"/>
  <c r="O391" i="17" s="1"/>
  <c r="O392" i="17" a="1"/>
  <c r="O392" i="17"/>
  <c r="O393" i="17" a="1"/>
  <c r="O393" i="17" s="1"/>
  <c r="O432" i="17" a="1"/>
  <c r="O432" i="17" s="1"/>
  <c r="O602" i="17" a="1"/>
  <c r="O602" i="17" s="1"/>
  <c r="O619" i="17" a="1"/>
  <c r="O619" i="17" s="1"/>
  <c r="O636" i="17" a="1"/>
  <c r="O636" i="17" s="1"/>
  <c r="O653" i="17" a="1"/>
  <c r="O653" i="17" s="1"/>
  <c r="O670" i="17" a="1"/>
  <c r="O670" i="17" s="1"/>
  <c r="O687" i="17" a="1"/>
  <c r="O687" i="17" s="1"/>
  <c r="O704" i="17" a="1"/>
  <c r="O704" i="17"/>
  <c r="O720" i="17" a="1"/>
  <c r="O720" i="17" s="1"/>
  <c r="O741" i="17" a="1"/>
  <c r="O741" i="17" s="1"/>
  <c r="O758" i="17" a="1"/>
  <c r="O758" i="17" s="1"/>
  <c r="O775" i="17" a="1"/>
  <c r="O775" i="17" s="1"/>
  <c r="O792" i="17" a="1"/>
  <c r="O792" i="17" s="1"/>
  <c r="O809" i="17" a="1"/>
  <c r="O809" i="17" s="1"/>
  <c r="O826" i="17" a="1"/>
  <c r="O826" i="17"/>
  <c r="O843" i="17" a="1"/>
  <c r="O843" i="17" s="1"/>
  <c r="O860" i="17" a="1"/>
  <c r="O860" i="17" s="1"/>
  <c r="O877" i="17" a="1"/>
  <c r="O877" i="17" s="1"/>
  <c r="O894" i="17" a="1"/>
  <c r="O894" i="17" s="1"/>
  <c r="O911" i="17" a="1"/>
  <c r="O911" i="17" s="1"/>
  <c r="O928" i="17" a="1"/>
  <c r="O928" i="17" s="1"/>
  <c r="O945" i="17" a="1"/>
  <c r="O945" i="17"/>
  <c r="O525" i="17" a="1"/>
  <c r="O525" i="17" s="1"/>
  <c r="O526" i="17" a="1"/>
  <c r="O526" i="17"/>
  <c r="O527" i="17" a="1"/>
  <c r="O527" i="17" s="1"/>
  <c r="O528" i="17" a="1"/>
  <c r="O528" i="17" s="1"/>
  <c r="O529" i="17" a="1"/>
  <c r="O529" i="17" s="1"/>
  <c r="O530" i="17" a="1"/>
  <c r="O530" i="17" s="1"/>
  <c r="O38" i="17" a="1"/>
  <c r="O38" i="17" s="1"/>
  <c r="O39" i="17" a="1"/>
  <c r="O39" i="17" s="1"/>
  <c r="O40" i="17" a="1"/>
  <c r="O40" i="17"/>
  <c r="O41" i="17" a="1"/>
  <c r="O41" i="17" s="1"/>
  <c r="O42" i="17" a="1"/>
  <c r="O42" i="17" s="1"/>
  <c r="O43" i="17" a="1"/>
  <c r="O43" i="17" s="1"/>
  <c r="O110" i="17" a="1"/>
  <c r="O110" i="17" s="1"/>
  <c r="O127" i="17" a="1"/>
  <c r="O127" i="17" s="1"/>
  <c r="O144" i="17" a="1"/>
  <c r="O144" i="17" s="1"/>
  <c r="O161" i="17" a="1"/>
  <c r="O161" i="17" s="1"/>
  <c r="O190" i="17" a="1"/>
  <c r="O190" i="17" s="1"/>
  <c r="O191" i="17" a="1"/>
  <c r="O191" i="17"/>
  <c r="O192" i="17" a="1"/>
  <c r="O192" i="17" s="1"/>
  <c r="O229" i="17" a="1"/>
  <c r="O229" i="17" s="1"/>
  <c r="O246" i="17" a="1"/>
  <c r="O246" i="17" s="1"/>
  <c r="O263" i="17" a="1"/>
  <c r="O263" i="17" s="1"/>
  <c r="O280" i="17" a="1"/>
  <c r="O280" i="17" s="1"/>
  <c r="O297" i="17" a="1"/>
  <c r="O297" i="17" s="1"/>
  <c r="O314" i="17" a="1"/>
  <c r="O314" i="17"/>
  <c r="O331" i="17" a="1"/>
  <c r="O331" i="17" s="1"/>
  <c r="O348" i="17" a="1"/>
  <c r="O348" i="17" s="1"/>
  <c r="O365" i="17" a="1"/>
  <c r="O365" i="17" s="1"/>
  <c r="O450" i="17" a="1"/>
  <c r="O450" i="17" s="1"/>
  <c r="O467" i="17" a="1"/>
  <c r="O467" i="17" s="1"/>
  <c r="O484" i="17" a="1"/>
  <c r="O484" i="17" s="1"/>
  <c r="O394" i="17" a="1"/>
  <c r="O394" i="17"/>
  <c r="O395" i="17" a="1"/>
  <c r="O395" i="17" s="1"/>
  <c r="O396" i="17" a="1"/>
  <c r="O396" i="17" s="1"/>
  <c r="O433" i="17" a="1"/>
  <c r="O433" i="17" s="1"/>
  <c r="O603" i="17" a="1"/>
  <c r="O603" i="17" s="1"/>
  <c r="O620" i="17" a="1"/>
  <c r="O620" i="17" s="1"/>
  <c r="O637" i="17" a="1"/>
  <c r="O637" i="17" s="1"/>
  <c r="O654" i="17" a="1"/>
  <c r="O654" i="17" s="1"/>
  <c r="O671" i="17" a="1"/>
  <c r="O671" i="17" s="1"/>
  <c r="O688" i="17" a="1"/>
  <c r="O688" i="17" s="1"/>
  <c r="O705" i="17" a="1"/>
  <c r="O705" i="17" s="1"/>
  <c r="O721" i="17" a="1"/>
  <c r="O721" i="17" s="1"/>
  <c r="O732" i="17" a="1"/>
  <c r="O732" i="17" s="1"/>
  <c r="O742" i="17" a="1"/>
  <c r="O742" i="17" s="1"/>
  <c r="O759" i="17" a="1"/>
  <c r="O759" i="17" s="1"/>
  <c r="O776" i="17" a="1"/>
  <c r="O776" i="17" s="1"/>
  <c r="O793" i="17" a="1"/>
  <c r="O793" i="17"/>
  <c r="O810" i="17" a="1"/>
  <c r="O810" i="17" s="1"/>
  <c r="O827" i="17" a="1"/>
  <c r="O827" i="17" s="1"/>
  <c r="O844" i="17" a="1"/>
  <c r="O844" i="17" s="1"/>
  <c r="O861" i="17" a="1"/>
  <c r="O861" i="17" s="1"/>
  <c r="O878" i="17" a="1"/>
  <c r="O878" i="17" s="1"/>
  <c r="O895" i="17" a="1"/>
  <c r="O895" i="17" s="1"/>
  <c r="O912" i="17" a="1"/>
  <c r="O912" i="17" s="1"/>
  <c r="O929" i="17" a="1"/>
  <c r="O929" i="17" s="1"/>
  <c r="O946" i="17" a="1"/>
  <c r="O946" i="17" s="1"/>
  <c r="O531" i="17" a="1"/>
  <c r="O531" i="17" s="1"/>
  <c r="O532" i="17" a="1"/>
  <c r="O532" i="17" s="1"/>
  <c r="O533" i="17" a="1"/>
  <c r="O533" i="17" s="1"/>
  <c r="O534" i="17" a="1"/>
  <c r="O534" i="17" s="1"/>
  <c r="O535" i="17" a="1"/>
  <c r="O535" i="17" s="1"/>
  <c r="O536" i="17" a="1"/>
  <c r="O536" i="17" s="1"/>
  <c r="O44" i="17" a="1"/>
  <c r="O44" i="17" s="1"/>
  <c r="O45" i="17" a="1"/>
  <c r="O45" i="17"/>
  <c r="O46" i="17" a="1"/>
  <c r="O46" i="17" s="1"/>
  <c r="O47" i="17" a="1"/>
  <c r="O47" i="17" s="1"/>
  <c r="O48" i="17" a="1"/>
  <c r="O48" i="17" s="1"/>
  <c r="O49" i="17" a="1"/>
  <c r="O49" i="17" s="1"/>
  <c r="O111" i="17" a="1"/>
  <c r="O111" i="17" s="1"/>
  <c r="O128" i="17" a="1"/>
  <c r="O128" i="17" s="1"/>
  <c r="O145" i="17" a="1"/>
  <c r="O145" i="17" s="1"/>
  <c r="O162" i="17" a="1"/>
  <c r="O162" i="17" s="1"/>
  <c r="O193" i="17" a="1"/>
  <c r="O193" i="17"/>
  <c r="O194" i="17" a="1"/>
  <c r="O194" i="17" s="1"/>
  <c r="O195" i="17" a="1"/>
  <c r="O195" i="17" s="1"/>
  <c r="O230" i="17" a="1"/>
  <c r="O230" i="17" s="1"/>
  <c r="O247" i="17" a="1"/>
  <c r="O247" i="17" s="1"/>
  <c r="O264" i="17" a="1"/>
  <c r="O264" i="17" s="1"/>
  <c r="O281" i="17" a="1"/>
  <c r="O281" i="17" s="1"/>
  <c r="O298" i="17" a="1"/>
  <c r="O298" i="17" s="1"/>
  <c r="O315" i="17" a="1"/>
  <c r="O315" i="17" s="1"/>
  <c r="O332" i="17" a="1"/>
  <c r="O332" i="17" s="1"/>
  <c r="O349" i="17" a="1"/>
  <c r="O349" i="17" s="1"/>
  <c r="O366" i="17" a="1"/>
  <c r="O366" i="17" s="1"/>
  <c r="O451" i="17" a="1"/>
  <c r="O451" i="17" s="1"/>
  <c r="O468" i="17" a="1"/>
  <c r="O468" i="17" s="1"/>
  <c r="O485" i="17" a="1"/>
  <c r="O485" i="17"/>
  <c r="O397" i="17" a="1"/>
  <c r="O397" i="17" s="1"/>
  <c r="O398" i="17" a="1"/>
  <c r="O398" i="17" s="1"/>
  <c r="O399" i="17" a="1"/>
  <c r="O399" i="17" s="1"/>
  <c r="O434" i="17" a="1"/>
  <c r="O434" i="17" s="1"/>
  <c r="O604" i="17" a="1"/>
  <c r="O604" i="17" s="1"/>
  <c r="O621" i="17" a="1"/>
  <c r="O621" i="17" s="1"/>
  <c r="O638" i="17" a="1"/>
  <c r="O638" i="17" s="1"/>
  <c r="O655" i="17" a="1"/>
  <c r="O655" i="17" s="1"/>
  <c r="O672" i="17" a="1"/>
  <c r="O672" i="17" s="1"/>
  <c r="O689" i="17" a="1"/>
  <c r="O689" i="17" s="1"/>
  <c r="O706" i="17" a="1"/>
  <c r="O706" i="17" s="1"/>
  <c r="O722" i="17" a="1"/>
  <c r="O722" i="17" s="1"/>
  <c r="O733" i="17" a="1"/>
  <c r="O733" i="17" s="1"/>
  <c r="O743" i="17" a="1"/>
  <c r="O743" i="17" s="1"/>
  <c r="O760" i="17" a="1"/>
  <c r="O760" i="17" s="1"/>
  <c r="O777" i="17" a="1"/>
  <c r="O777" i="17" s="1"/>
  <c r="O794" i="17" a="1"/>
  <c r="O794" i="17" s="1"/>
  <c r="O811" i="17" a="1"/>
  <c r="O811" i="17"/>
  <c r="O828" i="17" a="1"/>
  <c r="O828" i="17" s="1"/>
  <c r="O845" i="17" a="1"/>
  <c r="O845" i="17" s="1"/>
  <c r="O862" i="17" a="1"/>
  <c r="O862" i="17" s="1"/>
  <c r="O879" i="17" a="1"/>
  <c r="O879" i="17" s="1"/>
  <c r="O896" i="17" a="1"/>
  <c r="O896" i="17" s="1"/>
  <c r="O913" i="17" a="1"/>
  <c r="O913" i="17"/>
  <c r="O930" i="17" a="1"/>
  <c r="O930" i="17" s="1"/>
  <c r="O947" i="17" a="1"/>
  <c r="O947" i="17" s="1"/>
  <c r="O537" i="17" a="1"/>
  <c r="O537" i="17" s="1"/>
  <c r="O538" i="17" a="1"/>
  <c r="O538" i="17" s="1"/>
  <c r="O539" i="17" a="1"/>
  <c r="O539" i="17" s="1"/>
  <c r="O540" i="17" a="1"/>
  <c r="O540" i="17" s="1"/>
  <c r="O541" i="17" a="1"/>
  <c r="O541" i="17" s="1"/>
  <c r="O542" i="17" a="1"/>
  <c r="O542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112" i="17" a="1"/>
  <c r="O112" i="17" s="1"/>
  <c r="O129" i="17" a="1"/>
  <c r="O129" i="17" s="1"/>
  <c r="O146" i="17" a="1"/>
  <c r="O146" i="17"/>
  <c r="O163" i="17" a="1"/>
  <c r="O163" i="17" s="1"/>
  <c r="O196" i="17" a="1"/>
  <c r="O196" i="17" s="1"/>
  <c r="O197" i="17" a="1"/>
  <c r="O197" i="17" s="1"/>
  <c r="O198" i="17" a="1"/>
  <c r="O198" i="17" s="1"/>
  <c r="O231" i="17" a="1"/>
  <c r="O231" i="17" s="1"/>
  <c r="O248" i="17" a="1"/>
  <c r="O248" i="17" s="1"/>
  <c r="O265" i="17" a="1"/>
  <c r="O265" i="17" s="1"/>
  <c r="O282" i="17" a="1"/>
  <c r="O282" i="17" s="1"/>
  <c r="O299" i="17" a="1"/>
  <c r="O299" i="17" s="1"/>
  <c r="O316" i="17" a="1"/>
  <c r="O316" i="17" s="1"/>
  <c r="O333" i="17" a="1"/>
  <c r="O333" i="17" s="1"/>
  <c r="O350" i="17" a="1"/>
  <c r="O350" i="17" s="1"/>
  <c r="O367" i="17" a="1"/>
  <c r="O367" i="17" s="1"/>
  <c r="O452" i="17" a="1"/>
  <c r="O452" i="17" s="1"/>
  <c r="O469" i="17" a="1"/>
  <c r="O469" i="17"/>
  <c r="O486" i="17" a="1"/>
  <c r="O486" i="17" s="1"/>
  <c r="O400" i="17" a="1"/>
  <c r="O400" i="17"/>
  <c r="O401" i="17" a="1"/>
  <c r="O401" i="17" s="1"/>
  <c r="O402" i="17" a="1"/>
  <c r="O402" i="17" s="1"/>
  <c r="O435" i="17" a="1"/>
  <c r="O435" i="17" s="1"/>
  <c r="O605" i="17" a="1"/>
  <c r="O605" i="17" s="1"/>
  <c r="O622" i="17" a="1"/>
  <c r="O622" i="17" s="1"/>
  <c r="O639" i="17" a="1"/>
  <c r="O639" i="17" s="1"/>
  <c r="O656" i="17" a="1"/>
  <c r="O656" i="17" s="1"/>
  <c r="O673" i="17" a="1"/>
  <c r="O673" i="17" s="1"/>
  <c r="O690" i="17" a="1"/>
  <c r="O690" i="17" s="1"/>
  <c r="O707" i="17" a="1"/>
  <c r="O707" i="17" s="1"/>
  <c r="O744" i="17" a="1"/>
  <c r="O744" i="17" s="1"/>
  <c r="O761" i="17" a="1"/>
  <c r="O761" i="17" s="1"/>
  <c r="O778" i="17" a="1"/>
  <c r="O778" i="17" s="1"/>
  <c r="O795" i="17" a="1"/>
  <c r="O795" i="17" s="1"/>
  <c r="O812" i="17" a="1"/>
  <c r="O812" i="17" s="1"/>
  <c r="O829" i="17" a="1"/>
  <c r="O829" i="17"/>
  <c r="O846" i="17" a="1"/>
  <c r="O846" i="17" s="1"/>
  <c r="O863" i="17" a="1"/>
  <c r="O863" i="17" s="1"/>
  <c r="O880" i="17" a="1"/>
  <c r="O880" i="17" s="1"/>
  <c r="O897" i="17" a="1"/>
  <c r="O897" i="17" s="1"/>
  <c r="O914" i="17" a="1"/>
  <c r="O914" i="17" s="1"/>
  <c r="O931" i="17" a="1"/>
  <c r="O931" i="17" s="1"/>
  <c r="O948" i="17" a="1"/>
  <c r="O948" i="17"/>
  <c r="O543" i="17" a="1"/>
  <c r="O543" i="17" s="1"/>
  <c r="O544" i="17" a="1"/>
  <c r="O544" i="17" s="1"/>
  <c r="O545" i="17" a="1"/>
  <c r="O545" i="17" s="1"/>
  <c r="O546" i="17" a="1"/>
  <c r="O546" i="17" s="1"/>
  <c r="O547" i="17" a="1"/>
  <c r="O547" i="17" s="1"/>
  <c r="O548" i="17" a="1"/>
  <c r="O548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113" i="17" a="1"/>
  <c r="O113" i="17" s="1"/>
  <c r="O130" i="17" a="1"/>
  <c r="O130" i="17" s="1"/>
  <c r="O147" i="17" a="1"/>
  <c r="O147" i="17"/>
  <c r="O164" i="17" a="1"/>
  <c r="O164" i="17" s="1"/>
  <c r="O199" i="17" a="1"/>
  <c r="O199" i="17" s="1"/>
  <c r="O200" i="17" a="1"/>
  <c r="O200" i="17" s="1"/>
  <c r="O201" i="17" a="1"/>
  <c r="O201" i="17" s="1"/>
  <c r="O232" i="17" a="1"/>
  <c r="O232" i="17" s="1"/>
  <c r="O249" i="17" a="1"/>
  <c r="O249" i="17" s="1"/>
  <c r="O266" i="17" a="1"/>
  <c r="O266" i="17" s="1"/>
  <c r="O283" i="17" a="1"/>
  <c r="O283" i="17" s="1"/>
  <c r="O300" i="17" a="1"/>
  <c r="O300" i="17" s="1"/>
  <c r="O317" i="17" a="1"/>
  <c r="O317" i="17" s="1"/>
  <c r="O334" i="17" a="1"/>
  <c r="O334" i="17" s="1"/>
  <c r="O351" i="17" a="1"/>
  <c r="O351" i="17" s="1"/>
  <c r="O368" i="17" a="1"/>
  <c r="O368" i="17" s="1"/>
  <c r="O453" i="17" a="1"/>
  <c r="O453" i="17" s="1"/>
  <c r="O470" i="17" a="1"/>
  <c r="O470" i="17" s="1"/>
  <c r="O487" i="17" a="1"/>
  <c r="O487" i="17" s="1"/>
  <c r="O403" i="17" a="1"/>
  <c r="O403" i="17" s="1"/>
  <c r="O404" i="17" a="1"/>
  <c r="O404" i="17" s="1"/>
  <c r="O405" i="17" a="1"/>
  <c r="O405" i="17" s="1"/>
  <c r="O436" i="17" a="1"/>
  <c r="O436" i="17" s="1"/>
  <c r="O606" i="17" a="1"/>
  <c r="O606" i="17" s="1"/>
  <c r="O623" i="17" a="1"/>
  <c r="O623" i="17" s="1"/>
  <c r="O640" i="17" a="1"/>
  <c r="O640" i="17" s="1"/>
  <c r="O657" i="17" a="1"/>
  <c r="O657" i="17" s="1"/>
  <c r="O674" i="17" a="1"/>
  <c r="O674" i="17" s="1"/>
  <c r="O691" i="17" a="1"/>
  <c r="O691" i="17"/>
  <c r="O708" i="17" a="1"/>
  <c r="O708" i="17" s="1"/>
  <c r="O745" i="17" a="1"/>
  <c r="O745" i="17" s="1"/>
  <c r="O762" i="17" a="1"/>
  <c r="O762" i="17" s="1"/>
  <c r="O779" i="17" a="1"/>
  <c r="O779" i="17" s="1"/>
  <c r="O796" i="17" a="1"/>
  <c r="O796" i="17" s="1"/>
  <c r="O813" i="17" a="1"/>
  <c r="O813" i="17" s="1"/>
  <c r="O830" i="17" a="1"/>
  <c r="O830" i="17"/>
  <c r="O847" i="17" a="1"/>
  <c r="O847" i="17" s="1"/>
  <c r="O864" i="17" a="1"/>
  <c r="O864" i="17" s="1"/>
  <c r="O881" i="17" a="1"/>
  <c r="O881" i="17" s="1"/>
  <c r="O898" i="17" a="1"/>
  <c r="O898" i="17" s="1"/>
  <c r="O915" i="17" a="1"/>
  <c r="O915" i="17" s="1"/>
  <c r="O932" i="17" a="1"/>
  <c r="O932" i="17" s="1"/>
  <c r="O949" i="17" a="1"/>
  <c r="O949" i="17" s="1"/>
  <c r="O549" i="17" a="1"/>
  <c r="O549" i="17"/>
  <c r="O550" i="17" a="1"/>
  <c r="O550" i="17" s="1"/>
  <c r="O551" i="17" a="1"/>
  <c r="O551" i="17" s="1"/>
  <c r="O552" i="17" a="1"/>
  <c r="O552" i="17" s="1"/>
  <c r="O553" i="17" a="1"/>
  <c r="O553" i="17" s="1"/>
  <c r="O554" i="17" a="1"/>
  <c r="O554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114" i="17" a="1"/>
  <c r="O114" i="17" s="1"/>
  <c r="O131" i="17" a="1"/>
  <c r="O131" i="17" s="1"/>
  <c r="O148" i="17" a="1"/>
  <c r="O148" i="17" s="1"/>
  <c r="O165" i="17" a="1"/>
  <c r="O165" i="17"/>
  <c r="O202" i="17" a="1"/>
  <c r="O202" i="17" s="1"/>
  <c r="O203" i="17" a="1"/>
  <c r="O203" i="17" s="1"/>
  <c r="O204" i="17" a="1"/>
  <c r="O204" i="17" s="1"/>
  <c r="O233" i="17" a="1"/>
  <c r="O233" i="17" s="1"/>
  <c r="O250" i="17" a="1"/>
  <c r="O250" i="17" s="1"/>
  <c r="O267" i="17" a="1"/>
  <c r="O267" i="17" s="1"/>
  <c r="O284" i="17" a="1"/>
  <c r="O284" i="17" s="1"/>
  <c r="O301" i="17" a="1"/>
  <c r="O301" i="17"/>
  <c r="O318" i="17" a="1"/>
  <c r="O318" i="17" s="1"/>
  <c r="O335" i="17" a="1"/>
  <c r="O335" i="17" s="1"/>
  <c r="O352" i="17" a="1"/>
  <c r="O352" i="17" s="1"/>
  <c r="O369" i="17" a="1"/>
  <c r="O369" i="17" s="1"/>
  <c r="O454" i="17" a="1"/>
  <c r="O454" i="17" s="1"/>
  <c r="O471" i="17" a="1"/>
  <c r="O471" i="17" s="1"/>
  <c r="O488" i="17" a="1"/>
  <c r="O488" i="17" s="1"/>
  <c r="O406" i="17" a="1"/>
  <c r="O406" i="17" s="1"/>
  <c r="O407" i="17" a="1"/>
  <c r="O407" i="17" s="1"/>
  <c r="O408" i="17" a="1"/>
  <c r="O408" i="17"/>
  <c r="O437" i="17" a="1"/>
  <c r="O437" i="17" s="1"/>
  <c r="O607" i="17" a="1"/>
  <c r="O607" i="17" s="1"/>
  <c r="O624" i="17" a="1"/>
  <c r="O624" i="17" s="1"/>
  <c r="O641" i="17" a="1"/>
  <c r="O641" i="17" s="1"/>
  <c r="O658" i="17" a="1"/>
  <c r="O658" i="17" s="1"/>
  <c r="O675" i="17" a="1"/>
  <c r="O675" i="17" s="1"/>
  <c r="O692" i="17" a="1"/>
  <c r="O692" i="17"/>
  <c r="O709" i="17" a="1"/>
  <c r="O709" i="17" s="1"/>
  <c r="O723" i="17" a="1"/>
  <c r="O723" i="17" s="1"/>
  <c r="O734" i="17" a="1"/>
  <c r="O734" i="17" s="1"/>
  <c r="O746" i="17" a="1"/>
  <c r="O746" i="17" s="1"/>
  <c r="O763" i="17" a="1"/>
  <c r="O763" i="17" s="1"/>
  <c r="O780" i="17" a="1"/>
  <c r="O780" i="17" s="1"/>
  <c r="O797" i="17" a="1"/>
  <c r="O797" i="17" s="1"/>
  <c r="O814" i="17" a="1"/>
  <c r="O814" i="17" s="1"/>
  <c r="O831" i="17" a="1"/>
  <c r="O831" i="17" s="1"/>
  <c r="O848" i="17" a="1"/>
  <c r="O848" i="17" s="1"/>
  <c r="O865" i="17" a="1"/>
  <c r="O865" i="17" s="1"/>
  <c r="O882" i="17" a="1"/>
  <c r="O882" i="17" s="1"/>
  <c r="O899" i="17" a="1"/>
  <c r="O899" i="17" s="1"/>
  <c r="O916" i="17" a="1"/>
  <c r="O916" i="17" s="1"/>
  <c r="O933" i="17" a="1"/>
  <c r="O933" i="17" s="1"/>
  <c r="O950" i="17" a="1"/>
  <c r="O950" i="17" s="1"/>
  <c r="O555" i="17" a="1"/>
  <c r="O555" i="17" s="1"/>
  <c r="O556" i="17" a="1"/>
  <c r="O556" i="17" s="1"/>
  <c r="O557" i="17" a="1"/>
  <c r="O557" i="17" s="1"/>
  <c r="O558" i="17" a="1"/>
  <c r="O558" i="17" s="1"/>
  <c r="O559" i="17" a="1"/>
  <c r="O559" i="17" s="1"/>
  <c r="O560" i="17" a="1"/>
  <c r="O560" i="17" s="1"/>
  <c r="O68" i="17" a="1"/>
  <c r="O68" i="17" s="1"/>
  <c r="O69" i="17" a="1"/>
  <c r="O69" i="17" s="1"/>
  <c r="O70" i="17" a="1"/>
  <c r="O70" i="17"/>
  <c r="O71" i="17" a="1"/>
  <c r="O71" i="17" s="1"/>
  <c r="O72" i="17" a="1"/>
  <c r="O72" i="17" s="1"/>
  <c r="O73" i="17" a="1"/>
  <c r="O73" i="17" s="1"/>
  <c r="O115" i="17" a="1"/>
  <c r="O115" i="17" s="1"/>
  <c r="O132" i="17" a="1"/>
  <c r="O132" i="17" s="1"/>
  <c r="O149" i="17" a="1"/>
  <c r="O149" i="17" s="1"/>
  <c r="O166" i="17" a="1"/>
  <c r="O166" i="17" s="1"/>
  <c r="O205" i="17" a="1"/>
  <c r="O205" i="17"/>
  <c r="O206" i="17" a="1"/>
  <c r="O206" i="17" s="1"/>
  <c r="O207" i="17" a="1"/>
  <c r="O207" i="17" s="1"/>
  <c r="O234" i="17" a="1"/>
  <c r="O234" i="17" s="1"/>
  <c r="O251" i="17" a="1"/>
  <c r="O251" i="17" s="1"/>
  <c r="O268" i="17" a="1"/>
  <c r="O268" i="17" s="1"/>
  <c r="O285" i="17" a="1"/>
  <c r="O285" i="17"/>
  <c r="O302" i="17" a="1"/>
  <c r="O302" i="17" s="1"/>
  <c r="O319" i="17" a="1"/>
  <c r="O319" i="17" s="1"/>
  <c r="O336" i="17" a="1"/>
  <c r="O336" i="17" s="1"/>
  <c r="O353" i="17" a="1"/>
  <c r="O353" i="17" s="1"/>
  <c r="O370" i="17" a="1"/>
  <c r="O370" i="17" s="1"/>
  <c r="O455" i="17" a="1"/>
  <c r="O455" i="17" s="1"/>
  <c r="O472" i="17" a="1"/>
  <c r="O472" i="17" s="1"/>
  <c r="O489" i="17" a="1"/>
  <c r="O489" i="17" s="1"/>
  <c r="O409" i="17" a="1"/>
  <c r="O409" i="17" s="1"/>
  <c r="O410" i="17" a="1"/>
  <c r="O410" i="17" s="1"/>
  <c r="O411" i="17" a="1"/>
  <c r="O411" i="17" s="1"/>
  <c r="O438" i="17" a="1"/>
  <c r="O438" i="17" s="1"/>
  <c r="O608" i="17" a="1"/>
  <c r="O608" i="17" s="1"/>
  <c r="O625" i="17" a="1"/>
  <c r="O625" i="17" s="1"/>
  <c r="O642" i="17" a="1"/>
  <c r="O642" i="17" s="1"/>
  <c r="O659" i="17" a="1"/>
  <c r="O659" i="17" s="1"/>
  <c r="O676" i="17" a="1"/>
  <c r="O676" i="17" s="1"/>
  <c r="O693" i="17" a="1"/>
  <c r="O693" i="17" s="1"/>
  <c r="O710" i="17" a="1"/>
  <c r="O710" i="17" s="1"/>
  <c r="O724" i="17" a="1"/>
  <c r="O724" i="17" s="1"/>
  <c r="O747" i="17" a="1"/>
  <c r="O747" i="17" s="1"/>
  <c r="O764" i="17" a="1"/>
  <c r="O764" i="17" s="1"/>
  <c r="O781" i="17" a="1"/>
  <c r="O781" i="17" s="1"/>
  <c r="O798" i="17" a="1"/>
  <c r="O798" i="17" s="1"/>
  <c r="O815" i="17" a="1"/>
  <c r="O815" i="17" s="1"/>
  <c r="O832" i="17" a="1"/>
  <c r="O832" i="17" s="1"/>
  <c r="O849" i="17" a="1"/>
  <c r="O849" i="17" s="1"/>
  <c r="O866" i="17" a="1"/>
  <c r="O866" i="17" s="1"/>
  <c r="O883" i="17" a="1"/>
  <c r="O883" i="17" s="1"/>
  <c r="O900" i="17" a="1"/>
  <c r="O900" i="17" s="1"/>
  <c r="O917" i="17" a="1"/>
  <c r="O917" i="17" s="1"/>
  <c r="O934" i="17" a="1"/>
  <c r="O934" i="17" s="1"/>
  <c r="O951" i="17" a="1"/>
  <c r="O951" i="17" s="1"/>
  <c r="O561" i="17" a="1"/>
  <c r="O561" i="17" s="1"/>
  <c r="O562" i="17" a="1"/>
  <c r="O562" i="17" s="1"/>
  <c r="O563" i="17" a="1"/>
  <c r="O563" i="17" s="1"/>
  <c r="O564" i="17" a="1"/>
  <c r="O564" i="17" s="1"/>
  <c r="O565" i="17" a="1"/>
  <c r="O565" i="17"/>
  <c r="O566" i="17" a="1"/>
  <c r="O566" i="17" s="1"/>
  <c r="O74" i="17" a="1"/>
  <c r="O74" i="17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116" i="17" a="1"/>
  <c r="O116" i="17" s="1"/>
  <c r="O133" i="17" a="1"/>
  <c r="O133" i="17" s="1"/>
  <c r="O150" i="17" a="1"/>
  <c r="O150" i="17" s="1"/>
  <c r="O167" i="17" a="1"/>
  <c r="O167" i="17"/>
  <c r="O208" i="17" a="1"/>
  <c r="O208" i="17" s="1"/>
  <c r="O209" i="17" a="1"/>
  <c r="O209" i="17" s="1"/>
  <c r="O210" i="17" a="1"/>
  <c r="O210" i="17"/>
  <c r="O235" i="17" a="1"/>
  <c r="O235" i="17" s="1"/>
  <c r="O252" i="17" a="1"/>
  <c r="O252" i="17" s="1"/>
  <c r="O269" i="17" a="1"/>
  <c r="O269" i="17" s="1"/>
  <c r="O286" i="17" a="1"/>
  <c r="O286" i="17" s="1"/>
  <c r="O303" i="17" a="1"/>
  <c r="O303" i="17" s="1"/>
  <c r="O320" i="17" a="1"/>
  <c r="O320" i="17" s="1"/>
  <c r="O337" i="17" a="1"/>
  <c r="O337" i="17" s="1"/>
  <c r="O354" i="17" a="1"/>
  <c r="O354" i="17" s="1"/>
  <c r="O371" i="17" a="1"/>
  <c r="O371" i="17" s="1"/>
  <c r="O456" i="17" a="1"/>
  <c r="O456" i="17" s="1"/>
  <c r="O473" i="17" a="1"/>
  <c r="O473" i="17" s="1"/>
  <c r="O490" i="17" a="1"/>
  <c r="O490" i="17" s="1"/>
  <c r="O412" i="17" a="1"/>
  <c r="O412" i="17" s="1"/>
  <c r="O413" i="17" a="1"/>
  <c r="O413" i="17" s="1"/>
  <c r="O414" i="17" a="1"/>
  <c r="O414" i="17" s="1"/>
  <c r="O439" i="17" a="1"/>
  <c r="O439" i="17" s="1"/>
  <c r="O609" i="17" a="1"/>
  <c r="O609" i="17" s="1"/>
  <c r="O626" i="17" a="1"/>
  <c r="O626" i="17"/>
  <c r="O643" i="17" a="1"/>
  <c r="O643" i="17" s="1"/>
  <c r="O660" i="17" a="1"/>
  <c r="O660" i="17" s="1"/>
  <c r="O677" i="17" a="1"/>
  <c r="O677" i="17"/>
  <c r="O694" i="17" a="1"/>
  <c r="O694" i="17" s="1"/>
  <c r="O711" i="17" a="1"/>
  <c r="O711" i="17" s="1"/>
  <c r="O748" i="17" a="1"/>
  <c r="O748" i="17" s="1"/>
  <c r="O765" i="17" a="1"/>
  <c r="O765" i="17" s="1"/>
  <c r="O782" i="17" a="1"/>
  <c r="O782" i="17" s="1"/>
  <c r="O799" i="17" a="1"/>
  <c r="O799" i="17" s="1"/>
  <c r="O816" i="17" a="1"/>
  <c r="O816" i="17" s="1"/>
  <c r="O833" i="17" a="1"/>
  <c r="O833" i="17" s="1"/>
  <c r="O850" i="17" a="1"/>
  <c r="O850" i="17" s="1"/>
  <c r="O867" i="17" a="1"/>
  <c r="O867" i="17" s="1"/>
  <c r="O884" i="17" a="1"/>
  <c r="O884" i="17" s="1"/>
  <c r="O901" i="17" a="1"/>
  <c r="O901" i="17" s="1"/>
  <c r="O918" i="17" a="1"/>
  <c r="O918" i="17" s="1"/>
  <c r="O935" i="17" a="1"/>
  <c r="O935" i="17" s="1"/>
  <c r="O952" i="17" a="1"/>
  <c r="O952" i="17" s="1"/>
  <c r="O567" i="17" a="1"/>
  <c r="O567" i="17" s="1"/>
  <c r="O568" i="17" a="1"/>
  <c r="O568" i="17"/>
  <c r="O569" i="17" a="1"/>
  <c r="O569" i="17" s="1"/>
  <c r="O570" i="17" a="1"/>
  <c r="O570" i="17" s="1"/>
  <c r="O571" i="17" a="1"/>
  <c r="O571" i="17" s="1"/>
  <c r="O572" i="17" a="1"/>
  <c r="O572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17" i="17" a="1"/>
  <c r="O117" i="17" s="1"/>
  <c r="O134" i="17" a="1"/>
  <c r="O134" i="17" s="1"/>
  <c r="O151" i="17" a="1"/>
  <c r="O151" i="17" s="1"/>
  <c r="O168" i="17" a="1"/>
  <c r="O168" i="17" s="1"/>
  <c r="O211" i="17" a="1"/>
  <c r="O211" i="17" s="1"/>
  <c r="O212" i="17" a="1"/>
  <c r="O212" i="17" s="1"/>
  <c r="O213" i="17" a="1"/>
  <c r="O213" i="17" s="1"/>
  <c r="O236" i="17" a="1"/>
  <c r="O236" i="17" s="1"/>
  <c r="O253" i="17" a="1"/>
  <c r="O253" i="17" s="1"/>
  <c r="O270" i="17" a="1"/>
  <c r="O270" i="17" s="1"/>
  <c r="O287" i="17" a="1"/>
  <c r="O287" i="17" s="1"/>
  <c r="O304" i="17" a="1"/>
  <c r="O304" i="17" s="1"/>
  <c r="O321" i="17" a="1"/>
  <c r="O321" i="17"/>
  <c r="O338" i="17" a="1"/>
  <c r="O338" i="17" s="1"/>
  <c r="O355" i="17" a="1"/>
  <c r="O355" i="17" s="1"/>
  <c r="O372" i="17" a="1"/>
  <c r="O372" i="17" s="1"/>
  <c r="O457" i="17" a="1"/>
  <c r="O457" i="17" s="1"/>
  <c r="O474" i="17" a="1"/>
  <c r="O474" i="17" s="1"/>
  <c r="O491" i="17" a="1"/>
  <c r="O491" i="17" s="1"/>
  <c r="O415" i="17" a="1"/>
  <c r="O415" i="17" s="1"/>
  <c r="O416" i="17" a="1"/>
  <c r="O416" i="17" s="1"/>
  <c r="O417" i="17" a="1"/>
  <c r="O417" i="17" s="1"/>
  <c r="O440" i="17" a="1"/>
  <c r="O440" i="17" s="1"/>
  <c r="O610" i="17" a="1"/>
  <c r="O610" i="17" s="1"/>
  <c r="O627" i="17" a="1"/>
  <c r="O627" i="17"/>
  <c r="O644" i="17" a="1"/>
  <c r="O644" i="17" s="1"/>
  <c r="O661" i="17" a="1"/>
  <c r="O661" i="17" s="1"/>
  <c r="O678" i="17" a="1"/>
  <c r="O678" i="17" s="1"/>
  <c r="O695" i="17" a="1"/>
  <c r="O695" i="17" s="1"/>
  <c r="O712" i="17" a="1"/>
  <c r="O712" i="17" s="1"/>
  <c r="O725" i="17" a="1"/>
  <c r="O725" i="17" s="1"/>
  <c r="O749" i="17" a="1"/>
  <c r="O749" i="17" s="1"/>
  <c r="O766" i="17" a="1"/>
  <c r="O766" i="17" s="1"/>
  <c r="O783" i="17" a="1"/>
  <c r="O783" i="17"/>
  <c r="O800" i="17" a="1"/>
  <c r="O800" i="17" s="1"/>
  <c r="O817" i="17" a="1"/>
  <c r="O817" i="17"/>
  <c r="O834" i="17" a="1"/>
  <c r="O834" i="17" s="1"/>
  <c r="O851" i="17" a="1"/>
  <c r="O851" i="17" s="1"/>
  <c r="O868" i="17" a="1"/>
  <c r="O868" i="17" s="1"/>
  <c r="O885" i="17" a="1"/>
  <c r="O885" i="17" s="1"/>
  <c r="O902" i="17" a="1"/>
  <c r="O902" i="17" s="1"/>
  <c r="O919" i="17" a="1"/>
  <c r="O919" i="17" s="1"/>
  <c r="O936" i="17" a="1"/>
  <c r="O936" i="17" s="1"/>
  <c r="O953" i="17" a="1"/>
  <c r="O953" i="17" s="1"/>
  <c r="O573" i="17" a="1"/>
  <c r="O573" i="17"/>
  <c r="O574" i="17" a="1"/>
  <c r="O574" i="17"/>
  <c r="O575" i="17" a="1"/>
  <c r="O575" i="17" s="1"/>
  <c r="O576" i="17" a="1"/>
  <c r="O576" i="17"/>
  <c r="O577" i="17" a="1"/>
  <c r="O577" i="17" s="1"/>
  <c r="O578" i="17" a="1"/>
  <c r="O578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118" i="17" a="1"/>
  <c r="O118" i="17" s="1"/>
  <c r="O135" i="17" a="1"/>
  <c r="O135" i="17" s="1"/>
  <c r="O152" i="17" a="1"/>
  <c r="O152" i="17" s="1"/>
  <c r="O169" i="17" a="1"/>
  <c r="O169" i="17" s="1"/>
  <c r="O214" i="17" a="1"/>
  <c r="O214" i="17" s="1"/>
  <c r="O215" i="17" a="1"/>
  <c r="O215" i="17" s="1"/>
  <c r="O216" i="17" a="1"/>
  <c r="O216" i="17" s="1"/>
  <c r="O237" i="17" a="1"/>
  <c r="O237" i="17" s="1"/>
  <c r="O254" i="17" a="1"/>
  <c r="O254" i="17" s="1"/>
  <c r="O271" i="17" a="1"/>
  <c r="O271" i="17" s="1"/>
  <c r="O288" i="17" a="1"/>
  <c r="O288" i="17" s="1"/>
  <c r="O305" i="17" a="1"/>
  <c r="O305" i="17" s="1"/>
  <c r="O322" i="17" a="1"/>
  <c r="O322" i="17" s="1"/>
  <c r="O339" i="17" a="1"/>
  <c r="O339" i="17" s="1"/>
  <c r="O356" i="17" a="1"/>
  <c r="O356" i="17" s="1"/>
  <c r="O373" i="17" a="1"/>
  <c r="O373" i="17" s="1"/>
  <c r="O458" i="17" a="1"/>
  <c r="O458" i="17" s="1"/>
  <c r="O475" i="17" a="1"/>
  <c r="O475" i="17" s="1"/>
  <c r="O492" i="17" a="1"/>
  <c r="O492" i="17" s="1"/>
  <c r="O418" i="17" a="1"/>
  <c r="O418" i="17" s="1"/>
  <c r="O419" i="17" a="1"/>
  <c r="O419" i="17"/>
  <c r="O420" i="17" a="1"/>
  <c r="O420" i="17" s="1"/>
  <c r="O441" i="17" a="1"/>
  <c r="O441" i="17" s="1"/>
  <c r="O611" i="17" a="1"/>
  <c r="O611" i="17" s="1"/>
  <c r="O628" i="17" a="1"/>
  <c r="O628" i="17" s="1"/>
  <c r="O645" i="17" a="1"/>
  <c r="O645" i="17" s="1"/>
  <c r="O662" i="17" a="1"/>
  <c r="O662" i="17" s="1"/>
  <c r="O679" i="17" a="1"/>
  <c r="O679" i="17" s="1"/>
  <c r="O696" i="17" a="1"/>
  <c r="O696" i="17" s="1"/>
  <c r="O713" i="17" a="1"/>
  <c r="O713" i="17" s="1"/>
  <c r="O726" i="17" a="1"/>
  <c r="O726" i="17" s="1"/>
  <c r="O735" i="17" a="1"/>
  <c r="O735" i="17" s="1"/>
  <c r="O750" i="17" a="1"/>
  <c r="O750" i="17" s="1"/>
  <c r="O767" i="17" a="1"/>
  <c r="O767" i="17" s="1"/>
  <c r="O784" i="17" a="1"/>
  <c r="O784" i="17" s="1"/>
  <c r="O801" i="17" a="1"/>
  <c r="O801" i="17" s="1"/>
  <c r="O818" i="17" a="1"/>
  <c r="O818" i="17" s="1"/>
  <c r="O835" i="17" a="1"/>
  <c r="O835" i="17"/>
  <c r="O852" i="17" a="1"/>
  <c r="O852" i="17" s="1"/>
  <c r="O869" i="17" a="1"/>
  <c r="O869" i="17" s="1"/>
  <c r="O886" i="17" a="1"/>
  <c r="O886" i="17" s="1"/>
  <c r="O903" i="17" a="1"/>
  <c r="O903" i="17" s="1"/>
  <c r="O920" i="17" a="1"/>
  <c r="O920" i="17" s="1"/>
  <c r="O937" i="17" a="1"/>
  <c r="O937" i="17"/>
  <c r="O954" i="17" a="1"/>
  <c r="O954" i="17" s="1"/>
  <c r="O579" i="17" a="1"/>
  <c r="O579" i="17" s="1"/>
  <c r="O580" i="17" a="1"/>
  <c r="O580" i="17" s="1"/>
  <c r="O581" i="17" a="1"/>
  <c r="O581" i="17" s="1"/>
  <c r="O582" i="17" a="1"/>
  <c r="O582" i="17" s="1"/>
  <c r="O583" i="17" a="1"/>
  <c r="O583" i="17" s="1"/>
  <c r="O584" i="17" a="1"/>
  <c r="O584" i="17" s="1"/>
  <c r="O92" i="17" a="1"/>
  <c r="O92" i="17" s="1"/>
  <c r="O93" i="17" a="1"/>
  <c r="O93" i="17" s="1"/>
  <c r="O94" i="17" a="1"/>
  <c r="O94" i="17"/>
  <c r="O95" i="17" a="1"/>
  <c r="O95" i="17" s="1"/>
  <c r="O96" i="17" a="1"/>
  <c r="O96" i="17" s="1"/>
  <c r="O97" i="17" a="1"/>
  <c r="O97" i="17" s="1"/>
  <c r="O119" i="17" a="1"/>
  <c r="O119" i="17" s="1"/>
  <c r="O136" i="17" a="1"/>
  <c r="O136" i="17" s="1"/>
  <c r="O153" i="17" a="1"/>
  <c r="O153" i="17" s="1"/>
  <c r="O170" i="17" a="1"/>
  <c r="O170" i="17" s="1"/>
  <c r="O217" i="17" a="1"/>
  <c r="O217" i="17" s="1"/>
  <c r="O218" i="17" a="1"/>
  <c r="O218" i="17" s="1"/>
  <c r="O219" i="17" a="1"/>
  <c r="O219" i="17" s="1"/>
  <c r="O238" i="17" a="1"/>
  <c r="O238" i="17"/>
  <c r="O255" i="17" a="1"/>
  <c r="O255" i="17" s="1"/>
  <c r="O272" i="17" a="1"/>
  <c r="O272" i="17" s="1"/>
  <c r="O289" i="17" a="1"/>
  <c r="O289" i="17" s="1"/>
  <c r="O306" i="17" a="1"/>
  <c r="O306" i="17" s="1"/>
  <c r="O323" i="17" a="1"/>
  <c r="O323" i="17" s="1"/>
  <c r="O340" i="17" a="1"/>
  <c r="O340" i="17" s="1"/>
  <c r="O357" i="17" a="1"/>
  <c r="O357" i="17" s="1"/>
  <c r="O374" i="17" a="1"/>
  <c r="O374" i="17" s="1"/>
  <c r="O459" i="17" a="1"/>
  <c r="O459" i="17" s="1"/>
  <c r="O476" i="17" a="1"/>
  <c r="O476" i="17" s="1"/>
  <c r="O493" i="17" a="1"/>
  <c r="O493" i="17" s="1"/>
  <c r="O421" i="17" a="1"/>
  <c r="O421" i="17" s="1"/>
  <c r="O422" i="17" a="1"/>
  <c r="O422" i="17" s="1"/>
  <c r="O423" i="17" a="1"/>
  <c r="O423" i="17" s="1"/>
  <c r="O442" i="17" a="1"/>
  <c r="O442" i="17" s="1"/>
  <c r="O612" i="17" a="1"/>
  <c r="O612" i="17" s="1"/>
  <c r="O629" i="17" a="1"/>
  <c r="O629" i="17" s="1"/>
  <c r="O646" i="17" a="1"/>
  <c r="O646" i="17" s="1"/>
  <c r="O663" i="17" a="1"/>
  <c r="O663" i="17" s="1"/>
  <c r="O680" i="17" a="1"/>
  <c r="O680" i="17" s="1"/>
  <c r="O697" i="17" a="1"/>
  <c r="O697" i="17" s="1"/>
  <c r="O714" i="17" a="1"/>
  <c r="O714" i="17" s="1"/>
  <c r="O727" i="17" a="1"/>
  <c r="O727" i="17" s="1"/>
  <c r="O751" i="17" a="1"/>
  <c r="O751" i="17" s="1"/>
  <c r="O768" i="17" a="1"/>
  <c r="O768" i="17" s="1"/>
  <c r="O785" i="17" a="1"/>
  <c r="O785" i="17" s="1"/>
  <c r="O802" i="17" a="1"/>
  <c r="O802" i="17" s="1"/>
  <c r="O819" i="17" a="1"/>
  <c r="O819" i="17" s="1"/>
  <c r="O836" i="17" a="1"/>
  <c r="O836" i="17" s="1"/>
  <c r="O853" i="17" a="1"/>
  <c r="O853" i="17" s="1"/>
  <c r="O870" i="17" a="1"/>
  <c r="O870" i="17" s="1"/>
  <c r="O887" i="17" a="1"/>
  <c r="O887" i="17" s="1"/>
  <c r="O904" i="17" a="1"/>
  <c r="O904" i="17" s="1"/>
  <c r="O921" i="17" a="1"/>
  <c r="O921" i="17" s="1"/>
  <c r="O938" i="17" a="1"/>
  <c r="O938" i="17" s="1"/>
  <c r="O955" i="17" a="1"/>
  <c r="O955" i="17" s="1"/>
  <c r="O585" i="17" a="1"/>
  <c r="O585" i="17" s="1"/>
  <c r="O586" i="17" a="1"/>
  <c r="O586" i="17" s="1"/>
  <c r="O587" i="17" a="1"/>
  <c r="O587" i="17" s="1"/>
  <c r="O588" i="17" a="1"/>
  <c r="O588" i="17" s="1"/>
  <c r="O589" i="17" a="1"/>
  <c r="O589" i="17" s="1"/>
  <c r="O590" i="17" a="1"/>
  <c r="O590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120" i="17" a="1"/>
  <c r="O120" i="17" s="1"/>
  <c r="O137" i="17" a="1"/>
  <c r="O137" i="17" s="1"/>
  <c r="O154" i="17" a="1"/>
  <c r="O154" i="17" s="1"/>
  <c r="O171" i="17" a="1"/>
  <c r="O171" i="17" s="1"/>
  <c r="O220" i="17" a="1"/>
  <c r="O220" i="17" s="1"/>
  <c r="O221" i="17" a="1"/>
  <c r="O221" i="17" s="1"/>
  <c r="O222" i="17" a="1"/>
  <c r="O222" i="17" s="1"/>
  <c r="O239" i="17" a="1"/>
  <c r="O239" i="17" s="1"/>
  <c r="O256" i="17" a="1"/>
  <c r="O256" i="17" s="1"/>
  <c r="O273" i="17" a="1"/>
  <c r="O273" i="17" s="1"/>
  <c r="O290" i="17" a="1"/>
  <c r="O290" i="17" s="1"/>
  <c r="O307" i="17" a="1"/>
  <c r="O307" i="17" s="1"/>
  <c r="O324" i="17" a="1"/>
  <c r="O324" i="17" s="1"/>
  <c r="O341" i="17" a="1"/>
  <c r="O341" i="17" s="1"/>
  <c r="O358" i="17" a="1"/>
  <c r="O358" i="17" s="1"/>
  <c r="O375" i="17" a="1"/>
  <c r="O375" i="17" s="1"/>
  <c r="O460" i="17" a="1"/>
  <c r="O460" i="17" s="1"/>
  <c r="O477" i="17" a="1"/>
  <c r="O477" i="17" s="1"/>
  <c r="O494" i="17" a="1"/>
  <c r="O494" i="17" s="1"/>
  <c r="O424" i="17" a="1"/>
  <c r="O424" i="17" s="1"/>
  <c r="O425" i="17" a="1"/>
  <c r="O425" i="17"/>
  <c r="O426" i="17" a="1"/>
  <c r="O426" i="17" s="1"/>
  <c r="O443" i="17" a="1"/>
  <c r="O443" i="17" s="1"/>
  <c r="O613" i="17" a="1"/>
  <c r="O613" i="17" s="1"/>
  <c r="O630" i="17" a="1"/>
  <c r="O630" i="17" s="1"/>
  <c r="O647" i="17" a="1"/>
  <c r="O647" i="17" s="1"/>
  <c r="O664" i="17" a="1"/>
  <c r="O664" i="17" s="1"/>
  <c r="O681" i="17" a="1"/>
  <c r="O681" i="17" s="1"/>
  <c r="O698" i="17" a="1"/>
  <c r="O698" i="17" s="1"/>
  <c r="O715" i="17" a="1"/>
  <c r="O715" i="17" s="1"/>
  <c r="O728" i="17" a="1"/>
  <c r="O728" i="17" s="1"/>
  <c r="O752" i="17" a="1"/>
  <c r="O752" i="17" s="1"/>
  <c r="O769" i="17" a="1"/>
  <c r="O769" i="17" s="1"/>
  <c r="O786" i="17" a="1"/>
  <c r="O786" i="17" s="1"/>
  <c r="O803" i="17" a="1"/>
  <c r="O803" i="17" s="1"/>
  <c r="O820" i="17" a="1"/>
  <c r="O820" i="17" s="1"/>
  <c r="O837" i="17" a="1"/>
  <c r="O837" i="17" s="1"/>
  <c r="O854" i="17" a="1"/>
  <c r="O854" i="17" s="1"/>
  <c r="O871" i="17" a="1"/>
  <c r="O871" i="17" s="1"/>
  <c r="O888" i="17" a="1"/>
  <c r="O888" i="17" s="1"/>
  <c r="O905" i="17" a="1"/>
  <c r="O905" i="17" s="1"/>
  <c r="O922" i="17" a="1"/>
  <c r="O922" i="17" s="1"/>
  <c r="O939" i="17" a="1"/>
  <c r="O939" i="17" s="1"/>
  <c r="O956" i="17" a="1"/>
  <c r="O956" i="17" s="1"/>
  <c r="O591" i="17" a="1"/>
  <c r="O591" i="17"/>
  <c r="O592" i="17" a="1"/>
  <c r="O592" i="17" s="1"/>
  <c r="O593" i="17" a="1"/>
  <c r="O593" i="17" s="1"/>
  <c r="O594" i="17" a="1"/>
  <c r="O594" i="17" s="1"/>
  <c r="O595" i="17" a="1"/>
  <c r="O595" i="17" s="1"/>
  <c r="O596" i="17" a="1"/>
  <c r="O596" i="17" s="1"/>
  <c r="P2" i="17" a="1"/>
  <c r="P2" i="17"/>
  <c r="P3" i="17" a="1"/>
  <c r="P3" i="17" s="1"/>
  <c r="P4" i="17" a="1"/>
  <c r="P4" i="17"/>
  <c r="P5" i="17" a="1"/>
  <c r="P5" i="17" s="1"/>
  <c r="P6" i="17" a="1"/>
  <c r="P6" i="17" s="1"/>
  <c r="P7" i="17" a="1"/>
  <c r="P7" i="17" s="1"/>
  <c r="P104" i="17" a="1"/>
  <c r="P104" i="17"/>
  <c r="P121" i="17" a="1"/>
  <c r="P121" i="17" s="1"/>
  <c r="P138" i="17" a="1"/>
  <c r="P138" i="17" s="1"/>
  <c r="P155" i="17" a="1"/>
  <c r="P155" i="17" s="1"/>
  <c r="P172" i="17" a="1"/>
  <c r="P172" i="17" s="1"/>
  <c r="P173" i="17" a="1"/>
  <c r="P173" i="17" s="1"/>
  <c r="P174" i="17" a="1"/>
  <c r="P174" i="17" s="1"/>
  <c r="P223" i="17" a="1"/>
  <c r="P223" i="17" s="1"/>
  <c r="P240" i="17" a="1"/>
  <c r="P240" i="17" s="1"/>
  <c r="P257" i="17" a="1"/>
  <c r="P257" i="17" s="1"/>
  <c r="P274" i="17" a="1"/>
  <c r="P274" i="17" s="1"/>
  <c r="P291" i="17" a="1"/>
  <c r="P291" i="17" s="1"/>
  <c r="P308" i="17" a="1"/>
  <c r="P308" i="17" s="1"/>
  <c r="P325" i="17" a="1"/>
  <c r="P325" i="17" s="1"/>
  <c r="P342" i="17" a="1"/>
  <c r="P342" i="17" s="1"/>
  <c r="P359" i="17" a="1"/>
  <c r="P359" i="17" s="1"/>
  <c r="P444" i="17" a="1"/>
  <c r="P444" i="17" s="1"/>
  <c r="P461" i="17" a="1"/>
  <c r="P461" i="17" s="1"/>
  <c r="P478" i="17" a="1"/>
  <c r="P478" i="17" s="1"/>
  <c r="P376" i="17" a="1"/>
  <c r="P376" i="17" s="1"/>
  <c r="P377" i="17" a="1"/>
  <c r="P377" i="17" s="1"/>
  <c r="P378" i="17" a="1"/>
  <c r="P378" i="17" s="1"/>
  <c r="P427" i="17" a="1"/>
  <c r="P427" i="17" s="1"/>
  <c r="P597" i="17" a="1"/>
  <c r="P597" i="17" s="1"/>
  <c r="P614" i="17" a="1"/>
  <c r="P614" i="17" s="1"/>
  <c r="P631" i="17" a="1"/>
  <c r="P631" i="17" s="1"/>
  <c r="P648" i="17" a="1"/>
  <c r="P648" i="17" s="1"/>
  <c r="P665" i="17" a="1"/>
  <c r="P665" i="17" s="1"/>
  <c r="P682" i="17" a="1"/>
  <c r="P682" i="17" s="1"/>
  <c r="P699" i="17" a="1"/>
  <c r="P699" i="17" s="1"/>
  <c r="P729" i="17" a="1"/>
  <c r="P729" i="17"/>
  <c r="P736" i="17" a="1"/>
  <c r="P736" i="17" s="1"/>
  <c r="P753" i="17" a="1"/>
  <c r="P753" i="17" s="1"/>
  <c r="P770" i="17" a="1"/>
  <c r="P770" i="17" s="1"/>
  <c r="P787" i="17" a="1"/>
  <c r="P787" i="17" s="1"/>
  <c r="P804" i="17" a="1"/>
  <c r="P804" i="17" s="1"/>
  <c r="P821" i="17" a="1"/>
  <c r="P821" i="17" s="1"/>
  <c r="P838" i="17" a="1"/>
  <c r="P838" i="17" s="1"/>
  <c r="P855" i="17" a="1"/>
  <c r="P855" i="17" s="1"/>
  <c r="P872" i="17" a="1"/>
  <c r="P872" i="17" s="1"/>
  <c r="P889" i="17" a="1"/>
  <c r="P889" i="17" s="1"/>
  <c r="P906" i="17" a="1"/>
  <c r="P906" i="17" s="1"/>
  <c r="P923" i="17" a="1"/>
  <c r="P923" i="17" s="1"/>
  <c r="P940" i="17" a="1"/>
  <c r="P940" i="17" s="1"/>
  <c r="P495" i="17" a="1"/>
  <c r="P495" i="17"/>
  <c r="P496" i="17" a="1"/>
  <c r="P496" i="17" s="1"/>
  <c r="P497" i="17" a="1"/>
  <c r="P497" i="17" s="1"/>
  <c r="P498" i="17" a="1"/>
  <c r="P498" i="17" s="1"/>
  <c r="P499" i="17" a="1"/>
  <c r="P499" i="17" s="1"/>
  <c r="P500" i="17" a="1"/>
  <c r="P500" i="17" s="1"/>
  <c r="P8" i="17" a="1"/>
  <c r="P8" i="17" s="1"/>
  <c r="P9" i="17" a="1"/>
  <c r="P9" i="17"/>
  <c r="P10" i="17" a="1"/>
  <c r="P10" i="17" s="1"/>
  <c r="P11" i="17" a="1"/>
  <c r="P11" i="17" s="1"/>
  <c r="P12" i="17" a="1"/>
  <c r="P12" i="17"/>
  <c r="P13" i="17" a="1"/>
  <c r="P13" i="17" s="1"/>
  <c r="P105" i="17" a="1"/>
  <c r="P105" i="17" s="1"/>
  <c r="P122" i="17" a="1"/>
  <c r="P122" i="17" s="1"/>
  <c r="P139" i="17" a="1"/>
  <c r="P139" i="17" s="1"/>
  <c r="P156" i="17" a="1"/>
  <c r="P156" i="17" s="1"/>
  <c r="P175" i="17" a="1"/>
  <c r="P175" i="17" s="1"/>
  <c r="P176" i="17" a="1"/>
  <c r="P176" i="17" s="1"/>
  <c r="P177" i="17" a="1"/>
  <c r="P177" i="17" s="1"/>
  <c r="P224" i="17" a="1"/>
  <c r="P224" i="17" s="1"/>
  <c r="P241" i="17" a="1"/>
  <c r="P241" i="17"/>
  <c r="P258" i="17" a="1"/>
  <c r="P258" i="17" s="1"/>
  <c r="P275" i="17" a="1"/>
  <c r="P275" i="17" s="1"/>
  <c r="P292" i="17" a="1"/>
  <c r="P292" i="17" s="1"/>
  <c r="P309" i="17" a="1"/>
  <c r="P309" i="17" s="1"/>
  <c r="P326" i="17" a="1"/>
  <c r="P326" i="17" s="1"/>
  <c r="P343" i="17" a="1"/>
  <c r="P343" i="17" s="1"/>
  <c r="P360" i="17" a="1"/>
  <c r="P360" i="17" s="1"/>
  <c r="P445" i="17" a="1"/>
  <c r="P445" i="17" s="1"/>
  <c r="P462" i="17" a="1"/>
  <c r="P462" i="17" s="1"/>
  <c r="P479" i="17" a="1"/>
  <c r="P479" i="17" s="1"/>
  <c r="P379" i="17" a="1"/>
  <c r="P379" i="17" s="1"/>
  <c r="P380" i="17" a="1"/>
  <c r="P380" i="17" s="1"/>
  <c r="P381" i="17" a="1"/>
  <c r="P381" i="17" s="1"/>
  <c r="P428" i="17" a="1"/>
  <c r="P428" i="17" s="1"/>
  <c r="P598" i="17" a="1"/>
  <c r="P598" i="17"/>
  <c r="P615" i="17" a="1"/>
  <c r="P615" i="17" s="1"/>
  <c r="P632" i="17" a="1"/>
  <c r="P632" i="17" s="1"/>
  <c r="P649" i="17" a="1"/>
  <c r="P649" i="17" s="1"/>
  <c r="P666" i="17" a="1"/>
  <c r="P666" i="17" s="1"/>
  <c r="P683" i="17" a="1"/>
  <c r="P683" i="17" s="1"/>
  <c r="P700" i="17" a="1"/>
  <c r="P700" i="17" s="1"/>
  <c r="P716" i="17" a="1"/>
  <c r="P716" i="17"/>
  <c r="P737" i="17" a="1"/>
  <c r="P737" i="17" s="1"/>
  <c r="P754" i="17" a="1"/>
  <c r="P754" i="17" s="1"/>
  <c r="P771" i="17" a="1"/>
  <c r="P771" i="17" s="1"/>
  <c r="P788" i="17" a="1"/>
  <c r="P788" i="17" s="1"/>
  <c r="P805" i="17" a="1"/>
  <c r="P805" i="17" s="1"/>
  <c r="P822" i="17" a="1"/>
  <c r="P822" i="17" s="1"/>
  <c r="P839" i="17" a="1"/>
  <c r="P839" i="17" s="1"/>
  <c r="P856" i="17" a="1"/>
  <c r="P856" i="17" s="1"/>
  <c r="P873" i="17" a="1"/>
  <c r="P873" i="17" s="1"/>
  <c r="P890" i="17" a="1"/>
  <c r="P890" i="17" s="1"/>
  <c r="P907" i="17" a="1"/>
  <c r="P907" i="17" s="1"/>
  <c r="P924" i="17" a="1"/>
  <c r="P924" i="17" s="1"/>
  <c r="P941" i="17" a="1"/>
  <c r="P941" i="17" s="1"/>
  <c r="P501" i="17" a="1"/>
  <c r="P501" i="17" s="1"/>
  <c r="P502" i="17" a="1"/>
  <c r="P502" i="17" s="1"/>
  <c r="P503" i="17" a="1"/>
  <c r="P503" i="17" s="1"/>
  <c r="P504" i="17" a="1"/>
  <c r="P504" i="17" s="1"/>
  <c r="P505" i="17" a="1"/>
  <c r="P505" i="17" s="1"/>
  <c r="P506" i="17" a="1"/>
  <c r="P506" i="17" s="1"/>
  <c r="P14" i="17" a="1"/>
  <c r="P14" i="17" s="1"/>
  <c r="P15" i="17" a="1"/>
  <c r="P15" i="17"/>
  <c r="P16" i="17" a="1"/>
  <c r="P16" i="17" s="1"/>
  <c r="P17" i="17" a="1"/>
  <c r="P17" i="17" s="1"/>
  <c r="P18" i="17" a="1"/>
  <c r="P18" i="17" s="1"/>
  <c r="P19" i="17" a="1"/>
  <c r="P19" i="17" s="1"/>
  <c r="P106" i="17" a="1"/>
  <c r="P106" i="17" s="1"/>
  <c r="P123" i="17" a="1"/>
  <c r="P123" i="17" s="1"/>
  <c r="P140" i="17" a="1"/>
  <c r="P140" i="17" s="1"/>
  <c r="P157" i="17" a="1"/>
  <c r="P157" i="17" s="1"/>
  <c r="P178" i="17" a="1"/>
  <c r="P178" i="17" s="1"/>
  <c r="P179" i="17" a="1"/>
  <c r="P179" i="17" s="1"/>
  <c r="P180" i="17" a="1"/>
  <c r="P180" i="17" s="1"/>
  <c r="P225" i="17" a="1"/>
  <c r="P225" i="17"/>
  <c r="P242" i="17" a="1"/>
  <c r="P242" i="17" s="1"/>
  <c r="P259" i="17" a="1"/>
  <c r="P259" i="17" s="1"/>
  <c r="P276" i="17" a="1"/>
  <c r="P276" i="17" s="1"/>
  <c r="P293" i="17" a="1"/>
  <c r="P293" i="17" s="1"/>
  <c r="P310" i="17" a="1"/>
  <c r="P310" i="17" s="1"/>
  <c r="P327" i="17" a="1"/>
  <c r="P327" i="17" s="1"/>
  <c r="P344" i="17" a="1"/>
  <c r="P344" i="17" s="1"/>
  <c r="P361" i="17" a="1"/>
  <c r="P361" i="17" s="1"/>
  <c r="P446" i="17" a="1"/>
  <c r="P446" i="17" s="1"/>
  <c r="P463" i="17" a="1"/>
  <c r="P463" i="17" s="1"/>
  <c r="P480" i="17" a="1"/>
  <c r="P480" i="17" s="1"/>
  <c r="P382" i="17" a="1"/>
  <c r="P382" i="17" s="1"/>
  <c r="P383" i="17" a="1"/>
  <c r="P383" i="17" s="1"/>
  <c r="P384" i="17" a="1"/>
  <c r="P384" i="17" s="1"/>
  <c r="P429" i="17" a="1"/>
  <c r="P429" i="17"/>
  <c r="P599" i="17" a="1"/>
  <c r="P599" i="17" s="1"/>
  <c r="P616" i="17" a="1"/>
  <c r="P616" i="17"/>
  <c r="P633" i="17" a="1"/>
  <c r="P633" i="17" s="1"/>
  <c r="P650" i="17" a="1"/>
  <c r="P650" i="17" s="1"/>
  <c r="P667" i="17" a="1"/>
  <c r="P667" i="17" s="1"/>
  <c r="P684" i="17" a="1"/>
  <c r="P684" i="17" s="1"/>
  <c r="P701" i="17" a="1"/>
  <c r="P701" i="17" s="1"/>
  <c r="P717" i="17" a="1"/>
  <c r="P717" i="17" s="1"/>
  <c r="P730" i="17" a="1"/>
  <c r="P730" i="17" s="1"/>
  <c r="P738" i="17" a="1"/>
  <c r="P738" i="17" s="1"/>
  <c r="P755" i="17" a="1"/>
  <c r="P755" i="17" s="1"/>
  <c r="P772" i="17" a="1"/>
  <c r="P772" i="17" s="1"/>
  <c r="P789" i="17" a="1"/>
  <c r="P789" i="17" s="1"/>
  <c r="P806" i="17" a="1"/>
  <c r="P806" i="17" s="1"/>
  <c r="P823" i="17" a="1"/>
  <c r="P823" i="17" s="1"/>
  <c r="P840" i="17" a="1"/>
  <c r="P840" i="17" s="1"/>
  <c r="P857" i="17" a="1"/>
  <c r="P857" i="17" s="1"/>
  <c r="P874" i="17" a="1"/>
  <c r="P874" i="17" s="1"/>
  <c r="P891" i="17" a="1"/>
  <c r="P891" i="17" s="1"/>
  <c r="P908" i="17" a="1"/>
  <c r="P908" i="17" s="1"/>
  <c r="P925" i="17" a="1"/>
  <c r="P925" i="17" s="1"/>
  <c r="P942" i="17" a="1"/>
  <c r="P942" i="17" s="1"/>
  <c r="P507" i="17" a="1"/>
  <c r="P507" i="17" s="1"/>
  <c r="P508" i="17" a="1"/>
  <c r="P508" i="17" s="1"/>
  <c r="P509" i="17" a="1"/>
  <c r="P509" i="17" s="1"/>
  <c r="P510" i="17" a="1"/>
  <c r="P510" i="17" s="1"/>
  <c r="P511" i="17" a="1"/>
  <c r="P511" i="17" s="1"/>
  <c r="P512" i="17" a="1"/>
  <c r="P512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07" i="17" a="1"/>
  <c r="P107" i="17" s="1"/>
  <c r="P124" i="17" a="1"/>
  <c r="P124" i="17" s="1"/>
  <c r="P141" i="17" a="1"/>
  <c r="P141" i="17" s="1"/>
  <c r="P158" i="17" a="1"/>
  <c r="P158" i="17" s="1"/>
  <c r="P181" i="17" a="1"/>
  <c r="P181" i="17" s="1"/>
  <c r="P182" i="17" a="1"/>
  <c r="P182" i="17" s="1"/>
  <c r="P183" i="17" a="1"/>
  <c r="P183" i="17" s="1"/>
  <c r="P226" i="17" a="1"/>
  <c r="P226" i="17" s="1"/>
  <c r="P243" i="17" a="1"/>
  <c r="P243" i="17" s="1"/>
  <c r="P260" i="17" a="1"/>
  <c r="P260" i="17" s="1"/>
  <c r="P277" i="17" a="1"/>
  <c r="P277" i="17" s="1"/>
  <c r="P294" i="17" a="1"/>
  <c r="P294" i="17" s="1"/>
  <c r="P311" i="17" a="1"/>
  <c r="P311" i="17" s="1"/>
  <c r="P328" i="17" a="1"/>
  <c r="P328" i="17" s="1"/>
  <c r="P345" i="17" a="1"/>
  <c r="P345" i="17" s="1"/>
  <c r="P362" i="17" a="1"/>
  <c r="P362" i="17" s="1"/>
  <c r="P447" i="17" a="1"/>
  <c r="P447" i="17" s="1"/>
  <c r="P464" i="17" a="1"/>
  <c r="P464" i="17" s="1"/>
  <c r="P481" i="17" a="1"/>
  <c r="P481" i="17" s="1"/>
  <c r="P385" i="17" a="1"/>
  <c r="P385" i="17" s="1"/>
  <c r="P386" i="17" a="1"/>
  <c r="P386" i="17" s="1"/>
  <c r="P387" i="17" a="1"/>
  <c r="P387" i="17" s="1"/>
  <c r="P430" i="17" a="1"/>
  <c r="P430" i="17" s="1"/>
  <c r="P600" i="17" a="1"/>
  <c r="P600" i="17" s="1"/>
  <c r="P617" i="17" a="1"/>
  <c r="P617" i="17" s="1"/>
  <c r="P634" i="17" a="1"/>
  <c r="P634" i="17" s="1"/>
  <c r="P651" i="17" a="1"/>
  <c r="P651" i="17" s="1"/>
  <c r="P668" i="17" a="1"/>
  <c r="P668" i="17" s="1"/>
  <c r="P685" i="17" a="1"/>
  <c r="P685" i="17" s="1"/>
  <c r="P702" i="17" a="1"/>
  <c r="P702" i="17" s="1"/>
  <c r="P718" i="17" a="1"/>
  <c r="P718" i="17" s="1"/>
  <c r="P739" i="17" a="1"/>
  <c r="P739" i="17" s="1"/>
  <c r="P756" i="17" a="1"/>
  <c r="P756" i="17" s="1"/>
  <c r="P773" i="17" a="1"/>
  <c r="P773" i="17" s="1"/>
  <c r="P790" i="17" a="1"/>
  <c r="P790" i="17" s="1"/>
  <c r="P807" i="17" a="1"/>
  <c r="P807" i="17" s="1"/>
  <c r="P824" i="17" a="1"/>
  <c r="P824" i="17" s="1"/>
  <c r="P841" i="17" a="1"/>
  <c r="P841" i="17"/>
  <c r="P858" i="17" a="1"/>
  <c r="P858" i="17"/>
  <c r="P875" i="17" a="1"/>
  <c r="P875" i="17" s="1"/>
  <c r="P892" i="17" a="1"/>
  <c r="P892" i="17" s="1"/>
  <c r="P909" i="17" a="1"/>
  <c r="P909" i="17" s="1"/>
  <c r="P926" i="17" a="1"/>
  <c r="P926" i="17" s="1"/>
  <c r="P943" i="17" a="1"/>
  <c r="P943" i="17" s="1"/>
  <c r="P513" i="17" a="1"/>
  <c r="P513" i="17" s="1"/>
  <c r="P514" i="17" a="1"/>
  <c r="P514" i="17" s="1"/>
  <c r="P515" i="17" a="1"/>
  <c r="P515" i="17" s="1"/>
  <c r="P516" i="17" a="1"/>
  <c r="P516" i="17" s="1"/>
  <c r="P517" i="17" a="1"/>
  <c r="P517" i="17" s="1"/>
  <c r="P518" i="17" a="1"/>
  <c r="P518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08" i="17" a="1"/>
  <c r="P108" i="17" s="1"/>
  <c r="P125" i="17" a="1"/>
  <c r="P125" i="17" s="1"/>
  <c r="P142" i="17" a="1"/>
  <c r="P142" i="17" s="1"/>
  <c r="P159" i="17" a="1"/>
  <c r="P159" i="17" s="1"/>
  <c r="P184" i="17" a="1"/>
  <c r="P184" i="17" s="1"/>
  <c r="P185" i="17" a="1"/>
  <c r="P185" i="17" s="1"/>
  <c r="P186" i="17" a="1"/>
  <c r="P186" i="17" s="1"/>
  <c r="P227" i="17" a="1"/>
  <c r="P227" i="17" s="1"/>
  <c r="P244" i="17" a="1"/>
  <c r="P244" i="17" s="1"/>
  <c r="P261" i="17" a="1"/>
  <c r="P261" i="17" s="1"/>
  <c r="P278" i="17" a="1"/>
  <c r="P278" i="17" s="1"/>
  <c r="P295" i="17" a="1"/>
  <c r="P295" i="17" s="1"/>
  <c r="P312" i="17" a="1"/>
  <c r="P312" i="17" s="1"/>
  <c r="P329" i="17" a="1"/>
  <c r="P329" i="17" s="1"/>
  <c r="P346" i="17" a="1"/>
  <c r="P346" i="17" s="1"/>
  <c r="P363" i="17" a="1"/>
  <c r="P363" i="17" s="1"/>
  <c r="P448" i="17" a="1"/>
  <c r="P448" i="17" s="1"/>
  <c r="P465" i="17" a="1"/>
  <c r="P465" i="17" s="1"/>
  <c r="P482" i="17" a="1"/>
  <c r="P482" i="17" s="1"/>
  <c r="P388" i="17" a="1"/>
  <c r="P388" i="17" s="1"/>
  <c r="P389" i="17" a="1"/>
  <c r="P389" i="17" s="1"/>
  <c r="P390" i="17" a="1"/>
  <c r="P390" i="17" s="1"/>
  <c r="P431" i="17" a="1"/>
  <c r="P431" i="17"/>
  <c r="P601" i="17" a="1"/>
  <c r="P601" i="17" s="1"/>
  <c r="P618" i="17" a="1"/>
  <c r="P618" i="17" s="1"/>
  <c r="P635" i="17" a="1"/>
  <c r="P635" i="17" s="1"/>
  <c r="P652" i="17" a="1"/>
  <c r="P652" i="17" s="1"/>
  <c r="P669" i="17" a="1"/>
  <c r="P669" i="17" s="1"/>
  <c r="P686" i="17" a="1"/>
  <c r="P686" i="17" s="1"/>
  <c r="P703" i="17" a="1"/>
  <c r="P703" i="17" s="1"/>
  <c r="P719" i="17" a="1"/>
  <c r="P719" i="17" s="1"/>
  <c r="P731" i="17" a="1"/>
  <c r="P731" i="17" s="1"/>
  <c r="P740" i="17" a="1"/>
  <c r="P740" i="17" s="1"/>
  <c r="P757" i="17" a="1"/>
  <c r="P757" i="17" s="1"/>
  <c r="P774" i="17" a="1"/>
  <c r="P774" i="17" s="1"/>
  <c r="P791" i="17" a="1"/>
  <c r="P791" i="17" s="1"/>
  <c r="P808" i="17" a="1"/>
  <c r="P808" i="17" s="1"/>
  <c r="P825" i="17" a="1"/>
  <c r="P825" i="17" s="1"/>
  <c r="P842" i="17" a="1"/>
  <c r="P842" i="17"/>
  <c r="P859" i="17" a="1"/>
  <c r="P859" i="17" s="1"/>
  <c r="P876" i="17" a="1"/>
  <c r="P876" i="17" s="1"/>
  <c r="P893" i="17" a="1"/>
  <c r="P893" i="17" s="1"/>
  <c r="P910" i="17" a="1"/>
  <c r="P910" i="17" s="1"/>
  <c r="P927" i="17" a="1"/>
  <c r="P927" i="17" s="1"/>
  <c r="P944" i="17" a="1"/>
  <c r="P944" i="17" s="1"/>
  <c r="P519" i="17" a="1"/>
  <c r="P519" i="17"/>
  <c r="P520" i="17" a="1"/>
  <c r="P520" i="17" s="1"/>
  <c r="P521" i="17" a="1"/>
  <c r="P521" i="17" s="1"/>
  <c r="P522" i="17" a="1"/>
  <c r="P522" i="17" s="1"/>
  <c r="P523" i="17" a="1"/>
  <c r="P523" i="17" s="1"/>
  <c r="P524" i="17" a="1"/>
  <c r="P524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09" i="17" a="1"/>
  <c r="P109" i="17" s="1"/>
  <c r="P126" i="17" a="1"/>
  <c r="P126" i="17" s="1"/>
  <c r="P143" i="17" a="1"/>
  <c r="P143" i="17" s="1"/>
  <c r="P160" i="17" a="1"/>
  <c r="P160" i="17" s="1"/>
  <c r="P187" i="17" a="1"/>
  <c r="P187" i="17" s="1"/>
  <c r="P188" i="17" a="1"/>
  <c r="P188" i="17" s="1"/>
  <c r="P189" i="17" a="1"/>
  <c r="P189" i="17" s="1"/>
  <c r="P228" i="17" a="1"/>
  <c r="P228" i="17" s="1"/>
  <c r="P245" i="17" a="1"/>
  <c r="P245" i="17" s="1"/>
  <c r="P262" i="17" a="1"/>
  <c r="P262" i="17" s="1"/>
  <c r="P279" i="17" a="1"/>
  <c r="P279" i="17" s="1"/>
  <c r="P296" i="17" a="1"/>
  <c r="P296" i="17" s="1"/>
  <c r="P313" i="17" a="1"/>
  <c r="P313" i="17" s="1"/>
  <c r="P330" i="17" a="1"/>
  <c r="P330" i="17" s="1"/>
  <c r="P347" i="17" a="1"/>
  <c r="P347" i="17"/>
  <c r="P364" i="17" a="1"/>
  <c r="P364" i="17" s="1"/>
  <c r="P449" i="17" a="1"/>
  <c r="P449" i="17" s="1"/>
  <c r="P466" i="17" a="1"/>
  <c r="P466" i="17" s="1"/>
  <c r="P483" i="17" a="1"/>
  <c r="P483" i="17"/>
  <c r="P391" i="17" a="1"/>
  <c r="P391" i="17" s="1"/>
  <c r="P392" i="17" a="1"/>
  <c r="P392" i="17"/>
  <c r="P393" i="17" a="1"/>
  <c r="P393" i="17" s="1"/>
  <c r="P432" i="17" a="1"/>
  <c r="P432" i="17" s="1"/>
  <c r="P602" i="17" a="1"/>
  <c r="P602" i="17" s="1"/>
  <c r="P619" i="17" a="1"/>
  <c r="P619" i="17" s="1"/>
  <c r="P636" i="17" a="1"/>
  <c r="P636" i="17" s="1"/>
  <c r="P653" i="17" a="1"/>
  <c r="P653" i="17" s="1"/>
  <c r="P670" i="17" a="1"/>
  <c r="P670" i="17" s="1"/>
  <c r="P687" i="17" a="1"/>
  <c r="P687" i="17" s="1"/>
  <c r="P704" i="17" a="1"/>
  <c r="P704" i="17" s="1"/>
  <c r="P720" i="17" a="1"/>
  <c r="P720" i="17" s="1"/>
  <c r="P741" i="17" a="1"/>
  <c r="P741" i="17" s="1"/>
  <c r="P758" i="17" a="1"/>
  <c r="P758" i="17" s="1"/>
  <c r="P775" i="17" a="1"/>
  <c r="P775" i="17" s="1"/>
  <c r="P792" i="17" a="1"/>
  <c r="P792" i="17" s="1"/>
  <c r="P809" i="17" a="1"/>
  <c r="P809" i="17" s="1"/>
  <c r="P826" i="17" a="1"/>
  <c r="P826" i="17" s="1"/>
  <c r="P843" i="17" a="1"/>
  <c r="P843" i="17" s="1"/>
  <c r="P860" i="17" a="1"/>
  <c r="P860" i="17"/>
  <c r="P877" i="17" a="1"/>
  <c r="P877" i="17" s="1"/>
  <c r="P894" i="17" a="1"/>
  <c r="P894" i="17" s="1"/>
  <c r="P911" i="17" a="1"/>
  <c r="P911" i="17" s="1"/>
  <c r="P928" i="17" a="1"/>
  <c r="P928" i="17" s="1"/>
  <c r="P945" i="17" a="1"/>
  <c r="P945" i="17" s="1"/>
  <c r="P525" i="17" a="1"/>
  <c r="P525" i="17" s="1"/>
  <c r="P526" i="17" a="1"/>
  <c r="P526" i="17"/>
  <c r="P527" i="17" a="1"/>
  <c r="P527" i="17" s="1"/>
  <c r="P528" i="17" a="1"/>
  <c r="P528" i="17" s="1"/>
  <c r="P529" i="17" a="1"/>
  <c r="P529" i="17" s="1"/>
  <c r="P530" i="17" a="1"/>
  <c r="P530" i="17" s="1"/>
  <c r="P38" i="17" a="1"/>
  <c r="P38" i="17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10" i="17" a="1"/>
  <c r="P110" i="17" s="1"/>
  <c r="P127" i="17" a="1"/>
  <c r="P127" i="17" s="1"/>
  <c r="P144" i="17" a="1"/>
  <c r="P144" i="17" s="1"/>
  <c r="P161" i="17" a="1"/>
  <c r="P161" i="17" s="1"/>
  <c r="P190" i="17" a="1"/>
  <c r="P190" i="17"/>
  <c r="P191" i="17" a="1"/>
  <c r="P191" i="17" s="1"/>
  <c r="P192" i="17" a="1"/>
  <c r="P192" i="17" s="1"/>
  <c r="P229" i="17" a="1"/>
  <c r="P229" i="17" s="1"/>
  <c r="P246" i="17" a="1"/>
  <c r="P246" i="17"/>
  <c r="P263" i="17" a="1"/>
  <c r="P263" i="17" s="1"/>
  <c r="P280" i="17" a="1"/>
  <c r="P280" i="17" s="1"/>
  <c r="P297" i="17" a="1"/>
  <c r="P297" i="17" s="1"/>
  <c r="P314" i="17" a="1"/>
  <c r="P314" i="17" s="1"/>
  <c r="P331" i="17" a="1"/>
  <c r="P331" i="17" s="1"/>
  <c r="P348" i="17" a="1"/>
  <c r="P348" i="17" s="1"/>
  <c r="P365" i="17" a="1"/>
  <c r="P365" i="17" s="1"/>
  <c r="P450" i="17" a="1"/>
  <c r="P450" i="17" s="1"/>
  <c r="P467" i="17" a="1"/>
  <c r="P467" i="17" s="1"/>
  <c r="P484" i="17" a="1"/>
  <c r="P484" i="17" s="1"/>
  <c r="P394" i="17" a="1"/>
  <c r="P394" i="17" s="1"/>
  <c r="P395" i="17" a="1"/>
  <c r="P395" i="17" s="1"/>
  <c r="P396" i="17" a="1"/>
  <c r="P396" i="17" s="1"/>
  <c r="P433" i="17" a="1"/>
  <c r="P433" i="17" s="1"/>
  <c r="P603" i="17" a="1"/>
  <c r="P603" i="17" s="1"/>
  <c r="P620" i="17" a="1"/>
  <c r="P620" i="17" s="1"/>
  <c r="P637" i="17" a="1"/>
  <c r="P637" i="17" s="1"/>
  <c r="P654" i="17" a="1"/>
  <c r="P654" i="17" s="1"/>
  <c r="P671" i="17" a="1"/>
  <c r="P671" i="17" s="1"/>
  <c r="P688" i="17" a="1"/>
  <c r="P688" i="17" s="1"/>
  <c r="P705" i="17" a="1"/>
  <c r="P705" i="17" s="1"/>
  <c r="P721" i="17" a="1"/>
  <c r="P721" i="17" s="1"/>
  <c r="P732" i="17" a="1"/>
  <c r="P732" i="17" s="1"/>
  <c r="P742" i="17" a="1"/>
  <c r="P742" i="17" s="1"/>
  <c r="P759" i="17" a="1"/>
  <c r="P759" i="17" s="1"/>
  <c r="P776" i="17" a="1"/>
  <c r="P776" i="17" s="1"/>
  <c r="P793" i="17" a="1"/>
  <c r="P793" i="17" s="1"/>
  <c r="P810" i="17" a="1"/>
  <c r="P810" i="17" s="1"/>
  <c r="P827" i="17" a="1"/>
  <c r="P827" i="17" s="1"/>
  <c r="P844" i="17" a="1"/>
  <c r="P844" i="17" s="1"/>
  <c r="P861" i="17" a="1"/>
  <c r="P861" i="17" s="1"/>
  <c r="P878" i="17" a="1"/>
  <c r="P878" i="17" s="1"/>
  <c r="P895" i="17" a="1"/>
  <c r="P895" i="17" s="1"/>
  <c r="P912" i="17" a="1"/>
  <c r="P912" i="17" s="1"/>
  <c r="P929" i="17" a="1"/>
  <c r="P929" i="17" s="1"/>
  <c r="P946" i="17" a="1"/>
  <c r="P946" i="17" s="1"/>
  <c r="P531" i="17" a="1"/>
  <c r="P531" i="17" s="1"/>
  <c r="P532" i="17" a="1"/>
  <c r="P532" i="17" s="1"/>
  <c r="P533" i="17" a="1"/>
  <c r="P533" i="17" s="1"/>
  <c r="P534" i="17" a="1"/>
  <c r="P534" i="17" s="1"/>
  <c r="P535" i="17" a="1"/>
  <c r="P535" i="17"/>
  <c r="P536" i="17" a="1"/>
  <c r="P536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11" i="17" a="1"/>
  <c r="P111" i="17" s="1"/>
  <c r="P128" i="17" a="1"/>
  <c r="P128" i="17" s="1"/>
  <c r="P145" i="17" a="1"/>
  <c r="P145" i="17" s="1"/>
  <c r="P162" i="17" a="1"/>
  <c r="P162" i="17" s="1"/>
  <c r="P193" i="17" a="1"/>
  <c r="P193" i="17"/>
  <c r="P194" i="17" a="1"/>
  <c r="P194" i="17" s="1"/>
  <c r="P195" i="17" a="1"/>
  <c r="P195" i="17" s="1"/>
  <c r="P230" i="17" a="1"/>
  <c r="P230" i="17" s="1"/>
  <c r="P247" i="17" a="1"/>
  <c r="P247" i="17" s="1"/>
  <c r="P264" i="17" a="1"/>
  <c r="P264" i="17" s="1"/>
  <c r="P281" i="17" a="1"/>
  <c r="P281" i="17" s="1"/>
  <c r="P298" i="17" a="1"/>
  <c r="P298" i="17" s="1"/>
  <c r="P315" i="17" a="1"/>
  <c r="P315" i="17" s="1"/>
  <c r="P332" i="17" a="1"/>
  <c r="P332" i="17"/>
  <c r="P349" i="17" a="1"/>
  <c r="P349" i="17" s="1"/>
  <c r="P366" i="17" a="1"/>
  <c r="P366" i="17" s="1"/>
  <c r="P451" i="17" a="1"/>
  <c r="P451" i="17" s="1"/>
  <c r="P468" i="17" a="1"/>
  <c r="P468" i="17" s="1"/>
  <c r="P485" i="17" a="1"/>
  <c r="P485" i="17" s="1"/>
  <c r="P397" i="17" a="1"/>
  <c r="P397" i="17" s="1"/>
  <c r="P398" i="17" a="1"/>
  <c r="P398" i="17" s="1"/>
  <c r="P399" i="17" a="1"/>
  <c r="P399" i="17" s="1"/>
  <c r="P434" i="17" a="1"/>
  <c r="P434" i="17" s="1"/>
  <c r="P604" i="17" a="1"/>
  <c r="P604" i="17" s="1"/>
  <c r="P621" i="17" a="1"/>
  <c r="P621" i="17" s="1"/>
  <c r="P638" i="17" a="1"/>
  <c r="P638" i="17" s="1"/>
  <c r="P655" i="17" a="1"/>
  <c r="P655" i="17" s="1"/>
  <c r="P672" i="17" a="1"/>
  <c r="P672" i="17" s="1"/>
  <c r="P689" i="17" a="1"/>
  <c r="P689" i="17" s="1"/>
  <c r="P706" i="17" a="1"/>
  <c r="P706" i="17" s="1"/>
  <c r="P722" i="17" a="1"/>
  <c r="P722" i="17" s="1"/>
  <c r="P733" i="17" a="1"/>
  <c r="P733" i="17" s="1"/>
  <c r="P743" i="17" a="1"/>
  <c r="P743" i="17" s="1"/>
  <c r="P760" i="17" a="1"/>
  <c r="P760" i="17" s="1"/>
  <c r="P777" i="17" a="1"/>
  <c r="P777" i="17" s="1"/>
  <c r="P794" i="17" a="1"/>
  <c r="P794" i="17" s="1"/>
  <c r="P811" i="17" a="1"/>
  <c r="P811" i="17" s="1"/>
  <c r="P828" i="17" a="1"/>
  <c r="P828" i="17" s="1"/>
  <c r="P845" i="17" a="1"/>
  <c r="P845" i="17" s="1"/>
  <c r="P862" i="17" a="1"/>
  <c r="P862" i="17" s="1"/>
  <c r="P879" i="17" a="1"/>
  <c r="P879" i="17" s="1"/>
  <c r="P896" i="17" a="1"/>
  <c r="P896" i="17" s="1"/>
  <c r="P913" i="17" a="1"/>
  <c r="P913" i="17" s="1"/>
  <c r="P930" i="17" a="1"/>
  <c r="P930" i="17" s="1"/>
  <c r="P947" i="17" a="1"/>
  <c r="P947" i="17" s="1"/>
  <c r="P537" i="17" a="1"/>
  <c r="P537" i="17"/>
  <c r="P538" i="17" a="1"/>
  <c r="P538" i="17" s="1"/>
  <c r="P539" i="17" a="1"/>
  <c r="P539" i="17" s="1"/>
  <c r="P540" i="17" a="1"/>
  <c r="P540" i="17" s="1"/>
  <c r="P541" i="17" a="1"/>
  <c r="P541" i="17" s="1"/>
  <c r="P542" i="17" a="1"/>
  <c r="P542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12" i="17" a="1"/>
  <c r="P112" i="17" s="1"/>
  <c r="P129" i="17" a="1"/>
  <c r="P129" i="17" s="1"/>
  <c r="P146" i="17" a="1"/>
  <c r="P146" i="17" s="1"/>
  <c r="P163" i="17" a="1"/>
  <c r="P163" i="17" s="1"/>
  <c r="P196" i="17" a="1"/>
  <c r="P196" i="17" s="1"/>
  <c r="P197" i="17" a="1"/>
  <c r="P197" i="17" s="1"/>
  <c r="P198" i="17" a="1"/>
  <c r="P198" i="17" s="1"/>
  <c r="P231" i="17" a="1"/>
  <c r="P231" i="17" s="1"/>
  <c r="P248" i="17" a="1"/>
  <c r="P248" i="17" s="1"/>
  <c r="P265" i="17" a="1"/>
  <c r="P265" i="17" s="1"/>
  <c r="P282" i="17" a="1"/>
  <c r="P282" i="17" s="1"/>
  <c r="P299" i="17" a="1"/>
  <c r="P299" i="17" s="1"/>
  <c r="P316" i="17" a="1"/>
  <c r="P316" i="17" s="1"/>
  <c r="P333" i="17" a="1"/>
  <c r="P333" i="17" s="1"/>
  <c r="P350" i="17" a="1"/>
  <c r="P350" i="17" s="1"/>
  <c r="P367" i="17" a="1"/>
  <c r="P367" i="17" s="1"/>
  <c r="P452" i="17" a="1"/>
  <c r="P452" i="17" s="1"/>
  <c r="P469" i="17" a="1"/>
  <c r="P469" i="17" s="1"/>
  <c r="P486" i="17" a="1"/>
  <c r="P486" i="17" s="1"/>
  <c r="P400" i="17" a="1"/>
  <c r="P400" i="17" s="1"/>
  <c r="P401" i="17" a="1"/>
  <c r="P401" i="17" s="1"/>
  <c r="P402" i="17" a="1"/>
  <c r="P402" i="17" s="1"/>
  <c r="P435" i="17" a="1"/>
  <c r="P435" i="17" s="1"/>
  <c r="P605" i="17" a="1"/>
  <c r="P605" i="17" s="1"/>
  <c r="P622" i="17" a="1"/>
  <c r="P622" i="17" s="1"/>
  <c r="P639" i="17" a="1"/>
  <c r="P639" i="17" s="1"/>
  <c r="P656" i="17" a="1"/>
  <c r="P656" i="17" s="1"/>
  <c r="P673" i="17" a="1"/>
  <c r="P673" i="17" s="1"/>
  <c r="P690" i="17" a="1"/>
  <c r="P690" i="17" s="1"/>
  <c r="P707" i="17" a="1"/>
  <c r="P707" i="17" s="1"/>
  <c r="P744" i="17" a="1"/>
  <c r="P744" i="17" s="1"/>
  <c r="P761" i="17" a="1"/>
  <c r="P761" i="17" s="1"/>
  <c r="P778" i="17" a="1"/>
  <c r="P778" i="17" s="1"/>
  <c r="P795" i="17" a="1"/>
  <c r="P795" i="17" s="1"/>
  <c r="P812" i="17" a="1"/>
  <c r="P812" i="17" s="1"/>
  <c r="P829" i="17" a="1"/>
  <c r="P829" i="17" s="1"/>
  <c r="P846" i="17" a="1"/>
  <c r="P846" i="17" s="1"/>
  <c r="P863" i="17" a="1"/>
  <c r="P863" i="17" s="1"/>
  <c r="P880" i="17" a="1"/>
  <c r="P880" i="17" s="1"/>
  <c r="P897" i="17" a="1"/>
  <c r="P897" i="17" s="1"/>
  <c r="P914" i="17" a="1"/>
  <c r="P914" i="17" s="1"/>
  <c r="P931" i="17" a="1"/>
  <c r="P931" i="17" s="1"/>
  <c r="P948" i="17" a="1"/>
  <c r="P948" i="17" s="1"/>
  <c r="P543" i="17" a="1"/>
  <c r="P543" i="17" s="1"/>
  <c r="P544" i="17" a="1"/>
  <c r="P544" i="17" s="1"/>
  <c r="P545" i="17" a="1"/>
  <c r="P545" i="17" s="1"/>
  <c r="P546" i="17" a="1"/>
  <c r="P546" i="17" s="1"/>
  <c r="P547" i="17" a="1"/>
  <c r="P547" i="17" s="1"/>
  <c r="P548" i="17" a="1"/>
  <c r="P548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13" i="17" a="1"/>
  <c r="P113" i="17" s="1"/>
  <c r="P130" i="17" a="1"/>
  <c r="P130" i="17" s="1"/>
  <c r="P147" i="17" a="1"/>
  <c r="P147" i="17" s="1"/>
  <c r="P164" i="17" a="1"/>
  <c r="P164" i="17"/>
  <c r="P199" i="17" a="1"/>
  <c r="P199" i="17" s="1"/>
  <c r="P200" i="17" a="1"/>
  <c r="P200" i="17" s="1"/>
  <c r="P201" i="17" a="1"/>
  <c r="P201" i="17" s="1"/>
  <c r="P232" i="17" a="1"/>
  <c r="P232" i="17" s="1"/>
  <c r="P249" i="17" a="1"/>
  <c r="P249" i="17" s="1"/>
  <c r="P266" i="17" a="1"/>
  <c r="P266" i="17" s="1"/>
  <c r="P283" i="17" a="1"/>
  <c r="P283" i="17" s="1"/>
  <c r="P300" i="17" a="1"/>
  <c r="P300" i="17" s="1"/>
  <c r="P317" i="17" a="1"/>
  <c r="P317" i="17" s="1"/>
  <c r="P334" i="17" a="1"/>
  <c r="P334" i="17" s="1"/>
  <c r="P351" i="17" a="1"/>
  <c r="P351" i="17" s="1"/>
  <c r="P368" i="17" a="1"/>
  <c r="P368" i="17" s="1"/>
  <c r="P453" i="17" a="1"/>
  <c r="P453" i="17" s="1"/>
  <c r="P470" i="17" a="1"/>
  <c r="P470" i="17" s="1"/>
  <c r="P487" i="17" a="1"/>
  <c r="P487" i="17" s="1"/>
  <c r="P403" i="17" a="1"/>
  <c r="P403" i="17" s="1"/>
  <c r="P404" i="17" a="1"/>
  <c r="P404" i="17" s="1"/>
  <c r="P405" i="17" a="1"/>
  <c r="P405" i="17" s="1"/>
  <c r="P436" i="17" a="1"/>
  <c r="P436" i="17" s="1"/>
  <c r="P606" i="17" a="1"/>
  <c r="P606" i="17" s="1"/>
  <c r="P623" i="17" a="1"/>
  <c r="P623" i="17" s="1"/>
  <c r="P640" i="17" a="1"/>
  <c r="P640" i="17"/>
  <c r="P657" i="17" a="1"/>
  <c r="P657" i="17" s="1"/>
  <c r="P674" i="17" a="1"/>
  <c r="P674" i="17" s="1"/>
  <c r="P691" i="17" a="1"/>
  <c r="P691" i="17" s="1"/>
  <c r="P708" i="17" a="1"/>
  <c r="P708" i="17" s="1"/>
  <c r="P745" i="17" a="1"/>
  <c r="P745" i="17" s="1"/>
  <c r="P762" i="17" a="1"/>
  <c r="P762" i="17"/>
  <c r="P779" i="17" a="1"/>
  <c r="P779" i="17" s="1"/>
  <c r="P796" i="17" a="1"/>
  <c r="P796" i="17" s="1"/>
  <c r="P813" i="17" a="1"/>
  <c r="P813" i="17" s="1"/>
  <c r="P830" i="17" a="1"/>
  <c r="P830" i="17" s="1"/>
  <c r="P847" i="17" a="1"/>
  <c r="P847" i="17" s="1"/>
  <c r="P864" i="17" a="1"/>
  <c r="P864" i="17" s="1"/>
  <c r="P881" i="17" a="1"/>
  <c r="P881" i="17" s="1"/>
  <c r="P898" i="17" a="1"/>
  <c r="P898" i="17" s="1"/>
  <c r="P915" i="17" a="1"/>
  <c r="P915" i="17" s="1"/>
  <c r="P932" i="17" a="1"/>
  <c r="P932" i="17" s="1"/>
  <c r="P949" i="17" a="1"/>
  <c r="P949" i="17" s="1"/>
  <c r="P549" i="17" a="1"/>
  <c r="P549" i="17" s="1"/>
  <c r="P550" i="17" a="1"/>
  <c r="P550" i="17" s="1"/>
  <c r="P551" i="17" a="1"/>
  <c r="P551" i="17" s="1"/>
  <c r="P552" i="17" a="1"/>
  <c r="P552" i="17" s="1"/>
  <c r="P553" i="17" a="1"/>
  <c r="P553" i="17"/>
  <c r="P554" i="17" a="1"/>
  <c r="P554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14" i="17" a="1"/>
  <c r="P114" i="17" s="1"/>
  <c r="P131" i="17" a="1"/>
  <c r="P131" i="17" s="1"/>
  <c r="P148" i="17" a="1"/>
  <c r="P148" i="17" s="1"/>
  <c r="P165" i="17" a="1"/>
  <c r="P165" i="17" s="1"/>
  <c r="P202" i="17" a="1"/>
  <c r="P202" i="17" s="1"/>
  <c r="P203" i="17" a="1"/>
  <c r="P203" i="17" s="1"/>
  <c r="P204" i="17" a="1"/>
  <c r="P204" i="17" s="1"/>
  <c r="P233" i="17" a="1"/>
  <c r="P233" i="17" s="1"/>
  <c r="P250" i="17" a="1"/>
  <c r="P250" i="17" s="1"/>
  <c r="P267" i="17" a="1"/>
  <c r="P267" i="17" s="1"/>
  <c r="P284" i="17" a="1"/>
  <c r="P284" i="17" s="1"/>
  <c r="P301" i="17" a="1"/>
  <c r="P301" i="17" s="1"/>
  <c r="P318" i="17" a="1"/>
  <c r="P318" i="17" s="1"/>
  <c r="P335" i="17" a="1"/>
  <c r="P335" i="17" s="1"/>
  <c r="P352" i="17" a="1"/>
  <c r="P352" i="17" s="1"/>
  <c r="P369" i="17" a="1"/>
  <c r="P369" i="17" s="1"/>
  <c r="P454" i="17" a="1"/>
  <c r="P454" i="17" s="1"/>
  <c r="P471" i="17" a="1"/>
  <c r="P471" i="17" s="1"/>
  <c r="P488" i="17" a="1"/>
  <c r="P488" i="17" s="1"/>
  <c r="P406" i="17" a="1"/>
  <c r="P406" i="17" s="1"/>
  <c r="P407" i="17" a="1"/>
  <c r="P407" i="17" s="1"/>
  <c r="P408" i="17" a="1"/>
  <c r="P408" i="17" s="1"/>
  <c r="P437" i="17" a="1"/>
  <c r="P437" i="17" s="1"/>
  <c r="P607" i="17" a="1"/>
  <c r="P607" i="17" s="1"/>
  <c r="P624" i="17" a="1"/>
  <c r="P624" i="17" s="1"/>
  <c r="P641" i="17" a="1"/>
  <c r="P641" i="17" s="1"/>
  <c r="P658" i="17" a="1"/>
  <c r="P658" i="17" s="1"/>
  <c r="P675" i="17" a="1"/>
  <c r="P675" i="17" s="1"/>
  <c r="P692" i="17" a="1"/>
  <c r="P692" i="17"/>
  <c r="P709" i="17" a="1"/>
  <c r="P709" i="17" s="1"/>
  <c r="P723" i="17" a="1"/>
  <c r="P723" i="17" s="1"/>
  <c r="P734" i="17" a="1"/>
  <c r="P734" i="17" s="1"/>
  <c r="P746" i="17" a="1"/>
  <c r="P746" i="17" s="1"/>
  <c r="P763" i="17" a="1"/>
  <c r="P763" i="17" s="1"/>
  <c r="P780" i="17" a="1"/>
  <c r="P780" i="17" s="1"/>
  <c r="P797" i="17" a="1"/>
  <c r="P797" i="17" s="1"/>
  <c r="P814" i="17" a="1"/>
  <c r="P814" i="17" s="1"/>
  <c r="P831" i="17" a="1"/>
  <c r="P831" i="17" s="1"/>
  <c r="P848" i="17" a="1"/>
  <c r="P848" i="17" s="1"/>
  <c r="P865" i="17" a="1"/>
  <c r="P865" i="17" s="1"/>
  <c r="P882" i="17" a="1"/>
  <c r="P882" i="17" s="1"/>
  <c r="P899" i="17" a="1"/>
  <c r="P899" i="17" s="1"/>
  <c r="P916" i="17" a="1"/>
  <c r="P916" i="17" s="1"/>
  <c r="P933" i="17" a="1"/>
  <c r="P933" i="17" s="1"/>
  <c r="P950" i="17" a="1"/>
  <c r="P950" i="17" s="1"/>
  <c r="P555" i="17" a="1"/>
  <c r="P555" i="17" s="1"/>
  <c r="P556" i="17" a="1"/>
  <c r="P556" i="17" s="1"/>
  <c r="P557" i="17" a="1"/>
  <c r="P557" i="17"/>
  <c r="P558" i="17" a="1"/>
  <c r="P558" i="17" s="1"/>
  <c r="P559" i="17" a="1"/>
  <c r="P559" i="17" s="1"/>
  <c r="P560" i="17" a="1"/>
  <c r="P560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15" i="17" a="1"/>
  <c r="P115" i="17" s="1"/>
  <c r="P132" i="17" a="1"/>
  <c r="P132" i="17" s="1"/>
  <c r="P149" i="17" a="1"/>
  <c r="P149" i="17" s="1"/>
  <c r="P166" i="17" a="1"/>
  <c r="P166" i="17" s="1"/>
  <c r="P205" i="17" a="1"/>
  <c r="P205" i="17" s="1"/>
  <c r="P206" i="17" a="1"/>
  <c r="P206" i="17" s="1"/>
  <c r="P207" i="17" a="1"/>
  <c r="P207" i="17" s="1"/>
  <c r="P234" i="17" a="1"/>
  <c r="P234" i="17" s="1"/>
  <c r="P251" i="17" a="1"/>
  <c r="P251" i="17"/>
  <c r="P268" i="17" a="1"/>
  <c r="P268" i="17" s="1"/>
  <c r="P285" i="17" a="1"/>
  <c r="P285" i="17" s="1"/>
  <c r="P302" i="17" a="1"/>
  <c r="P302" i="17" s="1"/>
  <c r="P319" i="17" a="1"/>
  <c r="P319" i="17" s="1"/>
  <c r="P336" i="17" a="1"/>
  <c r="P336" i="17" s="1"/>
  <c r="P353" i="17" a="1"/>
  <c r="P353" i="17" s="1"/>
  <c r="P370" i="17" a="1"/>
  <c r="P370" i="17" s="1"/>
  <c r="P455" i="17" a="1"/>
  <c r="P455" i="17" s="1"/>
  <c r="P472" i="17" a="1"/>
  <c r="P472" i="17" s="1"/>
  <c r="P489" i="17" a="1"/>
  <c r="P489" i="17" s="1"/>
  <c r="P409" i="17" a="1"/>
  <c r="P409" i="17" s="1"/>
  <c r="P410" i="17" a="1"/>
  <c r="P410" i="17" s="1"/>
  <c r="P411" i="17" a="1"/>
  <c r="P411" i="17" s="1"/>
  <c r="P438" i="17" a="1"/>
  <c r="P438" i="17" s="1"/>
  <c r="P608" i="17" a="1"/>
  <c r="P608" i="17" s="1"/>
  <c r="P625" i="17" a="1"/>
  <c r="P625" i="17" s="1"/>
  <c r="P642" i="17" a="1"/>
  <c r="P642" i="17" s="1"/>
  <c r="P659" i="17" a="1"/>
  <c r="P659" i="17"/>
  <c r="P676" i="17" a="1"/>
  <c r="P676" i="17" s="1"/>
  <c r="P693" i="17" a="1"/>
  <c r="P693" i="17" s="1"/>
  <c r="P710" i="17" a="1"/>
  <c r="P710" i="17" s="1"/>
  <c r="P724" i="17" a="1"/>
  <c r="P724" i="17" s="1"/>
  <c r="P747" i="17" a="1"/>
  <c r="P747" i="17" s="1"/>
  <c r="P764" i="17" a="1"/>
  <c r="P764" i="17" s="1"/>
  <c r="P781" i="17" a="1"/>
  <c r="P781" i="17" s="1"/>
  <c r="P798" i="17" a="1"/>
  <c r="P798" i="17" s="1"/>
  <c r="P815" i="17" a="1"/>
  <c r="P815" i="17" s="1"/>
  <c r="P832" i="17" a="1"/>
  <c r="P832" i="17" s="1"/>
  <c r="P849" i="17" a="1"/>
  <c r="P849" i="17" s="1"/>
  <c r="P866" i="17" a="1"/>
  <c r="P866" i="17" s="1"/>
  <c r="P883" i="17" a="1"/>
  <c r="P883" i="17"/>
  <c r="P900" i="17" a="1"/>
  <c r="P900" i="17" s="1"/>
  <c r="P917" i="17" a="1"/>
  <c r="P917" i="17" s="1"/>
  <c r="P934" i="17" a="1"/>
  <c r="P934" i="17" s="1"/>
  <c r="P951" i="17" a="1"/>
  <c r="P951" i="17" s="1"/>
  <c r="P561" i="17" a="1"/>
  <c r="P561" i="17" s="1"/>
  <c r="P562" i="17" a="1"/>
  <c r="P562" i="17" s="1"/>
  <c r="P563" i="17" a="1"/>
  <c r="P563" i="17" s="1"/>
  <c r="P564" i="17" a="1"/>
  <c r="P564" i="17" s="1"/>
  <c r="P565" i="17" a="1"/>
  <c r="P565" i="17" s="1"/>
  <c r="P566" i="17" a="1"/>
  <c r="P566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/>
  <c r="P116" i="17" a="1"/>
  <c r="P116" i="17" s="1"/>
  <c r="P133" i="17" a="1"/>
  <c r="P133" i="17" s="1"/>
  <c r="P150" i="17" a="1"/>
  <c r="P150" i="17" s="1"/>
  <c r="P167" i="17" a="1"/>
  <c r="P167" i="17" s="1"/>
  <c r="P208" i="17" a="1"/>
  <c r="P208" i="17" s="1"/>
  <c r="P209" i="17" a="1"/>
  <c r="P209" i="17" s="1"/>
  <c r="P210" i="17" a="1"/>
  <c r="P210" i="17" s="1"/>
  <c r="P235" i="17" a="1"/>
  <c r="P235" i="17" s="1"/>
  <c r="P252" i="17" a="1"/>
  <c r="P252" i="17" s="1"/>
  <c r="P269" i="17" a="1"/>
  <c r="P269" i="17" s="1"/>
  <c r="P286" i="17" a="1"/>
  <c r="P286" i="17" s="1"/>
  <c r="P303" i="17" a="1"/>
  <c r="P303" i="17" s="1"/>
  <c r="P320" i="17" a="1"/>
  <c r="P320" i="17" s="1"/>
  <c r="P337" i="17" a="1"/>
  <c r="P337" i="17" s="1"/>
  <c r="P354" i="17" a="1"/>
  <c r="P354" i="17" s="1"/>
  <c r="P371" i="17" a="1"/>
  <c r="P371" i="17" s="1"/>
  <c r="P456" i="17" a="1"/>
  <c r="P456" i="17" s="1"/>
  <c r="P473" i="17" a="1"/>
  <c r="P473" i="17" s="1"/>
  <c r="P490" i="17" a="1"/>
  <c r="P490" i="17" s="1"/>
  <c r="P412" i="17" a="1"/>
  <c r="P412" i="17" s="1"/>
  <c r="P413" i="17" a="1"/>
  <c r="P413" i="17" s="1"/>
  <c r="P414" i="17" a="1"/>
  <c r="P414" i="17" s="1"/>
  <c r="P439" i="17" a="1"/>
  <c r="P439" i="17" s="1"/>
  <c r="P609" i="17" a="1"/>
  <c r="P609" i="17"/>
  <c r="P626" i="17" a="1"/>
  <c r="P626" i="17" s="1"/>
  <c r="P643" i="17" a="1"/>
  <c r="P643" i="17" s="1"/>
  <c r="P660" i="17" a="1"/>
  <c r="P660" i="17" s="1"/>
  <c r="P677" i="17" a="1"/>
  <c r="P677" i="17" s="1"/>
  <c r="P694" i="17" a="1"/>
  <c r="P694" i="17" s="1"/>
  <c r="P711" i="17" a="1"/>
  <c r="P711" i="17" s="1"/>
  <c r="P748" i="17" a="1"/>
  <c r="P748" i="17"/>
  <c r="P765" i="17" a="1"/>
  <c r="P765" i="17" s="1"/>
  <c r="P782" i="17" a="1"/>
  <c r="P782" i="17" s="1"/>
  <c r="P799" i="17" a="1"/>
  <c r="P799" i="17" s="1"/>
  <c r="P816" i="17" a="1"/>
  <c r="P816" i="17" s="1"/>
  <c r="P833" i="17" a="1"/>
  <c r="P833" i="17" s="1"/>
  <c r="P850" i="17" a="1"/>
  <c r="P850" i="17" s="1"/>
  <c r="P867" i="17" a="1"/>
  <c r="P867" i="17" s="1"/>
  <c r="P884" i="17" a="1"/>
  <c r="P884" i="17" s="1"/>
  <c r="P901" i="17" a="1"/>
  <c r="P901" i="17" s="1"/>
  <c r="P918" i="17" a="1"/>
  <c r="P918" i="17" s="1"/>
  <c r="P935" i="17" a="1"/>
  <c r="P935" i="17" s="1"/>
  <c r="P952" i="17" a="1"/>
  <c r="P952" i="17" s="1"/>
  <c r="P567" i="17" a="1"/>
  <c r="P567" i="17" s="1"/>
  <c r="P568" i="17" a="1"/>
  <c r="P568" i="17" s="1"/>
  <c r="P569" i="17" a="1"/>
  <c r="P569" i="17" s="1"/>
  <c r="P570" i="17" a="1"/>
  <c r="P570" i="17"/>
  <c r="P571" i="17" a="1"/>
  <c r="P571" i="17" s="1"/>
  <c r="P572" i="17" a="1"/>
  <c r="P572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17" i="17" a="1"/>
  <c r="P117" i="17" s="1"/>
  <c r="P134" i="17" a="1"/>
  <c r="P134" i="17" s="1"/>
  <c r="P151" i="17" a="1"/>
  <c r="P151" i="17" s="1"/>
  <c r="P168" i="17" a="1"/>
  <c r="P168" i="17" s="1"/>
  <c r="P211" i="17" a="1"/>
  <c r="P211" i="17" s="1"/>
  <c r="P212" i="17" a="1"/>
  <c r="P212" i="17" s="1"/>
  <c r="P213" i="17" a="1"/>
  <c r="P213" i="17" s="1"/>
  <c r="P236" i="17" a="1"/>
  <c r="P236" i="17"/>
  <c r="P253" i="17" a="1"/>
  <c r="P253" i="17" s="1"/>
  <c r="P270" i="17" a="1"/>
  <c r="P270" i="17" s="1"/>
  <c r="P287" i="17" a="1"/>
  <c r="P287" i="17" s="1"/>
  <c r="P304" i="17" a="1"/>
  <c r="P304" i="17" s="1"/>
  <c r="P321" i="17" a="1"/>
  <c r="P321" i="17" s="1"/>
  <c r="P338" i="17" a="1"/>
  <c r="P338" i="17" s="1"/>
  <c r="P355" i="17" a="1"/>
  <c r="P355" i="17" s="1"/>
  <c r="P372" i="17" a="1"/>
  <c r="P372" i="17" s="1"/>
  <c r="P457" i="17" a="1"/>
  <c r="P457" i="17" s="1"/>
  <c r="P474" i="17" a="1"/>
  <c r="P474" i="17" s="1"/>
  <c r="P491" i="17" a="1"/>
  <c r="P491" i="17" s="1"/>
  <c r="P415" i="17" a="1"/>
  <c r="P415" i="17"/>
  <c r="P416" i="17" a="1"/>
  <c r="P416" i="17" s="1"/>
  <c r="P417" i="17" a="1"/>
  <c r="P417" i="17" s="1"/>
  <c r="P440" i="17" a="1"/>
  <c r="P440" i="17" s="1"/>
  <c r="P610" i="17" a="1"/>
  <c r="P610" i="17"/>
  <c r="P627" i="17" a="1"/>
  <c r="P627" i="17" s="1"/>
  <c r="P644" i="17" a="1"/>
  <c r="P644" i="17" s="1"/>
  <c r="P661" i="17" a="1"/>
  <c r="P661" i="17" s="1"/>
  <c r="P678" i="17" a="1"/>
  <c r="P678" i="17" s="1"/>
  <c r="P695" i="17" a="1"/>
  <c r="P695" i="17"/>
  <c r="P712" i="17" a="1"/>
  <c r="P712" i="17" s="1"/>
  <c r="P725" i="17" a="1"/>
  <c r="P725" i="17" s="1"/>
  <c r="P749" i="17" a="1"/>
  <c r="P749" i="17" s="1"/>
  <c r="P766" i="17" a="1"/>
  <c r="P766" i="17" s="1"/>
  <c r="P783" i="17" a="1"/>
  <c r="P783" i="17" s="1"/>
  <c r="P800" i="17" a="1"/>
  <c r="P800" i="17" s="1"/>
  <c r="P817" i="17" a="1"/>
  <c r="P817" i="17" s="1"/>
  <c r="P834" i="17" a="1"/>
  <c r="P834" i="17" s="1"/>
  <c r="P851" i="17" a="1"/>
  <c r="P851" i="17" s="1"/>
  <c r="P868" i="17" a="1"/>
  <c r="P868" i="17" s="1"/>
  <c r="P885" i="17" a="1"/>
  <c r="P885" i="17" s="1"/>
  <c r="P902" i="17" a="1"/>
  <c r="P902" i="17" s="1"/>
  <c r="P919" i="17" a="1"/>
  <c r="P919" i="17" s="1"/>
  <c r="P936" i="17" a="1"/>
  <c r="P936" i="17" s="1"/>
  <c r="P953" i="17" a="1"/>
  <c r="P953" i="17" s="1"/>
  <c r="P573" i="17" a="1"/>
  <c r="P573" i="17" s="1"/>
  <c r="P574" i="17" a="1"/>
  <c r="P574" i="17" s="1"/>
  <c r="P575" i="17" a="1"/>
  <c r="P575" i="17" s="1"/>
  <c r="P576" i="17" a="1"/>
  <c r="P576" i="17"/>
  <c r="P577" i="17" a="1"/>
  <c r="P577" i="17" s="1"/>
  <c r="P578" i="17" a="1"/>
  <c r="P578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18" i="17" a="1"/>
  <c r="P118" i="17" s="1"/>
  <c r="P135" i="17" a="1"/>
  <c r="P135" i="17" s="1"/>
  <c r="P152" i="17" a="1"/>
  <c r="P152" i="17" s="1"/>
  <c r="P169" i="17" a="1"/>
  <c r="P169" i="17"/>
  <c r="P214" i="17" a="1"/>
  <c r="P214" i="17" s="1"/>
  <c r="P215" i="17" a="1"/>
  <c r="P215" i="17" s="1"/>
  <c r="P216" i="17" a="1"/>
  <c r="P216" i="17" s="1"/>
  <c r="P237" i="17" a="1"/>
  <c r="P237" i="17" s="1"/>
  <c r="P254" i="17" a="1"/>
  <c r="P254" i="17" s="1"/>
  <c r="P271" i="17" a="1"/>
  <c r="P271" i="17" s="1"/>
  <c r="P288" i="17" a="1"/>
  <c r="P288" i="17" s="1"/>
  <c r="P305" i="17" a="1"/>
  <c r="P305" i="17"/>
  <c r="P322" i="17" a="1"/>
  <c r="P322" i="17" s="1"/>
  <c r="P339" i="17" a="1"/>
  <c r="P339" i="17" s="1"/>
  <c r="P356" i="17" a="1"/>
  <c r="P356" i="17" s="1"/>
  <c r="P373" i="17" a="1"/>
  <c r="P373" i="17" s="1"/>
  <c r="P458" i="17" a="1"/>
  <c r="P458" i="17" s="1"/>
  <c r="P475" i="17" a="1"/>
  <c r="P475" i="17" s="1"/>
  <c r="P492" i="17" a="1"/>
  <c r="P492" i="17" s="1"/>
  <c r="P418" i="17" a="1"/>
  <c r="P418" i="17" s="1"/>
  <c r="P419" i="17" a="1"/>
  <c r="P419" i="17"/>
  <c r="P420" i="17" a="1"/>
  <c r="P420" i="17" s="1"/>
  <c r="P441" i="17" a="1"/>
  <c r="P441" i="17" s="1"/>
  <c r="P611" i="17" a="1"/>
  <c r="P611" i="17" s="1"/>
  <c r="P628" i="17" a="1"/>
  <c r="P628" i="17" s="1"/>
  <c r="P645" i="17" a="1"/>
  <c r="P645" i="17" s="1"/>
  <c r="P662" i="17" a="1"/>
  <c r="P662" i="17" s="1"/>
  <c r="P679" i="17" a="1"/>
  <c r="P679" i="17" s="1"/>
  <c r="P696" i="17" a="1"/>
  <c r="P696" i="17"/>
  <c r="P713" i="17" a="1"/>
  <c r="P713" i="17" s="1"/>
  <c r="P726" i="17" a="1"/>
  <c r="P726" i="17" s="1"/>
  <c r="P735" i="17" a="1"/>
  <c r="P735" i="17" s="1"/>
  <c r="P750" i="17" a="1"/>
  <c r="P750" i="17"/>
  <c r="P767" i="17" a="1"/>
  <c r="P767" i="17" s="1"/>
  <c r="P784" i="17" a="1"/>
  <c r="P784" i="17" s="1"/>
  <c r="P801" i="17" a="1"/>
  <c r="P801" i="17" s="1"/>
  <c r="P818" i="17" a="1"/>
  <c r="P818" i="17" s="1"/>
  <c r="P835" i="17" a="1"/>
  <c r="P835" i="17" s="1"/>
  <c r="P852" i="17" a="1"/>
  <c r="P852" i="17" s="1"/>
  <c r="P869" i="17" a="1"/>
  <c r="P869" i="17" s="1"/>
  <c r="P886" i="17" a="1"/>
  <c r="P886" i="17"/>
  <c r="P903" i="17" a="1"/>
  <c r="P903" i="17" s="1"/>
  <c r="P920" i="17" a="1"/>
  <c r="P920" i="17" s="1"/>
  <c r="P937" i="17" a="1"/>
  <c r="P937" i="17" s="1"/>
  <c r="P954" i="17" a="1"/>
  <c r="P954" i="17" s="1"/>
  <c r="P579" i="17" a="1"/>
  <c r="P579" i="17" s="1"/>
  <c r="P580" i="17" a="1"/>
  <c r="P580" i="17" s="1"/>
  <c r="P581" i="17" a="1"/>
  <c r="P581" i="17" s="1"/>
  <c r="P582" i="17" a="1"/>
  <c r="P582" i="17" s="1"/>
  <c r="P583" i="17" a="1"/>
  <c r="P583" i="17" s="1"/>
  <c r="P584" i="17" a="1"/>
  <c r="P584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/>
  <c r="P97" i="17" a="1"/>
  <c r="P97" i="17" s="1"/>
  <c r="P119" i="17" a="1"/>
  <c r="P119" i="17" s="1"/>
  <c r="P136" i="17" a="1"/>
  <c r="P136" i="17" s="1"/>
  <c r="P153" i="17" a="1"/>
  <c r="P153" i="17" s="1"/>
  <c r="P170" i="17" a="1"/>
  <c r="P170" i="17" s="1"/>
  <c r="P217" i="17" a="1"/>
  <c r="P217" i="17" s="1"/>
  <c r="P218" i="17" a="1"/>
  <c r="P218" i="17" s="1"/>
  <c r="P219" i="17" a="1"/>
  <c r="P219" i="17" s="1"/>
  <c r="P238" i="17" a="1"/>
  <c r="P238" i="17" s="1"/>
  <c r="P255" i="17" a="1"/>
  <c r="P255" i="17" s="1"/>
  <c r="P272" i="17" a="1"/>
  <c r="P272" i="17" s="1"/>
  <c r="P289" i="17" a="1"/>
  <c r="P289" i="17"/>
  <c r="P306" i="17" a="1"/>
  <c r="P306" i="17" s="1"/>
  <c r="P323" i="17" a="1"/>
  <c r="P323" i="17" s="1"/>
  <c r="P340" i="17" a="1"/>
  <c r="P340" i="17" s="1"/>
  <c r="P357" i="17" a="1"/>
  <c r="P357" i="17" s="1"/>
  <c r="P374" i="17" a="1"/>
  <c r="P374" i="17" s="1"/>
  <c r="P459" i="17" a="1"/>
  <c r="P459" i="17" s="1"/>
  <c r="P476" i="17" a="1"/>
  <c r="P476" i="17" s="1"/>
  <c r="P493" i="17" a="1"/>
  <c r="P493" i="17"/>
  <c r="P421" i="17" a="1"/>
  <c r="P421" i="17" s="1"/>
  <c r="P422" i="17" a="1"/>
  <c r="P422" i="17" s="1"/>
  <c r="P423" i="17" a="1"/>
  <c r="P423" i="17" s="1"/>
  <c r="P442" i="17" a="1"/>
  <c r="P442" i="17" s="1"/>
  <c r="P612" i="17" a="1"/>
  <c r="P612" i="17" s="1"/>
  <c r="P629" i="17" a="1"/>
  <c r="P629" i="17" s="1"/>
  <c r="P646" i="17" a="1"/>
  <c r="P646" i="17" s="1"/>
  <c r="P663" i="17" a="1"/>
  <c r="P663" i="17" s="1"/>
  <c r="P680" i="17" a="1"/>
  <c r="P680" i="17"/>
  <c r="P697" i="17" a="1"/>
  <c r="P697" i="17" s="1"/>
  <c r="P714" i="17" a="1"/>
  <c r="P714" i="17" s="1"/>
  <c r="P727" i="17" a="1"/>
  <c r="P727" i="17" s="1"/>
  <c r="P751" i="17" a="1"/>
  <c r="P751" i="17" s="1"/>
  <c r="P768" i="17" a="1"/>
  <c r="P768" i="17" s="1"/>
  <c r="P785" i="17" a="1"/>
  <c r="P785" i="17" s="1"/>
  <c r="P802" i="17" a="1"/>
  <c r="P802" i="17" s="1"/>
  <c r="P819" i="17" a="1"/>
  <c r="P819" i="17"/>
  <c r="P836" i="17" a="1"/>
  <c r="P836" i="17" s="1"/>
  <c r="P853" i="17" a="1"/>
  <c r="P853" i="17" s="1"/>
  <c r="P870" i="17" a="1"/>
  <c r="P870" i="17" s="1"/>
  <c r="P887" i="17" a="1"/>
  <c r="P887" i="17"/>
  <c r="P904" i="17" a="1"/>
  <c r="P904" i="17" s="1"/>
  <c r="P921" i="17" a="1"/>
  <c r="P921" i="17" s="1"/>
  <c r="P938" i="17" a="1"/>
  <c r="P938" i="17" s="1"/>
  <c r="P955" i="17" a="1"/>
  <c r="P955" i="17" s="1"/>
  <c r="P585" i="17" a="1"/>
  <c r="P585" i="17" s="1"/>
  <c r="P586" i="17" a="1"/>
  <c r="P586" i="17" s="1"/>
  <c r="P587" i="17" a="1"/>
  <c r="P587" i="17" s="1"/>
  <c r="P588" i="17" a="1"/>
  <c r="P588" i="17"/>
  <c r="P589" i="17" a="1"/>
  <c r="P589" i="17" s="1"/>
  <c r="P590" i="17" a="1"/>
  <c r="P590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20" i="17" a="1"/>
  <c r="P120" i="17" s="1"/>
  <c r="P137" i="17" a="1"/>
  <c r="P137" i="17" s="1"/>
  <c r="P154" i="17" a="1"/>
  <c r="P154" i="17" s="1"/>
  <c r="P171" i="17" a="1"/>
  <c r="P171" i="17" s="1"/>
  <c r="P220" i="17" a="1"/>
  <c r="P220" i="17" s="1"/>
  <c r="P221" i="17" a="1"/>
  <c r="P221" i="17" s="1"/>
  <c r="P222" i="17" a="1"/>
  <c r="P222" i="17"/>
  <c r="P239" i="17" a="1"/>
  <c r="P239" i="17" s="1"/>
  <c r="P256" i="17" a="1"/>
  <c r="P256" i="17" s="1"/>
  <c r="P273" i="17" a="1"/>
  <c r="P273" i="17" s="1"/>
  <c r="P290" i="17" a="1"/>
  <c r="P290" i="17" s="1"/>
  <c r="P307" i="17" a="1"/>
  <c r="P307" i="17" s="1"/>
  <c r="P324" i="17" a="1"/>
  <c r="P324" i="17" s="1"/>
  <c r="P341" i="17" a="1"/>
  <c r="P341" i="17" s="1"/>
  <c r="P358" i="17" a="1"/>
  <c r="P358" i="17" s="1"/>
  <c r="P375" i="17" a="1"/>
  <c r="P375" i="17" s="1"/>
  <c r="P460" i="17" a="1"/>
  <c r="P460" i="17" s="1"/>
  <c r="P477" i="17" a="1"/>
  <c r="P477" i="17" s="1"/>
  <c r="P494" i="17" a="1"/>
  <c r="P494" i="17"/>
  <c r="P424" i="17" a="1"/>
  <c r="P424" i="17" s="1"/>
  <c r="P425" i="17" a="1"/>
  <c r="P425" i="17" s="1"/>
  <c r="P426" i="17" a="1"/>
  <c r="P426" i="17" s="1"/>
  <c r="P443" i="17" a="1"/>
  <c r="P443" i="17" s="1"/>
  <c r="P613" i="17" a="1"/>
  <c r="P613" i="17" s="1"/>
  <c r="P630" i="17" a="1"/>
  <c r="P630" i="17" s="1"/>
  <c r="P647" i="17" a="1"/>
  <c r="P647" i="17" s="1"/>
  <c r="P664" i="17" a="1"/>
  <c r="P664" i="17"/>
  <c r="P681" i="17" a="1"/>
  <c r="P681" i="17" s="1"/>
  <c r="P698" i="17" a="1"/>
  <c r="P698" i="17" s="1"/>
  <c r="P715" i="17" a="1"/>
  <c r="P715" i="17" s="1"/>
  <c r="P728" i="17" a="1"/>
  <c r="P728" i="17" s="1"/>
  <c r="P752" i="17" a="1"/>
  <c r="P752" i="17" s="1"/>
  <c r="P769" i="17" a="1"/>
  <c r="P769" i="17" s="1"/>
  <c r="P786" i="17" a="1"/>
  <c r="P786" i="17" s="1"/>
  <c r="P803" i="17" a="1"/>
  <c r="P803" i="17" s="1"/>
  <c r="P820" i="17" a="1"/>
  <c r="P820" i="17"/>
  <c r="P837" i="17" a="1"/>
  <c r="P837" i="17" s="1"/>
  <c r="P854" i="17" a="1"/>
  <c r="P854" i="17" s="1"/>
  <c r="P871" i="17" a="1"/>
  <c r="P871" i="17" s="1"/>
  <c r="P888" i="17" a="1"/>
  <c r="P888" i="17" s="1"/>
  <c r="P905" i="17" a="1"/>
  <c r="P905" i="17" s="1"/>
  <c r="P922" i="17" a="1"/>
  <c r="P922" i="17" s="1"/>
  <c r="P939" i="17" a="1"/>
  <c r="P939" i="17" s="1"/>
  <c r="P956" i="17" a="1"/>
  <c r="P956" i="17"/>
  <c r="P591" i="17" a="1"/>
  <c r="P591" i="17" s="1"/>
  <c r="P592" i="17" a="1"/>
  <c r="P592" i="17" s="1"/>
  <c r="P593" i="17" a="1"/>
  <c r="P593" i="17" s="1"/>
  <c r="P594" i="17" a="1"/>
  <c r="P594" i="17"/>
  <c r="P595" i="17" a="1"/>
  <c r="P595" i="17" s="1"/>
  <c r="P596" i="17" a="1"/>
  <c r="P596" i="17" s="1"/>
  <c r="R2" i="17" a="1"/>
  <c r="R2" i="17" s="1"/>
  <c r="R3" i="17" a="1"/>
  <c r="R3" i="17" s="1"/>
  <c r="R4" i="17" a="1"/>
  <c r="R4" i="17" s="1"/>
  <c r="R5" i="17" a="1"/>
  <c r="R5" i="17" s="1"/>
  <c r="R6" i="17" a="1"/>
  <c r="R6" i="17"/>
  <c r="R7" i="17" a="1"/>
  <c r="R7" i="17" s="1"/>
  <c r="R104" i="17" a="1"/>
  <c r="R104" i="17" s="1"/>
  <c r="R121" i="17" a="1"/>
  <c r="R121" i="17" s="1"/>
  <c r="R138" i="17" a="1"/>
  <c r="R138" i="17" s="1"/>
  <c r="R155" i="17" a="1"/>
  <c r="R155" i="17" s="1"/>
  <c r="R172" i="17" a="1"/>
  <c r="R172" i="17" s="1"/>
  <c r="R173" i="17" a="1"/>
  <c r="R173" i="17" s="1"/>
  <c r="R174" i="17" a="1"/>
  <c r="R174" i="17" s="1"/>
  <c r="R223" i="17" a="1"/>
  <c r="R223" i="17" s="1"/>
  <c r="R240" i="17" a="1"/>
  <c r="R240" i="17"/>
  <c r="R257" i="17" a="1"/>
  <c r="R257" i="17" s="1"/>
  <c r="R274" i="17" a="1"/>
  <c r="R274" i="17" s="1"/>
  <c r="R291" i="17" a="1"/>
  <c r="R291" i="17" s="1"/>
  <c r="R308" i="17" a="1"/>
  <c r="R308" i="17" s="1"/>
  <c r="R325" i="17" a="1"/>
  <c r="R325" i="17" s="1"/>
  <c r="R342" i="17" a="1"/>
  <c r="R342" i="17" s="1"/>
  <c r="R359" i="17" a="1"/>
  <c r="R359" i="17"/>
  <c r="R444" i="17" a="1"/>
  <c r="R444" i="17" s="1"/>
  <c r="R461" i="17" a="1"/>
  <c r="R461" i="17" s="1"/>
  <c r="R478" i="17" a="1"/>
  <c r="R478" i="17" s="1"/>
  <c r="R376" i="17" a="1"/>
  <c r="R376" i="17" s="1"/>
  <c r="R377" i="17" a="1"/>
  <c r="R377" i="17" s="1"/>
  <c r="R378" i="17" a="1"/>
  <c r="R378" i="17" s="1"/>
  <c r="R427" i="17" a="1"/>
  <c r="R427" i="17" s="1"/>
  <c r="R597" i="17" a="1"/>
  <c r="R597" i="17" s="1"/>
  <c r="R614" i="17" a="1"/>
  <c r="R614" i="17"/>
  <c r="R631" i="17" a="1"/>
  <c r="R631" i="17" s="1"/>
  <c r="R648" i="17" a="1"/>
  <c r="R648" i="17" s="1"/>
  <c r="R665" i="17" a="1"/>
  <c r="R665" i="17" s="1"/>
  <c r="R682" i="17" a="1"/>
  <c r="R682" i="17" s="1"/>
  <c r="R699" i="17" a="1"/>
  <c r="R699" i="17" s="1"/>
  <c r="R729" i="17" a="1"/>
  <c r="R729" i="17" s="1"/>
  <c r="R736" i="17" a="1"/>
  <c r="R736" i="17" s="1"/>
  <c r="R753" i="17" a="1"/>
  <c r="R753" i="17" s="1"/>
  <c r="R770" i="17" a="1"/>
  <c r="R770" i="17" s="1"/>
  <c r="R787" i="17" a="1"/>
  <c r="R787" i="17" s="1"/>
  <c r="R804" i="17" a="1"/>
  <c r="R804" i="17" s="1"/>
  <c r="R821" i="17" a="1"/>
  <c r="R821" i="17" s="1"/>
  <c r="R838" i="17" a="1"/>
  <c r="R838" i="17" s="1"/>
  <c r="R855" i="17" a="1"/>
  <c r="R855" i="17" s="1"/>
  <c r="R872" i="17" a="1"/>
  <c r="R872" i="17" s="1"/>
  <c r="R889" i="17" a="1"/>
  <c r="R889" i="17" s="1"/>
  <c r="R906" i="17" a="1"/>
  <c r="R906" i="17" s="1"/>
  <c r="R923" i="17" a="1"/>
  <c r="R923" i="17" s="1"/>
  <c r="R940" i="17" a="1"/>
  <c r="R940" i="17" s="1"/>
  <c r="R495" i="17" a="1"/>
  <c r="R495" i="17" s="1"/>
  <c r="R496" i="17" a="1"/>
  <c r="R496" i="17" s="1"/>
  <c r="R497" i="17" a="1"/>
  <c r="R497" i="17" s="1"/>
  <c r="R498" i="17" a="1"/>
  <c r="R498" i="17" s="1"/>
  <c r="R499" i="17" a="1"/>
  <c r="R499" i="17" s="1"/>
  <c r="R500" i="17" a="1"/>
  <c r="R500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05" i="17" a="1"/>
  <c r="R105" i="17" s="1"/>
  <c r="R122" i="17" a="1"/>
  <c r="R122" i="17" s="1"/>
  <c r="R139" i="17" a="1"/>
  <c r="R139" i="17" s="1"/>
  <c r="R156" i="17" a="1"/>
  <c r="R156" i="17" s="1"/>
  <c r="R175" i="17" a="1"/>
  <c r="R175" i="17" s="1"/>
  <c r="R176" i="17" a="1"/>
  <c r="R176" i="17" s="1"/>
  <c r="R177" i="17" a="1"/>
  <c r="R177" i="17" s="1"/>
  <c r="R224" i="17" a="1"/>
  <c r="R224" i="17" s="1"/>
  <c r="R241" i="17" a="1"/>
  <c r="R241" i="17" s="1"/>
  <c r="R258" i="17" a="1"/>
  <c r="R258" i="17" s="1"/>
  <c r="R275" i="17" a="1"/>
  <c r="R275" i="17" s="1"/>
  <c r="R292" i="17" a="1"/>
  <c r="R292" i="17" s="1"/>
  <c r="R309" i="17" a="1"/>
  <c r="R309" i="17" s="1"/>
  <c r="R326" i="17" a="1"/>
  <c r="R326" i="17" s="1"/>
  <c r="R343" i="17" a="1"/>
  <c r="R343" i="17" s="1"/>
  <c r="R360" i="17" a="1"/>
  <c r="R360" i="17" s="1"/>
  <c r="R445" i="17" a="1"/>
  <c r="R445" i="17" s="1"/>
  <c r="R462" i="17" a="1"/>
  <c r="R462" i="17" s="1"/>
  <c r="R479" i="17" a="1"/>
  <c r="R479" i="17" s="1"/>
  <c r="R379" i="17" a="1"/>
  <c r="R379" i="17" s="1"/>
  <c r="R380" i="17" a="1"/>
  <c r="R380" i="17" s="1"/>
  <c r="R381" i="17" a="1"/>
  <c r="R381" i="17" s="1"/>
  <c r="R428" i="17" a="1"/>
  <c r="R428" i="17" s="1"/>
  <c r="R598" i="17" a="1"/>
  <c r="R598" i="17" s="1"/>
  <c r="R615" i="17" a="1"/>
  <c r="R615" i="17" s="1"/>
  <c r="R632" i="17" a="1"/>
  <c r="R632" i="17" s="1"/>
  <c r="R649" i="17" a="1"/>
  <c r="R649" i="17" s="1"/>
  <c r="R666" i="17" a="1"/>
  <c r="R666" i="17" s="1"/>
  <c r="R683" i="17" a="1"/>
  <c r="R683" i="17" s="1"/>
  <c r="R700" i="17" a="1"/>
  <c r="R700" i="17" s="1"/>
  <c r="R716" i="17" a="1"/>
  <c r="R716" i="17" s="1"/>
  <c r="R737" i="17" a="1"/>
  <c r="R737" i="17" s="1"/>
  <c r="R754" i="17" a="1"/>
  <c r="R754" i="17" s="1"/>
  <c r="R771" i="17" a="1"/>
  <c r="R771" i="17" s="1"/>
  <c r="R788" i="17" a="1"/>
  <c r="R788" i="17" s="1"/>
  <c r="R805" i="17" a="1"/>
  <c r="R805" i="17" s="1"/>
  <c r="R822" i="17" a="1"/>
  <c r="R822" i="17" s="1"/>
  <c r="R839" i="17" a="1"/>
  <c r="R839" i="17" s="1"/>
  <c r="R856" i="17" a="1"/>
  <c r="R856" i="17" s="1"/>
  <c r="R873" i="17" a="1"/>
  <c r="R873" i="17" s="1"/>
  <c r="R890" i="17" a="1"/>
  <c r="R890" i="17" s="1"/>
  <c r="R907" i="17" a="1"/>
  <c r="R907" i="17" s="1"/>
  <c r="R924" i="17" a="1"/>
  <c r="R924" i="17" s="1"/>
  <c r="R941" i="17" a="1"/>
  <c r="R941" i="17" s="1"/>
  <c r="R501" i="17" a="1"/>
  <c r="R501" i="17" s="1"/>
  <c r="R502" i="17" a="1"/>
  <c r="R502" i="17" s="1"/>
  <c r="R503" i="17" a="1"/>
  <c r="R503" i="17" s="1"/>
  <c r="R504" i="17" a="1"/>
  <c r="R504" i="17"/>
  <c r="R505" i="17" a="1"/>
  <c r="R505" i="17" s="1"/>
  <c r="R506" i="17" a="1"/>
  <c r="R506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06" i="17" a="1"/>
  <c r="R106" i="17" s="1"/>
  <c r="R123" i="17" a="1"/>
  <c r="R123" i="17" s="1"/>
  <c r="R140" i="17" a="1"/>
  <c r="R140" i="17" s="1"/>
  <c r="R157" i="17" a="1"/>
  <c r="R157" i="17" s="1"/>
  <c r="R178" i="17" a="1"/>
  <c r="R178" i="17" s="1"/>
  <c r="R179" i="17" a="1"/>
  <c r="R179" i="17" s="1"/>
  <c r="R180" i="17" a="1"/>
  <c r="R180" i="17" s="1"/>
  <c r="R225" i="17" a="1"/>
  <c r="R225" i="17" s="1"/>
  <c r="R242" i="17" a="1"/>
  <c r="R242" i="17" s="1"/>
  <c r="R259" i="17" a="1"/>
  <c r="R259" i="17" s="1"/>
  <c r="R276" i="17" a="1"/>
  <c r="R276" i="17" s="1"/>
  <c r="R293" i="17" a="1"/>
  <c r="R293" i="17" s="1"/>
  <c r="R310" i="17" a="1"/>
  <c r="R310" i="17" s="1"/>
  <c r="R327" i="17" a="1"/>
  <c r="R327" i="17" s="1"/>
  <c r="R344" i="17" a="1"/>
  <c r="R344" i="17" s="1"/>
  <c r="R361" i="17" a="1"/>
  <c r="R361" i="17" s="1"/>
  <c r="R446" i="17" a="1"/>
  <c r="R446" i="17"/>
  <c r="R463" i="17" a="1"/>
  <c r="R463" i="17" s="1"/>
  <c r="R480" i="17" a="1"/>
  <c r="R480" i="17" s="1"/>
  <c r="R382" i="17" a="1"/>
  <c r="R382" i="17" s="1"/>
  <c r="R383" i="17" a="1"/>
  <c r="R383" i="17" s="1"/>
  <c r="R384" i="17" a="1"/>
  <c r="R384" i="17" s="1"/>
  <c r="R429" i="17" a="1"/>
  <c r="R429" i="17" s="1"/>
  <c r="R599" i="17" a="1"/>
  <c r="R599" i="17" s="1"/>
  <c r="R616" i="17" a="1"/>
  <c r="R616" i="17" s="1"/>
  <c r="R633" i="17" a="1"/>
  <c r="R633" i="17" s="1"/>
  <c r="R650" i="17" a="1"/>
  <c r="R650" i="17" s="1"/>
  <c r="R667" i="17" a="1"/>
  <c r="R667" i="17" s="1"/>
  <c r="R684" i="17" a="1"/>
  <c r="R684" i="17" s="1"/>
  <c r="R701" i="17" a="1"/>
  <c r="R701" i="17" s="1"/>
  <c r="R717" i="17" a="1"/>
  <c r="R717" i="17" s="1"/>
  <c r="R730" i="17" a="1"/>
  <c r="R730" i="17" s="1"/>
  <c r="R738" i="17" a="1"/>
  <c r="R738" i="17" s="1"/>
  <c r="R755" i="17" a="1"/>
  <c r="R755" i="17" s="1"/>
  <c r="R772" i="17" a="1"/>
  <c r="R772" i="17" s="1"/>
  <c r="R789" i="17" a="1"/>
  <c r="R789" i="17" s="1"/>
  <c r="R806" i="17" a="1"/>
  <c r="R806" i="17" s="1"/>
  <c r="R823" i="17" a="1"/>
  <c r="R823" i="17" s="1"/>
  <c r="R840" i="17" a="1"/>
  <c r="R840" i="17" s="1"/>
  <c r="R857" i="17" a="1"/>
  <c r="R857" i="17"/>
  <c r="R874" i="17" a="1"/>
  <c r="R874" i="17" s="1"/>
  <c r="R891" i="17" a="1"/>
  <c r="R891" i="17" s="1"/>
  <c r="R908" i="17" a="1"/>
  <c r="R908" i="17" s="1"/>
  <c r="R925" i="17" a="1"/>
  <c r="R925" i="17" s="1"/>
  <c r="R942" i="17" a="1"/>
  <c r="R942" i="17" s="1"/>
  <c r="R507" i="17" a="1"/>
  <c r="R507" i="17" s="1"/>
  <c r="R508" i="17" a="1"/>
  <c r="R508" i="17" s="1"/>
  <c r="R509" i="17" a="1"/>
  <c r="R509" i="17" s="1"/>
  <c r="R510" i="17" a="1"/>
  <c r="R510" i="17" s="1"/>
  <c r="R511" i="17" a="1"/>
  <c r="R511" i="17" s="1"/>
  <c r="R512" i="17" a="1"/>
  <c r="R512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107" i="17" a="1"/>
  <c r="R107" i="17" s="1"/>
  <c r="R124" i="17" a="1"/>
  <c r="R124" i="17" s="1"/>
  <c r="R141" i="17" a="1"/>
  <c r="R141" i="17" s="1"/>
  <c r="R158" i="17" a="1"/>
  <c r="R158" i="17" s="1"/>
  <c r="R181" i="17" a="1"/>
  <c r="R181" i="17" s="1"/>
  <c r="R182" i="17" a="1"/>
  <c r="R182" i="17" s="1"/>
  <c r="R183" i="17" a="1"/>
  <c r="R183" i="17" s="1"/>
  <c r="R226" i="17" a="1"/>
  <c r="R226" i="17" s="1"/>
  <c r="R243" i="17" a="1"/>
  <c r="R243" i="17"/>
  <c r="R260" i="17" a="1"/>
  <c r="R260" i="17" s="1"/>
  <c r="R277" i="17" a="1"/>
  <c r="R277" i="17" s="1"/>
  <c r="R294" i="17" a="1"/>
  <c r="R294" i="17" s="1"/>
  <c r="R311" i="17" a="1"/>
  <c r="R311" i="17" s="1"/>
  <c r="R328" i="17" a="1"/>
  <c r="R328" i="17" s="1"/>
  <c r="R345" i="17" a="1"/>
  <c r="R345" i="17" s="1"/>
  <c r="R362" i="17" a="1"/>
  <c r="R362" i="17" s="1"/>
  <c r="R447" i="17" a="1"/>
  <c r="R447" i="17" s="1"/>
  <c r="R464" i="17" a="1"/>
  <c r="R464" i="17" s="1"/>
  <c r="R481" i="17" a="1"/>
  <c r="R481" i="17" s="1"/>
  <c r="R385" i="17" a="1"/>
  <c r="R385" i="17" s="1"/>
  <c r="R386" i="17" a="1"/>
  <c r="R386" i="17" s="1"/>
  <c r="R387" i="17" a="1"/>
  <c r="R387" i="17" s="1"/>
  <c r="R430" i="17" a="1"/>
  <c r="R430" i="17" s="1"/>
  <c r="R600" i="17" a="1"/>
  <c r="R600" i="17" s="1"/>
  <c r="R617" i="17" a="1"/>
  <c r="R617" i="17" s="1"/>
  <c r="R634" i="17" a="1"/>
  <c r="R634" i="17" s="1"/>
  <c r="R651" i="17" a="1"/>
  <c r="R651" i="17" s="1"/>
  <c r="R668" i="17" a="1"/>
  <c r="R668" i="17" s="1"/>
  <c r="R685" i="17" a="1"/>
  <c r="R685" i="17" s="1"/>
  <c r="R702" i="17" a="1"/>
  <c r="R702" i="17" s="1"/>
  <c r="R718" i="17" a="1"/>
  <c r="R718" i="17" s="1"/>
  <c r="R739" i="17" a="1"/>
  <c r="R739" i="17" s="1"/>
  <c r="R756" i="17" a="1"/>
  <c r="R756" i="17"/>
  <c r="R773" i="17" a="1"/>
  <c r="R773" i="17" s="1"/>
  <c r="R790" i="17" a="1"/>
  <c r="R790" i="17" s="1"/>
  <c r="R807" i="17" a="1"/>
  <c r="R807" i="17" s="1"/>
  <c r="R824" i="17" a="1"/>
  <c r="R824" i="17" s="1"/>
  <c r="R841" i="17" a="1"/>
  <c r="R841" i="17" s="1"/>
  <c r="R858" i="17" a="1"/>
  <c r="R858" i="17" s="1"/>
  <c r="R875" i="17" a="1"/>
  <c r="R875" i="17"/>
  <c r="R892" i="17" a="1"/>
  <c r="R892" i="17"/>
  <c r="R909" i="17" a="1"/>
  <c r="R909" i="17" s="1"/>
  <c r="R926" i="17" a="1"/>
  <c r="R926" i="17" s="1"/>
  <c r="R943" i="17" a="1"/>
  <c r="R943" i="17" s="1"/>
  <c r="R513" i="17" a="1"/>
  <c r="R513" i="17" s="1"/>
  <c r="R514" i="17" a="1"/>
  <c r="R514" i="17" s="1"/>
  <c r="R515" i="17" a="1"/>
  <c r="R515" i="17" s="1"/>
  <c r="R516" i="17" a="1"/>
  <c r="R516" i="17" s="1"/>
  <c r="R517" i="17" a="1"/>
  <c r="R517" i="17" s="1"/>
  <c r="R518" i="17" a="1"/>
  <c r="R518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08" i="17" a="1"/>
  <c r="R108" i="17" s="1"/>
  <c r="R125" i="17" a="1"/>
  <c r="R125" i="17" s="1"/>
  <c r="R142" i="17" a="1"/>
  <c r="R142" i="17" s="1"/>
  <c r="R159" i="17" a="1"/>
  <c r="R159" i="17" s="1"/>
  <c r="R184" i="17" a="1"/>
  <c r="R184" i="17" s="1"/>
  <c r="R185" i="17" a="1"/>
  <c r="R185" i="17" s="1"/>
  <c r="R186" i="17" a="1"/>
  <c r="R186" i="17" s="1"/>
  <c r="R227" i="17" a="1"/>
  <c r="R227" i="17" s="1"/>
  <c r="R244" i="17" a="1"/>
  <c r="R244" i="17" s="1"/>
  <c r="R261" i="17" a="1"/>
  <c r="R261" i="17" s="1"/>
  <c r="R278" i="17" a="1"/>
  <c r="R278" i="17" s="1"/>
  <c r="R295" i="17" a="1"/>
  <c r="R295" i="17" s="1"/>
  <c r="R312" i="17" a="1"/>
  <c r="R312" i="17" s="1"/>
  <c r="R329" i="17" a="1"/>
  <c r="R329" i="17" s="1"/>
  <c r="R346" i="17" a="1"/>
  <c r="R346" i="17" s="1"/>
  <c r="R363" i="17" a="1"/>
  <c r="R363" i="17" s="1"/>
  <c r="R448" i="17" a="1"/>
  <c r="R448" i="17" s="1"/>
  <c r="R465" i="17" a="1"/>
  <c r="R465" i="17" s="1"/>
  <c r="R482" i="17" a="1"/>
  <c r="R482" i="17" s="1"/>
  <c r="R388" i="17" a="1"/>
  <c r="R388" i="17" s="1"/>
  <c r="R389" i="17" a="1"/>
  <c r="R389" i="17" s="1"/>
  <c r="R390" i="17" a="1"/>
  <c r="R390" i="17" s="1"/>
  <c r="R431" i="17" a="1"/>
  <c r="R431" i="17"/>
  <c r="R601" i="17" a="1"/>
  <c r="R601" i="17" s="1"/>
  <c r="R618" i="17" a="1"/>
  <c r="R618" i="17" s="1"/>
  <c r="R635" i="17" a="1"/>
  <c r="R635" i="17" s="1"/>
  <c r="R652" i="17" a="1"/>
  <c r="R652" i="17" s="1"/>
  <c r="R669" i="17" a="1"/>
  <c r="R669" i="17" s="1"/>
  <c r="R686" i="17" a="1"/>
  <c r="R686" i="17" s="1"/>
  <c r="R703" i="17" a="1"/>
  <c r="R703" i="17" s="1"/>
  <c r="R719" i="17" a="1"/>
  <c r="R719" i="17" s="1"/>
  <c r="R731" i="17" a="1"/>
  <c r="R731" i="17" s="1"/>
  <c r="R740" i="17" a="1"/>
  <c r="R740" i="17" s="1"/>
  <c r="R757" i="17" a="1"/>
  <c r="R757" i="17" s="1"/>
  <c r="R774" i="17" a="1"/>
  <c r="R774" i="17" s="1"/>
  <c r="R791" i="17" a="1"/>
  <c r="R791" i="17" s="1"/>
  <c r="R808" i="17" a="1"/>
  <c r="R808" i="17" s="1"/>
  <c r="R825" i="17" a="1"/>
  <c r="R825" i="17" s="1"/>
  <c r="R842" i="17" a="1"/>
  <c r="R842" i="17" s="1"/>
  <c r="R859" i="17" a="1"/>
  <c r="R859" i="17"/>
  <c r="R876" i="17" a="1"/>
  <c r="R876" i="17" s="1"/>
  <c r="R893" i="17" a="1"/>
  <c r="R893" i="17" s="1"/>
  <c r="R910" i="17" a="1"/>
  <c r="R910" i="17" s="1"/>
  <c r="R927" i="17" a="1"/>
  <c r="R927" i="17" s="1"/>
  <c r="R944" i="17" a="1"/>
  <c r="R944" i="17" s="1"/>
  <c r="R519" i="17" a="1"/>
  <c r="R519" i="17" s="1"/>
  <c r="R520" i="17" a="1"/>
  <c r="R520" i="17" s="1"/>
  <c r="R521" i="17" a="1"/>
  <c r="R521" i="17" s="1"/>
  <c r="R522" i="17" a="1"/>
  <c r="R522" i="17" s="1"/>
  <c r="R523" i="17" a="1"/>
  <c r="R523" i="17" s="1"/>
  <c r="R524" i="17" a="1"/>
  <c r="R524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09" i="17" a="1"/>
  <c r="R109" i="17" s="1"/>
  <c r="R126" i="17" a="1"/>
  <c r="R126" i="17" s="1"/>
  <c r="R143" i="17" a="1"/>
  <c r="R143" i="17"/>
  <c r="R160" i="17" a="1"/>
  <c r="R160" i="17" s="1"/>
  <c r="R187" i="17" a="1"/>
  <c r="R187" i="17" s="1"/>
  <c r="R188" i="17" a="1"/>
  <c r="R188" i="17" s="1"/>
  <c r="R189" i="17" a="1"/>
  <c r="R189" i="17" s="1"/>
  <c r="R228" i="17" a="1"/>
  <c r="R228" i="17" s="1"/>
  <c r="R245" i="17" a="1"/>
  <c r="R245" i="17" s="1"/>
  <c r="R262" i="17" a="1"/>
  <c r="R262" i="17" s="1"/>
  <c r="R279" i="17" a="1"/>
  <c r="R279" i="17" s="1"/>
  <c r="R296" i="17" a="1"/>
  <c r="R296" i="17" s="1"/>
  <c r="R313" i="17" a="1"/>
  <c r="R313" i="17" s="1"/>
  <c r="R330" i="17" a="1"/>
  <c r="R330" i="17" s="1"/>
  <c r="R347" i="17" a="1"/>
  <c r="R347" i="17" s="1"/>
  <c r="R364" i="17" a="1"/>
  <c r="R364" i="17" s="1"/>
  <c r="R449" i="17" a="1"/>
  <c r="R449" i="17" s="1"/>
  <c r="R466" i="17" a="1"/>
  <c r="R466" i="17" s="1"/>
  <c r="R483" i="17" a="1"/>
  <c r="R483" i="17" s="1"/>
  <c r="R391" i="17" a="1"/>
  <c r="R391" i="17" s="1"/>
  <c r="R392" i="17" a="1"/>
  <c r="R392" i="17" s="1"/>
  <c r="R393" i="17" a="1"/>
  <c r="R393" i="17" s="1"/>
  <c r="R432" i="17" a="1"/>
  <c r="R432" i="17" s="1"/>
  <c r="R602" i="17" a="1"/>
  <c r="R602" i="17" s="1"/>
  <c r="R619" i="17" a="1"/>
  <c r="R619" i="17" s="1"/>
  <c r="R636" i="17" a="1"/>
  <c r="R636" i="17"/>
  <c r="R653" i="17" a="1"/>
  <c r="R653" i="17" s="1"/>
  <c r="R670" i="17" a="1"/>
  <c r="R670" i="17" s="1"/>
  <c r="R687" i="17" a="1"/>
  <c r="R687" i="17" s="1"/>
  <c r="R704" i="17" a="1"/>
  <c r="R704" i="17" s="1"/>
  <c r="R720" i="17" a="1"/>
  <c r="R720" i="17" s="1"/>
  <c r="R741" i="17" a="1"/>
  <c r="R741" i="17" s="1"/>
  <c r="R758" i="17" a="1"/>
  <c r="R758" i="17" s="1"/>
  <c r="R775" i="17" a="1"/>
  <c r="R775" i="17" s="1"/>
  <c r="R792" i="17" a="1"/>
  <c r="R792" i="17" s="1"/>
  <c r="R809" i="17" a="1"/>
  <c r="R809" i="17" s="1"/>
  <c r="R826" i="17" a="1"/>
  <c r="R826" i="17" s="1"/>
  <c r="R843" i="17" a="1"/>
  <c r="R843" i="17" s="1"/>
  <c r="R860" i="17" a="1"/>
  <c r="R860" i="17" s="1"/>
  <c r="R877" i="17" a="1"/>
  <c r="R877" i="17" s="1"/>
  <c r="R894" i="17" a="1"/>
  <c r="R894" i="17" s="1"/>
  <c r="R911" i="17" a="1"/>
  <c r="R911" i="17" s="1"/>
  <c r="R928" i="17" a="1"/>
  <c r="R928" i="17" s="1"/>
  <c r="R945" i="17" a="1"/>
  <c r="R945" i="17" s="1"/>
  <c r="R525" i="17" a="1"/>
  <c r="R525" i="17" s="1"/>
  <c r="R526" i="17" a="1"/>
  <c r="R526" i="17" s="1"/>
  <c r="R527" i="17" a="1"/>
  <c r="R527" i="17" s="1"/>
  <c r="R528" i="17" a="1"/>
  <c r="R528" i="17" s="1"/>
  <c r="R529" i="17" a="1"/>
  <c r="R529" i="17" s="1"/>
  <c r="R530" i="17" a="1"/>
  <c r="R530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110" i="17" a="1"/>
  <c r="R110" i="17" s="1"/>
  <c r="R127" i="17" a="1"/>
  <c r="R127" i="17" s="1"/>
  <c r="R144" i="17" a="1"/>
  <c r="R144" i="17" s="1"/>
  <c r="R161" i="17" a="1"/>
  <c r="R161" i="17" s="1"/>
  <c r="R190" i="17" a="1"/>
  <c r="R190" i="17" s="1"/>
  <c r="R191" i="17" a="1"/>
  <c r="R191" i="17" s="1"/>
  <c r="R192" i="17" a="1"/>
  <c r="R192" i="17" s="1"/>
  <c r="R229" i="17" a="1"/>
  <c r="R229" i="17" s="1"/>
  <c r="R246" i="17" a="1"/>
  <c r="R246" i="17" s="1"/>
  <c r="R263" i="17" a="1"/>
  <c r="R263" i="17" s="1"/>
  <c r="R280" i="17" a="1"/>
  <c r="R280" i="17"/>
  <c r="R297" i="17" a="1"/>
  <c r="R297" i="17" s="1"/>
  <c r="R314" i="17" a="1"/>
  <c r="R314" i="17" s="1"/>
  <c r="R331" i="17" a="1"/>
  <c r="R331" i="17" s="1"/>
  <c r="R348" i="17" a="1"/>
  <c r="R348" i="17" s="1"/>
  <c r="R365" i="17" a="1"/>
  <c r="R365" i="17" s="1"/>
  <c r="R450" i="17" a="1"/>
  <c r="R450" i="17" s="1"/>
  <c r="R467" i="17" a="1"/>
  <c r="R467" i="17" s="1"/>
  <c r="R484" i="17" a="1"/>
  <c r="R484" i="17" s="1"/>
  <c r="R394" i="17" a="1"/>
  <c r="R394" i="17" s="1"/>
  <c r="R395" i="17" a="1"/>
  <c r="R395" i="17" s="1"/>
  <c r="R396" i="17" a="1"/>
  <c r="R396" i="17" s="1"/>
  <c r="R433" i="17" a="1"/>
  <c r="R433" i="17" s="1"/>
  <c r="R603" i="17" a="1"/>
  <c r="R603" i="17" s="1"/>
  <c r="R620" i="17" a="1"/>
  <c r="R620" i="17" s="1"/>
  <c r="R637" i="17" a="1"/>
  <c r="R637" i="17" s="1"/>
  <c r="R654" i="17" a="1"/>
  <c r="R654" i="17" s="1"/>
  <c r="R671" i="17" a="1"/>
  <c r="R671" i="17" s="1"/>
  <c r="R688" i="17" a="1"/>
  <c r="R688" i="17" s="1"/>
  <c r="R705" i="17" a="1"/>
  <c r="R705" i="17" s="1"/>
  <c r="R721" i="17" a="1"/>
  <c r="R721" i="17" s="1"/>
  <c r="R732" i="17" a="1"/>
  <c r="R732" i="17" s="1"/>
  <c r="R742" i="17" a="1"/>
  <c r="R742" i="17" s="1"/>
  <c r="R759" i="17" a="1"/>
  <c r="R759" i="17" s="1"/>
  <c r="R776" i="17" a="1"/>
  <c r="R776" i="17" s="1"/>
  <c r="R793" i="17" a="1"/>
  <c r="R793" i="17" s="1"/>
  <c r="R810" i="17" a="1"/>
  <c r="R810" i="17" s="1"/>
  <c r="R827" i="17" a="1"/>
  <c r="R827" i="17" s="1"/>
  <c r="R844" i="17" a="1"/>
  <c r="R844" i="17" s="1"/>
  <c r="R861" i="17" a="1"/>
  <c r="R861" i="17" s="1"/>
  <c r="R878" i="17" a="1"/>
  <c r="R878" i="17" s="1"/>
  <c r="R895" i="17" a="1"/>
  <c r="R895" i="17" s="1"/>
  <c r="R912" i="17" a="1"/>
  <c r="R912" i="17" s="1"/>
  <c r="R929" i="17" a="1"/>
  <c r="R929" i="17" s="1"/>
  <c r="R946" i="17" a="1"/>
  <c r="R946" i="17" s="1"/>
  <c r="R531" i="17" a="1"/>
  <c r="R531" i="17"/>
  <c r="R532" i="17" a="1"/>
  <c r="R532" i="17" s="1"/>
  <c r="R533" i="17" a="1"/>
  <c r="R533" i="17" s="1"/>
  <c r="R534" i="17" a="1"/>
  <c r="R534" i="17" s="1"/>
  <c r="R535" i="17" a="1"/>
  <c r="R535" i="17" s="1"/>
  <c r="R536" i="17" a="1"/>
  <c r="R536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11" i="17" a="1"/>
  <c r="R111" i="17" s="1"/>
  <c r="R128" i="17" a="1"/>
  <c r="R128" i="17" s="1"/>
  <c r="R145" i="17" a="1"/>
  <c r="R145" i="17" s="1"/>
  <c r="R162" i="17" a="1"/>
  <c r="R162" i="17" s="1"/>
  <c r="R193" i="17" a="1"/>
  <c r="R193" i="17" s="1"/>
  <c r="R194" i="17" a="1"/>
  <c r="R194" i="17" s="1"/>
  <c r="R195" i="17" a="1"/>
  <c r="R195" i="17"/>
  <c r="R230" i="17" a="1"/>
  <c r="R230" i="17" s="1"/>
  <c r="R247" i="17" a="1"/>
  <c r="R247" i="17" s="1"/>
  <c r="R264" i="17" a="1"/>
  <c r="R264" i="17" s="1"/>
  <c r="R281" i="17" a="1"/>
  <c r="R281" i="17" s="1"/>
  <c r="R298" i="17" a="1"/>
  <c r="R298" i="17" s="1"/>
  <c r="R315" i="17" a="1"/>
  <c r="R315" i="17" s="1"/>
  <c r="R332" i="17" a="1"/>
  <c r="R332" i="17" s="1"/>
  <c r="R349" i="17" a="1"/>
  <c r="R349" i="17" s="1"/>
  <c r="R366" i="17" a="1"/>
  <c r="R366" i="17" s="1"/>
  <c r="R451" i="17" a="1"/>
  <c r="R451" i="17" s="1"/>
  <c r="R468" i="17" a="1"/>
  <c r="R468" i="17"/>
  <c r="R485" i="17" a="1"/>
  <c r="R485" i="17" s="1"/>
  <c r="R397" i="17" a="1"/>
  <c r="R397" i="17" s="1"/>
  <c r="R398" i="17" a="1"/>
  <c r="R398" i="17" s="1"/>
  <c r="R399" i="17" a="1"/>
  <c r="R399" i="17" s="1"/>
  <c r="R434" i="17" a="1"/>
  <c r="R434" i="17" s="1"/>
  <c r="R604" i="17" a="1"/>
  <c r="R604" i="17" s="1"/>
  <c r="R621" i="17" a="1"/>
  <c r="R621" i="17" s="1"/>
  <c r="R638" i="17" a="1"/>
  <c r="R638" i="17" s="1"/>
  <c r="R655" i="17" a="1"/>
  <c r="R655" i="17"/>
  <c r="R672" i="17" a="1"/>
  <c r="R672" i="17" s="1"/>
  <c r="R689" i="17" a="1"/>
  <c r="R689" i="17" s="1"/>
  <c r="R706" i="17" a="1"/>
  <c r="R706" i="17" s="1"/>
  <c r="R722" i="17" a="1"/>
  <c r="R722" i="17" s="1"/>
  <c r="R733" i="17" a="1"/>
  <c r="R733" i="17" s="1"/>
  <c r="R743" i="17" a="1"/>
  <c r="R743" i="17" s="1"/>
  <c r="R760" i="17" a="1"/>
  <c r="R760" i="17" s="1"/>
  <c r="R777" i="17" a="1"/>
  <c r="R777" i="17" s="1"/>
  <c r="R794" i="17" a="1"/>
  <c r="R794" i="17" s="1"/>
  <c r="R811" i="17" a="1"/>
  <c r="R811" i="17" s="1"/>
  <c r="R828" i="17" a="1"/>
  <c r="R828" i="17" s="1"/>
  <c r="R845" i="17" a="1"/>
  <c r="R845" i="17" s="1"/>
  <c r="R862" i="17" a="1"/>
  <c r="R862" i="17" s="1"/>
  <c r="R879" i="17" a="1"/>
  <c r="R879" i="17" s="1"/>
  <c r="R896" i="17" a="1"/>
  <c r="R896" i="17" s="1"/>
  <c r="R913" i="17" a="1"/>
  <c r="R913" i="17" s="1"/>
  <c r="R930" i="17" a="1"/>
  <c r="R930" i="17" s="1"/>
  <c r="R947" i="17" a="1"/>
  <c r="R947" i="17" s="1"/>
  <c r="R537" i="17" a="1"/>
  <c r="R537" i="17" s="1"/>
  <c r="R538" i="17" a="1"/>
  <c r="R538" i="17" s="1"/>
  <c r="R539" i="17" a="1"/>
  <c r="R539" i="17" s="1"/>
  <c r="R540" i="17" a="1"/>
  <c r="R540" i="17" s="1"/>
  <c r="R541" i="17" a="1"/>
  <c r="R541" i="17" s="1"/>
  <c r="R542" i="17" a="1"/>
  <c r="R542" i="17" s="1"/>
  <c r="R50" i="17" a="1"/>
  <c r="R50" i="17" s="1"/>
  <c r="R51" i="17" a="1"/>
  <c r="R51" i="17"/>
  <c r="R52" i="17" a="1"/>
  <c r="R52" i="17" s="1"/>
  <c r="R53" i="17" a="1"/>
  <c r="R53" i="17" s="1"/>
  <c r="R54" i="17" a="1"/>
  <c r="R54" i="17" s="1"/>
  <c r="R55" i="17" a="1"/>
  <c r="R55" i="17" s="1"/>
  <c r="R112" i="17" a="1"/>
  <c r="R112" i="17" s="1"/>
  <c r="R129" i="17" a="1"/>
  <c r="R129" i="17" s="1"/>
  <c r="R146" i="17" a="1"/>
  <c r="R146" i="17" s="1"/>
  <c r="R163" i="17" a="1"/>
  <c r="R163" i="17" s="1"/>
  <c r="R196" i="17" a="1"/>
  <c r="R196" i="17" s="1"/>
  <c r="R197" i="17" a="1"/>
  <c r="R197" i="17" s="1"/>
  <c r="R198" i="17" a="1"/>
  <c r="R198" i="17" s="1"/>
  <c r="R231" i="17" a="1"/>
  <c r="R231" i="17" s="1"/>
  <c r="R248" i="17" a="1"/>
  <c r="R248" i="17" s="1"/>
  <c r="R265" i="17" a="1"/>
  <c r="R265" i="17" s="1"/>
  <c r="R282" i="17" a="1"/>
  <c r="R282" i="17" s="1"/>
  <c r="R299" i="17" a="1"/>
  <c r="R299" i="17" s="1"/>
  <c r="R316" i="17" a="1"/>
  <c r="R316" i="17" s="1"/>
  <c r="R333" i="17" a="1"/>
  <c r="R333" i="17" s="1"/>
  <c r="R350" i="17" a="1"/>
  <c r="R350" i="17" s="1"/>
  <c r="R367" i="17" a="1"/>
  <c r="R367" i="17" s="1"/>
  <c r="R452" i="17" a="1"/>
  <c r="R452" i="17" s="1"/>
  <c r="R469" i="17" a="1"/>
  <c r="R469" i="17" s="1"/>
  <c r="R486" i="17" a="1"/>
  <c r="R486" i="17" s="1"/>
  <c r="R400" i="17" a="1"/>
  <c r="R400" i="17" s="1"/>
  <c r="R401" i="17" a="1"/>
  <c r="R401" i="17" s="1"/>
  <c r="R402" i="17" a="1"/>
  <c r="R402" i="17" s="1"/>
  <c r="R435" i="17" a="1"/>
  <c r="R435" i="17" s="1"/>
  <c r="R605" i="17" a="1"/>
  <c r="R605" i="17" s="1"/>
  <c r="R622" i="17" a="1"/>
  <c r="R622" i="17"/>
  <c r="R639" i="17" a="1"/>
  <c r="R639" i="17" s="1"/>
  <c r="R656" i="17" a="1"/>
  <c r="R656" i="17" s="1"/>
  <c r="R673" i="17" a="1"/>
  <c r="R673" i="17"/>
  <c r="R690" i="17" a="1"/>
  <c r="R690" i="17" s="1"/>
  <c r="R707" i="17" a="1"/>
  <c r="R707" i="17" s="1"/>
  <c r="R744" i="17" a="1"/>
  <c r="R744" i="17" s="1"/>
  <c r="R761" i="17" a="1"/>
  <c r="R761" i="17" s="1"/>
  <c r="R778" i="17" a="1"/>
  <c r="R778" i="17"/>
  <c r="R795" i="17" a="1"/>
  <c r="R795" i="17"/>
  <c r="R812" i="17" a="1"/>
  <c r="R812" i="17" s="1"/>
  <c r="R829" i="17" a="1"/>
  <c r="R829" i="17" s="1"/>
  <c r="R846" i="17" a="1"/>
  <c r="R846" i="17"/>
  <c r="R863" i="17" a="1"/>
  <c r="R863" i="17" s="1"/>
  <c r="R880" i="17" a="1"/>
  <c r="R880" i="17" s="1"/>
  <c r="R897" i="17" a="1"/>
  <c r="R897" i="17" s="1"/>
  <c r="R914" i="17" a="1"/>
  <c r="R914" i="17" s="1"/>
  <c r="R931" i="17" a="1"/>
  <c r="R931" i="17" s="1"/>
  <c r="R948" i="17" a="1"/>
  <c r="R948" i="17" s="1"/>
  <c r="R543" i="17" a="1"/>
  <c r="R543" i="17" s="1"/>
  <c r="R544" i="17" a="1"/>
  <c r="R544" i="17" s="1"/>
  <c r="R545" i="17" a="1"/>
  <c r="R545" i="17" s="1"/>
  <c r="R546" i="17" a="1"/>
  <c r="R546" i="17" s="1"/>
  <c r="R547" i="17" a="1"/>
  <c r="R547" i="17" s="1"/>
  <c r="R548" i="17" a="1"/>
  <c r="R548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13" i="17" a="1"/>
  <c r="R113" i="17"/>
  <c r="R130" i="17" a="1"/>
  <c r="R130" i="17" s="1"/>
  <c r="R147" i="17" a="1"/>
  <c r="R147" i="17" s="1"/>
  <c r="R164" i="17" a="1"/>
  <c r="R164" i="17" s="1"/>
  <c r="R199" i="17" a="1"/>
  <c r="R199" i="17" s="1"/>
  <c r="R200" i="17" a="1"/>
  <c r="R200" i="17" s="1"/>
  <c r="R201" i="17" a="1"/>
  <c r="R201" i="17" s="1"/>
  <c r="R232" i="17" a="1"/>
  <c r="R232" i="17" s="1"/>
  <c r="R249" i="17" a="1"/>
  <c r="R249" i="17" s="1"/>
  <c r="R266" i="17" a="1"/>
  <c r="R266" i="17" s="1"/>
  <c r="R283" i="17" a="1"/>
  <c r="R283" i="17" s="1"/>
  <c r="R300" i="17" a="1"/>
  <c r="R300" i="17" s="1"/>
  <c r="R317" i="17" a="1"/>
  <c r="R317" i="17" s="1"/>
  <c r="R334" i="17" a="1"/>
  <c r="R334" i="17" s="1"/>
  <c r="R351" i="17" a="1"/>
  <c r="R351" i="17"/>
  <c r="R368" i="17" a="1"/>
  <c r="R368" i="17" s="1"/>
  <c r="R453" i="17" a="1"/>
  <c r="R453" i="17" s="1"/>
  <c r="R470" i="17" a="1"/>
  <c r="R470" i="17" s="1"/>
  <c r="R487" i="17" a="1"/>
  <c r="R487" i="17" s="1"/>
  <c r="R403" i="17" a="1"/>
  <c r="R403" i="17" s="1"/>
  <c r="R404" i="17" a="1"/>
  <c r="R404" i="17" s="1"/>
  <c r="R405" i="17" a="1"/>
  <c r="R405" i="17" s="1"/>
  <c r="R436" i="17" a="1"/>
  <c r="R436" i="17" s="1"/>
  <c r="R606" i="17" a="1"/>
  <c r="R606" i="17"/>
  <c r="R623" i="17" a="1"/>
  <c r="R623" i="17" s="1"/>
  <c r="R640" i="17" a="1"/>
  <c r="R640" i="17" s="1"/>
  <c r="R657" i="17" a="1"/>
  <c r="R657" i="17" s="1"/>
  <c r="R674" i="17" a="1"/>
  <c r="R674" i="17" s="1"/>
  <c r="R691" i="17" a="1"/>
  <c r="R691" i="17" s="1"/>
  <c r="R708" i="17" a="1"/>
  <c r="R708" i="17" s="1"/>
  <c r="R745" i="17" a="1"/>
  <c r="R745" i="17" s="1"/>
  <c r="R762" i="17" a="1"/>
  <c r="R762" i="17"/>
  <c r="R779" i="17" a="1"/>
  <c r="R779" i="17" s="1"/>
  <c r="R796" i="17" a="1"/>
  <c r="R796" i="17" s="1"/>
  <c r="R813" i="17" a="1"/>
  <c r="R813" i="17" s="1"/>
  <c r="R830" i="17" a="1"/>
  <c r="R830" i="17" s="1"/>
  <c r="R847" i="17" a="1"/>
  <c r="R847" i="17" s="1"/>
  <c r="R864" i="17" a="1"/>
  <c r="R864" i="17" s="1"/>
  <c r="R881" i="17" a="1"/>
  <c r="R881" i="17" s="1"/>
  <c r="R898" i="17" a="1"/>
  <c r="R898" i="17" s="1"/>
  <c r="R915" i="17" a="1"/>
  <c r="R915" i="17" s="1"/>
  <c r="R932" i="17" a="1"/>
  <c r="R932" i="17" s="1"/>
  <c r="R949" i="17" a="1"/>
  <c r="R949" i="17" s="1"/>
  <c r="R549" i="17" a="1"/>
  <c r="R549" i="17" s="1"/>
  <c r="R550" i="17" a="1"/>
  <c r="R550" i="17" s="1"/>
  <c r="R551" i="17" a="1"/>
  <c r="R551" i="17" s="1"/>
  <c r="R552" i="17" a="1"/>
  <c r="R552" i="17" s="1"/>
  <c r="R553" i="17" a="1"/>
  <c r="R553" i="17" s="1"/>
  <c r="R554" i="17" a="1"/>
  <c r="R554" i="17" s="1"/>
  <c r="R62" i="17" a="1"/>
  <c r="R62" i="17" s="1"/>
  <c r="R63" i="17" a="1"/>
  <c r="R63" i="17" s="1"/>
  <c r="R64" i="17" a="1"/>
  <c r="R64" i="17"/>
  <c r="R65" i="17" a="1"/>
  <c r="R65" i="17" s="1"/>
  <c r="R66" i="17" a="1"/>
  <c r="R66" i="17" s="1"/>
  <c r="R67" i="17" a="1"/>
  <c r="R67" i="17" s="1"/>
  <c r="R114" i="17" a="1"/>
  <c r="R114" i="17"/>
  <c r="R131" i="17" a="1"/>
  <c r="R131" i="17" s="1"/>
  <c r="R148" i="17" a="1"/>
  <c r="R148" i="17" s="1"/>
  <c r="R165" i="17" a="1"/>
  <c r="R165" i="17" s="1"/>
  <c r="R202" i="17" a="1"/>
  <c r="R202" i="17" s="1"/>
  <c r="R203" i="17" a="1"/>
  <c r="R203" i="17" s="1"/>
  <c r="R204" i="17" a="1"/>
  <c r="R204" i="17" s="1"/>
  <c r="R233" i="17" a="1"/>
  <c r="R233" i="17" s="1"/>
  <c r="R250" i="17" a="1"/>
  <c r="R250" i="17" s="1"/>
  <c r="R267" i="17" a="1"/>
  <c r="R267" i="17" s="1"/>
  <c r="R284" i="17" a="1"/>
  <c r="R284" i="17" s="1"/>
  <c r="R301" i="17" a="1"/>
  <c r="R301" i="17" s="1"/>
  <c r="R318" i="17" a="1"/>
  <c r="R318" i="17" s="1"/>
  <c r="R335" i="17" a="1"/>
  <c r="R335" i="17" s="1"/>
  <c r="R352" i="17" a="1"/>
  <c r="R352" i="17" s="1"/>
  <c r="R369" i="17" a="1"/>
  <c r="R369" i="17" s="1"/>
  <c r="R454" i="17" a="1"/>
  <c r="R454" i="17" s="1"/>
  <c r="R471" i="17" a="1"/>
  <c r="R471" i="17"/>
  <c r="R488" i="17" a="1"/>
  <c r="R488" i="17" s="1"/>
  <c r="R406" i="17" a="1"/>
  <c r="R406" i="17" s="1"/>
  <c r="R407" i="17" a="1"/>
  <c r="R407" i="17" s="1"/>
  <c r="R408" i="17" a="1"/>
  <c r="R408" i="17" s="1"/>
  <c r="R437" i="17" a="1"/>
  <c r="R437" i="17" s="1"/>
  <c r="R607" i="17" a="1"/>
  <c r="R607" i="17"/>
  <c r="R624" i="17" a="1"/>
  <c r="R624" i="17" s="1"/>
  <c r="R641" i="17" a="1"/>
  <c r="R641" i="17" s="1"/>
  <c r="R658" i="17" a="1"/>
  <c r="R658" i="17" s="1"/>
  <c r="R675" i="17" a="1"/>
  <c r="R675" i="17" s="1"/>
  <c r="R692" i="17" a="1"/>
  <c r="R692" i="17" s="1"/>
  <c r="R709" i="17" a="1"/>
  <c r="R709" i="17" s="1"/>
  <c r="R723" i="17" a="1"/>
  <c r="R723" i="17" s="1"/>
  <c r="R734" i="17" a="1"/>
  <c r="R734" i="17" s="1"/>
  <c r="R746" i="17" a="1"/>
  <c r="R746" i="17" s="1"/>
  <c r="R763" i="17" a="1"/>
  <c r="R763" i="17" s="1"/>
  <c r="R780" i="17" a="1"/>
  <c r="R780" i="17" s="1"/>
  <c r="R797" i="17" a="1"/>
  <c r="R797" i="17"/>
  <c r="R814" i="17" a="1"/>
  <c r="R814" i="17" s="1"/>
  <c r="R831" i="17" a="1"/>
  <c r="R831" i="17" s="1"/>
  <c r="R848" i="17" a="1"/>
  <c r="R848" i="17" s="1"/>
  <c r="R865" i="17" a="1"/>
  <c r="R865" i="17" s="1"/>
  <c r="R882" i="17" a="1"/>
  <c r="R882" i="17" s="1"/>
  <c r="R899" i="17" a="1"/>
  <c r="R899" i="17" s="1"/>
  <c r="R916" i="17" a="1"/>
  <c r="R916" i="17" s="1"/>
  <c r="R933" i="17" a="1"/>
  <c r="R933" i="17" s="1"/>
  <c r="R950" i="17" a="1"/>
  <c r="R950" i="17" s="1"/>
  <c r="R555" i="17" a="1"/>
  <c r="R555" i="17" s="1"/>
  <c r="R556" i="17" a="1"/>
  <c r="R556" i="17" s="1"/>
  <c r="R557" i="17" a="1"/>
  <c r="R557" i="17" s="1"/>
  <c r="R558" i="17" a="1"/>
  <c r="R558" i="17" s="1"/>
  <c r="R559" i="17" a="1"/>
  <c r="R559" i="17" s="1"/>
  <c r="R560" i="17" a="1"/>
  <c r="R560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15" i="17" a="1"/>
  <c r="R115" i="17" s="1"/>
  <c r="R132" i="17" a="1"/>
  <c r="R132" i="17" s="1"/>
  <c r="R149" i="17" a="1"/>
  <c r="R149" i="17" s="1"/>
  <c r="R166" i="17" a="1"/>
  <c r="R166" i="17" s="1"/>
  <c r="R205" i="17" a="1"/>
  <c r="R205" i="17" s="1"/>
  <c r="R206" i="17" a="1"/>
  <c r="R206" i="17" s="1"/>
  <c r="R207" i="17" a="1"/>
  <c r="R207" i="17" s="1"/>
  <c r="R234" i="17" a="1"/>
  <c r="R234" i="17" s="1"/>
  <c r="R251" i="17" a="1"/>
  <c r="R251" i="17" s="1"/>
  <c r="R268" i="17" a="1"/>
  <c r="R268" i="17" s="1"/>
  <c r="R285" i="17" a="1"/>
  <c r="R285" i="17" s="1"/>
  <c r="R302" i="17" a="1"/>
  <c r="R302" i="17" s="1"/>
  <c r="R319" i="17" a="1"/>
  <c r="R319" i="17" s="1"/>
  <c r="R336" i="17" a="1"/>
  <c r="R336" i="17" s="1"/>
  <c r="R353" i="17" a="1"/>
  <c r="R353" i="17" s="1"/>
  <c r="R370" i="17" a="1"/>
  <c r="R370" i="17" s="1"/>
  <c r="R455" i="17" a="1"/>
  <c r="R455" i="17" s="1"/>
  <c r="R472" i="17" a="1"/>
  <c r="R472" i="17" s="1"/>
  <c r="R489" i="17" a="1"/>
  <c r="R489" i="17" s="1"/>
  <c r="R409" i="17" a="1"/>
  <c r="R409" i="17" s="1"/>
  <c r="R410" i="17" a="1"/>
  <c r="R410" i="17" s="1"/>
  <c r="R411" i="17" a="1"/>
  <c r="R411" i="17" s="1"/>
  <c r="R438" i="17" a="1"/>
  <c r="R438" i="17" s="1"/>
  <c r="R608" i="17" a="1"/>
  <c r="R608" i="17" s="1"/>
  <c r="R625" i="17" a="1"/>
  <c r="R625" i="17" s="1"/>
  <c r="R642" i="17" a="1"/>
  <c r="R642" i="17" s="1"/>
  <c r="R659" i="17" a="1"/>
  <c r="R659" i="17" s="1"/>
  <c r="R676" i="17" a="1"/>
  <c r="R676" i="17" s="1"/>
  <c r="R693" i="17" a="1"/>
  <c r="R693" i="17" s="1"/>
  <c r="R710" i="17" a="1"/>
  <c r="R710" i="17" s="1"/>
  <c r="R724" i="17" a="1"/>
  <c r="R724" i="17" s="1"/>
  <c r="R747" i="17" a="1"/>
  <c r="R747" i="17" s="1"/>
  <c r="R764" i="17" a="1"/>
  <c r="R764" i="17" s="1"/>
  <c r="R781" i="17" a="1"/>
  <c r="R781" i="17" s="1"/>
  <c r="R798" i="17" a="1"/>
  <c r="R798" i="17" s="1"/>
  <c r="R815" i="17" a="1"/>
  <c r="R815" i="17" s="1"/>
  <c r="R832" i="17" a="1"/>
  <c r="R832" i="17" s="1"/>
  <c r="R849" i="17" a="1"/>
  <c r="R849" i="17" s="1"/>
  <c r="R866" i="17" a="1"/>
  <c r="R866" i="17" s="1"/>
  <c r="R883" i="17" a="1"/>
  <c r="R883" i="17" s="1"/>
  <c r="R900" i="17" a="1"/>
  <c r="R900" i="17" s="1"/>
  <c r="R917" i="17" a="1"/>
  <c r="R917" i="17" s="1"/>
  <c r="R934" i="17" a="1"/>
  <c r="R934" i="17" s="1"/>
  <c r="R951" i="17" a="1"/>
  <c r="R951" i="17" s="1"/>
  <c r="R561" i="17" a="1"/>
  <c r="R561" i="17" s="1"/>
  <c r="R562" i="17" a="1"/>
  <c r="R562" i="17" s="1"/>
  <c r="R563" i="17" a="1"/>
  <c r="R563" i="17" s="1"/>
  <c r="R564" i="17" a="1"/>
  <c r="R564" i="17" s="1"/>
  <c r="R565" i="17" a="1"/>
  <c r="R565" i="17"/>
  <c r="R566" i="17" a="1"/>
  <c r="R566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16" i="17" a="1"/>
  <c r="R116" i="17" s="1"/>
  <c r="R133" i="17" a="1"/>
  <c r="R133" i="17" s="1"/>
  <c r="R150" i="17" a="1"/>
  <c r="R150" i="17"/>
  <c r="R167" i="17" a="1"/>
  <c r="R167" i="17" s="1"/>
  <c r="R208" i="17" a="1"/>
  <c r="R208" i="17" s="1"/>
  <c r="R209" i="17" a="1"/>
  <c r="R209" i="17" s="1"/>
  <c r="R210" i="17" a="1"/>
  <c r="R210" i="17" s="1"/>
  <c r="R235" i="17" a="1"/>
  <c r="R235" i="17" s="1"/>
  <c r="R252" i="17" a="1"/>
  <c r="R252" i="17" s="1"/>
  <c r="R269" i="17" a="1"/>
  <c r="R269" i="17" s="1"/>
  <c r="R286" i="17" a="1"/>
  <c r="R286" i="17" s="1"/>
  <c r="R303" i="17" a="1"/>
  <c r="R303" i="17" s="1"/>
  <c r="R320" i="17" a="1"/>
  <c r="R320" i="17" s="1"/>
  <c r="R337" i="17" a="1"/>
  <c r="R337" i="17" s="1"/>
  <c r="R354" i="17" a="1"/>
  <c r="R354" i="17" s="1"/>
  <c r="R371" i="17" a="1"/>
  <c r="R371" i="17"/>
  <c r="R456" i="17" a="1"/>
  <c r="R456" i="17" s="1"/>
  <c r="R473" i="17" a="1"/>
  <c r="R473" i="17" s="1"/>
  <c r="R490" i="17" a="1"/>
  <c r="R490" i="17" s="1"/>
  <c r="R412" i="17" a="1"/>
  <c r="R412" i="17" s="1"/>
  <c r="R413" i="17" a="1"/>
  <c r="R413" i="17" s="1"/>
  <c r="R414" i="17" a="1"/>
  <c r="R414" i="17" s="1"/>
  <c r="R439" i="17" a="1"/>
  <c r="R439" i="17" s="1"/>
  <c r="R609" i="17" a="1"/>
  <c r="R609" i="17" s="1"/>
  <c r="R626" i="17" a="1"/>
  <c r="R626" i="17" s="1"/>
  <c r="R643" i="17" a="1"/>
  <c r="R643" i="17" s="1"/>
  <c r="R660" i="17" a="1"/>
  <c r="R660" i="17" s="1"/>
  <c r="R677" i="17" a="1"/>
  <c r="R677" i="17" s="1"/>
  <c r="R694" i="17" a="1"/>
  <c r="R694" i="17" s="1"/>
  <c r="R711" i="17" a="1"/>
  <c r="R711" i="17" s="1"/>
  <c r="R748" i="17" a="1"/>
  <c r="R748" i="17" s="1"/>
  <c r="R765" i="17" a="1"/>
  <c r="R765" i="17" s="1"/>
  <c r="R782" i="17" a="1"/>
  <c r="R782" i="17" s="1"/>
  <c r="R799" i="17" a="1"/>
  <c r="R799" i="17" s="1"/>
  <c r="R816" i="17" a="1"/>
  <c r="R816" i="17" s="1"/>
  <c r="R833" i="17" a="1"/>
  <c r="R833" i="17" s="1"/>
  <c r="R850" i="17" a="1"/>
  <c r="R850" i="17"/>
  <c r="R867" i="17" a="1"/>
  <c r="R867" i="17" s="1"/>
  <c r="R884" i="17" a="1"/>
  <c r="R884" i="17" s="1"/>
  <c r="R901" i="17" a="1"/>
  <c r="R901" i="17" s="1"/>
  <c r="R918" i="17" a="1"/>
  <c r="R918" i="17" s="1"/>
  <c r="R935" i="17" a="1"/>
  <c r="R935" i="17" s="1"/>
  <c r="R952" i="17" a="1"/>
  <c r="R952" i="17" s="1"/>
  <c r="R567" i="17" a="1"/>
  <c r="R567" i="17" s="1"/>
  <c r="R568" i="17" a="1"/>
  <c r="R568" i="17" s="1"/>
  <c r="R569" i="17" a="1"/>
  <c r="R569" i="17" s="1"/>
  <c r="R570" i="17" a="1"/>
  <c r="R570" i="17" s="1"/>
  <c r="R571" i="17" a="1"/>
  <c r="R571" i="17" s="1"/>
  <c r="R572" i="17" a="1"/>
  <c r="R572" i="17" s="1"/>
  <c r="R80" i="17" a="1"/>
  <c r="R80" i="17" s="1"/>
  <c r="R81" i="17" a="1"/>
  <c r="R81" i="17" s="1"/>
  <c r="R82" i="17" a="1"/>
  <c r="R82" i="17" s="1"/>
  <c r="R83" i="17" a="1"/>
  <c r="R83" i="17"/>
  <c r="R84" i="17" a="1"/>
  <c r="R84" i="17" s="1"/>
  <c r="R85" i="17" a="1"/>
  <c r="R85" i="17" s="1"/>
  <c r="R117" i="17" a="1"/>
  <c r="R117" i="17" s="1"/>
  <c r="R134" i="17" a="1"/>
  <c r="R134" i="17" s="1"/>
  <c r="R151" i="17" a="1"/>
  <c r="R151" i="17" s="1"/>
  <c r="R168" i="17" a="1"/>
  <c r="R168" i="17" s="1"/>
  <c r="R211" i="17" a="1"/>
  <c r="R211" i="17"/>
  <c r="R212" i="17" a="1"/>
  <c r="R212" i="17" s="1"/>
  <c r="R213" i="17" a="1"/>
  <c r="R213" i="17" s="1"/>
  <c r="R236" i="17" a="1"/>
  <c r="R236" i="17" s="1"/>
  <c r="R253" i="17" a="1"/>
  <c r="R253" i="17" s="1"/>
  <c r="R270" i="17" a="1"/>
  <c r="R270" i="17" s="1"/>
  <c r="R287" i="17" a="1"/>
  <c r="R287" i="17" s="1"/>
  <c r="R304" i="17" a="1"/>
  <c r="R304" i="17"/>
  <c r="R321" i="17" a="1"/>
  <c r="R321" i="17" s="1"/>
  <c r="R338" i="17" a="1"/>
  <c r="R338" i="17" s="1"/>
  <c r="R355" i="17" a="1"/>
  <c r="R355" i="17" s="1"/>
  <c r="R372" i="17" a="1"/>
  <c r="R372" i="17" s="1"/>
  <c r="R457" i="17" a="1"/>
  <c r="R457" i="17" s="1"/>
  <c r="R474" i="17" a="1"/>
  <c r="R474" i="17" s="1"/>
  <c r="R491" i="17" a="1"/>
  <c r="R491" i="17" s="1"/>
  <c r="R415" i="17" a="1"/>
  <c r="R415" i="17" s="1"/>
  <c r="R416" i="17" a="1"/>
  <c r="R416" i="17" s="1"/>
  <c r="R417" i="17" a="1"/>
  <c r="R417" i="17" s="1"/>
  <c r="R440" i="17" a="1"/>
  <c r="R440" i="17" s="1"/>
  <c r="R610" i="17" a="1"/>
  <c r="R610" i="17" s="1"/>
  <c r="R627" i="17" a="1"/>
  <c r="R627" i="17" s="1"/>
  <c r="R644" i="17" a="1"/>
  <c r="R644" i="17" s="1"/>
  <c r="R661" i="17" a="1"/>
  <c r="R661" i="17" s="1"/>
  <c r="R678" i="17" a="1"/>
  <c r="R678" i="17" s="1"/>
  <c r="R695" i="17" a="1"/>
  <c r="R695" i="17" s="1"/>
  <c r="R712" i="17" a="1"/>
  <c r="R712" i="17" s="1"/>
  <c r="R725" i="17" a="1"/>
  <c r="R725" i="17" s="1"/>
  <c r="R749" i="17" a="1"/>
  <c r="R749" i="17" s="1"/>
  <c r="R766" i="17" a="1"/>
  <c r="R766" i="17" s="1"/>
  <c r="R783" i="17" a="1"/>
  <c r="R783" i="17" s="1"/>
  <c r="R800" i="17" a="1"/>
  <c r="R800" i="17" s="1"/>
  <c r="R817" i="17" a="1"/>
  <c r="R817" i="17" s="1"/>
  <c r="R834" i="17" a="1"/>
  <c r="R834" i="17" s="1"/>
  <c r="R851" i="17" a="1"/>
  <c r="R851" i="17" s="1"/>
  <c r="R868" i="17" a="1"/>
  <c r="R868" i="17" s="1"/>
  <c r="R885" i="17" a="1"/>
  <c r="R885" i="17" s="1"/>
  <c r="R902" i="17" a="1"/>
  <c r="R902" i="17" s="1"/>
  <c r="R919" i="17" a="1"/>
  <c r="R919" i="17" s="1"/>
  <c r="R936" i="17" a="1"/>
  <c r="R936" i="17" s="1"/>
  <c r="R953" i="17" a="1"/>
  <c r="R953" i="17" s="1"/>
  <c r="R573" i="17" a="1"/>
  <c r="R573" i="17" s="1"/>
  <c r="R574" i="17" a="1"/>
  <c r="R574" i="17" s="1"/>
  <c r="R575" i="17" a="1"/>
  <c r="R575" i="17" s="1"/>
  <c r="R576" i="17" a="1"/>
  <c r="R576" i="17" s="1"/>
  <c r="R577" i="17" a="1"/>
  <c r="R577" i="17" s="1"/>
  <c r="R578" i="17" a="1"/>
  <c r="R578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18" i="17" a="1"/>
  <c r="R118" i="17" s="1"/>
  <c r="R135" i="17" a="1"/>
  <c r="R135" i="17" s="1"/>
  <c r="R152" i="17" a="1"/>
  <c r="R152" i="17" s="1"/>
  <c r="R169" i="17" a="1"/>
  <c r="R169" i="17" s="1"/>
  <c r="R214" i="17" a="1"/>
  <c r="R214" i="17" s="1"/>
  <c r="R215" i="17" a="1"/>
  <c r="R215" i="17" s="1"/>
  <c r="R216" i="17" a="1"/>
  <c r="R216" i="17" s="1"/>
  <c r="R237" i="17" a="1"/>
  <c r="R237" i="17" s="1"/>
  <c r="R254" i="17" a="1"/>
  <c r="R254" i="17" s="1"/>
  <c r="R271" i="17" a="1"/>
  <c r="R271" i="17" s="1"/>
  <c r="R288" i="17" a="1"/>
  <c r="R288" i="17" s="1"/>
  <c r="R305" i="17" a="1"/>
  <c r="R305" i="17" s="1"/>
  <c r="R322" i="17" a="1"/>
  <c r="R322" i="17" s="1"/>
  <c r="R339" i="17" a="1"/>
  <c r="R339" i="17" s="1"/>
  <c r="R356" i="17" a="1"/>
  <c r="R356" i="17" s="1"/>
  <c r="R373" i="17" a="1"/>
  <c r="R373" i="17" s="1"/>
  <c r="R458" i="17" a="1"/>
  <c r="R458" i="17" s="1"/>
  <c r="R475" i="17" a="1"/>
  <c r="R475" i="17" s="1"/>
  <c r="R492" i="17" a="1"/>
  <c r="R492" i="17" s="1"/>
  <c r="R418" i="17" a="1"/>
  <c r="R418" i="17" s="1"/>
  <c r="R419" i="17" a="1"/>
  <c r="R419" i="17" s="1"/>
  <c r="R420" i="17" a="1"/>
  <c r="R420" i="17" s="1"/>
  <c r="R441" i="17" a="1"/>
  <c r="R441" i="17" s="1"/>
  <c r="R611" i="17" a="1"/>
  <c r="R611" i="17" s="1"/>
  <c r="R628" i="17" a="1"/>
  <c r="R628" i="17" s="1"/>
  <c r="R645" i="17" a="1"/>
  <c r="R645" i="17" s="1"/>
  <c r="R662" i="17" a="1"/>
  <c r="R662" i="17" s="1"/>
  <c r="R679" i="17" a="1"/>
  <c r="R679" i="17" s="1"/>
  <c r="R696" i="17" a="1"/>
  <c r="R696" i="17" s="1"/>
  <c r="R713" i="17" a="1"/>
  <c r="R713" i="17"/>
  <c r="R726" i="17" a="1"/>
  <c r="R726" i="17" s="1"/>
  <c r="R735" i="17" a="1"/>
  <c r="R735" i="17" s="1"/>
  <c r="R750" i="17" a="1"/>
  <c r="R750" i="17" s="1"/>
  <c r="R767" i="17" a="1"/>
  <c r="R767" i="17" s="1"/>
  <c r="R784" i="17" a="1"/>
  <c r="R784" i="17" s="1"/>
  <c r="R801" i="17" a="1"/>
  <c r="R801" i="17" s="1"/>
  <c r="R818" i="17" a="1"/>
  <c r="R818" i="17" s="1"/>
  <c r="R835" i="17" a="1"/>
  <c r="R835" i="17" s="1"/>
  <c r="R852" i="17" a="1"/>
  <c r="R852" i="17" s="1"/>
  <c r="R869" i="17" a="1"/>
  <c r="R869" i="17" s="1"/>
  <c r="R886" i="17" a="1"/>
  <c r="R886" i="17" s="1"/>
  <c r="R903" i="17" a="1"/>
  <c r="R903" i="17" s="1"/>
  <c r="R920" i="17" a="1"/>
  <c r="R920" i="17" s="1"/>
  <c r="R937" i="17" a="1"/>
  <c r="R937" i="17" s="1"/>
  <c r="R954" i="17" a="1"/>
  <c r="R954" i="17"/>
  <c r="R579" i="17" a="1"/>
  <c r="R579" i="17" s="1"/>
  <c r="R580" i="17" a="1"/>
  <c r="R580" i="17" s="1"/>
  <c r="R581" i="17" a="1"/>
  <c r="R581" i="17" s="1"/>
  <c r="R582" i="17" a="1"/>
  <c r="R582" i="17" s="1"/>
  <c r="R583" i="17" a="1"/>
  <c r="R583" i="17" s="1"/>
  <c r="R584" i="17" a="1"/>
  <c r="R584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19" i="17" a="1"/>
  <c r="R119" i="17" s="1"/>
  <c r="R136" i="17" a="1"/>
  <c r="R136" i="17" s="1"/>
  <c r="R153" i="17" a="1"/>
  <c r="R153" i="17" s="1"/>
  <c r="R170" i="17" a="1"/>
  <c r="R170" i="17" s="1"/>
  <c r="R217" i="17" a="1"/>
  <c r="R217" i="17" s="1"/>
  <c r="R218" i="17" a="1"/>
  <c r="R218" i="17" s="1"/>
  <c r="R219" i="17" a="1"/>
  <c r="R219" i="17" s="1"/>
  <c r="R238" i="17" a="1"/>
  <c r="R238" i="17" s="1"/>
  <c r="R255" i="17" a="1"/>
  <c r="R255" i="17" s="1"/>
  <c r="R272" i="17" a="1"/>
  <c r="R272" i="17" s="1"/>
  <c r="R289" i="17" a="1"/>
  <c r="R289" i="17"/>
  <c r="R306" i="17" a="1"/>
  <c r="R306" i="17" s="1"/>
  <c r="R323" i="17" a="1"/>
  <c r="R323" i="17"/>
  <c r="R340" i="17" a="1"/>
  <c r="R340" i="17" s="1"/>
  <c r="R357" i="17" a="1"/>
  <c r="R357" i="17" s="1"/>
  <c r="R374" i="17" a="1"/>
  <c r="R374" i="17" s="1"/>
  <c r="R459" i="17" a="1"/>
  <c r="R459" i="17" s="1"/>
  <c r="R476" i="17" a="1"/>
  <c r="R476" i="17" s="1"/>
  <c r="R493" i="17" a="1"/>
  <c r="R493" i="17" s="1"/>
  <c r="R421" i="17" a="1"/>
  <c r="R421" i="17"/>
  <c r="R422" i="17" a="1"/>
  <c r="R422" i="17" s="1"/>
  <c r="R423" i="17" a="1"/>
  <c r="R423" i="17" s="1"/>
  <c r="R442" i="17" a="1"/>
  <c r="R442" i="17" s="1"/>
  <c r="R612" i="17" a="1"/>
  <c r="R612" i="17" s="1"/>
  <c r="R629" i="17" a="1"/>
  <c r="R629" i="17" s="1"/>
  <c r="R646" i="17" a="1"/>
  <c r="R646" i="17" s="1"/>
  <c r="R663" i="17" a="1"/>
  <c r="R663" i="17" s="1"/>
  <c r="R680" i="17" a="1"/>
  <c r="R680" i="17"/>
  <c r="R697" i="17" a="1"/>
  <c r="R697" i="17"/>
  <c r="R714" i="17" a="1"/>
  <c r="R714" i="17" s="1"/>
  <c r="R727" i="17" a="1"/>
  <c r="R727" i="17" s="1"/>
  <c r="R751" i="17" a="1"/>
  <c r="R751" i="17" s="1"/>
  <c r="R768" i="17" a="1"/>
  <c r="R768" i="17" s="1"/>
  <c r="R785" i="17" a="1"/>
  <c r="R785" i="17" s="1"/>
  <c r="R802" i="17" a="1"/>
  <c r="R802" i="17" s="1"/>
  <c r="R819" i="17" a="1"/>
  <c r="R819" i="17"/>
  <c r="R836" i="17" a="1"/>
  <c r="R836" i="17" s="1"/>
  <c r="R853" i="17" a="1"/>
  <c r="R853" i="17" s="1"/>
  <c r="R870" i="17" a="1"/>
  <c r="R870" i="17" s="1"/>
  <c r="R887" i="17" a="1"/>
  <c r="R887" i="17" s="1"/>
  <c r="R904" i="17" a="1"/>
  <c r="R904" i="17" s="1"/>
  <c r="R921" i="17" a="1"/>
  <c r="R921" i="17" s="1"/>
  <c r="R938" i="17" a="1"/>
  <c r="R938" i="17" s="1"/>
  <c r="R955" i="17" a="1"/>
  <c r="R955" i="17" s="1"/>
  <c r="R585" i="17" a="1"/>
  <c r="R585" i="17" s="1"/>
  <c r="R586" i="17" a="1"/>
  <c r="R586" i="17" s="1"/>
  <c r="R587" i="17" a="1"/>
  <c r="R587" i="17" s="1"/>
  <c r="R588" i="17" a="1"/>
  <c r="R588" i="17" s="1"/>
  <c r="R589" i="17" a="1"/>
  <c r="R589" i="17" s="1"/>
  <c r="R590" i="17" a="1"/>
  <c r="R590" i="17" s="1"/>
  <c r="R98" i="17" a="1"/>
  <c r="R98" i="17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20" i="17" a="1"/>
  <c r="R120" i="17" s="1"/>
  <c r="R137" i="17" a="1"/>
  <c r="R137" i="17" s="1"/>
  <c r="R154" i="17" a="1"/>
  <c r="R154" i="17" s="1"/>
  <c r="R171" i="17" a="1"/>
  <c r="R171" i="17" s="1"/>
  <c r="R220" i="17" a="1"/>
  <c r="R220" i="17" s="1"/>
  <c r="R221" i="17" a="1"/>
  <c r="R221" i="17" s="1"/>
  <c r="R222" i="17" a="1"/>
  <c r="R222" i="17" s="1"/>
  <c r="R239" i="17" a="1"/>
  <c r="R239" i="17" s="1"/>
  <c r="R256" i="17" a="1"/>
  <c r="R256" i="17" s="1"/>
  <c r="R273" i="17" a="1"/>
  <c r="R273" i="17" s="1"/>
  <c r="R290" i="17" a="1"/>
  <c r="R290" i="17" s="1"/>
  <c r="R307" i="17" a="1"/>
  <c r="R307" i="17" s="1"/>
  <c r="R324" i="17" a="1"/>
  <c r="R324" i="17" s="1"/>
  <c r="R341" i="17" a="1"/>
  <c r="R341" i="17" s="1"/>
  <c r="R358" i="17" a="1"/>
  <c r="R358" i="17" s="1"/>
  <c r="R375" i="17" a="1"/>
  <c r="R375" i="17" s="1"/>
  <c r="R460" i="17" a="1"/>
  <c r="R460" i="17" s="1"/>
  <c r="R477" i="17" a="1"/>
  <c r="R477" i="17" s="1"/>
  <c r="R494" i="17" a="1"/>
  <c r="R494" i="17" s="1"/>
  <c r="R424" i="17" a="1"/>
  <c r="R424" i="17" s="1"/>
  <c r="R425" i="17" a="1"/>
  <c r="R425" i="17" s="1"/>
  <c r="R426" i="17" a="1"/>
  <c r="R426" i="17" s="1"/>
  <c r="R443" i="17" a="1"/>
  <c r="R443" i="17" s="1"/>
  <c r="R613" i="17" a="1"/>
  <c r="R613" i="17" s="1"/>
  <c r="R630" i="17" a="1"/>
  <c r="R630" i="17" s="1"/>
  <c r="R647" i="17" a="1"/>
  <c r="R647" i="17" s="1"/>
  <c r="R664" i="17" a="1"/>
  <c r="R664" i="17" s="1"/>
  <c r="R681" i="17" a="1"/>
  <c r="R681" i="17" s="1"/>
  <c r="R698" i="17" a="1"/>
  <c r="R698" i="17" s="1"/>
  <c r="R715" i="17" a="1"/>
  <c r="R715" i="17" s="1"/>
  <c r="R728" i="17" a="1"/>
  <c r="R728" i="17" s="1"/>
  <c r="R752" i="17" a="1"/>
  <c r="R752" i="17" s="1"/>
  <c r="R769" i="17" a="1"/>
  <c r="R769" i="17" s="1"/>
  <c r="R786" i="17" a="1"/>
  <c r="R786" i="17" s="1"/>
  <c r="R803" i="17" a="1"/>
  <c r="R803" i="17" s="1"/>
  <c r="R820" i="17" a="1"/>
  <c r="R820" i="17"/>
  <c r="R837" i="17" a="1"/>
  <c r="R837" i="17" s="1"/>
  <c r="R854" i="17" a="1"/>
  <c r="R854" i="17" s="1"/>
  <c r="R871" i="17" a="1"/>
  <c r="R871" i="17" s="1"/>
  <c r="R888" i="17" a="1"/>
  <c r="R888" i="17" s="1"/>
  <c r="R905" i="17" a="1"/>
  <c r="R905" i="17" s="1"/>
  <c r="R922" i="17" a="1"/>
  <c r="R922" i="17" s="1"/>
  <c r="R939" i="17" a="1"/>
  <c r="R939" i="17" s="1"/>
  <c r="R956" i="17" a="1"/>
  <c r="R956" i="17" s="1"/>
  <c r="R591" i="17" a="1"/>
  <c r="R591" i="17" s="1"/>
  <c r="R592" i="17" a="1"/>
  <c r="R592" i="17" s="1"/>
  <c r="R593" i="17" a="1"/>
  <c r="R593" i="17" s="1"/>
  <c r="R594" i="17" a="1"/>
  <c r="R594" i="17" s="1"/>
  <c r="R595" i="17" a="1"/>
  <c r="R595" i="17" s="1"/>
  <c r="R596" i="17" a="1"/>
  <c r="R596" i="17" s="1"/>
  <c r="S2" i="17" a="1"/>
  <c r="S2" i="17"/>
  <c r="S3" i="17" a="1"/>
  <c r="S3" i="17" s="1"/>
  <c r="S4" i="17" a="1"/>
  <c r="S4" i="17"/>
  <c r="S5" i="17" a="1"/>
  <c r="S5" i="17" s="1"/>
  <c r="S6" i="17" a="1"/>
  <c r="S6" i="17" s="1"/>
  <c r="S7" i="17" a="1"/>
  <c r="S7" i="17" s="1"/>
  <c r="S104" i="17" a="1"/>
  <c r="S104" i="17" s="1"/>
  <c r="S121" i="17" a="1"/>
  <c r="S121" i="17" s="1"/>
  <c r="S138" i="17" a="1"/>
  <c r="S138" i="17" s="1"/>
  <c r="S155" i="17" a="1"/>
  <c r="S155" i="17" s="1"/>
  <c r="S172" i="17" a="1"/>
  <c r="S172" i="17" s="1"/>
  <c r="S173" i="17" a="1"/>
  <c r="S173" i="17" s="1"/>
  <c r="S174" i="17" a="1"/>
  <c r="S174" i="17" s="1"/>
  <c r="S223" i="17" a="1"/>
  <c r="S223" i="17" s="1"/>
  <c r="S240" i="17" a="1"/>
  <c r="S240" i="17" s="1"/>
  <c r="S257" i="17" a="1"/>
  <c r="S257" i="17" s="1"/>
  <c r="S274" i="17" a="1"/>
  <c r="S274" i="17" s="1"/>
  <c r="S291" i="17" a="1"/>
  <c r="S291" i="17" s="1"/>
  <c r="S308" i="17" a="1"/>
  <c r="S308" i="17"/>
  <c r="S325" i="17" a="1"/>
  <c r="S325" i="17" s="1"/>
  <c r="S342" i="17" a="1"/>
  <c r="S342" i="17" s="1"/>
  <c r="S359" i="17" a="1"/>
  <c r="S359" i="17" s="1"/>
  <c r="S444" i="17" a="1"/>
  <c r="S444" i="17" s="1"/>
  <c r="S461" i="17" a="1"/>
  <c r="S461" i="17" s="1"/>
  <c r="S478" i="17" a="1"/>
  <c r="S478" i="17" s="1"/>
  <c r="S376" i="17" a="1"/>
  <c r="S376" i="17"/>
  <c r="S377" i="17" a="1"/>
  <c r="S377" i="17" s="1"/>
  <c r="S378" i="17" a="1"/>
  <c r="S378" i="17" s="1"/>
  <c r="S427" i="17" a="1"/>
  <c r="S427" i="17" s="1"/>
  <c r="S597" i="17" a="1"/>
  <c r="S597" i="17" s="1"/>
  <c r="S614" i="17" a="1"/>
  <c r="S614" i="17" s="1"/>
  <c r="S631" i="17" a="1"/>
  <c r="S631" i="17" s="1"/>
  <c r="S648" i="17" a="1"/>
  <c r="S648" i="17"/>
  <c r="S665" i="17" a="1"/>
  <c r="S665" i="17" s="1"/>
  <c r="S682" i="17" a="1"/>
  <c r="S682" i="17" s="1"/>
  <c r="S699" i="17" a="1"/>
  <c r="S699" i="17" s="1"/>
  <c r="S729" i="17" a="1"/>
  <c r="S729" i="17" s="1"/>
  <c r="S736" i="17" a="1"/>
  <c r="S736" i="17" s="1"/>
  <c r="S753" i="17" a="1"/>
  <c r="S753" i="17" s="1"/>
  <c r="S770" i="17" a="1"/>
  <c r="S770" i="17" s="1"/>
  <c r="S787" i="17" a="1"/>
  <c r="S787" i="17" s="1"/>
  <c r="S804" i="17" a="1"/>
  <c r="S804" i="17"/>
  <c r="S821" i="17" a="1"/>
  <c r="S821" i="17" s="1"/>
  <c r="S838" i="17" a="1"/>
  <c r="S838" i="17" s="1"/>
  <c r="S855" i="17" a="1"/>
  <c r="S855" i="17" s="1"/>
  <c r="S872" i="17" a="1"/>
  <c r="S872" i="17" s="1"/>
  <c r="S889" i="17" a="1"/>
  <c r="S889" i="17" s="1"/>
  <c r="S906" i="17" a="1"/>
  <c r="S906" i="17" s="1"/>
  <c r="S923" i="17" a="1"/>
  <c r="S923" i="17"/>
  <c r="S940" i="17" a="1"/>
  <c r="S940" i="17" s="1"/>
  <c r="S495" i="17" a="1"/>
  <c r="S495" i="17" s="1"/>
  <c r="S496" i="17" a="1"/>
  <c r="S496" i="17" s="1"/>
  <c r="S497" i="17" a="1"/>
  <c r="S497" i="17" s="1"/>
  <c r="S498" i="17" a="1"/>
  <c r="S498" i="17" s="1"/>
  <c r="S499" i="17" a="1"/>
  <c r="S499" i="17" s="1"/>
  <c r="S500" i="17" a="1"/>
  <c r="S500" i="17" s="1"/>
  <c r="S8" i="17" a="1"/>
  <c r="S8" i="17" s="1"/>
  <c r="S9" i="17" a="1"/>
  <c r="S9" i="17" s="1"/>
  <c r="S10" i="17" a="1"/>
  <c r="S10" i="17"/>
  <c r="S11" i="17" a="1"/>
  <c r="S11" i="17" s="1"/>
  <c r="S12" i="17" a="1"/>
  <c r="S12" i="17" s="1"/>
  <c r="S13" i="17" a="1"/>
  <c r="S13" i="17" s="1"/>
  <c r="S105" i="17" a="1"/>
  <c r="S105" i="17" s="1"/>
  <c r="S122" i="17" a="1"/>
  <c r="S122" i="17" s="1"/>
  <c r="S139" i="17" a="1"/>
  <c r="S139" i="17"/>
  <c r="S156" i="17" a="1"/>
  <c r="S156" i="17" s="1"/>
  <c r="S175" i="17" a="1"/>
  <c r="S175" i="17" s="1"/>
  <c r="S176" i="17" a="1"/>
  <c r="S176" i="17" s="1"/>
  <c r="S177" i="17" a="1"/>
  <c r="S177" i="17" s="1"/>
  <c r="S224" i="17" a="1"/>
  <c r="S224" i="17" s="1"/>
  <c r="S241" i="17" a="1"/>
  <c r="S241" i="17" s="1"/>
  <c r="S258" i="17" a="1"/>
  <c r="S258" i="17" s="1"/>
  <c r="S275" i="17" a="1"/>
  <c r="S275" i="17"/>
  <c r="S292" i="17" a="1"/>
  <c r="S292" i="17" s="1"/>
  <c r="S309" i="17" a="1"/>
  <c r="S309" i="17" s="1"/>
  <c r="S326" i="17" a="1"/>
  <c r="S326" i="17" s="1"/>
  <c r="S343" i="17" a="1"/>
  <c r="S343" i="17" s="1"/>
  <c r="S360" i="17" a="1"/>
  <c r="S360" i="17" s="1"/>
  <c r="S445" i="17" a="1"/>
  <c r="S445" i="17" s="1"/>
  <c r="S462" i="17" a="1"/>
  <c r="S462" i="17" s="1"/>
  <c r="S479" i="17" a="1"/>
  <c r="S479" i="17" s="1"/>
  <c r="S379" i="17" a="1"/>
  <c r="S379" i="17" s="1"/>
  <c r="S380" i="17" a="1"/>
  <c r="S380" i="17"/>
  <c r="S381" i="17" a="1"/>
  <c r="S381" i="17" s="1"/>
  <c r="S428" i="17" a="1"/>
  <c r="S428" i="17" s="1"/>
  <c r="S598" i="17" a="1"/>
  <c r="S598" i="17" s="1"/>
  <c r="S615" i="17" a="1"/>
  <c r="S615" i="17" s="1"/>
  <c r="S632" i="17" a="1"/>
  <c r="S632" i="17" s="1"/>
  <c r="S649" i="17" a="1"/>
  <c r="S649" i="17" s="1"/>
  <c r="S666" i="17" a="1"/>
  <c r="S666" i="17" s="1"/>
  <c r="S683" i="17" a="1"/>
  <c r="S683" i="17" s="1"/>
  <c r="S700" i="17" a="1"/>
  <c r="S700" i="17" s="1"/>
  <c r="S716" i="17" a="1"/>
  <c r="S716" i="17" s="1"/>
  <c r="S737" i="17" a="1"/>
  <c r="S737" i="17" s="1"/>
  <c r="S754" i="17" a="1"/>
  <c r="S754" i="17" s="1"/>
  <c r="S771" i="17" a="1"/>
  <c r="S771" i="17" s="1"/>
  <c r="S788" i="17" a="1"/>
  <c r="S788" i="17" s="1"/>
  <c r="S805" i="17" a="1"/>
  <c r="S805" i="17" s="1"/>
  <c r="S822" i="17" a="1"/>
  <c r="S822" i="17" s="1"/>
  <c r="S839" i="17" a="1"/>
  <c r="S839" i="17" s="1"/>
  <c r="S856" i="17" a="1"/>
  <c r="S856" i="17" s="1"/>
  <c r="S873" i="17" a="1"/>
  <c r="S873" i="17" s="1"/>
  <c r="S890" i="17" a="1"/>
  <c r="S890" i="17" s="1"/>
  <c r="S907" i="17" a="1"/>
  <c r="S907" i="17" s="1"/>
  <c r="S924" i="17" a="1"/>
  <c r="S924" i="17" s="1"/>
  <c r="S941" i="17" a="1"/>
  <c r="S941" i="17" s="1"/>
  <c r="S501" i="17" a="1"/>
  <c r="S501" i="17" s="1"/>
  <c r="S502" i="17" a="1"/>
  <c r="S502" i="17" s="1"/>
  <c r="S503" i="17" a="1"/>
  <c r="S503" i="17" s="1"/>
  <c r="S504" i="17" a="1"/>
  <c r="S504" i="17" s="1"/>
  <c r="S505" i="17" a="1"/>
  <c r="S505" i="17" s="1"/>
  <c r="S506" i="17" a="1"/>
  <c r="S506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06" i="17" a="1"/>
  <c r="S106" i="17" s="1"/>
  <c r="S123" i="17" a="1"/>
  <c r="S123" i="17" s="1"/>
  <c r="S140" i="17" a="1"/>
  <c r="S140" i="17" s="1"/>
  <c r="S157" i="17" a="1"/>
  <c r="S157" i="17" s="1"/>
  <c r="S178" i="17" a="1"/>
  <c r="S178" i="17" s="1"/>
  <c r="S179" i="17" a="1"/>
  <c r="S179" i="17" s="1"/>
  <c r="S180" i="17" a="1"/>
  <c r="S180" i="17" s="1"/>
  <c r="S225" i="17" a="1"/>
  <c r="S225" i="17" s="1"/>
  <c r="S242" i="17" a="1"/>
  <c r="S242" i="17" s="1"/>
  <c r="S259" i="17" a="1"/>
  <c r="S259" i="17" s="1"/>
  <c r="S276" i="17" a="1"/>
  <c r="S276" i="17" s="1"/>
  <c r="S293" i="17" a="1"/>
  <c r="S293" i="17" s="1"/>
  <c r="S310" i="17" a="1"/>
  <c r="S310" i="17" s="1"/>
  <c r="S327" i="17" a="1"/>
  <c r="S327" i="17" s="1"/>
  <c r="S344" i="17" a="1"/>
  <c r="S344" i="17" s="1"/>
  <c r="S361" i="17" a="1"/>
  <c r="S361" i="17" s="1"/>
  <c r="S446" i="17" a="1"/>
  <c r="S446" i="17" s="1"/>
  <c r="S463" i="17" a="1"/>
  <c r="S463" i="17" s="1"/>
  <c r="S480" i="17" a="1"/>
  <c r="S480" i="17" s="1"/>
  <c r="S382" i="17" a="1"/>
  <c r="S382" i="17" s="1"/>
  <c r="S383" i="17" a="1"/>
  <c r="S383" i="17" s="1"/>
  <c r="S384" i="17" a="1"/>
  <c r="S384" i="17" s="1"/>
  <c r="S429" i="17" a="1"/>
  <c r="S429" i="17" s="1"/>
  <c r="S599" i="17" a="1"/>
  <c r="S599" i="17"/>
  <c r="S616" i="17" a="1"/>
  <c r="S616" i="17" s="1"/>
  <c r="S633" i="17" a="1"/>
  <c r="S633" i="17" s="1"/>
  <c r="S650" i="17" a="1"/>
  <c r="S650" i="17" s="1"/>
  <c r="S667" i="17" a="1"/>
  <c r="S667" i="17" s="1"/>
  <c r="S684" i="17" a="1"/>
  <c r="S684" i="17" s="1"/>
  <c r="S701" i="17" a="1"/>
  <c r="S701" i="17" s="1"/>
  <c r="S717" i="17" a="1"/>
  <c r="S717" i="17" s="1"/>
  <c r="S730" i="17" a="1"/>
  <c r="S730" i="17" s="1"/>
  <c r="S738" i="17" a="1"/>
  <c r="S738" i="17" s="1"/>
  <c r="S755" i="17" a="1"/>
  <c r="S755" i="17" s="1"/>
  <c r="S772" i="17" a="1"/>
  <c r="S772" i="17" s="1"/>
  <c r="S789" i="17" a="1"/>
  <c r="S789" i="17" s="1"/>
  <c r="S806" i="17" a="1"/>
  <c r="S806" i="17" s="1"/>
  <c r="S823" i="17" a="1"/>
  <c r="S823" i="17" s="1"/>
  <c r="S840" i="17" a="1"/>
  <c r="S840" i="17" s="1"/>
  <c r="S857" i="17" a="1"/>
  <c r="S857" i="17" s="1"/>
  <c r="S874" i="17" a="1"/>
  <c r="S874" i="17" s="1"/>
  <c r="S891" i="17" a="1"/>
  <c r="S891" i="17" s="1"/>
  <c r="S908" i="17" a="1"/>
  <c r="S908" i="17" s="1"/>
  <c r="S925" i="17" a="1"/>
  <c r="S925" i="17" s="1"/>
  <c r="S942" i="17" a="1"/>
  <c r="S942" i="17" s="1"/>
  <c r="S507" i="17" a="1"/>
  <c r="S507" i="17" s="1"/>
  <c r="S508" i="17" a="1"/>
  <c r="S508" i="17" s="1"/>
  <c r="S509" i="17" a="1"/>
  <c r="S509" i="17" s="1"/>
  <c r="S510" i="17" a="1"/>
  <c r="S510" i="17" s="1"/>
  <c r="S511" i="17" a="1"/>
  <c r="S511" i="17" s="1"/>
  <c r="S512" i="17" a="1"/>
  <c r="S512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07" i="17" a="1"/>
  <c r="S107" i="17" s="1"/>
  <c r="S124" i="17" a="1"/>
  <c r="S124" i="17" s="1"/>
  <c r="S141" i="17" a="1"/>
  <c r="S141" i="17" s="1"/>
  <c r="S158" i="17" a="1"/>
  <c r="S158" i="17" s="1"/>
  <c r="S181" i="17" a="1"/>
  <c r="S181" i="17" s="1"/>
  <c r="S182" i="17" a="1"/>
  <c r="S182" i="17" s="1"/>
  <c r="S183" i="17" a="1"/>
  <c r="S183" i="17" s="1"/>
  <c r="S226" i="17" a="1"/>
  <c r="S226" i="17" s="1"/>
  <c r="S243" i="17" a="1"/>
  <c r="S243" i="17" s="1"/>
  <c r="S260" i="17" a="1"/>
  <c r="S260" i="17" s="1"/>
  <c r="S277" i="17" a="1"/>
  <c r="S277" i="17" s="1"/>
  <c r="S294" i="17" a="1"/>
  <c r="S294" i="17" s="1"/>
  <c r="S311" i="17" a="1"/>
  <c r="S311" i="17" s="1"/>
  <c r="S328" i="17" a="1"/>
  <c r="S328" i="17" s="1"/>
  <c r="S345" i="17" a="1"/>
  <c r="S345" i="17" s="1"/>
  <c r="S362" i="17" a="1"/>
  <c r="S362" i="17" s="1"/>
  <c r="S447" i="17" a="1"/>
  <c r="S447" i="17" s="1"/>
  <c r="S464" i="17" a="1"/>
  <c r="S464" i="17" s="1"/>
  <c r="S481" i="17" a="1"/>
  <c r="S481" i="17" s="1"/>
  <c r="S385" i="17" a="1"/>
  <c r="S385" i="17" s="1"/>
  <c r="S386" i="17" a="1"/>
  <c r="S386" i="17" s="1"/>
  <c r="S387" i="17" a="1"/>
  <c r="S387" i="17" s="1"/>
  <c r="S430" i="17" a="1"/>
  <c r="S430" i="17" s="1"/>
  <c r="S600" i="17" a="1"/>
  <c r="S600" i="17" s="1"/>
  <c r="S617" i="17" a="1"/>
  <c r="S617" i="17" s="1"/>
  <c r="S634" i="17" a="1"/>
  <c r="S634" i="17" s="1"/>
  <c r="S651" i="17" a="1"/>
  <c r="S651" i="17" s="1"/>
  <c r="S668" i="17" a="1"/>
  <c r="S668" i="17" s="1"/>
  <c r="S685" i="17" a="1"/>
  <c r="S685" i="17" s="1"/>
  <c r="S702" i="17" a="1"/>
  <c r="S702" i="17" s="1"/>
  <c r="S718" i="17" a="1"/>
  <c r="S718" i="17" s="1"/>
  <c r="S739" i="17" a="1"/>
  <c r="S739" i="17" s="1"/>
  <c r="S756" i="17" a="1"/>
  <c r="S756" i="17" s="1"/>
  <c r="S773" i="17" a="1"/>
  <c r="S773" i="17" s="1"/>
  <c r="S790" i="17" a="1"/>
  <c r="S790" i="17" s="1"/>
  <c r="S807" i="17" a="1"/>
  <c r="S807" i="17" s="1"/>
  <c r="S824" i="17" a="1"/>
  <c r="S824" i="17" s="1"/>
  <c r="S841" i="17" a="1"/>
  <c r="S841" i="17" s="1"/>
  <c r="S858" i="17" a="1"/>
  <c r="S858" i="17" s="1"/>
  <c r="S875" i="17" a="1"/>
  <c r="S875" i="17" s="1"/>
  <c r="S892" i="17" a="1"/>
  <c r="S892" i="17" s="1"/>
  <c r="S909" i="17" a="1"/>
  <c r="S909" i="17" s="1"/>
  <c r="S926" i="17" a="1"/>
  <c r="S926" i="17" s="1"/>
  <c r="S943" i="17" a="1"/>
  <c r="S943" i="17" s="1"/>
  <c r="S513" i="17" a="1"/>
  <c r="S513" i="17" s="1"/>
  <c r="S514" i="17" a="1"/>
  <c r="S514" i="17" s="1"/>
  <c r="S515" i="17" a="1"/>
  <c r="S515" i="17" s="1"/>
  <c r="S516" i="17" a="1"/>
  <c r="S516" i="17" s="1"/>
  <c r="S517" i="17" a="1"/>
  <c r="S517" i="17" s="1"/>
  <c r="S518" i="17" a="1"/>
  <c r="S518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/>
  <c r="S108" i="17" a="1"/>
  <c r="S108" i="17" s="1"/>
  <c r="S125" i="17" a="1"/>
  <c r="S125" i="17" s="1"/>
  <c r="S142" i="17" a="1"/>
  <c r="S142" i="17" s="1"/>
  <c r="S159" i="17" a="1"/>
  <c r="S159" i="17" s="1"/>
  <c r="S184" i="17" a="1"/>
  <c r="S184" i="17" s="1"/>
  <c r="S185" i="17" a="1"/>
  <c r="S185" i="17" s="1"/>
  <c r="S186" i="17" a="1"/>
  <c r="S186" i="17" s="1"/>
  <c r="S227" i="17" a="1"/>
  <c r="S227" i="17" s="1"/>
  <c r="S244" i="17" a="1"/>
  <c r="S244" i="17" s="1"/>
  <c r="S261" i="17" a="1"/>
  <c r="S261" i="17" s="1"/>
  <c r="S278" i="17" a="1"/>
  <c r="S278" i="17" s="1"/>
  <c r="S295" i="17" a="1"/>
  <c r="S295" i="17" s="1"/>
  <c r="S312" i="17" a="1"/>
  <c r="S312" i="17" s="1"/>
  <c r="S329" i="17" a="1"/>
  <c r="S329" i="17" s="1"/>
  <c r="S346" i="17" a="1"/>
  <c r="S346" i="17" s="1"/>
  <c r="S363" i="17" a="1"/>
  <c r="S363" i="17" s="1"/>
  <c r="S448" i="17" a="1"/>
  <c r="S448" i="17" s="1"/>
  <c r="S465" i="17" a="1"/>
  <c r="S465" i="17" s="1"/>
  <c r="S482" i="17" a="1"/>
  <c r="S482" i="17" s="1"/>
  <c r="S388" i="17" a="1"/>
  <c r="S388" i="17" s="1"/>
  <c r="S389" i="17" a="1"/>
  <c r="S389" i="17" s="1"/>
  <c r="S390" i="17" a="1"/>
  <c r="S390" i="17" s="1"/>
  <c r="S431" i="17" a="1"/>
  <c r="S431" i="17" s="1"/>
  <c r="S601" i="17" a="1"/>
  <c r="S601" i="17" s="1"/>
  <c r="S618" i="17" a="1"/>
  <c r="S618" i="17" s="1"/>
  <c r="S635" i="17" a="1"/>
  <c r="S635" i="17" s="1"/>
  <c r="S652" i="17" a="1"/>
  <c r="S652" i="17" s="1"/>
  <c r="S669" i="17" a="1"/>
  <c r="S669" i="17" s="1"/>
  <c r="S686" i="17" a="1"/>
  <c r="S686" i="17" s="1"/>
  <c r="S703" i="17" a="1"/>
  <c r="S703" i="17"/>
  <c r="S719" i="17" a="1"/>
  <c r="S719" i="17" s="1"/>
  <c r="S731" i="17" a="1"/>
  <c r="S731" i="17" s="1"/>
  <c r="S740" i="17" a="1"/>
  <c r="S740" i="17" s="1"/>
  <c r="S757" i="17" a="1"/>
  <c r="S757" i="17" s="1"/>
  <c r="S774" i="17" a="1"/>
  <c r="S774" i="17" s="1"/>
  <c r="S791" i="17" a="1"/>
  <c r="S791" i="17" s="1"/>
  <c r="S808" i="17" a="1"/>
  <c r="S808" i="17" s="1"/>
  <c r="S825" i="17" a="1"/>
  <c r="S825" i="17" s="1"/>
  <c r="S842" i="17" a="1"/>
  <c r="S842" i="17" s="1"/>
  <c r="S859" i="17" a="1"/>
  <c r="S859" i="17" s="1"/>
  <c r="S876" i="17" a="1"/>
  <c r="S876" i="17" s="1"/>
  <c r="S893" i="17" a="1"/>
  <c r="S893" i="17" s="1"/>
  <c r="S910" i="17" a="1"/>
  <c r="S910" i="17" s="1"/>
  <c r="S927" i="17" a="1"/>
  <c r="S927" i="17"/>
  <c r="S944" i="17" a="1"/>
  <c r="S944" i="17" s="1"/>
  <c r="S519" i="17" a="1"/>
  <c r="S519" i="17" s="1"/>
  <c r="S520" i="17" a="1"/>
  <c r="S520" i="17" s="1"/>
  <c r="S521" i="17" a="1"/>
  <c r="S521" i="17" s="1"/>
  <c r="S522" i="17" a="1"/>
  <c r="S522" i="17" s="1"/>
  <c r="S523" i="17" a="1"/>
  <c r="S523" i="17" s="1"/>
  <c r="S524" i="17" a="1"/>
  <c r="S524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09" i="17" a="1"/>
  <c r="S109" i="17" s="1"/>
  <c r="S126" i="17" a="1"/>
  <c r="S126" i="17" s="1"/>
  <c r="S143" i="17" a="1"/>
  <c r="S143" i="17" s="1"/>
  <c r="S160" i="17" a="1"/>
  <c r="S160" i="17" s="1"/>
  <c r="S187" i="17" a="1"/>
  <c r="S187" i="17" s="1"/>
  <c r="S188" i="17" a="1"/>
  <c r="S188" i="17" s="1"/>
  <c r="S189" i="17" a="1"/>
  <c r="S189" i="17" s="1"/>
  <c r="S228" i="17" a="1"/>
  <c r="S228" i="17" s="1"/>
  <c r="S245" i="17" a="1"/>
  <c r="S245" i="17" s="1"/>
  <c r="S262" i="17" a="1"/>
  <c r="S262" i="17"/>
  <c r="S279" i="17" a="1"/>
  <c r="S279" i="17" s="1"/>
  <c r="S296" i="17" a="1"/>
  <c r="S296" i="17" s="1"/>
  <c r="S313" i="17" a="1"/>
  <c r="S313" i="17" s="1"/>
  <c r="S330" i="17" a="1"/>
  <c r="S330" i="17" s="1"/>
  <c r="S347" i="17" a="1"/>
  <c r="S347" i="17" s="1"/>
  <c r="S364" i="17" a="1"/>
  <c r="S364" i="17" s="1"/>
  <c r="S449" i="17" a="1"/>
  <c r="S449" i="17" s="1"/>
  <c r="S466" i="17" a="1"/>
  <c r="S466" i="17" s="1"/>
  <c r="S483" i="17" a="1"/>
  <c r="S483" i="17" s="1"/>
  <c r="S391" i="17" a="1"/>
  <c r="S391" i="17" s="1"/>
  <c r="S392" i="17" a="1"/>
  <c r="S392" i="17"/>
  <c r="S393" i="17" a="1"/>
  <c r="S393" i="17" s="1"/>
  <c r="S432" i="17" a="1"/>
  <c r="S432" i="17" s="1"/>
  <c r="S602" i="17" a="1"/>
  <c r="S602" i="17" s="1"/>
  <c r="S619" i="17" a="1"/>
  <c r="S619" i="17" s="1"/>
  <c r="S636" i="17" a="1"/>
  <c r="S636" i="17" s="1"/>
  <c r="S653" i="17" a="1"/>
  <c r="S653" i="17" s="1"/>
  <c r="S670" i="17" a="1"/>
  <c r="S670" i="17" s="1"/>
  <c r="S687" i="17" a="1"/>
  <c r="S687" i="17" s="1"/>
  <c r="S704" i="17" a="1"/>
  <c r="S704" i="17" s="1"/>
  <c r="S720" i="17" a="1"/>
  <c r="S720" i="17" s="1"/>
  <c r="S741" i="17" a="1"/>
  <c r="S741" i="17" s="1"/>
  <c r="S758" i="17" a="1"/>
  <c r="S758" i="17" s="1"/>
  <c r="S775" i="17" a="1"/>
  <c r="S775" i="17" s="1"/>
  <c r="S792" i="17" a="1"/>
  <c r="S792" i="17" s="1"/>
  <c r="S809" i="17" a="1"/>
  <c r="S809" i="17" s="1"/>
  <c r="S826" i="17" a="1"/>
  <c r="S826" i="17"/>
  <c r="S843" i="17" a="1"/>
  <c r="S843" i="17" s="1"/>
  <c r="S860" i="17" a="1"/>
  <c r="S860" i="17" s="1"/>
  <c r="S877" i="17" a="1"/>
  <c r="S877" i="17" s="1"/>
  <c r="S894" i="17" a="1"/>
  <c r="S894" i="17" s="1"/>
  <c r="S911" i="17" a="1"/>
  <c r="S911" i="17" s="1"/>
  <c r="S928" i="17" a="1"/>
  <c r="S928" i="17" s="1"/>
  <c r="S945" i="17" a="1"/>
  <c r="S945" i="17" s="1"/>
  <c r="S525" i="17" a="1"/>
  <c r="S525" i="17" s="1"/>
  <c r="S526" i="17" a="1"/>
  <c r="S526" i="17" s="1"/>
  <c r="S527" i="17" a="1"/>
  <c r="S527" i="17" s="1"/>
  <c r="S528" i="17" a="1"/>
  <c r="S528" i="17" s="1"/>
  <c r="S529" i="17" a="1"/>
  <c r="S529" i="17" s="1"/>
  <c r="S530" i="17" a="1"/>
  <c r="S530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/>
  <c r="S43" i="17" a="1"/>
  <c r="S43" i="17" s="1"/>
  <c r="S110" i="17" a="1"/>
  <c r="S110" i="17" s="1"/>
  <c r="S127" i="17" a="1"/>
  <c r="S127" i="17" s="1"/>
  <c r="S144" i="17" a="1"/>
  <c r="S144" i="17" s="1"/>
  <c r="S161" i="17" a="1"/>
  <c r="S161" i="17" s="1"/>
  <c r="S190" i="17" a="1"/>
  <c r="S190" i="17" s="1"/>
  <c r="S191" i="17" a="1"/>
  <c r="S191" i="17"/>
  <c r="S192" i="17" a="1"/>
  <c r="S192" i="17" s="1"/>
  <c r="S229" i="17" a="1"/>
  <c r="S229" i="17" s="1"/>
  <c r="S246" i="17" a="1"/>
  <c r="S246" i="17"/>
  <c r="S263" i="17" a="1"/>
  <c r="S263" i="17" s="1"/>
  <c r="S280" i="17" a="1"/>
  <c r="S280" i="17" s="1"/>
  <c r="S297" i="17" a="1"/>
  <c r="S297" i="17" s="1"/>
  <c r="S314" i="17" a="1"/>
  <c r="S314" i="17" s="1"/>
  <c r="S331" i="17" a="1"/>
  <c r="S331" i="17" s="1"/>
  <c r="S348" i="17" a="1"/>
  <c r="S348" i="17"/>
  <c r="S365" i="17" a="1"/>
  <c r="S365" i="17" s="1"/>
  <c r="S450" i="17" a="1"/>
  <c r="S450" i="17" s="1"/>
  <c r="S467" i="17" a="1"/>
  <c r="S467" i="17"/>
  <c r="S484" i="17" a="1"/>
  <c r="S484" i="17" s="1"/>
  <c r="S394" i="17" a="1"/>
  <c r="S394" i="17" s="1"/>
  <c r="S395" i="17" a="1"/>
  <c r="S395" i="17" s="1"/>
  <c r="S396" i="17" a="1"/>
  <c r="S396" i="17" s="1"/>
  <c r="S433" i="17" a="1"/>
  <c r="S433" i="17" s="1"/>
  <c r="S603" i="17" a="1"/>
  <c r="S603" i="17" s="1"/>
  <c r="S620" i="17" a="1"/>
  <c r="S620" i="17" s="1"/>
  <c r="S637" i="17" a="1"/>
  <c r="S637" i="17" s="1"/>
  <c r="S654" i="17" a="1"/>
  <c r="S654" i="17" s="1"/>
  <c r="S671" i="17" a="1"/>
  <c r="S671" i="17" s="1"/>
  <c r="S688" i="17" a="1"/>
  <c r="S688" i="17"/>
  <c r="S705" i="17" a="1"/>
  <c r="S705" i="17" s="1"/>
  <c r="S721" i="17" a="1"/>
  <c r="S721" i="17" s="1"/>
  <c r="S732" i="17" a="1"/>
  <c r="S732" i="17" s="1"/>
  <c r="S742" i="17" a="1"/>
  <c r="S742" i="17" s="1"/>
  <c r="S759" i="17" a="1"/>
  <c r="S759" i="17" s="1"/>
  <c r="S776" i="17" a="1"/>
  <c r="S776" i="17" s="1"/>
  <c r="S793" i="17" a="1"/>
  <c r="S793" i="17" s="1"/>
  <c r="S810" i="17" a="1"/>
  <c r="S810" i="17" s="1"/>
  <c r="S827" i="17" a="1"/>
  <c r="S827" i="17" s="1"/>
  <c r="S844" i="17" a="1"/>
  <c r="S844" i="17" s="1"/>
  <c r="S861" i="17" a="1"/>
  <c r="S861" i="17" s="1"/>
  <c r="S878" i="17" a="1"/>
  <c r="S878" i="17" s="1"/>
  <c r="S895" i="17" a="1"/>
  <c r="S895" i="17" s="1"/>
  <c r="S912" i="17" a="1"/>
  <c r="S912" i="17" s="1"/>
  <c r="S929" i="17" a="1"/>
  <c r="S929" i="17" s="1"/>
  <c r="S946" i="17" a="1"/>
  <c r="S946" i="17"/>
  <c r="S531" i="17" a="1"/>
  <c r="S531" i="17" s="1"/>
  <c r="S532" i="17" a="1"/>
  <c r="S532" i="17" s="1"/>
  <c r="S533" i="17" a="1"/>
  <c r="S533" i="17" s="1"/>
  <c r="S534" i="17" a="1"/>
  <c r="S534" i="17" s="1"/>
  <c r="S535" i="17" a="1"/>
  <c r="S535" i="17" s="1"/>
  <c r="S536" i="17" a="1"/>
  <c r="S536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11" i="17" a="1"/>
  <c r="S111" i="17" s="1"/>
  <c r="S128" i="17" a="1"/>
  <c r="S128" i="17" s="1"/>
  <c r="S145" i="17" a="1"/>
  <c r="S145" i="17" s="1"/>
  <c r="S162" i="17" a="1"/>
  <c r="S162" i="17" s="1"/>
  <c r="S193" i="17" a="1"/>
  <c r="S193" i="17" s="1"/>
  <c r="S194" i="17" a="1"/>
  <c r="S194" i="17"/>
  <c r="S195" i="17" a="1"/>
  <c r="S195" i="17" s="1"/>
  <c r="S230" i="17" a="1"/>
  <c r="S230" i="17" s="1"/>
  <c r="S247" i="17" a="1"/>
  <c r="S247" i="17" s="1"/>
  <c r="S264" i="17" a="1"/>
  <c r="S264" i="17" s="1"/>
  <c r="S281" i="17" a="1"/>
  <c r="S281" i="17" s="1"/>
  <c r="S298" i="17" a="1"/>
  <c r="S298" i="17" s="1"/>
  <c r="S315" i="17" a="1"/>
  <c r="S315" i="17"/>
  <c r="S332" i="17" a="1"/>
  <c r="S332" i="17" s="1"/>
  <c r="S349" i="17" a="1"/>
  <c r="S349" i="17" s="1"/>
  <c r="S366" i="17" a="1"/>
  <c r="S366" i="17" s="1"/>
  <c r="S451" i="17" a="1"/>
  <c r="S451" i="17" s="1"/>
  <c r="S468" i="17" a="1"/>
  <c r="S468" i="17" s="1"/>
  <c r="S485" i="17" a="1"/>
  <c r="S485" i="17" s="1"/>
  <c r="S397" i="17" a="1"/>
  <c r="S397" i="17"/>
  <c r="S398" i="17" a="1"/>
  <c r="S398" i="17" s="1"/>
  <c r="S399" i="17" a="1"/>
  <c r="S399" i="17" s="1"/>
  <c r="S434" i="17" a="1"/>
  <c r="S434" i="17" s="1"/>
  <c r="S604" i="17" a="1"/>
  <c r="S604" i="17" s="1"/>
  <c r="S621" i="17" a="1"/>
  <c r="S621" i="17" s="1"/>
  <c r="S638" i="17" a="1"/>
  <c r="S638" i="17" s="1"/>
  <c r="S655" i="17" a="1"/>
  <c r="S655" i="17" s="1"/>
  <c r="S672" i="17" a="1"/>
  <c r="S672" i="17" s="1"/>
  <c r="S689" i="17" a="1"/>
  <c r="S689" i="17" s="1"/>
  <c r="S706" i="17" a="1"/>
  <c r="S706" i="17" s="1"/>
  <c r="S722" i="17" a="1"/>
  <c r="S722" i="17" s="1"/>
  <c r="S733" i="17" a="1"/>
  <c r="S733" i="17" s="1"/>
  <c r="S743" i="17" a="1"/>
  <c r="S743" i="17" s="1"/>
  <c r="S760" i="17" a="1"/>
  <c r="S760" i="17" s="1"/>
  <c r="S777" i="17" a="1"/>
  <c r="S777" i="17" s="1"/>
  <c r="S794" i="17" a="1"/>
  <c r="S794" i="17" s="1"/>
  <c r="S811" i="17" a="1"/>
  <c r="S811" i="17" s="1"/>
  <c r="S828" i="17" a="1"/>
  <c r="S828" i="17"/>
  <c r="S845" i="17" a="1"/>
  <c r="S845" i="17" s="1"/>
  <c r="S862" i="17" a="1"/>
  <c r="S862" i="17" s="1"/>
  <c r="S879" i="17" a="1"/>
  <c r="S879" i="17" s="1"/>
  <c r="S896" i="17" a="1"/>
  <c r="S896" i="17" s="1"/>
  <c r="S913" i="17" a="1"/>
  <c r="S913" i="17" s="1"/>
  <c r="S930" i="17" a="1"/>
  <c r="S930" i="17" s="1"/>
  <c r="S947" i="17" a="1"/>
  <c r="S947" i="17"/>
  <c r="S537" i="17" a="1"/>
  <c r="S537" i="17" s="1"/>
  <c r="S538" i="17" a="1"/>
  <c r="S538" i="17" s="1"/>
  <c r="S539" i="17" a="1"/>
  <c r="S539" i="17" s="1"/>
  <c r="S540" i="17" a="1"/>
  <c r="S540" i="17" s="1"/>
  <c r="S541" i="17" a="1"/>
  <c r="S541" i="17" s="1"/>
  <c r="S542" i="17" a="1"/>
  <c r="S542" i="17" s="1"/>
  <c r="S50" i="17" a="1"/>
  <c r="S50" i="17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12" i="17" a="1"/>
  <c r="S112" i="17" s="1"/>
  <c r="S129" i="17" a="1"/>
  <c r="S129" i="17" s="1"/>
  <c r="S146" i="17" a="1"/>
  <c r="S146" i="17" s="1"/>
  <c r="S163" i="17" a="1"/>
  <c r="S163" i="17"/>
  <c r="S196" i="17" a="1"/>
  <c r="S196" i="17" s="1"/>
  <c r="S197" i="17" a="1"/>
  <c r="S197" i="17" s="1"/>
  <c r="S198" i="17" a="1"/>
  <c r="S198" i="17" s="1"/>
  <c r="S231" i="17" a="1"/>
  <c r="S231" i="17" s="1"/>
  <c r="S248" i="17" a="1"/>
  <c r="S248" i="17" s="1"/>
  <c r="S265" i="17" a="1"/>
  <c r="S265" i="17" s="1"/>
  <c r="S282" i="17" a="1"/>
  <c r="S282" i="17" s="1"/>
  <c r="S299" i="17" a="1"/>
  <c r="S299" i="17" s="1"/>
  <c r="S316" i="17" a="1"/>
  <c r="S316" i="17" s="1"/>
  <c r="S333" i="17" a="1"/>
  <c r="S333" i="17" s="1"/>
  <c r="S350" i="17" a="1"/>
  <c r="S350" i="17" s="1"/>
  <c r="S367" i="17" a="1"/>
  <c r="S367" i="17" s="1"/>
  <c r="S452" i="17" a="1"/>
  <c r="S452" i="17" s="1"/>
  <c r="S469" i="17" a="1"/>
  <c r="S469" i="17" s="1"/>
  <c r="S486" i="17" a="1"/>
  <c r="S486" i="17" s="1"/>
  <c r="S400" i="17" a="1"/>
  <c r="S400" i="17" s="1"/>
  <c r="S401" i="17" a="1"/>
  <c r="S401" i="17" s="1"/>
  <c r="S402" i="17" a="1"/>
  <c r="S402" i="17" s="1"/>
  <c r="S435" i="17" a="1"/>
  <c r="S435" i="17" s="1"/>
  <c r="S605" i="17" a="1"/>
  <c r="S605" i="17" s="1"/>
  <c r="S622" i="17" a="1"/>
  <c r="S622" i="17" s="1"/>
  <c r="S639" i="17" a="1"/>
  <c r="S639" i="17" s="1"/>
  <c r="S656" i="17" a="1"/>
  <c r="S656" i="17" s="1"/>
  <c r="S673" i="17" a="1"/>
  <c r="S673" i="17" s="1"/>
  <c r="S690" i="17" a="1"/>
  <c r="S690" i="17" s="1"/>
  <c r="S707" i="17" a="1"/>
  <c r="S707" i="17" s="1"/>
  <c r="S744" i="17" a="1"/>
  <c r="S744" i="17" s="1"/>
  <c r="S761" i="17" a="1"/>
  <c r="S761" i="17"/>
  <c r="S778" i="17" a="1"/>
  <c r="S778" i="17" s="1"/>
  <c r="S795" i="17" a="1"/>
  <c r="S795" i="17" s="1"/>
  <c r="S812" i="17" a="1"/>
  <c r="S812" i="17" s="1"/>
  <c r="S829" i="17" a="1"/>
  <c r="S829" i="17" s="1"/>
  <c r="S846" i="17" a="1"/>
  <c r="S846" i="17" s="1"/>
  <c r="S863" i="17" a="1"/>
  <c r="S863" i="17" s="1"/>
  <c r="S880" i="17" a="1"/>
  <c r="S880" i="17" s="1"/>
  <c r="S897" i="17" a="1"/>
  <c r="S897" i="17" s="1"/>
  <c r="S914" i="17" a="1"/>
  <c r="S914" i="17" s="1"/>
  <c r="S931" i="17" a="1"/>
  <c r="S931" i="17" s="1"/>
  <c r="S948" i="17" a="1"/>
  <c r="S948" i="17"/>
  <c r="S543" i="17" a="1"/>
  <c r="S543" i="17" s="1"/>
  <c r="S544" i="17" a="1"/>
  <c r="S544" i="17" s="1"/>
  <c r="S545" i="17" a="1"/>
  <c r="S545" i="17" s="1"/>
  <c r="S546" i="17" a="1"/>
  <c r="S546" i="17" s="1"/>
  <c r="S547" i="17" a="1"/>
  <c r="S547" i="17" s="1"/>
  <c r="S548" i="17" a="1"/>
  <c r="S548" i="17" s="1"/>
  <c r="S56" i="17" a="1"/>
  <c r="S56" i="17" s="1"/>
  <c r="S57" i="17" a="1"/>
  <c r="S57" i="17" s="1"/>
  <c r="S58" i="17" a="1"/>
  <c r="S58" i="17" s="1"/>
  <c r="S59" i="17" a="1"/>
  <c r="S59" i="17"/>
  <c r="S60" i="17" a="1"/>
  <c r="S60" i="17" s="1"/>
  <c r="S61" i="17" a="1"/>
  <c r="S61" i="17" s="1"/>
  <c r="S113" i="17" a="1"/>
  <c r="S113" i="17" s="1"/>
  <c r="S130" i="17" a="1"/>
  <c r="S130" i="17" s="1"/>
  <c r="S147" i="17" a="1"/>
  <c r="S147" i="17" s="1"/>
  <c r="S164" i="17" a="1"/>
  <c r="S164" i="17"/>
  <c r="S199" i="17" a="1"/>
  <c r="S199" i="17" s="1"/>
  <c r="S200" i="17" a="1"/>
  <c r="S200" i="17" s="1"/>
  <c r="S201" i="17" a="1"/>
  <c r="S201" i="17" s="1"/>
  <c r="S232" i="17" a="1"/>
  <c r="S232" i="17" s="1"/>
  <c r="S249" i="17" a="1"/>
  <c r="S249" i="17" s="1"/>
  <c r="S266" i="17" a="1"/>
  <c r="S266" i="17" s="1"/>
  <c r="S283" i="17" a="1"/>
  <c r="S283" i="17" s="1"/>
  <c r="S300" i="17" a="1"/>
  <c r="S300" i="17" s="1"/>
  <c r="S317" i="17" a="1"/>
  <c r="S317" i="17" s="1"/>
  <c r="S334" i="17" a="1"/>
  <c r="S334" i="17" s="1"/>
  <c r="S351" i="17" a="1"/>
  <c r="S351" i="17" s="1"/>
  <c r="S368" i="17" a="1"/>
  <c r="S368" i="17" s="1"/>
  <c r="S453" i="17" a="1"/>
  <c r="S453" i="17" s="1"/>
  <c r="S470" i="17" a="1"/>
  <c r="S470" i="17" s="1"/>
  <c r="S487" i="17" a="1"/>
  <c r="S487" i="17" s="1"/>
  <c r="S403" i="17" a="1"/>
  <c r="S403" i="17" s="1"/>
  <c r="S404" i="17" a="1"/>
  <c r="S404" i="17" s="1"/>
  <c r="S405" i="17" a="1"/>
  <c r="S405" i="17" s="1"/>
  <c r="S436" i="17" a="1"/>
  <c r="S436" i="17" s="1"/>
  <c r="S606" i="17" a="1"/>
  <c r="S606" i="17" s="1"/>
  <c r="S623" i="17" a="1"/>
  <c r="S623" i="17" s="1"/>
  <c r="S640" i="17" a="1"/>
  <c r="S640" i="17" s="1"/>
  <c r="S657" i="17" a="1"/>
  <c r="S657" i="17" s="1"/>
  <c r="S674" i="17" a="1"/>
  <c r="S674" i="17" s="1"/>
  <c r="S691" i="17" a="1"/>
  <c r="S691" i="17" s="1"/>
  <c r="S708" i="17" a="1"/>
  <c r="S708" i="17"/>
  <c r="S745" i="17" a="1"/>
  <c r="S745" i="17" s="1"/>
  <c r="S762" i="17" a="1"/>
  <c r="S762" i="17" s="1"/>
  <c r="S779" i="17" a="1"/>
  <c r="S779" i="17" s="1"/>
  <c r="S796" i="17" a="1"/>
  <c r="S796" i="17" s="1"/>
  <c r="S813" i="17" a="1"/>
  <c r="S813" i="17" s="1"/>
  <c r="S830" i="17" a="1"/>
  <c r="S830" i="17" s="1"/>
  <c r="S847" i="17" a="1"/>
  <c r="S847" i="17" s="1"/>
  <c r="S864" i="17" a="1"/>
  <c r="S864" i="17" s="1"/>
  <c r="S881" i="17" a="1"/>
  <c r="S881" i="17" s="1"/>
  <c r="S898" i="17" a="1"/>
  <c r="S898" i="17" s="1"/>
  <c r="S915" i="17" a="1"/>
  <c r="S915" i="17" s="1"/>
  <c r="S932" i="17" a="1"/>
  <c r="S932" i="17" s="1"/>
  <c r="S949" i="17" a="1"/>
  <c r="S949" i="17" s="1"/>
  <c r="S549" i="17" a="1"/>
  <c r="S549" i="17" s="1"/>
  <c r="S550" i="17" a="1"/>
  <c r="S550" i="17" s="1"/>
  <c r="S551" i="17" a="1"/>
  <c r="S551" i="17" s="1"/>
  <c r="S552" i="17" a="1"/>
  <c r="S552" i="17" s="1"/>
  <c r="S553" i="17" a="1"/>
  <c r="S553" i="17" s="1"/>
  <c r="S554" i="17" a="1"/>
  <c r="S554" i="17"/>
  <c r="S62" i="17" a="1"/>
  <c r="S62" i="17" s="1"/>
  <c r="S63" i="17" a="1"/>
  <c r="S63" i="17" s="1"/>
  <c r="S64" i="17" a="1"/>
  <c r="S64" i="17"/>
  <c r="S65" i="17" a="1"/>
  <c r="S65" i="17" s="1"/>
  <c r="S66" i="17" a="1"/>
  <c r="S66" i="17" s="1"/>
  <c r="S67" i="17" a="1"/>
  <c r="S67" i="17" s="1"/>
  <c r="S114" i="17" a="1"/>
  <c r="S114" i="17" s="1"/>
  <c r="S131" i="17" a="1"/>
  <c r="S131" i="17" s="1"/>
  <c r="S148" i="17" a="1"/>
  <c r="S148" i="17"/>
  <c r="S165" i="17" a="1"/>
  <c r="S165" i="17" s="1"/>
  <c r="S202" i="17" a="1"/>
  <c r="S202" i="17" s="1"/>
  <c r="S203" i="17" a="1"/>
  <c r="S203" i="17" s="1"/>
  <c r="S204" i="17" a="1"/>
  <c r="S204" i="17" s="1"/>
  <c r="S233" i="17" a="1"/>
  <c r="S233" i="17" s="1"/>
  <c r="S250" i="17" a="1"/>
  <c r="S250" i="17" s="1"/>
  <c r="S267" i="17" a="1"/>
  <c r="S267" i="17" s="1"/>
  <c r="S284" i="17" a="1"/>
  <c r="S284" i="17" s="1"/>
  <c r="S301" i="17" a="1"/>
  <c r="S301" i="17" s="1"/>
  <c r="S318" i="17" a="1"/>
  <c r="S318" i="17" s="1"/>
  <c r="S335" i="17" a="1"/>
  <c r="S335" i="17" s="1"/>
  <c r="S352" i="17" a="1"/>
  <c r="S352" i="17" s="1"/>
  <c r="S369" i="17" a="1"/>
  <c r="S369" i="17" s="1"/>
  <c r="S454" i="17" a="1"/>
  <c r="S454" i="17" s="1"/>
  <c r="S471" i="17" a="1"/>
  <c r="S471" i="17" s="1"/>
  <c r="S488" i="17" a="1"/>
  <c r="S488" i="17" s="1"/>
  <c r="S406" i="17" a="1"/>
  <c r="S406" i="17" s="1"/>
  <c r="S407" i="17" a="1"/>
  <c r="S407" i="17" s="1"/>
  <c r="S408" i="17" a="1"/>
  <c r="S408" i="17" s="1"/>
  <c r="S437" i="17" a="1"/>
  <c r="S437" i="17" s="1"/>
  <c r="S607" i="17" a="1"/>
  <c r="S607" i="17" s="1"/>
  <c r="S624" i="17" a="1"/>
  <c r="S624" i="17" s="1"/>
  <c r="S641" i="17" a="1"/>
  <c r="S641" i="17" s="1"/>
  <c r="S658" i="17" a="1"/>
  <c r="S658" i="17" s="1"/>
  <c r="S675" i="17" a="1"/>
  <c r="S675" i="17" s="1"/>
  <c r="S692" i="17" a="1"/>
  <c r="S692" i="17" s="1"/>
  <c r="S709" i="17" a="1"/>
  <c r="S709" i="17"/>
  <c r="S723" i="17" a="1"/>
  <c r="S723" i="17" s="1"/>
  <c r="S734" i="17" a="1"/>
  <c r="S734" i="17" s="1"/>
  <c r="S746" i="17" a="1"/>
  <c r="S746" i="17" s="1"/>
  <c r="S763" i="17" a="1"/>
  <c r="S763" i="17" s="1"/>
  <c r="S780" i="17" a="1"/>
  <c r="S780" i="17" s="1"/>
  <c r="S797" i="17" a="1"/>
  <c r="S797" i="17" s="1"/>
  <c r="S814" i="17" a="1"/>
  <c r="S814" i="17" s="1"/>
  <c r="S831" i="17" a="1"/>
  <c r="S831" i="17"/>
  <c r="S848" i="17" a="1"/>
  <c r="S848" i="17"/>
  <c r="S865" i="17" a="1"/>
  <c r="S865" i="17" s="1"/>
  <c r="S882" i="17" a="1"/>
  <c r="S882" i="17" s="1"/>
  <c r="S899" i="17" a="1"/>
  <c r="S899" i="17" s="1"/>
  <c r="S916" i="17" a="1"/>
  <c r="S916" i="17" s="1"/>
  <c r="S933" i="17" a="1"/>
  <c r="S933" i="17" s="1"/>
  <c r="S950" i="17" a="1"/>
  <c r="S950" i="17" s="1"/>
  <c r="S555" i="17" a="1"/>
  <c r="S555" i="17" s="1"/>
  <c r="S556" i="17" a="1"/>
  <c r="S556" i="17" s="1"/>
  <c r="S557" i="17" a="1"/>
  <c r="S557" i="17" s="1"/>
  <c r="S558" i="17" a="1"/>
  <c r="S558" i="17" s="1"/>
  <c r="S559" i="17" a="1"/>
  <c r="S559" i="17" s="1"/>
  <c r="S560" i="17" a="1"/>
  <c r="S560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15" i="17" a="1"/>
  <c r="S115" i="17" s="1"/>
  <c r="S132" i="17" a="1"/>
  <c r="S132" i="17" s="1"/>
  <c r="S149" i="17" a="1"/>
  <c r="S149" i="17" s="1"/>
  <c r="S166" i="17" a="1"/>
  <c r="S166" i="17"/>
  <c r="S205" i="17" a="1"/>
  <c r="S205" i="17"/>
  <c r="S206" i="17" a="1"/>
  <c r="S206" i="17" s="1"/>
  <c r="S207" i="17" a="1"/>
  <c r="S207" i="17" s="1"/>
  <c r="S234" i="17" a="1"/>
  <c r="S234" i="17" s="1"/>
  <c r="S251" i="17" a="1"/>
  <c r="S251" i="17" s="1"/>
  <c r="S268" i="17" a="1"/>
  <c r="S268" i="17" s="1"/>
  <c r="S285" i="17" a="1"/>
  <c r="S285" i="17" s="1"/>
  <c r="S302" i="17" a="1"/>
  <c r="S302" i="17" s="1"/>
  <c r="S319" i="17" a="1"/>
  <c r="S319" i="17" s="1"/>
  <c r="S336" i="17" a="1"/>
  <c r="S336" i="17"/>
  <c r="S353" i="17" a="1"/>
  <c r="S353" i="17" s="1"/>
  <c r="S370" i="17" a="1"/>
  <c r="S370" i="17" s="1"/>
  <c r="S455" i="17" a="1"/>
  <c r="S455" i="17" s="1"/>
  <c r="S472" i="17" a="1"/>
  <c r="S472" i="17" s="1"/>
  <c r="S489" i="17" a="1"/>
  <c r="S489" i="17" s="1"/>
  <c r="S409" i="17" a="1"/>
  <c r="S409" i="17" s="1"/>
  <c r="S410" i="17" a="1"/>
  <c r="S410" i="17" s="1"/>
  <c r="S411" i="17" a="1"/>
  <c r="S411" i="17"/>
  <c r="S438" i="17" a="1"/>
  <c r="S438" i="17" s="1"/>
  <c r="S608" i="17" a="1"/>
  <c r="S608" i="17"/>
  <c r="S625" i="17" a="1"/>
  <c r="S625" i="17" s="1"/>
  <c r="S642" i="17" a="1"/>
  <c r="S642" i="17" s="1"/>
  <c r="S659" i="17" a="1"/>
  <c r="S659" i="17" s="1"/>
  <c r="S676" i="17" a="1"/>
  <c r="S676" i="17" s="1"/>
  <c r="S693" i="17" a="1"/>
  <c r="S693" i="17" s="1"/>
  <c r="S710" i="17" a="1"/>
  <c r="S710" i="17" s="1"/>
  <c r="S724" i="17" a="1"/>
  <c r="S724" i="17" s="1"/>
  <c r="S747" i="17" a="1"/>
  <c r="S747" i="17" s="1"/>
  <c r="S764" i="17" a="1"/>
  <c r="S764" i="17" s="1"/>
  <c r="S781" i="17" a="1"/>
  <c r="S781" i="17" s="1"/>
  <c r="S798" i="17" a="1"/>
  <c r="S798" i="17" s="1"/>
  <c r="S815" i="17" a="1"/>
  <c r="S815" i="17" s="1"/>
  <c r="S832" i="17" a="1"/>
  <c r="S832" i="17" s="1"/>
  <c r="S849" i="17" a="1"/>
  <c r="S849" i="17" s="1"/>
  <c r="S866" i="17" a="1"/>
  <c r="S866" i="17" s="1"/>
  <c r="S883" i="17" a="1"/>
  <c r="S883" i="17" s="1"/>
  <c r="S900" i="17" a="1"/>
  <c r="S900" i="17" s="1"/>
  <c r="S917" i="17" a="1"/>
  <c r="S917" i="17" s="1"/>
  <c r="S934" i="17" a="1"/>
  <c r="S934" i="17" s="1"/>
  <c r="S951" i="17" a="1"/>
  <c r="S951" i="17" s="1"/>
  <c r="S561" i="17" a="1"/>
  <c r="S561" i="17" s="1"/>
  <c r="S562" i="17" a="1"/>
  <c r="S562" i="17"/>
  <c r="S563" i="17" a="1"/>
  <c r="S563" i="17" s="1"/>
  <c r="S564" i="17" a="1"/>
  <c r="S564" i="17" s="1"/>
  <c r="S565" i="17" a="1"/>
  <c r="S565" i="17" s="1"/>
  <c r="S566" i="17" a="1"/>
  <c r="S566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16" i="17" a="1"/>
  <c r="S116" i="17" s="1"/>
  <c r="S133" i="17" a="1"/>
  <c r="S133" i="17" s="1"/>
  <c r="S150" i="17" a="1"/>
  <c r="S150" i="17" s="1"/>
  <c r="S167" i="17" a="1"/>
  <c r="S167" i="17" s="1"/>
  <c r="S208" i="17" a="1"/>
  <c r="S208" i="17" s="1"/>
  <c r="S209" i="17" a="1"/>
  <c r="S209" i="17" s="1"/>
  <c r="S210" i="17" a="1"/>
  <c r="S210" i="17" s="1"/>
  <c r="S235" i="17" a="1"/>
  <c r="S235" i="17" s="1"/>
  <c r="S252" i="17" a="1"/>
  <c r="S252" i="17"/>
  <c r="S269" i="17" a="1"/>
  <c r="S269" i="17" s="1"/>
  <c r="S286" i="17" a="1"/>
  <c r="S286" i="17" s="1"/>
  <c r="S303" i="17" a="1"/>
  <c r="S303" i="17"/>
  <c r="S320" i="17" a="1"/>
  <c r="S320" i="17" s="1"/>
  <c r="S337" i="17" a="1"/>
  <c r="S337" i="17" s="1"/>
  <c r="S354" i="17" a="1"/>
  <c r="S354" i="17" s="1"/>
  <c r="S371" i="17" a="1"/>
  <c r="S371" i="17" s="1"/>
  <c r="S456" i="17" a="1"/>
  <c r="S456" i="17" s="1"/>
  <c r="S473" i="17" a="1"/>
  <c r="S473" i="17" s="1"/>
  <c r="S490" i="17" a="1"/>
  <c r="S490" i="17" s="1"/>
  <c r="S412" i="17" a="1"/>
  <c r="S412" i="17" s="1"/>
  <c r="S413" i="17" a="1"/>
  <c r="S413" i="17" s="1"/>
  <c r="S414" i="17" a="1"/>
  <c r="S414" i="17"/>
  <c r="S439" i="17" a="1"/>
  <c r="S439" i="17" s="1"/>
  <c r="S609" i="17" a="1"/>
  <c r="S609" i="17" s="1"/>
  <c r="S626" i="17" a="1"/>
  <c r="S626" i="17" s="1"/>
  <c r="S643" i="17" a="1"/>
  <c r="S643" i="17" s="1"/>
  <c r="S660" i="17" a="1"/>
  <c r="S660" i="17" s="1"/>
  <c r="S677" i="17" a="1"/>
  <c r="S677" i="17" s="1"/>
  <c r="S694" i="17" a="1"/>
  <c r="S694" i="17" s="1"/>
  <c r="S711" i="17" a="1"/>
  <c r="S711" i="17" s="1"/>
  <c r="S748" i="17" a="1"/>
  <c r="S748" i="17" s="1"/>
  <c r="S765" i="17" a="1"/>
  <c r="S765" i="17" s="1"/>
  <c r="S782" i="17" a="1"/>
  <c r="S782" i="17" s="1"/>
  <c r="S799" i="17" a="1"/>
  <c r="S799" i="17" s="1"/>
  <c r="S816" i="17" a="1"/>
  <c r="S816" i="17" s="1"/>
  <c r="S833" i="17" a="1"/>
  <c r="S833" i="17" s="1"/>
  <c r="S850" i="17" a="1"/>
  <c r="S850" i="17" s="1"/>
  <c r="S867" i="17" a="1"/>
  <c r="S867" i="17" s="1"/>
  <c r="S884" i="17" a="1"/>
  <c r="S884" i="17" s="1"/>
  <c r="S901" i="17" a="1"/>
  <c r="S901" i="17" s="1"/>
  <c r="S918" i="17" a="1"/>
  <c r="S918" i="17"/>
  <c r="S935" i="17" a="1"/>
  <c r="S935" i="17" s="1"/>
  <c r="S952" i="17" a="1"/>
  <c r="S952" i="17" s="1"/>
  <c r="S567" i="17" a="1"/>
  <c r="S567" i="17" s="1"/>
  <c r="S568" i="17" a="1"/>
  <c r="S568" i="17" s="1"/>
  <c r="S569" i="17" a="1"/>
  <c r="S569" i="17" s="1"/>
  <c r="S570" i="17" a="1"/>
  <c r="S570" i="17" s="1"/>
  <c r="S571" i="17" a="1"/>
  <c r="S571" i="17" s="1"/>
  <c r="S572" i="17" a="1"/>
  <c r="S572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17" i="17" a="1"/>
  <c r="S117" i="17" s="1"/>
  <c r="S134" i="17" a="1"/>
  <c r="S134" i="17" s="1"/>
  <c r="S151" i="17" a="1"/>
  <c r="S151" i="17" s="1"/>
  <c r="S168" i="17" a="1"/>
  <c r="S168" i="17" s="1"/>
  <c r="S211" i="17" a="1"/>
  <c r="S211" i="17" s="1"/>
  <c r="S212" i="17" a="1"/>
  <c r="S212" i="17" s="1"/>
  <c r="S213" i="17" a="1"/>
  <c r="S213" i="17" s="1"/>
  <c r="S236" i="17" a="1"/>
  <c r="S236" i="17" s="1"/>
  <c r="S253" i="17" a="1"/>
  <c r="S253" i="17" s="1"/>
  <c r="S270" i="17" a="1"/>
  <c r="S270" i="17" s="1"/>
  <c r="S287" i="17" a="1"/>
  <c r="S287" i="17" s="1"/>
  <c r="S304" i="17" a="1"/>
  <c r="S304" i="17" s="1"/>
  <c r="S321" i="17" a="1"/>
  <c r="S321" i="17" s="1"/>
  <c r="S338" i="17" a="1"/>
  <c r="S338" i="17" s="1"/>
  <c r="S355" i="17" a="1"/>
  <c r="S355" i="17" s="1"/>
  <c r="S372" i="17" a="1"/>
  <c r="S372" i="17" s="1"/>
  <c r="S457" i="17" a="1"/>
  <c r="S457" i="17" s="1"/>
  <c r="S474" i="17" a="1"/>
  <c r="S474" i="17"/>
  <c r="S491" i="17" a="1"/>
  <c r="S491" i="17" s="1"/>
  <c r="S415" i="17" a="1"/>
  <c r="S415" i="17" s="1"/>
  <c r="S416" i="17" a="1"/>
  <c r="S416" i="17" s="1"/>
  <c r="S417" i="17" a="1"/>
  <c r="S417" i="17"/>
  <c r="S440" i="17" a="1"/>
  <c r="S440" i="17" s="1"/>
  <c r="S610" i="17" a="1"/>
  <c r="S610" i="17" s="1"/>
  <c r="S627" i="17" a="1"/>
  <c r="S627" i="17" s="1"/>
  <c r="S644" i="17" a="1"/>
  <c r="S644" i="17" s="1"/>
  <c r="S661" i="17" a="1"/>
  <c r="S661" i="17" s="1"/>
  <c r="S678" i="17" a="1"/>
  <c r="S678" i="17" s="1"/>
  <c r="S695" i="17" a="1"/>
  <c r="S695" i="17" s="1"/>
  <c r="S712" i="17" a="1"/>
  <c r="S712" i="17" s="1"/>
  <c r="S725" i="17" a="1"/>
  <c r="S725" i="17" s="1"/>
  <c r="S749" i="17" a="1"/>
  <c r="S749" i="17" s="1"/>
  <c r="S766" i="17" a="1"/>
  <c r="S766" i="17" s="1"/>
  <c r="S783" i="17" a="1"/>
  <c r="S783" i="17" s="1"/>
  <c r="S800" i="17" a="1"/>
  <c r="S800" i="17" s="1"/>
  <c r="S817" i="17" a="1"/>
  <c r="S817" i="17" s="1"/>
  <c r="S834" i="17" a="1"/>
  <c r="S834" i="17" s="1"/>
  <c r="S851" i="17" a="1"/>
  <c r="S851" i="17" s="1"/>
  <c r="S868" i="17" a="1"/>
  <c r="S868" i="17" s="1"/>
  <c r="S885" i="17" a="1"/>
  <c r="S885" i="17" s="1"/>
  <c r="S902" i="17" a="1"/>
  <c r="S902" i="17"/>
  <c r="S919" i="17" a="1"/>
  <c r="S919" i="17" s="1"/>
  <c r="S936" i="17" a="1"/>
  <c r="S936" i="17" s="1"/>
  <c r="S953" i="17" a="1"/>
  <c r="S953" i="17" s="1"/>
  <c r="S573" i="17" a="1"/>
  <c r="S573" i="17" s="1"/>
  <c r="S574" i="17" a="1"/>
  <c r="S574" i="17" s="1"/>
  <c r="S575" i="17" a="1"/>
  <c r="S575" i="17" s="1"/>
  <c r="S576" i="17" a="1"/>
  <c r="S576" i="17" s="1"/>
  <c r="S577" i="17" a="1"/>
  <c r="S577" i="17" s="1"/>
  <c r="S578" i="17" a="1"/>
  <c r="S578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18" i="17" a="1"/>
  <c r="S118" i="17" s="1"/>
  <c r="S135" i="17" a="1"/>
  <c r="S135" i="17" s="1"/>
  <c r="S152" i="17" a="1"/>
  <c r="S152" i="17" s="1"/>
  <c r="S169" i="17" a="1"/>
  <c r="S169" i="17" s="1"/>
  <c r="S214" i="17" a="1"/>
  <c r="S214" i="17" s="1"/>
  <c r="S215" i="17" a="1"/>
  <c r="S215" i="17" s="1"/>
  <c r="S216" i="17" a="1"/>
  <c r="S216" i="17"/>
  <c r="S237" i="17" a="1"/>
  <c r="S237" i="17" s="1"/>
  <c r="S254" i="17" a="1"/>
  <c r="S254" i="17" s="1"/>
  <c r="S271" i="17" a="1"/>
  <c r="S271" i="17" s="1"/>
  <c r="S288" i="17" a="1"/>
  <c r="S288" i="17" s="1"/>
  <c r="S305" i="17" a="1"/>
  <c r="S305" i="17" s="1"/>
  <c r="S322" i="17" a="1"/>
  <c r="S322" i="17" s="1"/>
  <c r="S339" i="17" a="1"/>
  <c r="S339" i="17" s="1"/>
  <c r="S356" i="17" a="1"/>
  <c r="S356" i="17" s="1"/>
  <c r="S373" i="17" a="1"/>
  <c r="S373" i="17" s="1"/>
  <c r="S458" i="17" a="1"/>
  <c r="S458" i="17"/>
  <c r="S475" i="17" a="1"/>
  <c r="S475" i="17" s="1"/>
  <c r="S492" i="17" a="1"/>
  <c r="S492" i="17" s="1"/>
  <c r="S418" i="17" a="1"/>
  <c r="S418" i="17" s="1"/>
  <c r="S419" i="17" a="1"/>
  <c r="S419" i="17" s="1"/>
  <c r="S420" i="17" a="1"/>
  <c r="S420" i="17" s="1"/>
  <c r="S441" i="17" a="1"/>
  <c r="S441" i="17" s="1"/>
  <c r="S611" i="17" a="1"/>
  <c r="S611" i="17" s="1"/>
  <c r="S628" i="17" a="1"/>
  <c r="S628" i="17" s="1"/>
  <c r="S645" i="17" a="1"/>
  <c r="S645" i="17" s="1"/>
  <c r="S662" i="17" a="1"/>
  <c r="S662" i="17" s="1"/>
  <c r="S679" i="17" a="1"/>
  <c r="S679" i="17" s="1"/>
  <c r="S696" i="17" a="1"/>
  <c r="S696" i="17" s="1"/>
  <c r="S713" i="17" a="1"/>
  <c r="S713" i="17" s="1"/>
  <c r="S726" i="17" a="1"/>
  <c r="S726" i="17" s="1"/>
  <c r="S735" i="17" a="1"/>
  <c r="S735" i="17" s="1"/>
  <c r="S750" i="17" a="1"/>
  <c r="S750" i="17" s="1"/>
  <c r="S767" i="17" a="1"/>
  <c r="S767" i="17" s="1"/>
  <c r="S784" i="17" a="1"/>
  <c r="S784" i="17" s="1"/>
  <c r="S801" i="17" a="1"/>
  <c r="S801" i="17" s="1"/>
  <c r="S818" i="17" a="1"/>
  <c r="S818" i="17" s="1"/>
  <c r="S835" i="17" a="1"/>
  <c r="S835" i="17" s="1"/>
  <c r="S852" i="17" a="1"/>
  <c r="S852" i="17"/>
  <c r="S869" i="17" a="1"/>
  <c r="S869" i="17" s="1"/>
  <c r="S886" i="17" a="1"/>
  <c r="S886" i="17" s="1"/>
  <c r="S903" i="17" a="1"/>
  <c r="S903" i="17" s="1"/>
  <c r="S920" i="17" a="1"/>
  <c r="S920" i="17" s="1"/>
  <c r="S937" i="17" a="1"/>
  <c r="S937" i="17" s="1"/>
  <c r="S954" i="17" a="1"/>
  <c r="S954" i="17" s="1"/>
  <c r="S579" i="17" a="1"/>
  <c r="S579" i="17" s="1"/>
  <c r="S580" i="17" a="1"/>
  <c r="S580" i="17" s="1"/>
  <c r="S581" i="17" a="1"/>
  <c r="S581" i="17" s="1"/>
  <c r="S582" i="17" a="1"/>
  <c r="S582" i="17"/>
  <c r="S583" i="17" a="1"/>
  <c r="S583" i="17" s="1"/>
  <c r="S584" i="17" a="1"/>
  <c r="S584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19" i="17" a="1"/>
  <c r="S119" i="17" s="1"/>
  <c r="S136" i="17" a="1"/>
  <c r="S136" i="17" s="1"/>
  <c r="S153" i="17" a="1"/>
  <c r="S153" i="17" s="1"/>
  <c r="S170" i="17" a="1"/>
  <c r="S170" i="17" s="1"/>
  <c r="S217" i="17" a="1"/>
  <c r="S217" i="17" s="1"/>
  <c r="S218" i="17" a="1"/>
  <c r="S218" i="17" s="1"/>
  <c r="S219" i="17" a="1"/>
  <c r="S219" i="17" s="1"/>
  <c r="S238" i="17" a="1"/>
  <c r="S238" i="17" s="1"/>
  <c r="S255" i="17" a="1"/>
  <c r="S255" i="17" s="1"/>
  <c r="S272" i="17" a="1"/>
  <c r="S272" i="17" s="1"/>
  <c r="S289" i="17" a="1"/>
  <c r="S289" i="17" s="1"/>
  <c r="S306" i="17" a="1"/>
  <c r="S306" i="17" s="1"/>
  <c r="S323" i="17" a="1"/>
  <c r="S323" i="17" s="1"/>
  <c r="S340" i="17" a="1"/>
  <c r="S340" i="17"/>
  <c r="S357" i="17" a="1"/>
  <c r="S357" i="17" s="1"/>
  <c r="S374" i="17" a="1"/>
  <c r="S374" i="17" s="1"/>
  <c r="S459" i="17" a="1"/>
  <c r="S459" i="17" s="1"/>
  <c r="S476" i="17" a="1"/>
  <c r="S476" i="17" s="1"/>
  <c r="S493" i="17" a="1"/>
  <c r="S493" i="17" s="1"/>
  <c r="S421" i="17" a="1"/>
  <c r="S421" i="17" s="1"/>
  <c r="S422" i="17" a="1"/>
  <c r="S422" i="17" s="1"/>
  <c r="S423" i="17" a="1"/>
  <c r="S423" i="17" s="1"/>
  <c r="S442" i="17" a="1"/>
  <c r="S442" i="17" s="1"/>
  <c r="S612" i="17" a="1"/>
  <c r="S612" i="17"/>
  <c r="S629" i="17" a="1"/>
  <c r="S629" i="17" s="1"/>
  <c r="S646" i="17" a="1"/>
  <c r="S646" i="17" s="1"/>
  <c r="S663" i="17" a="1"/>
  <c r="S663" i="17" s="1"/>
  <c r="S680" i="17" a="1"/>
  <c r="S680" i="17" s="1"/>
  <c r="S697" i="17" a="1"/>
  <c r="S697" i="17" s="1"/>
  <c r="S714" i="17" a="1"/>
  <c r="S714" i="17" s="1"/>
  <c r="S727" i="17" a="1"/>
  <c r="S727" i="17" s="1"/>
  <c r="S751" i="17" a="1"/>
  <c r="S751" i="17" s="1"/>
  <c r="S768" i="17" a="1"/>
  <c r="S768" i="17" s="1"/>
  <c r="S785" i="17" a="1"/>
  <c r="S785" i="17" s="1"/>
  <c r="S802" i="17" a="1"/>
  <c r="S802" i="17" s="1"/>
  <c r="S819" i="17" a="1"/>
  <c r="S819" i="17" s="1"/>
  <c r="S836" i="17" a="1"/>
  <c r="S836" i="17" s="1"/>
  <c r="S853" i="17" a="1"/>
  <c r="S853" i="17" s="1"/>
  <c r="S870" i="17" a="1"/>
  <c r="S870" i="17" s="1"/>
  <c r="S887" i="17" a="1"/>
  <c r="S887" i="17" s="1"/>
  <c r="S904" i="17" a="1"/>
  <c r="S904" i="17" s="1"/>
  <c r="S921" i="17" a="1"/>
  <c r="S921" i="17" s="1"/>
  <c r="S938" i="17" a="1"/>
  <c r="S938" i="17" s="1"/>
  <c r="S955" i="17" a="1"/>
  <c r="S955" i="17" s="1"/>
  <c r="S585" i="17" a="1"/>
  <c r="S585" i="17" s="1"/>
  <c r="S586" i="17" a="1"/>
  <c r="S586" i="17"/>
  <c r="S587" i="17" a="1"/>
  <c r="S587" i="17" s="1"/>
  <c r="S588" i="17" a="1"/>
  <c r="S588" i="17" s="1"/>
  <c r="S589" i="17" a="1"/>
  <c r="S589" i="17" s="1"/>
  <c r="S590" i="17" a="1"/>
  <c r="S590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/>
  <c r="S120" i="17" a="1"/>
  <c r="S120" i="17" s="1"/>
  <c r="S137" i="17" a="1"/>
  <c r="S137" i="17" s="1"/>
  <c r="S154" i="17" a="1"/>
  <c r="S154" i="17" s="1"/>
  <c r="S171" i="17" a="1"/>
  <c r="S171" i="17" s="1"/>
  <c r="S220" i="17" a="1"/>
  <c r="S220" i="17" s="1"/>
  <c r="S221" i="17" a="1"/>
  <c r="S221" i="17" s="1"/>
  <c r="S222" i="17" a="1"/>
  <c r="S222" i="17" s="1"/>
  <c r="S239" i="17" a="1"/>
  <c r="S239" i="17" s="1"/>
  <c r="S256" i="17" a="1"/>
  <c r="S256" i="17" s="1"/>
  <c r="S273" i="17" a="1"/>
  <c r="S273" i="17" s="1"/>
  <c r="S290" i="17" a="1"/>
  <c r="S290" i="17" s="1"/>
  <c r="S307" i="17" a="1"/>
  <c r="S307" i="17" s="1"/>
  <c r="S324" i="17" a="1"/>
  <c r="S324" i="17" s="1"/>
  <c r="S341" i="17" a="1"/>
  <c r="S341" i="17" s="1"/>
  <c r="S358" i="17" a="1"/>
  <c r="S358" i="17" s="1"/>
  <c r="S375" i="17" a="1"/>
  <c r="S375" i="17" s="1"/>
  <c r="S460" i="17" a="1"/>
  <c r="S460" i="17" s="1"/>
  <c r="S477" i="17" a="1"/>
  <c r="S477" i="17" s="1"/>
  <c r="S494" i="17" a="1"/>
  <c r="S494" i="17" s="1"/>
  <c r="S424" i="17" a="1"/>
  <c r="S424" i="17" s="1"/>
  <c r="S425" i="17" a="1"/>
  <c r="S425" i="17" s="1"/>
  <c r="S426" i="17" a="1"/>
  <c r="S426" i="17"/>
  <c r="S443" i="17" a="1"/>
  <c r="S443" i="17" s="1"/>
  <c r="S613" i="17" a="1"/>
  <c r="S613" i="17" s="1"/>
  <c r="S630" i="17" a="1"/>
  <c r="S630" i="17" s="1"/>
  <c r="S647" i="17" a="1"/>
  <c r="S647" i="17" s="1"/>
  <c r="S664" i="17" a="1"/>
  <c r="S664" i="17" s="1"/>
  <c r="S681" i="17" a="1"/>
  <c r="S681" i="17" s="1"/>
  <c r="S698" i="17" a="1"/>
  <c r="S698" i="17" s="1"/>
  <c r="S715" i="17" a="1"/>
  <c r="S715" i="17" s="1"/>
  <c r="S728" i="17" a="1"/>
  <c r="S728" i="17" s="1"/>
  <c r="S752" i="17" a="1"/>
  <c r="S752" i="17"/>
  <c r="S769" i="17" a="1"/>
  <c r="S769" i="17" s="1"/>
  <c r="S786" i="17" a="1"/>
  <c r="S786" i="17" s="1"/>
  <c r="S803" i="17" a="1"/>
  <c r="S803" i="17" s="1"/>
  <c r="S820" i="17" a="1"/>
  <c r="S820" i="17" s="1"/>
  <c r="S837" i="17" a="1"/>
  <c r="S837" i="17" s="1"/>
  <c r="S854" i="17" a="1"/>
  <c r="S854" i="17" s="1"/>
  <c r="S871" i="17" a="1"/>
  <c r="S871" i="17" s="1"/>
  <c r="S888" i="17" a="1"/>
  <c r="S888" i="17" s="1"/>
  <c r="S905" i="17" a="1"/>
  <c r="S905" i="17" s="1"/>
  <c r="S922" i="17" a="1"/>
  <c r="S922" i="17" s="1"/>
  <c r="S939" i="17" a="1"/>
  <c r="S939" i="17" s="1"/>
  <c r="S956" i="17" a="1"/>
  <c r="S956" i="17" s="1"/>
  <c r="S591" i="17" a="1"/>
  <c r="S591" i="17" s="1"/>
  <c r="S592" i="17" a="1"/>
  <c r="S592" i="17" s="1"/>
  <c r="S593" i="17" a="1"/>
  <c r="S593" i="17" s="1"/>
  <c r="S594" i="17" a="1"/>
  <c r="S594" i="17" s="1"/>
  <c r="S595" i="17" a="1"/>
  <c r="S595" i="17" s="1"/>
  <c r="S596" i="17" a="1"/>
  <c r="S596" i="17" s="1"/>
  <c r="T2" i="17" a="1"/>
  <c r="T2" i="17" s="1"/>
  <c r="T3" i="17" a="1"/>
  <c r="T3" i="17" s="1"/>
  <c r="T4" i="17" a="1"/>
  <c r="T4" i="17" s="1"/>
  <c r="T5" i="17" a="1"/>
  <c r="T5" i="17"/>
  <c r="T6" i="17" a="1"/>
  <c r="T6" i="17" s="1"/>
  <c r="T7" i="17" a="1"/>
  <c r="T7" i="17" s="1"/>
  <c r="T104" i="17" a="1"/>
  <c r="T104" i="17" s="1"/>
  <c r="T121" i="17" a="1"/>
  <c r="T121" i="17" s="1"/>
  <c r="T138" i="17" a="1"/>
  <c r="T138" i="17" s="1"/>
  <c r="T155" i="17" a="1"/>
  <c r="T155" i="17" s="1"/>
  <c r="T172" i="17" a="1"/>
  <c r="T172" i="17" s="1"/>
  <c r="T173" i="17" a="1"/>
  <c r="T173" i="17" s="1"/>
  <c r="T174" i="17" a="1"/>
  <c r="T174" i="17" s="1"/>
  <c r="T223" i="17" a="1"/>
  <c r="T223" i="17"/>
  <c r="T240" i="17" a="1"/>
  <c r="T240" i="17" s="1"/>
  <c r="T257" i="17" a="1"/>
  <c r="T257" i="17" s="1"/>
  <c r="T274" i="17" a="1"/>
  <c r="T274" i="17" s="1"/>
  <c r="T291" i="17" a="1"/>
  <c r="T291" i="17" s="1"/>
  <c r="T308" i="17" a="1"/>
  <c r="T308" i="17" s="1"/>
  <c r="T325" i="17" a="1"/>
  <c r="T325" i="17" s="1"/>
  <c r="T342" i="17" a="1"/>
  <c r="T342" i="17" s="1"/>
  <c r="T359" i="17" a="1"/>
  <c r="T359" i="17" s="1"/>
  <c r="T444" i="17" a="1"/>
  <c r="T444" i="17" s="1"/>
  <c r="T461" i="17" a="1"/>
  <c r="T461" i="17" s="1"/>
  <c r="T478" i="17" a="1"/>
  <c r="T478" i="17" s="1"/>
  <c r="T376" i="17" a="1"/>
  <c r="T376" i="17" s="1"/>
  <c r="T377" i="17" a="1"/>
  <c r="T377" i="17" s="1"/>
  <c r="T378" i="17" a="1"/>
  <c r="T378" i="17" s="1"/>
  <c r="T427" i="17" a="1"/>
  <c r="T427" i="17" s="1"/>
  <c r="T597" i="17" a="1"/>
  <c r="T597" i="17" s="1"/>
  <c r="T614" i="17" a="1"/>
  <c r="T614" i="17" s="1"/>
  <c r="T631" i="17" a="1"/>
  <c r="T631" i="17" s="1"/>
  <c r="T648" i="17" a="1"/>
  <c r="T648" i="17" s="1"/>
  <c r="T665" i="17" a="1"/>
  <c r="T665" i="17" s="1"/>
  <c r="T682" i="17" a="1"/>
  <c r="T682" i="17" s="1"/>
  <c r="T699" i="17" a="1"/>
  <c r="T699" i="17"/>
  <c r="T729" i="17" a="1"/>
  <c r="T729" i="17" s="1"/>
  <c r="T736" i="17" a="1"/>
  <c r="T736" i="17" s="1"/>
  <c r="T753" i="17" a="1"/>
  <c r="T753" i="17" s="1"/>
  <c r="T770" i="17" a="1"/>
  <c r="T770" i="17" s="1"/>
  <c r="T787" i="17" a="1"/>
  <c r="T787" i="17" s="1"/>
  <c r="T804" i="17" a="1"/>
  <c r="T804" i="17" s="1"/>
  <c r="T821" i="17" a="1"/>
  <c r="T821" i="17" s="1"/>
  <c r="T838" i="17" a="1"/>
  <c r="T838" i="17" s="1"/>
  <c r="T855" i="17" a="1"/>
  <c r="T855" i="17" s="1"/>
  <c r="T872" i="17" a="1"/>
  <c r="T872" i="17"/>
  <c r="T889" i="17" a="1"/>
  <c r="T889" i="17" s="1"/>
  <c r="T906" i="17" a="1"/>
  <c r="T906" i="17" s="1"/>
  <c r="T923" i="17" a="1"/>
  <c r="T923" i="17" s="1"/>
  <c r="T940" i="17" a="1"/>
  <c r="T940" i="17" s="1"/>
  <c r="T495" i="17" a="1"/>
  <c r="T495" i="17" s="1"/>
  <c r="T496" i="17" a="1"/>
  <c r="T496" i="17" s="1"/>
  <c r="T497" i="17" a="1"/>
  <c r="T497" i="17" s="1"/>
  <c r="T498" i="17" a="1"/>
  <c r="T498" i="17" s="1"/>
  <c r="T499" i="17" a="1"/>
  <c r="T499" i="17" s="1"/>
  <c r="T500" i="17" a="1"/>
  <c r="T500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05" i="17" a="1"/>
  <c r="T105" i="17" s="1"/>
  <c r="T122" i="17" a="1"/>
  <c r="T122" i="17" s="1"/>
  <c r="T139" i="17" a="1"/>
  <c r="T139" i="17" s="1"/>
  <c r="T156" i="17" a="1"/>
  <c r="T156" i="17" s="1"/>
  <c r="T175" i="17" a="1"/>
  <c r="T175" i="17" s="1"/>
  <c r="T176" i="17" a="1"/>
  <c r="T176" i="17"/>
  <c r="T177" i="17" a="1"/>
  <c r="T177" i="17" s="1"/>
  <c r="T224" i="17" a="1"/>
  <c r="T224" i="17" s="1"/>
  <c r="T241" i="17" a="1"/>
  <c r="T241" i="17" s="1"/>
  <c r="T258" i="17" a="1"/>
  <c r="T258" i="17" s="1"/>
  <c r="T275" i="17" a="1"/>
  <c r="T275" i="17" s="1"/>
  <c r="T292" i="17" a="1"/>
  <c r="T292" i="17" s="1"/>
  <c r="T309" i="17" a="1"/>
  <c r="T309" i="17" s="1"/>
  <c r="T326" i="17" a="1"/>
  <c r="T326" i="17" s="1"/>
  <c r="T343" i="17" a="1"/>
  <c r="T343" i="17" s="1"/>
  <c r="T360" i="17" a="1"/>
  <c r="T360" i="17" s="1"/>
  <c r="T445" i="17" a="1"/>
  <c r="T445" i="17" s="1"/>
  <c r="T462" i="17" a="1"/>
  <c r="T462" i="17" s="1"/>
  <c r="T479" i="17" a="1"/>
  <c r="T479" i="17" s="1"/>
  <c r="T379" i="17" a="1"/>
  <c r="T379" i="17" s="1"/>
  <c r="T380" i="17" a="1"/>
  <c r="T380" i="17" s="1"/>
  <c r="T381" i="17" a="1"/>
  <c r="T381" i="17" s="1"/>
  <c r="T428" i="17" a="1"/>
  <c r="T428" i="17" s="1"/>
  <c r="T598" i="17" a="1"/>
  <c r="T598" i="17" s="1"/>
  <c r="T615" i="17" a="1"/>
  <c r="T615" i="17" s="1"/>
  <c r="T632" i="17" a="1"/>
  <c r="T632" i="17" s="1"/>
  <c r="T649" i="17" a="1"/>
  <c r="T649" i="17" s="1"/>
  <c r="T666" i="17" a="1"/>
  <c r="T666" i="17" s="1"/>
  <c r="T683" i="17" a="1"/>
  <c r="T683" i="17"/>
  <c r="T700" i="17" a="1"/>
  <c r="T700" i="17" s="1"/>
  <c r="T716" i="17" a="1"/>
  <c r="T716" i="17" s="1"/>
  <c r="T737" i="17" a="1"/>
  <c r="T737" i="17" s="1"/>
  <c r="T754" i="17" a="1"/>
  <c r="T754" i="17" s="1"/>
  <c r="T771" i="17" a="1"/>
  <c r="T771" i="17" s="1"/>
  <c r="T788" i="17" a="1"/>
  <c r="T788" i="17" s="1"/>
  <c r="T805" i="17" a="1"/>
  <c r="T805" i="17" s="1"/>
  <c r="T822" i="17" a="1"/>
  <c r="T822" i="17" s="1"/>
  <c r="T839" i="17" a="1"/>
  <c r="T839" i="17"/>
  <c r="T856" i="17" a="1"/>
  <c r="T856" i="17" s="1"/>
  <c r="T873" i="17" a="1"/>
  <c r="T873" i="17" s="1"/>
  <c r="T890" i="17" a="1"/>
  <c r="T890" i="17" s="1"/>
  <c r="T907" i="17" a="1"/>
  <c r="T907" i="17" s="1"/>
  <c r="T924" i="17" a="1"/>
  <c r="T924" i="17" s="1"/>
  <c r="T941" i="17" a="1"/>
  <c r="T941" i="17" s="1"/>
  <c r="T501" i="17" a="1"/>
  <c r="T501" i="17" s="1"/>
  <c r="T502" i="17" a="1"/>
  <c r="T502" i="17" s="1"/>
  <c r="T503" i="17" a="1"/>
  <c r="T503" i="17" s="1"/>
  <c r="T504" i="17" a="1"/>
  <c r="T504" i="17"/>
  <c r="T505" i="17" a="1"/>
  <c r="T505" i="17" s="1"/>
  <c r="T506" i="17" a="1"/>
  <c r="T506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106" i="17" a="1"/>
  <c r="T106" i="17" s="1"/>
  <c r="T123" i="17" a="1"/>
  <c r="T123" i="17" s="1"/>
  <c r="T140" i="17" a="1"/>
  <c r="T140" i="17" s="1"/>
  <c r="T157" i="17" a="1"/>
  <c r="T157" i="17" s="1"/>
  <c r="T178" i="17" a="1"/>
  <c r="T178" i="17" s="1"/>
  <c r="T179" i="17" a="1"/>
  <c r="T179" i="17" s="1"/>
  <c r="T180" i="17" a="1"/>
  <c r="T180" i="17" s="1"/>
  <c r="T225" i="17" a="1"/>
  <c r="T225" i="17" s="1"/>
  <c r="T242" i="17" a="1"/>
  <c r="T242" i="17" s="1"/>
  <c r="T259" i="17" a="1"/>
  <c r="T259" i="17" s="1"/>
  <c r="T276" i="17" a="1"/>
  <c r="T276" i="17" s="1"/>
  <c r="T293" i="17" a="1"/>
  <c r="T293" i="17" s="1"/>
  <c r="T310" i="17" a="1"/>
  <c r="T310" i="17" s="1"/>
  <c r="T327" i="17" a="1"/>
  <c r="T327" i="17"/>
  <c r="T344" i="17" a="1"/>
  <c r="T344" i="17" s="1"/>
  <c r="T361" i="17" a="1"/>
  <c r="T361" i="17" s="1"/>
  <c r="T446" i="17" a="1"/>
  <c r="T446" i="17" s="1"/>
  <c r="T463" i="17" a="1"/>
  <c r="T463" i="17" s="1"/>
  <c r="T480" i="17" a="1"/>
  <c r="T480" i="17" s="1"/>
  <c r="T382" i="17" a="1"/>
  <c r="T382" i="17" s="1"/>
  <c r="T383" i="17" a="1"/>
  <c r="T383" i="17" s="1"/>
  <c r="T384" i="17" a="1"/>
  <c r="T384" i="17" s="1"/>
  <c r="T429" i="17" a="1"/>
  <c r="T429" i="17" s="1"/>
  <c r="T599" i="17" a="1"/>
  <c r="T599" i="17" s="1"/>
  <c r="T616" i="17" a="1"/>
  <c r="T616" i="17" s="1"/>
  <c r="T633" i="17" a="1"/>
  <c r="T633" i="17" s="1"/>
  <c r="T650" i="17" a="1"/>
  <c r="T650" i="17" s="1"/>
  <c r="T667" i="17" a="1"/>
  <c r="T667" i="17" s="1"/>
  <c r="T684" i="17" a="1"/>
  <c r="T684" i="17" s="1"/>
  <c r="T701" i="17" a="1"/>
  <c r="T701" i="17" s="1"/>
  <c r="T717" i="17" a="1"/>
  <c r="T717" i="17" s="1"/>
  <c r="T730" i="17" a="1"/>
  <c r="T730" i="17" s="1"/>
  <c r="T738" i="17" a="1"/>
  <c r="T738" i="17" s="1"/>
  <c r="T755" i="17" a="1"/>
  <c r="T755" i="17" s="1"/>
  <c r="T772" i="17" a="1"/>
  <c r="T772" i="17" s="1"/>
  <c r="T789" i="17" a="1"/>
  <c r="T789" i="17" s="1"/>
  <c r="T806" i="17" a="1"/>
  <c r="T806" i="17"/>
  <c r="T823" i="17" a="1"/>
  <c r="T823" i="17" s="1"/>
  <c r="T840" i="17" a="1"/>
  <c r="T840" i="17" s="1"/>
  <c r="T857" i="17" a="1"/>
  <c r="T857" i="17" s="1"/>
  <c r="T874" i="17" a="1"/>
  <c r="T874" i="17" s="1"/>
  <c r="T891" i="17" a="1"/>
  <c r="T891" i="17" s="1"/>
  <c r="T908" i="17" a="1"/>
  <c r="T908" i="17" s="1"/>
  <c r="T925" i="17" a="1"/>
  <c r="T925" i="17" s="1"/>
  <c r="T942" i="17" a="1"/>
  <c r="T942" i="17" s="1"/>
  <c r="T507" i="17" a="1"/>
  <c r="T507" i="17"/>
  <c r="T508" i="17" a="1"/>
  <c r="T508" i="17" s="1"/>
  <c r="T509" i="17" a="1"/>
  <c r="T509" i="17" s="1"/>
  <c r="T510" i="17" a="1"/>
  <c r="T510" i="17" s="1"/>
  <c r="T511" i="17" a="1"/>
  <c r="T511" i="17" s="1"/>
  <c r="T512" i="17" a="1"/>
  <c r="T512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/>
  <c r="T25" i="17" a="1"/>
  <c r="T25" i="17" s="1"/>
  <c r="T107" i="17" a="1"/>
  <c r="T107" i="17" s="1"/>
  <c r="T124" i="17" a="1"/>
  <c r="T124" i="17" s="1"/>
  <c r="T141" i="17" a="1"/>
  <c r="T141" i="17" s="1"/>
  <c r="T158" i="17" a="1"/>
  <c r="T158" i="17" s="1"/>
  <c r="T181" i="17" a="1"/>
  <c r="T181" i="17" s="1"/>
  <c r="T182" i="17" a="1"/>
  <c r="T182" i="17" s="1"/>
  <c r="T183" i="17" a="1"/>
  <c r="T183" i="17" s="1"/>
  <c r="T226" i="17" a="1"/>
  <c r="T226" i="17" s="1"/>
  <c r="T243" i="17" a="1"/>
  <c r="T243" i="17" s="1"/>
  <c r="T260" i="17" a="1"/>
  <c r="T260" i="17" s="1"/>
  <c r="T277" i="17" a="1"/>
  <c r="T277" i="17" s="1"/>
  <c r="T294" i="17" a="1"/>
  <c r="T294" i="17" s="1"/>
  <c r="T311" i="17" a="1"/>
  <c r="T311" i="17" s="1"/>
  <c r="T328" i="17" a="1"/>
  <c r="T328" i="17" s="1"/>
  <c r="T345" i="17" a="1"/>
  <c r="T345" i="17" s="1"/>
  <c r="T362" i="17" a="1"/>
  <c r="T362" i="17" s="1"/>
  <c r="T447" i="17" a="1"/>
  <c r="T447" i="17" s="1"/>
  <c r="T464" i="17" a="1"/>
  <c r="T464" i="17" s="1"/>
  <c r="T481" i="17" a="1"/>
  <c r="T481" i="17" s="1"/>
  <c r="T385" i="17" a="1"/>
  <c r="T385" i="17" s="1"/>
  <c r="T386" i="17" a="1"/>
  <c r="T386" i="17"/>
  <c r="T387" i="17" a="1"/>
  <c r="T387" i="17" s="1"/>
  <c r="T430" i="17" a="1"/>
  <c r="T430" i="17" s="1"/>
  <c r="T600" i="17" a="1"/>
  <c r="T600" i="17" s="1"/>
  <c r="T617" i="17" a="1"/>
  <c r="T617" i="17" s="1"/>
  <c r="T634" i="17" a="1"/>
  <c r="T634" i="17" s="1"/>
  <c r="T651" i="17" a="1"/>
  <c r="T651" i="17" s="1"/>
  <c r="T668" i="17" a="1"/>
  <c r="T668" i="17" s="1"/>
  <c r="T685" i="17" a="1"/>
  <c r="T685" i="17" s="1"/>
  <c r="T702" i="17" a="1"/>
  <c r="T702" i="17" s="1"/>
  <c r="T718" i="17" a="1"/>
  <c r="T718" i="17" s="1"/>
  <c r="T739" i="17" a="1"/>
  <c r="T739" i="17" s="1"/>
  <c r="T756" i="17" a="1"/>
  <c r="T756" i="17" s="1"/>
  <c r="T773" i="17" a="1"/>
  <c r="T773" i="17" s="1"/>
  <c r="T790" i="17" a="1"/>
  <c r="T790" i="17" s="1"/>
  <c r="T807" i="17" a="1"/>
  <c r="T807" i="17" s="1"/>
  <c r="T824" i="17" a="1"/>
  <c r="T824" i="17" s="1"/>
  <c r="T841" i="17" a="1"/>
  <c r="T841" i="17" s="1"/>
  <c r="T858" i="17" a="1"/>
  <c r="T858" i="17" s="1"/>
  <c r="T875" i="17" a="1"/>
  <c r="T875" i="17" s="1"/>
  <c r="T892" i="17" a="1"/>
  <c r="T892" i="17" s="1"/>
  <c r="T909" i="17" a="1"/>
  <c r="T909" i="17" s="1"/>
  <c r="T926" i="17" a="1"/>
  <c r="T926" i="17" s="1"/>
  <c r="T943" i="17" a="1"/>
  <c r="T943" i="17"/>
  <c r="T513" i="17" a="1"/>
  <c r="T513" i="17" s="1"/>
  <c r="T514" i="17" a="1"/>
  <c r="T514" i="17" s="1"/>
  <c r="T515" i="17" a="1"/>
  <c r="T515" i="17" s="1"/>
  <c r="T516" i="17" a="1"/>
  <c r="T516" i="17" s="1"/>
  <c r="T517" i="17" a="1"/>
  <c r="T517" i="17" s="1"/>
  <c r="T518" i="17" a="1"/>
  <c r="T518" i="17" s="1"/>
  <c r="T26" i="17" a="1"/>
  <c r="T26" i="17" s="1"/>
  <c r="T27" i="17" a="1"/>
  <c r="T27" i="17" s="1"/>
  <c r="T28" i="17" a="1"/>
  <c r="T28" i="17"/>
  <c r="T29" i="17" a="1"/>
  <c r="T29" i="17" s="1"/>
  <c r="T30" i="17" a="1"/>
  <c r="T30" i="17" s="1"/>
  <c r="T31" i="17" a="1"/>
  <c r="T31" i="17" s="1"/>
  <c r="T108" i="17" a="1"/>
  <c r="T108" i="17" s="1"/>
  <c r="T125" i="17" a="1"/>
  <c r="T125" i="17" s="1"/>
  <c r="T142" i="17" a="1"/>
  <c r="T142" i="17" s="1"/>
  <c r="T159" i="17" a="1"/>
  <c r="T159" i="17" s="1"/>
  <c r="T184" i="17" a="1"/>
  <c r="T184" i="17" s="1"/>
  <c r="T185" i="17" a="1"/>
  <c r="T185" i="17" s="1"/>
  <c r="T186" i="17" a="1"/>
  <c r="T186" i="17"/>
  <c r="T227" i="17" a="1"/>
  <c r="T227" i="17" s="1"/>
  <c r="T244" i="17" a="1"/>
  <c r="T244" i="17" s="1"/>
  <c r="T261" i="17" a="1"/>
  <c r="T261" i="17" s="1"/>
  <c r="T278" i="17" a="1"/>
  <c r="T278" i="17" s="1"/>
  <c r="T295" i="17" a="1"/>
  <c r="T295" i="17" s="1"/>
  <c r="T312" i="17" a="1"/>
  <c r="T312" i="17" s="1"/>
  <c r="T329" i="17" a="1"/>
  <c r="T329" i="17" s="1"/>
  <c r="T346" i="17" a="1"/>
  <c r="T346" i="17" s="1"/>
  <c r="T363" i="17" a="1"/>
  <c r="T363" i="17" s="1"/>
  <c r="T448" i="17" a="1"/>
  <c r="T448" i="17" s="1"/>
  <c r="T465" i="17" a="1"/>
  <c r="T465" i="17" s="1"/>
  <c r="T482" i="17" a="1"/>
  <c r="T482" i="17"/>
  <c r="T388" i="17" a="1"/>
  <c r="T388" i="17" s="1"/>
  <c r="T389" i="17" a="1"/>
  <c r="T389" i="17" s="1"/>
  <c r="T390" i="17" a="1"/>
  <c r="T390" i="17" s="1"/>
  <c r="T431" i="17" a="1"/>
  <c r="T431" i="17" s="1"/>
  <c r="T601" i="17" a="1"/>
  <c r="T601" i="17" s="1"/>
  <c r="T618" i="17" a="1"/>
  <c r="T618" i="17" s="1"/>
  <c r="T635" i="17" a="1"/>
  <c r="T635" i="17" s="1"/>
  <c r="T652" i="17" a="1"/>
  <c r="T652" i="17" s="1"/>
  <c r="T669" i="17" a="1"/>
  <c r="T669" i="17" s="1"/>
  <c r="T686" i="17" a="1"/>
  <c r="T686" i="17" s="1"/>
  <c r="T703" i="17" a="1"/>
  <c r="T703" i="17" s="1"/>
  <c r="T719" i="17" a="1"/>
  <c r="T719" i="17"/>
  <c r="T731" i="17" a="1"/>
  <c r="T731" i="17" s="1"/>
  <c r="T740" i="17" a="1"/>
  <c r="T740" i="17" s="1"/>
  <c r="T757" i="17" a="1"/>
  <c r="T757" i="17" s="1"/>
  <c r="T774" i="17" a="1"/>
  <c r="T774" i="17"/>
  <c r="T791" i="17" a="1"/>
  <c r="T791" i="17" s="1"/>
  <c r="T808" i="17" a="1"/>
  <c r="T808" i="17" s="1"/>
  <c r="T825" i="17" a="1"/>
  <c r="T825" i="17" s="1"/>
  <c r="T842" i="17" a="1"/>
  <c r="T842" i="17" s="1"/>
  <c r="T859" i="17" a="1"/>
  <c r="T859" i="17" s="1"/>
  <c r="T876" i="17" a="1"/>
  <c r="T876" i="17" s="1"/>
  <c r="T893" i="17" a="1"/>
  <c r="T893" i="17" s="1"/>
  <c r="T910" i="17" a="1"/>
  <c r="T910" i="17" s="1"/>
  <c r="T927" i="17" a="1"/>
  <c r="T927" i="17" s="1"/>
  <c r="T944" i="17" a="1"/>
  <c r="T944" i="17" s="1"/>
  <c r="T519" i="17" a="1"/>
  <c r="T519" i="17" s="1"/>
  <c r="T520" i="17" a="1"/>
  <c r="T520" i="17" s="1"/>
  <c r="T521" i="17" a="1"/>
  <c r="T521" i="17" s="1"/>
  <c r="T522" i="17" a="1"/>
  <c r="T522" i="17" s="1"/>
  <c r="T523" i="17" a="1"/>
  <c r="T523" i="17" s="1"/>
  <c r="T524" i="17" a="1"/>
  <c r="T524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09" i="17" a="1"/>
  <c r="T109" i="17" s="1"/>
  <c r="T126" i="17" a="1"/>
  <c r="T126" i="17" s="1"/>
  <c r="T143" i="17" a="1"/>
  <c r="T143" i="17" s="1"/>
  <c r="T160" i="17" a="1"/>
  <c r="T160" i="17" s="1"/>
  <c r="T187" i="17" a="1"/>
  <c r="T187" i="17" s="1"/>
  <c r="T188" i="17" a="1"/>
  <c r="T188" i="17" s="1"/>
  <c r="T189" i="17" a="1"/>
  <c r="T189" i="17" s="1"/>
  <c r="T228" i="17" a="1"/>
  <c r="T228" i="17"/>
  <c r="T245" i="17" a="1"/>
  <c r="T245" i="17" s="1"/>
  <c r="T262" i="17" a="1"/>
  <c r="T262" i="17" s="1"/>
  <c r="T279" i="17" a="1"/>
  <c r="T279" i="17" s="1"/>
  <c r="T296" i="17" a="1"/>
  <c r="T296" i="17" s="1"/>
  <c r="T313" i="17" a="1"/>
  <c r="T313" i="17" s="1"/>
  <c r="T330" i="17" a="1"/>
  <c r="T330" i="17" s="1"/>
  <c r="T347" i="17" a="1"/>
  <c r="T347" i="17" s="1"/>
  <c r="T364" i="17" a="1"/>
  <c r="T364" i="17" s="1"/>
  <c r="T449" i="17" a="1"/>
  <c r="T449" i="17" s="1"/>
  <c r="T466" i="17" a="1"/>
  <c r="T466" i="17" s="1"/>
  <c r="T483" i="17" a="1"/>
  <c r="T483" i="17" s="1"/>
  <c r="T391" i="17" a="1"/>
  <c r="T391" i="17" s="1"/>
  <c r="T392" i="17" a="1"/>
  <c r="T392" i="17" s="1"/>
  <c r="T393" i="17" a="1"/>
  <c r="T393" i="17" s="1"/>
  <c r="T432" i="17" a="1"/>
  <c r="T432" i="17" s="1"/>
  <c r="T602" i="17" a="1"/>
  <c r="T602" i="17" s="1"/>
  <c r="T619" i="17" a="1"/>
  <c r="T619" i="17" s="1"/>
  <c r="T636" i="17" a="1"/>
  <c r="T636" i="17" s="1"/>
  <c r="T653" i="17" a="1"/>
  <c r="T653" i="17" s="1"/>
  <c r="T670" i="17" a="1"/>
  <c r="T670" i="17" s="1"/>
  <c r="T687" i="17" a="1"/>
  <c r="T687" i="17" s="1"/>
  <c r="T704" i="17" a="1"/>
  <c r="T704" i="17" s="1"/>
  <c r="T720" i="17" a="1"/>
  <c r="T720" i="17" s="1"/>
  <c r="T741" i="17" a="1"/>
  <c r="T741" i="17" s="1"/>
  <c r="T758" i="17" a="1"/>
  <c r="T758" i="17" s="1"/>
  <c r="T775" i="17" a="1"/>
  <c r="T775" i="17" s="1"/>
  <c r="T792" i="17" a="1"/>
  <c r="T792" i="17" s="1"/>
  <c r="T809" i="17" a="1"/>
  <c r="T809" i="17" s="1"/>
  <c r="T826" i="17" a="1"/>
  <c r="T826" i="17" s="1"/>
  <c r="T843" i="17" a="1"/>
  <c r="T843" i="17" s="1"/>
  <c r="T860" i="17" a="1"/>
  <c r="T860" i="17" s="1"/>
  <c r="T877" i="17" a="1"/>
  <c r="T877" i="17"/>
  <c r="T894" i="17" a="1"/>
  <c r="T894" i="17" s="1"/>
  <c r="T911" i="17" a="1"/>
  <c r="T911" i="17" s="1"/>
  <c r="T928" i="17" a="1"/>
  <c r="T928" i="17" s="1"/>
  <c r="T945" i="17" a="1"/>
  <c r="T945" i="17" s="1"/>
  <c r="T525" i="17" a="1"/>
  <c r="T525" i="17" s="1"/>
  <c r="T526" i="17" a="1"/>
  <c r="T526" i="17" s="1"/>
  <c r="T527" i="17" a="1"/>
  <c r="T527" i="17" s="1"/>
  <c r="T528" i="17" a="1"/>
  <c r="T528" i="17" s="1"/>
  <c r="T529" i="17" a="1"/>
  <c r="T529" i="17" s="1"/>
  <c r="T530" i="17" a="1"/>
  <c r="T530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10" i="17" a="1"/>
  <c r="T110" i="17" s="1"/>
  <c r="T127" i="17" a="1"/>
  <c r="T127" i="17" s="1"/>
  <c r="T144" i="17" a="1"/>
  <c r="T144" i="17" s="1"/>
  <c r="T161" i="17" a="1"/>
  <c r="T161" i="17" s="1"/>
  <c r="T190" i="17" a="1"/>
  <c r="T190" i="17" s="1"/>
  <c r="T191" i="17" a="1"/>
  <c r="T191" i="17" s="1"/>
  <c r="T192" i="17" a="1"/>
  <c r="T192" i="17" s="1"/>
  <c r="T229" i="17" a="1"/>
  <c r="T229" i="17"/>
  <c r="T246" i="17" a="1"/>
  <c r="T246" i="17" s="1"/>
  <c r="T263" i="17" a="1"/>
  <c r="T263" i="17" s="1"/>
  <c r="T280" i="17" a="1"/>
  <c r="T280" i="17" s="1"/>
  <c r="T297" i="17" a="1"/>
  <c r="T297" i="17" s="1"/>
  <c r="T314" i="17" a="1"/>
  <c r="T314" i="17" s="1"/>
  <c r="T331" i="17" a="1"/>
  <c r="T331" i="17" s="1"/>
  <c r="T348" i="17" a="1"/>
  <c r="T348" i="17" s="1"/>
  <c r="T365" i="17" a="1"/>
  <c r="T365" i="17"/>
  <c r="T450" i="17" a="1"/>
  <c r="T450" i="17" s="1"/>
  <c r="T467" i="17" a="1"/>
  <c r="T467" i="17" s="1"/>
  <c r="T484" i="17" a="1"/>
  <c r="T484" i="17" s="1"/>
  <c r="T394" i="17" a="1"/>
  <c r="T394" i="17" s="1"/>
  <c r="T395" i="17" a="1"/>
  <c r="T395" i="17" s="1"/>
  <c r="T396" i="17" a="1"/>
  <c r="T396" i="17" s="1"/>
  <c r="T433" i="17" a="1"/>
  <c r="T433" i="17" s="1"/>
  <c r="T603" i="17" a="1"/>
  <c r="T603" i="17" s="1"/>
  <c r="T620" i="17" a="1"/>
  <c r="T620" i="17" s="1"/>
  <c r="T637" i="17" a="1"/>
  <c r="T637" i="17" s="1"/>
  <c r="T654" i="17" a="1"/>
  <c r="T654" i="17" s="1"/>
  <c r="T671" i="17" a="1"/>
  <c r="T671" i="17" s="1"/>
  <c r="T688" i="17" a="1"/>
  <c r="T688" i="17" s="1"/>
  <c r="T705" i="17" a="1"/>
  <c r="T705" i="17" s="1"/>
  <c r="T721" i="17" a="1"/>
  <c r="T721" i="17" s="1"/>
  <c r="T732" i="17" a="1"/>
  <c r="T732" i="17" s="1"/>
  <c r="T742" i="17" a="1"/>
  <c r="T742" i="17" s="1"/>
  <c r="T759" i="17" a="1"/>
  <c r="T759" i="17" s="1"/>
  <c r="T776" i="17" a="1"/>
  <c r="T776" i="17" s="1"/>
  <c r="T793" i="17" a="1"/>
  <c r="T793" i="17" s="1"/>
  <c r="T810" i="17" a="1"/>
  <c r="T810" i="17" s="1"/>
  <c r="T827" i="17" a="1"/>
  <c r="T827" i="17" s="1"/>
  <c r="T844" i="17" a="1"/>
  <c r="T844" i="17" s="1"/>
  <c r="T861" i="17" a="1"/>
  <c r="T861" i="17" s="1"/>
  <c r="T878" i="17" a="1"/>
  <c r="T878" i="17" s="1"/>
  <c r="T895" i="17" a="1"/>
  <c r="T895" i="17" s="1"/>
  <c r="T912" i="17" a="1"/>
  <c r="T912" i="17" s="1"/>
  <c r="T929" i="17" a="1"/>
  <c r="T929" i="17" s="1"/>
  <c r="T946" i="17" a="1"/>
  <c r="T946" i="17" s="1"/>
  <c r="T531" i="17" a="1"/>
  <c r="T531" i="17" s="1"/>
  <c r="T532" i="17" a="1"/>
  <c r="T532" i="17" s="1"/>
  <c r="T533" i="17" a="1"/>
  <c r="T533" i="17" s="1"/>
  <c r="T534" i="17" a="1"/>
  <c r="T534" i="17"/>
  <c r="T535" i="17" a="1"/>
  <c r="T535" i="17" s="1"/>
  <c r="T536" i="17" a="1"/>
  <c r="T536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11" i="17" a="1"/>
  <c r="T111" i="17" s="1"/>
  <c r="T128" i="17" a="1"/>
  <c r="T128" i="17" s="1"/>
  <c r="T145" i="17" a="1"/>
  <c r="T145" i="17" s="1"/>
  <c r="T162" i="17" a="1"/>
  <c r="T162" i="17" s="1"/>
  <c r="T193" i="17" a="1"/>
  <c r="T193" i="17" s="1"/>
  <c r="T194" i="17" a="1"/>
  <c r="T194" i="17" s="1"/>
  <c r="T195" i="17" a="1"/>
  <c r="T195" i="17" s="1"/>
  <c r="T230" i="17" a="1"/>
  <c r="T230" i="17" s="1"/>
  <c r="T247" i="17" a="1"/>
  <c r="T247" i="17" s="1"/>
  <c r="T264" i="17" a="1"/>
  <c r="T264" i="17" s="1"/>
  <c r="T281" i="17" a="1"/>
  <c r="T281" i="17" s="1"/>
  <c r="T298" i="17" a="1"/>
  <c r="T298" i="17"/>
  <c r="T315" i="17" a="1"/>
  <c r="T315" i="17" s="1"/>
  <c r="T332" i="17" a="1"/>
  <c r="T332" i="17"/>
  <c r="T349" i="17" a="1"/>
  <c r="T349" i="17" s="1"/>
  <c r="T366" i="17" a="1"/>
  <c r="T366" i="17" s="1"/>
  <c r="T451" i="17" a="1"/>
  <c r="T451" i="17" s="1"/>
  <c r="T468" i="17" a="1"/>
  <c r="T468" i="17" s="1"/>
  <c r="T485" i="17" a="1"/>
  <c r="T485" i="17" s="1"/>
  <c r="T397" i="17" a="1"/>
  <c r="T397" i="17" s="1"/>
  <c r="T398" i="17" a="1"/>
  <c r="T398" i="17" s="1"/>
  <c r="T399" i="17" a="1"/>
  <c r="T399" i="17" s="1"/>
  <c r="T434" i="17" a="1"/>
  <c r="T434" i="17" s="1"/>
  <c r="T604" i="17" a="1"/>
  <c r="T604" i="17"/>
  <c r="T621" i="17" a="1"/>
  <c r="T621" i="17" s="1"/>
  <c r="T638" i="17" a="1"/>
  <c r="T638" i="17" s="1"/>
  <c r="T655" i="17" a="1"/>
  <c r="T655" i="17" s="1"/>
  <c r="T672" i="17" a="1"/>
  <c r="T672" i="17" s="1"/>
  <c r="T689" i="17" a="1"/>
  <c r="T689" i="17" s="1"/>
  <c r="T706" i="17" a="1"/>
  <c r="T706" i="17" s="1"/>
  <c r="T722" i="17" a="1"/>
  <c r="T722" i="17" s="1"/>
  <c r="T733" i="17" a="1"/>
  <c r="T733" i="17" s="1"/>
  <c r="T743" i="17" a="1"/>
  <c r="T743" i="17" s="1"/>
  <c r="T760" i="17" a="1"/>
  <c r="T760" i="17" s="1"/>
  <c r="T777" i="17" a="1"/>
  <c r="T777" i="17" s="1"/>
  <c r="T794" i="17" a="1"/>
  <c r="T794" i="17" s="1"/>
  <c r="T811" i="17" a="1"/>
  <c r="T811" i="17" s="1"/>
  <c r="T828" i="17" a="1"/>
  <c r="T828" i="17" s="1"/>
  <c r="T845" i="17" a="1"/>
  <c r="T845" i="17" s="1"/>
  <c r="T862" i="17" a="1"/>
  <c r="T862" i="17" s="1"/>
  <c r="T879" i="17" a="1"/>
  <c r="T879" i="17" s="1"/>
  <c r="T896" i="17" a="1"/>
  <c r="T896" i="17" s="1"/>
  <c r="T913" i="17" a="1"/>
  <c r="T913" i="17" s="1"/>
  <c r="T930" i="17" a="1"/>
  <c r="T930" i="17" s="1"/>
  <c r="T947" i="17" a="1"/>
  <c r="T947" i="17" s="1"/>
  <c r="T537" i="17" a="1"/>
  <c r="T537" i="17"/>
  <c r="T538" i="17" a="1"/>
  <c r="T538" i="17" s="1"/>
  <c r="T539" i="17" a="1"/>
  <c r="T539" i="17" s="1"/>
  <c r="T540" i="17" a="1"/>
  <c r="T540" i="17" s="1"/>
  <c r="T541" i="17" a="1"/>
  <c r="T541" i="17" s="1"/>
  <c r="T542" i="17" a="1"/>
  <c r="T542" i="17" s="1"/>
  <c r="T50" i="17" a="1"/>
  <c r="T50" i="17" s="1"/>
  <c r="T51" i="17" a="1"/>
  <c r="T51" i="17" s="1"/>
  <c r="T52" i="17" a="1"/>
  <c r="T52" i="17" s="1"/>
  <c r="T53" i="17" a="1"/>
  <c r="T53" i="17"/>
  <c r="T54" i="17" a="1"/>
  <c r="T54" i="17" s="1"/>
  <c r="T55" i="17" a="1"/>
  <c r="T55" i="17" s="1"/>
  <c r="T112" i="17" a="1"/>
  <c r="T112" i="17"/>
  <c r="T129" i="17" a="1"/>
  <c r="T129" i="17" s="1"/>
  <c r="T146" i="17" a="1"/>
  <c r="T146" i="17" s="1"/>
  <c r="T163" i="17" a="1"/>
  <c r="T163" i="17" s="1"/>
  <c r="T196" i="17" a="1"/>
  <c r="T196" i="17" s="1"/>
  <c r="T197" i="17" a="1"/>
  <c r="T197" i="17" s="1"/>
  <c r="T198" i="17" a="1"/>
  <c r="T198" i="17"/>
  <c r="T231" i="17" a="1"/>
  <c r="T231" i="17" s="1"/>
  <c r="T248" i="17" a="1"/>
  <c r="T248" i="17" s="1"/>
  <c r="T265" i="17" a="1"/>
  <c r="T265" i="17" s="1"/>
  <c r="T282" i="17" a="1"/>
  <c r="T282" i="17" s="1"/>
  <c r="T299" i="17" a="1"/>
  <c r="T299" i="17" s="1"/>
  <c r="T316" i="17" a="1"/>
  <c r="T316" i="17"/>
  <c r="T333" i="17" a="1"/>
  <c r="T333" i="17" s="1"/>
  <c r="T350" i="17" a="1"/>
  <c r="T350" i="17" s="1"/>
  <c r="T367" i="17" a="1"/>
  <c r="T367" i="17" s="1"/>
  <c r="T452" i="17" a="1"/>
  <c r="T452" i="17" s="1"/>
  <c r="T469" i="17" a="1"/>
  <c r="T469" i="17" s="1"/>
  <c r="T486" i="17" a="1"/>
  <c r="T486" i="17" s="1"/>
  <c r="T400" i="17" a="1"/>
  <c r="T400" i="17" s="1"/>
  <c r="T401" i="17" a="1"/>
  <c r="T401" i="17" s="1"/>
  <c r="T402" i="17" a="1"/>
  <c r="T402" i="17" s="1"/>
  <c r="T435" i="17" a="1"/>
  <c r="T435" i="17" s="1"/>
  <c r="T605" i="17" a="1"/>
  <c r="T605" i="17" s="1"/>
  <c r="T622" i="17" a="1"/>
  <c r="T622" i="17" s="1"/>
  <c r="T639" i="17" a="1"/>
  <c r="T639" i="17" s="1"/>
  <c r="T656" i="17" a="1"/>
  <c r="T656" i="17" s="1"/>
  <c r="T673" i="17" a="1"/>
  <c r="T673" i="17" s="1"/>
  <c r="T690" i="17" a="1"/>
  <c r="T690" i="17" s="1"/>
  <c r="T707" i="17" a="1"/>
  <c r="T707" i="17"/>
  <c r="T744" i="17" a="1"/>
  <c r="T744" i="17" s="1"/>
  <c r="T761" i="17" a="1"/>
  <c r="T761" i="17" s="1"/>
  <c r="T778" i="17" a="1"/>
  <c r="T778" i="17" s="1"/>
  <c r="T795" i="17" a="1"/>
  <c r="T795" i="17" s="1"/>
  <c r="T812" i="17" a="1"/>
  <c r="T812" i="17" s="1"/>
  <c r="T829" i="17" a="1"/>
  <c r="T829" i="17" s="1"/>
  <c r="T846" i="17" a="1"/>
  <c r="T846" i="17" s="1"/>
  <c r="T863" i="17" a="1"/>
  <c r="T863" i="17" s="1"/>
  <c r="T880" i="17" a="1"/>
  <c r="T880" i="17"/>
  <c r="T897" i="17" a="1"/>
  <c r="T897" i="17" s="1"/>
  <c r="T914" i="17" a="1"/>
  <c r="T914" i="17" s="1"/>
  <c r="T931" i="17" a="1"/>
  <c r="T931" i="17"/>
  <c r="T948" i="17" a="1"/>
  <c r="T948" i="17" s="1"/>
  <c r="T543" i="17" a="1"/>
  <c r="T543" i="17" s="1"/>
  <c r="T544" i="17" a="1"/>
  <c r="T544" i="17"/>
  <c r="T545" i="17" a="1"/>
  <c r="T545" i="17" s="1"/>
  <c r="T546" i="17" a="1"/>
  <c r="T546" i="17" s="1"/>
  <c r="T547" i="17" a="1"/>
  <c r="T547" i="17" s="1"/>
  <c r="T548" i="17" a="1"/>
  <c r="T548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/>
  <c r="T61" i="17" a="1"/>
  <c r="T61" i="17" s="1"/>
  <c r="T113" i="17" a="1"/>
  <c r="T113" i="17" s="1"/>
  <c r="T130" i="17" a="1"/>
  <c r="T130" i="17" s="1"/>
  <c r="T147" i="17" a="1"/>
  <c r="T147" i="17" s="1"/>
  <c r="T164" i="17" a="1"/>
  <c r="T164" i="17" s="1"/>
  <c r="T199" i="17" a="1"/>
  <c r="T199" i="17" s="1"/>
  <c r="T200" i="17" a="1"/>
  <c r="T200" i="17" s="1"/>
  <c r="T201" i="17" a="1"/>
  <c r="T201" i="17" s="1"/>
  <c r="T232" i="17" a="1"/>
  <c r="T232" i="17" s="1"/>
  <c r="T249" i="17" a="1"/>
  <c r="T249" i="17" s="1"/>
  <c r="T266" i="17" a="1"/>
  <c r="T266" i="17" s="1"/>
  <c r="T283" i="17" a="1"/>
  <c r="T283" i="17" s="1"/>
  <c r="T300" i="17" a="1"/>
  <c r="T300" i="17" s="1"/>
  <c r="T317" i="17" a="1"/>
  <c r="T317" i="17" s="1"/>
  <c r="T334" i="17" a="1"/>
  <c r="T334" i="17" s="1"/>
  <c r="T351" i="17" a="1"/>
  <c r="T351" i="17" s="1"/>
  <c r="T368" i="17" a="1"/>
  <c r="T368" i="17" s="1"/>
  <c r="T453" i="17" a="1"/>
  <c r="T453" i="17" s="1"/>
  <c r="T470" i="17" a="1"/>
  <c r="T470" i="17"/>
  <c r="T487" i="17" a="1"/>
  <c r="T487" i="17" s="1"/>
  <c r="T403" i="17" a="1"/>
  <c r="T403" i="17" s="1"/>
  <c r="T404" i="17" a="1"/>
  <c r="T404" i="17" s="1"/>
  <c r="T405" i="17" a="1"/>
  <c r="T405" i="17" s="1"/>
  <c r="T436" i="17" a="1"/>
  <c r="T436" i="17" s="1"/>
  <c r="T606" i="17" a="1"/>
  <c r="T606" i="17" s="1"/>
  <c r="T623" i="17" a="1"/>
  <c r="T623" i="17" s="1"/>
  <c r="T640" i="17" a="1"/>
  <c r="T640" i="17" s="1"/>
  <c r="T657" i="17" a="1"/>
  <c r="T657" i="17" s="1"/>
  <c r="T674" i="17" a="1"/>
  <c r="T674" i="17" s="1"/>
  <c r="T691" i="17" a="1"/>
  <c r="T691" i="17" s="1"/>
  <c r="T708" i="17" a="1"/>
  <c r="T708" i="17" s="1"/>
  <c r="T745" i="17" a="1"/>
  <c r="T745" i="17" s="1"/>
  <c r="T762" i="17" a="1"/>
  <c r="T762" i="17" s="1"/>
  <c r="T779" i="17" a="1"/>
  <c r="T779" i="17" s="1"/>
  <c r="T796" i="17" a="1"/>
  <c r="T796" i="17" s="1"/>
  <c r="T813" i="17" a="1"/>
  <c r="T813" i="17"/>
  <c r="T830" i="17" a="1"/>
  <c r="T830" i="17" s="1"/>
  <c r="T847" i="17" a="1"/>
  <c r="T847" i="17" s="1"/>
  <c r="T864" i="17" a="1"/>
  <c r="T864" i="17" s="1"/>
  <c r="T881" i="17" a="1"/>
  <c r="T881" i="17" s="1"/>
  <c r="T898" i="17" a="1"/>
  <c r="T898" i="17" s="1"/>
  <c r="T915" i="17" a="1"/>
  <c r="T915" i="17" s="1"/>
  <c r="T932" i="17" a="1"/>
  <c r="T932" i="17"/>
  <c r="T949" i="17" a="1"/>
  <c r="T949" i="17" s="1"/>
  <c r="T549" i="17" a="1"/>
  <c r="T549" i="17"/>
  <c r="T550" i="17" a="1"/>
  <c r="T550" i="17" s="1"/>
  <c r="T551" i="17" a="1"/>
  <c r="T551" i="17" s="1"/>
  <c r="T552" i="17" a="1"/>
  <c r="T552" i="17" s="1"/>
  <c r="T553" i="17" a="1"/>
  <c r="T553" i="17" s="1"/>
  <c r="T554" i="17" a="1"/>
  <c r="T554" i="17" s="1"/>
  <c r="T62" i="17" a="1"/>
  <c r="T62" i="17" s="1"/>
  <c r="T63" i="17" a="1"/>
  <c r="T63" i="17"/>
  <c r="T64" i="17" a="1"/>
  <c r="T64" i="17" s="1"/>
  <c r="T65" i="17" a="1"/>
  <c r="T65" i="17" s="1"/>
  <c r="T66" i="17" a="1"/>
  <c r="T66" i="17" s="1"/>
  <c r="T67" i="17" a="1"/>
  <c r="T67" i="17" s="1"/>
  <c r="T114" i="17" a="1"/>
  <c r="T114" i="17" s="1"/>
  <c r="T131" i="17" a="1"/>
  <c r="T131" i="17" s="1"/>
  <c r="T148" i="17" a="1"/>
  <c r="T148" i="17"/>
  <c r="T165" i="17" a="1"/>
  <c r="T165" i="17" s="1"/>
  <c r="T202" i="17" a="1"/>
  <c r="T202" i="17" s="1"/>
  <c r="T203" i="17" a="1"/>
  <c r="T203" i="17" s="1"/>
  <c r="T204" i="17" a="1"/>
  <c r="T204" i="17" s="1"/>
  <c r="T233" i="17" a="1"/>
  <c r="T233" i="17" s="1"/>
  <c r="T250" i="17" a="1"/>
  <c r="T250" i="17" s="1"/>
  <c r="T267" i="17" a="1"/>
  <c r="T267" i="17" s="1"/>
  <c r="T284" i="17" a="1"/>
  <c r="T284" i="17" s="1"/>
  <c r="T301" i="17" a="1"/>
  <c r="T301" i="17" s="1"/>
  <c r="T318" i="17" a="1"/>
  <c r="T318" i="17" s="1"/>
  <c r="T335" i="17" a="1"/>
  <c r="T335" i="17" s="1"/>
  <c r="T352" i="17" a="1"/>
  <c r="T352" i="17" s="1"/>
  <c r="T369" i="17" a="1"/>
  <c r="T369" i="17" s="1"/>
  <c r="T454" i="17" a="1"/>
  <c r="T454" i="17" s="1"/>
  <c r="T471" i="17" a="1"/>
  <c r="T471" i="17" s="1"/>
  <c r="T488" i="17" a="1"/>
  <c r="T488" i="17" s="1"/>
  <c r="T406" i="17" a="1"/>
  <c r="T406" i="17" s="1"/>
  <c r="T407" i="17" a="1"/>
  <c r="T407" i="17"/>
  <c r="T408" i="17" a="1"/>
  <c r="T408" i="17" s="1"/>
  <c r="T437" i="17" a="1"/>
  <c r="T437" i="17" s="1"/>
  <c r="T607" i="17" a="1"/>
  <c r="T607" i="17" s="1"/>
  <c r="T624" i="17" a="1"/>
  <c r="T624" i="17" s="1"/>
  <c r="T641" i="17" a="1"/>
  <c r="T641" i="17" s="1"/>
  <c r="T658" i="17" a="1"/>
  <c r="T658" i="17" s="1"/>
  <c r="T675" i="17" a="1"/>
  <c r="T675" i="17" s="1"/>
  <c r="T692" i="17" a="1"/>
  <c r="T692" i="17" s="1"/>
  <c r="T709" i="17" a="1"/>
  <c r="T709" i="17" s="1"/>
  <c r="T723" i="17" a="1"/>
  <c r="T723" i="17" s="1"/>
  <c r="T734" i="17" a="1"/>
  <c r="T734" i="17" s="1"/>
  <c r="T746" i="17" a="1"/>
  <c r="T746" i="17" s="1"/>
  <c r="T763" i="17" a="1"/>
  <c r="T763" i="17" s="1"/>
  <c r="T780" i="17" a="1"/>
  <c r="T780" i="17" s="1"/>
  <c r="T797" i="17" a="1"/>
  <c r="T797" i="17"/>
  <c r="T814" i="17" a="1"/>
  <c r="T814" i="17" s="1"/>
  <c r="T831" i="17" a="1"/>
  <c r="T831" i="17" s="1"/>
  <c r="T848" i="17" a="1"/>
  <c r="T848" i="17" s="1"/>
  <c r="T865" i="17" a="1"/>
  <c r="T865" i="17" s="1"/>
  <c r="T882" i="17" a="1"/>
  <c r="T882" i="17" s="1"/>
  <c r="T899" i="17" a="1"/>
  <c r="T899" i="17" s="1"/>
  <c r="T916" i="17" a="1"/>
  <c r="T916" i="17" s="1"/>
  <c r="T933" i="17" a="1"/>
  <c r="T933" i="17" s="1"/>
  <c r="T950" i="17" a="1"/>
  <c r="T950" i="17"/>
  <c r="T555" i="17" a="1"/>
  <c r="T555" i="17" s="1"/>
  <c r="T556" i="17" a="1"/>
  <c r="T556" i="17" s="1"/>
  <c r="T557" i="17" a="1"/>
  <c r="T557" i="17" s="1"/>
  <c r="T558" i="17" a="1"/>
  <c r="T558" i="17" s="1"/>
  <c r="T559" i="17" a="1"/>
  <c r="T559" i="17" s="1"/>
  <c r="T560" i="17" a="1"/>
  <c r="T560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15" i="17" a="1"/>
  <c r="T115" i="17" s="1"/>
  <c r="T132" i="17" a="1"/>
  <c r="T132" i="17" s="1"/>
  <c r="T149" i="17" a="1"/>
  <c r="T149" i="17" s="1"/>
  <c r="T166" i="17" a="1"/>
  <c r="T166" i="17" s="1"/>
  <c r="T205" i="17" a="1"/>
  <c r="T205" i="17" s="1"/>
  <c r="T206" i="17" a="1"/>
  <c r="T206" i="17" s="1"/>
  <c r="T207" i="17" a="1"/>
  <c r="T207" i="17" s="1"/>
  <c r="T234" i="17" a="1"/>
  <c r="T234" i="17" s="1"/>
  <c r="T251" i="17" a="1"/>
  <c r="T251" i="17" s="1"/>
  <c r="T268" i="17" a="1"/>
  <c r="T268" i="17" s="1"/>
  <c r="T285" i="17" a="1"/>
  <c r="T285" i="17" s="1"/>
  <c r="T302" i="17" a="1"/>
  <c r="T302" i="17" s="1"/>
  <c r="T319" i="17" a="1"/>
  <c r="T319" i="17" s="1"/>
  <c r="T336" i="17" a="1"/>
  <c r="T336" i="17" s="1"/>
  <c r="T353" i="17" a="1"/>
  <c r="T353" i="17" s="1"/>
  <c r="T370" i="17" a="1"/>
  <c r="T370" i="17" s="1"/>
  <c r="T455" i="17" a="1"/>
  <c r="T455" i="17" s="1"/>
  <c r="T472" i="17" a="1"/>
  <c r="T472" i="17" s="1"/>
  <c r="T489" i="17" a="1"/>
  <c r="T489" i="17" s="1"/>
  <c r="T409" i="17" a="1"/>
  <c r="T409" i="17" s="1"/>
  <c r="T410" i="17" a="1"/>
  <c r="T410" i="17" s="1"/>
  <c r="T411" i="17" a="1"/>
  <c r="T411" i="17" s="1"/>
  <c r="T438" i="17" a="1"/>
  <c r="T438" i="17" s="1"/>
  <c r="T608" i="17" a="1"/>
  <c r="T608" i="17" s="1"/>
  <c r="T625" i="17" a="1"/>
  <c r="T625" i="17" s="1"/>
  <c r="T642" i="17" a="1"/>
  <c r="T642" i="17"/>
  <c r="T659" i="17" a="1"/>
  <c r="T659" i="17" s="1"/>
  <c r="T676" i="17" a="1"/>
  <c r="T676" i="17" s="1"/>
  <c r="T693" i="17" a="1"/>
  <c r="T693" i="17" s="1"/>
  <c r="T710" i="17" a="1"/>
  <c r="T710" i="17" s="1"/>
  <c r="T724" i="17" a="1"/>
  <c r="T724" i="17" s="1"/>
  <c r="T747" i="17" a="1"/>
  <c r="T747" i="17" s="1"/>
  <c r="T764" i="17" a="1"/>
  <c r="T764" i="17" s="1"/>
  <c r="T781" i="17" a="1"/>
  <c r="T781" i="17" s="1"/>
  <c r="T798" i="17" a="1"/>
  <c r="T798" i="17" s="1"/>
  <c r="T815" i="17" a="1"/>
  <c r="T815" i="17" s="1"/>
  <c r="T832" i="17" a="1"/>
  <c r="T832" i="17" s="1"/>
  <c r="T849" i="17" a="1"/>
  <c r="T849" i="17" s="1"/>
  <c r="T866" i="17" a="1"/>
  <c r="T866" i="17" s="1"/>
  <c r="T883" i="17" a="1"/>
  <c r="T883" i="17" s="1"/>
  <c r="T900" i="17" a="1"/>
  <c r="T900" i="17" s="1"/>
  <c r="T917" i="17" a="1"/>
  <c r="T917" i="17" s="1"/>
  <c r="T934" i="17" a="1"/>
  <c r="T934" i="17" s="1"/>
  <c r="T951" i="17" a="1"/>
  <c r="T951" i="17" s="1"/>
  <c r="T561" i="17" a="1"/>
  <c r="T561" i="17" s="1"/>
  <c r="T562" i="17" a="1"/>
  <c r="T562" i="17" s="1"/>
  <c r="T563" i="17" a="1"/>
  <c r="T563" i="17" s="1"/>
  <c r="T564" i="17" a="1"/>
  <c r="T564" i="17" s="1"/>
  <c r="T565" i="17" a="1"/>
  <c r="T565" i="17" s="1"/>
  <c r="T566" i="17" a="1"/>
  <c r="T566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16" i="17" a="1"/>
  <c r="T116" i="17" s="1"/>
  <c r="T133" i="17" a="1"/>
  <c r="T133" i="17" s="1"/>
  <c r="T150" i="17" a="1"/>
  <c r="T150" i="17" s="1"/>
  <c r="T167" i="17" a="1"/>
  <c r="T167" i="17"/>
  <c r="T208" i="17" a="1"/>
  <c r="T208" i="17" s="1"/>
  <c r="T209" i="17" a="1"/>
  <c r="T209" i="17" s="1"/>
  <c r="T210" i="17" a="1"/>
  <c r="T210" i="17" s="1"/>
  <c r="T235" i="17" a="1"/>
  <c r="T235" i="17" s="1"/>
  <c r="T252" i="17" a="1"/>
  <c r="T252" i="17" s="1"/>
  <c r="T269" i="17" a="1"/>
  <c r="T269" i="17" s="1"/>
  <c r="T286" i="17" a="1"/>
  <c r="T286" i="17"/>
  <c r="T303" i="17" a="1"/>
  <c r="T303" i="17" s="1"/>
  <c r="T320" i="17" a="1"/>
  <c r="T320" i="17" s="1"/>
  <c r="T337" i="17" a="1"/>
  <c r="T337" i="17" s="1"/>
  <c r="T354" i="17" a="1"/>
  <c r="T354" i="17" s="1"/>
  <c r="T371" i="17" a="1"/>
  <c r="T371" i="17" s="1"/>
  <c r="T456" i="17" a="1"/>
  <c r="T456" i="17" s="1"/>
  <c r="T473" i="17" a="1"/>
  <c r="T473" i="17"/>
  <c r="T490" i="17" a="1"/>
  <c r="T490" i="17" s="1"/>
  <c r="T412" i="17" a="1"/>
  <c r="T412" i="17"/>
  <c r="T413" i="17" a="1"/>
  <c r="T413" i="17" s="1"/>
  <c r="T414" i="17" a="1"/>
  <c r="T414" i="17" s="1"/>
  <c r="T439" i="17" a="1"/>
  <c r="T439" i="17" s="1"/>
  <c r="T609" i="17" a="1"/>
  <c r="T609" i="17" s="1"/>
  <c r="T626" i="17" a="1"/>
  <c r="T626" i="17" s="1"/>
  <c r="T643" i="17" a="1"/>
  <c r="T643" i="17" s="1"/>
  <c r="T660" i="17" a="1"/>
  <c r="T660" i="17" s="1"/>
  <c r="T677" i="17" a="1"/>
  <c r="T677" i="17" s="1"/>
  <c r="T694" i="17" a="1"/>
  <c r="T694" i="17" s="1"/>
  <c r="T711" i="17" a="1"/>
  <c r="T711" i="17" s="1"/>
  <c r="T748" i="17" a="1"/>
  <c r="T748" i="17" s="1"/>
  <c r="T765" i="17" a="1"/>
  <c r="T765" i="17" s="1"/>
  <c r="T782" i="17" a="1"/>
  <c r="T782" i="17" s="1"/>
  <c r="T799" i="17" a="1"/>
  <c r="T799" i="17" s="1"/>
  <c r="T816" i="17" a="1"/>
  <c r="T816" i="17" s="1"/>
  <c r="T833" i="17" a="1"/>
  <c r="T833" i="17"/>
  <c r="T850" i="17" a="1"/>
  <c r="T850" i="17" s="1"/>
  <c r="T867" i="17" a="1"/>
  <c r="T867" i="17" s="1"/>
  <c r="T884" i="17" a="1"/>
  <c r="T884" i="17" s="1"/>
  <c r="T901" i="17" a="1"/>
  <c r="T901" i="17" s="1"/>
  <c r="T918" i="17" a="1"/>
  <c r="T918" i="17" s="1"/>
  <c r="T935" i="17" a="1"/>
  <c r="T935" i="17"/>
  <c r="T952" i="17" a="1"/>
  <c r="T952" i="17" s="1"/>
  <c r="T567" i="17" a="1"/>
  <c r="T567" i="17" s="1"/>
  <c r="T568" i="17" a="1"/>
  <c r="T568" i="17" s="1"/>
  <c r="T569" i="17" a="1"/>
  <c r="T569" i="17" s="1"/>
  <c r="T570" i="17" a="1"/>
  <c r="T570" i="17" s="1"/>
  <c r="T571" i="17" a="1"/>
  <c r="T571" i="17" s="1"/>
  <c r="T572" i="17" a="1"/>
  <c r="T572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17" i="17" a="1"/>
  <c r="T117" i="17" s="1"/>
  <c r="T134" i="17" a="1"/>
  <c r="T134" i="17" s="1"/>
  <c r="T151" i="17" a="1"/>
  <c r="T151" i="17" s="1"/>
  <c r="T168" i="17" a="1"/>
  <c r="T168" i="17"/>
  <c r="T211" i="17" a="1"/>
  <c r="T211" i="17" s="1"/>
  <c r="T212" i="17" a="1"/>
  <c r="T212" i="17" s="1"/>
  <c r="T213" i="17" a="1"/>
  <c r="T213" i="17" s="1"/>
  <c r="T236" i="17" a="1"/>
  <c r="T236" i="17" s="1"/>
  <c r="T253" i="17" a="1"/>
  <c r="T253" i="17" s="1"/>
  <c r="T270" i="17" a="1"/>
  <c r="T270" i="17" s="1"/>
  <c r="T287" i="17" a="1"/>
  <c r="T287" i="17" s="1"/>
  <c r="T304" i="17" a="1"/>
  <c r="T304" i="17" s="1"/>
  <c r="T321" i="17" a="1"/>
  <c r="T321" i="17" s="1"/>
  <c r="T338" i="17" a="1"/>
  <c r="T338" i="17" s="1"/>
  <c r="T355" i="17" a="1"/>
  <c r="T355" i="17" s="1"/>
  <c r="T372" i="17" a="1"/>
  <c r="T372" i="17" s="1"/>
  <c r="T457" i="17" a="1"/>
  <c r="T457" i="17" s="1"/>
  <c r="T474" i="17" a="1"/>
  <c r="T474" i="17" s="1"/>
  <c r="T491" i="17" a="1"/>
  <c r="T491" i="17" s="1"/>
  <c r="T415" i="17" a="1"/>
  <c r="T415" i="17" s="1"/>
  <c r="T416" i="17" a="1"/>
  <c r="T416" i="17" s="1"/>
  <c r="T417" i="17" a="1"/>
  <c r="T417" i="17" s="1"/>
  <c r="T440" i="17" a="1"/>
  <c r="T440" i="17" s="1"/>
  <c r="T610" i="17" a="1"/>
  <c r="T610" i="17" s="1"/>
  <c r="T627" i="17" a="1"/>
  <c r="T627" i="17" s="1"/>
  <c r="T644" i="17" a="1"/>
  <c r="T644" i="17" s="1"/>
  <c r="T661" i="17" a="1"/>
  <c r="T661" i="17" s="1"/>
  <c r="T678" i="17" a="1"/>
  <c r="T678" i="17" s="1"/>
  <c r="T695" i="17" a="1"/>
  <c r="T695" i="17" s="1"/>
  <c r="T712" i="17" a="1"/>
  <c r="T712" i="17" s="1"/>
  <c r="T725" i="17" a="1"/>
  <c r="T725" i="17" s="1"/>
  <c r="T749" i="17" a="1"/>
  <c r="T749" i="17" s="1"/>
  <c r="T766" i="17" a="1"/>
  <c r="T766" i="17" s="1"/>
  <c r="T783" i="17" a="1"/>
  <c r="T783" i="17" s="1"/>
  <c r="T800" i="17" a="1"/>
  <c r="T800" i="17" s="1"/>
  <c r="T817" i="17" a="1"/>
  <c r="T817" i="17" s="1"/>
  <c r="T834" i="17" a="1"/>
  <c r="T834" i="17" s="1"/>
  <c r="T851" i="17" a="1"/>
  <c r="T851" i="17" s="1"/>
  <c r="T868" i="17" a="1"/>
  <c r="T868" i="17" s="1"/>
  <c r="T885" i="17" a="1"/>
  <c r="T885" i="17" s="1"/>
  <c r="T902" i="17" a="1"/>
  <c r="T902" i="17" s="1"/>
  <c r="T919" i="17" a="1"/>
  <c r="T919" i="17" s="1"/>
  <c r="T936" i="17" a="1"/>
  <c r="T936" i="17" s="1"/>
  <c r="T953" i="17" a="1"/>
  <c r="T953" i="17" s="1"/>
  <c r="T573" i="17" a="1"/>
  <c r="T573" i="17"/>
  <c r="T574" i="17" a="1"/>
  <c r="T574" i="17" s="1"/>
  <c r="T575" i="17" a="1"/>
  <c r="T575" i="17" s="1"/>
  <c r="T576" i="17" a="1"/>
  <c r="T576" i="17"/>
  <c r="T577" i="17" a="1"/>
  <c r="T577" i="17" s="1"/>
  <c r="T578" i="17" a="1"/>
  <c r="T578" i="17" s="1"/>
  <c r="T86" i="17" a="1"/>
  <c r="T86" i="17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18" i="17" a="1"/>
  <c r="T118" i="17" s="1"/>
  <c r="T135" i="17" a="1"/>
  <c r="T135" i="17" s="1"/>
  <c r="T152" i="17" a="1"/>
  <c r="T152" i="17" s="1"/>
  <c r="T169" i="17" a="1"/>
  <c r="T169" i="17"/>
  <c r="T214" i="17" a="1"/>
  <c r="T214" i="17" s="1"/>
  <c r="T215" i="17" a="1"/>
  <c r="T215" i="17" s="1"/>
  <c r="T216" i="17" a="1"/>
  <c r="T216" i="17" s="1"/>
  <c r="T237" i="17" a="1"/>
  <c r="T237" i="17" s="1"/>
  <c r="T254" i="17" a="1"/>
  <c r="T254" i="17" s="1"/>
  <c r="T271" i="17" a="1"/>
  <c r="T271" i="17" s="1"/>
  <c r="T288" i="17" a="1"/>
  <c r="T288" i="17" s="1"/>
  <c r="T305" i="17" a="1"/>
  <c r="T305" i="17" s="1"/>
  <c r="T322" i="17" a="1"/>
  <c r="T322" i="17" s="1"/>
  <c r="T339" i="17" a="1"/>
  <c r="T339" i="17" s="1"/>
  <c r="T356" i="17" a="1"/>
  <c r="T356" i="17" s="1"/>
  <c r="T373" i="17" a="1"/>
  <c r="T373" i="17" s="1"/>
  <c r="T458" i="17" a="1"/>
  <c r="T458" i="17" s="1"/>
  <c r="T475" i="17" a="1"/>
  <c r="T475" i="17" s="1"/>
  <c r="T492" i="17" a="1"/>
  <c r="T492" i="17" s="1"/>
  <c r="T418" i="17" a="1"/>
  <c r="T418" i="17" s="1"/>
  <c r="T419" i="17" a="1"/>
  <c r="T419" i="17"/>
  <c r="T420" i="17" a="1"/>
  <c r="T420" i="17" s="1"/>
  <c r="T441" i="17" a="1"/>
  <c r="T441" i="17" s="1"/>
  <c r="T611" i="17" a="1"/>
  <c r="T611" i="17" s="1"/>
  <c r="T628" i="17" a="1"/>
  <c r="T628" i="17" s="1"/>
  <c r="T645" i="17" a="1"/>
  <c r="T645" i="17" s="1"/>
  <c r="T662" i="17" a="1"/>
  <c r="T662" i="17" s="1"/>
  <c r="T679" i="17" a="1"/>
  <c r="T679" i="17" s="1"/>
  <c r="T696" i="17" a="1"/>
  <c r="T696" i="17" s="1"/>
  <c r="T713" i="17" a="1"/>
  <c r="T713" i="17" s="1"/>
  <c r="T726" i="17" a="1"/>
  <c r="T726" i="17" s="1"/>
  <c r="T735" i="17" a="1"/>
  <c r="T735" i="17" s="1"/>
  <c r="T750" i="17" a="1"/>
  <c r="T750" i="17"/>
  <c r="T767" i="17" a="1"/>
  <c r="T767" i="17" s="1"/>
  <c r="T784" i="17" a="1"/>
  <c r="T784" i="17" s="1"/>
  <c r="T801" i="17" a="1"/>
  <c r="T801" i="17" s="1"/>
  <c r="T818" i="17" a="1"/>
  <c r="T818" i="17" s="1"/>
  <c r="T835" i="17" a="1"/>
  <c r="T835" i="17" s="1"/>
  <c r="T852" i="17" a="1"/>
  <c r="T852" i="17" s="1"/>
  <c r="T869" i="17" a="1"/>
  <c r="T869" i="17" s="1"/>
  <c r="T886" i="17" a="1"/>
  <c r="T886" i="17" s="1"/>
  <c r="T903" i="17" a="1"/>
  <c r="T903" i="17" s="1"/>
  <c r="T920" i="17" a="1"/>
  <c r="T920" i="17" s="1"/>
  <c r="T937" i="17" a="1"/>
  <c r="T937" i="17" s="1"/>
  <c r="T954" i="17" a="1"/>
  <c r="T954" i="17"/>
  <c r="T579" i="17" a="1"/>
  <c r="T579" i="17" s="1"/>
  <c r="T580" i="17" a="1"/>
  <c r="T580" i="17" s="1"/>
  <c r="T581" i="17" a="1"/>
  <c r="T581" i="17" s="1"/>
  <c r="T582" i="17" a="1"/>
  <c r="T582" i="17" s="1"/>
  <c r="T583" i="17" a="1"/>
  <c r="T583" i="17" s="1"/>
  <c r="T584" i="17" a="1"/>
  <c r="T584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19" i="17" a="1"/>
  <c r="T119" i="17" s="1"/>
  <c r="T136" i="17" a="1"/>
  <c r="T136" i="17" s="1"/>
  <c r="T153" i="17" a="1"/>
  <c r="T153" i="17" s="1"/>
  <c r="T170" i="17" a="1"/>
  <c r="T170" i="17" s="1"/>
  <c r="T217" i="17" a="1"/>
  <c r="T217" i="17" s="1"/>
  <c r="T218" i="17" a="1"/>
  <c r="T218" i="17" s="1"/>
  <c r="T219" i="17" a="1"/>
  <c r="T219" i="17" s="1"/>
  <c r="T238" i="17" a="1"/>
  <c r="T238" i="17"/>
  <c r="T255" i="17" a="1"/>
  <c r="T255" i="17" s="1"/>
  <c r="T272" i="17" a="1"/>
  <c r="T272" i="17"/>
  <c r="T289" i="17" a="1"/>
  <c r="T289" i="17" s="1"/>
  <c r="T306" i="17" a="1"/>
  <c r="T306" i="17" s="1"/>
  <c r="T323" i="17" a="1"/>
  <c r="T323" i="17" s="1"/>
  <c r="T340" i="17" a="1"/>
  <c r="T340" i="17" s="1"/>
  <c r="T357" i="17" a="1"/>
  <c r="T357" i="17" s="1"/>
  <c r="T374" i="17" a="1"/>
  <c r="T374" i="17" s="1"/>
  <c r="T459" i="17" a="1"/>
  <c r="T459" i="17" s="1"/>
  <c r="T476" i="17" a="1"/>
  <c r="T476" i="17" s="1"/>
  <c r="T493" i="17" a="1"/>
  <c r="T493" i="17" s="1"/>
  <c r="T421" i="17" a="1"/>
  <c r="T421" i="17" s="1"/>
  <c r="T422" i="17" a="1"/>
  <c r="T422" i="17" s="1"/>
  <c r="T423" i="17" a="1"/>
  <c r="T423" i="17" s="1"/>
  <c r="T442" i="17" a="1"/>
  <c r="T442" i="17" s="1"/>
  <c r="T612" i="17" a="1"/>
  <c r="T612" i="17" s="1"/>
  <c r="T629" i="17" a="1"/>
  <c r="T629" i="17" s="1"/>
  <c r="T646" i="17" a="1"/>
  <c r="T646" i="17" s="1"/>
  <c r="T663" i="17" a="1"/>
  <c r="T663" i="17" s="1"/>
  <c r="T680" i="17" a="1"/>
  <c r="T680" i="17" s="1"/>
  <c r="T697" i="17" a="1"/>
  <c r="T697" i="17" s="1"/>
  <c r="T714" i="17" a="1"/>
  <c r="T714" i="17" s="1"/>
  <c r="T727" i="17" a="1"/>
  <c r="T727" i="17" s="1"/>
  <c r="T751" i="17" a="1"/>
  <c r="T751" i="17" s="1"/>
  <c r="T768" i="17" a="1"/>
  <c r="T768" i="17" s="1"/>
  <c r="T785" i="17" a="1"/>
  <c r="T785" i="17" s="1"/>
  <c r="T802" i="17" a="1"/>
  <c r="T802" i="17" s="1"/>
  <c r="T819" i="17" a="1"/>
  <c r="T819" i="17" s="1"/>
  <c r="T836" i="17" a="1"/>
  <c r="T836" i="17" s="1"/>
  <c r="T853" i="17" a="1"/>
  <c r="T853" i="17" s="1"/>
  <c r="T870" i="17" a="1"/>
  <c r="T870" i="17" s="1"/>
  <c r="T887" i="17" a="1"/>
  <c r="T887" i="17" s="1"/>
  <c r="T904" i="17" a="1"/>
  <c r="T904" i="17" s="1"/>
  <c r="T921" i="17" a="1"/>
  <c r="T921" i="17" s="1"/>
  <c r="T938" i="17" a="1"/>
  <c r="T938" i="17" s="1"/>
  <c r="T955" i="17" a="1"/>
  <c r="T955" i="17" s="1"/>
  <c r="T585" i="17" a="1"/>
  <c r="T585" i="17" s="1"/>
  <c r="T586" i="17" a="1"/>
  <c r="T586" i="17" s="1"/>
  <c r="T587" i="17" a="1"/>
  <c r="T587" i="17" s="1"/>
  <c r="T588" i="17" a="1"/>
  <c r="T588" i="17" s="1"/>
  <c r="T589" i="17" a="1"/>
  <c r="T589" i="17" s="1"/>
  <c r="T590" i="17" a="1"/>
  <c r="T590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20" i="17" a="1"/>
  <c r="T120" i="17" s="1"/>
  <c r="T137" i="17" a="1"/>
  <c r="T137" i="17" s="1"/>
  <c r="T154" i="17" a="1"/>
  <c r="T154" i="17" s="1"/>
  <c r="T171" i="17" a="1"/>
  <c r="T171" i="17" s="1"/>
  <c r="T220" i="17" a="1"/>
  <c r="T220" i="17" s="1"/>
  <c r="T221" i="17" a="1"/>
  <c r="T221" i="17" s="1"/>
  <c r="T222" i="17" a="1"/>
  <c r="T222" i="17"/>
  <c r="T239" i="17" a="1"/>
  <c r="T239" i="17" s="1"/>
  <c r="T256" i="17" a="1"/>
  <c r="T256" i="17" s="1"/>
  <c r="T273" i="17" a="1"/>
  <c r="T273" i="17" s="1"/>
  <c r="T290" i="17" a="1"/>
  <c r="T290" i="17" s="1"/>
  <c r="T307" i="17" a="1"/>
  <c r="T307" i="17" s="1"/>
  <c r="T324" i="17" a="1"/>
  <c r="T324" i="17" s="1"/>
  <c r="T341" i="17" a="1"/>
  <c r="T341" i="17" s="1"/>
  <c r="T358" i="17" a="1"/>
  <c r="T358" i="17" s="1"/>
  <c r="T375" i="17" a="1"/>
  <c r="T375" i="17" s="1"/>
  <c r="T460" i="17" a="1"/>
  <c r="T460" i="17" s="1"/>
  <c r="T477" i="17" a="1"/>
  <c r="T477" i="17" s="1"/>
  <c r="T494" i="17" a="1"/>
  <c r="T494" i="17"/>
  <c r="T424" i="17" a="1"/>
  <c r="T424" i="17" s="1"/>
  <c r="T425" i="17" a="1"/>
  <c r="T425" i="17" s="1"/>
  <c r="T426" i="17" a="1"/>
  <c r="T426" i="17" s="1"/>
  <c r="T443" i="17" a="1"/>
  <c r="T443" i="17" s="1"/>
  <c r="T613" i="17" a="1"/>
  <c r="T613" i="17" s="1"/>
  <c r="T630" i="17" a="1"/>
  <c r="T630" i="17" s="1"/>
  <c r="T647" i="17" a="1"/>
  <c r="T647" i="17" s="1"/>
  <c r="T664" i="17" a="1"/>
  <c r="T664" i="17"/>
  <c r="T681" i="17" a="1"/>
  <c r="T681" i="17" s="1"/>
  <c r="T698" i="17" a="1"/>
  <c r="T698" i="17" s="1"/>
  <c r="T715" i="17" a="1"/>
  <c r="T715" i="17" s="1"/>
  <c r="T728" i="17" a="1"/>
  <c r="T728" i="17" s="1"/>
  <c r="T752" i="17" a="1"/>
  <c r="T752" i="17" s="1"/>
  <c r="T769" i="17" a="1"/>
  <c r="T769" i="17" s="1"/>
  <c r="T786" i="17" a="1"/>
  <c r="T786" i="17" s="1"/>
  <c r="T803" i="17" a="1"/>
  <c r="T803" i="17" s="1"/>
  <c r="T820" i="17" a="1"/>
  <c r="T820" i="17" s="1"/>
  <c r="T837" i="17" a="1"/>
  <c r="T837" i="17" s="1"/>
  <c r="T854" i="17" a="1"/>
  <c r="T854" i="17" s="1"/>
  <c r="T871" i="17" a="1"/>
  <c r="T871" i="17" s="1"/>
  <c r="T888" i="17" a="1"/>
  <c r="T888" i="17" s="1"/>
  <c r="T905" i="17" a="1"/>
  <c r="T905" i="17" s="1"/>
  <c r="T922" i="17" a="1"/>
  <c r="T922" i="17" s="1"/>
  <c r="T939" i="17" a="1"/>
  <c r="T939" i="17" s="1"/>
  <c r="T956" i="17" a="1"/>
  <c r="T956" i="17" s="1"/>
  <c r="T591" i="17" a="1"/>
  <c r="T591" i="17" s="1"/>
  <c r="T592" i="17" a="1"/>
  <c r="T592" i="17" s="1"/>
  <c r="T593" i="17" a="1"/>
  <c r="T593" i="17" s="1"/>
  <c r="T594" i="17" a="1"/>
  <c r="T594" i="17"/>
  <c r="T595" i="17" a="1"/>
  <c r="T595" i="17" s="1"/>
  <c r="T596" i="17" a="1"/>
  <c r="T596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04" i="17" a="1"/>
  <c r="U104" i="17" s="1"/>
  <c r="U121" i="17" a="1"/>
  <c r="U121" i="17" s="1"/>
  <c r="U138" i="17" a="1"/>
  <c r="U138" i="17" s="1"/>
  <c r="U155" i="17" a="1"/>
  <c r="U155" i="17" s="1"/>
  <c r="U172" i="17" a="1"/>
  <c r="U172" i="17" s="1"/>
  <c r="U173" i="17" a="1"/>
  <c r="U173" i="17" s="1"/>
  <c r="U174" i="17" a="1"/>
  <c r="U174" i="17" s="1"/>
  <c r="U223" i="17" a="1"/>
  <c r="U223" i="17" s="1"/>
  <c r="U240" i="17" a="1"/>
  <c r="U240" i="17" s="1"/>
  <c r="U257" i="17" a="1"/>
  <c r="U257" i="17" s="1"/>
  <c r="U274" i="17" a="1"/>
  <c r="U274" i="17" s="1"/>
  <c r="U291" i="17" a="1"/>
  <c r="U291" i="17" s="1"/>
  <c r="U308" i="17" a="1"/>
  <c r="U308" i="17" s="1"/>
  <c r="U325" i="17" a="1"/>
  <c r="U325" i="17" s="1"/>
  <c r="U342" i="17" a="1"/>
  <c r="U342" i="17" s="1"/>
  <c r="U359" i="17" a="1"/>
  <c r="U359" i="17" s="1"/>
  <c r="U444" i="17" a="1"/>
  <c r="U444" i="17" s="1"/>
  <c r="U461" i="17" a="1"/>
  <c r="U461" i="17" s="1"/>
  <c r="U478" i="17" a="1"/>
  <c r="U478" i="17" s="1"/>
  <c r="U376" i="17" a="1"/>
  <c r="U376" i="17" s="1"/>
  <c r="U377" i="17" a="1"/>
  <c r="U377" i="17" s="1"/>
  <c r="U378" i="17" a="1"/>
  <c r="U378" i="17" s="1"/>
  <c r="U427" i="17" a="1"/>
  <c r="U427" i="17" s="1"/>
  <c r="U597" i="17" a="1"/>
  <c r="U597" i="17" s="1"/>
  <c r="U614" i="17" a="1"/>
  <c r="U614" i="17" s="1"/>
  <c r="U631" i="17" a="1"/>
  <c r="U631" i="17"/>
  <c r="U648" i="17" a="1"/>
  <c r="U648" i="17" s="1"/>
  <c r="U665" i="17" a="1"/>
  <c r="U665" i="17" s="1"/>
  <c r="U682" i="17" a="1"/>
  <c r="U682" i="17" s="1"/>
  <c r="U699" i="17" a="1"/>
  <c r="U699" i="17" s="1"/>
  <c r="U729" i="17" a="1"/>
  <c r="U729" i="17" s="1"/>
  <c r="U736" i="17" a="1"/>
  <c r="U736" i="17" s="1"/>
  <c r="U753" i="17" a="1"/>
  <c r="U753" i="17" s="1"/>
  <c r="U770" i="17" a="1"/>
  <c r="U770" i="17" s="1"/>
  <c r="U787" i="17" a="1"/>
  <c r="U787" i="17" s="1"/>
  <c r="U804" i="17" a="1"/>
  <c r="U804" i="17" s="1"/>
  <c r="U821" i="17" a="1"/>
  <c r="U821" i="17" s="1"/>
  <c r="U838" i="17" a="1"/>
  <c r="U838" i="17"/>
  <c r="U855" i="17" a="1"/>
  <c r="U855" i="17" s="1"/>
  <c r="U872" i="17" a="1"/>
  <c r="U872" i="17" s="1"/>
  <c r="U889" i="17" a="1"/>
  <c r="U889" i="17" s="1"/>
  <c r="U906" i="17" a="1"/>
  <c r="U906" i="17" s="1"/>
  <c r="U923" i="17" a="1"/>
  <c r="U923" i="17" s="1"/>
  <c r="U940" i="17" a="1"/>
  <c r="U940" i="17" s="1"/>
  <c r="U495" i="17" a="1"/>
  <c r="U495" i="17" s="1"/>
  <c r="U496" i="17" a="1"/>
  <c r="U496" i="17" s="1"/>
  <c r="U497" i="17" a="1"/>
  <c r="U497" i="17" s="1"/>
  <c r="U498" i="17" a="1"/>
  <c r="U498" i="17" s="1"/>
  <c r="U499" i="17" a="1"/>
  <c r="U499" i="17" s="1"/>
  <c r="U500" i="17" a="1"/>
  <c r="U500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05" i="17" a="1"/>
  <c r="U105" i="17" s="1"/>
  <c r="U122" i="17" a="1"/>
  <c r="U122" i="17"/>
  <c r="U139" i="17" a="1"/>
  <c r="U139" i="17" s="1"/>
  <c r="U156" i="17" a="1"/>
  <c r="U156" i="17" s="1"/>
  <c r="U175" i="17" a="1"/>
  <c r="U175" i="17" s="1"/>
  <c r="U176" i="17" a="1"/>
  <c r="U176" i="17" s="1"/>
  <c r="U177" i="17" a="1"/>
  <c r="U177" i="17" s="1"/>
  <c r="U224" i="17" a="1"/>
  <c r="U224" i="17" s="1"/>
  <c r="U241" i="17" a="1"/>
  <c r="U241" i="17" s="1"/>
  <c r="U258" i="17" a="1"/>
  <c r="U258" i="17" s="1"/>
  <c r="U275" i="17" a="1"/>
  <c r="U275" i="17"/>
  <c r="U292" i="17" a="1"/>
  <c r="U292" i="17" s="1"/>
  <c r="U309" i="17" a="1"/>
  <c r="U309" i="17" s="1"/>
  <c r="U326" i="17" a="1"/>
  <c r="U326" i="17"/>
  <c r="U343" i="17" a="1"/>
  <c r="U343" i="17" s="1"/>
  <c r="U360" i="17" a="1"/>
  <c r="U360" i="17" s="1"/>
  <c r="U445" i="17" a="1"/>
  <c r="U445" i="17" s="1"/>
  <c r="U462" i="17" a="1"/>
  <c r="U462" i="17" s="1"/>
  <c r="U479" i="17" a="1"/>
  <c r="U479" i="17" s="1"/>
  <c r="U379" i="17" a="1"/>
  <c r="U379" i="17" s="1"/>
  <c r="U380" i="17" a="1"/>
  <c r="U380" i="17" s="1"/>
  <c r="U381" i="17" a="1"/>
  <c r="U381" i="17" s="1"/>
  <c r="U428" i="17" a="1"/>
  <c r="U428" i="17"/>
  <c r="U598" i="17" a="1"/>
  <c r="U598" i="17" s="1"/>
  <c r="U615" i="17" a="1"/>
  <c r="U615" i="17" s="1"/>
  <c r="U632" i="17" a="1"/>
  <c r="U632" i="17" s="1"/>
  <c r="U649" i="17" a="1"/>
  <c r="U649" i="17" s="1"/>
  <c r="U666" i="17" a="1"/>
  <c r="U666" i="17" s="1"/>
  <c r="U683" i="17" a="1"/>
  <c r="U683" i="17" s="1"/>
  <c r="U700" i="17" a="1"/>
  <c r="U700" i="17" s="1"/>
  <c r="U716" i="17" a="1"/>
  <c r="U716" i="17" s="1"/>
  <c r="U737" i="17" a="1"/>
  <c r="U737" i="17" s="1"/>
  <c r="U754" i="17" a="1"/>
  <c r="U754" i="17" s="1"/>
  <c r="U771" i="17" a="1"/>
  <c r="U771" i="17" s="1"/>
  <c r="U788" i="17" a="1"/>
  <c r="U788" i="17" s="1"/>
  <c r="U805" i="17" a="1"/>
  <c r="U805" i="17" s="1"/>
  <c r="U822" i="17" a="1"/>
  <c r="U822" i="17" s="1"/>
  <c r="U839" i="17" a="1"/>
  <c r="U839" i="17" s="1"/>
  <c r="U856" i="17" a="1"/>
  <c r="U856" i="17" s="1"/>
  <c r="U873" i="17" a="1"/>
  <c r="U873" i="17" s="1"/>
  <c r="U890" i="17" a="1"/>
  <c r="U890" i="17" s="1"/>
  <c r="U907" i="17" a="1"/>
  <c r="U907" i="17" s="1"/>
  <c r="U924" i="17" a="1"/>
  <c r="U924" i="17" s="1"/>
  <c r="U941" i="17" a="1"/>
  <c r="U941" i="17" s="1"/>
  <c r="U501" i="17" a="1"/>
  <c r="U501" i="17" s="1"/>
  <c r="U502" i="17" a="1"/>
  <c r="U502" i="17" s="1"/>
  <c r="U503" i="17" a="1"/>
  <c r="U503" i="17" s="1"/>
  <c r="U504" i="17" a="1"/>
  <c r="U504" i="17" s="1"/>
  <c r="U505" i="17" a="1"/>
  <c r="U505" i="17" s="1"/>
  <c r="U506" i="17" a="1"/>
  <c r="U506" i="17" s="1"/>
  <c r="U14" i="17" a="1"/>
  <c r="U14" i="17" s="1"/>
  <c r="U15" i="17" a="1"/>
  <c r="U15" i="17"/>
  <c r="U16" i="17" a="1"/>
  <c r="U16" i="17" s="1"/>
  <c r="U17" i="17" a="1"/>
  <c r="U17" i="17" s="1"/>
  <c r="U18" i="17" a="1"/>
  <c r="U18" i="17" s="1"/>
  <c r="U19" i="17" a="1"/>
  <c r="U19" i="17" s="1"/>
  <c r="U106" i="17" a="1"/>
  <c r="U106" i="17" s="1"/>
  <c r="U123" i="17" a="1"/>
  <c r="U123" i="17" s="1"/>
  <c r="U140" i="17" a="1"/>
  <c r="U140" i="17" s="1"/>
  <c r="U157" i="17" a="1"/>
  <c r="U157" i="17" s="1"/>
  <c r="U178" i="17" a="1"/>
  <c r="U178" i="17" s="1"/>
  <c r="U179" i="17" a="1"/>
  <c r="U179" i="17" s="1"/>
  <c r="U180" i="17" a="1"/>
  <c r="U180" i="17" s="1"/>
  <c r="U225" i="17" a="1"/>
  <c r="U225" i="17"/>
  <c r="U242" i="17" a="1"/>
  <c r="U242" i="17" s="1"/>
  <c r="U259" i="17" a="1"/>
  <c r="U259" i="17" s="1"/>
  <c r="U276" i="17" a="1"/>
  <c r="U276" i="17"/>
  <c r="U293" i="17" a="1"/>
  <c r="U293" i="17" s="1"/>
  <c r="U310" i="17" a="1"/>
  <c r="U310" i="17" s="1"/>
  <c r="U327" i="17" a="1"/>
  <c r="U327" i="17" s="1"/>
  <c r="U344" i="17" a="1"/>
  <c r="U344" i="17" s="1"/>
  <c r="U361" i="17" a="1"/>
  <c r="U361" i="17" s="1"/>
  <c r="U446" i="17" a="1"/>
  <c r="U446" i="17" s="1"/>
  <c r="U463" i="17" a="1"/>
  <c r="U463" i="17" s="1"/>
  <c r="U480" i="17" a="1"/>
  <c r="U480" i="17" s="1"/>
  <c r="U382" i="17" a="1"/>
  <c r="U382" i="17" s="1"/>
  <c r="U383" i="17" a="1"/>
  <c r="U383" i="17" s="1"/>
  <c r="U384" i="17" a="1"/>
  <c r="U384" i="17" s="1"/>
  <c r="U429" i="17" a="1"/>
  <c r="U429" i="17" s="1"/>
  <c r="U599" i="17" a="1"/>
  <c r="U599" i="17" s="1"/>
  <c r="U616" i="17" a="1"/>
  <c r="U616" i="17" s="1"/>
  <c r="U633" i="17" a="1"/>
  <c r="U633" i="17" s="1"/>
  <c r="U650" i="17" a="1"/>
  <c r="U650" i="17" s="1"/>
  <c r="U667" i="17" a="1"/>
  <c r="U667" i="17" s="1"/>
  <c r="U684" i="17" a="1"/>
  <c r="U684" i="17" s="1"/>
  <c r="U701" i="17" a="1"/>
  <c r="U701" i="17" s="1"/>
  <c r="U717" i="17" a="1"/>
  <c r="U717" i="17" s="1"/>
  <c r="U730" i="17" a="1"/>
  <c r="U730" i="17"/>
  <c r="U738" i="17" a="1"/>
  <c r="U738" i="17" s="1"/>
  <c r="U755" i="17" a="1"/>
  <c r="U755" i="17" s="1"/>
  <c r="U772" i="17" a="1"/>
  <c r="U772" i="17" s="1"/>
  <c r="U789" i="17" a="1"/>
  <c r="U789" i="17" s="1"/>
  <c r="U806" i="17" a="1"/>
  <c r="U806" i="17" s="1"/>
  <c r="U823" i="17" a="1"/>
  <c r="U823" i="17" s="1"/>
  <c r="U840" i="17" a="1"/>
  <c r="U840" i="17" s="1"/>
  <c r="U857" i="17" a="1"/>
  <c r="U857" i="17" s="1"/>
  <c r="U874" i="17" a="1"/>
  <c r="U874" i="17" s="1"/>
  <c r="U891" i="17" a="1"/>
  <c r="U891" i="17" s="1"/>
  <c r="U908" i="17" a="1"/>
  <c r="U908" i="17" s="1"/>
  <c r="U925" i="17" a="1"/>
  <c r="U925" i="17" s="1"/>
  <c r="U942" i="17" a="1"/>
  <c r="U942" i="17" s="1"/>
  <c r="U507" i="17" a="1"/>
  <c r="U507" i="17" s="1"/>
  <c r="U508" i="17" a="1"/>
  <c r="U508" i="17" s="1"/>
  <c r="U509" i="17" a="1"/>
  <c r="U509" i="17" s="1"/>
  <c r="U510" i="17" a="1"/>
  <c r="U510" i="17" s="1"/>
  <c r="U511" i="17" a="1"/>
  <c r="U511" i="17" s="1"/>
  <c r="U512" i="17" a="1"/>
  <c r="U512" i="17" s="1"/>
  <c r="U20" i="17" a="1"/>
  <c r="U20" i="17" s="1"/>
  <c r="U21" i="17" a="1"/>
  <c r="U21" i="17" s="1"/>
  <c r="U22" i="17" a="1"/>
  <c r="U22" i="17" s="1"/>
  <c r="U23" i="17" a="1"/>
  <c r="U23" i="17"/>
  <c r="U24" i="17" a="1"/>
  <c r="U24" i="17" s="1"/>
  <c r="U25" i="17" a="1"/>
  <c r="U25" i="17" s="1"/>
  <c r="U107" i="17" a="1"/>
  <c r="U107" i="17" s="1"/>
  <c r="U124" i="17" a="1"/>
  <c r="U124" i="17" s="1"/>
  <c r="U141" i="17" a="1"/>
  <c r="U141" i="17" s="1"/>
  <c r="U158" i="17" a="1"/>
  <c r="U158" i="17" s="1"/>
  <c r="U181" i="17" a="1"/>
  <c r="U181" i="17" s="1"/>
  <c r="U182" i="17" a="1"/>
  <c r="U182" i="17" s="1"/>
  <c r="U183" i="17" a="1"/>
  <c r="U183" i="17" s="1"/>
  <c r="U226" i="17" a="1"/>
  <c r="U226" i="17" s="1"/>
  <c r="U243" i="17" a="1"/>
  <c r="U243" i="17"/>
  <c r="U260" i="17" a="1"/>
  <c r="U260" i="17" s="1"/>
  <c r="U277" i="17" a="1"/>
  <c r="U277" i="17" s="1"/>
  <c r="U294" i="17" a="1"/>
  <c r="U294" i="17" s="1"/>
  <c r="U311" i="17" a="1"/>
  <c r="U311" i="17" s="1"/>
  <c r="U328" i="17" a="1"/>
  <c r="U328" i="17" s="1"/>
  <c r="U345" i="17" a="1"/>
  <c r="U345" i="17" s="1"/>
  <c r="U362" i="17" a="1"/>
  <c r="U362" i="17" s="1"/>
  <c r="U447" i="17" a="1"/>
  <c r="U447" i="17" s="1"/>
  <c r="U464" i="17" a="1"/>
  <c r="U464" i="17"/>
  <c r="U481" i="17" a="1"/>
  <c r="U481" i="17" s="1"/>
  <c r="U385" i="17" a="1"/>
  <c r="U385" i="17" s="1"/>
  <c r="U386" i="17" a="1"/>
  <c r="U386" i="17" s="1"/>
  <c r="U387" i="17" a="1"/>
  <c r="U387" i="17" s="1"/>
  <c r="U430" i="17" a="1"/>
  <c r="U430" i="17" s="1"/>
  <c r="U600" i="17" a="1"/>
  <c r="U600" i="17" s="1"/>
  <c r="U617" i="17" a="1"/>
  <c r="U617" i="17" s="1"/>
  <c r="U634" i="17" a="1"/>
  <c r="U634" i="17"/>
  <c r="U651" i="17" a="1"/>
  <c r="U651" i="17" s="1"/>
  <c r="U668" i="17" a="1"/>
  <c r="U668" i="17" s="1"/>
  <c r="U685" i="17" a="1"/>
  <c r="U685" i="17"/>
  <c r="U702" i="17" a="1"/>
  <c r="U702" i="17" s="1"/>
  <c r="U718" i="17" a="1"/>
  <c r="U718" i="17" s="1"/>
  <c r="U739" i="17" a="1"/>
  <c r="U739" i="17" s="1"/>
  <c r="U756" i="17" a="1"/>
  <c r="U756" i="17" s="1"/>
  <c r="U773" i="17" a="1"/>
  <c r="U773" i="17" s="1"/>
  <c r="U790" i="17" a="1"/>
  <c r="U790" i="17" s="1"/>
  <c r="U807" i="17" a="1"/>
  <c r="U807" i="17" s="1"/>
  <c r="U824" i="17" a="1"/>
  <c r="U824" i="17"/>
  <c r="U841" i="17" a="1"/>
  <c r="U841" i="17" s="1"/>
  <c r="U858" i="17" a="1"/>
  <c r="U858" i="17" s="1"/>
  <c r="U875" i="17" a="1"/>
  <c r="U875" i="17" s="1"/>
  <c r="U892" i="17" a="1"/>
  <c r="U892" i="17" s="1"/>
  <c r="U909" i="17" a="1"/>
  <c r="U909" i="17" s="1"/>
  <c r="U926" i="17" a="1"/>
  <c r="U926" i="17" s="1"/>
  <c r="U943" i="17" a="1"/>
  <c r="U943" i="17" s="1"/>
  <c r="U513" i="17" a="1"/>
  <c r="U513" i="17" s="1"/>
  <c r="U514" i="17" a="1"/>
  <c r="U514" i="17" s="1"/>
  <c r="U515" i="17" a="1"/>
  <c r="U515" i="17" s="1"/>
  <c r="U516" i="17" a="1"/>
  <c r="U516" i="17" s="1"/>
  <c r="U517" i="17" a="1"/>
  <c r="U517" i="17" s="1"/>
  <c r="U518" i="17" a="1"/>
  <c r="U518" i="17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08" i="17" a="1"/>
  <c r="U108" i="17" s="1"/>
  <c r="U125" i="17" a="1"/>
  <c r="U125" i="17" s="1"/>
  <c r="U142" i="17" a="1"/>
  <c r="U142" i="17" s="1"/>
  <c r="U159" i="17" a="1"/>
  <c r="U159" i="17" s="1"/>
  <c r="U184" i="17" a="1"/>
  <c r="U184" i="17"/>
  <c r="U185" i="17" a="1"/>
  <c r="U185" i="17" s="1"/>
  <c r="U186" i="17" a="1"/>
  <c r="U186" i="17" s="1"/>
  <c r="U227" i="17" a="1"/>
  <c r="U227" i="17" s="1"/>
  <c r="U244" i="17" a="1"/>
  <c r="U244" i="17" s="1"/>
  <c r="U261" i="17" a="1"/>
  <c r="U261" i="17" s="1"/>
  <c r="U278" i="17" a="1"/>
  <c r="U278" i="17" s="1"/>
  <c r="U295" i="17" a="1"/>
  <c r="U295" i="17" s="1"/>
  <c r="U312" i="17" a="1"/>
  <c r="U312" i="17" s="1"/>
  <c r="U329" i="17" a="1"/>
  <c r="U329" i="17"/>
  <c r="U346" i="17" a="1"/>
  <c r="U346" i="17" s="1"/>
  <c r="U363" i="17" a="1"/>
  <c r="U363" i="17" s="1"/>
  <c r="U448" i="17" a="1"/>
  <c r="U448" i="17" s="1"/>
  <c r="U465" i="17" a="1"/>
  <c r="U465" i="17" s="1"/>
  <c r="U482" i="17" a="1"/>
  <c r="U482" i="17" s="1"/>
  <c r="U388" i="17" a="1"/>
  <c r="U388" i="17" s="1"/>
  <c r="U389" i="17" a="1"/>
  <c r="U389" i="17" s="1"/>
  <c r="U390" i="17" a="1"/>
  <c r="U390" i="17"/>
  <c r="U431" i="17" a="1"/>
  <c r="U431" i="17" s="1"/>
  <c r="U601" i="17" a="1"/>
  <c r="U601" i="17" s="1"/>
  <c r="U618" i="17" a="1"/>
  <c r="U618" i="17" s="1"/>
  <c r="U635" i="17" a="1"/>
  <c r="U635" i="17" s="1"/>
  <c r="U652" i="17" a="1"/>
  <c r="U652" i="17" s="1"/>
  <c r="U669" i="17" a="1"/>
  <c r="U669" i="17" s="1"/>
  <c r="U686" i="17" a="1"/>
  <c r="U686" i="17" s="1"/>
  <c r="U703" i="17" a="1"/>
  <c r="U703" i="17" s="1"/>
  <c r="U719" i="17" a="1"/>
  <c r="U719" i="17" s="1"/>
  <c r="U731" i="17" a="1"/>
  <c r="U731" i="17" s="1"/>
  <c r="U740" i="17" a="1"/>
  <c r="U740" i="17" s="1"/>
  <c r="U757" i="17" a="1"/>
  <c r="U757" i="17" s="1"/>
  <c r="U774" i="17" a="1"/>
  <c r="U774" i="17" s="1"/>
  <c r="U791" i="17" a="1"/>
  <c r="U791" i="17" s="1"/>
  <c r="U808" i="17" a="1"/>
  <c r="U808" i="17"/>
  <c r="U825" i="17" a="1"/>
  <c r="U825" i="17" s="1"/>
  <c r="U842" i="17" a="1"/>
  <c r="U842" i="17" s="1"/>
  <c r="U859" i="17" a="1"/>
  <c r="U859" i="17" s="1"/>
  <c r="U876" i="17" a="1"/>
  <c r="U876" i="17" s="1"/>
  <c r="U893" i="17" a="1"/>
  <c r="U893" i="17" s="1"/>
  <c r="U910" i="17" a="1"/>
  <c r="U910" i="17" s="1"/>
  <c r="U927" i="17" a="1"/>
  <c r="U927" i="17" s="1"/>
  <c r="U944" i="17" a="1"/>
  <c r="U944" i="17" s="1"/>
  <c r="U519" i="17" a="1"/>
  <c r="U519" i="17" s="1"/>
  <c r="U520" i="17" a="1"/>
  <c r="U520" i="17" s="1"/>
  <c r="U521" i="17" a="1"/>
  <c r="U521" i="17" s="1"/>
  <c r="U522" i="17" a="1"/>
  <c r="U522" i="17"/>
  <c r="U523" i="17" a="1"/>
  <c r="U523" i="17" s="1"/>
  <c r="U524" i="17" a="1"/>
  <c r="U524" i="17" s="1"/>
  <c r="U32" i="17" a="1"/>
  <c r="U32" i="17" s="1"/>
  <c r="U33" i="17" a="1"/>
  <c r="U33" i="17" s="1"/>
  <c r="U34" i="17" a="1"/>
  <c r="U34" i="17" s="1"/>
  <c r="U35" i="17" a="1"/>
  <c r="U35" i="17"/>
  <c r="U36" i="17" a="1"/>
  <c r="U36" i="17" s="1"/>
  <c r="U37" i="17" a="1"/>
  <c r="U37" i="17" s="1"/>
  <c r="U109" i="17" a="1"/>
  <c r="U109" i="17" s="1"/>
  <c r="U126" i="17" a="1"/>
  <c r="U126" i="17" s="1"/>
  <c r="U143" i="17" a="1"/>
  <c r="U143" i="17" s="1"/>
  <c r="U160" i="17" a="1"/>
  <c r="U160" i="17"/>
  <c r="U187" i="17" a="1"/>
  <c r="U187" i="17" s="1"/>
  <c r="U188" i="17" a="1"/>
  <c r="U188" i="17"/>
  <c r="U189" i="17" a="1"/>
  <c r="U189" i="17" s="1"/>
  <c r="U228" i="17" a="1"/>
  <c r="U228" i="17" s="1"/>
  <c r="U245" i="17" a="1"/>
  <c r="U245" i="17" s="1"/>
  <c r="U262" i="17" a="1"/>
  <c r="U262" i="17" s="1"/>
  <c r="U279" i="17" a="1"/>
  <c r="U279" i="17" s="1"/>
  <c r="U296" i="17" a="1"/>
  <c r="U296" i="17" s="1"/>
  <c r="U313" i="17" a="1"/>
  <c r="U313" i="17" s="1"/>
  <c r="U330" i="17" a="1"/>
  <c r="U330" i="17" s="1"/>
  <c r="U347" i="17" a="1"/>
  <c r="U347" i="17" s="1"/>
  <c r="U364" i="17" a="1"/>
  <c r="U364" i="17" s="1"/>
  <c r="U449" i="17" a="1"/>
  <c r="U449" i="17" s="1"/>
  <c r="U466" i="17" a="1"/>
  <c r="U466" i="17" s="1"/>
  <c r="U483" i="17" a="1"/>
  <c r="U483" i="17" s="1"/>
  <c r="U391" i="17" a="1"/>
  <c r="U391" i="17" s="1"/>
  <c r="U392" i="17" a="1"/>
  <c r="U392" i="17" s="1"/>
  <c r="U393" i="17" a="1"/>
  <c r="U393" i="17" s="1"/>
  <c r="U432" i="17" a="1"/>
  <c r="U432" i="17" s="1"/>
  <c r="U602" i="17" a="1"/>
  <c r="U602" i="17" s="1"/>
  <c r="U619" i="17" a="1"/>
  <c r="U619" i="17" s="1"/>
  <c r="U636" i="17" a="1"/>
  <c r="U636" i="17" s="1"/>
  <c r="U653" i="17" a="1"/>
  <c r="U653" i="17" s="1"/>
  <c r="U670" i="17" a="1"/>
  <c r="U670" i="17" s="1"/>
  <c r="U687" i="17" a="1"/>
  <c r="U687" i="17" s="1"/>
  <c r="U704" i="17" a="1"/>
  <c r="U704" i="17" s="1"/>
  <c r="U720" i="17" a="1"/>
  <c r="U720" i="17" s="1"/>
  <c r="U741" i="17" a="1"/>
  <c r="U741" i="17" s="1"/>
  <c r="U758" i="17" a="1"/>
  <c r="U758" i="17" s="1"/>
  <c r="U775" i="17" a="1"/>
  <c r="U775" i="17" s="1"/>
  <c r="U792" i="17" a="1"/>
  <c r="U792" i="17" s="1"/>
  <c r="U809" i="17" a="1"/>
  <c r="U809" i="17" s="1"/>
  <c r="U826" i="17" a="1"/>
  <c r="U826" i="17" s="1"/>
  <c r="U843" i="17" a="1"/>
  <c r="U843" i="17" s="1"/>
  <c r="U860" i="17" a="1"/>
  <c r="U860" i="17" s="1"/>
  <c r="U877" i="17" a="1"/>
  <c r="U877" i="17" s="1"/>
  <c r="U894" i="17" a="1"/>
  <c r="U894" i="17" s="1"/>
  <c r="U911" i="17" a="1"/>
  <c r="U911" i="17" s="1"/>
  <c r="U928" i="17" a="1"/>
  <c r="U928" i="17" s="1"/>
  <c r="U945" i="17" a="1"/>
  <c r="U945" i="17" s="1"/>
  <c r="U525" i="17" a="1"/>
  <c r="U525" i="17" s="1"/>
  <c r="U526" i="17" a="1"/>
  <c r="U526" i="17" s="1"/>
  <c r="U527" i="17" a="1"/>
  <c r="U527" i="17" s="1"/>
  <c r="U528" i="17" a="1"/>
  <c r="U528" i="17" s="1"/>
  <c r="U529" i="17" a="1"/>
  <c r="U529" i="17" s="1"/>
  <c r="U530" i="17" a="1"/>
  <c r="U530" i="17" s="1"/>
  <c r="U38" i="17" a="1"/>
  <c r="U38" i="17" s="1"/>
  <c r="U39" i="17" a="1"/>
  <c r="U39" i="17" s="1"/>
  <c r="U40" i="17" a="1"/>
  <c r="U40" i="17" s="1"/>
  <c r="U41" i="17" a="1"/>
  <c r="U41" i="17"/>
  <c r="U42" i="17" a="1"/>
  <c r="U42" i="17" s="1"/>
  <c r="U43" i="17" a="1"/>
  <c r="U43" i="17" s="1"/>
  <c r="U110" i="17" a="1"/>
  <c r="U110" i="17" s="1"/>
  <c r="U127" i="17" a="1"/>
  <c r="U127" i="17" s="1"/>
  <c r="U144" i="17" a="1"/>
  <c r="U144" i="17" s="1"/>
  <c r="U161" i="17" a="1"/>
  <c r="U161" i="17" s="1"/>
  <c r="U190" i="17" a="1"/>
  <c r="U190" i="17" s="1"/>
  <c r="U191" i="17" a="1"/>
  <c r="U191" i="17" s="1"/>
  <c r="U192" i="17" a="1"/>
  <c r="U192" i="17" s="1"/>
  <c r="U229" i="17" a="1"/>
  <c r="U229" i="17" s="1"/>
  <c r="U246" i="17" a="1"/>
  <c r="U246" i="17" s="1"/>
  <c r="U263" i="17" a="1"/>
  <c r="U263" i="17" s="1"/>
  <c r="U280" i="17" a="1"/>
  <c r="U280" i="17" s="1"/>
  <c r="U297" i="17" a="1"/>
  <c r="U297" i="17" s="1"/>
  <c r="U314" i="17" a="1"/>
  <c r="U314" i="17" s="1"/>
  <c r="U331" i="17" a="1"/>
  <c r="U331" i="17" s="1"/>
  <c r="U348" i="17" a="1"/>
  <c r="U348" i="17" s="1"/>
  <c r="U365" i="17" a="1"/>
  <c r="U365" i="17" s="1"/>
  <c r="U450" i="17" a="1"/>
  <c r="U450" i="17" s="1"/>
  <c r="U467" i="17" a="1"/>
  <c r="U467" i="17" s="1"/>
  <c r="U484" i="17" a="1"/>
  <c r="U484" i="17" s="1"/>
  <c r="U394" i="17" a="1"/>
  <c r="U394" i="17" s="1"/>
  <c r="U395" i="17" a="1"/>
  <c r="U395" i="17" s="1"/>
  <c r="U396" i="17" a="1"/>
  <c r="U396" i="17" s="1"/>
  <c r="U433" i="17" a="1"/>
  <c r="U433" i="17" s="1"/>
  <c r="U603" i="17" a="1"/>
  <c r="U603" i="17" s="1"/>
  <c r="U620" i="17" a="1"/>
  <c r="U620" i="17" s="1"/>
  <c r="U637" i="17" a="1"/>
  <c r="U637" i="17" s="1"/>
  <c r="U654" i="17" a="1"/>
  <c r="U654" i="17" s="1"/>
  <c r="U671" i="17" a="1"/>
  <c r="U671" i="17" s="1"/>
  <c r="U688" i="17" a="1"/>
  <c r="U688" i="17" s="1"/>
  <c r="U705" i="17" a="1"/>
  <c r="U705" i="17" s="1"/>
  <c r="U721" i="17" a="1"/>
  <c r="U721" i="17" s="1"/>
  <c r="U732" i="17" a="1"/>
  <c r="U732" i="17" s="1"/>
  <c r="U742" i="17" a="1"/>
  <c r="U742" i="17" s="1"/>
  <c r="U759" i="17" a="1"/>
  <c r="U759" i="17" s="1"/>
  <c r="U776" i="17" a="1"/>
  <c r="U776" i="17" s="1"/>
  <c r="U793" i="17" a="1"/>
  <c r="U793" i="17" s="1"/>
  <c r="U810" i="17" a="1"/>
  <c r="U810" i="17" s="1"/>
  <c r="U827" i="17" a="1"/>
  <c r="U827" i="17" s="1"/>
  <c r="U844" i="17" a="1"/>
  <c r="U844" i="17" s="1"/>
  <c r="U861" i="17" a="1"/>
  <c r="U861" i="17" s="1"/>
  <c r="U878" i="17" a="1"/>
  <c r="U878" i="17"/>
  <c r="U895" i="17" a="1"/>
  <c r="U895" i="17" s="1"/>
  <c r="U912" i="17" a="1"/>
  <c r="U912" i="17" s="1"/>
  <c r="U929" i="17" a="1"/>
  <c r="U929" i="17" s="1"/>
  <c r="U946" i="17" a="1"/>
  <c r="U946" i="17" s="1"/>
  <c r="U531" i="17" a="1"/>
  <c r="U531" i="17" s="1"/>
  <c r="U532" i="17" a="1"/>
  <c r="U532" i="17" s="1"/>
  <c r="U533" i="17" a="1"/>
  <c r="U533" i="17" s="1"/>
  <c r="U534" i="17" a="1"/>
  <c r="U534" i="17" s="1"/>
  <c r="U535" i="17" a="1"/>
  <c r="U535" i="17"/>
  <c r="U536" i="17" a="1"/>
  <c r="U536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11" i="17" a="1"/>
  <c r="U111" i="17" s="1"/>
  <c r="U128" i="17" a="1"/>
  <c r="U128" i="17" s="1"/>
  <c r="U145" i="17" a="1"/>
  <c r="U145" i="17" s="1"/>
  <c r="U162" i="17" a="1"/>
  <c r="U162" i="17" s="1"/>
  <c r="U193" i="17" a="1"/>
  <c r="U193" i="17" s="1"/>
  <c r="U194" i="17" a="1"/>
  <c r="U194" i="17" s="1"/>
  <c r="U195" i="17" a="1"/>
  <c r="U195" i="17" s="1"/>
  <c r="U230" i="17" a="1"/>
  <c r="U230" i="17" s="1"/>
  <c r="U247" i="17" a="1"/>
  <c r="U247" i="17" s="1"/>
  <c r="U264" i="17" a="1"/>
  <c r="U264" i="17" s="1"/>
  <c r="U281" i="17" a="1"/>
  <c r="U281" i="17" s="1"/>
  <c r="U298" i="17" a="1"/>
  <c r="U298" i="17"/>
  <c r="U315" i="17" a="1"/>
  <c r="U315" i="17" s="1"/>
  <c r="U332" i="17" a="1"/>
  <c r="U332" i="17" s="1"/>
  <c r="U349" i="17" a="1"/>
  <c r="U349" i="17" s="1"/>
  <c r="U366" i="17" a="1"/>
  <c r="U366" i="17" s="1"/>
  <c r="U451" i="17" a="1"/>
  <c r="U451" i="17" s="1"/>
  <c r="U468" i="17" a="1"/>
  <c r="U468" i="17" s="1"/>
  <c r="U485" i="17" a="1"/>
  <c r="U485" i="17" s="1"/>
  <c r="U397" i="17" a="1"/>
  <c r="U397" i="17" s="1"/>
  <c r="U398" i="17" a="1"/>
  <c r="U398" i="17" s="1"/>
  <c r="U399" i="17" a="1"/>
  <c r="U399" i="17" s="1"/>
  <c r="U434" i="17" a="1"/>
  <c r="U434" i="17" s="1"/>
  <c r="U604" i="17" a="1"/>
  <c r="U604" i="17" s="1"/>
  <c r="U621" i="17" a="1"/>
  <c r="U621" i="17" s="1"/>
  <c r="U638" i="17" a="1"/>
  <c r="U638" i="17" s="1"/>
  <c r="U655" i="17" a="1"/>
  <c r="U655" i="17" s="1"/>
  <c r="U672" i="17" a="1"/>
  <c r="U672" i="17" s="1"/>
  <c r="U689" i="17" a="1"/>
  <c r="U689" i="17" s="1"/>
  <c r="U706" i="17" a="1"/>
  <c r="U706" i="17" s="1"/>
  <c r="U722" i="17" a="1"/>
  <c r="U722" i="17" s="1"/>
  <c r="U733" i="17" a="1"/>
  <c r="U733" i="17" s="1"/>
  <c r="U743" i="17" a="1"/>
  <c r="U743" i="17" s="1"/>
  <c r="U760" i="17" a="1"/>
  <c r="U760" i="17" s="1"/>
  <c r="U777" i="17" a="1"/>
  <c r="U777" i="17" s="1"/>
  <c r="U794" i="17" a="1"/>
  <c r="U794" i="17" s="1"/>
  <c r="U811" i="17" a="1"/>
  <c r="U811" i="17" s="1"/>
  <c r="U828" i="17" a="1"/>
  <c r="U828" i="17" s="1"/>
  <c r="U845" i="17" a="1"/>
  <c r="U845" i="17" s="1"/>
  <c r="U862" i="17" a="1"/>
  <c r="U862" i="17" s="1"/>
  <c r="U879" i="17" a="1"/>
  <c r="U879" i="17" s="1"/>
  <c r="U896" i="17" a="1"/>
  <c r="U896" i="17" s="1"/>
  <c r="U913" i="17" a="1"/>
  <c r="U913" i="17" s="1"/>
  <c r="U930" i="17" a="1"/>
  <c r="U930" i="17" s="1"/>
  <c r="U947" i="17" a="1"/>
  <c r="U947" i="17" s="1"/>
  <c r="U537" i="17" a="1"/>
  <c r="U537" i="17" s="1"/>
  <c r="U538" i="17" a="1"/>
  <c r="U538" i="17" s="1"/>
  <c r="U539" i="17" a="1"/>
  <c r="U539" i="17" s="1"/>
  <c r="U540" i="17" a="1"/>
  <c r="U540" i="17" s="1"/>
  <c r="U541" i="17" a="1"/>
  <c r="U541" i="17" s="1"/>
  <c r="U542" i="17" a="1"/>
  <c r="U542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12" i="17" a="1"/>
  <c r="U112" i="17" s="1"/>
  <c r="U129" i="17" a="1"/>
  <c r="U129" i="17" s="1"/>
  <c r="U146" i="17" a="1"/>
  <c r="U146" i="17"/>
  <c r="U163" i="17" a="1"/>
  <c r="U163" i="17" s="1"/>
  <c r="U196" i="17" a="1"/>
  <c r="U196" i="17" s="1"/>
  <c r="U197" i="17" a="1"/>
  <c r="U197" i="17" s="1"/>
  <c r="U198" i="17" a="1"/>
  <c r="U198" i="17" s="1"/>
  <c r="U231" i="17" a="1"/>
  <c r="U231" i="17" s="1"/>
  <c r="U248" i="17" a="1"/>
  <c r="U248" i="17" s="1"/>
  <c r="U265" i="17" a="1"/>
  <c r="U265" i="17"/>
  <c r="U282" i="17" a="1"/>
  <c r="U282" i="17" s="1"/>
  <c r="U299" i="17" a="1"/>
  <c r="U299" i="17" s="1"/>
  <c r="U316" i="17" a="1"/>
  <c r="U316" i="17" s="1"/>
  <c r="U333" i="17" a="1"/>
  <c r="U333" i="17" s="1"/>
  <c r="U350" i="17" a="1"/>
  <c r="U350" i="17" s="1"/>
  <c r="U367" i="17" a="1"/>
  <c r="U367" i="17" s="1"/>
  <c r="U452" i="17" a="1"/>
  <c r="U452" i="17" s="1"/>
  <c r="U469" i="17" a="1"/>
  <c r="U469" i="17" s="1"/>
  <c r="U486" i="17" a="1"/>
  <c r="U486" i="17" s="1"/>
  <c r="U400" i="17" a="1"/>
  <c r="U400" i="17" s="1"/>
  <c r="U401" i="17" a="1"/>
  <c r="U401" i="17" s="1"/>
  <c r="U402" i="17" a="1"/>
  <c r="U402" i="17" s="1"/>
  <c r="U435" i="17" a="1"/>
  <c r="U435" i="17"/>
  <c r="U605" i="17" a="1"/>
  <c r="U605" i="17"/>
  <c r="U622" i="17" a="1"/>
  <c r="U622" i="17" s="1"/>
  <c r="U639" i="17" a="1"/>
  <c r="U639" i="17" s="1"/>
  <c r="U656" i="17" a="1"/>
  <c r="U656" i="17" s="1"/>
  <c r="U673" i="17" a="1"/>
  <c r="U673" i="17" s="1"/>
  <c r="U690" i="17" a="1"/>
  <c r="U690" i="17" s="1"/>
  <c r="U707" i="17" a="1"/>
  <c r="U707" i="17" s="1"/>
  <c r="U744" i="17" a="1"/>
  <c r="U744" i="17" s="1"/>
  <c r="U761" i="17" a="1"/>
  <c r="U761" i="17" s="1"/>
  <c r="U778" i="17" a="1"/>
  <c r="U778" i="17" s="1"/>
  <c r="U795" i="17" a="1"/>
  <c r="U795" i="17" s="1"/>
  <c r="U812" i="17" a="1"/>
  <c r="U812" i="17" s="1"/>
  <c r="U829" i="17" a="1"/>
  <c r="U829" i="17" s="1"/>
  <c r="U846" i="17" a="1"/>
  <c r="U846" i="17" s="1"/>
  <c r="U863" i="17" a="1"/>
  <c r="U863" i="17" s="1"/>
  <c r="U880" i="17" a="1"/>
  <c r="U880" i="17" s="1"/>
  <c r="U897" i="17" a="1"/>
  <c r="U897" i="17" s="1"/>
  <c r="U914" i="17" a="1"/>
  <c r="U914" i="17" s="1"/>
  <c r="U931" i="17" a="1"/>
  <c r="U931" i="17"/>
  <c r="U948" i="17" a="1"/>
  <c r="U948" i="17" s="1"/>
  <c r="U543" i="17" a="1"/>
  <c r="U543" i="17" s="1"/>
  <c r="U544" i="17" a="1"/>
  <c r="U544" i="17" s="1"/>
  <c r="U545" i="17" a="1"/>
  <c r="U545" i="17" s="1"/>
  <c r="U546" i="17" a="1"/>
  <c r="U546" i="17" s="1"/>
  <c r="U547" i="17" a="1"/>
  <c r="U547" i="17" s="1"/>
  <c r="U548" i="17" a="1"/>
  <c r="U548" i="17" s="1"/>
  <c r="U56" i="17" a="1"/>
  <c r="U56" i="17" s="1"/>
  <c r="U57" i="17" a="1"/>
  <c r="U57" i="17"/>
  <c r="U58" i="17" a="1"/>
  <c r="U58" i="17" s="1"/>
  <c r="U59" i="17" a="1"/>
  <c r="U59" i="17" s="1"/>
  <c r="U60" i="17" a="1"/>
  <c r="U60" i="17" s="1"/>
  <c r="U61" i="17" a="1"/>
  <c r="U61" i="17"/>
  <c r="U113" i="17" a="1"/>
  <c r="U113" i="17"/>
  <c r="U130" i="17" a="1"/>
  <c r="U130" i="17" s="1"/>
  <c r="U147" i="17" a="1"/>
  <c r="U147" i="17" s="1"/>
  <c r="U164" i="17" a="1"/>
  <c r="U164" i="17" s="1"/>
  <c r="U199" i="17" a="1"/>
  <c r="U199" i="17" s="1"/>
  <c r="U200" i="17" a="1"/>
  <c r="U200" i="17" s="1"/>
  <c r="U201" i="17" a="1"/>
  <c r="U201" i="17" s="1"/>
  <c r="U232" i="17" a="1"/>
  <c r="U232" i="17" s="1"/>
  <c r="U249" i="17" a="1"/>
  <c r="U249" i="17" s="1"/>
  <c r="U266" i="17" a="1"/>
  <c r="U266" i="17" s="1"/>
  <c r="U283" i="17" a="1"/>
  <c r="U283" i="17" s="1"/>
  <c r="U300" i="17" a="1"/>
  <c r="U300" i="17" s="1"/>
  <c r="U317" i="17" a="1"/>
  <c r="U317" i="17" s="1"/>
  <c r="U334" i="17" a="1"/>
  <c r="U334" i="17" s="1"/>
  <c r="U351" i="17" a="1"/>
  <c r="U351" i="17" s="1"/>
  <c r="U368" i="17" a="1"/>
  <c r="U368" i="17" s="1"/>
  <c r="U453" i="17" a="1"/>
  <c r="U453" i="17" s="1"/>
  <c r="U470" i="17" a="1"/>
  <c r="U470" i="17" s="1"/>
  <c r="U487" i="17" a="1"/>
  <c r="U487" i="17" s="1"/>
  <c r="U403" i="17" a="1"/>
  <c r="U403" i="17" s="1"/>
  <c r="U404" i="17" a="1"/>
  <c r="U404" i="17" s="1"/>
  <c r="U405" i="17" a="1"/>
  <c r="U405" i="17" s="1"/>
  <c r="U436" i="17" a="1"/>
  <c r="U436" i="17" s="1"/>
  <c r="U606" i="17" a="1"/>
  <c r="U606" i="17"/>
  <c r="U623" i="17" a="1"/>
  <c r="U623" i="17" s="1"/>
  <c r="U640" i="17" a="1"/>
  <c r="U640" i="17" s="1"/>
  <c r="U657" i="17" a="1"/>
  <c r="U657" i="17" s="1"/>
  <c r="U674" i="17" a="1"/>
  <c r="U674" i="17" s="1"/>
  <c r="U691" i="17" a="1"/>
  <c r="U691" i="17" s="1"/>
  <c r="U708" i="17" a="1"/>
  <c r="U708" i="17" s="1"/>
  <c r="U745" i="17" a="1"/>
  <c r="U745" i="17" s="1"/>
  <c r="U762" i="17" a="1"/>
  <c r="U762" i="17" s="1"/>
  <c r="U779" i="17" a="1"/>
  <c r="U779" i="17" s="1"/>
  <c r="U796" i="17" a="1"/>
  <c r="U796" i="17" s="1"/>
  <c r="U813" i="17" a="1"/>
  <c r="U813" i="17" s="1"/>
  <c r="U830" i="17" a="1"/>
  <c r="U830" i="17" s="1"/>
  <c r="U847" i="17" a="1"/>
  <c r="U847" i="17" s="1"/>
  <c r="U864" i="17" a="1"/>
  <c r="U864" i="17" s="1"/>
  <c r="U881" i="17" a="1"/>
  <c r="U881" i="17" s="1"/>
  <c r="U898" i="17" a="1"/>
  <c r="U898" i="17" s="1"/>
  <c r="U915" i="17" a="1"/>
  <c r="U915" i="17" s="1"/>
  <c r="U932" i="17" a="1"/>
  <c r="U932" i="17" s="1"/>
  <c r="U949" i="17" a="1"/>
  <c r="U949" i="17" s="1"/>
  <c r="U549" i="17" a="1"/>
  <c r="U549" i="17" s="1"/>
  <c r="U550" i="17" a="1"/>
  <c r="U550" i="17" s="1"/>
  <c r="U551" i="17" a="1"/>
  <c r="U551" i="17" s="1"/>
  <c r="U552" i="17" a="1"/>
  <c r="U552" i="17" s="1"/>
  <c r="U553" i="17" a="1"/>
  <c r="U553" i="17" s="1"/>
  <c r="U554" i="17" a="1"/>
  <c r="U554" i="17" s="1"/>
  <c r="U62" i="17" a="1"/>
  <c r="U62" i="17" s="1"/>
  <c r="U63" i="17" a="1"/>
  <c r="U63" i="17"/>
  <c r="U64" i="17" a="1"/>
  <c r="U64" i="17" s="1"/>
  <c r="U65" i="17" a="1"/>
  <c r="U65" i="17" s="1"/>
  <c r="U66" i="17" a="1"/>
  <c r="U66" i="17" s="1"/>
  <c r="U67" i="17" a="1"/>
  <c r="U67" i="17" s="1"/>
  <c r="U114" i="17" a="1"/>
  <c r="U114" i="17"/>
  <c r="U131" i="17" a="1"/>
  <c r="U131" i="17" s="1"/>
  <c r="U148" i="17" a="1"/>
  <c r="U148" i="17" s="1"/>
  <c r="U165" i="17" a="1"/>
  <c r="U165" i="17" s="1"/>
  <c r="U202" i="17" a="1"/>
  <c r="U202" i="17"/>
  <c r="U203" i="17" a="1"/>
  <c r="U203" i="17" s="1"/>
  <c r="U204" i="17" a="1"/>
  <c r="U204" i="17" s="1"/>
  <c r="U233" i="17" a="1"/>
  <c r="U233" i="17" s="1"/>
  <c r="U250" i="17" a="1"/>
  <c r="U250" i="17" s="1"/>
  <c r="U267" i="17" a="1"/>
  <c r="U267" i="17"/>
  <c r="U284" i="17" a="1"/>
  <c r="U284" i="17" s="1"/>
  <c r="U301" i="17" a="1"/>
  <c r="U301" i="17" s="1"/>
  <c r="U318" i="17" a="1"/>
  <c r="U318" i="17" s="1"/>
  <c r="U335" i="17" a="1"/>
  <c r="U335" i="17" s="1"/>
  <c r="U352" i="17" a="1"/>
  <c r="U352" i="17" s="1"/>
  <c r="U369" i="17" a="1"/>
  <c r="U369" i="17" s="1"/>
  <c r="U454" i="17" a="1"/>
  <c r="U454" i="17" s="1"/>
  <c r="U471" i="17" a="1"/>
  <c r="U471" i="17" s="1"/>
  <c r="U488" i="17" a="1"/>
  <c r="U488" i="17" s="1"/>
  <c r="U406" i="17" a="1"/>
  <c r="U406" i="17" s="1"/>
  <c r="U407" i="17" a="1"/>
  <c r="U407" i="17" s="1"/>
  <c r="U408" i="17" a="1"/>
  <c r="U408" i="17" s="1"/>
  <c r="U437" i="17" a="1"/>
  <c r="U437" i="17" s="1"/>
  <c r="U607" i="17" a="1"/>
  <c r="U607" i="17" s="1"/>
  <c r="U624" i="17" a="1"/>
  <c r="U624" i="17" s="1"/>
  <c r="U641" i="17" a="1"/>
  <c r="U641" i="17" s="1"/>
  <c r="U658" i="17" a="1"/>
  <c r="U658" i="17" s="1"/>
  <c r="U675" i="17" a="1"/>
  <c r="U675" i="17" s="1"/>
  <c r="U692" i="17" a="1"/>
  <c r="U692" i="17" s="1"/>
  <c r="U709" i="17" a="1"/>
  <c r="U709" i="17" s="1"/>
  <c r="U723" i="17" a="1"/>
  <c r="U723" i="17" s="1"/>
  <c r="U734" i="17" a="1"/>
  <c r="U734" i="17" s="1"/>
  <c r="U746" i="17" a="1"/>
  <c r="U746" i="17"/>
  <c r="U763" i="17" a="1"/>
  <c r="U763" i="17" s="1"/>
  <c r="U780" i="17" a="1"/>
  <c r="U780" i="17" s="1"/>
  <c r="U797" i="17" a="1"/>
  <c r="U797" i="17" s="1"/>
  <c r="U814" i="17" a="1"/>
  <c r="U814" i="17" s="1"/>
  <c r="U831" i="17" a="1"/>
  <c r="U831" i="17" s="1"/>
  <c r="U848" i="17" a="1"/>
  <c r="U848" i="17" s="1"/>
  <c r="U865" i="17" a="1"/>
  <c r="U865" i="17" s="1"/>
  <c r="U882" i="17" a="1"/>
  <c r="U882" i="17" s="1"/>
  <c r="U899" i="17" a="1"/>
  <c r="U899" i="17" s="1"/>
  <c r="U916" i="17" a="1"/>
  <c r="U916" i="17" s="1"/>
  <c r="U933" i="17" a="1"/>
  <c r="U933" i="17" s="1"/>
  <c r="U950" i="17" a="1"/>
  <c r="U950" i="17" s="1"/>
  <c r="U555" i="17" a="1"/>
  <c r="U555" i="17" s="1"/>
  <c r="U556" i="17" a="1"/>
  <c r="U556" i="17" s="1"/>
  <c r="U557" i="17" a="1"/>
  <c r="U557" i="17" s="1"/>
  <c r="U558" i="17" a="1"/>
  <c r="U558" i="17" s="1"/>
  <c r="U559" i="17" a="1"/>
  <c r="U559" i="17" s="1"/>
  <c r="U560" i="17" a="1"/>
  <c r="U560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15" i="17" a="1"/>
  <c r="U115" i="17" s="1"/>
  <c r="U132" i="17" a="1"/>
  <c r="U132" i="17" s="1"/>
  <c r="U149" i="17" a="1"/>
  <c r="U149" i="17"/>
  <c r="U166" i="17" a="1"/>
  <c r="U166" i="17" s="1"/>
  <c r="U205" i="17" a="1"/>
  <c r="U205" i="17" s="1"/>
  <c r="U206" i="17" a="1"/>
  <c r="U206" i="17" s="1"/>
  <c r="U207" i="17" a="1"/>
  <c r="U207" i="17" s="1"/>
  <c r="U234" i="17" a="1"/>
  <c r="U234" i="17"/>
  <c r="U251" i="17" a="1"/>
  <c r="U251" i="17" s="1"/>
  <c r="U268" i="17" a="1"/>
  <c r="U268" i="17" s="1"/>
  <c r="U285" i="17" a="1"/>
  <c r="U285" i="17" s="1"/>
  <c r="U302" i="17" a="1"/>
  <c r="U302" i="17" s="1"/>
  <c r="U319" i="17" a="1"/>
  <c r="U319" i="17" s="1"/>
  <c r="U336" i="17" a="1"/>
  <c r="U336" i="17" s="1"/>
  <c r="U353" i="17" a="1"/>
  <c r="U353" i="17" s="1"/>
  <c r="U370" i="17" a="1"/>
  <c r="U370" i="17" s="1"/>
  <c r="U455" i="17" a="1"/>
  <c r="U455" i="17"/>
  <c r="U472" i="17" a="1"/>
  <c r="U472" i="17" s="1"/>
  <c r="U489" i="17" a="1"/>
  <c r="U489" i="17"/>
  <c r="U409" i="17" a="1"/>
  <c r="U409" i="17" s="1"/>
  <c r="U410" i="17" a="1"/>
  <c r="U410" i="17" s="1"/>
  <c r="U411" i="17" a="1"/>
  <c r="U411" i="17" s="1"/>
  <c r="U438" i="17" a="1"/>
  <c r="U438" i="17" s="1"/>
  <c r="U608" i="17" a="1"/>
  <c r="U608" i="17" s="1"/>
  <c r="U625" i="17" a="1"/>
  <c r="U625" i="17"/>
  <c r="U642" i="17" a="1"/>
  <c r="U642" i="17" s="1"/>
  <c r="U659" i="17" a="1"/>
  <c r="U659" i="17" s="1"/>
  <c r="U676" i="17" a="1"/>
  <c r="U676" i="17"/>
  <c r="U693" i="17" a="1"/>
  <c r="U693" i="17" s="1"/>
  <c r="U710" i="17" a="1"/>
  <c r="U710" i="17" s="1"/>
  <c r="U724" i="17" a="1"/>
  <c r="U724" i="17"/>
  <c r="U747" i="17" a="1"/>
  <c r="U747" i="17" s="1"/>
  <c r="U764" i="17" a="1"/>
  <c r="U764" i="17" s="1"/>
  <c r="U781" i="17" a="1"/>
  <c r="U781" i="17" s="1"/>
  <c r="U798" i="17" a="1"/>
  <c r="U798" i="17" s="1"/>
  <c r="U815" i="17" a="1"/>
  <c r="U815" i="17" s="1"/>
  <c r="U832" i="17" a="1"/>
  <c r="U832" i="17" s="1"/>
  <c r="U849" i="17" a="1"/>
  <c r="U849" i="17" s="1"/>
  <c r="U866" i="17" a="1"/>
  <c r="U866" i="17"/>
  <c r="U883" i="17" a="1"/>
  <c r="U883" i="17" s="1"/>
  <c r="U900" i="17" a="1"/>
  <c r="U900" i="17"/>
  <c r="U917" i="17" a="1"/>
  <c r="U917" i="17" s="1"/>
  <c r="U934" i="17" a="1"/>
  <c r="U934" i="17" s="1"/>
  <c r="U951" i="17" a="1"/>
  <c r="U951" i="17"/>
  <c r="U561" i="17" a="1"/>
  <c r="U561" i="17" s="1"/>
  <c r="U562" i="17" a="1"/>
  <c r="U562" i="17" s="1"/>
  <c r="U563" i="17" a="1"/>
  <c r="U563" i="17" s="1"/>
  <c r="U564" i="17" a="1"/>
  <c r="U564" i="17" s="1"/>
  <c r="U565" i="17" a="1"/>
  <c r="U565" i="17"/>
  <c r="U566" i="17" a="1"/>
  <c r="U566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16" i="17" a="1"/>
  <c r="U116" i="17"/>
  <c r="U133" i="17" a="1"/>
  <c r="U133" i="17" s="1"/>
  <c r="U150" i="17" a="1"/>
  <c r="U150" i="17" s="1"/>
  <c r="U167" i="17" a="1"/>
  <c r="U167" i="17"/>
  <c r="U208" i="17" a="1"/>
  <c r="U208" i="17" s="1"/>
  <c r="U209" i="17" a="1"/>
  <c r="U209" i="17" s="1"/>
  <c r="U210" i="17" a="1"/>
  <c r="U210" i="17"/>
  <c r="U235" i="17" a="1"/>
  <c r="U235" i="17" s="1"/>
  <c r="U252" i="17" a="1"/>
  <c r="U252" i="17" s="1"/>
  <c r="U269" i="17" a="1"/>
  <c r="U269" i="17" s="1"/>
  <c r="U286" i="17" a="1"/>
  <c r="U286" i="17" s="1"/>
  <c r="U303" i="17" a="1"/>
  <c r="U303" i="17" s="1"/>
  <c r="U320" i="17" a="1"/>
  <c r="U320" i="17"/>
  <c r="U337" i="17" a="1"/>
  <c r="U337" i="17" s="1"/>
  <c r="U354" i="17" a="1"/>
  <c r="U354" i="17" s="1"/>
  <c r="U371" i="17" a="1"/>
  <c r="U371" i="17" s="1"/>
  <c r="U456" i="17" a="1"/>
  <c r="U456" i="17" s="1"/>
  <c r="U473" i="17" a="1"/>
  <c r="U473" i="17" s="1"/>
  <c r="U490" i="17" a="1"/>
  <c r="U490" i="17" s="1"/>
  <c r="U412" i="17" a="1"/>
  <c r="U412" i="17"/>
  <c r="U413" i="17" a="1"/>
  <c r="U413" i="17" s="1"/>
  <c r="U414" i="17" a="1"/>
  <c r="U414" i="17" s="1"/>
  <c r="U439" i="17" a="1"/>
  <c r="U439" i="17" s="1"/>
  <c r="U609" i="17" a="1"/>
  <c r="U609" i="17"/>
  <c r="U626" i="17" a="1"/>
  <c r="U626" i="17" s="1"/>
  <c r="U643" i="17" a="1"/>
  <c r="U643" i="17" s="1"/>
  <c r="U660" i="17" a="1"/>
  <c r="U660" i="17" s="1"/>
  <c r="U677" i="17" a="1"/>
  <c r="U677" i="17" s="1"/>
  <c r="U694" i="17" a="1"/>
  <c r="U694" i="17"/>
  <c r="U711" i="17" a="1"/>
  <c r="U711" i="17" s="1"/>
  <c r="U748" i="17" a="1"/>
  <c r="U748" i="17"/>
  <c r="U765" i="17" a="1"/>
  <c r="U765" i="17" s="1"/>
  <c r="U782" i="17" a="1"/>
  <c r="U782" i="17" s="1"/>
  <c r="U799" i="17" a="1"/>
  <c r="U799" i="17" s="1"/>
  <c r="U816" i="17" a="1"/>
  <c r="U816" i="17" s="1"/>
  <c r="U833" i="17" a="1"/>
  <c r="U833" i="17" s="1"/>
  <c r="U850" i="17" a="1"/>
  <c r="U850" i="17" s="1"/>
  <c r="U867" i="17" a="1"/>
  <c r="U867" i="17" s="1"/>
  <c r="U884" i="17" a="1"/>
  <c r="U884" i="17" s="1"/>
  <c r="U901" i="17" a="1"/>
  <c r="U901" i="17"/>
  <c r="U918" i="17" a="1"/>
  <c r="U918" i="17" s="1"/>
  <c r="U935" i="17" a="1"/>
  <c r="U935" i="17" s="1"/>
  <c r="U952" i="17" a="1"/>
  <c r="U952" i="17" s="1"/>
  <c r="U567" i="17" a="1"/>
  <c r="U567" i="17" s="1"/>
  <c r="U568" i="17" a="1"/>
  <c r="U568" i="17" s="1"/>
  <c r="U569" i="17" a="1"/>
  <c r="U569" i="17" s="1"/>
  <c r="U570" i="17" a="1"/>
  <c r="U570" i="17" s="1"/>
  <c r="U571" i="17" a="1"/>
  <c r="U571" i="17" s="1"/>
  <c r="U572" i="17" a="1"/>
  <c r="U572" i="17"/>
  <c r="U80" i="17" a="1"/>
  <c r="U80" i="17" s="1"/>
  <c r="U81" i="17" a="1"/>
  <c r="U81" i="17" s="1"/>
  <c r="U82" i="17" a="1"/>
  <c r="U82" i="17"/>
  <c r="U83" i="17" a="1"/>
  <c r="U83" i="17" s="1"/>
  <c r="U84" i="17" a="1"/>
  <c r="U84" i="17" s="1"/>
  <c r="U85" i="17" a="1"/>
  <c r="U85" i="17" s="1"/>
  <c r="U117" i="17" a="1"/>
  <c r="U117" i="17" s="1"/>
  <c r="U134" i="17" a="1"/>
  <c r="U134" i="17" s="1"/>
  <c r="U151" i="17" a="1"/>
  <c r="U151" i="17" s="1"/>
  <c r="U168" i="17" a="1"/>
  <c r="U168" i="17" s="1"/>
  <c r="U211" i="17" a="1"/>
  <c r="U211" i="17" s="1"/>
  <c r="U212" i="17" a="1"/>
  <c r="U212" i="17" s="1"/>
  <c r="U213" i="17" a="1"/>
  <c r="U213" i="17" s="1"/>
  <c r="U236" i="17" a="1"/>
  <c r="U236" i="17" s="1"/>
  <c r="U253" i="17" a="1"/>
  <c r="U253" i="17" s="1"/>
  <c r="U270" i="17" a="1"/>
  <c r="U270" i="17" s="1"/>
  <c r="U287" i="17" a="1"/>
  <c r="U287" i="17" s="1"/>
  <c r="U304" i="17" a="1"/>
  <c r="U304" i="17" s="1"/>
  <c r="U321" i="17" a="1"/>
  <c r="U321" i="17" s="1"/>
  <c r="U338" i="17" a="1"/>
  <c r="U338" i="17" s="1"/>
  <c r="U355" i="17" a="1"/>
  <c r="U355" i="17" s="1"/>
  <c r="U372" i="17" a="1"/>
  <c r="U372" i="17" s="1"/>
  <c r="U457" i="17" a="1"/>
  <c r="U457" i="17" s="1"/>
  <c r="U474" i="17" a="1"/>
  <c r="U474" i="17" s="1"/>
  <c r="U491" i="17" a="1"/>
  <c r="U491" i="17" s="1"/>
  <c r="U415" i="17" a="1"/>
  <c r="U415" i="17" s="1"/>
  <c r="U416" i="17" a="1"/>
  <c r="U416" i="17" s="1"/>
  <c r="U417" i="17" a="1"/>
  <c r="U417" i="17" s="1"/>
  <c r="U440" i="17" a="1"/>
  <c r="U440" i="17" s="1"/>
  <c r="U610" i="17" a="1"/>
  <c r="U610" i="17"/>
  <c r="U627" i="17" a="1"/>
  <c r="U627" i="17" s="1"/>
  <c r="U644" i="17" a="1"/>
  <c r="U644" i="17" s="1"/>
  <c r="U661" i="17" a="1"/>
  <c r="U661" i="17" s="1"/>
  <c r="U678" i="17" a="1"/>
  <c r="U678" i="17" s="1"/>
  <c r="U695" i="17" a="1"/>
  <c r="U695" i="17" s="1"/>
  <c r="U712" i="17" a="1"/>
  <c r="U712" i="17" s="1"/>
  <c r="U725" i="17" a="1"/>
  <c r="U725" i="17" s="1"/>
  <c r="U749" i="17" a="1"/>
  <c r="U749" i="17" s="1"/>
  <c r="U766" i="17" a="1"/>
  <c r="U766" i="17"/>
  <c r="U783" i="17" a="1"/>
  <c r="U783" i="17" s="1"/>
  <c r="U800" i="17" a="1"/>
  <c r="U800" i="17" s="1"/>
  <c r="U817" i="17" a="1"/>
  <c r="U817" i="17"/>
  <c r="U834" i="17" a="1"/>
  <c r="U834" i="17" s="1"/>
  <c r="U851" i="17" a="1"/>
  <c r="U851" i="17" s="1"/>
  <c r="U868" i="17" a="1"/>
  <c r="U868" i="17" s="1"/>
  <c r="U885" i="17" a="1"/>
  <c r="U885" i="17" s="1"/>
  <c r="U902" i="17" a="1"/>
  <c r="U902" i="17" s="1"/>
  <c r="U919" i="17" a="1"/>
  <c r="U919" i="17" s="1"/>
  <c r="U936" i="17" a="1"/>
  <c r="U936" i="17" s="1"/>
  <c r="U953" i="17" a="1"/>
  <c r="U953" i="17" s="1"/>
  <c r="U573" i="17" a="1"/>
  <c r="U573" i="17"/>
  <c r="U574" i="17" a="1"/>
  <c r="U574" i="17" s="1"/>
  <c r="U575" i="17" a="1"/>
  <c r="U575" i="17" s="1"/>
  <c r="U576" i="17" a="1"/>
  <c r="U576" i="17" s="1"/>
  <c r="U577" i="17" a="1"/>
  <c r="U577" i="17" s="1"/>
  <c r="U578" i="17" a="1"/>
  <c r="U578" i="17" s="1"/>
  <c r="U86" i="17" a="1"/>
  <c r="U86" i="17" s="1"/>
  <c r="U87" i="17" a="1"/>
  <c r="U87" i="17"/>
  <c r="U88" i="17" a="1"/>
  <c r="U88" i="17" s="1"/>
  <c r="U89" i="17" a="1"/>
  <c r="U89" i="17" s="1"/>
  <c r="U90" i="17" a="1"/>
  <c r="U90" i="17" s="1"/>
  <c r="U91" i="17" a="1"/>
  <c r="U91" i="17" s="1"/>
  <c r="U118" i="17" a="1"/>
  <c r="U118" i="17" s="1"/>
  <c r="U135" i="17" a="1"/>
  <c r="U135" i="17" s="1"/>
  <c r="U152" i="17" a="1"/>
  <c r="U152" i="17" s="1"/>
  <c r="U169" i="17" a="1"/>
  <c r="U169" i="17" s="1"/>
  <c r="U214" i="17" a="1"/>
  <c r="U214" i="17"/>
  <c r="U215" i="17" a="1"/>
  <c r="U215" i="17" s="1"/>
  <c r="U216" i="17" a="1"/>
  <c r="U216" i="17" s="1"/>
  <c r="U237" i="17" a="1"/>
  <c r="U237" i="17" s="1"/>
  <c r="U254" i="17" a="1"/>
  <c r="U254" i="17"/>
  <c r="U271" i="17" a="1"/>
  <c r="U271" i="17" s="1"/>
  <c r="U288" i="17" a="1"/>
  <c r="U288" i="17" s="1"/>
  <c r="U305" i="17" a="1"/>
  <c r="U305" i="17" s="1"/>
  <c r="U322" i="17" a="1"/>
  <c r="U322" i="17" s="1"/>
  <c r="U339" i="17" a="1"/>
  <c r="U339" i="17" s="1"/>
  <c r="U356" i="17" a="1"/>
  <c r="U356" i="17" s="1"/>
  <c r="U373" i="17" a="1"/>
  <c r="U373" i="17" s="1"/>
  <c r="U458" i="17" a="1"/>
  <c r="U458" i="17" s="1"/>
  <c r="U475" i="17" a="1"/>
  <c r="U475" i="17" s="1"/>
  <c r="U492" i="17" a="1"/>
  <c r="U492" i="17" s="1"/>
  <c r="U418" i="17" a="1"/>
  <c r="U418" i="17" s="1"/>
  <c r="U419" i="17" a="1"/>
  <c r="U419" i="17"/>
  <c r="U420" i="17" a="1"/>
  <c r="U420" i="17" s="1"/>
  <c r="U441" i="17" a="1"/>
  <c r="U441" i="17" s="1"/>
  <c r="U611" i="17" a="1"/>
  <c r="U611" i="17" s="1"/>
  <c r="U628" i="17" a="1"/>
  <c r="U628" i="17" s="1"/>
  <c r="U645" i="17" a="1"/>
  <c r="U645" i="17" s="1"/>
  <c r="U662" i="17" a="1"/>
  <c r="U662" i="17" s="1"/>
  <c r="U679" i="17" a="1"/>
  <c r="U679" i="17"/>
  <c r="U696" i="17" a="1"/>
  <c r="U696" i="17" s="1"/>
  <c r="U713" i="17" a="1"/>
  <c r="U713" i="17"/>
  <c r="U726" i="17" a="1"/>
  <c r="U726" i="17" s="1"/>
  <c r="U735" i="17" a="1"/>
  <c r="U735" i="17" s="1"/>
  <c r="U750" i="17" a="1"/>
  <c r="U750" i="17" s="1"/>
  <c r="U767" i="17" a="1"/>
  <c r="U767" i="17" s="1"/>
  <c r="U784" i="17" a="1"/>
  <c r="U784" i="17" s="1"/>
  <c r="U801" i="17" a="1"/>
  <c r="U801" i="17" s="1"/>
  <c r="U818" i="17" a="1"/>
  <c r="U818" i="17"/>
  <c r="U835" i="17" a="1"/>
  <c r="U835" i="17" s="1"/>
  <c r="U852" i="17" a="1"/>
  <c r="U852" i="17" s="1"/>
  <c r="U869" i="17" a="1"/>
  <c r="U869" i="17" s="1"/>
  <c r="U886" i="17" a="1"/>
  <c r="U886" i="17" s="1"/>
  <c r="U903" i="17" a="1"/>
  <c r="U903" i="17"/>
  <c r="U920" i="17" a="1"/>
  <c r="U920" i="17" s="1"/>
  <c r="U937" i="17" a="1"/>
  <c r="U937" i="17" s="1"/>
  <c r="U954" i="17" a="1"/>
  <c r="U954" i="17" s="1"/>
  <c r="U579" i="17" a="1"/>
  <c r="U579" i="17" s="1"/>
  <c r="U580" i="17" a="1"/>
  <c r="U580" i="17" s="1"/>
  <c r="U581" i="17" a="1"/>
  <c r="U581" i="17" s="1"/>
  <c r="U582" i="17" a="1"/>
  <c r="U582" i="17" s="1"/>
  <c r="U583" i="17" a="1"/>
  <c r="U583" i="17" s="1"/>
  <c r="U584" i="17" a="1"/>
  <c r="U584" i="17" s="1"/>
  <c r="U92" i="17" a="1"/>
  <c r="U92" i="17" s="1"/>
  <c r="U93" i="17" a="1"/>
  <c r="U93" i="17" s="1"/>
  <c r="U94" i="17" a="1"/>
  <c r="U94" i="17"/>
  <c r="U95" i="17" a="1"/>
  <c r="U95" i="17" s="1"/>
  <c r="U96" i="17" a="1"/>
  <c r="U96" i="17" s="1"/>
  <c r="U97" i="17" a="1"/>
  <c r="U97" i="17" s="1"/>
  <c r="U119" i="17" a="1"/>
  <c r="U119" i="17" s="1"/>
  <c r="U136" i="17" a="1"/>
  <c r="U136" i="17" s="1"/>
  <c r="U153" i="17" a="1"/>
  <c r="U153" i="17" s="1"/>
  <c r="U170" i="17" a="1"/>
  <c r="U170" i="17" s="1"/>
  <c r="U217" i="17" a="1"/>
  <c r="U217" i="17" s="1"/>
  <c r="U218" i="17" a="1"/>
  <c r="U218" i="17" s="1"/>
  <c r="U219" i="17" a="1"/>
  <c r="U219" i="17" s="1"/>
  <c r="U238" i="17" a="1"/>
  <c r="U238" i="17"/>
  <c r="U255" i="17" a="1"/>
  <c r="U255" i="17" s="1"/>
  <c r="U272" i="17" a="1"/>
  <c r="U272" i="17" s="1"/>
  <c r="U289" i="17" a="1"/>
  <c r="U289" i="17" s="1"/>
  <c r="U306" i="17" a="1"/>
  <c r="U306" i="17" s="1"/>
  <c r="U323" i="17" a="1"/>
  <c r="U323" i="17" s="1"/>
  <c r="U340" i="17" a="1"/>
  <c r="U340" i="17" s="1"/>
  <c r="U357" i="17" a="1"/>
  <c r="U357" i="17" s="1"/>
  <c r="U374" i="17" a="1"/>
  <c r="U374" i="17" s="1"/>
  <c r="U459" i="17" a="1"/>
  <c r="U459" i="17" s="1"/>
  <c r="U476" i="17" a="1"/>
  <c r="U476" i="17" s="1"/>
  <c r="U493" i="17" a="1"/>
  <c r="U493" i="17" s="1"/>
  <c r="U421" i="17" a="1"/>
  <c r="U421" i="17" s="1"/>
  <c r="U422" i="17" a="1"/>
  <c r="U422" i="17" s="1"/>
  <c r="U423" i="17" a="1"/>
  <c r="U423" i="17" s="1"/>
  <c r="U442" i="17" a="1"/>
  <c r="U442" i="17" s="1"/>
  <c r="U612" i="17" a="1"/>
  <c r="U612" i="17" s="1"/>
  <c r="U629" i="17" a="1"/>
  <c r="U629" i="17" s="1"/>
  <c r="U646" i="17" a="1"/>
  <c r="U646" i="17" s="1"/>
  <c r="U663" i="17" a="1"/>
  <c r="U663" i="17" s="1"/>
  <c r="U680" i="17" a="1"/>
  <c r="U680" i="17"/>
  <c r="U697" i="17" a="1"/>
  <c r="U697" i="17" s="1"/>
  <c r="U714" i="17" a="1"/>
  <c r="U714" i="17" s="1"/>
  <c r="U727" i="17" a="1"/>
  <c r="U727" i="17" s="1"/>
  <c r="U751" i="17" a="1"/>
  <c r="U751" i="17" s="1"/>
  <c r="U768" i="17" a="1"/>
  <c r="U768" i="17" s="1"/>
  <c r="U785" i="17" a="1"/>
  <c r="U785" i="17" s="1"/>
  <c r="U802" i="17" a="1"/>
  <c r="U802" i="17" s="1"/>
  <c r="U819" i="17" a="1"/>
  <c r="U819" i="17" s="1"/>
  <c r="U836" i="17" a="1"/>
  <c r="U836" i="17" s="1"/>
  <c r="U853" i="17" a="1"/>
  <c r="U853" i="17" s="1"/>
  <c r="U870" i="17" a="1"/>
  <c r="U870" i="17" s="1"/>
  <c r="U887" i="17" a="1"/>
  <c r="U887" i="17"/>
  <c r="U904" i="17" a="1"/>
  <c r="U904" i="17" s="1"/>
  <c r="U921" i="17" a="1"/>
  <c r="U921" i="17" s="1"/>
  <c r="U938" i="17" a="1"/>
  <c r="U938" i="17" s="1"/>
  <c r="U955" i="17" a="1"/>
  <c r="U955" i="17"/>
  <c r="U585" i="17" a="1"/>
  <c r="U585" i="17" s="1"/>
  <c r="U586" i="17" a="1"/>
  <c r="U586" i="17" s="1"/>
  <c r="U587" i="17" a="1"/>
  <c r="U587" i="17" s="1"/>
  <c r="U588" i="17" a="1"/>
  <c r="U588" i="17" s="1"/>
  <c r="U589" i="17" a="1"/>
  <c r="U589" i="17" s="1"/>
  <c r="U590" i="17" a="1"/>
  <c r="U590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/>
  <c r="U120" i="17" a="1"/>
  <c r="U120" i="17" s="1"/>
  <c r="U137" i="17" a="1"/>
  <c r="U137" i="17" s="1"/>
  <c r="U154" i="17" a="1"/>
  <c r="U154" i="17" s="1"/>
  <c r="U171" i="17" a="1"/>
  <c r="U171" i="17" s="1"/>
  <c r="U220" i="17" a="1"/>
  <c r="U220" i="17" s="1"/>
  <c r="U221" i="17" a="1"/>
  <c r="U221" i="17" s="1"/>
  <c r="U222" i="17" a="1"/>
  <c r="U222" i="17" s="1"/>
  <c r="U239" i="17" a="1"/>
  <c r="U239" i="17" s="1"/>
  <c r="U256" i="17" a="1"/>
  <c r="U256" i="17" s="1"/>
  <c r="U273" i="17" a="1"/>
  <c r="U273" i="17" s="1"/>
  <c r="U290" i="17" a="1"/>
  <c r="U290" i="17" s="1"/>
  <c r="U307" i="17" a="1"/>
  <c r="U307" i="17" s="1"/>
  <c r="U324" i="17" a="1"/>
  <c r="U324" i="17" s="1"/>
  <c r="U341" i="17" a="1"/>
  <c r="U341" i="17" s="1"/>
  <c r="U358" i="17" a="1"/>
  <c r="U358" i="17" s="1"/>
  <c r="U375" i="17" a="1"/>
  <c r="U375" i="17"/>
  <c r="U460" i="17" a="1"/>
  <c r="U460" i="17" s="1"/>
  <c r="U477" i="17" a="1"/>
  <c r="U477" i="17" s="1"/>
  <c r="U494" i="17" a="1"/>
  <c r="U494" i="17" s="1"/>
  <c r="U424" i="17" a="1"/>
  <c r="U424" i="17" s="1"/>
  <c r="U425" i="17" a="1"/>
  <c r="U425" i="17" s="1"/>
  <c r="U426" i="17" a="1"/>
  <c r="U426" i="17" s="1"/>
  <c r="U443" i="17" a="1"/>
  <c r="U443" i="17" s="1"/>
  <c r="U613" i="17" a="1"/>
  <c r="U613" i="17" s="1"/>
  <c r="U630" i="17" a="1"/>
  <c r="U630" i="17" s="1"/>
  <c r="U647" i="17" a="1"/>
  <c r="U647" i="17" s="1"/>
  <c r="U664" i="17" a="1"/>
  <c r="U664" i="17" s="1"/>
  <c r="U681" i="17" a="1"/>
  <c r="U681" i="17" s="1"/>
  <c r="U698" i="17" a="1"/>
  <c r="U698" i="17" s="1"/>
  <c r="U715" i="17" a="1"/>
  <c r="U715" i="17" s="1"/>
  <c r="U728" i="17" a="1"/>
  <c r="U728" i="17" s="1"/>
  <c r="U752" i="17" a="1"/>
  <c r="U752" i="17" s="1"/>
  <c r="U769" i="17" a="1"/>
  <c r="U769" i="17" s="1"/>
  <c r="U786" i="17" a="1"/>
  <c r="U786" i="17" s="1"/>
  <c r="U803" i="17" a="1"/>
  <c r="U803" i="17" s="1"/>
  <c r="U820" i="17" a="1"/>
  <c r="U820" i="17"/>
  <c r="U837" i="17" a="1"/>
  <c r="U837" i="17" s="1"/>
  <c r="U854" i="17" a="1"/>
  <c r="U854" i="17" s="1"/>
  <c r="U871" i="17" a="1"/>
  <c r="U871" i="17" s="1"/>
  <c r="U888" i="17" a="1"/>
  <c r="U888" i="17" s="1"/>
  <c r="U905" i="17" a="1"/>
  <c r="U905" i="17" s="1"/>
  <c r="U922" i="17" a="1"/>
  <c r="U922" i="17" s="1"/>
  <c r="U939" i="17" a="1"/>
  <c r="U939" i="17" s="1"/>
  <c r="U956" i="17" a="1"/>
  <c r="U956" i="17" s="1"/>
  <c r="U591" i="17" a="1"/>
  <c r="U591" i="17" s="1"/>
  <c r="U592" i="17" a="1"/>
  <c r="U592" i="17" s="1"/>
  <c r="U593" i="17" a="1"/>
  <c r="U593" i="17" s="1"/>
  <c r="U594" i="17" a="1"/>
  <c r="U594" i="17"/>
  <c r="U595" i="17" a="1"/>
  <c r="U595" i="17" s="1"/>
  <c r="U596" i="17" a="1"/>
  <c r="U596" i="17" s="1"/>
  <c r="V2" i="17" a="1"/>
  <c r="V2" i="17" s="1"/>
  <c r="V3" i="17" a="1"/>
  <c r="V3" i="17"/>
  <c r="V4" i="17" a="1"/>
  <c r="V4" i="17" s="1"/>
  <c r="V5" i="17" a="1"/>
  <c r="V5" i="17" s="1"/>
  <c r="V6" i="17" a="1"/>
  <c r="V6" i="17" s="1"/>
  <c r="V7" i="17" a="1"/>
  <c r="V7" i="17" s="1"/>
  <c r="V104" i="17" a="1"/>
  <c r="V104" i="17" s="1"/>
  <c r="V121" i="17" a="1"/>
  <c r="V121" i="17" s="1"/>
  <c r="V138" i="17" a="1"/>
  <c r="V138" i="17" s="1"/>
  <c r="V155" i="17" a="1"/>
  <c r="V155" i="17" s="1"/>
  <c r="V172" i="17" a="1"/>
  <c r="V172" i="17" s="1"/>
  <c r="V173" i="17" a="1"/>
  <c r="V173" i="17" s="1"/>
  <c r="V174" i="17" a="1"/>
  <c r="V174" i="17" s="1"/>
  <c r="V223" i="17" a="1"/>
  <c r="V223" i="17"/>
  <c r="V240" i="17" a="1"/>
  <c r="V240" i="17" s="1"/>
  <c r="V257" i="17" a="1"/>
  <c r="V257" i="17" s="1"/>
  <c r="V274" i="17" a="1"/>
  <c r="V274" i="17" s="1"/>
  <c r="V291" i="17" a="1"/>
  <c r="V291" i="17" s="1"/>
  <c r="V308" i="17" a="1"/>
  <c r="V308" i="17" s="1"/>
  <c r="V325" i="17" a="1"/>
  <c r="V325" i="17" s="1"/>
  <c r="V342" i="17" a="1"/>
  <c r="V342" i="17" s="1"/>
  <c r="V359" i="17" a="1"/>
  <c r="V359" i="17" s="1"/>
  <c r="V444" i="17" a="1"/>
  <c r="V444" i="17" s="1"/>
  <c r="V461" i="17" a="1"/>
  <c r="V461" i="17" s="1"/>
  <c r="V478" i="17" a="1"/>
  <c r="V478" i="17" s="1"/>
  <c r="V376" i="17" a="1"/>
  <c r="V376" i="17" s="1"/>
  <c r="V377" i="17" a="1"/>
  <c r="V377" i="17" s="1"/>
  <c r="V378" i="17" a="1"/>
  <c r="V378" i="17" s="1"/>
  <c r="V427" i="17" a="1"/>
  <c r="V427" i="17" s="1"/>
  <c r="V597" i="17" a="1"/>
  <c r="V597" i="17"/>
  <c r="V614" i="17" a="1"/>
  <c r="V614" i="17" s="1"/>
  <c r="V631" i="17" a="1"/>
  <c r="V631" i="17" s="1"/>
  <c r="V648" i="17" a="1"/>
  <c r="V648" i="17" s="1"/>
  <c r="V665" i="17" a="1"/>
  <c r="V665" i="17" s="1"/>
  <c r="V682" i="17" a="1"/>
  <c r="V682" i="17" s="1"/>
  <c r="V699" i="17" a="1"/>
  <c r="V699" i="17" s="1"/>
  <c r="V729" i="17" a="1"/>
  <c r="V729" i="17" s="1"/>
  <c r="V736" i="17" a="1"/>
  <c r="V736" i="17" s="1"/>
  <c r="V753" i="17" a="1"/>
  <c r="V753" i="17" s="1"/>
  <c r="V770" i="17" a="1"/>
  <c r="V770" i="17" s="1"/>
  <c r="V787" i="17" a="1"/>
  <c r="V787" i="17" s="1"/>
  <c r="V804" i="17" a="1"/>
  <c r="V804" i="17" s="1"/>
  <c r="V821" i="17" a="1"/>
  <c r="V821" i="17" s="1"/>
  <c r="V838" i="17" a="1"/>
  <c r="V838" i="17" s="1"/>
  <c r="V855" i="17" a="1"/>
  <c r="V855" i="17" s="1"/>
  <c r="V872" i="17" a="1"/>
  <c r="V872" i="17" s="1"/>
  <c r="V889" i="17" a="1"/>
  <c r="V889" i="17" s="1"/>
  <c r="V906" i="17" a="1"/>
  <c r="V906" i="17" s="1"/>
  <c r="V923" i="17" a="1"/>
  <c r="V923" i="17" s="1"/>
  <c r="V940" i="17" a="1"/>
  <c r="V940" i="17" s="1"/>
  <c r="V495" i="17" a="1"/>
  <c r="V495" i="17" s="1"/>
  <c r="V496" i="17" a="1"/>
  <c r="V496" i="17" s="1"/>
  <c r="V497" i="17" a="1"/>
  <c r="V497" i="17" s="1"/>
  <c r="V498" i="17" a="1"/>
  <c r="V498" i="17" s="1"/>
  <c r="V499" i="17" a="1"/>
  <c r="V499" i="17" s="1"/>
  <c r="V500" i="17" a="1"/>
  <c r="V500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05" i="17" a="1"/>
  <c r="V105" i="17" s="1"/>
  <c r="V122" i="17" a="1"/>
  <c r="V122" i="17" s="1"/>
  <c r="V139" i="17" a="1"/>
  <c r="V139" i="17" s="1"/>
  <c r="V156" i="17" a="1"/>
  <c r="V156" i="17" s="1"/>
  <c r="V175" i="17" a="1"/>
  <c r="V175" i="17" s="1"/>
  <c r="V176" i="17" a="1"/>
  <c r="V176" i="17" s="1"/>
  <c r="V177" i="17" a="1"/>
  <c r="V177" i="17" s="1"/>
  <c r="V224" i="17" a="1"/>
  <c r="V224" i="17"/>
  <c r="V241" i="17" a="1"/>
  <c r="V241" i="17" s="1"/>
  <c r="V258" i="17" a="1"/>
  <c r="V258" i="17" s="1"/>
  <c r="V275" i="17" a="1"/>
  <c r="V275" i="17" s="1"/>
  <c r="V292" i="17" a="1"/>
  <c r="V292" i="17" s="1"/>
  <c r="V309" i="17" a="1"/>
  <c r="V309" i="17" s="1"/>
  <c r="V326" i="17" a="1"/>
  <c r="V326" i="17" s="1"/>
  <c r="V343" i="17" a="1"/>
  <c r="V343" i="17" s="1"/>
  <c r="V360" i="17" a="1"/>
  <c r="V360" i="17" s="1"/>
  <c r="V445" i="17" a="1"/>
  <c r="V445" i="17" s="1"/>
  <c r="V462" i="17" a="1"/>
  <c r="V462" i="17" s="1"/>
  <c r="V479" i="17" a="1"/>
  <c r="V479" i="17" s="1"/>
  <c r="V379" i="17" a="1"/>
  <c r="V379" i="17" s="1"/>
  <c r="V380" i="17" a="1"/>
  <c r="V380" i="17" s="1"/>
  <c r="V381" i="17" a="1"/>
  <c r="V381" i="17" s="1"/>
  <c r="V428" i="17" a="1"/>
  <c r="V428" i="17" s="1"/>
  <c r="V598" i="17" a="1"/>
  <c r="V598" i="17" s="1"/>
  <c r="V615" i="17" a="1"/>
  <c r="V615" i="17" s="1"/>
  <c r="V632" i="17" a="1"/>
  <c r="V632" i="17" s="1"/>
  <c r="V649" i="17" a="1"/>
  <c r="V649" i="17" s="1"/>
  <c r="V666" i="17" a="1"/>
  <c r="V666" i="17"/>
  <c r="V683" i="17" a="1"/>
  <c r="V683" i="17" s="1"/>
  <c r="V700" i="17" a="1"/>
  <c r="V700" i="17" s="1"/>
  <c r="V716" i="17" a="1"/>
  <c r="V716" i="17" s="1"/>
  <c r="V737" i="17" a="1"/>
  <c r="V737" i="17"/>
  <c r="V754" i="17" a="1"/>
  <c r="V754" i="17" s="1"/>
  <c r="V771" i="17" a="1"/>
  <c r="V771" i="17" s="1"/>
  <c r="V788" i="17" a="1"/>
  <c r="V788" i="17" s="1"/>
  <c r="V805" i="17" a="1"/>
  <c r="V805" i="17" s="1"/>
  <c r="V822" i="17" a="1"/>
  <c r="V822" i="17" s="1"/>
  <c r="V839" i="17" a="1"/>
  <c r="V839" i="17" s="1"/>
  <c r="V856" i="17" a="1"/>
  <c r="V856" i="17" s="1"/>
  <c r="V873" i="17" a="1"/>
  <c r="V873" i="17" s="1"/>
  <c r="V890" i="17" a="1"/>
  <c r="V890" i="17" s="1"/>
  <c r="V907" i="17" a="1"/>
  <c r="V907" i="17" s="1"/>
  <c r="V924" i="17" a="1"/>
  <c r="V924" i="17" s="1"/>
  <c r="V941" i="17" a="1"/>
  <c r="V941" i="17" s="1"/>
  <c r="V501" i="17" a="1"/>
  <c r="V501" i="17" s="1"/>
  <c r="V502" i="17" a="1"/>
  <c r="V502" i="17" s="1"/>
  <c r="V503" i="17" a="1"/>
  <c r="V503" i="17" s="1"/>
  <c r="V504" i="17" a="1"/>
  <c r="V504" i="17"/>
  <c r="V505" i="17" a="1"/>
  <c r="V505" i="17" s="1"/>
  <c r="V506" i="17" a="1"/>
  <c r="V506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06" i="17" a="1"/>
  <c r="V106" i="17" s="1"/>
  <c r="V123" i="17" a="1"/>
  <c r="V123" i="17" s="1"/>
  <c r="V140" i="17" a="1"/>
  <c r="V140" i="17" s="1"/>
  <c r="V157" i="17" a="1"/>
  <c r="V157" i="17" s="1"/>
  <c r="V178" i="17" a="1"/>
  <c r="V178" i="17" s="1"/>
  <c r="V179" i="17" a="1"/>
  <c r="V179" i="17" s="1"/>
  <c r="V180" i="17" a="1"/>
  <c r="V180" i="17" s="1"/>
  <c r="V225" i="17" a="1"/>
  <c r="V225" i="17" s="1"/>
  <c r="V242" i="17" a="1"/>
  <c r="V242" i="17" s="1"/>
  <c r="V259" i="17" a="1"/>
  <c r="V259" i="17" s="1"/>
  <c r="V276" i="17" a="1"/>
  <c r="V276" i="17" s="1"/>
  <c r="V293" i="17" a="1"/>
  <c r="V293" i="17" s="1"/>
  <c r="V310" i="17" a="1"/>
  <c r="V310" i="17" s="1"/>
  <c r="V327" i="17" a="1"/>
  <c r="V327" i="17" s="1"/>
  <c r="V344" i="17" a="1"/>
  <c r="V344" i="17" s="1"/>
  <c r="V361" i="17" a="1"/>
  <c r="V361" i="17"/>
  <c r="V446" i="17" a="1"/>
  <c r="V446" i="17" s="1"/>
  <c r="V463" i="17" a="1"/>
  <c r="V463" i="17" s="1"/>
  <c r="V480" i="17" a="1"/>
  <c r="V480" i="17" s="1"/>
  <c r="V382" i="17" a="1"/>
  <c r="V382" i="17"/>
  <c r="V383" i="17" a="1"/>
  <c r="V383" i="17" s="1"/>
  <c r="V384" i="17" a="1"/>
  <c r="V384" i="17" s="1"/>
  <c r="V429" i="17" a="1"/>
  <c r="V429" i="17" s="1"/>
  <c r="V599" i="17" a="1"/>
  <c r="V599" i="17" s="1"/>
  <c r="V616" i="17" a="1"/>
  <c r="V616" i="17" s="1"/>
  <c r="V633" i="17" a="1"/>
  <c r="V633" i="17" s="1"/>
  <c r="V650" i="17" a="1"/>
  <c r="V650" i="17" s="1"/>
  <c r="V667" i="17" a="1"/>
  <c r="V667" i="17" s="1"/>
  <c r="V684" i="17" a="1"/>
  <c r="V684" i="17" s="1"/>
  <c r="V701" i="17" a="1"/>
  <c r="V701" i="17" s="1"/>
  <c r="V717" i="17" a="1"/>
  <c r="V717" i="17" s="1"/>
  <c r="V730" i="17" a="1"/>
  <c r="V730" i="17" s="1"/>
  <c r="V738" i="17" a="1"/>
  <c r="V738" i="17" s="1"/>
  <c r="V755" i="17" a="1"/>
  <c r="V755" i="17" s="1"/>
  <c r="V772" i="17" a="1"/>
  <c r="V772" i="17" s="1"/>
  <c r="V789" i="17" a="1"/>
  <c r="V789" i="17"/>
  <c r="V806" i="17" a="1"/>
  <c r="V806" i="17" s="1"/>
  <c r="V823" i="17" a="1"/>
  <c r="V823" i="17" s="1"/>
  <c r="V840" i="17" a="1"/>
  <c r="V840" i="17" s="1"/>
  <c r="V857" i="17" a="1"/>
  <c r="V857" i="17" s="1"/>
  <c r="V874" i="17" a="1"/>
  <c r="V874" i="17" s="1"/>
  <c r="V891" i="17" a="1"/>
  <c r="V891" i="17" s="1"/>
  <c r="V908" i="17" a="1"/>
  <c r="V908" i="17" s="1"/>
  <c r="V925" i="17" a="1"/>
  <c r="V925" i="17" s="1"/>
  <c r="V942" i="17" a="1"/>
  <c r="V942" i="17" s="1"/>
  <c r="V507" i="17" a="1"/>
  <c r="V507" i="17" s="1"/>
  <c r="V508" i="17" a="1"/>
  <c r="V508" i="17" s="1"/>
  <c r="V509" i="17" a="1"/>
  <c r="V509" i="17" s="1"/>
  <c r="V510" i="17" a="1"/>
  <c r="V510" i="17" s="1"/>
  <c r="V511" i="17" a="1"/>
  <c r="V511" i="17" s="1"/>
  <c r="V512" i="17" a="1"/>
  <c r="V512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07" i="17" a="1"/>
  <c r="V107" i="17" s="1"/>
  <c r="V124" i="17" a="1"/>
  <c r="V124" i="17" s="1"/>
  <c r="V141" i="17" a="1"/>
  <c r="V141" i="17" s="1"/>
  <c r="V158" i="17" a="1"/>
  <c r="V158" i="17" s="1"/>
  <c r="V181" i="17" a="1"/>
  <c r="V181" i="17" s="1"/>
  <c r="V182" i="17" a="1"/>
  <c r="V182" i="17" s="1"/>
  <c r="V183" i="17" a="1"/>
  <c r="V183" i="17"/>
  <c r="V226" i="17" a="1"/>
  <c r="V226" i="17" s="1"/>
  <c r="V243" i="17" a="1"/>
  <c r="V243" i="17" s="1"/>
  <c r="V260" i="17" a="1"/>
  <c r="V260" i="17" s="1"/>
  <c r="V277" i="17" a="1"/>
  <c r="V277" i="17" s="1"/>
  <c r="V294" i="17" a="1"/>
  <c r="V294" i="17" s="1"/>
  <c r="V311" i="17" a="1"/>
  <c r="V311" i="17" s="1"/>
  <c r="V328" i="17" a="1"/>
  <c r="V328" i="17" s="1"/>
  <c r="V345" i="17" a="1"/>
  <c r="V345" i="17" s="1"/>
  <c r="V362" i="17" a="1"/>
  <c r="V362" i="17" s="1"/>
  <c r="V447" i="17" a="1"/>
  <c r="V447" i="17" s="1"/>
  <c r="V464" i="17" a="1"/>
  <c r="V464" i="17" s="1"/>
  <c r="V481" i="17" a="1"/>
  <c r="V481" i="17" s="1"/>
  <c r="V385" i="17" a="1"/>
  <c r="V385" i="17" s="1"/>
  <c r="V386" i="17" a="1"/>
  <c r="V386" i="17" s="1"/>
  <c r="V387" i="17" a="1"/>
  <c r="V387" i="17" s="1"/>
  <c r="V430" i="17" a="1"/>
  <c r="V430" i="17"/>
  <c r="V600" i="17" a="1"/>
  <c r="V600" i="17" s="1"/>
  <c r="V617" i="17" a="1"/>
  <c r="V617" i="17" s="1"/>
  <c r="V634" i="17" a="1"/>
  <c r="V634" i="17" s="1"/>
  <c r="V651" i="17" a="1"/>
  <c r="V651" i="17"/>
  <c r="V668" i="17" a="1"/>
  <c r="V668" i="17" s="1"/>
  <c r="V685" i="17" a="1"/>
  <c r="V685" i="17" s="1"/>
  <c r="V702" i="17" a="1"/>
  <c r="V702" i="17" s="1"/>
  <c r="V718" i="17" a="1"/>
  <c r="V718" i="17" s="1"/>
  <c r="V739" i="17" a="1"/>
  <c r="V739" i="17" s="1"/>
  <c r="V756" i="17" a="1"/>
  <c r="V756" i="17" s="1"/>
  <c r="V773" i="17" a="1"/>
  <c r="V773" i="17" s="1"/>
  <c r="V790" i="17" a="1"/>
  <c r="V790" i="17" s="1"/>
  <c r="V807" i="17" a="1"/>
  <c r="V807" i="17" s="1"/>
  <c r="V824" i="17" a="1"/>
  <c r="V824" i="17" s="1"/>
  <c r="V841" i="17" a="1"/>
  <c r="V841" i="17" s="1"/>
  <c r="V858" i="17" a="1"/>
  <c r="V858" i="17" s="1"/>
  <c r="V875" i="17" a="1"/>
  <c r="V875" i="17" s="1"/>
  <c r="V892" i="17" a="1"/>
  <c r="V892" i="17" s="1"/>
  <c r="V909" i="17" a="1"/>
  <c r="V909" i="17" s="1"/>
  <c r="V926" i="17" a="1"/>
  <c r="V926" i="17" s="1"/>
  <c r="V943" i="17" a="1"/>
  <c r="V943" i="17" s="1"/>
  <c r="V513" i="17" a="1"/>
  <c r="V513" i="17" s="1"/>
  <c r="V514" i="17" a="1"/>
  <c r="V514" i="17" s="1"/>
  <c r="V515" i="17" a="1"/>
  <c r="V515" i="17"/>
  <c r="V516" i="17" a="1"/>
  <c r="V516" i="17" s="1"/>
  <c r="V517" i="17" a="1"/>
  <c r="V517" i="17" s="1"/>
  <c r="V518" i="17" a="1"/>
  <c r="V518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08" i="17" a="1"/>
  <c r="V108" i="17" s="1"/>
  <c r="V125" i="17" a="1"/>
  <c r="V125" i="17" s="1"/>
  <c r="V142" i="17" a="1"/>
  <c r="V142" i="17" s="1"/>
  <c r="V159" i="17" a="1"/>
  <c r="V159" i="17" s="1"/>
  <c r="V184" i="17" a="1"/>
  <c r="V184" i="17" s="1"/>
  <c r="V185" i="17" a="1"/>
  <c r="V185" i="17" s="1"/>
  <c r="V186" i="17" a="1"/>
  <c r="V186" i="17" s="1"/>
  <c r="V227" i="17" a="1"/>
  <c r="V227" i="17" s="1"/>
  <c r="V244" i="17" a="1"/>
  <c r="V244" i="17" s="1"/>
  <c r="V261" i="17" a="1"/>
  <c r="V261" i="17" s="1"/>
  <c r="V278" i="17" a="1"/>
  <c r="V278" i="17" s="1"/>
  <c r="V295" i="17" a="1"/>
  <c r="V295" i="17" s="1"/>
  <c r="V312" i="17" a="1"/>
  <c r="V312" i="17" s="1"/>
  <c r="V329" i="17" a="1"/>
  <c r="V329" i="17" s="1"/>
  <c r="V346" i="17" a="1"/>
  <c r="V346" i="17"/>
  <c r="V363" i="17" a="1"/>
  <c r="V363" i="17" s="1"/>
  <c r="V448" i="17" a="1"/>
  <c r="V448" i="17" s="1"/>
  <c r="V465" i="17" a="1"/>
  <c r="V465" i="17" s="1"/>
  <c r="V482" i="17" a="1"/>
  <c r="V482" i="17" s="1"/>
  <c r="V388" i="17" a="1"/>
  <c r="V388" i="17" s="1"/>
  <c r="V389" i="17" a="1"/>
  <c r="V389" i="17" s="1"/>
  <c r="V390" i="17" a="1"/>
  <c r="V390" i="17" s="1"/>
  <c r="V431" i="17" a="1"/>
  <c r="V431" i="17" s="1"/>
  <c r="V601" i="17" a="1"/>
  <c r="V601" i="17" s="1"/>
  <c r="V618" i="17" a="1"/>
  <c r="V618" i="17" s="1"/>
  <c r="V635" i="17" a="1"/>
  <c r="V635" i="17" s="1"/>
  <c r="V652" i="17" a="1"/>
  <c r="V652" i="17" s="1"/>
  <c r="V669" i="17" a="1"/>
  <c r="V669" i="17" s="1"/>
  <c r="V686" i="17" a="1"/>
  <c r="V686" i="17" s="1"/>
  <c r="V703" i="17" a="1"/>
  <c r="V703" i="17" s="1"/>
  <c r="V719" i="17" a="1"/>
  <c r="V719" i="17" s="1"/>
  <c r="V731" i="17" a="1"/>
  <c r="V731" i="17" s="1"/>
  <c r="V740" i="17" a="1"/>
  <c r="V740" i="17" s="1"/>
  <c r="V757" i="17" a="1"/>
  <c r="V757" i="17" s="1"/>
  <c r="V774" i="17" a="1"/>
  <c r="V774" i="17"/>
  <c r="V791" i="17" a="1"/>
  <c r="V791" i="17" s="1"/>
  <c r="V808" i="17" a="1"/>
  <c r="V808" i="17" s="1"/>
  <c r="V825" i="17" a="1"/>
  <c r="V825" i="17" s="1"/>
  <c r="V842" i="17" a="1"/>
  <c r="V842" i="17" s="1"/>
  <c r="V859" i="17" a="1"/>
  <c r="V859" i="17" s="1"/>
  <c r="V876" i="17" a="1"/>
  <c r="V876" i="17" s="1"/>
  <c r="V893" i="17" a="1"/>
  <c r="V893" i="17" s="1"/>
  <c r="V910" i="17" a="1"/>
  <c r="V910" i="17" s="1"/>
  <c r="V927" i="17" a="1"/>
  <c r="V927" i="17" s="1"/>
  <c r="V944" i="17" a="1"/>
  <c r="V944" i="17" s="1"/>
  <c r="V519" i="17" a="1"/>
  <c r="V519" i="17" s="1"/>
  <c r="V520" i="17" a="1"/>
  <c r="V520" i="17" s="1"/>
  <c r="V521" i="17" a="1"/>
  <c r="V521" i="17" s="1"/>
  <c r="V522" i="17" a="1"/>
  <c r="V522" i="17" s="1"/>
  <c r="V523" i="17" a="1"/>
  <c r="V523" i="17" s="1"/>
  <c r="V524" i="17" a="1"/>
  <c r="V524" i="17" s="1"/>
  <c r="V32" i="17" a="1"/>
  <c r="V32" i="17" s="1"/>
  <c r="V33" i="17" a="1"/>
  <c r="V33" i="17" s="1"/>
  <c r="V34" i="17" a="1"/>
  <c r="V34" i="17" s="1"/>
  <c r="V35" i="17" a="1"/>
  <c r="V35" i="17"/>
  <c r="V36" i="17" a="1"/>
  <c r="V36" i="17" s="1"/>
  <c r="V37" i="17" a="1"/>
  <c r="V37" i="17" s="1"/>
  <c r="V109" i="17" a="1"/>
  <c r="V109" i="17" s="1"/>
  <c r="V126" i="17" a="1"/>
  <c r="V126" i="17" s="1"/>
  <c r="V143" i="17" a="1"/>
  <c r="V143" i="17" s="1"/>
  <c r="V160" i="17" a="1"/>
  <c r="V160" i="17" s="1"/>
  <c r="V187" i="17" a="1"/>
  <c r="V187" i="17" s="1"/>
  <c r="V188" i="17" a="1"/>
  <c r="V188" i="17" s="1"/>
  <c r="V189" i="17" a="1"/>
  <c r="V189" i="17" s="1"/>
  <c r="V228" i="17" a="1"/>
  <c r="V228" i="17" s="1"/>
  <c r="V245" i="17" a="1"/>
  <c r="V245" i="17" s="1"/>
  <c r="V262" i="17" a="1"/>
  <c r="V262" i="17" s="1"/>
  <c r="V279" i="17" a="1"/>
  <c r="V279" i="17" s="1"/>
  <c r="V296" i="17" a="1"/>
  <c r="V296" i="17" s="1"/>
  <c r="V313" i="17" a="1"/>
  <c r="V313" i="17" s="1"/>
  <c r="V330" i="17" a="1"/>
  <c r="V330" i="17" s="1"/>
  <c r="V347" i="17" a="1"/>
  <c r="V347" i="17" s="1"/>
  <c r="V364" i="17" a="1"/>
  <c r="V364" i="17" s="1"/>
  <c r="V449" i="17" a="1"/>
  <c r="V449" i="17" s="1"/>
  <c r="V466" i="17" a="1"/>
  <c r="V466" i="17" s="1"/>
  <c r="V483" i="17" a="1"/>
  <c r="V483" i="17" s="1"/>
  <c r="V391" i="17" a="1"/>
  <c r="V391" i="17" s="1"/>
  <c r="V392" i="17" a="1"/>
  <c r="V392" i="17" s="1"/>
  <c r="V393" i="17" a="1"/>
  <c r="V393" i="17"/>
  <c r="V432" i="17" a="1"/>
  <c r="V432" i="17" s="1"/>
  <c r="V602" i="17" a="1"/>
  <c r="V602" i="17" s="1"/>
  <c r="V619" i="17" a="1"/>
  <c r="V619" i="17" s="1"/>
  <c r="V636" i="17" a="1"/>
  <c r="V636" i="17" s="1"/>
  <c r="V653" i="17" a="1"/>
  <c r="V653" i="17" s="1"/>
  <c r="V670" i="17" a="1"/>
  <c r="V670" i="17" s="1"/>
  <c r="V687" i="17" a="1"/>
  <c r="V687" i="17" s="1"/>
  <c r="V704" i="17" a="1"/>
  <c r="V704" i="17" s="1"/>
  <c r="V720" i="17" a="1"/>
  <c r="V720" i="17" s="1"/>
  <c r="V741" i="17" a="1"/>
  <c r="V741" i="17" s="1"/>
  <c r="V758" i="17" a="1"/>
  <c r="V758" i="17" s="1"/>
  <c r="V775" i="17" a="1"/>
  <c r="V775" i="17" s="1"/>
  <c r="V792" i="17" a="1"/>
  <c r="V792" i="17" s="1"/>
  <c r="V809" i="17" a="1"/>
  <c r="V809" i="17" s="1"/>
  <c r="V826" i="17" a="1"/>
  <c r="V826" i="17" s="1"/>
  <c r="V843" i="17" a="1"/>
  <c r="V843" i="17" s="1"/>
  <c r="V860" i="17" a="1"/>
  <c r="V860" i="17" s="1"/>
  <c r="V877" i="17" a="1"/>
  <c r="V877" i="17" s="1"/>
  <c r="V894" i="17" a="1"/>
  <c r="V894" i="17" s="1"/>
  <c r="V911" i="17" a="1"/>
  <c r="V911" i="17"/>
  <c r="V928" i="17" a="1"/>
  <c r="V928" i="17" s="1"/>
  <c r="V945" i="17" a="1"/>
  <c r="V945" i="17" s="1"/>
  <c r="V525" i="17" a="1"/>
  <c r="V525" i="17" s="1"/>
  <c r="V526" i="17" a="1"/>
  <c r="V526" i="17" s="1"/>
  <c r="V527" i="17" a="1"/>
  <c r="V527" i="17" s="1"/>
  <c r="V528" i="17" a="1"/>
  <c r="V528" i="17" s="1"/>
  <c r="V529" i="17" a="1"/>
  <c r="V529" i="17" s="1"/>
  <c r="V530" i="17" a="1"/>
  <c r="V530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10" i="17" a="1"/>
  <c r="V110" i="17" s="1"/>
  <c r="V127" i="17" a="1"/>
  <c r="V127" i="17" s="1"/>
  <c r="V144" i="17" a="1"/>
  <c r="V144" i="17" s="1"/>
  <c r="V161" i="17" a="1"/>
  <c r="V161" i="17" s="1"/>
  <c r="V190" i="17" a="1"/>
  <c r="V190" i="17" s="1"/>
  <c r="V191" i="17" a="1"/>
  <c r="V191" i="17"/>
  <c r="V192" i="17" a="1"/>
  <c r="V192" i="17" s="1"/>
  <c r="V229" i="17" a="1"/>
  <c r="V229" i="17" s="1"/>
  <c r="V246" i="17" a="1"/>
  <c r="V246" i="17" s="1"/>
  <c r="V263" i="17" a="1"/>
  <c r="V263" i="17" s="1"/>
  <c r="V280" i="17" a="1"/>
  <c r="V280" i="17" s="1"/>
  <c r="V297" i="17" a="1"/>
  <c r="V297" i="17" s="1"/>
  <c r="V314" i="17" a="1"/>
  <c r="V314" i="17" s="1"/>
  <c r="V331" i="17" a="1"/>
  <c r="V331" i="17" s="1"/>
  <c r="V348" i="17" a="1"/>
  <c r="V348" i="17" s="1"/>
  <c r="V365" i="17" a="1"/>
  <c r="V365" i="17" s="1"/>
  <c r="V450" i="17" a="1"/>
  <c r="V450" i="17" s="1"/>
  <c r="V467" i="17" a="1"/>
  <c r="V467" i="17" s="1"/>
  <c r="V484" i="17" a="1"/>
  <c r="V484" i="17" s="1"/>
  <c r="V394" i="17" a="1"/>
  <c r="V394" i="17" s="1"/>
  <c r="V395" i="17" a="1"/>
  <c r="V395" i="17" s="1"/>
  <c r="V396" i="17" a="1"/>
  <c r="V396" i="17"/>
  <c r="V433" i="17" a="1"/>
  <c r="V433" i="17" s="1"/>
  <c r="V603" i="17" a="1"/>
  <c r="V603" i="17" s="1"/>
  <c r="V620" i="17" a="1"/>
  <c r="V620" i="17" s="1"/>
  <c r="V637" i="17" a="1"/>
  <c r="V637" i="17" s="1"/>
  <c r="V654" i="17" a="1"/>
  <c r="V654" i="17" s="1"/>
  <c r="V671" i="17" a="1"/>
  <c r="V671" i="17" s="1"/>
  <c r="V688" i="17" a="1"/>
  <c r="V688" i="17" s="1"/>
  <c r="V705" i="17" a="1"/>
  <c r="V705" i="17"/>
  <c r="V721" i="17" a="1"/>
  <c r="V721" i="17" s="1"/>
  <c r="V732" i="17" a="1"/>
  <c r="V732" i="17" s="1"/>
  <c r="V742" i="17" a="1"/>
  <c r="V742" i="17" s="1"/>
  <c r="V759" i="17" a="1"/>
  <c r="V759" i="17" s="1"/>
  <c r="V776" i="17" a="1"/>
  <c r="V776" i="17" s="1"/>
  <c r="V793" i="17" a="1"/>
  <c r="V793" i="17" s="1"/>
  <c r="V810" i="17" a="1"/>
  <c r="V810" i="17" s="1"/>
  <c r="V827" i="17" a="1"/>
  <c r="V827" i="17" s="1"/>
  <c r="V844" i="17" a="1"/>
  <c r="V844" i="17" s="1"/>
  <c r="V861" i="17" a="1"/>
  <c r="V861" i="17" s="1"/>
  <c r="V878" i="17" a="1"/>
  <c r="V878" i="17" s="1"/>
  <c r="V895" i="17" a="1"/>
  <c r="V895" i="17" s="1"/>
  <c r="V912" i="17" a="1"/>
  <c r="V912" i="17" s="1"/>
  <c r="V929" i="17" a="1"/>
  <c r="V929" i="17" s="1"/>
  <c r="V946" i="17" a="1"/>
  <c r="V946" i="17" s="1"/>
  <c r="V531" i="17" a="1"/>
  <c r="V531" i="17" s="1"/>
  <c r="V532" i="17" a="1"/>
  <c r="V532" i="17" s="1"/>
  <c r="V533" i="17" a="1"/>
  <c r="V533" i="17" s="1"/>
  <c r="V534" i="17" a="1"/>
  <c r="V534" i="17" s="1"/>
  <c r="V535" i="17" a="1"/>
  <c r="V535" i="17"/>
  <c r="V536" i="17" a="1"/>
  <c r="V536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11" i="17" a="1"/>
  <c r="V111" i="17" s="1"/>
  <c r="V128" i="17" a="1"/>
  <c r="V128" i="17" s="1"/>
  <c r="V145" i="17" a="1"/>
  <c r="V145" i="17" s="1"/>
  <c r="V162" i="17" a="1"/>
  <c r="V162" i="17" s="1"/>
  <c r="V193" i="17" a="1"/>
  <c r="V193" i="17" s="1"/>
  <c r="V194" i="17" a="1"/>
  <c r="V194" i="17" s="1"/>
  <c r="V195" i="17" a="1"/>
  <c r="V195" i="17" s="1"/>
  <c r="V230" i="17" a="1"/>
  <c r="V230" i="17" s="1"/>
  <c r="V247" i="17" a="1"/>
  <c r="V247" i="17"/>
  <c r="V264" i="17" a="1"/>
  <c r="V264" i="17" s="1"/>
  <c r="V281" i="17" a="1"/>
  <c r="V281" i="17" s="1"/>
  <c r="V298" i="17" a="1"/>
  <c r="V298" i="17" s="1"/>
  <c r="V315" i="17" a="1"/>
  <c r="V315" i="17"/>
  <c r="V332" i="17" a="1"/>
  <c r="V332" i="17" s="1"/>
  <c r="V349" i="17" a="1"/>
  <c r="V349" i="17" s="1"/>
  <c r="V366" i="17" a="1"/>
  <c r="V366" i="17" s="1"/>
  <c r="V451" i="17" a="1"/>
  <c r="V451" i="17" s="1"/>
  <c r="V468" i="17" a="1"/>
  <c r="V468" i="17" s="1"/>
  <c r="V485" i="17" a="1"/>
  <c r="V485" i="17" s="1"/>
  <c r="V397" i="17" a="1"/>
  <c r="V397" i="17" s="1"/>
  <c r="V398" i="17" a="1"/>
  <c r="V398" i="17" s="1"/>
  <c r="V399" i="17" a="1"/>
  <c r="V399" i="17" s="1"/>
  <c r="V434" i="17" a="1"/>
  <c r="V434" i="17" s="1"/>
  <c r="V604" i="17" a="1"/>
  <c r="V604" i="17" s="1"/>
  <c r="V621" i="17" a="1"/>
  <c r="V621" i="17" s="1"/>
  <c r="V638" i="17" a="1"/>
  <c r="V638" i="17" s="1"/>
  <c r="V655" i="17" a="1"/>
  <c r="V655" i="17" s="1"/>
  <c r="V672" i="17" a="1"/>
  <c r="V672" i="17" s="1"/>
  <c r="V689" i="17" a="1"/>
  <c r="V689" i="17" s="1"/>
  <c r="V706" i="17" a="1"/>
  <c r="V706" i="17" s="1"/>
  <c r="V722" i="17" a="1"/>
  <c r="V722" i="17" s="1"/>
  <c r="V733" i="17" a="1"/>
  <c r="V733" i="17" s="1"/>
  <c r="V743" i="17" a="1"/>
  <c r="V743" i="17" s="1"/>
  <c r="V760" i="17" a="1"/>
  <c r="V760" i="17" s="1"/>
  <c r="V777" i="17" a="1"/>
  <c r="V777" i="17" s="1"/>
  <c r="V794" i="17" a="1"/>
  <c r="V794" i="17" s="1"/>
  <c r="V811" i="17" a="1"/>
  <c r="V811" i="17"/>
  <c r="V828" i="17" a="1"/>
  <c r="V828" i="17" s="1"/>
  <c r="V845" i="17" a="1"/>
  <c r="V845" i="17" s="1"/>
  <c r="V862" i="17" a="1"/>
  <c r="V862" i="17" s="1"/>
  <c r="V879" i="17" a="1"/>
  <c r="V879" i="17" s="1"/>
  <c r="V896" i="17" a="1"/>
  <c r="V896" i="17" s="1"/>
  <c r="V913" i="17" a="1"/>
  <c r="V913" i="17" s="1"/>
  <c r="V930" i="17" a="1"/>
  <c r="V930" i="17" s="1"/>
  <c r="V947" i="17" a="1"/>
  <c r="V947" i="17" s="1"/>
  <c r="V537" i="17" a="1"/>
  <c r="V537" i="17" s="1"/>
  <c r="V538" i="17" a="1"/>
  <c r="V538" i="17" s="1"/>
  <c r="V539" i="17" a="1"/>
  <c r="V539" i="17" s="1"/>
  <c r="V540" i="17" a="1"/>
  <c r="V540" i="17" s="1"/>
  <c r="V541" i="17" a="1"/>
  <c r="V541" i="17" s="1"/>
  <c r="V542" i="17" a="1"/>
  <c r="V542" i="17" s="1"/>
  <c r="V50" i="17" a="1"/>
  <c r="V50" i="17" s="1"/>
  <c r="V51" i="17" a="1"/>
  <c r="V51" i="17"/>
  <c r="V52" i="17" a="1"/>
  <c r="V52" i="17" s="1"/>
  <c r="V53" i="17" a="1"/>
  <c r="V53" i="17" s="1"/>
  <c r="V54" i="17" a="1"/>
  <c r="V54" i="17" s="1"/>
  <c r="V55" i="17" a="1"/>
  <c r="V55" i="17"/>
  <c r="V112" i="17" a="1"/>
  <c r="V112" i="17" s="1"/>
  <c r="V129" i="17" a="1"/>
  <c r="V129" i="17" s="1"/>
  <c r="V146" i="17" a="1"/>
  <c r="V146" i="17" s="1"/>
  <c r="V163" i="17" a="1"/>
  <c r="V163" i="17" s="1"/>
  <c r="V196" i="17" a="1"/>
  <c r="V196" i="17" s="1"/>
  <c r="V197" i="17" a="1"/>
  <c r="V197" i="17" s="1"/>
  <c r="V198" i="17" a="1"/>
  <c r="V198" i="17" s="1"/>
  <c r="V231" i="17" a="1"/>
  <c r="V231" i="17" s="1"/>
  <c r="V248" i="17" a="1"/>
  <c r="V248" i="17" s="1"/>
  <c r="V265" i="17" a="1"/>
  <c r="V265" i="17" s="1"/>
  <c r="V282" i="17" a="1"/>
  <c r="V282" i="17" s="1"/>
  <c r="V299" i="17" a="1"/>
  <c r="V299" i="17" s="1"/>
  <c r="V316" i="17" a="1"/>
  <c r="V316" i="17" s="1"/>
  <c r="V333" i="17" a="1"/>
  <c r="V333" i="17" s="1"/>
  <c r="V350" i="17" a="1"/>
  <c r="V350" i="17" s="1"/>
  <c r="V367" i="17" a="1"/>
  <c r="V367" i="17" s="1"/>
  <c r="V452" i="17" a="1"/>
  <c r="V452" i="17" s="1"/>
  <c r="V469" i="17" a="1"/>
  <c r="V469" i="17" s="1"/>
  <c r="V486" i="17" a="1"/>
  <c r="V486" i="17" s="1"/>
  <c r="V400" i="17" a="1"/>
  <c r="V400" i="17"/>
  <c r="V401" i="17" a="1"/>
  <c r="V401" i="17" s="1"/>
  <c r="V402" i="17" a="1"/>
  <c r="V402" i="17" s="1"/>
  <c r="V435" i="17" a="1"/>
  <c r="V435" i="17" s="1"/>
  <c r="V605" i="17" a="1"/>
  <c r="V605" i="17" s="1"/>
  <c r="V622" i="17" a="1"/>
  <c r="V622" i="17" s="1"/>
  <c r="V639" i="17" a="1"/>
  <c r="V639" i="17" s="1"/>
  <c r="V656" i="17" a="1"/>
  <c r="V656" i="17" s="1"/>
  <c r="V673" i="17" a="1"/>
  <c r="V673" i="17" s="1"/>
  <c r="V690" i="17" a="1"/>
  <c r="V690" i="17" s="1"/>
  <c r="V707" i="17" a="1"/>
  <c r="V707" i="17" s="1"/>
  <c r="V744" i="17" a="1"/>
  <c r="V744" i="17" s="1"/>
  <c r="V761" i="17" a="1"/>
  <c r="V761" i="17" s="1"/>
  <c r="V778" i="17" a="1"/>
  <c r="V778" i="17" s="1"/>
  <c r="V795" i="17" a="1"/>
  <c r="V795" i="17" s="1"/>
  <c r="V812" i="17" a="1"/>
  <c r="V812" i="17" s="1"/>
  <c r="V829" i="17" a="1"/>
  <c r="V829" i="17" s="1"/>
  <c r="V846" i="17" a="1"/>
  <c r="V846" i="17" s="1"/>
  <c r="V863" i="17" a="1"/>
  <c r="V863" i="17" s="1"/>
  <c r="V880" i="17" a="1"/>
  <c r="V880" i="17" s="1"/>
  <c r="V897" i="17" a="1"/>
  <c r="V897" i="17" s="1"/>
  <c r="V914" i="17" a="1"/>
  <c r="V914" i="17" s="1"/>
  <c r="V931" i="17" a="1"/>
  <c r="V931" i="17" s="1"/>
  <c r="V948" i="17" a="1"/>
  <c r="V948" i="17" s="1"/>
  <c r="V543" i="17" a="1"/>
  <c r="V543" i="17"/>
  <c r="V544" i="17" a="1"/>
  <c r="V544" i="17" s="1"/>
  <c r="V545" i="17" a="1"/>
  <c r="V545" i="17" s="1"/>
  <c r="V546" i="17" a="1"/>
  <c r="V546" i="17" s="1"/>
  <c r="V547" i="17" a="1"/>
  <c r="V547" i="17" s="1"/>
  <c r="V548" i="17" a="1"/>
  <c r="V548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13" i="17" a="1"/>
  <c r="V113" i="17" s="1"/>
  <c r="V130" i="17" a="1"/>
  <c r="V130" i="17" s="1"/>
  <c r="V147" i="17" a="1"/>
  <c r="V147" i="17" s="1"/>
  <c r="V164" i="17" a="1"/>
  <c r="V164" i="17" s="1"/>
  <c r="V199" i="17" a="1"/>
  <c r="V199" i="17" s="1"/>
  <c r="V200" i="17" a="1"/>
  <c r="V200" i="17" s="1"/>
  <c r="V201" i="17" a="1"/>
  <c r="V201" i="17" s="1"/>
  <c r="V232" i="17" a="1"/>
  <c r="V232" i="17" s="1"/>
  <c r="V249" i="17" a="1"/>
  <c r="V249" i="17"/>
  <c r="V266" i="17" a="1"/>
  <c r="V266" i="17" s="1"/>
  <c r="V283" i="17" a="1"/>
  <c r="V283" i="17" s="1"/>
  <c r="V300" i="17" a="1"/>
  <c r="V300" i="17" s="1"/>
  <c r="V317" i="17" a="1"/>
  <c r="V317" i="17" s="1"/>
  <c r="V334" i="17" a="1"/>
  <c r="V334" i="17" s="1"/>
  <c r="V351" i="17" a="1"/>
  <c r="V351" i="17" s="1"/>
  <c r="V368" i="17" a="1"/>
  <c r="V368" i="17" s="1"/>
  <c r="V453" i="17" a="1"/>
  <c r="V453" i="17" s="1"/>
  <c r="V470" i="17" a="1"/>
  <c r="V470" i="17" s="1"/>
  <c r="V487" i="17" a="1"/>
  <c r="V487" i="17" s="1"/>
  <c r="V403" i="17" a="1"/>
  <c r="V403" i="17" s="1"/>
  <c r="V404" i="17" a="1"/>
  <c r="V404" i="17" s="1"/>
  <c r="V405" i="17" a="1"/>
  <c r="V405" i="17" s="1"/>
  <c r="V436" i="17" a="1"/>
  <c r="V436" i="17" s="1"/>
  <c r="V606" i="17" a="1"/>
  <c r="V606" i="17" s="1"/>
  <c r="V623" i="17" a="1"/>
  <c r="V623" i="17" s="1"/>
  <c r="V640" i="17" a="1"/>
  <c r="V640" i="17" s="1"/>
  <c r="V657" i="17" a="1"/>
  <c r="V657" i="17" s="1"/>
  <c r="V674" i="17" a="1"/>
  <c r="V674" i="17" s="1"/>
  <c r="V691" i="17" a="1"/>
  <c r="V691" i="17"/>
  <c r="V708" i="17" a="1"/>
  <c r="V708" i="17" s="1"/>
  <c r="V745" i="17" a="1"/>
  <c r="V745" i="17" s="1"/>
  <c r="V762" i="17" a="1"/>
  <c r="V762" i="17" s="1"/>
  <c r="V779" i="17" a="1"/>
  <c r="V779" i="17" s="1"/>
  <c r="V796" i="17" a="1"/>
  <c r="V796" i="17" s="1"/>
  <c r="V813" i="17" a="1"/>
  <c r="V813" i="17" s="1"/>
  <c r="V830" i="17" a="1"/>
  <c r="V830" i="17" s="1"/>
  <c r="V847" i="17" a="1"/>
  <c r="V847" i="17" s="1"/>
  <c r="V864" i="17" a="1"/>
  <c r="V864" i="17" s="1"/>
  <c r="V881" i="17" a="1"/>
  <c r="V881" i="17" s="1"/>
  <c r="V898" i="17" a="1"/>
  <c r="V898" i="17" s="1"/>
  <c r="V915" i="17" a="1"/>
  <c r="V915" i="17" s="1"/>
  <c r="V932" i="17" a="1"/>
  <c r="V932" i="17" s="1"/>
  <c r="V949" i="17" a="1"/>
  <c r="V949" i="17" s="1"/>
  <c r="V549" i="17" a="1"/>
  <c r="V549" i="17" s="1"/>
  <c r="V550" i="17" a="1"/>
  <c r="V550" i="17"/>
  <c r="V551" i="17" a="1"/>
  <c r="V551" i="17" s="1"/>
  <c r="V552" i="17" a="1"/>
  <c r="V552" i="17" s="1"/>
  <c r="V553" i="17" a="1"/>
  <c r="V553" i="17" s="1"/>
  <c r="V554" i="17" a="1"/>
  <c r="V554" i="17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14" i="17" a="1"/>
  <c r="V114" i="17" s="1"/>
  <c r="V131" i="17" a="1"/>
  <c r="V131" i="17"/>
  <c r="V148" i="17" a="1"/>
  <c r="V148" i="17" s="1"/>
  <c r="V165" i="17" a="1"/>
  <c r="V165" i="17" s="1"/>
  <c r="V202" i="17" a="1"/>
  <c r="V202" i="17" s="1"/>
  <c r="V203" i="17" a="1"/>
  <c r="V203" i="17" s="1"/>
  <c r="V204" i="17" a="1"/>
  <c r="V204" i="17" s="1"/>
  <c r="V233" i="17" a="1"/>
  <c r="V233" i="17" s="1"/>
  <c r="V250" i="17" a="1"/>
  <c r="V250" i="17" s="1"/>
  <c r="V267" i="17" a="1"/>
  <c r="V267" i="17" s="1"/>
  <c r="V284" i="17" a="1"/>
  <c r="V284" i="17" s="1"/>
  <c r="V301" i="17" a="1"/>
  <c r="V301" i="17" s="1"/>
  <c r="V318" i="17" a="1"/>
  <c r="V318" i="17" s="1"/>
  <c r="V335" i="17" a="1"/>
  <c r="V335" i="17"/>
  <c r="V352" i="17" a="1"/>
  <c r="V352" i="17" s="1"/>
  <c r="V369" i="17" a="1"/>
  <c r="V369" i="17" s="1"/>
  <c r="V454" i="17" a="1"/>
  <c r="V454" i="17" s="1"/>
  <c r="V471" i="17" a="1"/>
  <c r="V471" i="17" s="1"/>
  <c r="V488" i="17" a="1"/>
  <c r="V488" i="17" s="1"/>
  <c r="V406" i="17" a="1"/>
  <c r="V406" i="17" s="1"/>
  <c r="V407" i="17" a="1"/>
  <c r="V407" i="17" s="1"/>
  <c r="V408" i="17" a="1"/>
  <c r="V408" i="17"/>
  <c r="V437" i="17" a="1"/>
  <c r="V437" i="17" s="1"/>
  <c r="V607" i="17" a="1"/>
  <c r="V607" i="17" s="1"/>
  <c r="V624" i="17" a="1"/>
  <c r="V624" i="17" s="1"/>
  <c r="V641" i="17" a="1"/>
  <c r="V641" i="17" s="1"/>
  <c r="V658" i="17" a="1"/>
  <c r="V658" i="17" s="1"/>
  <c r="V675" i="17" a="1"/>
  <c r="V675" i="17" s="1"/>
  <c r="V692" i="17" a="1"/>
  <c r="V692" i="17" s="1"/>
  <c r="V709" i="17" a="1"/>
  <c r="V709" i="17"/>
  <c r="V723" i="17" a="1"/>
  <c r="V723" i="17" s="1"/>
  <c r="V734" i="17" a="1"/>
  <c r="V734" i="17" s="1"/>
  <c r="V746" i="17" a="1"/>
  <c r="V746" i="17" s="1"/>
  <c r="V763" i="17" a="1"/>
  <c r="V763" i="17" s="1"/>
  <c r="V780" i="17" a="1"/>
  <c r="V780" i="17" s="1"/>
  <c r="V797" i="17" a="1"/>
  <c r="V797" i="17" s="1"/>
  <c r="V814" i="17" a="1"/>
  <c r="V814" i="17" s="1"/>
  <c r="V831" i="17" a="1"/>
  <c r="V831" i="17" s="1"/>
  <c r="V848" i="17" a="1"/>
  <c r="V848" i="17" s="1"/>
  <c r="V865" i="17" a="1"/>
  <c r="V865" i="17" s="1"/>
  <c r="V882" i="17" a="1"/>
  <c r="V882" i="17" s="1"/>
  <c r="V899" i="17" a="1"/>
  <c r="V899" i="17"/>
  <c r="V916" i="17" a="1"/>
  <c r="V916" i="17" s="1"/>
  <c r="V933" i="17" a="1"/>
  <c r="V933" i="17" s="1"/>
  <c r="V950" i="17" a="1"/>
  <c r="V950" i="17" s="1"/>
  <c r="V555" i="17" a="1"/>
  <c r="V555" i="17" s="1"/>
  <c r="V556" i="17" a="1"/>
  <c r="V556" i="17" s="1"/>
  <c r="V557" i="17" a="1"/>
  <c r="V557" i="17" s="1"/>
  <c r="V558" i="17" a="1"/>
  <c r="V558" i="17" s="1"/>
  <c r="V559" i="17" a="1"/>
  <c r="V559" i="17" s="1"/>
  <c r="V560" i="17" a="1"/>
  <c r="V560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15" i="17" a="1"/>
  <c r="V115" i="17"/>
  <c r="V132" i="17" a="1"/>
  <c r="V132" i="17" s="1"/>
  <c r="V149" i="17" a="1"/>
  <c r="V149" i="17" s="1"/>
  <c r="V166" i="17" a="1"/>
  <c r="V166" i="17" s="1"/>
  <c r="V205" i="17" a="1"/>
  <c r="V205" i="17" s="1"/>
  <c r="V206" i="17" a="1"/>
  <c r="V206" i="17" s="1"/>
  <c r="V207" i="17" a="1"/>
  <c r="V207" i="17" s="1"/>
  <c r="V234" i="17" a="1"/>
  <c r="V234" i="17" s="1"/>
  <c r="V251" i="17" a="1"/>
  <c r="V251" i="17"/>
  <c r="V268" i="17" a="1"/>
  <c r="V268" i="17" s="1"/>
  <c r="V285" i="17" a="1"/>
  <c r="V285" i="17" s="1"/>
  <c r="V302" i="17" a="1"/>
  <c r="V302" i="17" s="1"/>
  <c r="V319" i="17" a="1"/>
  <c r="V319" i="17" s="1"/>
  <c r="V336" i="17" a="1"/>
  <c r="V336" i="17" s="1"/>
  <c r="V353" i="17" a="1"/>
  <c r="V353" i="17" s="1"/>
  <c r="V370" i="17" a="1"/>
  <c r="V370" i="17" s="1"/>
  <c r="V455" i="17" a="1"/>
  <c r="V455" i="17" s="1"/>
  <c r="V472" i="17" a="1"/>
  <c r="V472" i="17" s="1"/>
  <c r="V489" i="17" a="1"/>
  <c r="V489" i="17" s="1"/>
  <c r="V409" i="17" a="1"/>
  <c r="V409" i="17" s="1"/>
  <c r="V410" i="17" a="1"/>
  <c r="V410" i="17"/>
  <c r="V411" i="17" a="1"/>
  <c r="V411" i="17" s="1"/>
  <c r="V438" i="17" a="1"/>
  <c r="V438" i="17" s="1"/>
  <c r="V608" i="17" a="1"/>
  <c r="V608" i="17" s="1"/>
  <c r="V625" i="17" a="1"/>
  <c r="V625" i="17" s="1"/>
  <c r="V642" i="17" a="1"/>
  <c r="V642" i="17" s="1"/>
  <c r="V659" i="17" a="1"/>
  <c r="V659" i="17" s="1"/>
  <c r="V676" i="17" a="1"/>
  <c r="V676" i="17" s="1"/>
  <c r="V693" i="17" a="1"/>
  <c r="V693" i="17" s="1"/>
  <c r="V710" i="17" a="1"/>
  <c r="V710" i="17" s="1"/>
  <c r="V724" i="17" a="1"/>
  <c r="V724" i="17" s="1"/>
  <c r="V747" i="17" a="1"/>
  <c r="V747" i="17" s="1"/>
  <c r="V764" i="17" a="1"/>
  <c r="V764" i="17" s="1"/>
  <c r="V781" i="17" a="1"/>
  <c r="V781" i="17" s="1"/>
  <c r="V798" i="17" a="1"/>
  <c r="V798" i="17" s="1"/>
  <c r="V815" i="17" a="1"/>
  <c r="V815" i="17" s="1"/>
  <c r="V832" i="17" a="1"/>
  <c r="V832" i="17" s="1"/>
  <c r="V849" i="17" a="1"/>
  <c r="V849" i="17" s="1"/>
  <c r="V866" i="17" a="1"/>
  <c r="V866" i="17" s="1"/>
  <c r="V883" i="17" a="1"/>
  <c r="V883" i="17" s="1"/>
  <c r="V900" i="17" a="1"/>
  <c r="V900" i="17" s="1"/>
  <c r="V917" i="17" a="1"/>
  <c r="V917" i="17" s="1"/>
  <c r="V934" i="17" a="1"/>
  <c r="V934" i="17" s="1"/>
  <c r="V951" i="17" a="1"/>
  <c r="V951" i="17" s="1"/>
  <c r="V561" i="17" a="1"/>
  <c r="V561" i="17" s="1"/>
  <c r="V562" i="17" a="1"/>
  <c r="V562" i="17" s="1"/>
  <c r="V563" i="17" a="1"/>
  <c r="V563" i="17" s="1"/>
  <c r="V564" i="17" a="1"/>
  <c r="V564" i="17" s="1"/>
  <c r="V565" i="17" a="1"/>
  <c r="V565" i="17"/>
  <c r="V566" i="17" a="1"/>
  <c r="V566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16" i="17" a="1"/>
  <c r="V116" i="17" s="1"/>
  <c r="V133" i="17" a="1"/>
  <c r="V133" i="17" s="1"/>
  <c r="V150" i="17" a="1"/>
  <c r="V150" i="17" s="1"/>
  <c r="V167" i="17" a="1"/>
  <c r="V167" i="17" s="1"/>
  <c r="V208" i="17" a="1"/>
  <c r="V208" i="17" s="1"/>
  <c r="V209" i="17" a="1"/>
  <c r="V209" i="17" s="1"/>
  <c r="V210" i="17" a="1"/>
  <c r="V210" i="17" s="1"/>
  <c r="V235" i="17" a="1"/>
  <c r="V235" i="17" s="1"/>
  <c r="V252" i="17" a="1"/>
  <c r="V252" i="17" s="1"/>
  <c r="V269" i="17" a="1"/>
  <c r="V269" i="17" s="1"/>
  <c r="V286" i="17" a="1"/>
  <c r="V286" i="17" s="1"/>
  <c r="V303" i="17" a="1"/>
  <c r="V303" i="17" s="1"/>
  <c r="V320" i="17" a="1"/>
  <c r="V320" i="17" s="1"/>
  <c r="V337" i="17" a="1"/>
  <c r="V337" i="17" s="1"/>
  <c r="V354" i="17" a="1"/>
  <c r="V354" i="17" s="1"/>
  <c r="V371" i="17" a="1"/>
  <c r="V371" i="17" s="1"/>
  <c r="V456" i="17" a="1"/>
  <c r="V456" i="17"/>
  <c r="V473" i="17" a="1"/>
  <c r="V473" i="17" s="1"/>
  <c r="V490" i="17" a="1"/>
  <c r="V490" i="17" s="1"/>
  <c r="V412" i="17" a="1"/>
  <c r="V412" i="17" s="1"/>
  <c r="V413" i="17" a="1"/>
  <c r="V413" i="17" s="1"/>
  <c r="V414" i="17" a="1"/>
  <c r="V414" i="17" s="1"/>
  <c r="V439" i="17" a="1"/>
  <c r="V439" i="17" s="1"/>
  <c r="V609" i="17" a="1"/>
  <c r="V609" i="17" s="1"/>
  <c r="V626" i="17" a="1"/>
  <c r="V626" i="17" s="1"/>
  <c r="V643" i="17" a="1"/>
  <c r="V643" i="17" s="1"/>
  <c r="V660" i="17" a="1"/>
  <c r="V660" i="17" s="1"/>
  <c r="V677" i="17" a="1"/>
  <c r="V677" i="17" s="1"/>
  <c r="V694" i="17" a="1"/>
  <c r="V694" i="17" s="1"/>
  <c r="V711" i="17" a="1"/>
  <c r="V711" i="17" s="1"/>
  <c r="V748" i="17" a="1"/>
  <c r="V748" i="17" s="1"/>
  <c r="V765" i="17" a="1"/>
  <c r="V765" i="17" s="1"/>
  <c r="V782" i="17" a="1"/>
  <c r="V782" i="17" s="1"/>
  <c r="V799" i="17" a="1"/>
  <c r="V799" i="17" s="1"/>
  <c r="V816" i="17" a="1"/>
  <c r="V816" i="17" s="1"/>
  <c r="V833" i="17" a="1"/>
  <c r="V833" i="17" s="1"/>
  <c r="V850" i="17" a="1"/>
  <c r="V850" i="17" s="1"/>
  <c r="V867" i="17" a="1"/>
  <c r="V867" i="17" s="1"/>
  <c r="V884" i="17" a="1"/>
  <c r="V884" i="17" s="1"/>
  <c r="V901" i="17" a="1"/>
  <c r="V901" i="17" s="1"/>
  <c r="V918" i="17" a="1"/>
  <c r="V918" i="17" s="1"/>
  <c r="V935" i="17" a="1"/>
  <c r="V935" i="17" s="1"/>
  <c r="V952" i="17" a="1"/>
  <c r="V952" i="17" s="1"/>
  <c r="V567" i="17" a="1"/>
  <c r="V567" i="17" s="1"/>
  <c r="V568" i="17" a="1"/>
  <c r="V568" i="17"/>
  <c r="V569" i="17" a="1"/>
  <c r="V569" i="17" s="1"/>
  <c r="V570" i="17" a="1"/>
  <c r="V570" i="17" s="1"/>
  <c r="V571" i="17" a="1"/>
  <c r="V571" i="17" s="1"/>
  <c r="V572" i="17" a="1"/>
  <c r="V572" i="17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17" i="17" a="1"/>
  <c r="V117" i="17" s="1"/>
  <c r="V134" i="17" a="1"/>
  <c r="V134" i="17" s="1"/>
  <c r="V151" i="17" a="1"/>
  <c r="V151" i="17" s="1"/>
  <c r="V168" i="17" a="1"/>
  <c r="V168" i="17" s="1"/>
  <c r="V211" i="17" a="1"/>
  <c r="V211" i="17" s="1"/>
  <c r="V212" i="17" a="1"/>
  <c r="V212" i="17" s="1"/>
  <c r="V213" i="17" a="1"/>
  <c r="V213" i="17" s="1"/>
  <c r="V236" i="17" a="1"/>
  <c r="V236" i="17" s="1"/>
  <c r="V253" i="17" a="1"/>
  <c r="V253" i="17" s="1"/>
  <c r="V270" i="17" a="1"/>
  <c r="V270" i="17" s="1"/>
  <c r="V287" i="17" a="1"/>
  <c r="V287" i="17" s="1"/>
  <c r="V304" i="17" a="1"/>
  <c r="V304" i="17" s="1"/>
  <c r="V321" i="17" a="1"/>
  <c r="V321" i="17" s="1"/>
  <c r="V338" i="17" a="1"/>
  <c r="V338" i="17" s="1"/>
  <c r="V355" i="17" a="1"/>
  <c r="V355" i="17" s="1"/>
  <c r="V372" i="17" a="1"/>
  <c r="V372" i="17" s="1"/>
  <c r="V457" i="17" a="1"/>
  <c r="V457" i="17" s="1"/>
  <c r="V474" i="17" a="1"/>
  <c r="V474" i="17"/>
  <c r="V491" i="17" a="1"/>
  <c r="V491" i="17" s="1"/>
  <c r="V415" i="17" a="1"/>
  <c r="V415" i="17" s="1"/>
  <c r="V416" i="17" a="1"/>
  <c r="V416" i="17" s="1"/>
  <c r="V417" i="17" a="1"/>
  <c r="V417" i="17"/>
  <c r="V440" i="17" a="1"/>
  <c r="V440" i="17" s="1"/>
  <c r="V610" i="17" a="1"/>
  <c r="V610" i="17" s="1"/>
  <c r="V627" i="17" a="1"/>
  <c r="V627" i="17" s="1"/>
  <c r="V644" i="17" a="1"/>
  <c r="V644" i="17"/>
  <c r="V661" i="17" a="1"/>
  <c r="V661" i="17" s="1"/>
  <c r="V678" i="17" a="1"/>
  <c r="V678" i="17" s="1"/>
  <c r="V695" i="17" a="1"/>
  <c r="V695" i="17" s="1"/>
  <c r="V712" i="17" a="1"/>
  <c r="V712" i="17" s="1"/>
  <c r="V725" i="17" a="1"/>
  <c r="V725" i="17" s="1"/>
  <c r="V749" i="17" a="1"/>
  <c r="V749" i="17" s="1"/>
  <c r="V766" i="17" a="1"/>
  <c r="V766" i="17" s="1"/>
  <c r="V783" i="17" a="1"/>
  <c r="V783" i="17"/>
  <c r="V800" i="17" a="1"/>
  <c r="V800" i="17" s="1"/>
  <c r="V817" i="17" a="1"/>
  <c r="V817" i="17" s="1"/>
  <c r="V834" i="17" a="1"/>
  <c r="V834" i="17" s="1"/>
  <c r="V851" i="17" a="1"/>
  <c r="V851" i="17" s="1"/>
  <c r="V868" i="17" a="1"/>
  <c r="V868" i="17" s="1"/>
  <c r="V885" i="17" a="1"/>
  <c r="V885" i="17" s="1"/>
  <c r="V902" i="17" a="1"/>
  <c r="V902" i="17" s="1"/>
  <c r="V919" i="17" a="1"/>
  <c r="V919" i="17" s="1"/>
  <c r="V936" i="17" a="1"/>
  <c r="V936" i="17" s="1"/>
  <c r="V953" i="17" a="1"/>
  <c r="V953" i="17" s="1"/>
  <c r="V573" i="17" a="1"/>
  <c r="V573" i="17" s="1"/>
  <c r="V574" i="17" a="1"/>
  <c r="V574" i="17"/>
  <c r="V575" i="17" a="1"/>
  <c r="V575" i="17" s="1"/>
  <c r="V576" i="17" a="1"/>
  <c r="V576" i="17" s="1"/>
  <c r="V577" i="17" a="1"/>
  <c r="V577" i="17" s="1"/>
  <c r="V578" i="17" a="1"/>
  <c r="V578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18" i="17" a="1"/>
  <c r="V118" i="17" s="1"/>
  <c r="V135" i="17" a="1"/>
  <c r="V135" i="17" s="1"/>
  <c r="V152" i="17" a="1"/>
  <c r="V152" i="17" s="1"/>
  <c r="V169" i="17" a="1"/>
  <c r="V169" i="17" s="1"/>
  <c r="V214" i="17" a="1"/>
  <c r="V214" i="17" s="1"/>
  <c r="V215" i="17" a="1"/>
  <c r="V215" i="17"/>
  <c r="V216" i="17" a="1"/>
  <c r="V216" i="17" s="1"/>
  <c r="V237" i="17" a="1"/>
  <c r="V237" i="17" s="1"/>
  <c r="V254" i="17" a="1"/>
  <c r="V254" i="17" s="1"/>
  <c r="V271" i="17" a="1"/>
  <c r="V271" i="17" s="1"/>
  <c r="V288" i="17" a="1"/>
  <c r="V288" i="17" s="1"/>
  <c r="V305" i="17" a="1"/>
  <c r="V305" i="17" s="1"/>
  <c r="V322" i="17" a="1"/>
  <c r="V322" i="17" s="1"/>
  <c r="V339" i="17" a="1"/>
  <c r="V339" i="17" s="1"/>
  <c r="V356" i="17" a="1"/>
  <c r="V356" i="17" s="1"/>
  <c r="V373" i="17" a="1"/>
  <c r="V373" i="17" s="1"/>
  <c r="V458" i="17" a="1"/>
  <c r="V458" i="17" s="1"/>
  <c r="V475" i="17" a="1"/>
  <c r="V475" i="17" s="1"/>
  <c r="V492" i="17" a="1"/>
  <c r="V492" i="17" s="1"/>
  <c r="V418" i="17" a="1"/>
  <c r="V418" i="17" s="1"/>
  <c r="V419" i="17" a="1"/>
  <c r="V419" i="17" s="1"/>
  <c r="V420" i="17" a="1"/>
  <c r="V420" i="17"/>
  <c r="V441" i="17" a="1"/>
  <c r="V441" i="17" s="1"/>
  <c r="V611" i="17" a="1"/>
  <c r="V611" i="17" s="1"/>
  <c r="V628" i="17" a="1"/>
  <c r="V628" i="17" s="1"/>
  <c r="V645" i="17" a="1"/>
  <c r="V645" i="17" s="1"/>
  <c r="V662" i="17" a="1"/>
  <c r="V662" i="17" s="1"/>
  <c r="V679" i="17" a="1"/>
  <c r="V679" i="17" s="1"/>
  <c r="V696" i="17" a="1"/>
  <c r="V696" i="17" s="1"/>
  <c r="V713" i="17" a="1"/>
  <c r="V713" i="17" s="1"/>
  <c r="V726" i="17" a="1"/>
  <c r="V726" i="17" s="1"/>
  <c r="V735" i="17" a="1"/>
  <c r="V735" i="17" s="1"/>
  <c r="V750" i="17" a="1"/>
  <c r="V750" i="17" s="1"/>
  <c r="V767" i="17" a="1"/>
  <c r="V767" i="17"/>
  <c r="V784" i="17" a="1"/>
  <c r="V784" i="17" s="1"/>
  <c r="V801" i="17" a="1"/>
  <c r="V801" i="17" s="1"/>
  <c r="V818" i="17" a="1"/>
  <c r="V818" i="17" s="1"/>
  <c r="V835" i="17" a="1"/>
  <c r="V835" i="17" s="1"/>
  <c r="V852" i="17" a="1"/>
  <c r="V852" i="17" s="1"/>
  <c r="V869" i="17" a="1"/>
  <c r="V869" i="17" s="1"/>
  <c r="V886" i="17" a="1"/>
  <c r="V886" i="17" s="1"/>
  <c r="V903" i="17" a="1"/>
  <c r="V903" i="17" s="1"/>
  <c r="V920" i="17" a="1"/>
  <c r="V920" i="17" s="1"/>
  <c r="V937" i="17" a="1"/>
  <c r="V937" i="17" s="1"/>
  <c r="V954" i="17" a="1"/>
  <c r="V954" i="17" s="1"/>
  <c r="V579" i="17" a="1"/>
  <c r="V579" i="17" s="1"/>
  <c r="V580" i="17" a="1"/>
  <c r="V580" i="17" s="1"/>
  <c r="V581" i="17" a="1"/>
  <c r="V581" i="17"/>
  <c r="V582" i="17" a="1"/>
  <c r="V582" i="17" s="1"/>
  <c r="V583" i="17" a="1"/>
  <c r="V583" i="17" s="1"/>
  <c r="V584" i="17" a="1"/>
  <c r="V584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19" i="17" a="1"/>
  <c r="V119" i="17" s="1"/>
  <c r="V136" i="17" a="1"/>
  <c r="V136" i="17" s="1"/>
  <c r="V153" i="17" a="1"/>
  <c r="V153" i="17" s="1"/>
  <c r="V170" i="17" a="1"/>
  <c r="V170" i="17" s="1"/>
  <c r="V217" i="17" a="1"/>
  <c r="V217" i="17" s="1"/>
  <c r="V218" i="17" a="1"/>
  <c r="V218" i="17" s="1"/>
  <c r="V219" i="17" a="1"/>
  <c r="V219" i="17" s="1"/>
  <c r="V238" i="17" a="1"/>
  <c r="V238" i="17" s="1"/>
  <c r="V255" i="17" a="1"/>
  <c r="V255" i="17"/>
  <c r="V272" i="17" a="1"/>
  <c r="V272" i="17" s="1"/>
  <c r="V289" i="17" a="1"/>
  <c r="V289" i="17" s="1"/>
  <c r="V306" i="17" a="1"/>
  <c r="V306" i="17" s="1"/>
  <c r="V323" i="17" a="1"/>
  <c r="V323" i="17" s="1"/>
  <c r="V340" i="17" a="1"/>
  <c r="V340" i="17" s="1"/>
  <c r="V357" i="17" a="1"/>
  <c r="V357" i="17" s="1"/>
  <c r="V374" i="17" a="1"/>
  <c r="V374" i="17" s="1"/>
  <c r="V459" i="17" a="1"/>
  <c r="V459" i="17" s="1"/>
  <c r="V476" i="17" a="1"/>
  <c r="V476" i="17" s="1"/>
  <c r="V493" i="17" a="1"/>
  <c r="V493" i="17" s="1"/>
  <c r="V421" i="17" a="1"/>
  <c r="V421" i="17" s="1"/>
  <c r="V422" i="17" a="1"/>
  <c r="V422" i="17" s="1"/>
  <c r="V423" i="17" a="1"/>
  <c r="V423" i="17" s="1"/>
  <c r="V442" i="17" a="1"/>
  <c r="V442" i="17"/>
  <c r="V612" i="17" a="1"/>
  <c r="V612" i="17" s="1"/>
  <c r="V629" i="17" a="1"/>
  <c r="V629" i="17" s="1"/>
  <c r="V646" i="17" a="1"/>
  <c r="V646" i="17" s="1"/>
  <c r="V663" i="17" a="1"/>
  <c r="V663" i="17" s="1"/>
  <c r="V680" i="17" a="1"/>
  <c r="V680" i="17"/>
  <c r="V697" i="17" a="1"/>
  <c r="V697" i="17"/>
  <c r="V714" i="17" a="1"/>
  <c r="V714" i="17" s="1"/>
  <c r="V727" i="17" a="1"/>
  <c r="V727" i="17" s="1"/>
  <c r="V751" i="17" a="1"/>
  <c r="V751" i="17"/>
  <c r="V768" i="17" a="1"/>
  <c r="V768" i="17" s="1"/>
  <c r="V785" i="17" a="1"/>
  <c r="V785" i="17" s="1"/>
  <c r="V802" i="17" a="1"/>
  <c r="V802" i="17"/>
  <c r="V819" i="17" a="1"/>
  <c r="V819" i="17" s="1"/>
  <c r="V836" i="17" a="1"/>
  <c r="V836" i="17" s="1"/>
  <c r="V853" i="17" a="1"/>
  <c r="V853" i="17" s="1"/>
  <c r="V870" i="17" a="1"/>
  <c r="V870" i="17" s="1"/>
  <c r="V887" i="17" a="1"/>
  <c r="V887" i="17" s="1"/>
  <c r="V904" i="17" a="1"/>
  <c r="V904" i="17" s="1"/>
  <c r="V921" i="17" a="1"/>
  <c r="V921" i="17" s="1"/>
  <c r="V938" i="17" a="1"/>
  <c r="V938" i="17" s="1"/>
  <c r="V955" i="17" a="1"/>
  <c r="V955" i="17" s="1"/>
  <c r="V585" i="17" a="1"/>
  <c r="V585" i="17" s="1"/>
  <c r="V586" i="17" a="1"/>
  <c r="V586" i="17" s="1"/>
  <c r="V587" i="17" a="1"/>
  <c r="V587" i="17" s="1"/>
  <c r="V588" i="17" a="1"/>
  <c r="V588" i="17" s="1"/>
  <c r="V589" i="17" a="1"/>
  <c r="V589" i="17" s="1"/>
  <c r="V590" i="17" a="1"/>
  <c r="V590" i="17" s="1"/>
  <c r="V98" i="17" a="1"/>
  <c r="V98" i="17" s="1"/>
  <c r="V99" i="17" a="1"/>
  <c r="V99" i="17" s="1"/>
  <c r="V100" i="17" a="1"/>
  <c r="V100" i="17"/>
  <c r="V101" i="17" a="1"/>
  <c r="V101" i="17" s="1"/>
  <c r="V102" i="17" a="1"/>
  <c r="V102" i="17"/>
  <c r="V103" i="17" a="1"/>
  <c r="V103" i="17" s="1"/>
  <c r="V120" i="17" a="1"/>
  <c r="V120" i="17" s="1"/>
  <c r="V137" i="17" a="1"/>
  <c r="V137" i="17" s="1"/>
  <c r="V154" i="17" a="1"/>
  <c r="V154" i="17" s="1"/>
  <c r="V171" i="17" a="1"/>
  <c r="V171" i="17" s="1"/>
  <c r="V220" i="17" a="1"/>
  <c r="V220" i="17"/>
  <c r="V221" i="17" a="1"/>
  <c r="V221" i="17" s="1"/>
  <c r="V222" i="17" a="1"/>
  <c r="V222" i="17" s="1"/>
  <c r="V239" i="17" a="1"/>
  <c r="V239" i="17"/>
  <c r="V256" i="17" a="1"/>
  <c r="V256" i="17" s="1"/>
  <c r="V273" i="17" a="1"/>
  <c r="V273" i="17" s="1"/>
  <c r="V290" i="17" a="1"/>
  <c r="V290" i="17"/>
  <c r="V307" i="17" a="1"/>
  <c r="V307" i="17" s="1"/>
  <c r="V324" i="17" a="1"/>
  <c r="V324" i="17" s="1"/>
  <c r="V341" i="17" a="1"/>
  <c r="V341" i="17" s="1"/>
  <c r="V358" i="17" a="1"/>
  <c r="V358" i="17" s="1"/>
  <c r="V375" i="17" a="1"/>
  <c r="V375" i="17" s="1"/>
  <c r="V460" i="17" a="1"/>
  <c r="V460" i="17" s="1"/>
  <c r="V477" i="17" a="1"/>
  <c r="V477" i="17" s="1"/>
  <c r="V494" i="17" a="1"/>
  <c r="V494" i="17" s="1"/>
  <c r="V424" i="17" a="1"/>
  <c r="V424" i="17" s="1"/>
  <c r="V425" i="17" a="1"/>
  <c r="V425" i="17" s="1"/>
  <c r="V426" i="17" a="1"/>
  <c r="V426" i="17" s="1"/>
  <c r="V443" i="17" a="1"/>
  <c r="V443" i="17" s="1"/>
  <c r="V613" i="17" a="1"/>
  <c r="V613" i="17" s="1"/>
  <c r="V630" i="17" a="1"/>
  <c r="V630" i="17" s="1"/>
  <c r="V647" i="17" a="1"/>
  <c r="V647" i="17" s="1"/>
  <c r="V664" i="17" a="1"/>
  <c r="V664" i="17" s="1"/>
  <c r="V681" i="17" a="1"/>
  <c r="V681" i="17" s="1"/>
  <c r="V698" i="17" a="1"/>
  <c r="V698" i="17"/>
  <c r="V715" i="17" a="1"/>
  <c r="V715" i="17" s="1"/>
  <c r="V728" i="17" a="1"/>
  <c r="V728" i="17"/>
  <c r="V752" i="17" a="1"/>
  <c r="V752" i="17" s="1"/>
  <c r="V769" i="17" a="1"/>
  <c r="V769" i="17" s="1"/>
  <c r="V786" i="17" a="1"/>
  <c r="V786" i="17" s="1"/>
  <c r="V803" i="17" a="1"/>
  <c r="V803" i="17" s="1"/>
  <c r="V820" i="17" a="1"/>
  <c r="V820" i="17" s="1"/>
  <c r="V837" i="17" a="1"/>
  <c r="V837" i="17" s="1"/>
  <c r="V854" i="17" a="1"/>
  <c r="V854" i="17" s="1"/>
  <c r="V871" i="17" a="1"/>
  <c r="V871" i="17" s="1"/>
  <c r="V888" i="17" a="1"/>
  <c r="V888" i="17" s="1"/>
  <c r="V905" i="17" a="1"/>
  <c r="V905" i="17" s="1"/>
  <c r="V922" i="17" a="1"/>
  <c r="V922" i="17" s="1"/>
  <c r="V939" i="17" a="1"/>
  <c r="V939" i="17" s="1"/>
  <c r="V956" i="17" a="1"/>
  <c r="V956" i="17" s="1"/>
  <c r="V591" i="17" a="1"/>
  <c r="V591" i="17" s="1"/>
  <c r="V592" i="17" a="1"/>
  <c r="V592" i="17" s="1"/>
  <c r="V593" i="17" a="1"/>
  <c r="V593" i="17" s="1"/>
  <c r="V594" i="17" a="1"/>
  <c r="V594" i="17" s="1"/>
  <c r="V595" i="17" a="1"/>
  <c r="V595" i="17"/>
  <c r="V596" i="17" a="1"/>
  <c r="V596" i="17" s="1"/>
  <c r="X2" i="17" a="1"/>
  <c r="X2" i="17" s="1"/>
  <c r="X3" i="17" a="1"/>
  <c r="X3" i="17" s="1"/>
  <c r="Y3" i="17" s="1"/>
  <c r="Q3" i="17" s="1"/>
  <c r="W3" i="17" s="1"/>
  <c r="X4" i="17" a="1"/>
  <c r="X4" i="17"/>
  <c r="X5" i="17" a="1"/>
  <c r="X5" i="17" s="1"/>
  <c r="Y5" i="17" s="1"/>
  <c r="Q5" i="17" s="1"/>
  <c r="W5" i="17" s="1"/>
  <c r="X6" i="17" a="1"/>
  <c r="X6" i="17" s="1"/>
  <c r="X7" i="17" a="1"/>
  <c r="X7" i="17" s="1"/>
  <c r="X104" i="17" a="1"/>
  <c r="X104" i="17"/>
  <c r="X121" i="17" a="1"/>
  <c r="X121" i="17"/>
  <c r="X138" i="17" a="1"/>
  <c r="X138" i="17" s="1"/>
  <c r="X155" i="17" a="1"/>
  <c r="X155" i="17" s="1"/>
  <c r="X172" i="17" a="1"/>
  <c r="X172" i="17" s="1"/>
  <c r="X173" i="17" a="1"/>
  <c r="X173" i="17" s="1"/>
  <c r="Y173" i="17" s="1"/>
  <c r="Q173" i="17" s="1"/>
  <c r="W173" i="17" s="1"/>
  <c r="X174" i="17" a="1"/>
  <c r="X174" i="17" s="1"/>
  <c r="X223" i="17" a="1"/>
  <c r="X223" i="17" s="1"/>
  <c r="X240" i="17" a="1"/>
  <c r="X240" i="17"/>
  <c r="X257" i="17" a="1"/>
  <c r="X257" i="17" s="1"/>
  <c r="X274" i="17" a="1"/>
  <c r="X274" i="17" s="1"/>
  <c r="X291" i="17" a="1"/>
  <c r="X291" i="17" s="1"/>
  <c r="Y291" i="17" s="1"/>
  <c r="Q291" i="17" s="1"/>
  <c r="W291" i="17" s="1"/>
  <c r="X308" i="17" a="1"/>
  <c r="X308" i="17" s="1"/>
  <c r="X325" i="17" a="1"/>
  <c r="X325" i="17" s="1"/>
  <c r="Y325" i="17" s="1"/>
  <c r="Q325" i="17" s="1"/>
  <c r="W325" i="17" s="1"/>
  <c r="X342" i="17" a="1"/>
  <c r="X342" i="17" s="1"/>
  <c r="X359" i="17" a="1"/>
  <c r="X359" i="17" s="1"/>
  <c r="Y359" i="17" s="1"/>
  <c r="Q359" i="17" s="1"/>
  <c r="W359" i="17" s="1"/>
  <c r="X444" i="17" a="1"/>
  <c r="X444" i="17" s="1"/>
  <c r="Y444" i="17" s="1"/>
  <c r="Q444" i="17" s="1"/>
  <c r="W444" i="17" s="1"/>
  <c r="X461" i="17" a="1"/>
  <c r="X461" i="17" s="1"/>
  <c r="X478" i="17" a="1"/>
  <c r="X478" i="17" s="1"/>
  <c r="X376" i="17" a="1"/>
  <c r="X376" i="17" s="1"/>
  <c r="X377" i="17" a="1"/>
  <c r="X377" i="17" s="1"/>
  <c r="Y377" i="17" s="1"/>
  <c r="Q377" i="17" s="1"/>
  <c r="W377" i="17" s="1"/>
  <c r="X378" i="17" a="1"/>
  <c r="X378" i="17" s="1"/>
  <c r="Y378" i="17" s="1"/>
  <c r="Q378" i="17" s="1"/>
  <c r="W378" i="17" s="1"/>
  <c r="X427" i="17" a="1"/>
  <c r="X427" i="17" s="1"/>
  <c r="X597" i="17" a="1"/>
  <c r="X597" i="17" s="1"/>
  <c r="X614" i="17" a="1"/>
  <c r="X614" i="17"/>
  <c r="X631" i="17" a="1"/>
  <c r="X631" i="17" s="1"/>
  <c r="Y631" i="17" s="1"/>
  <c r="Q631" i="17" s="1"/>
  <c r="W631" i="17" s="1"/>
  <c r="X648" i="17" a="1"/>
  <c r="X648" i="17" s="1"/>
  <c r="X665" i="17" a="1"/>
  <c r="X665" i="17" s="1"/>
  <c r="Y665" i="17" s="1"/>
  <c r="Q665" i="17" s="1"/>
  <c r="W665" i="17" s="1"/>
  <c r="X682" i="17" a="1"/>
  <c r="X682" i="17"/>
  <c r="X699" i="17" a="1"/>
  <c r="X699" i="17" s="1"/>
  <c r="Y699" i="17" s="1"/>
  <c r="Q699" i="17" s="1"/>
  <c r="W699" i="17" s="1"/>
  <c r="X729" i="17" a="1"/>
  <c r="X729" i="17" s="1"/>
  <c r="X736" i="17" a="1"/>
  <c r="X736" i="17" s="1"/>
  <c r="X753" i="17" a="1"/>
  <c r="X753" i="17"/>
  <c r="X770" i="17" a="1"/>
  <c r="X770" i="17"/>
  <c r="X787" i="17" a="1"/>
  <c r="X787" i="17" s="1"/>
  <c r="X804" i="17" a="1"/>
  <c r="X804" i="17" s="1"/>
  <c r="Y804" i="17" s="1"/>
  <c r="Q804" i="17" s="1"/>
  <c r="W804" i="17" s="1"/>
  <c r="X821" i="17" a="1"/>
  <c r="X821" i="17" s="1"/>
  <c r="Y821" i="17" s="1"/>
  <c r="Q821" i="17" s="1"/>
  <c r="W821" i="17" s="1"/>
  <c r="X838" i="17" a="1"/>
  <c r="X838" i="17" s="1"/>
  <c r="Y838" i="17" s="1"/>
  <c r="Q838" i="17" s="1"/>
  <c r="W838" i="17" s="1"/>
  <c r="X855" i="17" a="1"/>
  <c r="X855" i="17" s="1"/>
  <c r="X872" i="17" a="1"/>
  <c r="X872" i="17" s="1"/>
  <c r="Y872" i="17" s="1"/>
  <c r="Q872" i="17" s="1"/>
  <c r="W872" i="17" s="1"/>
  <c r="X889" i="17" a="1"/>
  <c r="X889" i="17" s="1"/>
  <c r="X906" i="17" a="1"/>
  <c r="X906" i="17"/>
  <c r="X923" i="17" a="1"/>
  <c r="X923" i="17" s="1"/>
  <c r="X940" i="17" a="1"/>
  <c r="X940" i="17" s="1"/>
  <c r="Y940" i="17" s="1"/>
  <c r="Q940" i="17" s="1"/>
  <c r="W940" i="17" s="1"/>
  <c r="X495" i="17" a="1"/>
  <c r="X495" i="17" s="1"/>
  <c r="Y495" i="17" s="1"/>
  <c r="Q495" i="17" s="1"/>
  <c r="W495" i="17" s="1"/>
  <c r="X496" i="17" a="1"/>
  <c r="X496" i="17" s="1"/>
  <c r="Y496" i="17" s="1"/>
  <c r="Q496" i="17" s="1"/>
  <c r="W496" i="17" s="1"/>
  <c r="X497" i="17" a="1"/>
  <c r="X497" i="17" s="1"/>
  <c r="X498" i="17" a="1"/>
  <c r="X498" i="17" s="1"/>
  <c r="X499" i="17" a="1"/>
  <c r="X499" i="17" s="1"/>
  <c r="Y499" i="17" s="1"/>
  <c r="Q499" i="17" s="1"/>
  <c r="W499" i="17" s="1"/>
  <c r="X500" i="17" a="1"/>
  <c r="X500" i="17" s="1"/>
  <c r="X8" i="17" a="1"/>
  <c r="X8" i="17" s="1"/>
  <c r="X9" i="17" a="1"/>
  <c r="X9" i="17"/>
  <c r="X10" i="17" a="1"/>
  <c r="X10" i="17" s="1"/>
  <c r="Y10" i="17" s="1"/>
  <c r="Q10" i="17" s="1"/>
  <c r="W10" i="17" s="1"/>
  <c r="X11" i="17" a="1"/>
  <c r="X11" i="17" s="1"/>
  <c r="Y11" i="17" s="1"/>
  <c r="Q11" i="17" s="1"/>
  <c r="W11" i="17" s="1"/>
  <c r="X12" i="17" a="1"/>
  <c r="X12" i="17" s="1"/>
  <c r="X13" i="17" a="1"/>
  <c r="X13" i="17" s="1"/>
  <c r="X105" i="17" a="1"/>
  <c r="X105" i="17" s="1"/>
  <c r="X122" i="17" a="1"/>
  <c r="X122" i="17" s="1"/>
  <c r="Y122" i="17" s="1"/>
  <c r="Q122" i="17" s="1"/>
  <c r="W122" i="17" s="1"/>
  <c r="X139" i="17" a="1"/>
  <c r="X139" i="17" s="1"/>
  <c r="X156" i="17" a="1"/>
  <c r="X156" i="17" s="1"/>
  <c r="Y156" i="17" s="1"/>
  <c r="Q156" i="17" s="1"/>
  <c r="W156" i="17" s="1"/>
  <c r="X175" i="17" a="1"/>
  <c r="X175" i="17" s="1"/>
  <c r="Y175" i="17" s="1"/>
  <c r="Q175" i="17" s="1"/>
  <c r="W175" i="17" s="1"/>
  <c r="X176" i="17" a="1"/>
  <c r="X176" i="17" s="1"/>
  <c r="Y176" i="17" s="1"/>
  <c r="Q176" i="17" s="1"/>
  <c r="W176" i="17" s="1"/>
  <c r="X177" i="17" a="1"/>
  <c r="X177" i="17" s="1"/>
  <c r="X224" i="17" a="1"/>
  <c r="X224" i="17" s="1"/>
  <c r="Y224" i="17" s="1"/>
  <c r="Q224" i="17" s="1"/>
  <c r="W224" i="17" s="1"/>
  <c r="X241" i="17" a="1"/>
  <c r="X241" i="17" s="1"/>
  <c r="Y241" i="17" s="1"/>
  <c r="Q241" i="17" s="1"/>
  <c r="W241" i="17" s="1"/>
  <c r="X258" i="17" a="1"/>
  <c r="X258" i="17" s="1"/>
  <c r="X275" i="17" a="1"/>
  <c r="X275" i="17" s="1"/>
  <c r="X292" i="17" a="1"/>
  <c r="X292" i="17" s="1"/>
  <c r="X309" i="17" a="1"/>
  <c r="X309" i="17" s="1"/>
  <c r="Y309" i="17" s="1"/>
  <c r="Q309" i="17" s="1"/>
  <c r="W309" i="17" s="1"/>
  <c r="X326" i="17" a="1"/>
  <c r="X326" i="17" s="1"/>
  <c r="Y326" i="17" s="1"/>
  <c r="Q326" i="17" s="1"/>
  <c r="W326" i="17" s="1"/>
  <c r="X343" i="17" a="1"/>
  <c r="X343" i="17" s="1"/>
  <c r="X360" i="17" a="1"/>
  <c r="X360" i="17" s="1"/>
  <c r="Y360" i="17" s="1"/>
  <c r="Q360" i="17" s="1"/>
  <c r="W360" i="17" s="1"/>
  <c r="X445" i="17" a="1"/>
  <c r="X445" i="17" s="1"/>
  <c r="X462" i="17" a="1"/>
  <c r="X462" i="17" s="1"/>
  <c r="Y462" i="17" s="1"/>
  <c r="Q462" i="17" s="1"/>
  <c r="W462" i="17" s="1"/>
  <c r="X479" i="17" a="1"/>
  <c r="X479" i="17" s="1"/>
  <c r="X379" i="17" a="1"/>
  <c r="X379" i="17" s="1"/>
  <c r="Y379" i="17" s="1"/>
  <c r="Q379" i="17" s="1"/>
  <c r="W379" i="17" s="1"/>
  <c r="X380" i="17" a="1"/>
  <c r="X380" i="17" s="1"/>
  <c r="X381" i="17" a="1"/>
  <c r="X381" i="17" s="1"/>
  <c r="Y381" i="17" s="1"/>
  <c r="Q381" i="17" s="1"/>
  <c r="W381" i="17" s="1"/>
  <c r="X428" i="17" a="1"/>
  <c r="X428" i="17" s="1"/>
  <c r="X598" i="17" a="1"/>
  <c r="X598" i="17" s="1"/>
  <c r="Y598" i="17" s="1"/>
  <c r="Q598" i="17" s="1"/>
  <c r="W598" i="17" s="1"/>
  <c r="X615" i="17" a="1"/>
  <c r="X615" i="17" s="1"/>
  <c r="Y615" i="17" s="1"/>
  <c r="Q615" i="17" s="1"/>
  <c r="W615" i="17" s="1"/>
  <c r="X632" i="17" a="1"/>
  <c r="X632" i="17" s="1"/>
  <c r="Y632" i="17" s="1"/>
  <c r="Q632" i="17" s="1"/>
  <c r="W632" i="17" s="1"/>
  <c r="X649" i="17" a="1"/>
  <c r="X649" i="17" s="1"/>
  <c r="X666" i="17" a="1"/>
  <c r="X666" i="17"/>
  <c r="X683" i="17" a="1"/>
  <c r="X683" i="17" s="1"/>
  <c r="Y683" i="17" s="1"/>
  <c r="Q683" i="17" s="1"/>
  <c r="W683" i="17" s="1"/>
  <c r="X700" i="17" a="1"/>
  <c r="X700" i="17" s="1"/>
  <c r="Y700" i="17" s="1"/>
  <c r="Q700" i="17" s="1"/>
  <c r="W700" i="17" s="1"/>
  <c r="X716" i="17" a="1"/>
  <c r="X716" i="17" s="1"/>
  <c r="X737" i="17" a="1"/>
  <c r="X737" i="17" s="1"/>
  <c r="Y737" i="17" s="1"/>
  <c r="Q737" i="17" s="1"/>
  <c r="W737" i="17" s="1"/>
  <c r="X754" i="17" a="1"/>
  <c r="X754" i="17" s="1"/>
  <c r="Y754" i="17" s="1"/>
  <c r="Q754" i="17" s="1"/>
  <c r="W754" i="17" s="1"/>
  <c r="X771" i="17" a="1"/>
  <c r="X771" i="17" s="1"/>
  <c r="Y771" i="17" s="1"/>
  <c r="Q771" i="17" s="1"/>
  <c r="W771" i="17" s="1"/>
  <c r="X788" i="17" a="1"/>
  <c r="X788" i="17" s="1"/>
  <c r="X805" i="17" a="1"/>
  <c r="X805" i="17" s="1"/>
  <c r="Y805" i="17" s="1"/>
  <c r="Q805" i="17" s="1"/>
  <c r="W805" i="17" s="1"/>
  <c r="X822" i="17" a="1"/>
  <c r="X822" i="17" s="1"/>
  <c r="X839" i="17" a="1"/>
  <c r="X839" i="17" s="1"/>
  <c r="Y839" i="17" s="1"/>
  <c r="Q839" i="17" s="1"/>
  <c r="W839" i="17" s="1"/>
  <c r="X856" i="17" a="1"/>
  <c r="X856" i="17" s="1"/>
  <c r="X873" i="17" a="1"/>
  <c r="X873" i="17" s="1"/>
  <c r="X890" i="17" a="1"/>
  <c r="X890" i="17" s="1"/>
  <c r="Y890" i="17" s="1"/>
  <c r="Q890" i="17" s="1"/>
  <c r="W890" i="17" s="1"/>
  <c r="X907" i="17" a="1"/>
  <c r="X907" i="17" s="1"/>
  <c r="Y907" i="17" s="1"/>
  <c r="Q907" i="17" s="1"/>
  <c r="W907" i="17" s="1"/>
  <c r="X924" i="17" a="1"/>
  <c r="X924" i="17" s="1"/>
  <c r="X941" i="17" a="1"/>
  <c r="X941" i="17" s="1"/>
  <c r="Y941" i="17" s="1"/>
  <c r="Q941" i="17" s="1"/>
  <c r="W941" i="17" s="1"/>
  <c r="X501" i="17" a="1"/>
  <c r="X501" i="17" s="1"/>
  <c r="Y501" i="17" s="1"/>
  <c r="Q501" i="17" s="1"/>
  <c r="W501" i="17" s="1"/>
  <c r="X502" i="17" a="1"/>
  <c r="X502" i="17" s="1"/>
  <c r="Y502" i="17" s="1"/>
  <c r="Q502" i="17" s="1"/>
  <c r="W502" i="17" s="1"/>
  <c r="X503" i="17" a="1"/>
  <c r="X503" i="17" s="1"/>
  <c r="X504" i="17" a="1"/>
  <c r="X504" i="17" s="1"/>
  <c r="Y504" i="17" s="1"/>
  <c r="Q504" i="17" s="1"/>
  <c r="W504" i="17" s="1"/>
  <c r="X505" i="17" a="1"/>
  <c r="X505" i="17" s="1"/>
  <c r="X506" i="17" a="1"/>
  <c r="X506" i="17" s="1"/>
  <c r="X14" i="17" a="1"/>
  <c r="X14" i="17" s="1"/>
  <c r="X15" i="17" a="1"/>
  <c r="X15" i="17" s="1"/>
  <c r="Y15" i="17" s="1"/>
  <c r="Q15" i="17" s="1"/>
  <c r="W15" i="17" s="1"/>
  <c r="X16" i="17" a="1"/>
  <c r="X16" i="17" s="1"/>
  <c r="Y16" i="17" s="1"/>
  <c r="Q16" i="17" s="1"/>
  <c r="W16" i="17" s="1"/>
  <c r="X17" i="17" a="1"/>
  <c r="X17" i="17" s="1"/>
  <c r="Y17" i="17" s="1"/>
  <c r="Q17" i="17" s="1"/>
  <c r="W17" i="17" s="1"/>
  <c r="X18" i="17" a="1"/>
  <c r="X18" i="17" s="1"/>
  <c r="X19" i="17" a="1"/>
  <c r="X19" i="17" s="1"/>
  <c r="X106" i="17" a="1"/>
  <c r="X106" i="17" s="1"/>
  <c r="Y106" i="17" s="1"/>
  <c r="Q106" i="17" s="1"/>
  <c r="W106" i="17" s="1"/>
  <c r="X123" i="17" a="1"/>
  <c r="X123" i="17" s="1"/>
  <c r="X140" i="17" a="1"/>
  <c r="X140" i="17" s="1"/>
  <c r="X157" i="17" a="1"/>
  <c r="X157" i="17" s="1"/>
  <c r="Y157" i="17" s="1"/>
  <c r="Q157" i="17" s="1"/>
  <c r="W157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X225" i="17" a="1"/>
  <c r="X225" i="17" s="1"/>
  <c r="X242" i="17" a="1"/>
  <c r="X242" i="17" s="1"/>
  <c r="X259" i="17" a="1"/>
  <c r="X259" i="17" s="1"/>
  <c r="Y259" i="17" s="1"/>
  <c r="Q259" i="17" s="1"/>
  <c r="W259" i="17" s="1"/>
  <c r="X276" i="17" a="1"/>
  <c r="X276" i="17" s="1"/>
  <c r="X293" i="17" a="1"/>
  <c r="X293" i="17" s="1"/>
  <c r="Y293" i="17" s="1"/>
  <c r="Q293" i="17" s="1"/>
  <c r="W293" i="17" s="1"/>
  <c r="X310" i="17" a="1"/>
  <c r="X310" i="17" s="1"/>
  <c r="Y310" i="17" s="1"/>
  <c r="Q310" i="17" s="1"/>
  <c r="W310" i="17" s="1"/>
  <c r="X327" i="17" a="1"/>
  <c r="X327" i="17" s="1"/>
  <c r="Y327" i="17" s="1"/>
  <c r="Q327" i="17" s="1"/>
  <c r="W327" i="17" s="1"/>
  <c r="X344" i="17" a="1"/>
  <c r="X344" i="17" s="1"/>
  <c r="X361" i="17" a="1"/>
  <c r="X361" i="17"/>
  <c r="X446" i="17" a="1"/>
  <c r="X446" i="17" s="1"/>
  <c r="Y446" i="17" s="1"/>
  <c r="Q446" i="17" s="1"/>
  <c r="W446" i="17" s="1"/>
  <c r="X463" i="17" a="1"/>
  <c r="X463" i="17" s="1"/>
  <c r="X480" i="17" a="1"/>
  <c r="X480" i="17" s="1"/>
  <c r="X382" i="17" a="1"/>
  <c r="X382" i="17" s="1"/>
  <c r="X383" i="17" a="1"/>
  <c r="X383" i="17" s="1"/>
  <c r="Y383" i="17" s="1"/>
  <c r="Q383" i="17" s="1"/>
  <c r="W383" i="17" s="1"/>
  <c r="X384" i="17" a="1"/>
  <c r="X384" i="17"/>
  <c r="Y384" i="17" s="1"/>
  <c r="Q384" i="17" s="1"/>
  <c r="W384" i="17" s="1"/>
  <c r="X429" i="17" a="1"/>
  <c r="X429" i="17" s="1"/>
  <c r="X599" i="17" a="1"/>
  <c r="X599" i="17" s="1"/>
  <c r="Y599" i="17" s="1"/>
  <c r="Q599" i="17" s="1"/>
  <c r="W599" i="17" s="1"/>
  <c r="X616" i="17" a="1"/>
  <c r="X616" i="17" s="1"/>
  <c r="Y616" i="17" s="1"/>
  <c r="Q616" i="17" s="1"/>
  <c r="W616" i="17" s="1"/>
  <c r="X633" i="17" a="1"/>
  <c r="X633" i="17" s="1"/>
  <c r="X650" i="17" a="1"/>
  <c r="X650" i="17" s="1"/>
  <c r="X667" i="17" a="1"/>
  <c r="X667" i="17" s="1"/>
  <c r="Y667" i="17" s="1"/>
  <c r="Q667" i="17" s="1"/>
  <c r="W667" i="17" s="1"/>
  <c r="X684" i="17" a="1"/>
  <c r="X684" i="17" s="1"/>
  <c r="X701" i="17" a="1"/>
  <c r="X701" i="17" s="1"/>
  <c r="Y701" i="17" s="1"/>
  <c r="Q701" i="17" s="1"/>
  <c r="W701" i="17" s="1"/>
  <c r="X717" i="17" a="1"/>
  <c r="X717" i="17" s="1"/>
  <c r="X730" i="17" a="1"/>
  <c r="X730" i="17"/>
  <c r="X738" i="17" a="1"/>
  <c r="X738" i="17" s="1"/>
  <c r="Y738" i="17" s="1"/>
  <c r="Q738" i="17" s="1"/>
  <c r="W738" i="17" s="1"/>
  <c r="X755" i="17" a="1"/>
  <c r="X755" i="17" s="1"/>
  <c r="Y755" i="17" s="1"/>
  <c r="Q755" i="17" s="1"/>
  <c r="W755" i="17" s="1"/>
  <c r="X772" i="17" a="1"/>
  <c r="X772" i="17" s="1"/>
  <c r="X789" i="17" a="1"/>
  <c r="X789" i="17"/>
  <c r="X806" i="17" a="1"/>
  <c r="X806" i="17" s="1"/>
  <c r="Y806" i="17" s="1"/>
  <c r="Q806" i="17" s="1"/>
  <c r="W806" i="17" s="1"/>
  <c r="X823" i="17" a="1"/>
  <c r="X823" i="17" s="1"/>
  <c r="Y823" i="17" s="1"/>
  <c r="Q823" i="17" s="1"/>
  <c r="W823" i="17" s="1"/>
  <c r="X840" i="17" a="1"/>
  <c r="X840" i="17" s="1"/>
  <c r="X857" i="17" a="1"/>
  <c r="X857" i="17" s="1"/>
  <c r="X874" i="17" a="1"/>
  <c r="X874" i="17" s="1"/>
  <c r="Y874" i="17" s="1"/>
  <c r="Q874" i="17" s="1"/>
  <c r="W874" i="17" s="1"/>
  <c r="X891" i="17" a="1"/>
  <c r="X891" i="17" s="1"/>
  <c r="Y891" i="17" s="1"/>
  <c r="Q891" i="17" s="1"/>
  <c r="W891" i="17" s="1"/>
  <c r="X908" i="17" a="1"/>
  <c r="X908" i="17" s="1"/>
  <c r="X925" i="17" a="1"/>
  <c r="X925" i="17" s="1"/>
  <c r="Y925" i="17" s="1"/>
  <c r="Q925" i="17" s="1"/>
  <c r="W925" i="17" s="1"/>
  <c r="X942" i="17" a="1"/>
  <c r="X942" i="17" s="1"/>
  <c r="X507" i="17" a="1"/>
  <c r="X507" i="17" s="1"/>
  <c r="Y507" i="17" s="1"/>
  <c r="Q507" i="17" s="1"/>
  <c r="W507" i="17" s="1"/>
  <c r="X508" i="17" a="1"/>
  <c r="X508" i="17" s="1"/>
  <c r="X509" i="17" a="1"/>
  <c r="X509" i="17" s="1"/>
  <c r="Y509" i="17" s="1"/>
  <c r="Q509" i="17" s="1"/>
  <c r="W509" i="17" s="1"/>
  <c r="X510" i="17" a="1"/>
  <c r="X510" i="17" s="1"/>
  <c r="X511" i="17" a="1"/>
  <c r="X511" i="17" s="1"/>
  <c r="X512" i="17" a="1"/>
  <c r="X512" i="17" s="1"/>
  <c r="X20" i="17" a="1"/>
  <c r="X20" i="17" s="1"/>
  <c r="Y20" i="17" s="1"/>
  <c r="Q20" i="17" s="1"/>
  <c r="W20" i="17" s="1"/>
  <c r="X21" i="17" a="1"/>
  <c r="X21" i="17" s="1"/>
  <c r="Y21" i="17" s="1"/>
  <c r="Q21" i="17" s="1"/>
  <c r="W21" i="17" s="1"/>
  <c r="X22" i="17" a="1"/>
  <c r="X22" i="17"/>
  <c r="Y22" i="17" s="1"/>
  <c r="Q22" i="17" s="1"/>
  <c r="W22" i="17" s="1"/>
  <c r="X23" i="17" a="1"/>
  <c r="X23" i="17" s="1"/>
  <c r="X24" i="17" a="1"/>
  <c r="X24" i="17" s="1"/>
  <c r="Y24" i="17" s="1"/>
  <c r="Q24" i="17" s="1"/>
  <c r="W24" i="17" s="1"/>
  <c r="X25" i="17" a="1"/>
  <c r="X25" i="17" s="1"/>
  <c r="X107" i="17" a="1"/>
  <c r="X107" i="17" s="1"/>
  <c r="X124" i="17" a="1"/>
  <c r="X124" i="17" s="1"/>
  <c r="X141" i="17" a="1"/>
  <c r="X141" i="17" s="1"/>
  <c r="Y141" i="17" s="1"/>
  <c r="Q141" i="17" s="1"/>
  <c r="W141" i="17" s="1"/>
  <c r="X158" i="17" a="1"/>
  <c r="X158" i="17" s="1"/>
  <c r="Y158" i="17" s="1"/>
  <c r="Q158" i="17" s="1"/>
  <c r="W158" i="17" s="1"/>
  <c r="X181" i="17" a="1"/>
  <c r="X181" i="17" s="1"/>
  <c r="Y181" i="17" s="1"/>
  <c r="Q181" i="17" s="1"/>
  <c r="W181" i="17" s="1"/>
  <c r="X182" i="17" a="1"/>
  <c r="X182" i="17" s="1"/>
  <c r="X183" i="17" a="1"/>
  <c r="X183" i="17" s="1"/>
  <c r="X226" i="17" a="1"/>
  <c r="X226" i="17" s="1"/>
  <c r="Y226" i="17" s="1"/>
  <c r="Q226" i="17" s="1"/>
  <c r="W226" i="17" s="1"/>
  <c r="X243" i="17" a="1"/>
  <c r="X243" i="17" s="1"/>
  <c r="Y243" i="17" s="1"/>
  <c r="Q243" i="17" s="1"/>
  <c r="W243" i="17" s="1"/>
  <c r="X260" i="17" a="1"/>
  <c r="X260" i="17" s="1"/>
  <c r="X277" i="17" a="1"/>
  <c r="X277" i="17"/>
  <c r="X294" i="17" a="1"/>
  <c r="X294" i="17" s="1"/>
  <c r="Y294" i="17" s="1"/>
  <c r="Q294" i="17" s="1"/>
  <c r="W294" i="17" s="1"/>
  <c r="X311" i="17" a="1"/>
  <c r="X311" i="17" s="1"/>
  <c r="Y311" i="17" s="1"/>
  <c r="Q311" i="17" s="1"/>
  <c r="W311" i="17" s="1"/>
  <c r="X328" i="17" a="1"/>
  <c r="X328" i="17" s="1"/>
  <c r="X345" i="17" a="1"/>
  <c r="X345" i="17" s="1"/>
  <c r="Y345" i="17" s="1"/>
  <c r="Q345" i="17" s="1"/>
  <c r="W345" i="17" s="1"/>
  <c r="X362" i="17" a="1"/>
  <c r="X362" i="17" s="1"/>
  <c r="X447" i="17" a="1"/>
  <c r="X447" i="17" s="1"/>
  <c r="Y447" i="17" s="1"/>
  <c r="Q447" i="17" s="1"/>
  <c r="W447" i="17" s="1"/>
  <c r="X464" i="17" a="1"/>
  <c r="X464" i="17" s="1"/>
  <c r="X481" i="17" a="1"/>
  <c r="X481" i="17" s="1"/>
  <c r="Y481" i="17" s="1"/>
  <c r="Q481" i="17" s="1"/>
  <c r="W481" i="17" s="1"/>
  <c r="X385" i="17" a="1"/>
  <c r="X385" i="17" s="1"/>
  <c r="X386" i="17" a="1"/>
  <c r="X386" i="17" s="1"/>
  <c r="Y386" i="17" s="1"/>
  <c r="Q386" i="17" s="1"/>
  <c r="W386" i="17" s="1"/>
  <c r="X387" i="17" a="1"/>
  <c r="X387" i="17" s="1"/>
  <c r="X430" i="17" a="1"/>
  <c r="X430" i="17" s="1"/>
  <c r="Y430" i="17" s="1"/>
  <c r="Q430" i="17" s="1"/>
  <c r="W430" i="17" s="1"/>
  <c r="X600" i="17" a="1"/>
  <c r="X600" i="17" s="1"/>
  <c r="Y600" i="17" s="1"/>
  <c r="Q600" i="17" s="1"/>
  <c r="W600" i="17" s="1"/>
  <c r="X617" i="17" a="1"/>
  <c r="X617" i="17" s="1"/>
  <c r="X634" i="17" a="1"/>
  <c r="X634" i="17" s="1"/>
  <c r="X651" i="17" a="1"/>
  <c r="X651" i="17" s="1"/>
  <c r="X668" i="17" a="1"/>
  <c r="X668" i="17" s="1"/>
  <c r="Y668" i="17" s="1"/>
  <c r="Q668" i="17" s="1"/>
  <c r="W668" i="17" s="1"/>
  <c r="X685" i="17" a="1"/>
  <c r="X685" i="17" s="1"/>
  <c r="Y685" i="17" s="1"/>
  <c r="Q685" i="17" s="1"/>
  <c r="W685" i="17" s="1"/>
  <c r="X702" i="17" a="1"/>
  <c r="X702" i="17" s="1"/>
  <c r="X718" i="17" a="1"/>
  <c r="X718" i="17" s="1"/>
  <c r="Y718" i="17" s="1"/>
  <c r="Q718" i="17" s="1"/>
  <c r="W718" i="17" s="1"/>
  <c r="X739" i="17" a="1"/>
  <c r="X739" i="17" s="1"/>
  <c r="Y739" i="17" s="1"/>
  <c r="Q739" i="17" s="1"/>
  <c r="W739" i="17" s="1"/>
  <c r="X756" i="17" a="1"/>
  <c r="X756" i="17" s="1"/>
  <c r="X773" i="17" a="1"/>
  <c r="X773" i="17" s="1"/>
  <c r="X790" i="17" a="1"/>
  <c r="X790" i="17" s="1"/>
  <c r="Y790" i="17" s="1"/>
  <c r="Q790" i="17" s="1"/>
  <c r="W790" i="17" s="1"/>
  <c r="X807" i="17" a="1"/>
  <c r="X807" i="17" s="1"/>
  <c r="X824" i="17" a="1"/>
  <c r="X824" i="17" s="1"/>
  <c r="Y824" i="17" s="1"/>
  <c r="Q824" i="17" s="1"/>
  <c r="W824" i="17" s="1"/>
  <c r="X841" i="17" a="1"/>
  <c r="X841" i="17" s="1"/>
  <c r="X858" i="17" a="1"/>
  <c r="X858" i="17" s="1"/>
  <c r="X875" i="17" a="1"/>
  <c r="X875" i="17" s="1"/>
  <c r="Y875" i="17" s="1"/>
  <c r="Q875" i="17" s="1"/>
  <c r="W875" i="17" s="1"/>
  <c r="X892" i="17" a="1"/>
  <c r="X892" i="17" s="1"/>
  <c r="Y892" i="17" s="1"/>
  <c r="Q892" i="17" s="1"/>
  <c r="W892" i="17" s="1"/>
  <c r="X909" i="17" a="1"/>
  <c r="X909" i="17" s="1"/>
  <c r="X926" i="17" a="1"/>
  <c r="X926" i="17" s="1"/>
  <c r="X943" i="17" a="1"/>
  <c r="X943" i="17" s="1"/>
  <c r="Y943" i="17" s="1"/>
  <c r="Q943" i="17" s="1"/>
  <c r="W943" i="17" s="1"/>
  <c r="X513" i="17" a="1"/>
  <c r="X513" i="17" s="1"/>
  <c r="Y513" i="17" s="1"/>
  <c r="Q513" i="17" s="1"/>
  <c r="W513" i="17" s="1"/>
  <c r="X514" i="17" a="1"/>
  <c r="X514" i="17" s="1"/>
  <c r="X515" i="17" a="1"/>
  <c r="X515" i="17" s="1"/>
  <c r="X516" i="17" a="1"/>
  <c r="X516" i="17" s="1"/>
  <c r="Y516" i="17" s="1"/>
  <c r="Q516" i="17" s="1"/>
  <c r="W516" i="17" s="1"/>
  <c r="X517" i="17" a="1"/>
  <c r="X517" i="17" s="1"/>
  <c r="Y517" i="17" s="1"/>
  <c r="Q517" i="17" s="1"/>
  <c r="W517" i="17" s="1"/>
  <c r="X518" i="17" a="1"/>
  <c r="X518" i="17" s="1"/>
  <c r="X26" i="17" a="1"/>
  <c r="X26" i="17" s="1"/>
  <c r="Y26" i="17" s="1"/>
  <c r="Q26" i="17" s="1"/>
  <c r="W26" i="17" s="1"/>
  <c r="X27" i="17" a="1"/>
  <c r="X27" i="17" s="1"/>
  <c r="X28" i="17" a="1"/>
  <c r="X28" i="17" s="1"/>
  <c r="Y28" i="17" s="1"/>
  <c r="Q28" i="17" s="1"/>
  <c r="W28" i="17" s="1"/>
  <c r="X29" i="17" a="1"/>
  <c r="X29" i="17" s="1"/>
  <c r="X30" i="17" a="1"/>
  <c r="X30" i="17"/>
  <c r="X31" i="17" a="1"/>
  <c r="X31" i="17"/>
  <c r="X108" i="17" a="1"/>
  <c r="X108" i="17" s="1"/>
  <c r="Y108" i="17" s="1"/>
  <c r="Q108" i="17" s="1"/>
  <c r="W108" i="17" s="1"/>
  <c r="X125" i="17" a="1"/>
  <c r="X125" i="17" s="1"/>
  <c r="X142" i="17" a="1"/>
  <c r="X142" i="17" s="1"/>
  <c r="Y142" i="17" s="1"/>
  <c r="Q142" i="17" s="1"/>
  <c r="W142" i="17" s="1"/>
  <c r="X159" i="17" a="1"/>
  <c r="X159" i="17" s="1"/>
  <c r="Y159" i="17" s="1"/>
  <c r="Q159" i="17" s="1"/>
  <c r="W159" i="17" s="1"/>
  <c r="X184" i="17" a="1"/>
  <c r="X184" i="17"/>
  <c r="Y184" i="17" s="1"/>
  <c r="Q184" i="17" s="1"/>
  <c r="W184" i="17" s="1"/>
  <c r="X185" i="17" a="1"/>
  <c r="X185" i="17" s="1"/>
  <c r="X186" i="17" a="1"/>
  <c r="X186" i="17" s="1"/>
  <c r="Y186" i="17" s="1"/>
  <c r="Q186" i="17" s="1"/>
  <c r="W186" i="17" s="1"/>
  <c r="X227" i="17" a="1"/>
  <c r="X227" i="17" s="1"/>
  <c r="X244" i="17" a="1"/>
  <c r="X244" i="17" s="1"/>
  <c r="X261" i="17" a="1"/>
  <c r="X261" i="17" s="1"/>
  <c r="X278" i="17" a="1"/>
  <c r="X278" i="17" s="1"/>
  <c r="Y278" i="17" s="1"/>
  <c r="Q278" i="17" s="1"/>
  <c r="W278" i="17" s="1"/>
  <c r="X295" i="17" a="1"/>
  <c r="X295" i="17" s="1"/>
  <c r="Y295" i="17" s="1"/>
  <c r="Q295" i="17" s="1"/>
  <c r="W295" i="17" s="1"/>
  <c r="X312" i="17" a="1"/>
  <c r="X312" i="17" s="1"/>
  <c r="Y312" i="17" s="1"/>
  <c r="Q312" i="17" s="1"/>
  <c r="W312" i="17" s="1"/>
  <c r="X329" i="17" a="1"/>
  <c r="X329" i="17" s="1"/>
  <c r="X346" i="17" a="1"/>
  <c r="X346" i="17" s="1"/>
  <c r="X363" i="17" a="1"/>
  <c r="X363" i="17" s="1"/>
  <c r="Y363" i="17" s="1"/>
  <c r="Q363" i="17" s="1"/>
  <c r="W363" i="17" s="1"/>
  <c r="X448" i="17" a="1"/>
  <c r="X448" i="17" s="1"/>
  <c r="X465" i="17" a="1"/>
  <c r="X465" i="17" s="1"/>
  <c r="X482" i="17" a="1"/>
  <c r="X482" i="17" s="1"/>
  <c r="Y482" i="17" s="1"/>
  <c r="Q482" i="17" s="1"/>
  <c r="W482" i="17" s="1"/>
  <c r="X388" i="17" a="1"/>
  <c r="X388" i="17" s="1"/>
  <c r="Y388" i="17" s="1"/>
  <c r="Q388" i="17" s="1"/>
  <c r="W388" i="17" s="1"/>
  <c r="X389" i="17" a="1"/>
  <c r="X389" i="17" s="1"/>
  <c r="Y389" i="17" s="1"/>
  <c r="Q389" i="17" s="1"/>
  <c r="W389" i="17" s="1"/>
  <c r="X390" i="17" a="1"/>
  <c r="X390" i="17" s="1"/>
  <c r="X431" i="17" a="1"/>
  <c r="X431" i="17" s="1"/>
  <c r="X601" i="17" a="1"/>
  <c r="X601" i="17" s="1"/>
  <c r="X618" i="17" a="1"/>
  <c r="X618" i="17"/>
  <c r="X635" i="17" a="1"/>
  <c r="X635" i="17" s="1"/>
  <c r="X652" i="17" a="1"/>
  <c r="X652" i="17" s="1"/>
  <c r="Y652" i="17" s="1"/>
  <c r="Q652" i="17" s="1"/>
  <c r="W652" i="17" s="1"/>
  <c r="X669" i="17" a="1"/>
  <c r="X669" i="17" s="1"/>
  <c r="X686" i="17" a="1"/>
  <c r="X686" i="17" s="1"/>
  <c r="Y686" i="17" s="1"/>
  <c r="Q686" i="17" s="1"/>
  <c r="W686" i="17" s="1"/>
  <c r="X703" i="17" a="1"/>
  <c r="X703" i="17" s="1"/>
  <c r="X719" i="17" a="1"/>
  <c r="X719" i="17" s="1"/>
  <c r="Y719" i="17" s="1"/>
  <c r="Q719" i="17" s="1"/>
  <c r="W719" i="17" s="1"/>
  <c r="X731" i="17" a="1"/>
  <c r="X731" i="17" s="1"/>
  <c r="X740" i="17" a="1"/>
  <c r="X740" i="17" s="1"/>
  <c r="X757" i="17" a="1"/>
  <c r="X757" i="17" s="1"/>
  <c r="X774" i="17" a="1"/>
  <c r="X774" i="17" s="1"/>
  <c r="X791" i="17" a="1"/>
  <c r="X791" i="17" s="1"/>
  <c r="Y791" i="17" s="1"/>
  <c r="Q791" i="17" s="1"/>
  <c r="W791" i="17" s="1"/>
  <c r="X808" i="17" a="1"/>
  <c r="X808" i="17"/>
  <c r="X825" i="17" a="1"/>
  <c r="X825" i="17" s="1"/>
  <c r="X842" i="17" a="1"/>
  <c r="X842" i="17"/>
  <c r="X859" i="17" a="1"/>
  <c r="X859" i="17" s="1"/>
  <c r="Y859" i="17" s="1"/>
  <c r="Q859" i="17" s="1"/>
  <c r="W859" i="17" s="1"/>
  <c r="X876" i="17" a="1"/>
  <c r="X876" i="17" s="1"/>
  <c r="X893" i="17" a="1"/>
  <c r="X893" i="17" s="1"/>
  <c r="X910" i="17" a="1"/>
  <c r="X910" i="17" s="1"/>
  <c r="X927" i="17" a="1"/>
  <c r="X927" i="17" s="1"/>
  <c r="Y927" i="17" s="1"/>
  <c r="Q927" i="17" s="1"/>
  <c r="W927" i="17" s="1"/>
  <c r="X944" i="17" a="1"/>
  <c r="X944" i="17" s="1"/>
  <c r="Y944" i="17" s="1"/>
  <c r="Q944" i="17" s="1"/>
  <c r="W944" i="17" s="1"/>
  <c r="X519" i="17" a="1"/>
  <c r="X519" i="17" s="1"/>
  <c r="X520" i="17" a="1"/>
  <c r="X520" i="17" s="1"/>
  <c r="Y520" i="17" s="1"/>
  <c r="Q520" i="17" s="1"/>
  <c r="W520" i="17" s="1"/>
  <c r="X521" i="17" a="1"/>
  <c r="X521" i="17" s="1"/>
  <c r="X522" i="17" a="1"/>
  <c r="X522" i="17" s="1"/>
  <c r="X523" i="17" a="1"/>
  <c r="X523" i="17" s="1"/>
  <c r="X524" i="17" a="1"/>
  <c r="X524" i="17" s="1"/>
  <c r="X32" i="17" a="1"/>
  <c r="X32" i="17" s="1"/>
  <c r="Y32" i="17" s="1"/>
  <c r="Q32" i="17" s="1"/>
  <c r="W32" i="17" s="1"/>
  <c r="X33" i="17" a="1"/>
  <c r="X33" i="17" s="1"/>
  <c r="Y33" i="17" s="1"/>
  <c r="Q33" i="17" s="1"/>
  <c r="W33" i="17" s="1"/>
  <c r="X34" i="17" a="1"/>
  <c r="X34" i="17" s="1"/>
  <c r="X35" i="17" a="1"/>
  <c r="X35" i="17" s="1"/>
  <c r="Y35" i="17" s="1"/>
  <c r="Q35" i="17" s="1"/>
  <c r="W35" i="17" s="1"/>
  <c r="X36" i="17" a="1"/>
  <c r="X36" i="17" s="1"/>
  <c r="Y36" i="17" s="1"/>
  <c r="Q36" i="17" s="1"/>
  <c r="W36" i="17" s="1"/>
  <c r="X37" i="17" a="1"/>
  <c r="X37" i="17" s="1"/>
  <c r="X109" i="17" a="1"/>
  <c r="X109" i="17" s="1"/>
  <c r="X126" i="17" a="1"/>
  <c r="X126" i="17" s="1"/>
  <c r="X143" i="17" a="1"/>
  <c r="X143" i="17" s="1"/>
  <c r="X160" i="17" a="1"/>
  <c r="X160" i="17" s="1"/>
  <c r="Y160" i="17" s="1"/>
  <c r="Q160" i="17" s="1"/>
  <c r="W160" i="17" s="1"/>
  <c r="X187" i="17" a="1"/>
  <c r="X187" i="17" s="1"/>
  <c r="X188" i="17" a="1"/>
  <c r="X188" i="17" s="1"/>
  <c r="X189" i="17" a="1"/>
  <c r="X189" i="17" s="1"/>
  <c r="X228" i="17" a="1"/>
  <c r="X228" i="17" s="1"/>
  <c r="X245" i="17" a="1"/>
  <c r="X245" i="17" s="1"/>
  <c r="X262" i="17" a="1"/>
  <c r="X262" i="17" s="1"/>
  <c r="X279" i="17" a="1"/>
  <c r="X279" i="17" s="1"/>
  <c r="Y279" i="17" s="1"/>
  <c r="Q279" i="17" s="1"/>
  <c r="W279" i="17" s="1"/>
  <c r="X296" i="17" a="1"/>
  <c r="X296" i="17" s="1"/>
  <c r="X313" i="17" a="1"/>
  <c r="X313" i="17" s="1"/>
  <c r="X330" i="17" a="1"/>
  <c r="X330" i="17" s="1"/>
  <c r="X347" i="17" a="1"/>
  <c r="X347" i="17" s="1"/>
  <c r="Y347" i="17" s="1"/>
  <c r="Q347" i="17" s="1"/>
  <c r="W347" i="17" s="1"/>
  <c r="X364" i="17" a="1"/>
  <c r="X364" i="17"/>
  <c r="X449" i="17" a="1"/>
  <c r="X449" i="17" s="1"/>
  <c r="X466" i="17" a="1"/>
  <c r="X466" i="17" s="1"/>
  <c r="X483" i="17" a="1"/>
  <c r="X483" i="17" s="1"/>
  <c r="Y483" i="17" s="1"/>
  <c r="Q483" i="17" s="1"/>
  <c r="W483" i="17" s="1"/>
  <c r="X391" i="17" a="1"/>
  <c r="X391" i="17" s="1"/>
  <c r="Y391" i="17" s="1"/>
  <c r="Q391" i="17" s="1"/>
  <c r="W391" i="17" s="1"/>
  <c r="X392" i="17" a="1"/>
  <c r="X392" i="17" s="1"/>
  <c r="X393" i="17" a="1"/>
  <c r="X393" i="17" s="1"/>
  <c r="Y393" i="17" s="1"/>
  <c r="Q393" i="17" s="1"/>
  <c r="W393" i="17" s="1"/>
  <c r="X432" i="17" a="1"/>
  <c r="X432" i="17"/>
  <c r="X602" i="17" a="1"/>
  <c r="X602" i="17" s="1"/>
  <c r="X619" i="17" a="1"/>
  <c r="X619" i="17" s="1"/>
  <c r="X636" i="17" a="1"/>
  <c r="X636" i="17" s="1"/>
  <c r="X653" i="17" a="1"/>
  <c r="X653" i="17" s="1"/>
  <c r="Y653" i="17" s="1"/>
  <c r="Q653" i="17" s="1"/>
  <c r="W653" i="17" s="1"/>
  <c r="X670" i="17" a="1"/>
  <c r="X670" i="17" s="1"/>
  <c r="Y670" i="17" s="1"/>
  <c r="Q670" i="17" s="1"/>
  <c r="W670" i="17" s="1"/>
  <c r="X687" i="17" a="1"/>
  <c r="X687" i="17" s="1"/>
  <c r="X704" i="17" a="1"/>
  <c r="X704" i="17"/>
  <c r="X720" i="17" a="1"/>
  <c r="X720" i="17" s="1"/>
  <c r="Y720" i="17" s="1"/>
  <c r="Q720" i="17" s="1"/>
  <c r="W720" i="17" s="1"/>
  <c r="X741" i="17" a="1"/>
  <c r="X741" i="17" s="1"/>
  <c r="X758" i="17" a="1"/>
  <c r="X758" i="17" s="1"/>
  <c r="X775" i="17" a="1"/>
  <c r="X775" i="17" s="1"/>
  <c r="X792" i="17" a="1"/>
  <c r="X792" i="17"/>
  <c r="X809" i="17" a="1"/>
  <c r="X809" i="17" s="1"/>
  <c r="Y809" i="17" s="1"/>
  <c r="Q809" i="17" s="1"/>
  <c r="W809" i="17" s="1"/>
  <c r="X826" i="17" a="1"/>
  <c r="X826" i="17" s="1"/>
  <c r="X843" i="17" a="1"/>
  <c r="X843" i="17" s="1"/>
  <c r="X860" i="17" a="1"/>
  <c r="X860" i="17" s="1"/>
  <c r="X877" i="17" a="1"/>
  <c r="X877" i="17" s="1"/>
  <c r="X894" i="17" a="1"/>
  <c r="X894" i="17" s="1"/>
  <c r="X911" i="17" a="1"/>
  <c r="X911" i="17" s="1"/>
  <c r="X928" i="17" a="1"/>
  <c r="X928" i="17" s="1"/>
  <c r="Y928" i="17" s="1"/>
  <c r="Q928" i="17" s="1"/>
  <c r="W928" i="17" s="1"/>
  <c r="X945" i="17" a="1"/>
  <c r="X945" i="17" s="1"/>
  <c r="X525" i="17" a="1"/>
  <c r="X525" i="17" s="1"/>
  <c r="X526" i="17" a="1"/>
  <c r="X526" i="17"/>
  <c r="X527" i="17" a="1"/>
  <c r="X527" i="17" s="1"/>
  <c r="Y527" i="17" s="1"/>
  <c r="Q527" i="17" s="1"/>
  <c r="W527" i="17" s="1"/>
  <c r="X528" i="17" a="1"/>
  <c r="X528" i="17"/>
  <c r="X529" i="17" a="1"/>
  <c r="X529" i="17" s="1"/>
  <c r="X530" i="17" a="1"/>
  <c r="X530" i="17" s="1"/>
  <c r="X38" i="17" a="1"/>
  <c r="X38" i="17" s="1"/>
  <c r="Y38" i="17" s="1"/>
  <c r="Q38" i="17" s="1"/>
  <c r="W38" i="17" s="1"/>
  <c r="X39" i="17" a="1"/>
  <c r="X39" i="17" s="1"/>
  <c r="Y39" i="17" s="1"/>
  <c r="Q39" i="17" s="1"/>
  <c r="W39" i="17" s="1"/>
  <c r="X40" i="17" a="1"/>
  <c r="X40" i="17" s="1"/>
  <c r="X41" i="17" a="1"/>
  <c r="X41" i="17" s="1"/>
  <c r="Y41" i="17" s="1"/>
  <c r="Q41" i="17" s="1"/>
  <c r="W41" i="17" s="1"/>
  <c r="X42" i="17" a="1"/>
  <c r="X42" i="17" s="1"/>
  <c r="Y42" i="17" s="1"/>
  <c r="Q42" i="17" s="1"/>
  <c r="W42" i="17" s="1"/>
  <c r="X43" i="17" a="1"/>
  <c r="X43" i="17" s="1"/>
  <c r="X110" i="17" a="1"/>
  <c r="X110" i="17" s="1"/>
  <c r="X127" i="17" a="1"/>
  <c r="X127" i="17" s="1"/>
  <c r="Y127" i="17" s="1"/>
  <c r="Q127" i="17" s="1"/>
  <c r="W127" i="17" s="1"/>
  <c r="X144" i="17" a="1"/>
  <c r="X144" i="17" s="1"/>
  <c r="Y144" i="17" s="1"/>
  <c r="Q144" i="17" s="1"/>
  <c r="W144" i="17" s="1"/>
  <c r="X161" i="17" a="1"/>
  <c r="X161" i="17" s="1"/>
  <c r="Y161" i="17" s="1"/>
  <c r="Q161" i="17" s="1"/>
  <c r="W161" i="17" s="1"/>
  <c r="X190" i="17" a="1"/>
  <c r="X190" i="17" s="1"/>
  <c r="X191" i="17" a="1"/>
  <c r="X191" i="17" s="1"/>
  <c r="X192" i="17" a="1"/>
  <c r="X192" i="17" s="1"/>
  <c r="Y192" i="17" s="1"/>
  <c r="Q192" i="17" s="1"/>
  <c r="W192" i="17" s="1"/>
  <c r="X229" i="17" a="1"/>
  <c r="X229" i="17"/>
  <c r="X246" i="17" a="1"/>
  <c r="X246" i="17" s="1"/>
  <c r="X263" i="17" a="1"/>
  <c r="X263" i="17" s="1"/>
  <c r="X280" i="17" a="1"/>
  <c r="X280" i="17" s="1"/>
  <c r="X297" i="17" a="1"/>
  <c r="X297" i="17" s="1"/>
  <c r="Y297" i="17" s="1"/>
  <c r="Q297" i="17" s="1"/>
  <c r="W297" i="17" s="1"/>
  <c r="X314" i="17" a="1"/>
  <c r="X314" i="17" s="1"/>
  <c r="X331" i="17" a="1"/>
  <c r="X331" i="17"/>
  <c r="X348" i="17" a="1"/>
  <c r="X348" i="17" s="1"/>
  <c r="X365" i="17" a="1"/>
  <c r="X365" i="17" s="1"/>
  <c r="X450" i="17" a="1"/>
  <c r="X450" i="17" s="1"/>
  <c r="X467" i="17" a="1"/>
  <c r="X467" i="17" s="1"/>
  <c r="X484" i="17" a="1"/>
  <c r="X484" i="17" s="1"/>
  <c r="Y484" i="17" s="1"/>
  <c r="Q484" i="17" s="1"/>
  <c r="W484" i="17" s="1"/>
  <c r="X394" i="17" a="1"/>
  <c r="X394" i="17"/>
  <c r="X395" i="17" a="1"/>
  <c r="X395" i="17" s="1"/>
  <c r="X396" i="17" a="1"/>
  <c r="X396" i="17" s="1"/>
  <c r="Y396" i="17" s="1"/>
  <c r="Q396" i="17" s="1"/>
  <c r="W396" i="17" s="1"/>
  <c r="X433" i="17" a="1"/>
  <c r="X433" i="17" s="1"/>
  <c r="X603" i="17" a="1"/>
  <c r="X603" i="17" s="1"/>
  <c r="Y603" i="17" s="1"/>
  <c r="Q603" i="17" s="1"/>
  <c r="W603" i="17" s="1"/>
  <c r="X620" i="17" a="1"/>
  <c r="X620" i="17" s="1"/>
  <c r="X637" i="17" a="1"/>
  <c r="X637" i="17" s="1"/>
  <c r="X654" i="17" a="1"/>
  <c r="X654" i="17" s="1"/>
  <c r="Y654" i="17" s="1"/>
  <c r="Q654" i="17" s="1"/>
  <c r="W654" i="17" s="1"/>
  <c r="X671" i="17" a="1"/>
  <c r="X671" i="17" s="1"/>
  <c r="Y671" i="17" s="1"/>
  <c r="Q671" i="17" s="1"/>
  <c r="W671" i="17" s="1"/>
  <c r="X688" i="17" a="1"/>
  <c r="X688" i="17" s="1"/>
  <c r="X705" i="17" a="1"/>
  <c r="X705" i="17" s="1"/>
  <c r="Y705" i="17" s="1"/>
  <c r="Q705" i="17" s="1"/>
  <c r="W705" i="17" s="1"/>
  <c r="X721" i="17" a="1"/>
  <c r="X721" i="17" s="1"/>
  <c r="X732" i="17" a="1"/>
  <c r="X732" i="17" s="1"/>
  <c r="Y732" i="17" s="1"/>
  <c r="Q732" i="17" s="1"/>
  <c r="W732" i="17" s="1"/>
  <c r="X742" i="17" a="1"/>
  <c r="X742" i="17" s="1"/>
  <c r="X759" i="17" a="1"/>
  <c r="X759" i="17" s="1"/>
  <c r="X776" i="17" a="1"/>
  <c r="X776" i="17" s="1"/>
  <c r="Y776" i="17" s="1"/>
  <c r="Q776" i="17" s="1"/>
  <c r="W776" i="17" s="1"/>
  <c r="X793" i="17" a="1"/>
  <c r="X793" i="17" s="1"/>
  <c r="Y793" i="17" s="1"/>
  <c r="Q793" i="17" s="1"/>
  <c r="W793" i="17" s="1"/>
  <c r="X810" i="17" a="1"/>
  <c r="X810" i="17" s="1"/>
  <c r="X827" i="17" a="1"/>
  <c r="X827" i="17" s="1"/>
  <c r="Y827" i="17" s="1"/>
  <c r="Q827" i="17" s="1"/>
  <c r="W827" i="17" s="1"/>
  <c r="X844" i="17" a="1"/>
  <c r="X844" i="17" s="1"/>
  <c r="Y844" i="17" s="1"/>
  <c r="Q844" i="17" s="1"/>
  <c r="W844" i="17" s="1"/>
  <c r="X861" i="17" a="1"/>
  <c r="X861" i="17" s="1"/>
  <c r="X878" i="17" a="1"/>
  <c r="X878" i="17" s="1"/>
  <c r="X895" i="17" a="1"/>
  <c r="X895" i="17" s="1"/>
  <c r="X912" i="17" a="1"/>
  <c r="X912" i="17" s="1"/>
  <c r="Y912" i="17" s="1"/>
  <c r="Q912" i="17" s="1"/>
  <c r="W912" i="17" s="1"/>
  <c r="X929" i="17" a="1"/>
  <c r="X929" i="17" s="1"/>
  <c r="Y929" i="17" s="1"/>
  <c r="Q929" i="17" s="1"/>
  <c r="W929" i="17" s="1"/>
  <c r="X946" i="17" a="1"/>
  <c r="X946" i="17" s="1"/>
  <c r="X531" i="17" a="1"/>
  <c r="X531" i="17" s="1"/>
  <c r="X532" i="17" a="1"/>
  <c r="X532" i="17" s="1"/>
  <c r="X533" i="17" a="1"/>
  <c r="X533" i="17" s="1"/>
  <c r="X534" i="17" a="1"/>
  <c r="X534" i="17" s="1"/>
  <c r="X535" i="17" a="1"/>
  <c r="X535" i="17" s="1"/>
  <c r="X536" i="17" a="1"/>
  <c r="X536" i="17" s="1"/>
  <c r="Y536" i="17" s="1"/>
  <c r="Q536" i="17" s="1"/>
  <c r="W536" i="17" s="1"/>
  <c r="X44" i="17" a="1"/>
  <c r="X44" i="17" s="1"/>
  <c r="X45" i="17" a="1"/>
  <c r="X45" i="17" s="1"/>
  <c r="X46" i="17" a="1"/>
  <c r="X46" i="17" s="1"/>
  <c r="X47" i="17" a="1"/>
  <c r="X47" i="17"/>
  <c r="X48" i="17" a="1"/>
  <c r="X48" i="17" s="1"/>
  <c r="Y48" i="17" s="1"/>
  <c r="Q48" i="17" s="1"/>
  <c r="W48" i="17" s="1"/>
  <c r="X49" i="17" a="1"/>
  <c r="X49" i="17" s="1"/>
  <c r="X111" i="17" a="1"/>
  <c r="X111" i="17" s="1"/>
  <c r="X128" i="17" a="1"/>
  <c r="X128" i="17" s="1"/>
  <c r="Y128" i="17" s="1"/>
  <c r="Q128" i="17" s="1"/>
  <c r="W128" i="17" s="1"/>
  <c r="X145" i="17" a="1"/>
  <c r="X145" i="17" s="1"/>
  <c r="Y145" i="17" s="1"/>
  <c r="Q145" i="17" s="1"/>
  <c r="W145" i="17" s="1"/>
  <c r="X162" i="17" a="1"/>
  <c r="X162" i="17" s="1"/>
  <c r="X193" i="17" a="1"/>
  <c r="X193" i="17" s="1"/>
  <c r="Y193" i="17" s="1"/>
  <c r="Q193" i="17" s="1"/>
  <c r="W193" i="17" s="1"/>
  <c r="X194" i="17" a="1"/>
  <c r="X194" i="17" s="1"/>
  <c r="Y194" i="17" s="1"/>
  <c r="Q194" i="17" s="1"/>
  <c r="W194" i="17" s="1"/>
  <c r="X195" i="17" a="1"/>
  <c r="X195" i="17" s="1"/>
  <c r="X230" i="17" a="1"/>
  <c r="X230" i="17" s="1"/>
  <c r="X247" i="17" a="1"/>
  <c r="X247" i="17" s="1"/>
  <c r="X264" i="17" a="1"/>
  <c r="X264" i="17" s="1"/>
  <c r="Y264" i="17" s="1"/>
  <c r="Q264" i="17" s="1"/>
  <c r="W264" i="17" s="1"/>
  <c r="X281" i="17" a="1"/>
  <c r="X281" i="17" s="1"/>
  <c r="Y281" i="17" s="1"/>
  <c r="Q281" i="17" s="1"/>
  <c r="W281" i="17" s="1"/>
  <c r="X298" i="17" a="1"/>
  <c r="X298" i="17" s="1"/>
  <c r="X315" i="17" a="1"/>
  <c r="X315" i="17" s="1"/>
  <c r="X332" i="17" a="1"/>
  <c r="X332" i="17" s="1"/>
  <c r="Y332" i="17" s="1"/>
  <c r="Q332" i="17" s="1"/>
  <c r="W332" i="17" s="1"/>
  <c r="X349" i="17" a="1"/>
  <c r="X349" i="17" s="1"/>
  <c r="X366" i="17" a="1"/>
  <c r="X366" i="17" s="1"/>
  <c r="X451" i="17" a="1"/>
  <c r="X451" i="17" s="1"/>
  <c r="X468" i="17" a="1"/>
  <c r="X468" i="17"/>
  <c r="X485" i="17" a="1"/>
  <c r="X485" i="17" s="1"/>
  <c r="Y485" i="17" s="1"/>
  <c r="Q485" i="17" s="1"/>
  <c r="W485" i="17" s="1"/>
  <c r="X397" i="17" a="1"/>
  <c r="X397" i="17" s="1"/>
  <c r="X398" i="17" a="1"/>
  <c r="X398" i="17" s="1"/>
  <c r="Y398" i="17" s="1"/>
  <c r="Q398" i="17" s="1"/>
  <c r="W398" i="17" s="1"/>
  <c r="X399" i="17" a="1"/>
  <c r="X399" i="17" s="1"/>
  <c r="Y399" i="17" s="1"/>
  <c r="Q399" i="17" s="1"/>
  <c r="W399" i="17" s="1"/>
  <c r="X434" i="17" a="1"/>
  <c r="X434" i="17" s="1"/>
  <c r="X604" i="17" a="1"/>
  <c r="X604" i="17" s="1"/>
  <c r="X621" i="17" a="1"/>
  <c r="X621" i="17" s="1"/>
  <c r="X638" i="17" a="1"/>
  <c r="X638" i="17" s="1"/>
  <c r="Y638" i="17" s="1"/>
  <c r="Q638" i="17" s="1"/>
  <c r="W638" i="17" s="1"/>
  <c r="X655" i="17" a="1"/>
  <c r="X655" i="17" s="1"/>
  <c r="X672" i="17" a="1"/>
  <c r="X672" i="17" s="1"/>
  <c r="X689" i="17" a="1"/>
  <c r="X689" i="17" s="1"/>
  <c r="Y689" i="17" s="1"/>
  <c r="Q689" i="17" s="1"/>
  <c r="W689" i="17" s="1"/>
  <c r="X706" i="17" a="1"/>
  <c r="X706" i="17" s="1"/>
  <c r="Y706" i="17" s="1"/>
  <c r="Q706" i="17" s="1"/>
  <c r="W706" i="17" s="1"/>
  <c r="X722" i="17" a="1"/>
  <c r="X722" i="17" s="1"/>
  <c r="X733" i="17" a="1"/>
  <c r="X733" i="17" s="1"/>
  <c r="X743" i="17" a="1"/>
  <c r="X743" i="17" s="1"/>
  <c r="X760" i="17" a="1"/>
  <c r="X760" i="17" s="1"/>
  <c r="Y760" i="17" s="1"/>
  <c r="Q760" i="17" s="1"/>
  <c r="W760" i="17" s="1"/>
  <c r="X777" i="17" a="1"/>
  <c r="X777" i="17" s="1"/>
  <c r="Y777" i="17" s="1"/>
  <c r="Q777" i="17" s="1"/>
  <c r="W777" i="17" s="1"/>
  <c r="X794" i="17" a="1"/>
  <c r="X794" i="17" s="1"/>
  <c r="X811" i="17" a="1"/>
  <c r="X811" i="17" s="1"/>
  <c r="Y811" i="17" s="1"/>
  <c r="Q811" i="17" s="1"/>
  <c r="W811" i="17" s="1"/>
  <c r="X828" i="17" a="1"/>
  <c r="X828" i="17" s="1"/>
  <c r="X845" i="17" a="1"/>
  <c r="X845" i="17" s="1"/>
  <c r="X862" i="17" a="1"/>
  <c r="X862" i="17" s="1"/>
  <c r="X879" i="17" a="1"/>
  <c r="X879" i="17"/>
  <c r="X896" i="17" a="1"/>
  <c r="X896" i="17" s="1"/>
  <c r="Y896" i="17" s="1"/>
  <c r="Q896" i="17" s="1"/>
  <c r="W896" i="17" s="1"/>
  <c r="X913" i="17" a="1"/>
  <c r="X913" i="17" s="1"/>
  <c r="Y913" i="17" s="1"/>
  <c r="Q913" i="17" s="1"/>
  <c r="W913" i="17" s="1"/>
  <c r="X930" i="17" a="1"/>
  <c r="X930" i="17" s="1"/>
  <c r="X947" i="17" a="1"/>
  <c r="X947" i="17" s="1"/>
  <c r="X537" i="17" a="1"/>
  <c r="X537" i="17" s="1"/>
  <c r="Y537" i="17" s="1"/>
  <c r="Q537" i="17" s="1"/>
  <c r="W537" i="17" s="1"/>
  <c r="X538" i="17" a="1"/>
  <c r="X538" i="17"/>
  <c r="X539" i="17" a="1"/>
  <c r="X539" i="17" s="1"/>
  <c r="X540" i="17" a="1"/>
  <c r="X540" i="17" s="1"/>
  <c r="X541" i="17" a="1"/>
  <c r="X541" i="17" s="1"/>
  <c r="X542" i="17" a="1"/>
  <c r="X542" i="17" s="1"/>
  <c r="Y542" i="17" s="1"/>
  <c r="Q542" i="17" s="1"/>
  <c r="W542" i="17" s="1"/>
  <c r="X50" i="17" a="1"/>
  <c r="X50" i="17" s="1"/>
  <c r="X51" i="17" a="1"/>
  <c r="X51" i="17" s="1"/>
  <c r="Y51" i="17" s="1"/>
  <c r="Q51" i="17" s="1"/>
  <c r="W51" i="17" s="1"/>
  <c r="X52" i="17" a="1"/>
  <c r="X52" i="17"/>
  <c r="X53" i="17" a="1"/>
  <c r="X53" i="17" s="1"/>
  <c r="Y53" i="17" s="1"/>
  <c r="Q53" i="17" s="1"/>
  <c r="W53" i="17" s="1"/>
  <c r="X54" i="17" a="1"/>
  <c r="X54" i="17" s="1"/>
  <c r="X55" i="17" a="1"/>
  <c r="X55" i="17" s="1"/>
  <c r="X112" i="17" a="1"/>
  <c r="X112" i="17" s="1"/>
  <c r="Y112" i="17" s="1"/>
  <c r="Q112" i="17" s="1"/>
  <c r="W112" i="17" s="1"/>
  <c r="X129" i="17" a="1"/>
  <c r="X129" i="17"/>
  <c r="X146" i="17" a="1"/>
  <c r="X146" i="17" s="1"/>
  <c r="X163" i="17" a="1"/>
  <c r="X163" i="17" s="1"/>
  <c r="Y163" i="17" s="1"/>
  <c r="Q163" i="17" s="1"/>
  <c r="W163" i="17" s="1"/>
  <c r="X196" i="17" a="1"/>
  <c r="X196" i="17" s="1"/>
  <c r="X197" i="17" a="1"/>
  <c r="X197" i="17" s="1"/>
  <c r="X198" i="17" a="1"/>
  <c r="X198" i="17" s="1"/>
  <c r="X231" i="17" a="1"/>
  <c r="X231" i="17" s="1"/>
  <c r="X248" i="17" a="1"/>
  <c r="X248" i="17" s="1"/>
  <c r="Y248" i="17" s="1"/>
  <c r="Q248" i="17" s="1"/>
  <c r="W248" i="17" s="1"/>
  <c r="X265" i="17" a="1"/>
  <c r="X265" i="17" s="1"/>
  <c r="Y265" i="17" s="1"/>
  <c r="Q265" i="17" s="1"/>
  <c r="W265" i="17" s="1"/>
  <c r="X282" i="17" a="1"/>
  <c r="X282" i="17" s="1"/>
  <c r="X299" i="17" a="1"/>
  <c r="X299" i="17" s="1"/>
  <c r="X316" i="17" a="1"/>
  <c r="X316" i="17" s="1"/>
  <c r="X333" i="17" a="1"/>
  <c r="X333" i="17" s="1"/>
  <c r="X350" i="17" a="1"/>
  <c r="X350" i="17" s="1"/>
  <c r="X367" i="17" a="1"/>
  <c r="X367" i="17"/>
  <c r="X452" i="17" a="1"/>
  <c r="X452" i="17" s="1"/>
  <c r="Y452" i="17" s="1"/>
  <c r="Q452" i="17" s="1"/>
  <c r="W452" i="17" s="1"/>
  <c r="X469" i="17" a="1"/>
  <c r="X469" i="17" s="1"/>
  <c r="Y469" i="17" s="1"/>
  <c r="Q469" i="17" s="1"/>
  <c r="W469" i="17" s="1"/>
  <c r="X486" i="17" a="1"/>
  <c r="X486" i="17" s="1"/>
  <c r="X400" i="17" a="1"/>
  <c r="X400" i="17" s="1"/>
  <c r="Y400" i="17" s="1"/>
  <c r="Q400" i="17" s="1"/>
  <c r="W400" i="17" s="1"/>
  <c r="X401" i="17" a="1"/>
  <c r="X401" i="17" s="1"/>
  <c r="X402" i="17" a="1"/>
  <c r="X402" i="17" s="1"/>
  <c r="X435" i="17" a="1"/>
  <c r="X435" i="17" s="1"/>
  <c r="X605" i="17" a="1"/>
  <c r="X605" i="17" s="1"/>
  <c r="X622" i="17" a="1"/>
  <c r="X622" i="17" s="1"/>
  <c r="Y622" i="17" s="1"/>
  <c r="Q622" i="17" s="1"/>
  <c r="W622" i="17" s="1"/>
  <c r="X639" i="17" a="1"/>
  <c r="X639" i="17" s="1"/>
  <c r="Y639" i="17" s="1"/>
  <c r="Q639" i="17" s="1"/>
  <c r="W639" i="17" s="1"/>
  <c r="X656" i="17" a="1"/>
  <c r="X656" i="17" s="1"/>
  <c r="X673" i="17" a="1"/>
  <c r="X673" i="17" s="1"/>
  <c r="Y673" i="17" s="1"/>
  <c r="Q673" i="17" s="1"/>
  <c r="W673" i="17" s="1"/>
  <c r="X690" i="17" a="1"/>
  <c r="X690" i="17" s="1"/>
  <c r="X707" i="17" a="1"/>
  <c r="X707" i="17" s="1"/>
  <c r="X744" i="17" a="1"/>
  <c r="X744" i="17" s="1"/>
  <c r="X761" i="17" a="1"/>
  <c r="X761" i="17" s="1"/>
  <c r="X778" i="17" a="1"/>
  <c r="X778" i="17" s="1"/>
  <c r="Y778" i="17" s="1"/>
  <c r="Q778" i="17" s="1"/>
  <c r="W778" i="17" s="1"/>
  <c r="X795" i="17" a="1"/>
  <c r="X795" i="17" s="1"/>
  <c r="X812" i="17" a="1"/>
  <c r="X812" i="17" s="1"/>
  <c r="X829" i="17" a="1"/>
  <c r="X829" i="17" s="1"/>
  <c r="X846" i="17" a="1"/>
  <c r="X846" i="17" s="1"/>
  <c r="X863" i="17" a="1"/>
  <c r="X863" i="17" s="1"/>
  <c r="X880" i="17" a="1"/>
  <c r="X880" i="17" s="1"/>
  <c r="X897" i="17" a="1"/>
  <c r="X897" i="17" s="1"/>
  <c r="X914" i="17" a="1"/>
  <c r="X914" i="17" s="1"/>
  <c r="Y914" i="17" s="1"/>
  <c r="Q914" i="17" s="1"/>
  <c r="W914" i="17" s="1"/>
  <c r="X931" i="17" a="1"/>
  <c r="X931" i="17" s="1"/>
  <c r="Y931" i="17" s="1"/>
  <c r="Q931" i="17" s="1"/>
  <c r="W931" i="17" s="1"/>
  <c r="X948" i="17" a="1"/>
  <c r="X948" i="17" s="1"/>
  <c r="X543" i="17" a="1"/>
  <c r="X543" i="17"/>
  <c r="X544" i="17" a="1"/>
  <c r="X544" i="17"/>
  <c r="X545" i="17" a="1"/>
  <c r="X545" i="17" s="1"/>
  <c r="X546" i="17" a="1"/>
  <c r="X546" i="17" s="1"/>
  <c r="X547" i="17" a="1"/>
  <c r="X547" i="17" s="1"/>
  <c r="X548" i="17" a="1"/>
  <c r="X548" i="17" s="1"/>
  <c r="Y548" i="17" s="1"/>
  <c r="Q548" i="17" s="1"/>
  <c r="W548" i="17" s="1"/>
  <c r="X56" i="17" a="1"/>
  <c r="X56" i="17" s="1"/>
  <c r="Y56" i="17" s="1"/>
  <c r="Q56" i="17" s="1"/>
  <c r="W56" i="17" s="1"/>
  <c r="X57" i="17" a="1"/>
  <c r="X57" i="17" s="1"/>
  <c r="X58" i="17" a="1"/>
  <c r="X58" i="17" s="1"/>
  <c r="X59" i="17" a="1"/>
  <c r="X59" i="17" s="1"/>
  <c r="X60" i="17" a="1"/>
  <c r="X60" i="17" s="1"/>
  <c r="Y60" i="17" s="1"/>
  <c r="Q60" i="17" s="1"/>
  <c r="W60" i="17" s="1"/>
  <c r="X61" i="17" a="1"/>
  <c r="X61" i="17" s="1"/>
  <c r="X113" i="17" a="1"/>
  <c r="X113" i="17" s="1"/>
  <c r="X130" i="17" a="1"/>
  <c r="X130" i="17" s="1"/>
  <c r="X147" i="17" a="1"/>
  <c r="X147" i="17" s="1"/>
  <c r="Y147" i="17" s="1"/>
  <c r="Q147" i="17" s="1"/>
  <c r="W147" i="17" s="1"/>
  <c r="X164" i="17" a="1"/>
  <c r="X164" i="17" s="1"/>
  <c r="X199" i="17" a="1"/>
  <c r="X199" i="17" s="1"/>
  <c r="Y199" i="17" s="1"/>
  <c r="Q199" i="17" s="1"/>
  <c r="W199" i="17" s="1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32" i="17" a="1"/>
  <c r="X232" i="17" s="1"/>
  <c r="X249" i="17" a="1"/>
  <c r="X249" i="17" s="1"/>
  <c r="X266" i="17" a="1"/>
  <c r="X266" i="17" s="1"/>
  <c r="Y266" i="17" s="1"/>
  <c r="Q266" i="17" s="1"/>
  <c r="W266" i="17" s="1"/>
  <c r="X283" i="17" a="1"/>
  <c r="X283" i="17"/>
  <c r="X300" i="17" a="1"/>
  <c r="X300" i="17" s="1"/>
  <c r="X317" i="17" a="1"/>
  <c r="X317" i="17" s="1"/>
  <c r="Y317" i="17" s="1"/>
  <c r="Q317" i="17" s="1"/>
  <c r="W317" i="17" s="1"/>
  <c r="X334" i="17" a="1"/>
  <c r="X334" i="17" s="1"/>
  <c r="X351" i="17" a="1"/>
  <c r="X351" i="17" s="1"/>
  <c r="X368" i="17" a="1"/>
  <c r="X368" i="17" s="1"/>
  <c r="X453" i="17" a="1"/>
  <c r="X453" i="17" s="1"/>
  <c r="X470" i="17" a="1"/>
  <c r="X470" i="17" s="1"/>
  <c r="Y470" i="17" s="1"/>
  <c r="Q470" i="17" s="1"/>
  <c r="W470" i="17" s="1"/>
  <c r="X487" i="17" a="1"/>
  <c r="X487" i="17" s="1"/>
  <c r="Y487" i="17" s="1"/>
  <c r="Q487" i="17" s="1"/>
  <c r="W487" i="17" s="1"/>
  <c r="X403" i="17" a="1"/>
  <c r="X403" i="17" s="1"/>
  <c r="X404" i="17" a="1"/>
  <c r="X404" i="17" s="1"/>
  <c r="X405" i="17" a="1"/>
  <c r="X405" i="17" s="1"/>
  <c r="X436" i="17" a="1"/>
  <c r="X436" i="17" s="1"/>
  <c r="X606" i="17" a="1"/>
  <c r="X606" i="17" s="1"/>
  <c r="X623" i="17" a="1"/>
  <c r="X623" i="17"/>
  <c r="X640" i="17" a="1"/>
  <c r="X640" i="17" s="1"/>
  <c r="Y640" i="17" s="1"/>
  <c r="Q640" i="17" s="1"/>
  <c r="W640" i="17" s="1"/>
  <c r="X657" i="17" a="1"/>
  <c r="X657" i="17" s="1"/>
  <c r="Y657" i="17" s="1"/>
  <c r="Q657" i="17" s="1"/>
  <c r="W657" i="17" s="1"/>
  <c r="X674" i="17" a="1"/>
  <c r="X674" i="17" s="1"/>
  <c r="X691" i="17" a="1"/>
  <c r="X691" i="17" s="1"/>
  <c r="Y691" i="17" s="1"/>
  <c r="Q691" i="17" s="1"/>
  <c r="W691" i="17" s="1"/>
  <c r="X708" i="17" a="1"/>
  <c r="X708" i="17" s="1"/>
  <c r="X745" i="17" a="1"/>
  <c r="X745" i="17" s="1"/>
  <c r="X762" i="17" a="1"/>
  <c r="X762" i="17" s="1"/>
  <c r="X779" i="17" a="1"/>
  <c r="X779" i="17" s="1"/>
  <c r="X796" i="17" a="1"/>
  <c r="X796" i="17" s="1"/>
  <c r="Y796" i="17" s="1"/>
  <c r="Q796" i="17" s="1"/>
  <c r="W796" i="17" s="1"/>
  <c r="X813" i="17" a="1"/>
  <c r="X813" i="17" s="1"/>
  <c r="Y813" i="17" s="1"/>
  <c r="Q813" i="17" s="1"/>
  <c r="W813" i="17" s="1"/>
  <c r="X830" i="17" a="1"/>
  <c r="X830" i="17" s="1"/>
  <c r="X847" i="17" a="1"/>
  <c r="X847" i="17" s="1"/>
  <c r="Y847" i="17" s="1"/>
  <c r="Q847" i="17" s="1"/>
  <c r="W847" i="17" s="1"/>
  <c r="X864" i="17" a="1"/>
  <c r="X864" i="17" s="1"/>
  <c r="X881" i="17" a="1"/>
  <c r="X881" i="17" s="1"/>
  <c r="X898" i="17" a="1"/>
  <c r="X898" i="17" s="1"/>
  <c r="X915" i="17" a="1"/>
  <c r="X915" i="17" s="1"/>
  <c r="X932" i="17" a="1"/>
  <c r="X932" i="17" s="1"/>
  <c r="Y932" i="17" s="1"/>
  <c r="Q932" i="17" s="1"/>
  <c r="W932" i="17" s="1"/>
  <c r="X949" i="17" a="1"/>
  <c r="X949" i="17" s="1"/>
  <c r="X549" i="17" a="1"/>
  <c r="X549" i="17" s="1"/>
  <c r="X550" i="17" a="1"/>
  <c r="X550" i="17" s="1"/>
  <c r="X551" i="17" a="1"/>
  <c r="X551" i="17" s="1"/>
  <c r="X552" i="17" a="1"/>
  <c r="X552" i="17" s="1"/>
  <c r="X553" i="17" a="1"/>
  <c r="X553" i="17" s="1"/>
  <c r="X554" i="17" a="1"/>
  <c r="X554" i="17" s="1"/>
  <c r="X62" i="17" a="1"/>
  <c r="X62" i="17" s="1"/>
  <c r="Y62" i="17" s="1"/>
  <c r="Q62" i="17" s="1"/>
  <c r="W62" i="17" s="1"/>
  <c r="X63" i="17" a="1"/>
  <c r="X63" i="17" s="1"/>
  <c r="Y63" i="17" s="1"/>
  <c r="Q63" i="17" s="1"/>
  <c r="W63" i="17" s="1"/>
  <c r="X64" i="17" a="1"/>
  <c r="X64" i="17" s="1"/>
  <c r="X65" i="17" a="1"/>
  <c r="X65" i="17"/>
  <c r="X66" i="17" a="1"/>
  <c r="X66" i="17" s="1"/>
  <c r="Y66" i="17" s="1"/>
  <c r="Q66" i="17" s="1"/>
  <c r="W66" i="17" s="1"/>
  <c r="X67" i="17" a="1"/>
  <c r="X67" i="17" s="1"/>
  <c r="X114" i="17" a="1"/>
  <c r="X114" i="17" s="1"/>
  <c r="X131" i="17" a="1"/>
  <c r="X131" i="17" s="1"/>
  <c r="X148" i="17" a="1"/>
  <c r="X148" i="17" s="1"/>
  <c r="Y148" i="17" s="1"/>
  <c r="Q148" i="17" s="1"/>
  <c r="W148" i="17" s="1"/>
  <c r="X165" i="17" a="1"/>
  <c r="X165" i="17" s="1"/>
  <c r="Y165" i="17" s="1"/>
  <c r="Q165" i="17" s="1"/>
  <c r="W165" i="17" s="1"/>
  <c r="X202" i="17" a="1"/>
  <c r="X202" i="17" s="1"/>
  <c r="X203" i="17" a="1"/>
  <c r="X203" i="17" s="1"/>
  <c r="X204" i="17" a="1"/>
  <c r="X204" i="17" s="1"/>
  <c r="X233" i="17" a="1"/>
  <c r="X233" i="17" s="1"/>
  <c r="Y233" i="17" s="1"/>
  <c r="Q233" i="17" s="1"/>
  <c r="W233" i="17" s="1"/>
  <c r="X250" i="17" a="1"/>
  <c r="X250" i="17" s="1"/>
  <c r="X267" i="17" a="1"/>
  <c r="X267" i="17" s="1"/>
  <c r="X284" i="17" a="1"/>
  <c r="X284" i="17" s="1"/>
  <c r="X301" i="17" a="1"/>
  <c r="X301" i="17" s="1"/>
  <c r="Y301" i="17" s="1"/>
  <c r="Q301" i="17" s="1"/>
  <c r="W301" i="17" s="1"/>
  <c r="X318" i="17" a="1"/>
  <c r="X318" i="17" s="1"/>
  <c r="X335" i="17" a="1"/>
  <c r="X335" i="17" s="1"/>
  <c r="Y335" i="17" s="1"/>
  <c r="Q335" i="17" s="1"/>
  <c r="W335" i="17" s="1"/>
  <c r="X352" i="17" a="1"/>
  <c r="X352" i="17" s="1"/>
  <c r="Y352" i="17" s="1"/>
  <c r="Q352" i="17" s="1"/>
  <c r="W352" i="17" s="1"/>
  <c r="X369" i="17" a="1"/>
  <c r="X369" i="17" s="1"/>
  <c r="Y369" i="17" s="1"/>
  <c r="Q369" i="17" s="1"/>
  <c r="W369" i="17" s="1"/>
  <c r="X454" i="17" a="1"/>
  <c r="X454" i="17" s="1"/>
  <c r="X471" i="17" a="1"/>
  <c r="X471" i="17" s="1"/>
  <c r="X488" i="17" a="1"/>
  <c r="X488" i="17" s="1"/>
  <c r="Y488" i="17" s="1"/>
  <c r="Q488" i="17" s="1"/>
  <c r="W488" i="17" s="1"/>
  <c r="X406" i="17" a="1"/>
  <c r="X406" i="17" s="1"/>
  <c r="Y406" i="17" s="1"/>
  <c r="Q406" i="17" s="1"/>
  <c r="W406" i="17" s="1"/>
  <c r="X407" i="17" a="1"/>
  <c r="X407" i="17" s="1"/>
  <c r="X408" i="17" a="1"/>
  <c r="X408" i="17" s="1"/>
  <c r="Y408" i="17" s="1"/>
  <c r="Q408" i="17" s="1"/>
  <c r="W408" i="17" s="1"/>
  <c r="X437" i="17" a="1"/>
  <c r="X437" i="17" s="1"/>
  <c r="X607" i="17" a="1"/>
  <c r="X607" i="17" s="1"/>
  <c r="X624" i="17" a="1"/>
  <c r="X624" i="17" s="1"/>
  <c r="X641" i="17" a="1"/>
  <c r="X641" i="17" s="1"/>
  <c r="X658" i="17" a="1"/>
  <c r="X658" i="17" s="1"/>
  <c r="Y658" i="17" s="1"/>
  <c r="Q658" i="17" s="1"/>
  <c r="W658" i="17" s="1"/>
  <c r="X675" i="17" a="1"/>
  <c r="X675" i="17" s="1"/>
  <c r="Y675" i="17" s="1"/>
  <c r="Q675" i="17" s="1"/>
  <c r="W675" i="17" s="1"/>
  <c r="X692" i="17" a="1"/>
  <c r="X692" i="17" s="1"/>
  <c r="X709" i="17" a="1"/>
  <c r="X709" i="17" s="1"/>
  <c r="X723" i="17" a="1"/>
  <c r="X723" i="17" s="1"/>
  <c r="X734" i="17" a="1"/>
  <c r="X734" i="17" s="1"/>
  <c r="X746" i="17" a="1"/>
  <c r="X746" i="17" s="1"/>
  <c r="X763" i="17" a="1"/>
  <c r="X763" i="17" s="1"/>
  <c r="Y763" i="17" s="1"/>
  <c r="Q763" i="17" s="1"/>
  <c r="W763" i="17" s="1"/>
  <c r="X780" i="17" a="1"/>
  <c r="X780" i="17" s="1"/>
  <c r="Y780" i="17" s="1"/>
  <c r="Q780" i="17" s="1"/>
  <c r="W780" i="17" s="1"/>
  <c r="X797" i="17" a="1"/>
  <c r="X797" i="17" s="1"/>
  <c r="Y797" i="17" s="1"/>
  <c r="Q797" i="17" s="1"/>
  <c r="W797" i="17" s="1"/>
  <c r="X814" i="17" a="1"/>
  <c r="X814" i="17" s="1"/>
  <c r="X831" i="17" a="1"/>
  <c r="X831" i="17"/>
  <c r="X848" i="17" a="1"/>
  <c r="X848" i="17" s="1"/>
  <c r="X865" i="17" a="1"/>
  <c r="X865" i="17" s="1"/>
  <c r="Y865" i="17" s="1"/>
  <c r="Q865" i="17" s="1"/>
  <c r="W865" i="17" s="1"/>
  <c r="X882" i="17" a="1"/>
  <c r="X882" i="17" s="1"/>
  <c r="X899" i="17" a="1"/>
  <c r="X899" i="17" s="1"/>
  <c r="X916" i="17" a="1"/>
  <c r="X916" i="17"/>
  <c r="X933" i="17" a="1"/>
  <c r="X933" i="17" s="1"/>
  <c r="Y933" i="17" s="1"/>
  <c r="Q933" i="17" s="1"/>
  <c r="W933" i="17" s="1"/>
  <c r="X950" i="17" a="1"/>
  <c r="X950" i="17" s="1"/>
  <c r="X555" i="17" a="1"/>
  <c r="X555" i="17" s="1"/>
  <c r="Y555" i="17" s="1"/>
  <c r="Q555" i="17" s="1"/>
  <c r="W555" i="17" s="1"/>
  <c r="X556" i="17" a="1"/>
  <c r="X556" i="17" s="1"/>
  <c r="X557" i="17" a="1"/>
  <c r="X557" i="17" s="1"/>
  <c r="X558" i="17" a="1"/>
  <c r="X558" i="17" s="1"/>
  <c r="X559" i="17" a="1"/>
  <c r="X559" i="17" s="1"/>
  <c r="X560" i="17" a="1"/>
  <c r="X560" i="17" s="1"/>
  <c r="Y560" i="17" s="1"/>
  <c r="Q560" i="17" s="1"/>
  <c r="W560" i="17" s="1"/>
  <c r="X68" i="17" a="1"/>
  <c r="X68" i="17"/>
  <c r="X69" i="17" a="1"/>
  <c r="X69" i="17" s="1"/>
  <c r="X70" i="17" a="1"/>
  <c r="X70" i="17" s="1"/>
  <c r="X71" i="17" a="1"/>
  <c r="X71" i="17" s="1"/>
  <c r="X72" i="17" a="1"/>
  <c r="X72" i="17" s="1"/>
  <c r="X73" i="17" a="1"/>
  <c r="X73" i="17" s="1"/>
  <c r="X115" i="17" a="1"/>
  <c r="X115" i="17" s="1"/>
  <c r="X132" i="17" a="1"/>
  <c r="X132" i="17" s="1"/>
  <c r="Y132" i="17" s="1"/>
  <c r="Q132" i="17" s="1"/>
  <c r="W132" i="17" s="1"/>
  <c r="X149" i="17" a="1"/>
  <c r="X149" i="17" s="1"/>
  <c r="Y149" i="17" s="1"/>
  <c r="Q149" i="17" s="1"/>
  <c r="W149" i="17" s="1"/>
  <c r="X166" i="17" a="1"/>
  <c r="X166" i="17" s="1"/>
  <c r="X205" i="17" a="1"/>
  <c r="X205" i="17" s="1"/>
  <c r="Y205" i="17" s="1"/>
  <c r="Q205" i="17" s="1"/>
  <c r="W205" i="17" s="1"/>
  <c r="X206" i="17" a="1"/>
  <c r="X206" i="17" s="1"/>
  <c r="Y206" i="17" s="1"/>
  <c r="Q206" i="17" s="1"/>
  <c r="W206" i="17" s="1"/>
  <c r="X207" i="17" a="1"/>
  <c r="X207" i="17" s="1"/>
  <c r="X234" i="17" a="1"/>
  <c r="X234" i="17" s="1"/>
  <c r="X251" i="17" a="1"/>
  <c r="X251" i="17" s="1"/>
  <c r="X268" i="17" a="1"/>
  <c r="X268" i="17" s="1"/>
  <c r="Y268" i="17" s="1"/>
  <c r="Q268" i="17" s="1"/>
  <c r="W268" i="17" s="1"/>
  <c r="X285" i="17" a="1"/>
  <c r="X285" i="17" s="1"/>
  <c r="Y285" i="17" s="1"/>
  <c r="Q285" i="17" s="1"/>
  <c r="W285" i="17" s="1"/>
  <c r="X302" i="17" a="1"/>
  <c r="X302" i="17" s="1"/>
  <c r="X319" i="17" a="1"/>
  <c r="X319" i="17" s="1"/>
  <c r="Y319" i="17" s="1"/>
  <c r="Q319" i="17" s="1"/>
  <c r="W319" i="17" s="1"/>
  <c r="X336" i="17" a="1"/>
  <c r="X336" i="17" s="1"/>
  <c r="X353" i="17" a="1"/>
  <c r="X353" i="17"/>
  <c r="X370" i="17" a="1"/>
  <c r="X370" i="17" s="1"/>
  <c r="X455" i="17" a="1"/>
  <c r="X455" i="17" s="1"/>
  <c r="X472" i="17" a="1"/>
  <c r="X472" i="17" s="1"/>
  <c r="Y472" i="17" s="1"/>
  <c r="Q472" i="17" s="1"/>
  <c r="W472" i="17" s="1"/>
  <c r="X489" i="17" a="1"/>
  <c r="X489" i="17" s="1"/>
  <c r="Y489" i="17" s="1"/>
  <c r="Q489" i="17" s="1"/>
  <c r="W489" i="17" s="1"/>
  <c r="X409" i="17" a="1"/>
  <c r="X409" i="17" s="1"/>
  <c r="X410" i="17" a="1"/>
  <c r="X410" i="17" s="1"/>
  <c r="Y410" i="17" s="1"/>
  <c r="Q410" i="17" s="1"/>
  <c r="W410" i="17" s="1"/>
  <c r="X411" i="17" a="1"/>
  <c r="X411" i="17"/>
  <c r="X438" i="17" a="1"/>
  <c r="X438" i="17" s="1"/>
  <c r="Y438" i="17" s="1"/>
  <c r="Q438" i="17" s="1"/>
  <c r="W438" i="17" s="1"/>
  <c r="X608" i="17" a="1"/>
  <c r="X608" i="17" s="1"/>
  <c r="X625" i="17" a="1"/>
  <c r="X625" i="17" s="1"/>
  <c r="X642" i="17" a="1"/>
  <c r="X642" i="17" s="1"/>
  <c r="Y642" i="17" s="1"/>
  <c r="Q642" i="17" s="1"/>
  <c r="W642" i="17" s="1"/>
  <c r="X659" i="17" a="1"/>
  <c r="X659" i="17"/>
  <c r="X676" i="17" a="1"/>
  <c r="X676" i="17" s="1"/>
  <c r="X693" i="17" a="1"/>
  <c r="X693" i="17" s="1"/>
  <c r="Y693" i="17" s="1"/>
  <c r="Q693" i="17" s="1"/>
  <c r="W693" i="17" s="1"/>
  <c r="X710" i="17" a="1"/>
  <c r="X710" i="17" s="1"/>
  <c r="X724" i="17" a="1"/>
  <c r="X724" i="17" s="1"/>
  <c r="Y724" i="17" s="1"/>
  <c r="Q724" i="17" s="1"/>
  <c r="W724" i="17" s="1"/>
  <c r="X747" i="17" a="1"/>
  <c r="X747" i="17" s="1"/>
  <c r="X764" i="17" a="1"/>
  <c r="X764" i="17" s="1"/>
  <c r="X781" i="17" a="1"/>
  <c r="X781" i="17" s="1"/>
  <c r="Y781" i="17" s="1"/>
  <c r="Q781" i="17" s="1"/>
  <c r="W781" i="17" s="1"/>
  <c r="X798" i="17" a="1"/>
  <c r="X798" i="17" s="1"/>
  <c r="Y798" i="17" s="1"/>
  <c r="Q798" i="17" s="1"/>
  <c r="W798" i="17" s="1"/>
  <c r="X815" i="17" a="1"/>
  <c r="X815" i="17" s="1"/>
  <c r="X832" i="17" a="1"/>
  <c r="X832" i="17" s="1"/>
  <c r="Y832" i="17" s="1"/>
  <c r="Q832" i="17" s="1"/>
  <c r="W832" i="17" s="1"/>
  <c r="X849" i="17" a="1"/>
  <c r="X849" i="17" s="1"/>
  <c r="X866" i="17" a="1"/>
  <c r="X866" i="17" s="1"/>
  <c r="X883" i="17" a="1"/>
  <c r="X883" i="17" s="1"/>
  <c r="X900" i="17" a="1"/>
  <c r="X900" i="17"/>
  <c r="X917" i="17" a="1"/>
  <c r="X917" i="17" s="1"/>
  <c r="Y917" i="17" s="1"/>
  <c r="Q917" i="17" s="1"/>
  <c r="W917" i="17" s="1"/>
  <c r="X934" i="17" a="1"/>
  <c r="X934" i="17" s="1"/>
  <c r="Y934" i="17" s="1"/>
  <c r="Q934" i="17" s="1"/>
  <c r="W934" i="17" s="1"/>
  <c r="X951" i="17" a="1"/>
  <c r="X951" i="17" s="1"/>
  <c r="X561" i="17" a="1"/>
  <c r="X561" i="17" s="1"/>
  <c r="Y561" i="17" s="1"/>
  <c r="Q561" i="17" s="1"/>
  <c r="W561" i="17" s="1"/>
  <c r="X562" i="17" a="1"/>
  <c r="X562" i="17" s="1"/>
  <c r="Y562" i="17" s="1"/>
  <c r="Q562" i="17" s="1"/>
  <c r="W562" i="17" s="1"/>
  <c r="X563" i="17" a="1"/>
  <c r="X563" i="17" s="1"/>
  <c r="Y563" i="17" s="1"/>
  <c r="Q563" i="17" s="1"/>
  <c r="W563" i="17" s="1"/>
  <c r="X564" i="17" a="1"/>
  <c r="X564" i="17" s="1"/>
  <c r="X565" i="17" a="1"/>
  <c r="X565" i="17" s="1"/>
  <c r="X566" i="17" a="1"/>
  <c r="X566" i="17" s="1"/>
  <c r="Y566" i="17" s="1"/>
  <c r="Q566" i="17" s="1"/>
  <c r="W566" i="17" s="1"/>
  <c r="X74" i="17" a="1"/>
  <c r="X74" i="17" s="1"/>
  <c r="Y74" i="17" s="1"/>
  <c r="Q74" i="17" s="1"/>
  <c r="W74" i="17" s="1"/>
  <c r="X75" i="17" a="1"/>
  <c r="X75" i="17" s="1"/>
  <c r="X76" i="17" a="1"/>
  <c r="X76" i="17" s="1"/>
  <c r="Y76" i="17" s="1"/>
  <c r="Q76" i="17" s="1"/>
  <c r="W76" i="17" s="1"/>
  <c r="X77" i="17" a="1"/>
  <c r="X77" i="17"/>
  <c r="X78" i="17" a="1"/>
  <c r="X78" i="17" s="1"/>
  <c r="X79" i="17" a="1"/>
  <c r="X79" i="17" s="1"/>
  <c r="X116" i="17" a="1"/>
  <c r="X116" i="17" s="1"/>
  <c r="X133" i="17" a="1"/>
  <c r="X133" i="17" s="1"/>
  <c r="Y133" i="17" s="1"/>
  <c r="Q133" i="17" s="1"/>
  <c r="W133" i="17" s="1"/>
  <c r="X150" i="17" a="1"/>
  <c r="X150" i="17" s="1"/>
  <c r="Y150" i="17" s="1"/>
  <c r="Q150" i="17" s="1"/>
  <c r="W150" i="17" s="1"/>
  <c r="X167" i="17" a="1"/>
  <c r="X167" i="17" s="1"/>
  <c r="X208" i="17" a="1"/>
  <c r="X208" i="17" s="1"/>
  <c r="X209" i="17" a="1"/>
  <c r="X209" i="17" s="1"/>
  <c r="X210" i="17" a="1"/>
  <c r="X210" i="17" s="1"/>
  <c r="Y210" i="17" s="1"/>
  <c r="Q210" i="17" s="1"/>
  <c r="W210" i="17" s="1"/>
  <c r="X235" i="17" a="1"/>
  <c r="X235" i="17" s="1"/>
  <c r="X252" i="17" a="1"/>
  <c r="X252" i="17" s="1"/>
  <c r="X269" i="17" a="1"/>
  <c r="X269" i="17" s="1"/>
  <c r="Y269" i="17" s="1"/>
  <c r="Q269" i="17" s="1"/>
  <c r="W269" i="17" s="1"/>
  <c r="X286" i="17" a="1"/>
  <c r="X286" i="17" s="1"/>
  <c r="Y286" i="17" s="1"/>
  <c r="Q286" i="17" s="1"/>
  <c r="W286" i="17" s="1"/>
  <c r="X303" i="17" a="1"/>
  <c r="X303" i="17" s="1"/>
  <c r="X320" i="17" a="1"/>
  <c r="X320" i="17"/>
  <c r="X337" i="17" a="1"/>
  <c r="X337" i="17" s="1"/>
  <c r="Y337" i="17" s="1"/>
  <c r="Q337" i="17" s="1"/>
  <c r="W337" i="17" s="1"/>
  <c r="X354" i="17" a="1"/>
  <c r="X354" i="17" s="1"/>
  <c r="X371" i="17" a="1"/>
  <c r="X371" i="17" s="1"/>
  <c r="X456" i="17" a="1"/>
  <c r="X456" i="17" s="1"/>
  <c r="X473" i="17" a="1"/>
  <c r="X473" i="17" s="1"/>
  <c r="Y473" i="17" s="1"/>
  <c r="Q473" i="17" s="1"/>
  <c r="W473" i="17" s="1"/>
  <c r="X490" i="17" a="1"/>
  <c r="X490" i="17" s="1"/>
  <c r="Y490" i="17" s="1"/>
  <c r="Q490" i="17" s="1"/>
  <c r="W490" i="17" s="1"/>
  <c r="X412" i="17" a="1"/>
  <c r="X412" i="17" s="1"/>
  <c r="X413" i="17" a="1"/>
  <c r="X413" i="17" s="1"/>
  <c r="Y413" i="17" s="1"/>
  <c r="Q413" i="17" s="1"/>
  <c r="W413" i="17" s="1"/>
  <c r="X414" i="17" a="1"/>
  <c r="X414" i="17" s="1"/>
  <c r="Y414" i="17" s="1"/>
  <c r="Q414" i="17" s="1"/>
  <c r="W414" i="17" s="1"/>
  <c r="X439" i="17" a="1"/>
  <c r="X439" i="17"/>
  <c r="X609" i="17" a="1"/>
  <c r="X609" i="17" s="1"/>
  <c r="X626" i="17" a="1"/>
  <c r="X626" i="17" s="1"/>
  <c r="X643" i="17" a="1"/>
  <c r="X643" i="17" s="1"/>
  <c r="Y643" i="17" s="1"/>
  <c r="Q643" i="17" s="1"/>
  <c r="W643" i="17" s="1"/>
  <c r="X660" i="17" a="1"/>
  <c r="X660" i="17" s="1"/>
  <c r="Y660" i="17" s="1"/>
  <c r="Q660" i="17" s="1"/>
  <c r="W660" i="17" s="1"/>
  <c r="X677" i="17" a="1"/>
  <c r="X677" i="17" s="1"/>
  <c r="X694" i="17" a="1"/>
  <c r="X694" i="17" s="1"/>
  <c r="Y694" i="17" s="1"/>
  <c r="Q694" i="17" s="1"/>
  <c r="W694" i="17" s="1"/>
  <c r="X711" i="17" a="1"/>
  <c r="X711" i="17" s="1"/>
  <c r="Y711" i="17" s="1"/>
  <c r="Q711" i="17" s="1"/>
  <c r="W711" i="17" s="1"/>
  <c r="X748" i="17" a="1"/>
  <c r="X748" i="17" s="1"/>
  <c r="Y748" i="17" s="1"/>
  <c r="Q748" i="17" s="1"/>
  <c r="W748" i="17" s="1"/>
  <c r="X765" i="17" a="1"/>
  <c r="X765" i="17" s="1"/>
  <c r="X782" i="17" a="1"/>
  <c r="X782" i="17" s="1"/>
  <c r="X799" i="17" a="1"/>
  <c r="X799" i="17" s="1"/>
  <c r="Y799" i="17" s="1"/>
  <c r="Q799" i="17" s="1"/>
  <c r="W799" i="17" s="1"/>
  <c r="X816" i="17" a="1"/>
  <c r="X816" i="17" s="1"/>
  <c r="Y816" i="17" s="1"/>
  <c r="Q816" i="17" s="1"/>
  <c r="W816" i="17" s="1"/>
  <c r="X833" i="17" a="1"/>
  <c r="X833" i="17" s="1"/>
  <c r="X850" i="17" a="1"/>
  <c r="X850" i="17" s="1"/>
  <c r="Y850" i="17" s="1"/>
  <c r="Q850" i="17" s="1"/>
  <c r="W850" i="17" s="1"/>
  <c r="X867" i="17" a="1"/>
  <c r="X867" i="17" s="1"/>
  <c r="X884" i="17" a="1"/>
  <c r="X884" i="17" s="1"/>
  <c r="Y884" i="17" s="1"/>
  <c r="Q884" i="17" s="1"/>
  <c r="W884" i="17" s="1"/>
  <c r="X901" i="17" a="1"/>
  <c r="X901" i="17" s="1"/>
  <c r="X918" i="17" a="1"/>
  <c r="X918" i="17" s="1"/>
  <c r="X935" i="17" a="1"/>
  <c r="X935" i="17" s="1"/>
  <c r="Y935" i="17" s="1"/>
  <c r="Q935" i="17" s="1"/>
  <c r="W935" i="17" s="1"/>
  <c r="X952" i="17" a="1"/>
  <c r="X952" i="17" s="1"/>
  <c r="Y952" i="17" s="1"/>
  <c r="Q952" i="17" s="1"/>
  <c r="W952" i="17" s="1"/>
  <c r="X567" i="17" a="1"/>
  <c r="X567" i="17" s="1"/>
  <c r="X568" i="17" a="1"/>
  <c r="X568" i="17"/>
  <c r="X569" i="17" a="1"/>
  <c r="X569" i="17" s="1"/>
  <c r="Y569" i="17" s="1"/>
  <c r="Q569" i="17" s="1"/>
  <c r="W569" i="17" s="1"/>
  <c r="X570" i="17" a="1"/>
  <c r="X570" i="17" s="1"/>
  <c r="X571" i="17" a="1"/>
  <c r="X571" i="17" s="1"/>
  <c r="X572" i="17" a="1"/>
  <c r="X572" i="17" s="1"/>
  <c r="Y572" i="17" s="1"/>
  <c r="Q572" i="17" s="1"/>
  <c r="W572" i="17" s="1"/>
  <c r="X80" i="17" a="1"/>
  <c r="X80" i="17" s="1"/>
  <c r="Y80" i="17" s="1"/>
  <c r="Q80" i="17" s="1"/>
  <c r="W80" i="17" s="1"/>
  <c r="X81" i="17" a="1"/>
  <c r="X81" i="17" s="1"/>
  <c r="Y81" i="17" s="1"/>
  <c r="Q81" i="17" s="1"/>
  <c r="W81" i="17" s="1"/>
  <c r="X82" i="17" a="1"/>
  <c r="X82" i="17" s="1"/>
  <c r="X83" i="17" a="1"/>
  <c r="X83" i="17"/>
  <c r="X84" i="17" a="1"/>
  <c r="X84" i="17" s="1"/>
  <c r="Y84" i="17" s="1"/>
  <c r="Q84" i="17" s="1"/>
  <c r="W84" i="17" s="1"/>
  <c r="X85" i="17" a="1"/>
  <c r="X85" i="17" s="1"/>
  <c r="Y85" i="17" s="1"/>
  <c r="Q85" i="17" s="1"/>
  <c r="W85" i="17" s="1"/>
  <c r="X117" i="17" a="1"/>
  <c r="X117" i="17" s="1"/>
  <c r="X134" i="17" a="1"/>
  <c r="X134" i="17" s="1"/>
  <c r="X151" i="17" a="1"/>
  <c r="X151" i="17"/>
  <c r="X168" i="17" a="1"/>
  <c r="X168" i="17" s="1"/>
  <c r="Y168" i="17" s="1"/>
  <c r="Q168" i="17" s="1"/>
  <c r="W168" i="17" s="1"/>
  <c r="X211" i="17" a="1"/>
  <c r="X211" i="17" s="1"/>
  <c r="X212" i="17" a="1"/>
  <c r="X212" i="17" s="1"/>
  <c r="Y212" i="17" s="1"/>
  <c r="Q212" i="17" s="1"/>
  <c r="W212" i="17" s="1"/>
  <c r="X213" i="17" a="1"/>
  <c r="X213" i="17" s="1"/>
  <c r="Y213" i="17" s="1"/>
  <c r="Q213" i="17" s="1"/>
  <c r="W213" i="17" s="1"/>
  <c r="X236" i="17" a="1"/>
  <c r="X236" i="17" s="1"/>
  <c r="Y236" i="17" s="1"/>
  <c r="Q236" i="17" s="1"/>
  <c r="W236" i="17" s="1"/>
  <c r="X253" i="17" a="1"/>
  <c r="X253" i="17" s="1"/>
  <c r="X270" i="17" a="1"/>
  <c r="X270" i="17" s="1"/>
  <c r="X287" i="17" a="1"/>
  <c r="X287" i="17" s="1"/>
  <c r="Y287" i="17" s="1"/>
  <c r="Q287" i="17" s="1"/>
  <c r="W287" i="17" s="1"/>
  <c r="X304" i="17" a="1"/>
  <c r="X304" i="17" s="1"/>
  <c r="Y304" i="17" s="1"/>
  <c r="Q304" i="17" s="1"/>
  <c r="W304" i="17" s="1"/>
  <c r="X321" i="17" a="1"/>
  <c r="X321" i="17" s="1"/>
  <c r="X338" i="17" a="1"/>
  <c r="X338" i="17" s="1"/>
  <c r="Y338" i="17" s="1"/>
  <c r="Q338" i="17" s="1"/>
  <c r="W338" i="17" s="1"/>
  <c r="X355" i="17" a="1"/>
  <c r="X355" i="17" s="1"/>
  <c r="X372" i="17" a="1"/>
  <c r="X372" i="17" s="1"/>
  <c r="Y372" i="17" s="1"/>
  <c r="Q372" i="17" s="1"/>
  <c r="W372" i="17" s="1"/>
  <c r="X457" i="17" a="1"/>
  <c r="X457" i="17" s="1"/>
  <c r="X474" i="17" a="1"/>
  <c r="X474" i="17" s="1"/>
  <c r="X491" i="17" a="1"/>
  <c r="X491" i="17" s="1"/>
  <c r="Y491" i="17" s="1"/>
  <c r="Q491" i="17" s="1"/>
  <c r="W491" i="17" s="1"/>
  <c r="X415" i="17" a="1"/>
  <c r="X415" i="17" s="1"/>
  <c r="Y415" i="17" s="1"/>
  <c r="Q415" i="17" s="1"/>
  <c r="W415" i="17" s="1"/>
  <c r="X416" i="17" a="1"/>
  <c r="X416" i="17" s="1"/>
  <c r="X417" i="17" a="1"/>
  <c r="X417" i="17"/>
  <c r="X440" i="17" a="1"/>
  <c r="X440" i="17" s="1"/>
  <c r="Y440" i="17" s="1"/>
  <c r="Q440" i="17" s="1"/>
  <c r="W440" i="17" s="1"/>
  <c r="X610" i="17" a="1"/>
  <c r="X610" i="17" s="1"/>
  <c r="Y610" i="17" s="1"/>
  <c r="Q610" i="17" s="1"/>
  <c r="W610" i="17" s="1"/>
  <c r="X627" i="17" a="1"/>
  <c r="X627" i="17" s="1"/>
  <c r="X644" i="17" a="1"/>
  <c r="X644" i="17"/>
  <c r="X661" i="17" a="1"/>
  <c r="X661" i="17" s="1"/>
  <c r="Y661" i="17" s="1"/>
  <c r="Q661" i="17" s="1"/>
  <c r="W661" i="17" s="1"/>
  <c r="X678" i="17" a="1"/>
  <c r="X678" i="17" s="1"/>
  <c r="Y678" i="17" s="1"/>
  <c r="Q678" i="17" s="1"/>
  <c r="W678" i="17" s="1"/>
  <c r="X695" i="17" a="1"/>
  <c r="X695" i="17" s="1"/>
  <c r="X712" i="17" a="1"/>
  <c r="X712" i="17" s="1"/>
  <c r="Y712" i="17" s="1"/>
  <c r="Q712" i="17" s="1"/>
  <c r="W712" i="17" s="1"/>
  <c r="X725" i="17" a="1"/>
  <c r="X725" i="17" s="1"/>
  <c r="Y725" i="17" s="1"/>
  <c r="Q725" i="17" s="1"/>
  <c r="W725" i="17" s="1"/>
  <c r="X749" i="17" a="1"/>
  <c r="X749" i="17"/>
  <c r="X766" i="17" a="1"/>
  <c r="X766" i="17" s="1"/>
  <c r="X783" i="17" a="1"/>
  <c r="X783" i="17" s="1"/>
  <c r="X800" i="17" a="1"/>
  <c r="X800" i="17" s="1"/>
  <c r="Y800" i="17" s="1"/>
  <c r="Q800" i="17" s="1"/>
  <c r="W800" i="17" s="1"/>
  <c r="X817" i="17" a="1"/>
  <c r="X817" i="17" s="1"/>
  <c r="Y817" i="17" s="1"/>
  <c r="Q817" i="17" s="1"/>
  <c r="W817" i="17" s="1"/>
  <c r="X834" i="17" a="1"/>
  <c r="X834" i="17" s="1"/>
  <c r="X851" i="17" a="1"/>
  <c r="X851" i="17" s="1"/>
  <c r="Y851" i="17" s="1"/>
  <c r="Q851" i="17" s="1"/>
  <c r="W851" i="17" s="1"/>
  <c r="X868" i="17" a="1"/>
  <c r="X868" i="17" s="1"/>
  <c r="Y868" i="17" s="1"/>
  <c r="Q868" i="17" s="1"/>
  <c r="W868" i="17" s="1"/>
  <c r="X885" i="17" a="1"/>
  <c r="X885" i="17" s="1"/>
  <c r="Y885" i="17" s="1"/>
  <c r="Q885" i="17" s="1"/>
  <c r="W885" i="17" s="1"/>
  <c r="X902" i="17" a="1"/>
  <c r="X902" i="17" s="1"/>
  <c r="X919" i="17" a="1"/>
  <c r="X919" i="17" s="1"/>
  <c r="X936" i="17" a="1"/>
  <c r="X936" i="17" s="1"/>
  <c r="Y936" i="17" s="1"/>
  <c r="Q936" i="17" s="1"/>
  <c r="W936" i="17" s="1"/>
  <c r="X953" i="17" a="1"/>
  <c r="X953" i="17" s="1"/>
  <c r="Y953" i="17" s="1"/>
  <c r="Q953" i="17" s="1"/>
  <c r="W953" i="17" s="1"/>
  <c r="X573" i="17" a="1"/>
  <c r="X573" i="17" s="1"/>
  <c r="X574" i="17" a="1"/>
  <c r="X574" i="17"/>
  <c r="X575" i="17" a="1"/>
  <c r="X575" i="17" s="1"/>
  <c r="X576" i="17" a="1"/>
  <c r="X576" i="17" s="1"/>
  <c r="Y576" i="17" s="1"/>
  <c r="Q576" i="17" s="1"/>
  <c r="W576" i="17" s="1"/>
  <c r="X577" i="17" a="1"/>
  <c r="X577" i="17" s="1"/>
  <c r="X578" i="17" a="1"/>
  <c r="X578" i="17" s="1"/>
  <c r="X86" i="17" a="1"/>
  <c r="X86" i="17" s="1"/>
  <c r="Y86" i="17" s="1"/>
  <c r="Q86" i="17" s="1"/>
  <c r="W86" i="17" s="1"/>
  <c r="X87" i="17" a="1"/>
  <c r="X87" i="17" s="1"/>
  <c r="Y87" i="17" s="1"/>
  <c r="Q87" i="17" s="1"/>
  <c r="W87" i="17" s="1"/>
  <c r="X88" i="17" a="1"/>
  <c r="X88" i="17" s="1"/>
  <c r="X89" i="17" a="1"/>
  <c r="X89" i="17" s="1"/>
  <c r="Y89" i="17" s="1"/>
  <c r="Q89" i="17" s="1"/>
  <c r="W89" i="17" s="1"/>
  <c r="X90" i="17" a="1"/>
  <c r="X90" i="17"/>
  <c r="X91" i="17" a="1"/>
  <c r="X91" i="17" s="1"/>
  <c r="Y91" i="17" s="1"/>
  <c r="Q91" i="17" s="1"/>
  <c r="W91" i="17" s="1"/>
  <c r="X118" i="17" a="1"/>
  <c r="X118" i="17" s="1"/>
  <c r="X135" i="17" a="1"/>
  <c r="X135" i="17" s="1"/>
  <c r="Y135" i="17" s="1"/>
  <c r="Q135" i="17" s="1"/>
  <c r="W135" i="17" s="1"/>
  <c r="X152" i="17" a="1"/>
  <c r="X152" i="17" s="1"/>
  <c r="Y152" i="17" s="1"/>
  <c r="Q152" i="17" s="1"/>
  <c r="W152" i="17" s="1"/>
  <c r="X169" i="17" a="1"/>
  <c r="X169" i="17" s="1"/>
  <c r="Y169" i="17" s="1"/>
  <c r="Q169" i="17" s="1"/>
  <c r="W169" i="17" s="1"/>
  <c r="X214" i="17" a="1"/>
  <c r="X214" i="17" s="1"/>
  <c r="X215" i="17" a="1"/>
  <c r="X215" i="17" s="1"/>
  <c r="Y215" i="17" s="1"/>
  <c r="Q215" i="17" s="1"/>
  <c r="W215" i="17" s="1"/>
  <c r="X216" i="17" a="1"/>
  <c r="X216" i="17" s="1"/>
  <c r="Y216" i="17" s="1"/>
  <c r="Q216" i="17" s="1"/>
  <c r="W216" i="17" s="1"/>
  <c r="X237" i="17" a="1"/>
  <c r="X237" i="17" s="1"/>
  <c r="Y237" i="17" s="1"/>
  <c r="Q237" i="17" s="1"/>
  <c r="W237" i="17" s="1"/>
  <c r="X254" i="17" a="1"/>
  <c r="X254" i="17" s="1"/>
  <c r="X271" i="17" a="1"/>
  <c r="X271" i="17" s="1"/>
  <c r="X288" i="17" a="1"/>
  <c r="X288" i="17" s="1"/>
  <c r="Y288" i="17" s="1"/>
  <c r="Q288" i="17" s="1"/>
  <c r="W288" i="17" s="1"/>
  <c r="X305" i="17" a="1"/>
  <c r="X305" i="17" s="1"/>
  <c r="Y305" i="17" s="1"/>
  <c r="Q305" i="17" s="1"/>
  <c r="W305" i="17" s="1"/>
  <c r="X322" i="17" a="1"/>
  <c r="X322" i="17" s="1"/>
  <c r="X339" i="17" a="1"/>
  <c r="X339" i="17" s="1"/>
  <c r="Y339" i="17" s="1"/>
  <c r="Q339" i="17" s="1"/>
  <c r="W339" i="17" s="1"/>
  <c r="X356" i="17" a="1"/>
  <c r="X356" i="17" s="1"/>
  <c r="Y356" i="17" s="1"/>
  <c r="Q356" i="17" s="1"/>
  <c r="W356" i="17" s="1"/>
  <c r="X373" i="17" a="1"/>
  <c r="X373" i="17" s="1"/>
  <c r="Y373" i="17" s="1"/>
  <c r="Q373" i="17" s="1"/>
  <c r="W373" i="17" s="1"/>
  <c r="X458" i="17" a="1"/>
  <c r="X458" i="17" s="1"/>
  <c r="X475" i="17" a="1"/>
  <c r="X475" i="17" s="1"/>
  <c r="X492" i="17" a="1"/>
  <c r="X492" i="17" s="1"/>
  <c r="Y492" i="17" s="1"/>
  <c r="Q492" i="17" s="1"/>
  <c r="W492" i="17" s="1"/>
  <c r="X418" i="17" a="1"/>
  <c r="X418" i="17" s="1"/>
  <c r="Y418" i="17" s="1"/>
  <c r="Q418" i="17" s="1"/>
  <c r="W418" i="17" s="1"/>
  <c r="X419" i="17" a="1"/>
  <c r="X419" i="17" s="1"/>
  <c r="X420" i="17" a="1"/>
  <c r="X420" i="17" s="1"/>
  <c r="Y420" i="17" s="1"/>
  <c r="Q420" i="17" s="1"/>
  <c r="W420" i="17" s="1"/>
  <c r="X441" i="17" a="1"/>
  <c r="X441" i="17" s="1"/>
  <c r="Y441" i="17" s="1"/>
  <c r="Q441" i="17" s="1"/>
  <c r="W441" i="17" s="1"/>
  <c r="X611" i="17" a="1"/>
  <c r="X611" i="17" s="1"/>
  <c r="Y611" i="17" s="1"/>
  <c r="Q611" i="17" s="1"/>
  <c r="W611" i="17" s="1"/>
  <c r="X628" i="17" a="1"/>
  <c r="X628" i="17" s="1"/>
  <c r="X645" i="17" a="1"/>
  <c r="X645" i="17" s="1"/>
  <c r="X662" i="17" a="1"/>
  <c r="X662" i="17" s="1"/>
  <c r="Y662" i="17" s="1"/>
  <c r="Q662" i="17" s="1"/>
  <c r="W662" i="17" s="1"/>
  <c r="X679" i="17" a="1"/>
  <c r="X679" i="17" s="1"/>
  <c r="Y679" i="17" s="1"/>
  <c r="Q679" i="17" s="1"/>
  <c r="W679" i="17" s="1"/>
  <c r="X696" i="17" a="1"/>
  <c r="X696" i="17" s="1"/>
  <c r="X713" i="17" a="1"/>
  <c r="X713" i="17" s="1"/>
  <c r="Y713" i="17" s="1"/>
  <c r="Q713" i="17" s="1"/>
  <c r="W713" i="17" s="1"/>
  <c r="X726" i="17" a="1"/>
  <c r="X726" i="17"/>
  <c r="X735" i="17" a="1"/>
  <c r="X735" i="17"/>
  <c r="X750" i="17" a="1"/>
  <c r="X750" i="17" s="1"/>
  <c r="X767" i="17" a="1"/>
  <c r="X767" i="17" s="1"/>
  <c r="Y767" i="17" s="1"/>
  <c r="Q767" i="17" s="1"/>
  <c r="W767" i="17" s="1"/>
  <c r="X784" i="17" a="1"/>
  <c r="X784" i="17" s="1"/>
  <c r="Y784" i="17" s="1"/>
  <c r="Q784" i="17" s="1"/>
  <c r="W784" i="17" s="1"/>
  <c r="X801" i="17" a="1"/>
  <c r="X801" i="17" s="1"/>
  <c r="Y801" i="17" s="1"/>
  <c r="Q801" i="17" s="1"/>
  <c r="W801" i="17" s="1"/>
  <c r="X818" i="17" a="1"/>
  <c r="X818" i="17" s="1"/>
  <c r="X835" i="17" a="1"/>
  <c r="X835" i="17" s="1"/>
  <c r="Y835" i="17" s="1"/>
  <c r="Q835" i="17" s="1"/>
  <c r="W835" i="17" s="1"/>
  <c r="X852" i="17" a="1"/>
  <c r="X852" i="17" s="1"/>
  <c r="Y852" i="17" s="1"/>
  <c r="Q852" i="17" s="1"/>
  <c r="W852" i="17" s="1"/>
  <c r="X869" i="17" a="1"/>
  <c r="X869" i="17" s="1"/>
  <c r="Y869" i="17" s="1"/>
  <c r="Q869" i="17" s="1"/>
  <c r="W869" i="17" s="1"/>
  <c r="X886" i="17" a="1"/>
  <c r="X886" i="17" s="1"/>
  <c r="X903" i="17" a="1"/>
  <c r="X903" i="17" s="1"/>
  <c r="X920" i="17" a="1"/>
  <c r="X920" i="17" s="1"/>
  <c r="Y920" i="17" s="1"/>
  <c r="Q920" i="17" s="1"/>
  <c r="W920" i="17" s="1"/>
  <c r="X937" i="17" a="1"/>
  <c r="X937" i="17" s="1"/>
  <c r="Y937" i="17" s="1"/>
  <c r="Q937" i="17" s="1"/>
  <c r="W937" i="17" s="1"/>
  <c r="X954" i="17" a="1"/>
  <c r="X954" i="17" s="1"/>
  <c r="X579" i="17" a="1"/>
  <c r="X579" i="17" s="1"/>
  <c r="Y579" i="17" s="1"/>
  <c r="Q579" i="17" s="1"/>
  <c r="W579" i="17" s="1"/>
  <c r="X580" i="17" a="1"/>
  <c r="X580" i="17" s="1"/>
  <c r="Y580" i="17" s="1"/>
  <c r="Q580" i="17" s="1"/>
  <c r="W580" i="17" s="1"/>
  <c r="X581" i="17" a="1"/>
  <c r="X581" i="17" s="1"/>
  <c r="Y581" i="17" s="1"/>
  <c r="Q581" i="17" s="1"/>
  <c r="W581" i="17" s="1"/>
  <c r="X582" i="17" a="1"/>
  <c r="X582" i="17" s="1"/>
  <c r="X583" i="17" a="1"/>
  <c r="X583" i="17" s="1"/>
  <c r="X584" i="17" a="1"/>
  <c r="X584" i="17" s="1"/>
  <c r="Y584" i="17" s="1"/>
  <c r="Q584" i="17" s="1"/>
  <c r="W584" i="17" s="1"/>
  <c r="X92" i="17" a="1"/>
  <c r="X92" i="17" s="1"/>
  <c r="Y92" i="17" s="1"/>
  <c r="Q92" i="17" s="1"/>
  <c r="W92" i="17" s="1"/>
  <c r="X93" i="17" a="1"/>
  <c r="X93" i="17" s="1"/>
  <c r="X94" i="17" a="1"/>
  <c r="X94" i="17" s="1"/>
  <c r="Y94" i="17" s="1"/>
  <c r="Q94" i="17" s="1"/>
  <c r="W94" i="17" s="1"/>
  <c r="X95" i="17" a="1"/>
  <c r="X95" i="17" s="1"/>
  <c r="Y95" i="17" s="1"/>
  <c r="Q95" i="17" s="1"/>
  <c r="W95" i="17" s="1"/>
  <c r="X96" i="17" a="1"/>
  <c r="X96" i="17" s="1"/>
  <c r="Y96" i="17" s="1"/>
  <c r="Q96" i="17" s="1"/>
  <c r="W96" i="17" s="1"/>
  <c r="X97" i="17" a="1"/>
  <c r="X97" i="17" s="1"/>
  <c r="X119" i="17" a="1"/>
  <c r="X119" i="17" s="1"/>
  <c r="X136" i="17" a="1"/>
  <c r="X136" i="17" s="1"/>
  <c r="Y136" i="17" s="1"/>
  <c r="Q136" i="17" s="1"/>
  <c r="W136" i="17" s="1"/>
  <c r="X153" i="17" a="1"/>
  <c r="X153" i="17" s="1"/>
  <c r="Y153" i="17" s="1"/>
  <c r="Q153" i="17" s="1"/>
  <c r="W153" i="17" s="1"/>
  <c r="X170" i="17" a="1"/>
  <c r="X170" i="17" s="1"/>
  <c r="X217" i="17" a="1"/>
  <c r="X217" i="17" s="1"/>
  <c r="Y217" i="17" s="1"/>
  <c r="Q217" i="17" s="1"/>
  <c r="W217" i="17" s="1"/>
  <c r="X218" i="17" a="1"/>
  <c r="X218" i="17" s="1"/>
  <c r="Y218" i="17" s="1"/>
  <c r="Q218" i="17" s="1"/>
  <c r="W218" i="17" s="1"/>
  <c r="X219" i="17" a="1"/>
  <c r="X219" i="17" s="1"/>
  <c r="Y219" i="17" s="1"/>
  <c r="Q219" i="17" s="1"/>
  <c r="W219" i="17" s="1"/>
  <c r="X238" i="17" a="1"/>
  <c r="X238" i="17" s="1"/>
  <c r="X255" i="17" a="1"/>
  <c r="X255" i="17" s="1"/>
  <c r="Y255" i="17" s="1"/>
  <c r="Q255" i="17" s="1"/>
  <c r="W255" i="17" s="1"/>
  <c r="X272" i="17" a="1"/>
  <c r="X272" i="17" s="1"/>
  <c r="Y272" i="17" s="1"/>
  <c r="Q272" i="17" s="1"/>
  <c r="W272" i="17" s="1"/>
  <c r="X289" i="17" a="1"/>
  <c r="X289" i="17" s="1"/>
  <c r="Y289" i="17" s="1"/>
  <c r="Q289" i="17" s="1"/>
  <c r="W289" i="17" s="1"/>
  <c r="X306" i="17" a="1"/>
  <c r="X306" i="17" s="1"/>
  <c r="X323" i="17" a="1"/>
  <c r="X323" i="17" s="1"/>
  <c r="Y323" i="17" s="1"/>
  <c r="Q323" i="17" s="1"/>
  <c r="W323" i="17" s="1"/>
  <c r="X340" i="17" a="1"/>
  <c r="X340" i="17" s="1"/>
  <c r="Y340" i="17" s="1"/>
  <c r="Q340" i="17" s="1"/>
  <c r="W340" i="17" s="1"/>
  <c r="X357" i="17" a="1"/>
  <c r="X357" i="17" s="1"/>
  <c r="Y357" i="17" s="1"/>
  <c r="Q357" i="17" s="1"/>
  <c r="W357" i="17" s="1"/>
  <c r="X374" i="17" a="1"/>
  <c r="X374" i="17" s="1"/>
  <c r="X459" i="17" a="1"/>
  <c r="X459" i="17" s="1"/>
  <c r="X476" i="17" a="1"/>
  <c r="X476" i="17"/>
  <c r="X493" i="17" a="1"/>
  <c r="X493" i="17" s="1"/>
  <c r="Y493" i="17" s="1"/>
  <c r="Q493" i="17" s="1"/>
  <c r="W493" i="17" s="1"/>
  <c r="X421" i="17" a="1"/>
  <c r="X421" i="17" s="1"/>
  <c r="X422" i="17" a="1"/>
  <c r="X422" i="17" s="1"/>
  <c r="Y422" i="17" s="1"/>
  <c r="Q422" i="17" s="1"/>
  <c r="W422" i="17" s="1"/>
  <c r="X423" i="17" a="1"/>
  <c r="X423" i="17" s="1"/>
  <c r="Y423" i="17" s="1"/>
  <c r="Q423" i="17" s="1"/>
  <c r="W423" i="17" s="1"/>
  <c r="X442" i="17" a="1"/>
  <c r="X442" i="17" s="1"/>
  <c r="Y442" i="17" s="1"/>
  <c r="Q442" i="17" s="1"/>
  <c r="W442" i="17" s="1"/>
  <c r="X612" i="17" a="1"/>
  <c r="X612" i="17" s="1"/>
  <c r="X629" i="17" a="1"/>
  <c r="X629" i="17" s="1"/>
  <c r="X646" i="17" a="1"/>
  <c r="X646" i="17" s="1"/>
  <c r="Y646" i="17" s="1"/>
  <c r="Q646" i="17" s="1"/>
  <c r="W646" i="17" s="1"/>
  <c r="X663" i="17" a="1"/>
  <c r="X663" i="17" s="1"/>
  <c r="Y663" i="17" s="1"/>
  <c r="Q663" i="17" s="1"/>
  <c r="W663" i="17" s="1"/>
  <c r="X680" i="17" a="1"/>
  <c r="X680" i="17" s="1"/>
  <c r="X697" i="17" a="1"/>
  <c r="X697" i="17" s="1"/>
  <c r="Y697" i="17" s="1"/>
  <c r="Q697" i="17" s="1"/>
  <c r="W697" i="17" s="1"/>
  <c r="X714" i="17" a="1"/>
  <c r="X714" i="17" s="1"/>
  <c r="Y714" i="17" s="1"/>
  <c r="Q714" i="17" s="1"/>
  <c r="W714" i="17" s="1"/>
  <c r="X727" i="17" a="1"/>
  <c r="X727" i="17" s="1"/>
  <c r="Y727" i="17" s="1"/>
  <c r="Q727" i="17" s="1"/>
  <c r="W727" i="17" s="1"/>
  <c r="X751" i="17" a="1"/>
  <c r="X751" i="17" s="1"/>
  <c r="X768" i="17" a="1"/>
  <c r="X768" i="17" s="1"/>
  <c r="X785" i="17" a="1"/>
  <c r="X785" i="17" s="1"/>
  <c r="Y785" i="17" s="1"/>
  <c r="Q785" i="17" s="1"/>
  <c r="W785" i="17" s="1"/>
  <c r="X802" i="17" a="1"/>
  <c r="X802" i="17" s="1"/>
  <c r="Y802" i="17" s="1"/>
  <c r="Q802" i="17" s="1"/>
  <c r="W802" i="17" s="1"/>
  <c r="X819" i="17" a="1"/>
  <c r="X819" i="17" s="1"/>
  <c r="Y819" i="17" s="1"/>
  <c r="Q819" i="17" s="1"/>
  <c r="W819" i="17" s="1"/>
  <c r="X836" i="17" a="1"/>
  <c r="X836" i="17" s="1"/>
  <c r="Y836" i="17" s="1"/>
  <c r="Q836" i="17" s="1"/>
  <c r="W836" i="17" s="1"/>
  <c r="X853" i="17" a="1"/>
  <c r="X853" i="17" s="1"/>
  <c r="Y853" i="17" s="1"/>
  <c r="Q853" i="17" s="1"/>
  <c r="W853" i="17" s="1"/>
  <c r="X870" i="17" a="1"/>
  <c r="X870" i="17"/>
  <c r="X887" i="17" a="1"/>
  <c r="X887" i="17" s="1"/>
  <c r="X904" i="17" a="1"/>
  <c r="X904" i="17" s="1"/>
  <c r="Y904" i="17" s="1"/>
  <c r="Q904" i="17" s="1"/>
  <c r="W904" i="17" s="1"/>
  <c r="X921" i="17" a="1"/>
  <c r="X921" i="17" s="1"/>
  <c r="Y921" i="17" s="1"/>
  <c r="Q921" i="17" s="1"/>
  <c r="W921" i="17" s="1"/>
  <c r="X938" i="17" a="1"/>
  <c r="X938" i="17" s="1"/>
  <c r="Y938" i="17" s="1"/>
  <c r="Q938" i="17" s="1"/>
  <c r="W938" i="17" s="1"/>
  <c r="X955" i="17" a="1"/>
  <c r="X955" i="17" s="1"/>
  <c r="X585" i="17" a="1"/>
  <c r="X585" i="17" s="1"/>
  <c r="Y585" i="17" s="1"/>
  <c r="Q585" i="17" s="1"/>
  <c r="W585" i="17" s="1"/>
  <c r="X586" i="17" a="1"/>
  <c r="X586" i="17" s="1"/>
  <c r="Y586" i="17" s="1"/>
  <c r="Q586" i="17" s="1"/>
  <c r="W586" i="17" s="1"/>
  <c r="X587" i="17" a="1"/>
  <c r="X587" i="17"/>
  <c r="X588" i="17" a="1"/>
  <c r="X588" i="17" s="1"/>
  <c r="Y588" i="17" s="1"/>
  <c r="Q588" i="17" s="1"/>
  <c r="W588" i="17" s="1"/>
  <c r="X589" i="17" a="1"/>
  <c r="X589" i="17" s="1"/>
  <c r="X590" i="17" a="1"/>
  <c r="X590" i="17"/>
  <c r="X98" i="17" a="1"/>
  <c r="X98" i="17" s="1"/>
  <c r="Y98" i="17" s="1"/>
  <c r="Q98" i="17" s="1"/>
  <c r="W98" i="17" s="1"/>
  <c r="X99" i="17" a="1"/>
  <c r="X99" i="17" s="1"/>
  <c r="X100" i="17" a="1"/>
  <c r="X100" i="17"/>
  <c r="X101" i="17" a="1"/>
  <c r="X101" i="17" s="1"/>
  <c r="Y101" i="17" s="1"/>
  <c r="Q101" i="17" s="1"/>
  <c r="W101" i="17" s="1"/>
  <c r="X102" i="17" a="1"/>
  <c r="X102" i="17" s="1"/>
  <c r="Y102" i="17" s="1"/>
  <c r="Q102" i="17" s="1"/>
  <c r="W102" i="17" s="1"/>
  <c r="X103" i="17" a="1"/>
  <c r="X103" i="17" s="1"/>
  <c r="X120" i="17" a="1"/>
  <c r="X120" i="17" s="1"/>
  <c r="X137" i="17" a="1"/>
  <c r="X137" i="17" s="1"/>
  <c r="Y137" i="17" s="1"/>
  <c r="Q137" i="17" s="1"/>
  <c r="W137" i="17" s="1"/>
  <c r="X154" i="17" a="1"/>
  <c r="X154" i="17" s="1"/>
  <c r="Y154" i="17" s="1"/>
  <c r="Q154" i="17" s="1"/>
  <c r="W154" i="17" s="1"/>
  <c r="X171" i="17" a="1"/>
  <c r="X171" i="17" s="1"/>
  <c r="Y171" i="17" s="1"/>
  <c r="Q171" i="17" s="1"/>
  <c r="W171" i="17" s="1"/>
  <c r="X220" i="17" a="1"/>
  <c r="X220" i="17" s="1"/>
  <c r="Y220" i="17" s="1"/>
  <c r="Q220" i="17" s="1"/>
  <c r="W220" i="17" s="1"/>
  <c r="X221" i="17" a="1"/>
  <c r="X221" i="17" s="1"/>
  <c r="Y221" i="17" s="1"/>
  <c r="Q221" i="17" s="1"/>
  <c r="W221" i="17" s="1"/>
  <c r="X222" i="17" a="1"/>
  <c r="X222" i="17" s="1"/>
  <c r="Y222" i="17" s="1"/>
  <c r="Q222" i="17" s="1"/>
  <c r="W222" i="17" s="1"/>
  <c r="X239" i="17" a="1"/>
  <c r="X239" i="17" s="1"/>
  <c r="X256" i="17" a="1"/>
  <c r="X256" i="17" s="1"/>
  <c r="X273" i="17" a="1"/>
  <c r="X273" i="17" s="1"/>
  <c r="Y273" i="17" s="1"/>
  <c r="Q273" i="17" s="1"/>
  <c r="W273" i="17" s="1"/>
  <c r="X290" i="17" a="1"/>
  <c r="X290" i="17" s="1"/>
  <c r="Y290" i="17" s="1"/>
  <c r="Q290" i="17" s="1"/>
  <c r="W290" i="17" s="1"/>
  <c r="X307" i="17" a="1"/>
  <c r="X307" i="17" s="1"/>
  <c r="Y307" i="17" s="1"/>
  <c r="Q307" i="17" s="1"/>
  <c r="W307" i="17" s="1"/>
  <c r="X324" i="17" a="1"/>
  <c r="X324" i="17" s="1"/>
  <c r="Y324" i="17" s="1"/>
  <c r="Q324" i="17" s="1"/>
  <c r="W324" i="17" s="1"/>
  <c r="X341" i="17" a="1"/>
  <c r="X341" i="17" s="1"/>
  <c r="Y341" i="17" s="1"/>
  <c r="Q341" i="17" s="1"/>
  <c r="W341" i="17" s="1"/>
  <c r="X358" i="17" a="1"/>
  <c r="X358" i="17"/>
  <c r="X375" i="17" a="1"/>
  <c r="X375" i="17" s="1"/>
  <c r="X460" i="17" a="1"/>
  <c r="X460" i="17" s="1"/>
  <c r="Y460" i="17" s="1"/>
  <c r="Q460" i="17" s="1"/>
  <c r="W460" i="17" s="1"/>
  <c r="X477" i="17" a="1"/>
  <c r="X477" i="17" s="1"/>
  <c r="Y477" i="17" s="1"/>
  <c r="Q477" i="17" s="1"/>
  <c r="W477" i="17" s="1"/>
  <c r="X494" i="17" a="1"/>
  <c r="X494" i="17" s="1"/>
  <c r="Y494" i="17" s="1"/>
  <c r="Q494" i="17" s="1"/>
  <c r="W494" i="17" s="1"/>
  <c r="X424" i="17" a="1"/>
  <c r="X424" i="17" s="1"/>
  <c r="X425" i="17" a="1"/>
  <c r="X425" i="17" s="1"/>
  <c r="Y425" i="17" s="1"/>
  <c r="Q425" i="17" s="1"/>
  <c r="W425" i="17" s="1"/>
  <c r="X426" i="17" a="1"/>
  <c r="X426" i="17" s="1"/>
  <c r="Y426" i="17" s="1"/>
  <c r="Q426" i="17" s="1"/>
  <c r="W426" i="17" s="1"/>
  <c r="X443" i="17" a="1"/>
  <c r="X443" i="17" s="1"/>
  <c r="Y443" i="17" s="1"/>
  <c r="Q443" i="17" s="1"/>
  <c r="W443" i="17" s="1"/>
  <c r="X613" i="17" a="1"/>
  <c r="X613" i="17" s="1"/>
  <c r="Y613" i="17" s="1"/>
  <c r="Q613" i="17" s="1"/>
  <c r="W613" i="17" s="1"/>
  <c r="X630" i="17" a="1"/>
  <c r="X630" i="17" s="1"/>
  <c r="X647" i="17" a="1"/>
  <c r="X647" i="17" s="1"/>
  <c r="Y647" i="17" s="1"/>
  <c r="Q647" i="17" s="1"/>
  <c r="W647" i="17" s="1"/>
  <c r="X664" i="17" a="1"/>
  <c r="X664" i="17" s="1"/>
  <c r="Y664" i="17" s="1"/>
  <c r="Q664" i="17" s="1"/>
  <c r="W664" i="17" s="1"/>
  <c r="X681" i="17" a="1"/>
  <c r="X681" i="17" s="1"/>
  <c r="Y681" i="17" s="1"/>
  <c r="Q681" i="17" s="1"/>
  <c r="W681" i="17" s="1"/>
  <c r="X698" i="17" a="1"/>
  <c r="X698" i="17" s="1"/>
  <c r="Y698" i="17" s="1"/>
  <c r="Q698" i="17" s="1"/>
  <c r="W698" i="17" s="1"/>
  <c r="X715" i="17" a="1"/>
  <c r="X715" i="17"/>
  <c r="X728" i="17" a="1"/>
  <c r="X728" i="17" s="1"/>
  <c r="Y728" i="17" s="1"/>
  <c r="Q728" i="17" s="1"/>
  <c r="W728" i="17" s="1"/>
  <c r="X752" i="17" a="1"/>
  <c r="X752" i="17" s="1"/>
  <c r="X769" i="17" a="1"/>
  <c r="X769" i="17" s="1"/>
  <c r="X786" i="17" a="1"/>
  <c r="X786" i="17" s="1"/>
  <c r="Y786" i="17" s="1"/>
  <c r="Q786" i="17" s="1"/>
  <c r="W786" i="17" s="1"/>
  <c r="X803" i="17" a="1"/>
  <c r="X803" i="17"/>
  <c r="Y803" i="17" s="1"/>
  <c r="Q803" i="17" s="1"/>
  <c r="W803" i="17" s="1"/>
  <c r="X820" i="17" a="1"/>
  <c r="X820" i="17" s="1"/>
  <c r="Y820" i="17" s="1"/>
  <c r="Q820" i="17" s="1"/>
  <c r="W820" i="17" s="1"/>
  <c r="X837" i="17" a="1"/>
  <c r="X837" i="17" s="1"/>
  <c r="Y837" i="17" s="1"/>
  <c r="Q837" i="17" s="1"/>
  <c r="W837" i="17" s="1"/>
  <c r="X854" i="17" a="1"/>
  <c r="X854" i="17" s="1"/>
  <c r="Y854" i="17" s="1"/>
  <c r="Q854" i="17" s="1"/>
  <c r="W854" i="17" s="1"/>
  <c r="X871" i="17" a="1"/>
  <c r="X871" i="17" s="1"/>
  <c r="Y871" i="17" s="1"/>
  <c r="Q871" i="17" s="1"/>
  <c r="W871" i="17" s="1"/>
  <c r="X888" i="17" a="1"/>
  <c r="X888" i="17" s="1"/>
  <c r="X905" i="17" a="1"/>
  <c r="X905" i="17" s="1"/>
  <c r="X922" i="17" a="1"/>
  <c r="X922" i="17" s="1"/>
  <c r="Y922" i="17" s="1"/>
  <c r="Q922" i="17" s="1"/>
  <c r="W922" i="17" s="1"/>
  <c r="X939" i="17" a="1"/>
  <c r="X939" i="17" s="1"/>
  <c r="Y939" i="17" s="1"/>
  <c r="Q939" i="17" s="1"/>
  <c r="W939" i="17" s="1"/>
  <c r="X956" i="17" a="1"/>
  <c r="X956" i="17" s="1"/>
  <c r="Y956" i="17" s="1"/>
  <c r="Q956" i="17" s="1"/>
  <c r="W956" i="17" s="1"/>
  <c r="X591" i="17" a="1"/>
  <c r="X591" i="17" s="1"/>
  <c r="Y591" i="17" s="1"/>
  <c r="Q591" i="17" s="1"/>
  <c r="W591" i="17" s="1"/>
  <c r="X592" i="17" a="1"/>
  <c r="X592" i="17" s="1"/>
  <c r="Y592" i="17" s="1"/>
  <c r="Q592" i="17" s="1"/>
  <c r="W592" i="17" s="1"/>
  <c r="X593" i="17" a="1"/>
  <c r="X593" i="17" s="1"/>
  <c r="Y593" i="17" s="1"/>
  <c r="Q593" i="17" s="1"/>
  <c r="W593" i="17" s="1"/>
  <c r="X594" i="17" a="1"/>
  <c r="X594" i="17" s="1"/>
  <c r="X595" i="17" a="1"/>
  <c r="X595" i="17" s="1"/>
  <c r="Y595" i="17" s="1"/>
  <c r="Q595" i="17" s="1"/>
  <c r="W595" i="17" s="1"/>
  <c r="X596" i="17" a="1"/>
  <c r="X596" i="17" s="1"/>
  <c r="Y596" i="17" s="1"/>
  <c r="Q596" i="17" s="1"/>
  <c r="W596" i="17" s="1"/>
  <c r="Y2" i="17"/>
  <c r="Q2" i="17" s="1"/>
  <c r="W2" i="17" s="1"/>
  <c r="Y4" i="17"/>
  <c r="Q4" i="17" s="1"/>
  <c r="W4" i="17" s="1"/>
  <c r="Y6" i="17"/>
  <c r="Q6" i="17" s="1"/>
  <c r="W6" i="17" s="1"/>
  <c r="Y7" i="17"/>
  <c r="Q7" i="17" s="1"/>
  <c r="W7" i="17" s="1"/>
  <c r="Y104" i="17"/>
  <c r="Q104" i="17" s="1"/>
  <c r="W104" i="17" s="1"/>
  <c r="Y121" i="17"/>
  <c r="Q121" i="17" s="1"/>
  <c r="W121" i="17" s="1"/>
  <c r="Y138" i="17"/>
  <c r="Q138" i="17" s="1"/>
  <c r="W138" i="17" s="1"/>
  <c r="Y155" i="17"/>
  <c r="Q155" i="17" s="1"/>
  <c r="W155" i="17" s="1"/>
  <c r="Y172" i="17"/>
  <c r="Q172" i="17" s="1"/>
  <c r="W172" i="17" s="1"/>
  <c r="Y174" i="17"/>
  <c r="Q174" i="17" s="1"/>
  <c r="W174" i="17" s="1"/>
  <c r="Y223" i="17"/>
  <c r="Q223" i="17" s="1"/>
  <c r="W223" i="17" s="1"/>
  <c r="Y240" i="17"/>
  <c r="Q240" i="17" s="1"/>
  <c r="W240" i="17" s="1"/>
  <c r="Y257" i="17"/>
  <c r="Q257" i="17" s="1"/>
  <c r="W257" i="17" s="1"/>
  <c r="Y274" i="17"/>
  <c r="Q274" i="17" s="1"/>
  <c r="W274" i="17" s="1"/>
  <c r="Y308" i="17"/>
  <c r="Q308" i="17" s="1"/>
  <c r="W308" i="17" s="1"/>
  <c r="Y342" i="17"/>
  <c r="Q342" i="17" s="1"/>
  <c r="W342" i="17" s="1"/>
  <c r="Y461" i="17"/>
  <c r="Q461" i="17" s="1"/>
  <c r="W461" i="17" s="1"/>
  <c r="Y478" i="17"/>
  <c r="Q478" i="17" s="1"/>
  <c r="W478" i="17" s="1"/>
  <c r="Y376" i="17"/>
  <c r="Q376" i="17" s="1"/>
  <c r="W376" i="17" s="1"/>
  <c r="Y427" i="17"/>
  <c r="Q427" i="17" s="1"/>
  <c r="W427" i="17" s="1"/>
  <c r="Y597" i="17"/>
  <c r="Q597" i="17" s="1"/>
  <c r="W597" i="17" s="1"/>
  <c r="Y614" i="17"/>
  <c r="Q614" i="17" s="1"/>
  <c r="W614" i="17" s="1"/>
  <c r="Y648" i="17"/>
  <c r="Q648" i="17" s="1"/>
  <c r="W648" i="17" s="1"/>
  <c r="Y682" i="17"/>
  <c r="Q682" i="17" s="1"/>
  <c r="W682" i="17" s="1"/>
  <c r="Y729" i="17"/>
  <c r="Q729" i="17" s="1"/>
  <c r="W729" i="17" s="1"/>
  <c r="Y736" i="17"/>
  <c r="Q736" i="17" s="1"/>
  <c r="W736" i="17" s="1"/>
  <c r="Y753" i="17"/>
  <c r="Q753" i="17" s="1"/>
  <c r="W753" i="17" s="1"/>
  <c r="Y770" i="17"/>
  <c r="Q770" i="17" s="1"/>
  <c r="W770" i="17" s="1"/>
  <c r="Y787" i="17"/>
  <c r="Q787" i="17" s="1"/>
  <c r="W787" i="17" s="1"/>
  <c r="Y855" i="17"/>
  <c r="Q855" i="17" s="1"/>
  <c r="W855" i="17" s="1"/>
  <c r="Y889" i="17"/>
  <c r="Q889" i="17" s="1"/>
  <c r="W889" i="17" s="1"/>
  <c r="Y906" i="17"/>
  <c r="Q906" i="17" s="1"/>
  <c r="W906" i="17" s="1"/>
  <c r="Y923" i="17"/>
  <c r="Q923" i="17" s="1"/>
  <c r="W923" i="17" s="1"/>
  <c r="Y497" i="17"/>
  <c r="Q497" i="17" s="1"/>
  <c r="W497" i="17" s="1"/>
  <c r="Y498" i="17"/>
  <c r="Q498" i="17" s="1"/>
  <c r="W498" i="17" s="1"/>
  <c r="Y500" i="17"/>
  <c r="Q500" i="17" s="1"/>
  <c r="W500" i="17" s="1"/>
  <c r="Y8" i="17"/>
  <c r="Q8" i="17" s="1"/>
  <c r="W8" i="17" s="1"/>
  <c r="Y9" i="17"/>
  <c r="Q9" i="17" s="1"/>
  <c r="W9" i="17" s="1"/>
  <c r="Y12" i="17"/>
  <c r="Q12" i="17" s="1"/>
  <c r="W12" i="17" s="1"/>
  <c r="Y13" i="17"/>
  <c r="Q13" i="17" s="1"/>
  <c r="W13" i="17" s="1"/>
  <c r="Y105" i="17"/>
  <c r="Q105" i="17" s="1"/>
  <c r="W105" i="17" s="1"/>
  <c r="Y139" i="17"/>
  <c r="Q139" i="17" s="1"/>
  <c r="W139" i="17" s="1"/>
  <c r="Y177" i="17"/>
  <c r="Q177" i="17" s="1"/>
  <c r="W177" i="17" s="1"/>
  <c r="Y258" i="17"/>
  <c r="Q258" i="17" s="1"/>
  <c r="W258" i="17" s="1"/>
  <c r="Y275" i="17"/>
  <c r="Q275" i="17" s="1"/>
  <c r="W275" i="17" s="1"/>
  <c r="Y292" i="17"/>
  <c r="Q292" i="17" s="1"/>
  <c r="W292" i="17" s="1"/>
  <c r="Y343" i="17"/>
  <c r="Q343" i="17" s="1"/>
  <c r="W343" i="17" s="1"/>
  <c r="Y445" i="17"/>
  <c r="Q445" i="17" s="1"/>
  <c r="W445" i="17" s="1"/>
  <c r="Y479" i="17"/>
  <c r="Q479" i="17" s="1"/>
  <c r="W479" i="17" s="1"/>
  <c r="Y380" i="17"/>
  <c r="Q380" i="17" s="1"/>
  <c r="W380" i="17" s="1"/>
  <c r="Y428" i="17"/>
  <c r="Q428" i="17" s="1"/>
  <c r="W428" i="17" s="1"/>
  <c r="Y649" i="17"/>
  <c r="Q649" i="17" s="1"/>
  <c r="W649" i="17" s="1"/>
  <c r="Y666" i="17"/>
  <c r="Q666" i="17" s="1"/>
  <c r="W666" i="17" s="1"/>
  <c r="Y716" i="17"/>
  <c r="Q716" i="17" s="1"/>
  <c r="W716" i="17" s="1"/>
  <c r="Y788" i="17"/>
  <c r="Q788" i="17" s="1"/>
  <c r="W788" i="17" s="1"/>
  <c r="Y822" i="17"/>
  <c r="Q822" i="17" s="1"/>
  <c r="W822" i="17" s="1"/>
  <c r="Y856" i="17"/>
  <c r="Q856" i="17" s="1"/>
  <c r="W856" i="17" s="1"/>
  <c r="Y873" i="17"/>
  <c r="Q873" i="17" s="1"/>
  <c r="W873" i="17" s="1"/>
  <c r="Y924" i="17"/>
  <c r="Q924" i="17" s="1"/>
  <c r="W924" i="17" s="1"/>
  <c r="Y503" i="17"/>
  <c r="Q503" i="17" s="1"/>
  <c r="W503" i="17" s="1"/>
  <c r="Y505" i="17"/>
  <c r="Q505" i="17" s="1"/>
  <c r="W505" i="17" s="1"/>
  <c r="Y506" i="17"/>
  <c r="Q506" i="17" s="1"/>
  <c r="W506" i="17" s="1"/>
  <c r="Y14" i="17"/>
  <c r="Q14" i="17" s="1"/>
  <c r="W14" i="17" s="1"/>
  <c r="Y18" i="17"/>
  <c r="Q18" i="17" s="1"/>
  <c r="W18" i="17" s="1"/>
  <c r="Y19" i="17"/>
  <c r="Q19" i="17" s="1"/>
  <c r="W19" i="17" s="1"/>
  <c r="Y123" i="17"/>
  <c r="Q123" i="17" s="1"/>
  <c r="W123" i="17" s="1"/>
  <c r="Y140" i="17"/>
  <c r="Q140" i="17" s="1"/>
  <c r="W140" i="17" s="1"/>
  <c r="Y180" i="17"/>
  <c r="Q180" i="17" s="1"/>
  <c r="W180" i="17" s="1"/>
  <c r="Y225" i="17"/>
  <c r="Q225" i="17" s="1"/>
  <c r="W225" i="17" s="1"/>
  <c r="Y242" i="17"/>
  <c r="Q242" i="17" s="1"/>
  <c r="W242" i="17" s="1"/>
  <c r="Y276" i="17"/>
  <c r="Q276" i="17" s="1"/>
  <c r="W276" i="17" s="1"/>
  <c r="Y344" i="17"/>
  <c r="Q344" i="17" s="1"/>
  <c r="W344" i="17" s="1"/>
  <c r="Y361" i="17"/>
  <c r="Q361" i="17" s="1"/>
  <c r="W361" i="17" s="1"/>
  <c r="Y463" i="17"/>
  <c r="Q463" i="17" s="1"/>
  <c r="W463" i="17" s="1"/>
  <c r="Y480" i="17"/>
  <c r="Q480" i="17" s="1"/>
  <c r="W480" i="17" s="1"/>
  <c r="Y382" i="17"/>
  <c r="Q382" i="17" s="1"/>
  <c r="W382" i="17" s="1"/>
  <c r="Y429" i="17"/>
  <c r="Q429" i="17" s="1"/>
  <c r="W429" i="17" s="1"/>
  <c r="Y633" i="17"/>
  <c r="Q633" i="17" s="1"/>
  <c r="W633" i="17" s="1"/>
  <c r="Y650" i="17"/>
  <c r="Q650" i="17" s="1"/>
  <c r="W650" i="17" s="1"/>
  <c r="Y684" i="17"/>
  <c r="Q684" i="17" s="1"/>
  <c r="W684" i="17" s="1"/>
  <c r="Y717" i="17"/>
  <c r="Q717" i="17" s="1"/>
  <c r="W717" i="17" s="1"/>
  <c r="Y730" i="17"/>
  <c r="Q730" i="17" s="1"/>
  <c r="W730" i="17" s="1"/>
  <c r="Y772" i="17"/>
  <c r="Q772" i="17" s="1"/>
  <c r="W772" i="17" s="1"/>
  <c r="Y789" i="17"/>
  <c r="Q789" i="17" s="1"/>
  <c r="W789" i="17" s="1"/>
  <c r="Y840" i="17"/>
  <c r="Q840" i="17" s="1"/>
  <c r="W840" i="17" s="1"/>
  <c r="Y857" i="17"/>
  <c r="Q857" i="17" s="1"/>
  <c r="W857" i="17" s="1"/>
  <c r="Y908" i="17"/>
  <c r="Q908" i="17" s="1"/>
  <c r="W908" i="17" s="1"/>
  <c r="Y942" i="17"/>
  <c r="Q942" i="17" s="1"/>
  <c r="W942" i="17" s="1"/>
  <c r="Y508" i="17"/>
  <c r="Q508" i="17" s="1"/>
  <c r="W508" i="17" s="1"/>
  <c r="Y510" i="17"/>
  <c r="Q510" i="17" s="1"/>
  <c r="W510" i="17" s="1"/>
  <c r="Y511" i="17"/>
  <c r="Q511" i="17" s="1"/>
  <c r="W511" i="17" s="1"/>
  <c r="Y512" i="17"/>
  <c r="Q512" i="17" s="1"/>
  <c r="W512" i="17" s="1"/>
  <c r="Y23" i="17"/>
  <c r="Q23" i="17" s="1"/>
  <c r="W23" i="17" s="1"/>
  <c r="Y25" i="17"/>
  <c r="Q25" i="17" s="1"/>
  <c r="W25" i="17" s="1"/>
  <c r="Y107" i="17"/>
  <c r="Q107" i="17" s="1"/>
  <c r="W107" i="17" s="1"/>
  <c r="Y124" i="17"/>
  <c r="Q124" i="17" s="1"/>
  <c r="W124" i="17" s="1"/>
  <c r="Y182" i="17"/>
  <c r="Q182" i="17" s="1"/>
  <c r="W182" i="17" s="1"/>
  <c r="Y183" i="17"/>
  <c r="Q183" i="17" s="1"/>
  <c r="W183" i="17" s="1"/>
  <c r="Y260" i="17"/>
  <c r="Q260" i="17" s="1"/>
  <c r="W260" i="17" s="1"/>
  <c r="Y277" i="17"/>
  <c r="Q277" i="17" s="1"/>
  <c r="W277" i="17" s="1"/>
  <c r="Y328" i="17"/>
  <c r="Q328" i="17" s="1"/>
  <c r="W328" i="17" s="1"/>
  <c r="Y362" i="17"/>
  <c r="Q362" i="17" s="1"/>
  <c r="W362" i="17" s="1"/>
  <c r="Y464" i="17"/>
  <c r="Q464" i="17" s="1"/>
  <c r="W464" i="17" s="1"/>
  <c r="Y385" i="17"/>
  <c r="Q385" i="17" s="1"/>
  <c r="W385" i="17" s="1"/>
  <c r="Y387" i="17"/>
  <c r="Q387" i="17" s="1"/>
  <c r="W387" i="17" s="1"/>
  <c r="Y617" i="17"/>
  <c r="Q617" i="17" s="1"/>
  <c r="W617" i="17" s="1"/>
  <c r="Y634" i="17"/>
  <c r="Q634" i="17" s="1"/>
  <c r="W634" i="17" s="1"/>
  <c r="Y651" i="17"/>
  <c r="Q651" i="17" s="1"/>
  <c r="W651" i="17" s="1"/>
  <c r="Y702" i="17"/>
  <c r="Q702" i="17" s="1"/>
  <c r="W702" i="17" s="1"/>
  <c r="Y756" i="17"/>
  <c r="Q756" i="17" s="1"/>
  <c r="W756" i="17" s="1"/>
  <c r="Y773" i="17"/>
  <c r="Q773" i="17" s="1"/>
  <c r="W773" i="17" s="1"/>
  <c r="Y807" i="17"/>
  <c r="Q807" i="17" s="1"/>
  <c r="W807" i="17" s="1"/>
  <c r="Y841" i="17"/>
  <c r="Q841" i="17" s="1"/>
  <c r="W841" i="17" s="1"/>
  <c r="Y858" i="17"/>
  <c r="Q858" i="17" s="1"/>
  <c r="W858" i="17" s="1"/>
  <c r="Y909" i="17"/>
  <c r="Q909" i="17" s="1"/>
  <c r="W909" i="17" s="1"/>
  <c r="Y926" i="17"/>
  <c r="Q926" i="17" s="1"/>
  <c r="W926" i="17" s="1"/>
  <c r="Y514" i="17"/>
  <c r="Q514" i="17" s="1"/>
  <c r="W514" i="17" s="1"/>
  <c r="Y515" i="17"/>
  <c r="Q515" i="17" s="1"/>
  <c r="W515" i="17" s="1"/>
  <c r="Y518" i="17"/>
  <c r="Q518" i="17" s="1"/>
  <c r="W518" i="17" s="1"/>
  <c r="Y27" i="17"/>
  <c r="Q27" i="17" s="1"/>
  <c r="W27" i="17" s="1"/>
  <c r="Y29" i="17"/>
  <c r="Q29" i="17" s="1"/>
  <c r="W29" i="17" s="1"/>
  <c r="Y30" i="17"/>
  <c r="Q30" i="17" s="1"/>
  <c r="W30" i="17" s="1"/>
  <c r="Y31" i="17"/>
  <c r="Q31" i="17" s="1"/>
  <c r="W31" i="17" s="1"/>
  <c r="Y125" i="17"/>
  <c r="Q125" i="17" s="1"/>
  <c r="W125" i="17" s="1"/>
  <c r="Y185" i="17"/>
  <c r="Q185" i="17" s="1"/>
  <c r="W185" i="17" s="1"/>
  <c r="Y227" i="17"/>
  <c r="Q227" i="17" s="1"/>
  <c r="W227" i="17" s="1"/>
  <c r="Y244" i="17"/>
  <c r="Q244" i="17" s="1"/>
  <c r="W244" i="17" s="1"/>
  <c r="Y261" i="17"/>
  <c r="Q261" i="17" s="1"/>
  <c r="W261" i="17" s="1"/>
  <c r="Y329" i="17"/>
  <c r="Q329" i="17" s="1"/>
  <c r="W329" i="17" s="1"/>
  <c r="Y346" i="17"/>
  <c r="Q346" i="17" s="1"/>
  <c r="W346" i="17" s="1"/>
  <c r="Y448" i="17"/>
  <c r="Q448" i="17" s="1"/>
  <c r="W448" i="17" s="1"/>
  <c r="Y465" i="17"/>
  <c r="Q465" i="17" s="1"/>
  <c r="W465" i="17" s="1"/>
  <c r="Y390" i="17"/>
  <c r="Q390" i="17" s="1"/>
  <c r="W390" i="17" s="1"/>
  <c r="Y431" i="17"/>
  <c r="Q431" i="17" s="1"/>
  <c r="W431" i="17" s="1"/>
  <c r="Y601" i="17"/>
  <c r="Q601" i="17" s="1"/>
  <c r="W601" i="17" s="1"/>
  <c r="Y618" i="17"/>
  <c r="Q618" i="17" s="1"/>
  <c r="W618" i="17" s="1"/>
  <c r="Y635" i="17"/>
  <c r="Q635" i="17" s="1"/>
  <c r="W635" i="17" s="1"/>
  <c r="Y669" i="17"/>
  <c r="Q669" i="17" s="1"/>
  <c r="W669" i="17" s="1"/>
  <c r="Y703" i="17"/>
  <c r="Q703" i="17" s="1"/>
  <c r="W703" i="17" s="1"/>
  <c r="Y731" i="17"/>
  <c r="Q731" i="17" s="1"/>
  <c r="W731" i="17" s="1"/>
  <c r="Y740" i="17"/>
  <c r="Q740" i="17" s="1"/>
  <c r="W740" i="17" s="1"/>
  <c r="Y757" i="17"/>
  <c r="Q757" i="17" s="1"/>
  <c r="W757" i="17" s="1"/>
  <c r="Y774" i="17"/>
  <c r="Q774" i="17" s="1"/>
  <c r="W774" i="17" s="1"/>
  <c r="Y808" i="17"/>
  <c r="Q808" i="17" s="1"/>
  <c r="W808" i="17" s="1"/>
  <c r="Y825" i="17"/>
  <c r="Q825" i="17" s="1"/>
  <c r="W825" i="17" s="1"/>
  <c r="Y842" i="17"/>
  <c r="Q842" i="17" s="1"/>
  <c r="W842" i="17" s="1"/>
  <c r="Y876" i="17"/>
  <c r="Q876" i="17" s="1"/>
  <c r="W876" i="17" s="1"/>
  <c r="Y893" i="17"/>
  <c r="Q893" i="17" s="1"/>
  <c r="W893" i="17" s="1"/>
  <c r="Y910" i="17"/>
  <c r="Q910" i="17" s="1"/>
  <c r="W910" i="17" s="1"/>
  <c r="Y519" i="17"/>
  <c r="Q519" i="17" s="1"/>
  <c r="W519" i="17" s="1"/>
  <c r="Y521" i="17"/>
  <c r="Q521" i="17" s="1"/>
  <c r="W521" i="17" s="1"/>
  <c r="Y522" i="17"/>
  <c r="Q522" i="17" s="1"/>
  <c r="W522" i="17" s="1"/>
  <c r="Y523" i="17"/>
  <c r="Q523" i="17" s="1"/>
  <c r="W523" i="17" s="1"/>
  <c r="Y524" i="17"/>
  <c r="Q524" i="17" s="1"/>
  <c r="W524" i="17" s="1"/>
  <c r="Y34" i="17"/>
  <c r="Q34" i="17" s="1"/>
  <c r="W34" i="17" s="1"/>
  <c r="Y37" i="17"/>
  <c r="Q37" i="17" s="1"/>
  <c r="W37" i="17" s="1"/>
  <c r="Y109" i="17"/>
  <c r="Q109" i="17" s="1"/>
  <c r="W109" i="17" s="1"/>
  <c r="Y126" i="17"/>
  <c r="Q126" i="17" s="1"/>
  <c r="W126" i="17" s="1"/>
  <c r="Y143" i="17"/>
  <c r="Q143" i="17" s="1"/>
  <c r="W143" i="17" s="1"/>
  <c r="Y187" i="17"/>
  <c r="Q187" i="17" s="1"/>
  <c r="W187" i="17" s="1"/>
  <c r="Y188" i="17"/>
  <c r="Q188" i="17" s="1"/>
  <c r="W188" i="17" s="1"/>
  <c r="Y189" i="17"/>
  <c r="Q189" i="17" s="1"/>
  <c r="W189" i="17" s="1"/>
  <c r="Y228" i="17"/>
  <c r="Q228" i="17" s="1"/>
  <c r="W228" i="17" s="1"/>
  <c r="Y245" i="17"/>
  <c r="Q245" i="17" s="1"/>
  <c r="W245" i="17" s="1"/>
  <c r="Y262" i="17"/>
  <c r="Q262" i="17" s="1"/>
  <c r="W262" i="17" s="1"/>
  <c r="Y296" i="17"/>
  <c r="Q296" i="17" s="1"/>
  <c r="W296" i="17" s="1"/>
  <c r="Y313" i="17"/>
  <c r="Q313" i="17" s="1"/>
  <c r="W313" i="17" s="1"/>
  <c r="Y330" i="17"/>
  <c r="Q330" i="17" s="1"/>
  <c r="W330" i="17" s="1"/>
  <c r="Y364" i="17"/>
  <c r="Q364" i="17" s="1"/>
  <c r="W364" i="17" s="1"/>
  <c r="Y449" i="17"/>
  <c r="Q449" i="17" s="1"/>
  <c r="W449" i="17" s="1"/>
  <c r="Y466" i="17"/>
  <c r="Q466" i="17" s="1"/>
  <c r="W466" i="17" s="1"/>
  <c r="Y392" i="17"/>
  <c r="Q392" i="17" s="1"/>
  <c r="W392" i="17" s="1"/>
  <c r="Y432" i="17"/>
  <c r="Q432" i="17" s="1"/>
  <c r="W432" i="17" s="1"/>
  <c r="Y602" i="17"/>
  <c r="Q602" i="17" s="1"/>
  <c r="W602" i="17" s="1"/>
  <c r="Y619" i="17"/>
  <c r="Q619" i="17" s="1"/>
  <c r="W619" i="17" s="1"/>
  <c r="Y636" i="17"/>
  <c r="Q636" i="17" s="1"/>
  <c r="W636" i="17" s="1"/>
  <c r="Y687" i="17"/>
  <c r="Q687" i="17" s="1"/>
  <c r="W687" i="17" s="1"/>
  <c r="Y704" i="17"/>
  <c r="Q704" i="17" s="1"/>
  <c r="W704" i="17" s="1"/>
  <c r="Y741" i="17"/>
  <c r="Q741" i="17" s="1"/>
  <c r="W741" i="17" s="1"/>
  <c r="Y758" i="17"/>
  <c r="Q758" i="17" s="1"/>
  <c r="W758" i="17" s="1"/>
  <c r="Y775" i="17"/>
  <c r="Q775" i="17" s="1"/>
  <c r="W775" i="17" s="1"/>
  <c r="Y792" i="17"/>
  <c r="Q792" i="17" s="1"/>
  <c r="W792" i="17" s="1"/>
  <c r="Y826" i="17"/>
  <c r="Q826" i="17" s="1"/>
  <c r="W826" i="17" s="1"/>
  <c r="Y843" i="17"/>
  <c r="Q843" i="17" s="1"/>
  <c r="W843" i="17" s="1"/>
  <c r="Y860" i="17"/>
  <c r="Q860" i="17" s="1"/>
  <c r="W860" i="17" s="1"/>
  <c r="Y877" i="17"/>
  <c r="Q877" i="17" s="1"/>
  <c r="W877" i="17" s="1"/>
  <c r="Y894" i="17"/>
  <c r="Q894" i="17" s="1"/>
  <c r="W894" i="17" s="1"/>
  <c r="Y911" i="17"/>
  <c r="Q911" i="17" s="1"/>
  <c r="W911" i="17" s="1"/>
  <c r="Y945" i="17"/>
  <c r="Q945" i="17" s="1"/>
  <c r="W945" i="17" s="1"/>
  <c r="Y525" i="17"/>
  <c r="Q525" i="17" s="1"/>
  <c r="W525" i="17" s="1"/>
  <c r="Y526" i="17"/>
  <c r="Q526" i="17" s="1"/>
  <c r="W526" i="17" s="1"/>
  <c r="Y528" i="17"/>
  <c r="Q528" i="17" s="1"/>
  <c r="W528" i="17" s="1"/>
  <c r="Y529" i="17"/>
  <c r="Q529" i="17" s="1"/>
  <c r="W529" i="17" s="1"/>
  <c r="Y530" i="17"/>
  <c r="Q530" i="17" s="1"/>
  <c r="W530" i="17" s="1"/>
  <c r="Y40" i="17"/>
  <c r="Q40" i="17" s="1"/>
  <c r="W40" i="17" s="1"/>
  <c r="Y43" i="17"/>
  <c r="Q43" i="17" s="1"/>
  <c r="W43" i="17" s="1"/>
  <c r="Y110" i="17"/>
  <c r="Q110" i="17" s="1"/>
  <c r="W110" i="17" s="1"/>
  <c r="Y190" i="17"/>
  <c r="Q190" i="17" s="1"/>
  <c r="W190" i="17" s="1"/>
  <c r="Y191" i="17"/>
  <c r="Q191" i="17" s="1"/>
  <c r="W191" i="17" s="1"/>
  <c r="Y229" i="17"/>
  <c r="Q229" i="17" s="1"/>
  <c r="W229" i="17" s="1"/>
  <c r="Y246" i="17"/>
  <c r="Q246" i="17" s="1"/>
  <c r="W246" i="17" s="1"/>
  <c r="Y263" i="17"/>
  <c r="Q263" i="17" s="1"/>
  <c r="W263" i="17" s="1"/>
  <c r="Y280" i="17"/>
  <c r="Q280" i="17" s="1"/>
  <c r="W280" i="17" s="1"/>
  <c r="Y314" i="17"/>
  <c r="Q314" i="17" s="1"/>
  <c r="W314" i="17" s="1"/>
  <c r="Y331" i="17"/>
  <c r="Q331" i="17" s="1"/>
  <c r="W331" i="17" s="1"/>
  <c r="Y348" i="17"/>
  <c r="Q348" i="17" s="1"/>
  <c r="W348" i="17" s="1"/>
  <c r="Y365" i="17"/>
  <c r="Q365" i="17" s="1"/>
  <c r="W365" i="17" s="1"/>
  <c r="Y450" i="17"/>
  <c r="Q450" i="17" s="1"/>
  <c r="W450" i="17" s="1"/>
  <c r="Y467" i="17"/>
  <c r="Q467" i="17" s="1"/>
  <c r="W467" i="17" s="1"/>
  <c r="Y394" i="17"/>
  <c r="Q394" i="17" s="1"/>
  <c r="W394" i="17" s="1"/>
  <c r="Y395" i="17"/>
  <c r="Q395" i="17" s="1"/>
  <c r="W395" i="17" s="1"/>
  <c r="Y433" i="17"/>
  <c r="Q433" i="17" s="1"/>
  <c r="W433" i="17" s="1"/>
  <c r="Y620" i="17"/>
  <c r="Q620" i="17" s="1"/>
  <c r="W620" i="17" s="1"/>
  <c r="Y637" i="17"/>
  <c r="Q637" i="17" s="1"/>
  <c r="W637" i="17" s="1"/>
  <c r="Y688" i="17"/>
  <c r="Q688" i="17" s="1"/>
  <c r="W688" i="17" s="1"/>
  <c r="Y721" i="17"/>
  <c r="Q721" i="17" s="1"/>
  <c r="W721" i="17" s="1"/>
  <c r="Y742" i="17"/>
  <c r="Q742" i="17" s="1"/>
  <c r="W742" i="17" s="1"/>
  <c r="Y759" i="17"/>
  <c r="Q759" i="17" s="1"/>
  <c r="W759" i="17" s="1"/>
  <c r="Y810" i="17"/>
  <c r="Q810" i="17" s="1"/>
  <c r="W810" i="17" s="1"/>
  <c r="Y861" i="17"/>
  <c r="Q861" i="17" s="1"/>
  <c r="W861" i="17" s="1"/>
  <c r="Y878" i="17"/>
  <c r="Q878" i="17" s="1"/>
  <c r="W878" i="17" s="1"/>
  <c r="Y895" i="17"/>
  <c r="Q895" i="17" s="1"/>
  <c r="W895" i="17" s="1"/>
  <c r="Y946" i="17"/>
  <c r="Q946" i="17" s="1"/>
  <c r="W946" i="17" s="1"/>
  <c r="Y531" i="17"/>
  <c r="Q531" i="17" s="1"/>
  <c r="W531" i="17" s="1"/>
  <c r="Y532" i="17"/>
  <c r="Q532" i="17" s="1"/>
  <c r="W532" i="17" s="1"/>
  <c r="Y533" i="17"/>
  <c r="Q533" i="17" s="1"/>
  <c r="W533" i="17" s="1"/>
  <c r="Y534" i="17"/>
  <c r="Q534" i="17" s="1"/>
  <c r="W534" i="17" s="1"/>
  <c r="Y535" i="17"/>
  <c r="Q535" i="17" s="1"/>
  <c r="W535" i="17" s="1"/>
  <c r="Y44" i="17"/>
  <c r="Q44" i="17" s="1"/>
  <c r="W44" i="17" s="1"/>
  <c r="Y45" i="17"/>
  <c r="Q45" i="17" s="1"/>
  <c r="W45" i="17" s="1"/>
  <c r="Y46" i="17"/>
  <c r="Q46" i="17" s="1"/>
  <c r="W46" i="17" s="1"/>
  <c r="Y47" i="17"/>
  <c r="Q47" i="17" s="1"/>
  <c r="W47" i="17" s="1"/>
  <c r="Y49" i="17"/>
  <c r="Q49" i="17" s="1"/>
  <c r="W49" i="17" s="1"/>
  <c r="Y111" i="17"/>
  <c r="Q111" i="17" s="1"/>
  <c r="W111" i="17" s="1"/>
  <c r="Y162" i="17"/>
  <c r="Q162" i="17" s="1"/>
  <c r="W162" i="17" s="1"/>
  <c r="Y195" i="17"/>
  <c r="Q195" i="17" s="1"/>
  <c r="W195" i="17" s="1"/>
  <c r="Y230" i="17"/>
  <c r="Q230" i="17" s="1"/>
  <c r="W230" i="17" s="1"/>
  <c r="Y247" i="17"/>
  <c r="Q247" i="17" s="1"/>
  <c r="W247" i="17" s="1"/>
  <c r="Y298" i="17"/>
  <c r="Q298" i="17" s="1"/>
  <c r="W298" i="17" s="1"/>
  <c r="Y315" i="17"/>
  <c r="Q315" i="17" s="1"/>
  <c r="W315" i="17" s="1"/>
  <c r="Y349" i="17"/>
  <c r="Q349" i="17" s="1"/>
  <c r="W349" i="17" s="1"/>
  <c r="Y366" i="17"/>
  <c r="Q366" i="17" s="1"/>
  <c r="W366" i="17" s="1"/>
  <c r="Y451" i="17"/>
  <c r="Q451" i="17" s="1"/>
  <c r="W451" i="17" s="1"/>
  <c r="Y468" i="17"/>
  <c r="Q468" i="17" s="1"/>
  <c r="W468" i="17" s="1"/>
  <c r="Y397" i="17"/>
  <c r="Q397" i="17" s="1"/>
  <c r="W397" i="17" s="1"/>
  <c r="Y434" i="17"/>
  <c r="Q434" i="17" s="1"/>
  <c r="W434" i="17" s="1"/>
  <c r="Y604" i="17"/>
  <c r="Q604" i="17" s="1"/>
  <c r="W604" i="17" s="1"/>
  <c r="Y621" i="17"/>
  <c r="Q621" i="17" s="1"/>
  <c r="W621" i="17" s="1"/>
  <c r="Y655" i="17"/>
  <c r="Q655" i="17" s="1"/>
  <c r="W655" i="17" s="1"/>
  <c r="Y672" i="17"/>
  <c r="Q672" i="17" s="1"/>
  <c r="W672" i="17" s="1"/>
  <c r="Y722" i="17"/>
  <c r="Q722" i="17" s="1"/>
  <c r="W722" i="17" s="1"/>
  <c r="Y733" i="17"/>
  <c r="Q733" i="17" s="1"/>
  <c r="W733" i="17" s="1"/>
  <c r="Y743" i="17"/>
  <c r="Q743" i="17" s="1"/>
  <c r="W743" i="17" s="1"/>
  <c r="Y794" i="17"/>
  <c r="Q794" i="17" s="1"/>
  <c r="W794" i="17" s="1"/>
  <c r="Y828" i="17"/>
  <c r="Q828" i="17" s="1"/>
  <c r="W828" i="17" s="1"/>
  <c r="Y845" i="17"/>
  <c r="Q845" i="17" s="1"/>
  <c r="W845" i="17" s="1"/>
  <c r="Y862" i="17"/>
  <c r="Q862" i="17" s="1"/>
  <c r="W862" i="17" s="1"/>
  <c r="Y879" i="17"/>
  <c r="Q879" i="17" s="1"/>
  <c r="W879" i="17" s="1"/>
  <c r="Y930" i="17"/>
  <c r="Q930" i="17" s="1"/>
  <c r="W930" i="17" s="1"/>
  <c r="Y947" i="17"/>
  <c r="Q947" i="17" s="1"/>
  <c r="W947" i="17" s="1"/>
  <c r="Y538" i="17"/>
  <c r="Q538" i="17" s="1"/>
  <c r="W538" i="17" s="1"/>
  <c r="Y539" i="17"/>
  <c r="Q539" i="17" s="1"/>
  <c r="W539" i="17" s="1"/>
  <c r="Y540" i="17"/>
  <c r="Q540" i="17" s="1"/>
  <c r="W540" i="17" s="1"/>
  <c r="Y541" i="17"/>
  <c r="Q541" i="17" s="1"/>
  <c r="W541" i="17" s="1"/>
  <c r="Y50" i="17"/>
  <c r="Q50" i="17" s="1"/>
  <c r="W50" i="17" s="1"/>
  <c r="Y52" i="17"/>
  <c r="Q52" i="17" s="1"/>
  <c r="W52" i="17" s="1"/>
  <c r="Y54" i="17"/>
  <c r="Q54" i="17" s="1"/>
  <c r="W54" i="17" s="1"/>
  <c r="Y55" i="17"/>
  <c r="Q55" i="17" s="1"/>
  <c r="W55" i="17" s="1"/>
  <c r="Y129" i="17"/>
  <c r="Q129" i="17" s="1"/>
  <c r="W129" i="17" s="1"/>
  <c r="Y146" i="17"/>
  <c r="Q146" i="17" s="1"/>
  <c r="W146" i="17" s="1"/>
  <c r="Y196" i="17"/>
  <c r="Q196" i="17" s="1"/>
  <c r="W196" i="17" s="1"/>
  <c r="Y197" i="17"/>
  <c r="Q197" i="17" s="1"/>
  <c r="W197" i="17" s="1"/>
  <c r="Y198" i="17"/>
  <c r="Q198" i="17" s="1"/>
  <c r="W198" i="17" s="1"/>
  <c r="Y231" i="17"/>
  <c r="Q231" i="17" s="1"/>
  <c r="W231" i="17" s="1"/>
  <c r="Y282" i="17"/>
  <c r="Q282" i="17" s="1"/>
  <c r="W282" i="17" s="1"/>
  <c r="Y299" i="17"/>
  <c r="Q299" i="17" s="1"/>
  <c r="W299" i="17" s="1"/>
  <c r="Y316" i="17"/>
  <c r="Q316" i="17" s="1"/>
  <c r="W316" i="17" s="1"/>
  <c r="Y333" i="17"/>
  <c r="Q333" i="17" s="1"/>
  <c r="W333" i="17" s="1"/>
  <c r="Y350" i="17"/>
  <c r="Q350" i="17" s="1"/>
  <c r="W350" i="17" s="1"/>
  <c r="Y367" i="17"/>
  <c r="Q367" i="17" s="1"/>
  <c r="W367" i="17" s="1"/>
  <c r="Y486" i="17"/>
  <c r="Q486" i="17" s="1"/>
  <c r="W486" i="17" s="1"/>
  <c r="Y401" i="17"/>
  <c r="Q401" i="17" s="1"/>
  <c r="W401" i="17" s="1"/>
  <c r="Y402" i="17"/>
  <c r="Q402" i="17" s="1"/>
  <c r="W402" i="17" s="1"/>
  <c r="Y435" i="17"/>
  <c r="Q435" i="17" s="1"/>
  <c r="W435" i="17" s="1"/>
  <c r="Y605" i="17"/>
  <c r="Q605" i="17" s="1"/>
  <c r="W605" i="17" s="1"/>
  <c r="Y656" i="17"/>
  <c r="Q656" i="17" s="1"/>
  <c r="W656" i="17" s="1"/>
  <c r="Y690" i="17"/>
  <c r="Q690" i="17" s="1"/>
  <c r="W690" i="17" s="1"/>
  <c r="Y707" i="17"/>
  <c r="Q707" i="17" s="1"/>
  <c r="W707" i="17" s="1"/>
  <c r="Y744" i="17"/>
  <c r="Q744" i="17" s="1"/>
  <c r="W744" i="17" s="1"/>
  <c r="Y761" i="17"/>
  <c r="Q761" i="17" s="1"/>
  <c r="W761" i="17" s="1"/>
  <c r="Y795" i="17"/>
  <c r="Q795" i="17" s="1"/>
  <c r="W795" i="17" s="1"/>
  <c r="Y812" i="17"/>
  <c r="Q812" i="17" s="1"/>
  <c r="W812" i="17" s="1"/>
  <c r="Y829" i="17"/>
  <c r="Q829" i="17" s="1"/>
  <c r="W829" i="17" s="1"/>
  <c r="Y846" i="17"/>
  <c r="Q846" i="17" s="1"/>
  <c r="W846" i="17" s="1"/>
  <c r="Y863" i="17"/>
  <c r="Q863" i="17" s="1"/>
  <c r="W863" i="17" s="1"/>
  <c r="Y880" i="17"/>
  <c r="Q880" i="17" s="1"/>
  <c r="W880" i="17" s="1"/>
  <c r="Y897" i="17"/>
  <c r="Q897" i="17" s="1"/>
  <c r="W897" i="17" s="1"/>
  <c r="Y948" i="17"/>
  <c r="Q948" i="17" s="1"/>
  <c r="W948" i="17" s="1"/>
  <c r="Y543" i="17"/>
  <c r="Q543" i="17" s="1"/>
  <c r="W543" i="17" s="1"/>
  <c r="Y544" i="17"/>
  <c r="Q544" i="17" s="1"/>
  <c r="W544" i="17" s="1"/>
  <c r="Y545" i="17"/>
  <c r="Q545" i="17" s="1"/>
  <c r="W545" i="17" s="1"/>
  <c r="Y546" i="17"/>
  <c r="Q546" i="17" s="1"/>
  <c r="W546" i="17" s="1"/>
  <c r="Y547" i="17"/>
  <c r="Q547" i="17" s="1"/>
  <c r="W547" i="17" s="1"/>
  <c r="Y57" i="17"/>
  <c r="Q57" i="17" s="1"/>
  <c r="W57" i="17" s="1"/>
  <c r="Y58" i="17"/>
  <c r="Q58" i="17" s="1"/>
  <c r="W58" i="17" s="1"/>
  <c r="Y59" i="17"/>
  <c r="Q59" i="17" s="1"/>
  <c r="W59" i="17" s="1"/>
  <c r="Y61" i="17"/>
  <c r="Q61" i="17" s="1"/>
  <c r="W61" i="17" s="1"/>
  <c r="Y113" i="17"/>
  <c r="Q113" i="17" s="1"/>
  <c r="W113" i="17" s="1"/>
  <c r="Y130" i="17"/>
  <c r="Q130" i="17" s="1"/>
  <c r="W130" i="17" s="1"/>
  <c r="Y164" i="17"/>
  <c r="Q164" i="17" s="1"/>
  <c r="W164" i="17" s="1"/>
  <c r="Y232" i="17"/>
  <c r="Q232" i="17" s="1"/>
  <c r="W232" i="17" s="1"/>
  <c r="Y249" i="17"/>
  <c r="Q249" i="17" s="1"/>
  <c r="W249" i="17" s="1"/>
  <c r="Y283" i="17"/>
  <c r="Q283" i="17" s="1"/>
  <c r="W283" i="17" s="1"/>
  <c r="Y300" i="17"/>
  <c r="Q300" i="17" s="1"/>
  <c r="W300" i="17" s="1"/>
  <c r="Y334" i="17"/>
  <c r="Q334" i="17" s="1"/>
  <c r="W334" i="17" s="1"/>
  <c r="Y351" i="17"/>
  <c r="Q351" i="17" s="1"/>
  <c r="W351" i="17" s="1"/>
  <c r="Y368" i="17"/>
  <c r="Q368" i="17" s="1"/>
  <c r="W368" i="17" s="1"/>
  <c r="Y453" i="17"/>
  <c r="Q453" i="17" s="1"/>
  <c r="W453" i="17" s="1"/>
  <c r="Y403" i="17"/>
  <c r="Q403" i="17" s="1"/>
  <c r="W403" i="17" s="1"/>
  <c r="Y404" i="17"/>
  <c r="Q404" i="17" s="1"/>
  <c r="W404" i="17" s="1"/>
  <c r="Y405" i="17"/>
  <c r="Q405" i="17" s="1"/>
  <c r="W405" i="17" s="1"/>
  <c r="Y436" i="17"/>
  <c r="Q436" i="17" s="1"/>
  <c r="W436" i="17" s="1"/>
  <c r="Y606" i="17"/>
  <c r="Q606" i="17" s="1"/>
  <c r="W606" i="17" s="1"/>
  <c r="Y623" i="17"/>
  <c r="Q623" i="17" s="1"/>
  <c r="W623" i="17" s="1"/>
  <c r="Y674" i="17"/>
  <c r="Q674" i="17" s="1"/>
  <c r="W674" i="17" s="1"/>
  <c r="Y708" i="17"/>
  <c r="Q708" i="17" s="1"/>
  <c r="W708" i="17" s="1"/>
  <c r="Y745" i="17"/>
  <c r="Q745" i="17" s="1"/>
  <c r="W745" i="17" s="1"/>
  <c r="Y762" i="17"/>
  <c r="Q762" i="17" s="1"/>
  <c r="W762" i="17" s="1"/>
  <c r="Y779" i="17"/>
  <c r="Q779" i="17" s="1"/>
  <c r="W779" i="17" s="1"/>
  <c r="Y830" i="17"/>
  <c r="Q830" i="17" s="1"/>
  <c r="W830" i="17" s="1"/>
  <c r="Y864" i="17"/>
  <c r="Q864" i="17" s="1"/>
  <c r="W864" i="17" s="1"/>
  <c r="Y881" i="17"/>
  <c r="Q881" i="17" s="1"/>
  <c r="W881" i="17" s="1"/>
  <c r="Y898" i="17"/>
  <c r="Q898" i="17" s="1"/>
  <c r="W898" i="17" s="1"/>
  <c r="Y915" i="17"/>
  <c r="Q915" i="17" s="1"/>
  <c r="W915" i="17" s="1"/>
  <c r="Y949" i="17"/>
  <c r="Q949" i="17" s="1"/>
  <c r="W949" i="17" s="1"/>
  <c r="Y549" i="17"/>
  <c r="Q549" i="17" s="1"/>
  <c r="W549" i="17" s="1"/>
  <c r="Y550" i="17"/>
  <c r="Q550" i="17" s="1"/>
  <c r="W550" i="17" s="1"/>
  <c r="Y551" i="17"/>
  <c r="Q551" i="17" s="1"/>
  <c r="W551" i="17" s="1"/>
  <c r="Y552" i="17"/>
  <c r="Q552" i="17" s="1"/>
  <c r="W552" i="17" s="1"/>
  <c r="Y553" i="17"/>
  <c r="Q553" i="17" s="1"/>
  <c r="W553" i="17" s="1"/>
  <c r="Y554" i="17"/>
  <c r="Q554" i="17" s="1"/>
  <c r="W554" i="17" s="1"/>
  <c r="Y64" i="17"/>
  <c r="Q64" i="17" s="1"/>
  <c r="W64" i="17" s="1"/>
  <c r="Y65" i="17"/>
  <c r="Q65" i="17" s="1"/>
  <c r="W65" i="17" s="1"/>
  <c r="Y67" i="17"/>
  <c r="Q67" i="17" s="1"/>
  <c r="W67" i="17" s="1"/>
  <c r="Y114" i="17"/>
  <c r="Q114" i="17" s="1"/>
  <c r="W114" i="17" s="1"/>
  <c r="Y131" i="17"/>
  <c r="Q131" i="17" s="1"/>
  <c r="W131" i="17" s="1"/>
  <c r="Y202" i="17"/>
  <c r="Q202" i="17" s="1"/>
  <c r="W202" i="17" s="1"/>
  <c r="Y203" i="17"/>
  <c r="Q203" i="17" s="1"/>
  <c r="W203" i="17" s="1"/>
  <c r="Y204" i="17"/>
  <c r="Q204" i="17" s="1"/>
  <c r="W204" i="17" s="1"/>
  <c r="Y250" i="17"/>
  <c r="Q250" i="17" s="1"/>
  <c r="W250" i="17" s="1"/>
  <c r="Y267" i="17"/>
  <c r="Q267" i="17" s="1"/>
  <c r="W267" i="17" s="1"/>
  <c r="Y284" i="17"/>
  <c r="Q284" i="17" s="1"/>
  <c r="W284" i="17" s="1"/>
  <c r="Y318" i="17"/>
  <c r="Q318" i="17" s="1"/>
  <c r="W318" i="17" s="1"/>
  <c r="Y454" i="17"/>
  <c r="Q454" i="17" s="1"/>
  <c r="W454" i="17" s="1"/>
  <c r="Y471" i="17"/>
  <c r="Q471" i="17" s="1"/>
  <c r="W471" i="17" s="1"/>
  <c r="Y407" i="17"/>
  <c r="Q407" i="17" s="1"/>
  <c r="W407" i="17" s="1"/>
  <c r="Y437" i="17"/>
  <c r="Q437" i="17" s="1"/>
  <c r="W437" i="17" s="1"/>
  <c r="Y607" i="17"/>
  <c r="Q607" i="17" s="1"/>
  <c r="W607" i="17" s="1"/>
  <c r="Y624" i="17"/>
  <c r="Q624" i="17" s="1"/>
  <c r="W624" i="17" s="1"/>
  <c r="Y641" i="17"/>
  <c r="Q641" i="17" s="1"/>
  <c r="W641" i="17" s="1"/>
  <c r="Y692" i="17"/>
  <c r="Q692" i="17" s="1"/>
  <c r="W692" i="17" s="1"/>
  <c r="Y709" i="17"/>
  <c r="Q709" i="17" s="1"/>
  <c r="W709" i="17" s="1"/>
  <c r="Y723" i="17"/>
  <c r="Q723" i="17" s="1"/>
  <c r="W723" i="17" s="1"/>
  <c r="Y734" i="17"/>
  <c r="Q734" i="17" s="1"/>
  <c r="W734" i="17" s="1"/>
  <c r="Y746" i="17"/>
  <c r="Q746" i="17" s="1"/>
  <c r="W746" i="17" s="1"/>
  <c r="Y814" i="17"/>
  <c r="Q814" i="17" s="1"/>
  <c r="W814" i="17" s="1"/>
  <c r="Y831" i="17"/>
  <c r="Q831" i="17" s="1"/>
  <c r="W831" i="17" s="1"/>
  <c r="Y848" i="17"/>
  <c r="Q848" i="17" s="1"/>
  <c r="W848" i="17" s="1"/>
  <c r="Y882" i="17"/>
  <c r="Q882" i="17" s="1"/>
  <c r="W882" i="17" s="1"/>
  <c r="Y899" i="17"/>
  <c r="Q899" i="17" s="1"/>
  <c r="W899" i="17" s="1"/>
  <c r="Y916" i="17"/>
  <c r="Q916" i="17" s="1"/>
  <c r="W916" i="17" s="1"/>
  <c r="Y950" i="17"/>
  <c r="Q950" i="17" s="1"/>
  <c r="W950" i="17" s="1"/>
  <c r="Y556" i="17"/>
  <c r="Q556" i="17" s="1"/>
  <c r="W556" i="17" s="1"/>
  <c r="Y557" i="17"/>
  <c r="Q557" i="17" s="1"/>
  <c r="W557" i="17" s="1"/>
  <c r="Y558" i="17"/>
  <c r="Q558" i="17" s="1"/>
  <c r="W558" i="17" s="1"/>
  <c r="Y559" i="17"/>
  <c r="Q559" i="17" s="1"/>
  <c r="W559" i="17" s="1"/>
  <c r="Y68" i="17"/>
  <c r="Q68" i="17" s="1"/>
  <c r="W68" i="17" s="1"/>
  <c r="Y69" i="17"/>
  <c r="Q69" i="17" s="1"/>
  <c r="W69" i="17" s="1"/>
  <c r="Y70" i="17"/>
  <c r="Q70" i="17" s="1"/>
  <c r="W70" i="17" s="1"/>
  <c r="Y71" i="17"/>
  <c r="Q71" i="17" s="1"/>
  <c r="W71" i="17" s="1"/>
  <c r="Y72" i="17"/>
  <c r="Q72" i="17" s="1"/>
  <c r="W72" i="17" s="1"/>
  <c r="Y73" i="17"/>
  <c r="Q73" i="17" s="1"/>
  <c r="W73" i="17" s="1"/>
  <c r="Y115" i="17"/>
  <c r="Q115" i="17" s="1"/>
  <c r="W115" i="17" s="1"/>
  <c r="Y166" i="17"/>
  <c r="Q166" i="17" s="1"/>
  <c r="W166" i="17" s="1"/>
  <c r="Y207" i="17"/>
  <c r="Q207" i="17" s="1"/>
  <c r="W207" i="17" s="1"/>
  <c r="Y234" i="17"/>
  <c r="Q234" i="17" s="1"/>
  <c r="W234" i="17" s="1"/>
  <c r="Y251" i="17"/>
  <c r="Q251" i="17" s="1"/>
  <c r="W251" i="17" s="1"/>
  <c r="Y302" i="17"/>
  <c r="Q302" i="17" s="1"/>
  <c r="W302" i="17" s="1"/>
  <c r="Y336" i="17"/>
  <c r="Q336" i="17" s="1"/>
  <c r="W336" i="17" s="1"/>
  <c r="Y353" i="17"/>
  <c r="Q353" i="17" s="1"/>
  <c r="W353" i="17" s="1"/>
  <c r="Y370" i="17"/>
  <c r="Q370" i="17" s="1"/>
  <c r="W370" i="17" s="1"/>
  <c r="Y455" i="17"/>
  <c r="Q455" i="17" s="1"/>
  <c r="W455" i="17" s="1"/>
  <c r="Y409" i="17"/>
  <c r="Q409" i="17" s="1"/>
  <c r="W409" i="17" s="1"/>
  <c r="Y411" i="17"/>
  <c r="Q411" i="17" s="1"/>
  <c r="W411" i="17" s="1"/>
  <c r="Y608" i="17"/>
  <c r="Q608" i="17" s="1"/>
  <c r="W608" i="17" s="1"/>
  <c r="Y625" i="17"/>
  <c r="Q625" i="17" s="1"/>
  <c r="W625" i="17" s="1"/>
  <c r="Y659" i="17"/>
  <c r="Q659" i="17" s="1"/>
  <c r="W659" i="17" s="1"/>
  <c r="Y676" i="17"/>
  <c r="Q676" i="17" s="1"/>
  <c r="W676" i="17" s="1"/>
  <c r="Y710" i="17"/>
  <c r="Q710" i="17" s="1"/>
  <c r="W710" i="17" s="1"/>
  <c r="Y747" i="17"/>
  <c r="Q747" i="17" s="1"/>
  <c r="W747" i="17" s="1"/>
  <c r="Y764" i="17"/>
  <c r="Q764" i="17" s="1"/>
  <c r="W764" i="17" s="1"/>
  <c r="Y815" i="17"/>
  <c r="Q815" i="17" s="1"/>
  <c r="W815" i="17" s="1"/>
  <c r="Y849" i="17"/>
  <c r="Q849" i="17" s="1"/>
  <c r="W849" i="17" s="1"/>
  <c r="Y866" i="17"/>
  <c r="Q866" i="17" s="1"/>
  <c r="W866" i="17" s="1"/>
  <c r="Y883" i="17"/>
  <c r="Q883" i="17" s="1"/>
  <c r="W883" i="17" s="1"/>
  <c r="Y900" i="17"/>
  <c r="Q900" i="17" s="1"/>
  <c r="W900" i="17" s="1"/>
  <c r="Y951" i="17"/>
  <c r="Q951" i="17" s="1"/>
  <c r="W951" i="17" s="1"/>
  <c r="Y564" i="17"/>
  <c r="Q564" i="17" s="1"/>
  <c r="W564" i="17" s="1"/>
  <c r="Y565" i="17"/>
  <c r="Q565" i="17" s="1"/>
  <c r="W565" i="17" s="1"/>
  <c r="Y75" i="17"/>
  <c r="Q75" i="17" s="1"/>
  <c r="W75" i="17" s="1"/>
  <c r="Y77" i="17"/>
  <c r="Q77" i="17" s="1"/>
  <c r="W77" i="17" s="1"/>
  <c r="Y78" i="17"/>
  <c r="Q78" i="17" s="1"/>
  <c r="W78" i="17" s="1"/>
  <c r="Y79" i="17"/>
  <c r="Q79" i="17" s="1"/>
  <c r="W79" i="17" s="1"/>
  <c r="Y116" i="17"/>
  <c r="Q116" i="17" s="1"/>
  <c r="W116" i="17" s="1"/>
  <c r="Y167" i="17"/>
  <c r="Q167" i="17" s="1"/>
  <c r="W167" i="17" s="1"/>
  <c r="Y208" i="17"/>
  <c r="Q208" i="17" s="1"/>
  <c r="W208" i="17" s="1"/>
  <c r="Y209" i="17"/>
  <c r="Q209" i="17" s="1"/>
  <c r="W209" i="17" s="1"/>
  <c r="Y235" i="17"/>
  <c r="Q235" i="17" s="1"/>
  <c r="W235" i="17" s="1"/>
  <c r="Y252" i="17"/>
  <c r="Q252" i="17" s="1"/>
  <c r="W252" i="17" s="1"/>
  <c r="Y303" i="17"/>
  <c r="Q303" i="17" s="1"/>
  <c r="W303" i="17" s="1"/>
  <c r="Y320" i="17"/>
  <c r="Q320" i="17" s="1"/>
  <c r="W320" i="17" s="1"/>
  <c r="Y354" i="17"/>
  <c r="Q354" i="17" s="1"/>
  <c r="W354" i="17" s="1"/>
  <c r="Y371" i="17"/>
  <c r="Q371" i="17" s="1"/>
  <c r="W371" i="17" s="1"/>
  <c r="Y456" i="17"/>
  <c r="Q456" i="17" s="1"/>
  <c r="W456" i="17" s="1"/>
  <c r="Y412" i="17"/>
  <c r="Q412" i="17" s="1"/>
  <c r="W412" i="17" s="1"/>
  <c r="Y439" i="17"/>
  <c r="Q439" i="17" s="1"/>
  <c r="W439" i="17" s="1"/>
  <c r="Y609" i="17"/>
  <c r="Q609" i="17" s="1"/>
  <c r="W609" i="17" s="1"/>
  <c r="Y626" i="17"/>
  <c r="Q626" i="17" s="1"/>
  <c r="W626" i="17" s="1"/>
  <c r="Y677" i="17"/>
  <c r="Q677" i="17" s="1"/>
  <c r="W677" i="17" s="1"/>
  <c r="Y765" i="17"/>
  <c r="Q765" i="17" s="1"/>
  <c r="W765" i="17" s="1"/>
  <c r="Y782" i="17"/>
  <c r="Q782" i="17" s="1"/>
  <c r="W782" i="17" s="1"/>
  <c r="Y833" i="17"/>
  <c r="Q833" i="17" s="1"/>
  <c r="W833" i="17" s="1"/>
  <c r="Y867" i="17"/>
  <c r="Q867" i="17" s="1"/>
  <c r="W867" i="17" s="1"/>
  <c r="Y901" i="17"/>
  <c r="Q901" i="17" s="1"/>
  <c r="W901" i="17" s="1"/>
  <c r="Y918" i="17"/>
  <c r="Q918" i="17" s="1"/>
  <c r="W918" i="17" s="1"/>
  <c r="Y567" i="17"/>
  <c r="Q567" i="17" s="1"/>
  <c r="W567" i="17" s="1"/>
  <c r="Y568" i="17"/>
  <c r="Q568" i="17" s="1"/>
  <c r="W568" i="17" s="1"/>
  <c r="Y570" i="17"/>
  <c r="Q570" i="17" s="1"/>
  <c r="W570" i="17" s="1"/>
  <c r="Y571" i="17"/>
  <c r="Q571" i="17" s="1"/>
  <c r="W571" i="17" s="1"/>
  <c r="Y82" i="17"/>
  <c r="Q82" i="17" s="1"/>
  <c r="W82" i="17" s="1"/>
  <c r="Y83" i="17"/>
  <c r="Q83" i="17" s="1"/>
  <c r="W83" i="17" s="1"/>
  <c r="Y117" i="17"/>
  <c r="Q117" i="17" s="1"/>
  <c r="W117" i="17" s="1"/>
  <c r="Y134" i="17"/>
  <c r="Q134" i="17" s="1"/>
  <c r="W134" i="17" s="1"/>
  <c r="Y151" i="17"/>
  <c r="Q151" i="17" s="1"/>
  <c r="W151" i="17" s="1"/>
  <c r="Y211" i="17"/>
  <c r="Q211" i="17" s="1"/>
  <c r="W211" i="17" s="1"/>
  <c r="Y253" i="17"/>
  <c r="Q253" i="17" s="1"/>
  <c r="W253" i="17" s="1"/>
  <c r="Y270" i="17"/>
  <c r="Q270" i="17" s="1"/>
  <c r="W270" i="17" s="1"/>
  <c r="Y321" i="17"/>
  <c r="Q321" i="17" s="1"/>
  <c r="W321" i="17" s="1"/>
  <c r="Y355" i="17"/>
  <c r="Q355" i="17" s="1"/>
  <c r="W355" i="17" s="1"/>
  <c r="Y457" i="17"/>
  <c r="Q457" i="17" s="1"/>
  <c r="W457" i="17" s="1"/>
  <c r="Y474" i="17"/>
  <c r="Q474" i="17" s="1"/>
  <c r="W474" i="17" s="1"/>
  <c r="Y416" i="17"/>
  <c r="Q416" i="17" s="1"/>
  <c r="W416" i="17" s="1"/>
  <c r="Y417" i="17"/>
  <c r="Q417" i="17" s="1"/>
  <c r="W417" i="17" s="1"/>
  <c r="Y627" i="17"/>
  <c r="Q627" i="17" s="1"/>
  <c r="W627" i="17" s="1"/>
  <c r="Y644" i="17"/>
  <c r="Q644" i="17" s="1"/>
  <c r="W644" i="17" s="1"/>
  <c r="Y695" i="17"/>
  <c r="Q695" i="17" s="1"/>
  <c r="W695" i="17" s="1"/>
  <c r="Y749" i="17"/>
  <c r="Q749" i="17" s="1"/>
  <c r="W749" i="17" s="1"/>
  <c r="Y766" i="17"/>
  <c r="Q766" i="17" s="1"/>
  <c r="W766" i="17" s="1"/>
  <c r="Y783" i="17"/>
  <c r="Q783" i="17" s="1"/>
  <c r="W783" i="17" s="1"/>
  <c r="Y834" i="17"/>
  <c r="Q834" i="17" s="1"/>
  <c r="W834" i="17" s="1"/>
  <c r="Y902" i="17"/>
  <c r="Q902" i="17" s="1"/>
  <c r="W902" i="17" s="1"/>
  <c r="Y919" i="17"/>
  <c r="Q919" i="17" s="1"/>
  <c r="W919" i="17" s="1"/>
  <c r="Y573" i="17"/>
  <c r="Q573" i="17" s="1"/>
  <c r="W573" i="17" s="1"/>
  <c r="Y574" i="17"/>
  <c r="Q574" i="17" s="1"/>
  <c r="W574" i="17" s="1"/>
  <c r="Y575" i="17"/>
  <c r="Q575" i="17" s="1"/>
  <c r="W575" i="17" s="1"/>
  <c r="Y577" i="17"/>
  <c r="Q577" i="17" s="1"/>
  <c r="W577" i="17" s="1"/>
  <c r="Y578" i="17"/>
  <c r="Q578" i="17" s="1"/>
  <c r="W578" i="17" s="1"/>
  <c r="Y88" i="17"/>
  <c r="Q88" i="17" s="1"/>
  <c r="W88" i="17" s="1"/>
  <c r="Y90" i="17"/>
  <c r="Q90" i="17" s="1"/>
  <c r="W90" i="17" s="1"/>
  <c r="Y118" i="17"/>
  <c r="Q118" i="17" s="1"/>
  <c r="W118" i="17" s="1"/>
  <c r="Y214" i="17"/>
  <c r="Q214" i="17" s="1"/>
  <c r="W214" i="17" s="1"/>
  <c r="Y254" i="17"/>
  <c r="Q254" i="17" s="1"/>
  <c r="W254" i="17" s="1"/>
  <c r="Y271" i="17"/>
  <c r="Q271" i="17" s="1"/>
  <c r="W271" i="17" s="1"/>
  <c r="Y322" i="17"/>
  <c r="Q322" i="17" s="1"/>
  <c r="W322" i="17" s="1"/>
  <c r="Y458" i="17"/>
  <c r="Q458" i="17" s="1"/>
  <c r="W458" i="17" s="1"/>
  <c r="Y475" i="17"/>
  <c r="Q475" i="17" s="1"/>
  <c r="W475" i="17" s="1"/>
  <c r="Y419" i="17"/>
  <c r="Q419" i="17" s="1"/>
  <c r="W419" i="17" s="1"/>
  <c r="Y628" i="17"/>
  <c r="Q628" i="17" s="1"/>
  <c r="W628" i="17" s="1"/>
  <c r="Y645" i="17"/>
  <c r="Q645" i="17" s="1"/>
  <c r="W645" i="17" s="1"/>
  <c r="Y696" i="17"/>
  <c r="Q696" i="17" s="1"/>
  <c r="W696" i="17" s="1"/>
  <c r="Y726" i="17"/>
  <c r="Q726" i="17" s="1"/>
  <c r="W726" i="17" s="1"/>
  <c r="Y735" i="17"/>
  <c r="Q735" i="17" s="1"/>
  <c r="W735" i="17" s="1"/>
  <c r="Y750" i="17"/>
  <c r="Q750" i="17" s="1"/>
  <c r="W750" i="17" s="1"/>
  <c r="Y818" i="17"/>
  <c r="Q818" i="17" s="1"/>
  <c r="W818" i="17" s="1"/>
  <c r="Y886" i="17"/>
  <c r="Q886" i="17" s="1"/>
  <c r="W886" i="17" s="1"/>
  <c r="Y903" i="17"/>
  <c r="Q903" i="17" s="1"/>
  <c r="W903" i="17" s="1"/>
  <c r="Y954" i="17"/>
  <c r="Q954" i="17" s="1"/>
  <c r="W954" i="17" s="1"/>
  <c r="Y582" i="17"/>
  <c r="Q582" i="17" s="1"/>
  <c r="W582" i="17" s="1"/>
  <c r="Y583" i="17"/>
  <c r="Q583" i="17" s="1"/>
  <c r="W583" i="17" s="1"/>
  <c r="Y93" i="17"/>
  <c r="Q93" i="17" s="1"/>
  <c r="W93" i="17" s="1"/>
  <c r="Y97" i="17"/>
  <c r="Q97" i="17" s="1"/>
  <c r="W97" i="17" s="1"/>
  <c r="Y119" i="17"/>
  <c r="Q119" i="17" s="1"/>
  <c r="W119" i="17" s="1"/>
  <c r="Y170" i="17"/>
  <c r="Q170" i="17" s="1"/>
  <c r="W170" i="17" s="1"/>
  <c r="Y238" i="17"/>
  <c r="Q238" i="17" s="1"/>
  <c r="W238" i="17" s="1"/>
  <c r="Y306" i="17"/>
  <c r="Q306" i="17" s="1"/>
  <c r="W306" i="17" s="1"/>
  <c r="Y374" i="17"/>
  <c r="Q374" i="17" s="1"/>
  <c r="W374" i="17" s="1"/>
  <c r="Y459" i="17"/>
  <c r="Q459" i="17" s="1"/>
  <c r="W459" i="17" s="1"/>
  <c r="Y476" i="17"/>
  <c r="Q476" i="17" s="1"/>
  <c r="W476" i="17" s="1"/>
  <c r="Y421" i="17"/>
  <c r="Q421" i="17" s="1"/>
  <c r="W421" i="17" s="1"/>
  <c r="Y612" i="17"/>
  <c r="Q612" i="17" s="1"/>
  <c r="W612" i="17" s="1"/>
  <c r="Y629" i="17"/>
  <c r="Q629" i="17" s="1"/>
  <c r="W629" i="17" s="1"/>
  <c r="Y680" i="17"/>
  <c r="Q680" i="17" s="1"/>
  <c r="W680" i="17" s="1"/>
  <c r="Y751" i="17"/>
  <c r="Q751" i="17" s="1"/>
  <c r="W751" i="17" s="1"/>
  <c r="Y768" i="17"/>
  <c r="Q768" i="17" s="1"/>
  <c r="W768" i="17" s="1"/>
  <c r="Y870" i="17"/>
  <c r="Q870" i="17" s="1"/>
  <c r="W870" i="17" s="1"/>
  <c r="Y887" i="17"/>
  <c r="Q887" i="17" s="1"/>
  <c r="W887" i="17" s="1"/>
  <c r="Y955" i="17"/>
  <c r="Q955" i="17" s="1"/>
  <c r="W955" i="17" s="1"/>
  <c r="Y587" i="17"/>
  <c r="Q587" i="17" s="1"/>
  <c r="W587" i="17" s="1"/>
  <c r="Y589" i="17"/>
  <c r="Q589" i="17" s="1"/>
  <c r="W589" i="17" s="1"/>
  <c r="Y590" i="17"/>
  <c r="Q590" i="17" s="1"/>
  <c r="W590" i="17" s="1"/>
  <c r="Y99" i="17"/>
  <c r="Q99" i="17" s="1"/>
  <c r="W99" i="17" s="1"/>
  <c r="Y100" i="17"/>
  <c r="Q100" i="17" s="1"/>
  <c r="W100" i="17" s="1"/>
  <c r="Y103" i="17"/>
  <c r="Q103" i="17" s="1"/>
  <c r="W103" i="17" s="1"/>
  <c r="Y120" i="17"/>
  <c r="Q120" i="17" s="1"/>
  <c r="W120" i="17" s="1"/>
  <c r="Y239" i="17"/>
  <c r="Q239" i="17" s="1"/>
  <c r="W239" i="17" s="1"/>
  <c r="Y256" i="17"/>
  <c r="Q256" i="17" s="1"/>
  <c r="W256" i="17" s="1"/>
  <c r="Y358" i="17"/>
  <c r="Q358" i="17" s="1"/>
  <c r="W358" i="17" s="1"/>
  <c r="Y375" i="17"/>
  <c r="Q375" i="17" s="1"/>
  <c r="W375" i="17" s="1"/>
  <c r="Y424" i="17"/>
  <c r="Q424" i="17" s="1"/>
  <c r="W424" i="17" s="1"/>
  <c r="Y630" i="17"/>
  <c r="Q630" i="17" s="1"/>
  <c r="W630" i="17" s="1"/>
  <c r="Y715" i="17"/>
  <c r="Q715" i="17" s="1"/>
  <c r="W715" i="17" s="1"/>
  <c r="Y752" i="17"/>
  <c r="Q752" i="17" s="1"/>
  <c r="W752" i="17" s="1"/>
  <c r="Y769" i="17"/>
  <c r="Q769" i="17" s="1"/>
  <c r="W769" i="17" s="1"/>
  <c r="Y888" i="17"/>
  <c r="Q888" i="17" s="1"/>
  <c r="W888" i="17" s="1"/>
  <c r="Y905" i="17"/>
  <c r="Q905" i="17" s="1"/>
  <c r="W905" i="17" s="1"/>
  <c r="Y594" i="17"/>
  <c r="Q594" i="17" s="1"/>
  <c r="W594" i="17" s="1"/>
  <c r="G2" i="16"/>
  <c r="N321" i="20" l="1"/>
  <c r="N282" i="20"/>
  <c r="N166" i="20"/>
  <c r="N38" i="20"/>
  <c r="N10" i="20"/>
  <c r="N186" i="20"/>
  <c r="N86" i="20"/>
  <c r="N30" i="20"/>
  <c r="N222" i="20"/>
  <c r="N214" i="20"/>
  <c r="N353" i="20"/>
  <c r="N338" i="20"/>
  <c r="N294" i="20"/>
  <c r="N70" i="20"/>
  <c r="N6" i="20"/>
  <c r="N358" i="20"/>
  <c r="N314" i="20"/>
  <c r="N190" i="20"/>
  <c r="N126" i="20"/>
  <c r="N118" i="20"/>
  <c r="N54" i="20"/>
  <c r="N218" i="20"/>
  <c r="N53" i="20"/>
  <c r="N246" i="20"/>
  <c r="N340" i="20"/>
  <c r="N289" i="20"/>
  <c r="K9" i="20" a="1"/>
  <c r="K9" i="20" s="1"/>
  <c r="N272" i="20"/>
  <c r="N233" i="20"/>
  <c r="K8" i="20" a="1"/>
  <c r="K8" i="20" s="1"/>
  <c r="K7" i="20" a="1"/>
  <c r="K7" i="20" s="1"/>
  <c r="N297" i="20"/>
  <c r="N265" i="20"/>
  <c r="N4" i="20"/>
  <c r="N242" i="20"/>
  <c r="N142" i="20"/>
  <c r="N3" i="20"/>
  <c r="N15" i="20"/>
  <c r="K4" i="20" a="1"/>
  <c r="K4" i="20" s="1"/>
  <c r="R39" i="18"/>
  <c r="U39" i="18" s="1"/>
  <c r="R134" i="18"/>
  <c r="U134" i="18" s="1"/>
  <c r="R21" i="18"/>
  <c r="U21" i="18" s="1"/>
  <c r="R289" i="18"/>
  <c r="U289" i="18" s="1"/>
  <c r="R321" i="18"/>
  <c r="U321" i="18" s="1"/>
  <c r="R91" i="18"/>
  <c r="U91" i="18" s="1"/>
  <c r="R30" i="18"/>
  <c r="U30" i="18" s="1"/>
  <c r="R273" i="18"/>
  <c r="U273" i="18" s="1"/>
  <c r="R155" i="18"/>
  <c r="U155" i="18" s="1"/>
  <c r="O7" i="18" a="1"/>
  <c r="O7" i="18" s="1"/>
  <c r="R68" i="18"/>
  <c r="U68" i="18" s="1"/>
  <c r="O2" i="18" a="1"/>
  <c r="O2" i="18" s="1"/>
  <c r="O11" i="18" a="1"/>
  <c r="O11" i="18" s="1"/>
  <c r="R132" i="18"/>
  <c r="U132" i="18" s="1"/>
  <c r="R100" i="18"/>
  <c r="U100" i="18" s="1"/>
  <c r="O4" i="18" a="1"/>
  <c r="O4" i="18" s="1"/>
  <c r="O14" i="18" a="1"/>
  <c r="O14" i="18" s="1"/>
  <c r="O3" i="18" a="1"/>
  <c r="O3" i="18" s="1"/>
  <c r="N665" i="17" a="1"/>
  <c r="N665" i="17" s="1"/>
  <c r="N376" i="17" a="1"/>
  <c r="N376" i="17" s="1"/>
  <c r="N291" i="17" a="1"/>
  <c r="N291" i="17" s="1"/>
  <c r="N155" i="17" a="1"/>
  <c r="N155" i="17" s="1"/>
  <c r="N3" i="17" a="1"/>
  <c r="N3" i="17" s="1"/>
  <c r="N8" i="17" a="1"/>
  <c r="N8" i="17" s="1"/>
  <c r="N923" i="17" a="1"/>
  <c r="N923" i="17" s="1"/>
  <c r="N787" i="17" a="1"/>
  <c r="N787" i="17" s="1"/>
  <c r="N648" i="17" a="1"/>
  <c r="N648" i="17" s="1"/>
  <c r="N478" i="17" a="1"/>
  <c r="N478" i="17" s="1"/>
  <c r="N274" i="17" a="1"/>
  <c r="N274" i="17" s="1"/>
  <c r="N138" i="17" a="1"/>
  <c r="N138" i="17" s="1"/>
  <c r="N2" i="17" a="1"/>
  <c r="N2" i="17" s="1"/>
  <c r="N730" i="17" a="1"/>
  <c r="N730" i="17" s="1"/>
  <c r="N616" i="17" a="1"/>
  <c r="N616" i="17" s="1"/>
  <c r="N446" i="17" a="1"/>
  <c r="N446" i="17" s="1"/>
  <c r="N242" i="17" a="1"/>
  <c r="N242" i="17" s="1"/>
  <c r="N106" i="17" a="1"/>
  <c r="N106" i="17" s="1"/>
  <c r="N505" i="17" a="1"/>
  <c r="N505" i="17" s="1"/>
  <c r="N890" i="17" a="1"/>
  <c r="N890" i="17" s="1"/>
  <c r="N599" i="17" a="1"/>
  <c r="N599" i="17" s="1"/>
  <c r="N361" i="17" a="1"/>
  <c r="N361" i="17" s="1"/>
  <c r="N225" i="17" a="1"/>
  <c r="N225" i="17" s="1"/>
  <c r="N19" i="17" a="1"/>
  <c r="N19" i="17" s="1"/>
  <c r="N504" i="17" a="1"/>
  <c r="N504" i="17" s="1"/>
  <c r="N754" i="17" a="1"/>
  <c r="N754" i="17" s="1"/>
  <c r="N615" i="17" a="1"/>
  <c r="N615" i="17" s="1"/>
  <c r="N13" i="17" a="1"/>
  <c r="N13" i="17" s="1"/>
  <c r="N498" i="17" a="1"/>
  <c r="N498" i="17" s="1"/>
  <c r="N872" i="17" a="1"/>
  <c r="N872" i="17" s="1"/>
  <c r="N736" i="17" a="1"/>
  <c r="N736" i="17" s="1"/>
  <c r="N597" i="17" a="1"/>
  <c r="N597" i="17" s="1"/>
  <c r="N359" i="17" a="1"/>
  <c r="N359" i="17" s="1"/>
  <c r="N223" i="17" a="1"/>
  <c r="N223" i="17" s="1"/>
  <c r="N7" i="17" a="1"/>
  <c r="N7" i="17" s="1"/>
  <c r="N12" i="17" a="1"/>
  <c r="N12" i="17" s="1"/>
  <c r="N497" i="17" a="1"/>
  <c r="N497" i="17" s="1"/>
  <c r="N855" i="17" a="1"/>
  <c r="N855" i="17" s="1"/>
  <c r="N729" i="17" a="1"/>
  <c r="N729" i="17" s="1"/>
  <c r="N427" i="17" a="1"/>
  <c r="N427" i="17" s="1"/>
  <c r="N342" i="17" a="1"/>
  <c r="N342" i="17" s="1"/>
  <c r="N496" i="17" a="1"/>
  <c r="N496" i="17" s="1"/>
  <c r="N838" i="17" a="1"/>
  <c r="N838" i="17" s="1"/>
  <c r="N699" i="17" a="1"/>
  <c r="N699" i="17" s="1"/>
  <c r="N378" i="17" a="1"/>
  <c r="N378" i="17" s="1"/>
  <c r="N325" i="17" a="1"/>
  <c r="N325" i="17" s="1"/>
  <c r="N173" i="17" a="1"/>
  <c r="N17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icolas\documents\u. sabana\semestre 6\simulación\corte 3\proyecto final\simulación viern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icolas\documents\u. sabana\semestre 6\simulación\corte 3\proyecto final\simulación viern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icolas\documents\u. sabana\semestre 6\simulación\corte 3\proyecto final\simulación viern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icolas\documents\u. sabana\semestre 6\simulación\corte 3\proyecto final\simulación viern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icolas\documents\u. sabana\semestre 6\simulación\corte 3\proyecto final\simulación viern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icolas\documents\u. sabana\semestre 6\simulación\corte 3\proyecto final\simulación viern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<sst xmlns="http://schemas.openxmlformats.org/spreadsheetml/2006/main" count="8614" uniqueCount="173">
  <si>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</si>
  <si>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</si>
  <si>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</si>
  <si>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</si>
  <si>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</si>
  <si>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</si>
  <si>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</si>
  <si>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</si>
  <si>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</si>
  <si>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</si>
  <si>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</si>
  <si>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</si>
  <si>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</si>
  <si>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</si>
  <si>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</si>
  <si>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</si>
  <si>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</si>
  <si>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</si>
  <si>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</si>
  <si>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</si>
  <si>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</si>
  <si>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</si>
  <si>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</si>
  <si>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</si>
  <si>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</si>
  <si>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</si>
  <si>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</si>
  <si>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</si>
  <si>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</si>
  <si>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</si>
  <si>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</si>
  <si>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</si>
  <si>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</si>
  <si>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</si>
  <si>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</si>
  <si>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</si>
  <si>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</si>
  <si>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</si>
  <si>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</si>
  <si>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</si>
  <si>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</si>
  <si>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</si>
  <si>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</si>
  <si>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</si>
  <si>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</si>
  <si>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</si>
  <si>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</si>
  <si>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</si>
  <si>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</si>
  <si>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</si>
  <si>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</si>
  <si>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</si>
  <si>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</si>
  <si>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</si>
  <si>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</si>
  <si>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</si>
  <si>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</si>
  <si>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</si>
  <si>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</si>
  <si>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</si>
  <si>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</si>
  <si>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</si>
  <si>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</si>
  <si>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</si>
  <si>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</si>
  <si>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</si>
  <si>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IncludeOption</t>
  </si>
  <si>
    <t>Weekend (base)</t>
  </si>
  <si>
    <t>C:\Users\Nicolas\Documents\U. Sabana\Semestre 6\Simulación\Corte 3\Proyecto final\Simulación viernes.p</t>
  </si>
  <si>
    <t>2025-05-17 23:41:37</t>
  </si>
  <si>
    <t>Cliente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</si>
  <si>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</si>
  <si>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</si>
  <si>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</si>
  <si>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</si>
  <si>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</si>
  <si>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</si>
  <si>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</si>
  <si>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ClientesEnSistema</t>
  </si>
  <si>
    <t>Expression</t>
  </si>
  <si>
    <t>User Specified</t>
  </si>
  <si>
    <t>ClientesSisH1</t>
  </si>
  <si>
    <t>ClientesSisH2</t>
  </si>
  <si>
    <t>ClientesSisH3</t>
  </si>
  <si>
    <t>Comer en Mesa</t>
  </si>
  <si>
    <t>Total Time Per Entity</t>
  </si>
  <si>
    <t>Process</t>
  </si>
  <si>
    <t>VA Time Per Entity</t>
  </si>
  <si>
    <t>Wait Time Per Entity</t>
  </si>
  <si>
    <t>Comer en Mesa.Queue</t>
  </si>
  <si>
    <t>Waiting Time</t>
  </si>
  <si>
    <t>Queue</t>
  </si>
  <si>
    <t>Entrega pedido.Queue</t>
  </si>
  <si>
    <t>EsperaPedidoH1</t>
  </si>
  <si>
    <t>EsperaPedidoH2</t>
  </si>
  <si>
    <t>EsperaPedidoH3</t>
  </si>
  <si>
    <t>FilaCajaH1</t>
  </si>
  <si>
    <t>FilaCajaH2</t>
  </si>
  <si>
    <t>FilaCajaH3</t>
  </si>
  <si>
    <t>Pasar a Caja.Queue</t>
  </si>
  <si>
    <t>PrepPedidoH1</t>
  </si>
  <si>
    <t>PrepPedidoH2</t>
  </si>
  <si>
    <t>PrepPedidoH3</t>
  </si>
  <si>
    <t>Preparacion</t>
  </si>
  <si>
    <t>Preparacion.Queue</t>
  </si>
  <si>
    <t>TiempoEnMesa</t>
  </si>
  <si>
    <t>TiempoEnSistemaMesa</t>
  </si>
  <si>
    <t>Interval</t>
  </si>
  <si>
    <t>TiempoEnSistemaNoMesa</t>
  </si>
  <si>
    <t>TiempoEnSistemaNoMesaCantProd1</t>
  </si>
  <si>
    <t>TiempoEnSistemaNoMesaCantProd2</t>
  </si>
  <si>
    <t>TiempoEnSistemaNoMesaCantProd3</t>
  </si>
  <si>
    <t>TiempoEnSistemaNoMesaCantProd4</t>
  </si>
  <si>
    <t>TiempoEnSistemaNoMesaCantProd7</t>
  </si>
  <si>
    <t>TiempoEnSistemaTodos</t>
  </si>
  <si>
    <t>TiempoPago</t>
  </si>
  <si>
    <t>TiempoPedido</t>
  </si>
  <si>
    <t>TiempoPromEnMesa</t>
  </si>
  <si>
    <t>TiempoSistemaTodosH1</t>
  </si>
  <si>
    <t>TiempoSistemaTodosH2</t>
  </si>
  <si>
    <t>TiempoSistemaTodosH3</t>
  </si>
  <si>
    <t>UtilizacionCajeroH1</t>
  </si>
  <si>
    <t>UtilizacionCajeroH2</t>
  </si>
  <si>
    <t>UtilizacionCajeroH3</t>
  </si>
  <si>
    <t>UtilizacionCocinaH1</t>
  </si>
  <si>
    <t>UtilizacionCocinaH2</t>
  </si>
  <si>
    <t>UtilizacionCocinaH3</t>
  </si>
  <si>
    <t>reloj</t>
  </si>
  <si>
    <t>TiempoEnSistemaNoMesaCantProd5</t>
  </si>
  <si>
    <t>WIP</t>
  </si>
  <si>
    <t>Number Waiting</t>
  </si>
  <si>
    <t>Orden</t>
  </si>
  <si>
    <t>TP_Mesas</t>
  </si>
  <si>
    <t>Time Persistent</t>
  </si>
  <si>
    <t>rCajero</t>
  </si>
  <si>
    <t>Instantaneous Utilization</t>
  </si>
  <si>
    <t>Resource</t>
  </si>
  <si>
    <t>Number Busy</t>
  </si>
  <si>
    <t>Number Scheduled</t>
  </si>
  <si>
    <t>rCocina</t>
  </si>
  <si>
    <t>rMesa</t>
  </si>
  <si>
    <t>vClientesEnSistema</t>
  </si>
  <si>
    <t>Variable</t>
  </si>
  <si>
    <t>vMesasLibres</t>
  </si>
  <si>
    <t>Cliente.NumberIn</t>
  </si>
  <si>
    <t>Number In</t>
  </si>
  <si>
    <t>Cliente.NumberOut</t>
  </si>
  <si>
    <t>Number Out</t>
  </si>
  <si>
    <t>Comer en Mesa Accum VA Time</t>
  </si>
  <si>
    <t>Accum VA Time</t>
  </si>
  <si>
    <t>Comer en Mesa Accum Wait Time</t>
  </si>
  <si>
    <t>Accum Wait Time</t>
  </si>
  <si>
    <t>Comer en Mesa Number In</t>
  </si>
  <si>
    <t>Comer en Mesa Number Out</t>
  </si>
  <si>
    <t>Orden.NumberIn</t>
  </si>
  <si>
    <t>Orden.NumberOut</t>
  </si>
  <si>
    <t>Preparacion Accum VA Time</t>
  </si>
  <si>
    <t>Preparacion Accum Wait Time</t>
  </si>
  <si>
    <t>Preparacion Number In</t>
  </si>
  <si>
    <t>Preparacion Number Out</t>
  </si>
  <si>
    <t>System.NumberOut</t>
  </si>
  <si>
    <t>System</t>
  </si>
  <si>
    <t>rCajero.NumberSeized</t>
  </si>
  <si>
    <t>Total Number Seized</t>
  </si>
  <si>
    <t>rCajero.ScheduledUtilization</t>
  </si>
  <si>
    <t>Scheduled Utilization</t>
  </si>
  <si>
    <t>rCocina.NumberSeized</t>
  </si>
  <si>
    <t>rCocina.ScheduledUtilization</t>
  </si>
  <si>
    <t>rMesa.NumberSeized</t>
  </si>
  <si>
    <t>rMesa.ScheduledUtilization</t>
  </si>
  <si>
    <t>reloj.NumberIn</t>
  </si>
  <si>
    <t>reloj.NumberOut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</si>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</sst>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4.987356712962" createdVersion="7" refreshedVersion="8" minRefreshableVersion="3" recordCount="357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Weekend (base)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7"/>
    </cacheField>
    <cacheField name="Name" numFmtId="0">
      <sharedItems containsBlank="1" count="99">
        <s v="Cliente.NumberIn"/>
        <s v="Cliente.NumberOut"/>
        <s v="Comer en Mesa Accum VA Time"/>
        <s v="Comer en Mesa Accum Wait Time"/>
        <s v="Comer en Mesa Number In"/>
        <s v="Comer en Mesa Number Out"/>
        <s v="Orden.NumberIn"/>
        <s v="Orden.NumberOut"/>
        <s v="Preparacion Accum VA Time"/>
        <s v="Preparacion Accum Wait Time"/>
        <s v="Preparacion Number In"/>
        <s v="Preparacion Number Out"/>
        <s v="System.NumberOut"/>
        <s v="rCajero.NumberSeized"/>
        <s v="rCajero.ScheduledUtilization"/>
        <s v="rCocina.NumberSeized"/>
        <s v="rCocina.ScheduledUtilization"/>
        <s v="rMesa.NumberSeized"/>
        <s v="rMesa.ScheduledUtilization"/>
        <s v="reloj.NumberIn"/>
        <s v="reloj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Accum VA Time"/>
        <s v="Accum Wait Time"/>
        <s v="Total Number Seized"/>
        <s v="Scheduled Utilization"/>
        <m u="1"/>
      </sharedItems>
    </cacheField>
    <cacheField name="Source" numFmtId="0">
      <sharedItems containsBlank="1" count="5">
        <s v="Entity"/>
        <s v="Process"/>
        <s v="System"/>
        <s v="Resource"/>
        <m u="1"/>
      </sharedItems>
    </cacheField>
    <cacheField name="RecordedValue" numFmtId="0">
      <sharedItems containsSemiMixedTypes="0" containsString="0" containsNumber="1" minValue="0" maxValue="456.3342755171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7" maxValue="17"/>
    </cacheField>
    <cacheField name="Average" numFmtId="0">
      <sharedItems containsSemiMixedTypes="0" containsString="0" containsNumber="1" minValue="0" maxValue="354.88235294117646"/>
    </cacheField>
    <cacheField name="StandardDeviation" numFmtId="0">
      <sharedItems containsSemiMixedTypes="0" containsString="0" containsNumber="1" minValue="0" maxValue="79.50898699649320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0.879748949999311"/>
    </cacheField>
    <cacheField name="Minimum" numFmtId="0">
      <sharedItems containsSemiMixedTypes="0" containsString="0" containsNumber="1" minValue="0" maxValue="319"/>
    </cacheField>
    <cacheField name="Maximum" numFmtId="0">
      <sharedItems containsSemiMixedTypes="0" containsString="0" containsNumber="1" minValue="0" maxValue="456.334275517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4.98735694444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4.987357060185" createdVersion="7" refreshedVersion="8" minRefreshableVersion="3" recordCount="323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Weekend (base)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7"/>
    </cacheField>
    <cacheField name="Name" numFmtId="0">
      <sharedItems containsBlank="1" count="137">
        <s v="Cliente"/>
        <s v="Comer en Mesa.Queue"/>
        <s v="Entrega pedido.Queue"/>
        <s v="Orden"/>
        <s v="Pasar a Caja.Queue"/>
        <s v="Preparacion.Queue"/>
        <s v="TP_Mesas"/>
        <s v="rCajero"/>
        <s v="rCocina"/>
        <s v="rMesa"/>
        <s v="reloj"/>
        <s v="vClientesEnSistema"/>
        <s v="vMesasLibre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9">
        <s v="WIP"/>
        <s v="Number Waiting"/>
        <s v="Time Persistent"/>
        <s v="Instantaneous Utilization"/>
        <s v="Number Busy"/>
        <s v="Number Scheduled"/>
        <s v="Variable"/>
        <m u="1"/>
        <s v="Levels" u="1"/>
      </sharedItems>
    </cacheField>
    <cacheField name="Source" numFmtId="0">
      <sharedItems containsBlank="1" count="5">
        <s v="Entity"/>
        <s v="Queue"/>
        <s v="User Specified"/>
        <s v="Resource"/>
        <m u="1"/>
      </sharedItems>
    </cacheField>
    <cacheField name="Average" numFmtId="0">
      <sharedItems containsSemiMixedTypes="0" containsString="0" containsNumber="1" minValue="0" maxValue="9.9812364527489308"/>
    </cacheField>
    <cacheField name="BatchMeansHalfWidth" numFmtId="0">
      <sharedItems containsSemiMixedTypes="0" containsString="0" containsNumber="1" minValue="0.65989202893460197" maxValue="3E+20"/>
    </cacheField>
    <cacheField name="Minimum" numFmtId="0">
      <sharedItems containsSemiMixedTypes="0" containsString="0" containsNumber="1" containsInteger="1" minValue="0" maxValue="5"/>
    </cacheField>
    <cacheField name="Maximum" numFmtId="0">
      <sharedItems containsSemiMixedTypes="0" containsString="0" containsNumber="1" minValue="0" maxValue="25"/>
    </cacheField>
    <cacheField name="LastRecordedValue" numFmtId="0">
      <sharedItems containsSemiMixedTypes="0" containsString="0" containsNumber="1" minValue="0" maxValue="2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7" maxValue="17"/>
    </cacheField>
    <cacheField name="AverageOfAverage" numFmtId="0">
      <sharedItems containsSemiMixedTypes="0" containsString="0" containsNumber="1" minValue="0" maxValue="7.346753247378274"/>
    </cacheField>
    <cacheField name="StDevOfAverage" numFmtId="0">
      <sharedItems containsSemiMixedTypes="0" containsString="0" containsNumber="1" minValue="0" maxValue="1.429432998703481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73494663100688618"/>
    </cacheField>
    <cacheField name="MinimumAverage" numFmtId="0">
      <sharedItems containsSemiMixedTypes="0" containsString="0" containsNumber="1" minValue="0" maxValue="5.4544685782955797"/>
    </cacheField>
    <cacheField name="MaximumAverage" numFmtId="0">
      <sharedItems containsSemiMixedTypes="0" containsString="0" containsNumber="1" minValue="0" maxValue="9.9812364527489308"/>
    </cacheField>
    <cacheField name="SummaryHalfWidth" numFmtId="0">
      <sharedItems containsSemiMixedTypes="0" containsString="0" containsNumber="1" minValue="0" maxValue="0.734946631006886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4.987357291669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4.987357523147" createdVersion="7" refreshedVersion="8" minRefreshableVersion="3" recordCount="955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Weekend (base)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7"/>
    </cacheField>
    <cacheField name="Name" numFmtId="0">
      <sharedItems containsBlank="1" count="142">
        <s v="Cliente"/>
        <s v="ClientesEnSistema"/>
        <s v="ClientesSisH1"/>
        <s v="ClientesSisH2"/>
        <s v="ClientesSisH3"/>
        <s v="Comer en Mesa"/>
        <s v="Comer en Mesa.Queue"/>
        <s v="Entrega pedido.Queue"/>
        <s v="EsperaPedidoH1"/>
        <s v="EsperaPedidoH2"/>
        <s v="EsperaPedidoH3"/>
        <s v="FilaCajaH1"/>
        <s v="FilaCajaH2"/>
        <s v="FilaCajaH3"/>
        <s v="Pasar a Caja.Queue"/>
        <s v="Preparacion"/>
        <s v="Preparacion.Queue"/>
        <s v="PrepPedidoH1"/>
        <s v="PrepPedidoH2"/>
        <s v="PrepPedidoH3"/>
        <s v="reloj"/>
        <s v="TiempoEnMesa"/>
        <s v="TiempoEnSistemaMesa"/>
        <s v="TiempoEnSistemaNoMesa"/>
        <s v="TiempoEnSistemaNoMesaCantProd1"/>
        <s v="TiempoEnSistemaNoMesaCantProd2"/>
        <s v="TiempoEnSistemaNoMesaCantProd3"/>
        <s v="TiempoEnSistemaNoMesaCantProd4"/>
        <s v="TiempoEnSistemaNoMesaCantProd5"/>
        <s v="TiempoEnSistemaNoMesaCantProd7"/>
        <s v="TiempoEnSistemaTodos"/>
        <s v="TiempoPago"/>
        <s v="TiempoPedido"/>
        <s v="TiempoPromEnMesa"/>
        <s v="TiempoSistemaTodosH1"/>
        <s v="TiempoSistemaTodosH2"/>
        <s v="TiempoSistemaTodosH3"/>
        <s v="UtilizacionCajeroH1"/>
        <s v="UtilizacionCajeroH2"/>
        <s v="UtilizacionCajeroH3"/>
        <s v="UtilizacionCocinaH1"/>
        <s v="UtilizacionCocinaH2"/>
        <s v="UtilizacionCocinaH3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NVA Time"/>
        <s v="Other Time"/>
        <s v="Total Time"/>
        <s v="Transfer Time"/>
        <s v="VA Time"/>
        <s v="Wait Time"/>
        <s v="Expression"/>
        <s v="Total Time Per Entity"/>
        <s v="VA Time Per Entity"/>
        <s v="Wait Time Per Entity"/>
        <s v="Waiting Time"/>
        <s v="Interval"/>
        <m u="1"/>
      </sharedItems>
    </cacheField>
    <cacheField name="Source" numFmtId="0">
      <sharedItems containsBlank="1" count="5">
        <s v="Entity"/>
        <s v="User Specified"/>
        <s v="Process"/>
        <s v="Queue"/>
        <m u="1"/>
      </sharedItems>
    </cacheField>
    <cacheField name="Average" numFmtId="0">
      <sharedItems containsSemiMixedTypes="0" containsString="0" containsNumber="1" minValue="0" maxValue="30.7941625345150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8.191254840358098"/>
    </cacheField>
    <cacheField name="Maximum" numFmtId="0">
      <sharedItems containsSemiMixedTypes="0" containsString="0" containsNumber="1" minValue="0" maxValue="59.068854696650199"/>
    </cacheField>
    <cacheField name="NumberObservations" numFmtId="0">
      <sharedItems containsSemiMixedTypes="0" containsString="0" containsNumber="1" containsInteger="1" minValue="1" maxValue="264"/>
    </cacheField>
    <cacheField name="GroupByKey" numFmtId="0">
      <sharedItems/>
    </cacheField>
    <cacheField name="RepsRequested" numFmtId="0">
      <sharedItems containsSemiMixedTypes="0" containsString="0" containsNumber="1" containsInteger="1" minValue="17" maxValue="17"/>
    </cacheField>
    <cacheField name="AverageOfAverage" numFmtId="0">
      <sharedItems containsSemiMixedTypes="0" containsString="0" containsNumber="1" minValue="0" maxValue="24.241469292582472"/>
    </cacheField>
    <cacheField name="StDevOfAverage" numFmtId="0">
      <sharedItems containsSemiMixedTypes="0" containsString="0" containsNumber="1" minValue="0" maxValue="4.649737061292994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3002895519336475"/>
    </cacheField>
    <cacheField name="MinimumAverage" numFmtId="0">
      <sharedItems containsSemiMixedTypes="0" containsString="0" containsNumber="1" minValue="0" maxValue="20.4127209261279"/>
    </cacheField>
    <cacheField name="MaximumAverage" numFmtId="0">
      <sharedItems containsSemiMixedTypes="0" containsString="0" containsNumber="1" minValue="0" maxValue="30.794162534515099"/>
    </cacheField>
    <cacheField name="OverallMinimum" numFmtId="0">
      <sharedItems containsSemiMixedTypes="0" containsString="0" containsNumber="1" minValue="0" maxValue="6.3741941897433199"/>
    </cacheField>
    <cacheField name="OverallMaximum" numFmtId="0">
      <sharedItems containsSemiMixedTypes="0" containsString="0" containsNumber="1" minValue="0" maxValue="59.068854696650199"/>
    </cacheField>
    <cacheField name="AverageNumberObservations" numFmtId="0">
      <sharedItems containsSemiMixedTypes="0" containsString="0" containsNumber="1" minValue="1" maxValue="237.88235294117646"/>
    </cacheField>
    <cacheField name="SummaryHalfWidth" numFmtId="0">
      <sharedItems containsSemiMixedTypes="0" containsString="0" containsNumber="1" minValue="0" maxValue="4.3002895519336475"/>
    </cacheField>
    <cacheField name="RepsWithStatObserved" numFmtId="0">
      <sharedItems containsSemiMixedTypes="0" containsString="0" containsNumber="1" containsInteger="1" minValue="7" maxValue="17"/>
    </cacheField>
    <cacheField name="Observed=Requested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">
  <r>
    <x v="0"/>
    <s v="2025-05-17 23:41:37"/>
    <n v="1"/>
    <x v="0"/>
    <x v="0"/>
    <x v="0"/>
    <n v="360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"/>
    <x v="1"/>
    <x v="1"/>
    <x v="0"/>
    <n v="371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"/>
    <x v="2"/>
    <x v="2"/>
    <x v="1"/>
    <n v="328.66918578908599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"/>
    <x v="4"/>
    <x v="0"/>
    <x v="1"/>
    <n v="19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"/>
    <x v="5"/>
    <x v="1"/>
    <x v="1"/>
    <n v="18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"/>
    <x v="6"/>
    <x v="0"/>
    <x v="0"/>
    <n v="121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"/>
    <x v="7"/>
    <x v="1"/>
    <x v="0"/>
    <n v="125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"/>
    <x v="8"/>
    <x v="2"/>
    <x v="1"/>
    <n v="199.928123006124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"/>
    <x v="9"/>
    <x v="3"/>
    <x v="1"/>
    <n v="109.63978603575499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"/>
    <x v="10"/>
    <x v="0"/>
    <x v="1"/>
    <n v="121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"/>
    <x v="11"/>
    <x v="1"/>
    <x v="1"/>
    <n v="126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"/>
    <x v="12"/>
    <x v="1"/>
    <x v="2"/>
    <n v="128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"/>
    <x v="13"/>
    <x v="4"/>
    <x v="3"/>
    <n v="169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"/>
    <x v="14"/>
    <x v="5"/>
    <x v="3"/>
    <n v="0.83444472024726102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"/>
    <x v="15"/>
    <x v="4"/>
    <x v="3"/>
    <n v="77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"/>
    <x v="16"/>
    <x v="5"/>
    <x v="3"/>
    <n v="0.72539246956556902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"/>
    <x v="17"/>
    <x v="4"/>
    <x v="3"/>
    <n v="19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"/>
    <x v="18"/>
    <x v="5"/>
    <x v="3"/>
    <n v="0.38852989014557099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2"/>
    <x v="0"/>
    <x v="0"/>
    <x v="0"/>
    <n v="341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2"/>
    <x v="1"/>
    <x v="1"/>
    <x v="0"/>
    <n v="347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2"/>
    <x v="2"/>
    <x v="2"/>
    <x v="1"/>
    <n v="259.02773089616397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2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2"/>
    <x v="4"/>
    <x v="0"/>
    <x v="1"/>
    <n v="13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2"/>
    <x v="5"/>
    <x v="1"/>
    <x v="1"/>
    <n v="15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2"/>
    <x v="6"/>
    <x v="0"/>
    <x v="0"/>
    <n v="113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2"/>
    <x v="7"/>
    <x v="1"/>
    <x v="0"/>
    <n v="117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2"/>
    <x v="8"/>
    <x v="2"/>
    <x v="1"/>
    <n v="180.236544252529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2"/>
    <x v="9"/>
    <x v="3"/>
    <x v="1"/>
    <n v="153.676925270834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2"/>
    <x v="10"/>
    <x v="0"/>
    <x v="1"/>
    <n v="113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2"/>
    <x v="11"/>
    <x v="1"/>
    <x v="1"/>
    <n v="115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2"/>
    <x v="12"/>
    <x v="1"/>
    <x v="2"/>
    <n v="120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2"/>
    <x v="13"/>
    <x v="4"/>
    <x v="3"/>
    <n v="148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2"/>
    <x v="14"/>
    <x v="5"/>
    <x v="3"/>
    <n v="0.73534383204610498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2"/>
    <x v="15"/>
    <x v="4"/>
    <x v="3"/>
    <n v="80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2"/>
    <x v="16"/>
    <x v="5"/>
    <x v="3"/>
    <n v="0.66503831524105395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2"/>
    <x v="17"/>
    <x v="4"/>
    <x v="3"/>
    <n v="13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2"/>
    <x v="18"/>
    <x v="5"/>
    <x v="3"/>
    <n v="0.286992557581916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2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2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3"/>
    <x v="0"/>
    <x v="0"/>
    <x v="0"/>
    <n v="379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3"/>
    <x v="1"/>
    <x v="1"/>
    <x v="0"/>
    <n v="378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3"/>
    <x v="2"/>
    <x v="2"/>
    <x v="1"/>
    <n v="300.80046591826999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3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3"/>
    <x v="4"/>
    <x v="0"/>
    <x v="1"/>
    <n v="19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3"/>
    <x v="5"/>
    <x v="1"/>
    <x v="1"/>
    <n v="18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3"/>
    <x v="6"/>
    <x v="0"/>
    <x v="0"/>
    <n v="126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3"/>
    <x v="7"/>
    <x v="1"/>
    <x v="0"/>
    <n v="126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3"/>
    <x v="8"/>
    <x v="2"/>
    <x v="1"/>
    <n v="225.02992874035499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3"/>
    <x v="9"/>
    <x v="3"/>
    <x v="1"/>
    <n v="270.21113702171999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3"/>
    <x v="10"/>
    <x v="0"/>
    <x v="1"/>
    <n v="126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3"/>
    <x v="11"/>
    <x v="1"/>
    <x v="1"/>
    <n v="127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3"/>
    <x v="12"/>
    <x v="1"/>
    <x v="2"/>
    <n v="129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3"/>
    <x v="13"/>
    <x v="4"/>
    <x v="3"/>
    <n v="169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3"/>
    <x v="14"/>
    <x v="5"/>
    <x v="3"/>
    <n v="0.95888680213271504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3"/>
    <x v="15"/>
    <x v="4"/>
    <x v="3"/>
    <n v="84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3"/>
    <x v="16"/>
    <x v="5"/>
    <x v="3"/>
    <n v="0.77852312806092006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3"/>
    <x v="17"/>
    <x v="4"/>
    <x v="3"/>
    <n v="19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3"/>
    <x v="18"/>
    <x v="5"/>
    <x v="3"/>
    <n v="0.31253687894405402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3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3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4"/>
    <x v="0"/>
    <x v="0"/>
    <x v="0"/>
    <n v="379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4"/>
    <x v="1"/>
    <x v="1"/>
    <x v="0"/>
    <n v="386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4"/>
    <x v="2"/>
    <x v="2"/>
    <x v="1"/>
    <n v="292.224146088255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4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4"/>
    <x v="4"/>
    <x v="0"/>
    <x v="1"/>
    <n v="14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4"/>
    <x v="5"/>
    <x v="1"/>
    <x v="1"/>
    <n v="16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4"/>
    <x v="6"/>
    <x v="0"/>
    <x v="0"/>
    <n v="126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4"/>
    <x v="7"/>
    <x v="1"/>
    <x v="0"/>
    <n v="130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4"/>
    <x v="8"/>
    <x v="2"/>
    <x v="1"/>
    <n v="200.73943998468201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4"/>
    <x v="9"/>
    <x v="3"/>
    <x v="1"/>
    <n v="114.22575809300101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4"/>
    <x v="10"/>
    <x v="0"/>
    <x v="1"/>
    <n v="126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4"/>
    <x v="11"/>
    <x v="1"/>
    <x v="1"/>
    <n v="127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4"/>
    <x v="12"/>
    <x v="1"/>
    <x v="2"/>
    <n v="133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4"/>
    <x v="13"/>
    <x v="4"/>
    <x v="3"/>
    <n v="173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4"/>
    <x v="14"/>
    <x v="5"/>
    <x v="3"/>
    <n v="0.91240023943169402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4"/>
    <x v="15"/>
    <x v="4"/>
    <x v="3"/>
    <n v="78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4"/>
    <x v="16"/>
    <x v="5"/>
    <x v="3"/>
    <n v="0.66593511338306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4"/>
    <x v="17"/>
    <x v="4"/>
    <x v="3"/>
    <n v="14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4"/>
    <x v="18"/>
    <x v="5"/>
    <x v="3"/>
    <n v="0.31141969825195598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4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4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5"/>
    <x v="0"/>
    <x v="0"/>
    <x v="0"/>
    <n v="387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5"/>
    <x v="1"/>
    <x v="1"/>
    <x v="0"/>
    <n v="391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5"/>
    <x v="2"/>
    <x v="2"/>
    <x v="1"/>
    <n v="374.41814967090301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5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5"/>
    <x v="4"/>
    <x v="0"/>
    <x v="1"/>
    <n v="22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5"/>
    <x v="5"/>
    <x v="1"/>
    <x v="1"/>
    <n v="20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5"/>
    <x v="6"/>
    <x v="0"/>
    <x v="0"/>
    <n v="131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5"/>
    <x v="7"/>
    <x v="1"/>
    <x v="0"/>
    <n v="130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5"/>
    <x v="8"/>
    <x v="2"/>
    <x v="1"/>
    <n v="187.220171272676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5"/>
    <x v="9"/>
    <x v="3"/>
    <x v="1"/>
    <n v="128.93972270347501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5"/>
    <x v="10"/>
    <x v="0"/>
    <x v="1"/>
    <n v="131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5"/>
    <x v="11"/>
    <x v="1"/>
    <x v="1"/>
    <n v="132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5"/>
    <x v="12"/>
    <x v="1"/>
    <x v="2"/>
    <n v="133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5"/>
    <x v="13"/>
    <x v="4"/>
    <x v="3"/>
    <n v="183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5"/>
    <x v="14"/>
    <x v="5"/>
    <x v="3"/>
    <n v="0.76736570138686699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5"/>
    <x v="15"/>
    <x v="4"/>
    <x v="3"/>
    <n v="80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5"/>
    <x v="16"/>
    <x v="5"/>
    <x v="3"/>
    <n v="0.696114902190206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5"/>
    <x v="17"/>
    <x v="4"/>
    <x v="3"/>
    <n v="22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5"/>
    <x v="18"/>
    <x v="5"/>
    <x v="3"/>
    <n v="0.44611233016282698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5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5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6"/>
    <x v="0"/>
    <x v="0"/>
    <x v="0"/>
    <n v="348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6"/>
    <x v="1"/>
    <x v="1"/>
    <x v="0"/>
    <n v="355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6"/>
    <x v="2"/>
    <x v="2"/>
    <x v="1"/>
    <n v="301.53541716171299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6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6"/>
    <x v="4"/>
    <x v="0"/>
    <x v="1"/>
    <n v="12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6"/>
    <x v="5"/>
    <x v="1"/>
    <x v="1"/>
    <n v="16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6"/>
    <x v="6"/>
    <x v="0"/>
    <x v="0"/>
    <n v="115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6"/>
    <x v="7"/>
    <x v="1"/>
    <x v="0"/>
    <n v="120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6"/>
    <x v="8"/>
    <x v="2"/>
    <x v="1"/>
    <n v="164.745501282996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6"/>
    <x v="9"/>
    <x v="3"/>
    <x v="1"/>
    <n v="36.437518321990602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6"/>
    <x v="10"/>
    <x v="0"/>
    <x v="1"/>
    <n v="115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6"/>
    <x v="11"/>
    <x v="1"/>
    <x v="1"/>
    <n v="116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6"/>
    <x v="12"/>
    <x v="1"/>
    <x v="2"/>
    <n v="123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6"/>
    <x v="13"/>
    <x v="4"/>
    <x v="3"/>
    <n v="160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6"/>
    <x v="14"/>
    <x v="5"/>
    <x v="3"/>
    <n v="0.73707365264835401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6"/>
    <x v="15"/>
    <x v="4"/>
    <x v="3"/>
    <n v="71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6"/>
    <x v="16"/>
    <x v="5"/>
    <x v="3"/>
    <n v="0.61027126122794995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6"/>
    <x v="17"/>
    <x v="4"/>
    <x v="3"/>
    <n v="12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6"/>
    <x v="18"/>
    <x v="5"/>
    <x v="3"/>
    <n v="0.30601538349313501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6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6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7"/>
    <x v="0"/>
    <x v="0"/>
    <x v="0"/>
    <n v="316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7"/>
    <x v="1"/>
    <x v="1"/>
    <x v="0"/>
    <n v="319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7"/>
    <x v="2"/>
    <x v="2"/>
    <x v="1"/>
    <n v="334.43373287573399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7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7"/>
    <x v="4"/>
    <x v="0"/>
    <x v="1"/>
    <n v="17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7"/>
    <x v="5"/>
    <x v="1"/>
    <x v="1"/>
    <n v="16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7"/>
    <x v="6"/>
    <x v="0"/>
    <x v="0"/>
    <n v="105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7"/>
    <x v="7"/>
    <x v="1"/>
    <x v="0"/>
    <n v="107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7"/>
    <x v="8"/>
    <x v="2"/>
    <x v="1"/>
    <n v="172.362702031353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7"/>
    <x v="9"/>
    <x v="3"/>
    <x v="1"/>
    <n v="72.9960912806674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7"/>
    <x v="10"/>
    <x v="0"/>
    <x v="1"/>
    <n v="105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7"/>
    <x v="11"/>
    <x v="1"/>
    <x v="1"/>
    <n v="108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7"/>
    <x v="12"/>
    <x v="1"/>
    <x v="2"/>
    <n v="110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7"/>
    <x v="13"/>
    <x v="4"/>
    <x v="3"/>
    <n v="147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7"/>
    <x v="14"/>
    <x v="5"/>
    <x v="3"/>
    <n v="0.788535692973937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7"/>
    <x v="15"/>
    <x v="4"/>
    <x v="3"/>
    <n v="65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7"/>
    <x v="16"/>
    <x v="5"/>
    <x v="3"/>
    <n v="0.58597716696561797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7"/>
    <x v="17"/>
    <x v="4"/>
    <x v="3"/>
    <n v="17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7"/>
    <x v="18"/>
    <x v="5"/>
    <x v="3"/>
    <n v="0.35638097510358502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7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7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8"/>
    <x v="0"/>
    <x v="0"/>
    <x v="0"/>
    <n v="352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8"/>
    <x v="1"/>
    <x v="1"/>
    <x v="0"/>
    <n v="354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8"/>
    <x v="2"/>
    <x v="2"/>
    <x v="1"/>
    <n v="336.25622421418399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8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8"/>
    <x v="4"/>
    <x v="0"/>
    <x v="1"/>
    <n v="16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8"/>
    <x v="5"/>
    <x v="1"/>
    <x v="1"/>
    <n v="18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8"/>
    <x v="6"/>
    <x v="0"/>
    <x v="0"/>
    <n v="116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8"/>
    <x v="7"/>
    <x v="1"/>
    <x v="0"/>
    <n v="119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8"/>
    <x v="8"/>
    <x v="2"/>
    <x v="1"/>
    <n v="207.27995499390801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8"/>
    <x v="9"/>
    <x v="3"/>
    <x v="1"/>
    <n v="324.91710015892198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8"/>
    <x v="10"/>
    <x v="0"/>
    <x v="1"/>
    <n v="116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8"/>
    <x v="11"/>
    <x v="1"/>
    <x v="1"/>
    <n v="117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8"/>
    <x v="12"/>
    <x v="1"/>
    <x v="2"/>
    <n v="122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8"/>
    <x v="13"/>
    <x v="4"/>
    <x v="3"/>
    <n v="156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8"/>
    <x v="14"/>
    <x v="5"/>
    <x v="3"/>
    <n v="0.85086953734208004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8"/>
    <x v="15"/>
    <x v="4"/>
    <x v="3"/>
    <n v="77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8"/>
    <x v="16"/>
    <x v="5"/>
    <x v="3"/>
    <n v="0.71460456600057298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8"/>
    <x v="17"/>
    <x v="4"/>
    <x v="3"/>
    <n v="16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8"/>
    <x v="18"/>
    <x v="5"/>
    <x v="3"/>
    <n v="0.34793935784283903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8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8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9"/>
    <x v="0"/>
    <x v="0"/>
    <x v="0"/>
    <n v="358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9"/>
    <x v="1"/>
    <x v="1"/>
    <x v="0"/>
    <n v="360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9"/>
    <x v="2"/>
    <x v="2"/>
    <x v="1"/>
    <n v="231.647528725043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9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9"/>
    <x v="4"/>
    <x v="0"/>
    <x v="1"/>
    <n v="16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9"/>
    <x v="5"/>
    <x v="1"/>
    <x v="1"/>
    <n v="15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9"/>
    <x v="6"/>
    <x v="0"/>
    <x v="0"/>
    <n v="120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9"/>
    <x v="7"/>
    <x v="1"/>
    <x v="0"/>
    <n v="120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9"/>
    <x v="8"/>
    <x v="2"/>
    <x v="1"/>
    <n v="189.19203167057799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9"/>
    <x v="9"/>
    <x v="3"/>
    <x v="1"/>
    <n v="145.21964045464401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9"/>
    <x v="10"/>
    <x v="0"/>
    <x v="1"/>
    <n v="120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9"/>
    <x v="11"/>
    <x v="1"/>
    <x v="1"/>
    <n v="121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9"/>
    <x v="12"/>
    <x v="1"/>
    <x v="2"/>
    <n v="123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9"/>
    <x v="13"/>
    <x v="4"/>
    <x v="3"/>
    <n v="165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9"/>
    <x v="14"/>
    <x v="5"/>
    <x v="3"/>
    <n v="0.82055692316692297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9"/>
    <x v="15"/>
    <x v="4"/>
    <x v="3"/>
    <n v="76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9"/>
    <x v="16"/>
    <x v="5"/>
    <x v="3"/>
    <n v="0.68243955045632299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9"/>
    <x v="17"/>
    <x v="4"/>
    <x v="3"/>
    <n v="16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9"/>
    <x v="18"/>
    <x v="5"/>
    <x v="3"/>
    <n v="0.27509410942003398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9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9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10"/>
    <x v="0"/>
    <x v="0"/>
    <x v="0"/>
    <n v="381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0"/>
    <x v="1"/>
    <x v="1"/>
    <x v="0"/>
    <n v="373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0"/>
    <x v="2"/>
    <x v="2"/>
    <x v="1"/>
    <n v="456.33427551718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0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0"/>
    <x v="4"/>
    <x v="0"/>
    <x v="1"/>
    <n v="22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0"/>
    <x v="5"/>
    <x v="1"/>
    <x v="1"/>
    <n v="20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0"/>
    <x v="6"/>
    <x v="0"/>
    <x v="0"/>
    <n v="125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0"/>
    <x v="7"/>
    <x v="1"/>
    <x v="0"/>
    <n v="124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0"/>
    <x v="8"/>
    <x v="2"/>
    <x v="1"/>
    <n v="204.14864236111501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0"/>
    <x v="9"/>
    <x v="3"/>
    <x v="1"/>
    <n v="172.114169892197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0"/>
    <x v="10"/>
    <x v="0"/>
    <x v="1"/>
    <n v="125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0"/>
    <x v="11"/>
    <x v="1"/>
    <x v="1"/>
    <n v="126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0"/>
    <x v="12"/>
    <x v="1"/>
    <x v="2"/>
    <n v="127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0"/>
    <x v="13"/>
    <x v="4"/>
    <x v="3"/>
    <n v="174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0"/>
    <x v="14"/>
    <x v="5"/>
    <x v="3"/>
    <n v="0.88290459880079397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0"/>
    <x v="15"/>
    <x v="4"/>
    <x v="3"/>
    <n v="77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0"/>
    <x v="16"/>
    <x v="5"/>
    <x v="3"/>
    <n v="0.74071350079077902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0"/>
    <x v="17"/>
    <x v="4"/>
    <x v="3"/>
    <n v="22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0"/>
    <x v="18"/>
    <x v="5"/>
    <x v="3"/>
    <n v="0.53820629377380302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0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0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11"/>
    <x v="0"/>
    <x v="0"/>
    <x v="0"/>
    <n v="352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1"/>
    <x v="1"/>
    <x v="1"/>
    <x v="0"/>
    <n v="348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1"/>
    <x v="2"/>
    <x v="2"/>
    <x v="1"/>
    <n v="296.59479635442398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1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1"/>
    <x v="4"/>
    <x v="0"/>
    <x v="1"/>
    <n v="19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1"/>
    <x v="5"/>
    <x v="1"/>
    <x v="1"/>
    <n v="16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1"/>
    <x v="6"/>
    <x v="0"/>
    <x v="0"/>
    <n v="118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1"/>
    <x v="7"/>
    <x v="1"/>
    <x v="0"/>
    <n v="115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1"/>
    <x v="8"/>
    <x v="2"/>
    <x v="1"/>
    <n v="177.98838449957799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1"/>
    <x v="9"/>
    <x v="3"/>
    <x v="1"/>
    <n v="72.090426438674498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1"/>
    <x v="10"/>
    <x v="0"/>
    <x v="1"/>
    <n v="118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1"/>
    <x v="11"/>
    <x v="1"/>
    <x v="1"/>
    <n v="118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1"/>
    <x v="12"/>
    <x v="1"/>
    <x v="2"/>
    <n v="118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1"/>
    <x v="13"/>
    <x v="4"/>
    <x v="3"/>
    <n v="158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1"/>
    <x v="14"/>
    <x v="5"/>
    <x v="3"/>
    <n v="0.79483347197116505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1"/>
    <x v="15"/>
    <x v="4"/>
    <x v="3"/>
    <n v="78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1"/>
    <x v="16"/>
    <x v="5"/>
    <x v="3"/>
    <n v="0.60144011566393596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1"/>
    <x v="17"/>
    <x v="4"/>
    <x v="3"/>
    <n v="19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1"/>
    <x v="18"/>
    <x v="5"/>
    <x v="3"/>
    <n v="0.3487870132532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1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1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12"/>
    <x v="0"/>
    <x v="0"/>
    <x v="0"/>
    <n v="354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2"/>
    <x v="1"/>
    <x v="1"/>
    <x v="0"/>
    <n v="362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2"/>
    <x v="2"/>
    <x v="2"/>
    <x v="1"/>
    <n v="225.161235126317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2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2"/>
    <x v="4"/>
    <x v="0"/>
    <x v="1"/>
    <n v="13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2"/>
    <x v="5"/>
    <x v="1"/>
    <x v="1"/>
    <n v="15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2"/>
    <x v="6"/>
    <x v="0"/>
    <x v="0"/>
    <n v="118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2"/>
    <x v="7"/>
    <x v="1"/>
    <x v="0"/>
    <n v="122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2"/>
    <x v="8"/>
    <x v="2"/>
    <x v="1"/>
    <n v="199.09153354357699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2"/>
    <x v="9"/>
    <x v="3"/>
    <x v="1"/>
    <n v="169.115366107314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2"/>
    <x v="10"/>
    <x v="0"/>
    <x v="1"/>
    <n v="118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2"/>
    <x v="11"/>
    <x v="1"/>
    <x v="1"/>
    <n v="120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2"/>
    <x v="12"/>
    <x v="1"/>
    <x v="2"/>
    <n v="125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2"/>
    <x v="13"/>
    <x v="4"/>
    <x v="3"/>
    <n v="169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2"/>
    <x v="14"/>
    <x v="5"/>
    <x v="3"/>
    <n v="0.81573225758243195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2"/>
    <x v="15"/>
    <x v="4"/>
    <x v="3"/>
    <n v="68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2"/>
    <x v="16"/>
    <x v="5"/>
    <x v="3"/>
    <n v="0.67381025310460296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2"/>
    <x v="17"/>
    <x v="4"/>
    <x v="3"/>
    <n v="13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2"/>
    <x v="18"/>
    <x v="5"/>
    <x v="3"/>
    <n v="0.20879044077011299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2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2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13"/>
    <x v="0"/>
    <x v="0"/>
    <x v="0"/>
    <n v="342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3"/>
    <x v="1"/>
    <x v="1"/>
    <x v="0"/>
    <n v="336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3"/>
    <x v="2"/>
    <x v="2"/>
    <x v="1"/>
    <n v="312.94215644044903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3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3"/>
    <x v="4"/>
    <x v="0"/>
    <x v="1"/>
    <n v="18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3"/>
    <x v="5"/>
    <x v="1"/>
    <x v="1"/>
    <n v="17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3"/>
    <x v="6"/>
    <x v="0"/>
    <x v="0"/>
    <n v="114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3"/>
    <x v="7"/>
    <x v="1"/>
    <x v="0"/>
    <n v="111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3"/>
    <x v="8"/>
    <x v="2"/>
    <x v="1"/>
    <n v="189.17166779742601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3"/>
    <x v="9"/>
    <x v="3"/>
    <x v="1"/>
    <n v="76.564954186848695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3"/>
    <x v="10"/>
    <x v="0"/>
    <x v="1"/>
    <n v="114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3"/>
    <x v="11"/>
    <x v="1"/>
    <x v="1"/>
    <n v="112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3"/>
    <x v="12"/>
    <x v="1"/>
    <x v="2"/>
    <n v="114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3"/>
    <x v="13"/>
    <x v="4"/>
    <x v="3"/>
    <n v="159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3"/>
    <x v="14"/>
    <x v="5"/>
    <x v="3"/>
    <n v="0.75713038369841801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3"/>
    <x v="15"/>
    <x v="4"/>
    <x v="3"/>
    <n v="68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3"/>
    <x v="16"/>
    <x v="5"/>
    <x v="3"/>
    <n v="0.69367162316071496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3"/>
    <x v="17"/>
    <x v="4"/>
    <x v="3"/>
    <n v="18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3"/>
    <x v="18"/>
    <x v="5"/>
    <x v="3"/>
    <n v="0.369026019279249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3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3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14"/>
    <x v="0"/>
    <x v="0"/>
    <x v="0"/>
    <n v="330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4"/>
    <x v="1"/>
    <x v="1"/>
    <x v="0"/>
    <n v="321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4"/>
    <x v="2"/>
    <x v="2"/>
    <x v="1"/>
    <n v="235.846208999108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4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4"/>
    <x v="4"/>
    <x v="0"/>
    <x v="1"/>
    <n v="15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4"/>
    <x v="5"/>
    <x v="1"/>
    <x v="1"/>
    <n v="13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4"/>
    <x v="6"/>
    <x v="0"/>
    <x v="0"/>
    <n v="105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4"/>
    <x v="7"/>
    <x v="1"/>
    <x v="0"/>
    <n v="108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4"/>
    <x v="8"/>
    <x v="2"/>
    <x v="1"/>
    <n v="194.96458818170899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4"/>
    <x v="9"/>
    <x v="3"/>
    <x v="1"/>
    <n v="88.673747288575598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4"/>
    <x v="10"/>
    <x v="0"/>
    <x v="1"/>
    <n v="105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4"/>
    <x v="11"/>
    <x v="1"/>
    <x v="1"/>
    <n v="110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4"/>
    <x v="12"/>
    <x v="1"/>
    <x v="2"/>
    <n v="111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4"/>
    <x v="13"/>
    <x v="4"/>
    <x v="3"/>
    <n v="154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4"/>
    <x v="14"/>
    <x v="5"/>
    <x v="3"/>
    <n v="0.87240837809518301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4"/>
    <x v="15"/>
    <x v="4"/>
    <x v="3"/>
    <n v="60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4"/>
    <x v="16"/>
    <x v="5"/>
    <x v="3"/>
    <n v="0.56997786792460803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4"/>
    <x v="17"/>
    <x v="4"/>
    <x v="3"/>
    <n v="15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4"/>
    <x v="18"/>
    <x v="5"/>
    <x v="3"/>
    <n v="0.27506719351973202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4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4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15"/>
    <x v="0"/>
    <x v="0"/>
    <x v="0"/>
    <n v="348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5"/>
    <x v="1"/>
    <x v="1"/>
    <x v="0"/>
    <n v="351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5"/>
    <x v="2"/>
    <x v="2"/>
    <x v="1"/>
    <n v="357.183820542604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5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5"/>
    <x v="4"/>
    <x v="0"/>
    <x v="1"/>
    <n v="16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5"/>
    <x v="5"/>
    <x v="1"/>
    <x v="1"/>
    <n v="16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5"/>
    <x v="6"/>
    <x v="0"/>
    <x v="0"/>
    <n v="115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5"/>
    <x v="7"/>
    <x v="1"/>
    <x v="0"/>
    <n v="118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5"/>
    <x v="8"/>
    <x v="2"/>
    <x v="1"/>
    <n v="189.614050565517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5"/>
    <x v="9"/>
    <x v="3"/>
    <x v="1"/>
    <n v="66.797614798232402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5"/>
    <x v="10"/>
    <x v="0"/>
    <x v="1"/>
    <n v="115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5"/>
    <x v="11"/>
    <x v="1"/>
    <x v="1"/>
    <n v="118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5"/>
    <x v="12"/>
    <x v="1"/>
    <x v="2"/>
    <n v="121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5"/>
    <x v="13"/>
    <x v="4"/>
    <x v="3"/>
    <n v="159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5"/>
    <x v="14"/>
    <x v="5"/>
    <x v="3"/>
    <n v="0.80135619468820696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5"/>
    <x v="15"/>
    <x v="4"/>
    <x v="3"/>
    <n v="74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5"/>
    <x v="16"/>
    <x v="5"/>
    <x v="3"/>
    <n v="0.63588612862522698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5"/>
    <x v="17"/>
    <x v="4"/>
    <x v="3"/>
    <n v="16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5"/>
    <x v="18"/>
    <x v="5"/>
    <x v="3"/>
    <n v="0.36677191417077798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5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5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16"/>
    <x v="0"/>
    <x v="0"/>
    <x v="0"/>
    <n v="329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6"/>
    <x v="1"/>
    <x v="1"/>
    <x v="0"/>
    <n v="330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6"/>
    <x v="2"/>
    <x v="2"/>
    <x v="1"/>
    <n v="279.13568784202897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6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6"/>
    <x v="4"/>
    <x v="0"/>
    <x v="1"/>
    <n v="17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6"/>
    <x v="5"/>
    <x v="1"/>
    <x v="1"/>
    <n v="18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6"/>
    <x v="6"/>
    <x v="0"/>
    <x v="0"/>
    <n v="110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6"/>
    <x v="7"/>
    <x v="1"/>
    <x v="0"/>
    <n v="110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6"/>
    <x v="8"/>
    <x v="2"/>
    <x v="1"/>
    <n v="159.38722481493599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6"/>
    <x v="9"/>
    <x v="3"/>
    <x v="1"/>
    <n v="48.765300915941701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6"/>
    <x v="10"/>
    <x v="0"/>
    <x v="1"/>
    <n v="110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6"/>
    <x v="11"/>
    <x v="1"/>
    <x v="1"/>
    <n v="109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6"/>
    <x v="12"/>
    <x v="1"/>
    <x v="2"/>
    <n v="113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6"/>
    <x v="13"/>
    <x v="4"/>
    <x v="3"/>
    <n v="148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6"/>
    <x v="14"/>
    <x v="5"/>
    <x v="3"/>
    <n v="0.73766612257745801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6"/>
    <x v="15"/>
    <x v="4"/>
    <x v="3"/>
    <n v="72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6"/>
    <x v="16"/>
    <x v="5"/>
    <x v="3"/>
    <n v="0.52223972091576099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6"/>
    <x v="17"/>
    <x v="4"/>
    <x v="3"/>
    <n v="17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6"/>
    <x v="18"/>
    <x v="5"/>
    <x v="3"/>
    <n v="0.29549705886623601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6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6"/>
    <x v="20"/>
    <x v="1"/>
    <x v="0"/>
    <n v="3"/>
    <n v="0"/>
    <s v="Weekend (base)reloj.NumberOutNumber OutEntity"/>
    <n v="17"/>
    <n v="3"/>
    <n v="0"/>
    <n v="0.95"/>
    <n v="0"/>
    <n v="3"/>
    <n v="3"/>
  </r>
  <r>
    <x v="0"/>
    <s v="2025-05-17 23:41:37"/>
    <n v="17"/>
    <x v="0"/>
    <x v="0"/>
    <x v="0"/>
    <n v="364"/>
    <n v="0"/>
    <s v="Weekend (base)Cliente.NumberInNumber InEntity"/>
    <n v="17"/>
    <n v="354.11764705882354"/>
    <n v="19.776508643277939"/>
    <n v="0.95"/>
    <n v="10.168142482815826"/>
    <n v="316"/>
    <n v="387"/>
  </r>
  <r>
    <x v="0"/>
    <s v="2025-05-17 23:41:37"/>
    <n v="17"/>
    <x v="1"/>
    <x v="1"/>
    <x v="0"/>
    <n v="351"/>
    <n v="0"/>
    <s v="Weekend (base)Cliente.NumberOutNumber OutEntity"/>
    <n v="17"/>
    <n v="354.88235294117646"/>
    <n v="20.951975900082719"/>
    <n v="0.95"/>
    <n v="10.772511978294911"/>
    <n v="319"/>
    <n v="391"/>
  </r>
  <r>
    <x v="0"/>
    <s v="2025-05-17 23:41:37"/>
    <n v="17"/>
    <x v="2"/>
    <x v="2"/>
    <x v="1"/>
    <n v="324.59332343861797"/>
    <n v="0"/>
    <s v="Weekend (base)Comer en Mesa Accum VA TimeAccum VA TimeProcess"/>
    <n v="17"/>
    <n v="308.63553444706355"/>
    <n v="57.365542312184125"/>
    <n v="0.95"/>
    <n v="29.49464024998937"/>
    <n v="225.161235126317"/>
    <n v="456.33427551718"/>
  </r>
  <r>
    <x v="0"/>
    <s v="2025-05-17 23:41:37"/>
    <n v="17"/>
    <x v="3"/>
    <x v="3"/>
    <x v="1"/>
    <n v="0"/>
    <n v="0"/>
    <s v="Weekend (base)Comer en Mesa Accum Wait TimeAccum Wait TimeProcess"/>
    <n v="17"/>
    <n v="0"/>
    <n v="0"/>
    <n v="0.95"/>
    <n v="0"/>
    <n v="0"/>
    <n v="0"/>
  </r>
  <r>
    <x v="0"/>
    <s v="2025-05-17 23:41:37"/>
    <n v="17"/>
    <x v="4"/>
    <x v="0"/>
    <x v="1"/>
    <n v="20"/>
    <n v="0"/>
    <s v="Weekend (base)Comer en Mesa Number InNumber InProcess"/>
    <n v="17"/>
    <n v="16.941176470588236"/>
    <n v="3.0097879542273018"/>
    <n v="0.95"/>
    <n v="1.5474901719848453"/>
    <n v="12"/>
    <n v="22"/>
  </r>
  <r>
    <x v="0"/>
    <s v="2025-05-17 23:41:37"/>
    <n v="17"/>
    <x v="5"/>
    <x v="1"/>
    <x v="1"/>
    <n v="18"/>
    <n v="0"/>
    <s v="Weekend (base)Comer en Mesa Number OutNumber OutProcess"/>
    <n v="17"/>
    <n v="16.764705882352942"/>
    <n v="1.8550408272025261"/>
    <n v="0.95"/>
    <n v="0.95377398420864057"/>
    <n v="13"/>
    <n v="20"/>
  </r>
  <r>
    <x v="0"/>
    <s v="2025-05-17 23:41:37"/>
    <n v="17"/>
    <x v="6"/>
    <x v="0"/>
    <x v="0"/>
    <n v="117"/>
    <n v="0"/>
    <s v="Weekend (base)Orden.NumberInNumber InEntity"/>
    <n v="17"/>
    <n v="117.35294117647059"/>
    <n v="7.1496606254299602"/>
    <n v="0.95"/>
    <n v="3.6760162905630134"/>
    <n v="105"/>
    <n v="131"/>
  </r>
  <r>
    <x v="0"/>
    <s v="2025-05-17 23:41:37"/>
    <n v="17"/>
    <x v="7"/>
    <x v="1"/>
    <x v="0"/>
    <n v="117"/>
    <n v="0"/>
    <s v="Weekend (base)Orden.NumberOutNumber OutEntity"/>
    <n v="17"/>
    <n v="118.76470588235294"/>
    <n v="7.0580575564802697"/>
    <n v="0.95"/>
    <n v="3.6289183384550587"/>
    <n v="107"/>
    <n v="130"/>
  </r>
  <r>
    <x v="0"/>
    <s v="2025-05-17 23:41:37"/>
    <n v="17"/>
    <x v="8"/>
    <x v="2"/>
    <x v="1"/>
    <n v="210.174684317161"/>
    <n v="0"/>
    <s v="Weekend (base)Preparacion Accum VA TimeAccum VA TimeProcess"/>
    <n v="17"/>
    <n v="191.25148078330704"/>
    <n v="16.886201618463961"/>
    <n v="0.95"/>
    <n v="8.6820837361734355"/>
    <n v="159.38722481493599"/>
    <n v="225.02992874035499"/>
  </r>
  <r>
    <x v="0"/>
    <s v="2025-05-17 23:41:37"/>
    <n v="17"/>
    <x v="9"/>
    <x v="3"/>
    <x v="1"/>
    <n v="221.92037741642099"/>
    <n v="0"/>
    <s v="Weekend (base)Preparacion Accum Wait TimeAccum Wait TimeProcess"/>
    <n v="17"/>
    <n v="133.66503743442436"/>
    <n v="79.508986996493206"/>
    <n v="0.95"/>
    <n v="40.879748949999311"/>
    <n v="36.437518321990602"/>
    <n v="324.91710015892198"/>
  </r>
  <r>
    <x v="0"/>
    <s v="2025-05-17 23:41:37"/>
    <n v="17"/>
    <x v="10"/>
    <x v="0"/>
    <x v="1"/>
    <n v="117"/>
    <n v="0"/>
    <s v="Weekend (base)Preparacion Number InNumber InProcess"/>
    <n v="17"/>
    <n v="117.35294117647059"/>
    <n v="7.1496606254299602"/>
    <n v="0.95"/>
    <n v="3.6760162905630134"/>
    <n v="105"/>
    <n v="131"/>
  </r>
  <r>
    <x v="0"/>
    <s v="2025-05-17 23:41:37"/>
    <n v="17"/>
    <x v="11"/>
    <x v="1"/>
    <x v="1"/>
    <n v="118"/>
    <n v="0"/>
    <s v="Weekend (base)Preparacion Number OutNumber OutProcess"/>
    <n v="17"/>
    <n v="118.82352941176471"/>
    <n v="6.9931689358048459"/>
    <n v="0.95"/>
    <n v="3.5955556882298705"/>
    <n v="108"/>
    <n v="132"/>
  </r>
  <r>
    <x v="0"/>
    <s v="2025-05-17 23:41:37"/>
    <n v="17"/>
    <x v="12"/>
    <x v="1"/>
    <x v="2"/>
    <n v="120"/>
    <n v="0"/>
    <s v="Weekend (base)System.NumberOutNumber OutSystem"/>
    <n v="17"/>
    <n v="121.76470588235294"/>
    <n v="7.0580575564802697"/>
    <n v="0.95"/>
    <n v="3.6289183384550587"/>
    <n v="110"/>
    <n v="133"/>
  </r>
  <r>
    <x v="0"/>
    <s v="2025-05-17 23:41:37"/>
    <n v="17"/>
    <x v="13"/>
    <x v="4"/>
    <x v="3"/>
    <n v="166"/>
    <n v="0"/>
    <s v="Weekend (base)rCajero.NumberSeizedTotal Number SeizedResource"/>
    <n v="17"/>
    <n v="162.1764705882353"/>
    <n v="10.100960932738323"/>
    <n v="0.95"/>
    <n v="5.1934348893453492"/>
    <n v="147"/>
    <n v="183"/>
  </r>
  <r>
    <x v="0"/>
    <s v="2025-05-17 23:41:37"/>
    <n v="17"/>
    <x v="14"/>
    <x v="5"/>
    <x v="3"/>
    <n v="0.87839421174033205"/>
    <n v="0"/>
    <s v="Weekend (base)rCajero.ScheduledUtilizationScheduled UtilizationResource"/>
    <n v="17"/>
    <n v="0.82034721885470152"/>
    <n v="6.5495768324500853E-2"/>
    <n v="0.95"/>
    <n v="3.3674816741294945E-2"/>
    <n v="0.73534383204610498"/>
    <n v="0.95888680213271504"/>
  </r>
  <r>
    <x v="0"/>
    <s v="2025-05-17 23:41:37"/>
    <n v="17"/>
    <x v="15"/>
    <x v="4"/>
    <x v="3"/>
    <n v="69"/>
    <n v="0"/>
    <s v="Weekend (base)rCocina.NumberSeizedTotal Number SeizedResource"/>
    <n v="17"/>
    <n v="73.764705882352942"/>
    <n v="6.2302629535669061"/>
    <n v="0.95"/>
    <n v="3.2033056268913307"/>
    <n v="60"/>
    <n v="84"/>
  </r>
  <r>
    <x v="0"/>
    <s v="2025-05-17 23:41:37"/>
    <n v="17"/>
    <x v="16"/>
    <x v="5"/>
    <x v="3"/>
    <n v="0.65981085089275904"/>
    <n v="0"/>
    <s v="Weekend (base)rCocina.ScheduledUtilizationScheduled UtilizationResource"/>
    <n v="17"/>
    <n v="0.66010861965703893"/>
    <n v="6.6171154002911237E-2"/>
    <n v="0.95"/>
    <n v="3.4022068014651748E-2"/>
    <n v="0.52223972091576099"/>
    <n v="0.77852312806092006"/>
  </r>
  <r>
    <x v="0"/>
    <s v="2025-05-17 23:41:37"/>
    <n v="17"/>
    <x v="17"/>
    <x v="4"/>
    <x v="3"/>
    <n v="20"/>
    <n v="0"/>
    <s v="Weekend (base)rMesa.NumberSeizedTotal Number SeizedResource"/>
    <n v="17"/>
    <n v="16.941176470588236"/>
    <n v="3.0097879542273018"/>
    <n v="0.95"/>
    <n v="1.5474901719848453"/>
    <n v="12"/>
    <n v="22"/>
  </r>
  <r>
    <x v="0"/>
    <s v="2025-05-17 23:41:37"/>
    <n v="17"/>
    <x v="18"/>
    <x v="5"/>
    <x v="3"/>
    <n v="0.40742074900349501"/>
    <n v="0"/>
    <s v="Weekend (base)rMesa.ScheduledUtilizationScheduled UtilizationResource"/>
    <n v="17"/>
    <n v="0.34356399197544252"/>
    <n v="7.597675013665138E-2"/>
    <n v="0.95"/>
    <n v="3.9063640337413962E-2"/>
    <n v="0.20879044077011299"/>
    <n v="0.53820629377380302"/>
  </r>
  <r>
    <x v="0"/>
    <s v="2025-05-17 23:41:37"/>
    <n v="17"/>
    <x v="19"/>
    <x v="0"/>
    <x v="0"/>
    <n v="3"/>
    <n v="0"/>
    <s v="Weekend (base)reloj.NumberInNumber InEntity"/>
    <n v="17"/>
    <n v="3"/>
    <n v="0"/>
    <n v="0.95"/>
    <n v="0"/>
    <n v="3"/>
    <n v="3"/>
  </r>
  <r>
    <x v="0"/>
    <s v="2025-05-17 23:41:37"/>
    <n v="17"/>
    <x v="20"/>
    <x v="1"/>
    <x v="0"/>
    <n v="3"/>
    <n v="0"/>
    <s v="Weekend (base)reloj.NumberOutNumber OutEntity"/>
    <n v="17"/>
    <n v="3"/>
    <n v="0"/>
    <n v="0.95"/>
    <n v="0"/>
    <n v="3"/>
    <n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3">
  <r>
    <x v="0"/>
    <s v="2025-05-17 23:41:37"/>
    <n v="1"/>
    <x v="0"/>
    <x v="0"/>
    <x v="0"/>
    <n v="7.26052008580099"/>
    <n v="3E+20"/>
    <n v="0"/>
    <n v="19"/>
    <n v="7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"/>
    <x v="2"/>
    <x v="1"/>
    <x v="1"/>
    <n v="1.5802625622411499"/>
    <n v="2E+20"/>
    <n v="0"/>
    <n v="7"/>
    <n v="0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"/>
    <x v="3"/>
    <x v="0"/>
    <x v="0"/>
    <n v="3.6377268277838199"/>
    <n v="2E+20"/>
    <n v="0"/>
    <n v="8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"/>
    <x v="4"/>
    <x v="1"/>
    <x v="1"/>
    <n v="1.11073864078917"/>
    <n v="2E+20"/>
    <n v="0"/>
    <n v="9"/>
    <n v="0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"/>
    <x v="5"/>
    <x v="1"/>
    <x v="1"/>
    <n v="0.49797868707661203"/>
    <n v="2E+20"/>
    <n v="0"/>
    <n v="5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"/>
    <x v="6"/>
    <x v="2"/>
    <x v="2"/>
    <n v="1.94264945072785"/>
    <n v="2E+20"/>
    <n v="0"/>
    <n v="5"/>
    <n v="3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"/>
    <x v="7"/>
    <x v="3"/>
    <x v="3"/>
    <n v="0.83444472024726102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"/>
    <x v="7"/>
    <x v="4"/>
    <x v="3"/>
    <n v="0.83444472024726102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"/>
    <x v="8"/>
    <x v="3"/>
    <x v="3"/>
    <n v="0.72539246956556902"/>
    <n v="2E+20"/>
    <n v="0"/>
    <n v="1"/>
    <n v="0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"/>
    <x v="8"/>
    <x v="4"/>
    <x v="3"/>
    <n v="0.72539246956556902"/>
    <n v="2E+20"/>
    <n v="0"/>
    <n v="1"/>
    <n v="0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"/>
    <x v="9"/>
    <x v="3"/>
    <x v="3"/>
    <n v="0.38852989014557099"/>
    <n v="2E+20"/>
    <n v="0"/>
    <n v="1"/>
    <n v="0.6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"/>
    <x v="9"/>
    <x v="4"/>
    <x v="3"/>
    <n v="1.94264945072785"/>
    <n v="2E+20"/>
    <n v="0"/>
    <n v="5"/>
    <n v="3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"/>
    <x v="11"/>
    <x v="6"/>
    <x v="2"/>
    <n v="5.2366669313694203"/>
    <n v="2E+20"/>
    <n v="0"/>
    <n v="16"/>
    <n v="4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"/>
    <x v="12"/>
    <x v="6"/>
    <x v="2"/>
    <n v="3.05735054927215"/>
    <n v="2E+20"/>
    <n v="0"/>
    <n v="5"/>
    <n v="2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2"/>
    <x v="0"/>
    <x v="0"/>
    <x v="0"/>
    <n v="6.8158526384736202"/>
    <n v="3E+20"/>
    <n v="1"/>
    <n v="21"/>
    <n v="10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2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2"/>
    <x v="2"/>
    <x v="1"/>
    <x v="1"/>
    <n v="1.8826577805058999"/>
    <n v="2E+20"/>
    <n v="0"/>
    <n v="8"/>
    <n v="2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2"/>
    <x v="3"/>
    <x v="0"/>
    <x v="0"/>
    <n v="3.4245028194663201"/>
    <n v="2E+20"/>
    <n v="1"/>
    <n v="11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2"/>
    <x v="4"/>
    <x v="1"/>
    <x v="1"/>
    <n v="1.48268845146207"/>
    <n v="2E+20"/>
    <n v="0"/>
    <n v="7"/>
    <n v="6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2"/>
    <x v="5"/>
    <x v="1"/>
    <x v="1"/>
    <n v="0.86970831575708796"/>
    <n v="2E+20"/>
    <n v="0"/>
    <n v="5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2"/>
    <x v="6"/>
    <x v="2"/>
    <x v="2"/>
    <n v="1.4349627879095801"/>
    <n v="2E+20"/>
    <n v="0"/>
    <n v="4"/>
    <n v="1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2"/>
    <x v="7"/>
    <x v="3"/>
    <x v="3"/>
    <n v="0.73534383204610498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2"/>
    <x v="7"/>
    <x v="4"/>
    <x v="3"/>
    <n v="0.73534383204610498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2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2"/>
    <x v="8"/>
    <x v="3"/>
    <x v="3"/>
    <n v="0.66503831524105395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2"/>
    <x v="8"/>
    <x v="4"/>
    <x v="3"/>
    <n v="0.66503831524105395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2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2"/>
    <x v="9"/>
    <x v="3"/>
    <x v="3"/>
    <n v="0.286992557581916"/>
    <n v="2E+20"/>
    <n v="0"/>
    <n v="0.8"/>
    <n v="0.2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2"/>
    <x v="9"/>
    <x v="4"/>
    <x v="3"/>
    <n v="1.4349627879095801"/>
    <n v="2E+20"/>
    <n v="0"/>
    <n v="4"/>
    <n v="1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2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2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2"/>
    <x v="11"/>
    <x v="6"/>
    <x v="2"/>
    <n v="5.3054268876010804"/>
    <n v="2E+20"/>
    <n v="1"/>
    <n v="16"/>
    <n v="9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2"/>
    <x v="12"/>
    <x v="6"/>
    <x v="2"/>
    <n v="3.5650372120904201"/>
    <n v="2E+20"/>
    <n v="1"/>
    <n v="5"/>
    <n v="4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3"/>
    <x v="0"/>
    <x v="0"/>
    <x v="0"/>
    <n v="8.9782330550971992"/>
    <n v="3E+20"/>
    <n v="1"/>
    <n v="21"/>
    <n v="9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3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3"/>
    <x v="2"/>
    <x v="1"/>
    <x v="1"/>
    <n v="2.6834797020096799"/>
    <n v="2E+20"/>
    <n v="0"/>
    <n v="9"/>
    <n v="2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3"/>
    <x v="3"/>
    <x v="0"/>
    <x v="0"/>
    <n v="4.3630159485818103"/>
    <n v="2E+20"/>
    <n v="0"/>
    <n v="11"/>
    <n v="4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3"/>
    <x v="4"/>
    <x v="1"/>
    <x v="1"/>
    <n v="2.4660366954436301"/>
    <n v="2E+20"/>
    <n v="0"/>
    <n v="7"/>
    <n v="2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3"/>
    <x v="5"/>
    <x v="1"/>
    <x v="1"/>
    <n v="1.43886208446384"/>
    <n v="2E+20"/>
    <n v="0"/>
    <n v="7"/>
    <n v="1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3"/>
    <x v="6"/>
    <x v="2"/>
    <x v="2"/>
    <n v="1.56268439472027"/>
    <n v="2E+20"/>
    <n v="0"/>
    <n v="4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3"/>
    <x v="7"/>
    <x v="3"/>
    <x v="3"/>
    <n v="0.95888680213271504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3"/>
    <x v="7"/>
    <x v="4"/>
    <x v="3"/>
    <n v="0.95888680213271504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3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3"/>
    <x v="8"/>
    <x v="3"/>
    <x v="3"/>
    <n v="0.77852312806092006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3"/>
    <x v="8"/>
    <x v="4"/>
    <x v="3"/>
    <n v="0.77852312806092006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3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3"/>
    <x v="9"/>
    <x v="3"/>
    <x v="3"/>
    <n v="0.31253687894405402"/>
    <n v="2E+20"/>
    <n v="0"/>
    <n v="0.8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3"/>
    <x v="9"/>
    <x v="4"/>
    <x v="3"/>
    <n v="1.56268439472027"/>
    <n v="2E+20"/>
    <n v="0"/>
    <n v="4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3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3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3"/>
    <x v="11"/>
    <x v="6"/>
    <x v="2"/>
    <n v="7.3336968085250804"/>
    <n v="2E+20"/>
    <n v="1"/>
    <n v="15"/>
    <n v="7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3"/>
    <x v="12"/>
    <x v="6"/>
    <x v="2"/>
    <n v="3.4373156052797298"/>
    <n v="2E+20"/>
    <n v="1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4"/>
    <x v="0"/>
    <x v="0"/>
    <x v="0"/>
    <n v="7.1408588401054001"/>
    <n v="3E+20"/>
    <n v="0"/>
    <n v="16"/>
    <n v="0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4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4"/>
    <x v="2"/>
    <x v="1"/>
    <x v="1"/>
    <n v="1.7342731690078199"/>
    <n v="2E+20"/>
    <n v="0"/>
    <n v="7"/>
    <n v="0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4"/>
    <x v="3"/>
    <x v="0"/>
    <x v="0"/>
    <n v="3.4102605491564901"/>
    <n v="2E+20"/>
    <n v="0"/>
    <n v="8"/>
    <n v="0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4"/>
    <x v="4"/>
    <x v="1"/>
    <x v="1"/>
    <n v="1.6008513243153"/>
    <n v="2E+20"/>
    <n v="0"/>
    <n v="6"/>
    <n v="0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4"/>
    <x v="5"/>
    <x v="1"/>
    <x v="1"/>
    <n v="0.63289784490692802"/>
    <n v="2E+20"/>
    <n v="0"/>
    <n v="4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4"/>
    <x v="6"/>
    <x v="2"/>
    <x v="2"/>
    <n v="1.5570984912597801"/>
    <n v="2E+20"/>
    <n v="0"/>
    <n v="3"/>
    <n v="0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4"/>
    <x v="7"/>
    <x v="3"/>
    <x v="3"/>
    <n v="0.91240023943169402"/>
    <n v="2E+20"/>
    <n v="0"/>
    <n v="1"/>
    <n v="0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4"/>
    <x v="7"/>
    <x v="4"/>
    <x v="3"/>
    <n v="0.91240023943169402"/>
    <n v="2E+20"/>
    <n v="0"/>
    <n v="1"/>
    <n v="0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4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4"/>
    <x v="8"/>
    <x v="3"/>
    <x v="3"/>
    <n v="0.66593511338306"/>
    <n v="2E+20"/>
    <n v="0"/>
    <n v="1"/>
    <n v="0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4"/>
    <x v="8"/>
    <x v="4"/>
    <x v="3"/>
    <n v="0.66593511338306"/>
    <n v="2E+20"/>
    <n v="0"/>
    <n v="1"/>
    <n v="0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4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4"/>
    <x v="9"/>
    <x v="3"/>
    <x v="3"/>
    <n v="0.31141969825195598"/>
    <n v="2E+20"/>
    <n v="0"/>
    <n v="0.6"/>
    <n v="0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4"/>
    <x v="9"/>
    <x v="4"/>
    <x v="3"/>
    <n v="1.5570984912597801"/>
    <n v="2E+20"/>
    <n v="0"/>
    <n v="3"/>
    <n v="0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4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4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4"/>
    <x v="11"/>
    <x v="6"/>
    <x v="2"/>
    <n v="5.4998714599567204"/>
    <n v="2E+20"/>
    <n v="0"/>
    <n v="12"/>
    <n v="0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4"/>
    <x v="12"/>
    <x v="6"/>
    <x v="2"/>
    <n v="3.4429015087402202"/>
    <n v="2E+20"/>
    <n v="2"/>
    <n v="5"/>
    <n v="5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5"/>
    <x v="0"/>
    <x v="0"/>
    <x v="0"/>
    <n v="8.2362706405010009"/>
    <n v="3E+20"/>
    <n v="0"/>
    <n v="20"/>
    <n v="7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5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5"/>
    <x v="2"/>
    <x v="1"/>
    <x v="1"/>
    <n v="1.71363361930656"/>
    <n v="2E+20"/>
    <n v="0"/>
    <n v="8"/>
    <n v="1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5"/>
    <x v="3"/>
    <x v="0"/>
    <x v="0"/>
    <n v="4.0652137886392197"/>
    <n v="2E+20"/>
    <n v="0"/>
    <n v="10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5"/>
    <x v="4"/>
    <x v="1"/>
    <x v="1"/>
    <n v="1.40449583025241"/>
    <n v="2E+20"/>
    <n v="0"/>
    <n v="8"/>
    <n v="1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5"/>
    <x v="5"/>
    <x v="1"/>
    <x v="1"/>
    <n v="0.69050423837658004"/>
    <n v="2E+20"/>
    <n v="0"/>
    <n v="6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5"/>
    <x v="6"/>
    <x v="2"/>
    <x v="2"/>
    <n v="2.2305616508141299"/>
    <n v="2E+20"/>
    <n v="0"/>
    <n v="5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5"/>
    <x v="7"/>
    <x v="3"/>
    <x v="3"/>
    <n v="0.76736570138686699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5"/>
    <x v="7"/>
    <x v="4"/>
    <x v="3"/>
    <n v="0.76736570138686699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5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5"/>
    <x v="8"/>
    <x v="3"/>
    <x v="3"/>
    <n v="0.696114902190206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5"/>
    <x v="8"/>
    <x v="4"/>
    <x v="3"/>
    <n v="0.696114902190206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5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5"/>
    <x v="9"/>
    <x v="3"/>
    <x v="3"/>
    <n v="0.44611233016282698"/>
    <n v="2E+20"/>
    <n v="0"/>
    <n v="1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5"/>
    <x v="9"/>
    <x v="4"/>
    <x v="3"/>
    <n v="2.2305616508141299"/>
    <n v="2E+20"/>
    <n v="0"/>
    <n v="5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5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5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5"/>
    <x v="11"/>
    <x v="6"/>
    <x v="2"/>
    <n v="5.9210793600572398"/>
    <n v="2E+20"/>
    <n v="0"/>
    <n v="14"/>
    <n v="5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5"/>
    <x v="12"/>
    <x v="6"/>
    <x v="2"/>
    <n v="2.7694383491858701"/>
    <n v="2E+20"/>
    <n v="0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6"/>
    <x v="0"/>
    <x v="0"/>
    <x v="0"/>
    <n v="5.4544685782955797"/>
    <n v="3E+20"/>
    <n v="0"/>
    <n v="13"/>
    <n v="5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6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6"/>
    <x v="2"/>
    <x v="1"/>
    <x v="1"/>
    <n v="1.1292470593949"/>
    <n v="2E+20"/>
    <n v="0"/>
    <n v="6"/>
    <n v="3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6"/>
    <x v="3"/>
    <x v="0"/>
    <x v="0"/>
    <n v="2.7683054583420699"/>
    <n v="2E+20"/>
    <n v="0"/>
    <n v="8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6"/>
    <x v="4"/>
    <x v="1"/>
    <x v="1"/>
    <n v="0.64455717508326504"/>
    <n v="2E+20"/>
    <n v="0"/>
    <n v="6"/>
    <n v="2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6"/>
    <x v="5"/>
    <x v="1"/>
    <x v="1"/>
    <n v="0.20519043218243799"/>
    <n v="2E+20"/>
    <n v="0"/>
    <n v="3"/>
    <n v="1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6"/>
    <x v="6"/>
    <x v="2"/>
    <x v="2"/>
    <n v="1.5300769174656801"/>
    <n v="2E+20"/>
    <n v="0"/>
    <n v="4"/>
    <n v="0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6"/>
    <x v="7"/>
    <x v="3"/>
    <x v="3"/>
    <n v="0.73707365264835401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6"/>
    <x v="7"/>
    <x v="4"/>
    <x v="3"/>
    <n v="0.73707365264835401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6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6"/>
    <x v="8"/>
    <x v="3"/>
    <x v="3"/>
    <n v="0.61027126122794995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6"/>
    <x v="8"/>
    <x v="4"/>
    <x v="3"/>
    <n v="0.61027126122794995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6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6"/>
    <x v="9"/>
    <x v="3"/>
    <x v="3"/>
    <n v="0.30601538349313501"/>
    <n v="2E+20"/>
    <n v="0"/>
    <n v="0.8"/>
    <n v="0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6"/>
    <x v="9"/>
    <x v="4"/>
    <x v="3"/>
    <n v="1.5300769174656801"/>
    <n v="2E+20"/>
    <n v="0"/>
    <n v="4"/>
    <n v="0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6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6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6"/>
    <x v="11"/>
    <x v="6"/>
    <x v="2"/>
    <n v="3.84735462379287"/>
    <n v="2E+20"/>
    <n v="0"/>
    <n v="8"/>
    <n v="5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6"/>
    <x v="12"/>
    <x v="6"/>
    <x v="2"/>
    <n v="3.4699230825343301"/>
    <n v="2E+20"/>
    <n v="1"/>
    <n v="5"/>
    <n v="5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7"/>
    <x v="0"/>
    <x v="0"/>
    <x v="0"/>
    <n v="6.4100042836468303"/>
    <n v="2E+20"/>
    <n v="0"/>
    <n v="15"/>
    <n v="5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7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7"/>
    <x v="2"/>
    <x v="1"/>
    <x v="1"/>
    <n v="1.3300547032007199"/>
    <n v="2E+20"/>
    <n v="0"/>
    <n v="7"/>
    <n v="1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7"/>
    <x v="3"/>
    <x v="0"/>
    <x v="0"/>
    <n v="3.21066328242236"/>
    <n v="2E+20"/>
    <n v="0"/>
    <n v="8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7"/>
    <x v="4"/>
    <x v="1"/>
    <x v="1"/>
    <n v="0.91504169895099496"/>
    <n v="2E+20"/>
    <n v="0"/>
    <n v="5"/>
    <n v="0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7"/>
    <x v="5"/>
    <x v="1"/>
    <x v="1"/>
    <n v="0.378491825572284"/>
    <n v="2E+20"/>
    <n v="0"/>
    <n v="4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7"/>
    <x v="6"/>
    <x v="2"/>
    <x v="2"/>
    <n v="1.7819048755179301"/>
    <n v="2E+20"/>
    <n v="0"/>
    <n v="5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7"/>
    <x v="7"/>
    <x v="3"/>
    <x v="3"/>
    <n v="0.788535692973937"/>
    <n v="2E+20"/>
    <n v="0"/>
    <n v="1"/>
    <n v="0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7"/>
    <x v="7"/>
    <x v="4"/>
    <x v="3"/>
    <n v="0.788535692973937"/>
    <n v="2E+20"/>
    <n v="0"/>
    <n v="1"/>
    <n v="0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7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7"/>
    <x v="8"/>
    <x v="3"/>
    <x v="3"/>
    <n v="0.58597716696561797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7"/>
    <x v="8"/>
    <x v="4"/>
    <x v="3"/>
    <n v="0.58597716696561797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7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7"/>
    <x v="9"/>
    <x v="3"/>
    <x v="3"/>
    <n v="0.35638097510358502"/>
    <n v="2E+20"/>
    <n v="0"/>
    <n v="1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7"/>
    <x v="9"/>
    <x v="4"/>
    <x v="3"/>
    <n v="1.7819048755179301"/>
    <n v="2E+20"/>
    <n v="0"/>
    <n v="5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7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7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7"/>
    <x v="11"/>
    <x v="6"/>
    <x v="2"/>
    <n v="4.5585623710918703"/>
    <n v="2E+20"/>
    <n v="0"/>
    <n v="10"/>
    <n v="3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7"/>
    <x v="12"/>
    <x v="6"/>
    <x v="2"/>
    <n v="3.2180951244820801"/>
    <n v="2E+20"/>
    <n v="0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8"/>
    <x v="0"/>
    <x v="0"/>
    <x v="0"/>
    <n v="9.7378046175425492"/>
    <n v="3E+20"/>
    <n v="0"/>
    <n v="24"/>
    <n v="7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8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8"/>
    <x v="2"/>
    <x v="1"/>
    <x v="1"/>
    <n v="2.9364889703726602"/>
    <n v="2E+20"/>
    <n v="0"/>
    <n v="12"/>
    <n v="0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8"/>
    <x v="3"/>
    <x v="0"/>
    <x v="0"/>
    <n v="4.7851672410683399"/>
    <n v="2E+20"/>
    <n v="0"/>
    <n v="12"/>
    <n v="2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8"/>
    <x v="4"/>
    <x v="1"/>
    <x v="1"/>
    <n v="2.69061971266638"/>
    <n v="2E+20"/>
    <n v="0"/>
    <n v="11"/>
    <n v="2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8"/>
    <x v="5"/>
    <x v="1"/>
    <x v="1"/>
    <n v="1.8050950008829001"/>
    <n v="2E+20"/>
    <n v="0"/>
    <n v="9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8"/>
    <x v="6"/>
    <x v="2"/>
    <x v="2"/>
    <n v="1.7396967892141999"/>
    <n v="2E+20"/>
    <n v="0"/>
    <n v="5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8"/>
    <x v="7"/>
    <x v="3"/>
    <x v="3"/>
    <n v="0.85086953734208004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8"/>
    <x v="7"/>
    <x v="4"/>
    <x v="3"/>
    <n v="0.85086953734208004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8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8"/>
    <x v="8"/>
    <x v="3"/>
    <x v="3"/>
    <n v="0.71460456600057298"/>
    <n v="2E+20"/>
    <n v="0"/>
    <n v="1"/>
    <n v="0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8"/>
    <x v="8"/>
    <x v="4"/>
    <x v="3"/>
    <n v="0.71460456600057298"/>
    <n v="2E+20"/>
    <n v="0"/>
    <n v="1"/>
    <n v="0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8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8"/>
    <x v="9"/>
    <x v="3"/>
    <x v="3"/>
    <n v="0.34793935784283903"/>
    <n v="2E+20"/>
    <n v="0"/>
    <n v="1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8"/>
    <x v="9"/>
    <x v="4"/>
    <x v="3"/>
    <n v="1.7396967892141999"/>
    <n v="2E+20"/>
    <n v="0"/>
    <n v="5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8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8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8"/>
    <x v="11"/>
    <x v="6"/>
    <x v="2"/>
    <n v="7.9213485690690897"/>
    <n v="2E+20"/>
    <n v="0"/>
    <n v="18"/>
    <n v="5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8"/>
    <x v="12"/>
    <x v="6"/>
    <x v="2"/>
    <n v="3.2603032107857999"/>
    <n v="2E+20"/>
    <n v="0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9"/>
    <x v="0"/>
    <x v="0"/>
    <x v="0"/>
    <n v="6.5626350673004099"/>
    <n v="3E+20"/>
    <n v="1"/>
    <n v="17"/>
    <n v="5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9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9"/>
    <x v="2"/>
    <x v="1"/>
    <x v="1"/>
    <n v="1.81191463500633"/>
    <n v="2E+20"/>
    <n v="0"/>
    <n v="8"/>
    <n v="2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9"/>
    <x v="3"/>
    <x v="0"/>
    <x v="0"/>
    <n v="3.2986814784027998"/>
    <n v="2E+20"/>
    <n v="0"/>
    <n v="10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9"/>
    <x v="4"/>
    <x v="1"/>
    <x v="1"/>
    <n v="1.3450326763682301"/>
    <n v="2E+20"/>
    <n v="0"/>
    <n v="8"/>
    <n v="1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9"/>
    <x v="5"/>
    <x v="1"/>
    <x v="1"/>
    <n v="0.76366482310858597"/>
    <n v="2E+20"/>
    <n v="0"/>
    <n v="5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9"/>
    <x v="6"/>
    <x v="2"/>
    <x v="2"/>
    <n v="1.37547054710017"/>
    <n v="2E+20"/>
    <n v="0"/>
    <n v="3"/>
    <n v="1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9"/>
    <x v="7"/>
    <x v="3"/>
    <x v="3"/>
    <n v="0.82055692316692297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9"/>
    <x v="7"/>
    <x v="4"/>
    <x v="3"/>
    <n v="0.82055692316692297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9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9"/>
    <x v="8"/>
    <x v="3"/>
    <x v="3"/>
    <n v="0.68243955045632299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9"/>
    <x v="8"/>
    <x v="4"/>
    <x v="3"/>
    <n v="0.68243955045632299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9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9"/>
    <x v="9"/>
    <x v="3"/>
    <x v="3"/>
    <n v="0.27509410942003398"/>
    <n v="2E+20"/>
    <n v="0"/>
    <n v="0.6"/>
    <n v="0.2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9"/>
    <x v="9"/>
    <x v="4"/>
    <x v="3"/>
    <n v="1.37547054710017"/>
    <n v="2E+20"/>
    <n v="0"/>
    <n v="3"/>
    <n v="1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9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9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9"/>
    <x v="11"/>
    <x v="6"/>
    <x v="2"/>
    <n v="5.1092015572372702"/>
    <n v="2E+20"/>
    <n v="1"/>
    <n v="14"/>
    <n v="4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9"/>
    <x v="12"/>
    <x v="6"/>
    <x v="2"/>
    <n v="3.62452945289983"/>
    <n v="2E+20"/>
    <n v="2"/>
    <n v="5"/>
    <n v="4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10"/>
    <x v="0"/>
    <x v="0"/>
    <x v="0"/>
    <n v="9.9812364527489308"/>
    <n v="1.09948484307687"/>
    <n v="3"/>
    <n v="18"/>
    <n v="11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0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0"/>
    <x v="2"/>
    <x v="1"/>
    <x v="1"/>
    <n v="2.0772981523446701"/>
    <n v="2E+20"/>
    <n v="0"/>
    <n v="8"/>
    <n v="0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0"/>
    <x v="3"/>
    <x v="0"/>
    <x v="0"/>
    <n v="4.8837925841766499"/>
    <n v="2E+20"/>
    <n v="0"/>
    <n v="9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0"/>
    <x v="4"/>
    <x v="1"/>
    <x v="1"/>
    <n v="1.8104766937960199"/>
    <n v="2E+20"/>
    <n v="0"/>
    <n v="7"/>
    <n v="4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0"/>
    <x v="5"/>
    <x v="1"/>
    <x v="1"/>
    <n v="0.95618983273442804"/>
    <n v="2E+20"/>
    <n v="0"/>
    <n v="5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0"/>
    <x v="6"/>
    <x v="2"/>
    <x v="2"/>
    <n v="2.6910314688690198"/>
    <n v="2E+20"/>
    <n v="0"/>
    <n v="5"/>
    <n v="3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0"/>
    <x v="7"/>
    <x v="3"/>
    <x v="3"/>
    <n v="0.88290459880079397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0"/>
    <x v="7"/>
    <x v="4"/>
    <x v="3"/>
    <n v="0.88290459880079397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0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0"/>
    <x v="8"/>
    <x v="3"/>
    <x v="3"/>
    <n v="0.74071350079077902"/>
    <n v="2E+20"/>
    <n v="0"/>
    <n v="1"/>
    <n v="0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0"/>
    <x v="8"/>
    <x v="4"/>
    <x v="3"/>
    <n v="0.74071350079077902"/>
    <n v="2E+20"/>
    <n v="0"/>
    <n v="1"/>
    <n v="0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0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0"/>
    <x v="9"/>
    <x v="3"/>
    <x v="3"/>
    <n v="0.53820629377380302"/>
    <n v="2E+20"/>
    <n v="0"/>
    <n v="1"/>
    <n v="0.6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0"/>
    <x v="9"/>
    <x v="4"/>
    <x v="3"/>
    <n v="2.6910314688690198"/>
    <n v="2E+20"/>
    <n v="0"/>
    <n v="5"/>
    <n v="3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0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0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0"/>
    <x v="11"/>
    <x v="6"/>
    <x v="2"/>
    <n v="7.2094642431391804"/>
    <n v="2E+20"/>
    <n v="2"/>
    <n v="13"/>
    <n v="8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0"/>
    <x v="12"/>
    <x v="6"/>
    <x v="2"/>
    <n v="2.3089685311309802"/>
    <n v="2E+20"/>
    <n v="0"/>
    <n v="5"/>
    <n v="2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11"/>
    <x v="0"/>
    <x v="0"/>
    <x v="0"/>
    <n v="6.5162454472515101"/>
    <n v="3E+20"/>
    <n v="1"/>
    <n v="15"/>
    <n v="9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1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1"/>
    <x v="2"/>
    <x v="1"/>
    <x v="1"/>
    <n v="1.3689783389468899"/>
    <n v="2E+20"/>
    <n v="0"/>
    <n v="7"/>
    <n v="1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1"/>
    <x v="3"/>
    <x v="0"/>
    <x v="0"/>
    <n v="3.22078377558327"/>
    <n v="2E+20"/>
    <n v="0"/>
    <n v="8"/>
    <n v="5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1"/>
    <x v="4"/>
    <x v="1"/>
    <x v="1"/>
    <n v="1.0355700527504099"/>
    <n v="2E+20"/>
    <n v="0"/>
    <n v="5"/>
    <n v="0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1"/>
    <x v="5"/>
    <x v="1"/>
    <x v="1"/>
    <n v="0.40298183132790399"/>
    <n v="2E+20"/>
    <n v="0"/>
    <n v="4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1"/>
    <x v="6"/>
    <x v="2"/>
    <x v="2"/>
    <n v="1.743935066266"/>
    <n v="2E+20"/>
    <n v="0"/>
    <n v="4"/>
    <n v="4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1"/>
    <x v="7"/>
    <x v="3"/>
    <x v="3"/>
    <n v="0.79483347197116505"/>
    <n v="2E+20"/>
    <n v="0"/>
    <n v="1"/>
    <n v="0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1"/>
    <x v="7"/>
    <x v="4"/>
    <x v="3"/>
    <n v="0.79483347197116505"/>
    <n v="2E+20"/>
    <n v="0"/>
    <n v="1"/>
    <n v="0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1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1"/>
    <x v="8"/>
    <x v="3"/>
    <x v="3"/>
    <n v="0.60144011566393596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1"/>
    <x v="8"/>
    <x v="4"/>
    <x v="3"/>
    <n v="0.60144011566393596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1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1"/>
    <x v="9"/>
    <x v="3"/>
    <x v="3"/>
    <n v="0.3487870132532"/>
    <n v="2E+20"/>
    <n v="0"/>
    <n v="0.8"/>
    <n v="0.8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1"/>
    <x v="9"/>
    <x v="4"/>
    <x v="3"/>
    <n v="1.743935066266"/>
    <n v="2E+20"/>
    <n v="0"/>
    <n v="4"/>
    <n v="4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1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1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1"/>
    <x v="11"/>
    <x v="6"/>
    <x v="2"/>
    <n v="4.69721778839292"/>
    <n v="2E+20"/>
    <n v="1"/>
    <n v="11"/>
    <n v="5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1"/>
    <x v="12"/>
    <x v="6"/>
    <x v="2"/>
    <n v="3.2560649337340002"/>
    <n v="2E+20"/>
    <n v="1"/>
    <n v="5"/>
    <n v="1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12"/>
    <x v="0"/>
    <x v="0"/>
    <x v="0"/>
    <n v="6.7642843244218396"/>
    <n v="3E+20"/>
    <n v="0"/>
    <n v="16"/>
    <n v="5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2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2"/>
    <x v="2"/>
    <x v="1"/>
    <x v="1"/>
    <n v="1.99871545376833"/>
    <n v="2E+20"/>
    <n v="0"/>
    <n v="9"/>
    <n v="1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2"/>
    <x v="3"/>
    <x v="0"/>
    <x v="0"/>
    <n v="3.15414913910038"/>
    <n v="2E+20"/>
    <n v="0"/>
    <n v="8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2"/>
    <x v="4"/>
    <x v="1"/>
    <x v="1"/>
    <n v="2.0561736153355898"/>
    <n v="2E+20"/>
    <n v="0"/>
    <n v="9"/>
    <n v="0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2"/>
    <x v="5"/>
    <x v="1"/>
    <x v="1"/>
    <n v="0.92955267958696897"/>
    <n v="2E+20"/>
    <n v="0"/>
    <n v="7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2"/>
    <x v="6"/>
    <x v="2"/>
    <x v="2"/>
    <n v="1.04395220385056"/>
    <n v="2E+20"/>
    <n v="0"/>
    <n v="4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2"/>
    <x v="7"/>
    <x v="3"/>
    <x v="3"/>
    <n v="0.81573225758243195"/>
    <n v="2E+20"/>
    <n v="0"/>
    <n v="1"/>
    <n v="0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2"/>
    <x v="7"/>
    <x v="4"/>
    <x v="3"/>
    <n v="0.81573225758243195"/>
    <n v="2E+20"/>
    <n v="0"/>
    <n v="1"/>
    <n v="0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2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2"/>
    <x v="8"/>
    <x v="3"/>
    <x v="3"/>
    <n v="0.67381025310460296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2"/>
    <x v="8"/>
    <x v="4"/>
    <x v="3"/>
    <n v="0.67381025310460296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2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2"/>
    <x v="9"/>
    <x v="3"/>
    <x v="3"/>
    <n v="0.20879044077011299"/>
    <n v="2E+20"/>
    <n v="0"/>
    <n v="0.8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2"/>
    <x v="9"/>
    <x v="4"/>
    <x v="3"/>
    <n v="1.04395220385056"/>
    <n v="2E+20"/>
    <n v="0"/>
    <n v="4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2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2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2"/>
    <x v="11"/>
    <x v="6"/>
    <x v="2"/>
    <n v="5.6416284168675697"/>
    <n v="2E+20"/>
    <n v="0"/>
    <n v="15"/>
    <n v="3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2"/>
    <x v="12"/>
    <x v="6"/>
    <x v="2"/>
    <n v="3.9560477961494298"/>
    <n v="2E+20"/>
    <n v="1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13"/>
    <x v="0"/>
    <x v="0"/>
    <x v="0"/>
    <n v="6.6334479794904704"/>
    <n v="3E+20"/>
    <n v="0"/>
    <n v="16"/>
    <n v="9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3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3"/>
    <x v="2"/>
    <x v="1"/>
    <x v="1"/>
    <n v="1.4876058151361"/>
    <n v="2E+20"/>
    <n v="0"/>
    <n v="7"/>
    <n v="3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3"/>
    <x v="3"/>
    <x v="0"/>
    <x v="0"/>
    <n v="3.4365322078286402"/>
    <n v="2E+20"/>
    <n v="0"/>
    <n v="8"/>
    <n v="5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3"/>
    <x v="4"/>
    <x v="1"/>
    <x v="1"/>
    <n v="0.85936531892003498"/>
    <n v="2E+20"/>
    <n v="0"/>
    <n v="6"/>
    <n v="2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3"/>
    <x v="5"/>
    <x v="1"/>
    <x v="1"/>
    <n v="0.44653897943732701"/>
    <n v="2E+20"/>
    <n v="0"/>
    <n v="4"/>
    <n v="1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3"/>
    <x v="6"/>
    <x v="2"/>
    <x v="2"/>
    <n v="1.84513009639624"/>
    <n v="2E+20"/>
    <n v="0"/>
    <n v="5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3"/>
    <x v="7"/>
    <x v="3"/>
    <x v="3"/>
    <n v="0.75713038369841801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3"/>
    <x v="7"/>
    <x v="4"/>
    <x v="3"/>
    <n v="0.75713038369841801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3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3"/>
    <x v="8"/>
    <x v="3"/>
    <x v="3"/>
    <n v="0.69367162316071496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3"/>
    <x v="8"/>
    <x v="4"/>
    <x v="3"/>
    <n v="0.69367162316071496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3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3"/>
    <x v="9"/>
    <x v="3"/>
    <x v="3"/>
    <n v="0.369026019279249"/>
    <n v="2E+20"/>
    <n v="0"/>
    <n v="1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3"/>
    <x v="9"/>
    <x v="4"/>
    <x v="3"/>
    <n v="1.84513009639624"/>
    <n v="2E+20"/>
    <n v="0"/>
    <n v="5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3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3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3"/>
    <x v="11"/>
    <x v="6"/>
    <x v="2"/>
    <n v="4.7161882534645896"/>
    <n v="2E+20"/>
    <n v="0"/>
    <n v="11"/>
    <n v="7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3"/>
    <x v="12"/>
    <x v="6"/>
    <x v="2"/>
    <n v="3.15486990360376"/>
    <n v="2E+20"/>
    <n v="0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14"/>
    <x v="0"/>
    <x v="0"/>
    <x v="0"/>
    <n v="6.5255698679102903"/>
    <n v="0.65989202893460197"/>
    <n v="1"/>
    <n v="15"/>
    <n v="15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4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4"/>
    <x v="2"/>
    <x v="1"/>
    <x v="1"/>
    <n v="1.5372848435881901"/>
    <n v="2E+20"/>
    <n v="0"/>
    <n v="8"/>
    <n v="0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4"/>
    <x v="3"/>
    <x v="0"/>
    <x v="0"/>
    <n v="3.0121578482239002"/>
    <n v="2E+20"/>
    <n v="0"/>
    <n v="8"/>
    <n v="2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4"/>
    <x v="4"/>
    <x v="1"/>
    <x v="1"/>
    <n v="1.6757251247898799"/>
    <n v="2E+20"/>
    <n v="0"/>
    <n v="10"/>
    <n v="10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4"/>
    <x v="5"/>
    <x v="1"/>
    <x v="1"/>
    <n v="0.47437915449588802"/>
    <n v="2E+20"/>
    <n v="0"/>
    <n v="5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4"/>
    <x v="6"/>
    <x v="2"/>
    <x v="2"/>
    <n v="1.3753359675986601"/>
    <n v="2E+20"/>
    <n v="0"/>
    <n v="3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4"/>
    <x v="7"/>
    <x v="3"/>
    <x v="3"/>
    <n v="0.87240837809518301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4"/>
    <x v="7"/>
    <x v="4"/>
    <x v="3"/>
    <n v="0.87240837809518301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4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4"/>
    <x v="8"/>
    <x v="3"/>
    <x v="3"/>
    <n v="0.56997786792460803"/>
    <n v="2E+20"/>
    <n v="0"/>
    <n v="1"/>
    <n v="0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4"/>
    <x v="8"/>
    <x v="4"/>
    <x v="3"/>
    <n v="0.56997786792460803"/>
    <n v="2E+20"/>
    <n v="0"/>
    <n v="1"/>
    <n v="0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4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4"/>
    <x v="9"/>
    <x v="3"/>
    <x v="3"/>
    <n v="0.27506719351973202"/>
    <n v="2E+20"/>
    <n v="0"/>
    <n v="0.6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4"/>
    <x v="9"/>
    <x v="4"/>
    <x v="3"/>
    <n v="1.3753359675986601"/>
    <n v="2E+20"/>
    <n v="0"/>
    <n v="3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4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4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4"/>
    <x v="11"/>
    <x v="6"/>
    <x v="2"/>
    <n v="5.0798635299412602"/>
    <n v="2E+20"/>
    <n v="1"/>
    <n v="13"/>
    <n v="13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4"/>
    <x v="12"/>
    <x v="6"/>
    <x v="2"/>
    <n v="3.6246640324013399"/>
    <n v="2E+20"/>
    <n v="2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15"/>
    <x v="0"/>
    <x v="0"/>
    <x v="0"/>
    <n v="6.6352645257489202"/>
    <n v="3E+20"/>
    <n v="0"/>
    <n v="14"/>
    <n v="7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5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5"/>
    <x v="2"/>
    <x v="1"/>
    <x v="1"/>
    <n v="1.34026231754434"/>
    <n v="2E+20"/>
    <n v="0"/>
    <n v="5"/>
    <n v="1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5"/>
    <x v="3"/>
    <x v="0"/>
    <x v="0"/>
    <n v="3.2825478143241602"/>
    <n v="2E+20"/>
    <n v="0"/>
    <n v="7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5"/>
    <x v="4"/>
    <x v="1"/>
    <x v="1"/>
    <n v="1.03048331530441"/>
    <n v="2E+20"/>
    <n v="0"/>
    <n v="7"/>
    <n v="1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5"/>
    <x v="5"/>
    <x v="1"/>
    <x v="1"/>
    <n v="0.30370863431218198"/>
    <n v="2E+20"/>
    <n v="0"/>
    <n v="2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5"/>
    <x v="6"/>
    <x v="2"/>
    <x v="2"/>
    <n v="1.8338595708538901"/>
    <n v="2E+20"/>
    <n v="0"/>
    <n v="5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5"/>
    <x v="7"/>
    <x v="3"/>
    <x v="3"/>
    <n v="0.80135619468820696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5"/>
    <x v="7"/>
    <x v="4"/>
    <x v="3"/>
    <n v="0.80135619468820696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5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5"/>
    <x v="8"/>
    <x v="3"/>
    <x v="3"/>
    <n v="0.63588612862522698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5"/>
    <x v="8"/>
    <x v="4"/>
    <x v="3"/>
    <n v="0.63588612862522698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5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5"/>
    <x v="9"/>
    <x v="3"/>
    <x v="3"/>
    <n v="0.36677191417077798"/>
    <n v="2E+20"/>
    <n v="0"/>
    <n v="1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5"/>
    <x v="9"/>
    <x v="4"/>
    <x v="3"/>
    <n v="1.8338595708538901"/>
    <n v="2E+20"/>
    <n v="0"/>
    <n v="5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5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5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5"/>
    <x v="11"/>
    <x v="6"/>
    <x v="2"/>
    <n v="4.7249234734135497"/>
    <n v="2E+20"/>
    <n v="0"/>
    <n v="10"/>
    <n v="5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5"/>
    <x v="12"/>
    <x v="6"/>
    <x v="2"/>
    <n v="3.1661404291461102"/>
    <n v="2E+20"/>
    <n v="0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16"/>
    <x v="0"/>
    <x v="0"/>
    <x v="0"/>
    <n v="5.5828886054770601"/>
    <n v="1.0815951110111499"/>
    <n v="1"/>
    <n v="16"/>
    <n v="5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6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6"/>
    <x v="2"/>
    <x v="1"/>
    <x v="1"/>
    <n v="1.16381654603208"/>
    <n v="2E+20"/>
    <n v="0"/>
    <n v="7"/>
    <n v="1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6"/>
    <x v="3"/>
    <x v="0"/>
    <x v="0"/>
    <n v="2.7429685070299299"/>
    <n v="2E+20"/>
    <n v="0"/>
    <n v="8"/>
    <n v="3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6"/>
    <x v="4"/>
    <x v="1"/>
    <x v="1"/>
    <n v="0.91431605712180797"/>
    <n v="2E+20"/>
    <n v="0"/>
    <n v="6"/>
    <n v="0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6"/>
    <x v="5"/>
    <x v="1"/>
    <x v="1"/>
    <n v="0.270918338421898"/>
    <n v="2E+20"/>
    <n v="0"/>
    <n v="4"/>
    <n v="0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6"/>
    <x v="6"/>
    <x v="2"/>
    <x v="2"/>
    <n v="1.47748529433118"/>
    <n v="2E+20"/>
    <n v="0"/>
    <n v="4"/>
    <n v="2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6"/>
    <x v="7"/>
    <x v="3"/>
    <x v="3"/>
    <n v="0.73766612257745801"/>
    <n v="2E+20"/>
    <n v="0"/>
    <n v="1"/>
    <n v="0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6"/>
    <x v="7"/>
    <x v="4"/>
    <x v="3"/>
    <n v="0.73766612257745801"/>
    <n v="2E+20"/>
    <n v="0"/>
    <n v="1"/>
    <n v="0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6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6"/>
    <x v="8"/>
    <x v="3"/>
    <x v="3"/>
    <n v="0.52223972091576099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6"/>
    <x v="8"/>
    <x v="4"/>
    <x v="3"/>
    <n v="0.52223972091576099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6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6"/>
    <x v="9"/>
    <x v="3"/>
    <x v="3"/>
    <n v="0.29549705886623601"/>
    <n v="2E+20"/>
    <n v="0"/>
    <n v="0.8"/>
    <n v="0.4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6"/>
    <x v="9"/>
    <x v="4"/>
    <x v="3"/>
    <n v="1.47748529433118"/>
    <n v="2E+20"/>
    <n v="0"/>
    <n v="4"/>
    <n v="2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6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6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6"/>
    <x v="11"/>
    <x v="6"/>
    <x v="2"/>
    <n v="4.0342922000347698"/>
    <n v="2E+20"/>
    <n v="1"/>
    <n v="12"/>
    <n v="3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6"/>
    <x v="12"/>
    <x v="6"/>
    <x v="2"/>
    <n v="3.52251470566882"/>
    <n v="2E+20"/>
    <n v="1"/>
    <n v="5"/>
    <n v="3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  <r>
    <x v="0"/>
    <s v="2025-05-17 23:41:37"/>
    <n v="17"/>
    <x v="0"/>
    <x v="0"/>
    <x v="0"/>
    <n v="9.6592201956180492"/>
    <n v="3E+20"/>
    <n v="2"/>
    <n v="25"/>
    <n v="24"/>
    <n v="0"/>
    <s v="Weekend (base)ClienteWIPEntity"/>
    <n v="17"/>
    <n v="7.346753247378274"/>
    <n v="1.4294329987034813"/>
    <n v="0.95"/>
    <n v="0.73494663100688618"/>
    <n v="5.4544685782955797"/>
    <n v="9.9812364527489308"/>
    <n v="0.73494663100688618"/>
  </r>
  <r>
    <x v="0"/>
    <s v="2025-05-17 23:41:37"/>
    <n v="17"/>
    <x v="1"/>
    <x v="1"/>
    <x v="1"/>
    <n v="0"/>
    <n v="2E+20"/>
    <n v="0"/>
    <n v="0"/>
    <n v="0"/>
    <n v="0"/>
    <s v="Weekend (base)Comer en Mesa.QueueNumber WaitingQueue"/>
    <n v="17"/>
    <n v="0"/>
    <n v="0"/>
    <n v="0.95"/>
    <n v="0"/>
    <n v="0"/>
    <n v="0"/>
    <n v="0"/>
  </r>
  <r>
    <x v="0"/>
    <s v="2025-05-17 23:41:37"/>
    <n v="17"/>
    <x v="2"/>
    <x v="1"/>
    <x v="1"/>
    <n v="2.3979001063910101"/>
    <n v="2E+20"/>
    <n v="0"/>
    <n v="11"/>
    <n v="6"/>
    <n v="0"/>
    <s v="Weekend (base)Entrega pedido.QueueNumber WaitingQueue"/>
    <n v="17"/>
    <n v="1.7749337514586665"/>
    <n v="0.5148787511496481"/>
    <n v="0.95"/>
    <n v="0.26472622632728454"/>
    <n v="1.1292470593949"/>
    <n v="2.9364889703726602"/>
    <n v="0.26472622632728454"/>
  </r>
  <r>
    <x v="0"/>
    <s v="2025-05-17 23:41:37"/>
    <n v="17"/>
    <x v="3"/>
    <x v="0"/>
    <x v="0"/>
    <n v="4.5437075551122001"/>
    <n v="2E+20"/>
    <n v="1"/>
    <n v="11"/>
    <n v="9"/>
    <n v="0"/>
    <s v="Weekend (base)OrdenWIPEntity"/>
    <n v="17"/>
    <n v="3.6023633426613157"/>
    <n v="0.67519965972489415"/>
    <n v="0.95"/>
    <n v="0.34715563137404881"/>
    <n v="2.7429685070299299"/>
    <n v="4.8837925841766499"/>
    <n v="0.34715563137404881"/>
  </r>
  <r>
    <x v="0"/>
    <s v="2025-05-17 23:41:37"/>
    <n v="17"/>
    <x v="4"/>
    <x v="1"/>
    <x v="1"/>
    <n v="2.60716325764625"/>
    <n v="2E+20"/>
    <n v="0"/>
    <n v="14"/>
    <n v="11"/>
    <n v="0"/>
    <s v="Weekend (base)Pasar a Caja.QueueNumber WaitingQueue"/>
    <n v="17"/>
    <n v="1.5087844494703444"/>
    <n v="0.63593308631651668"/>
    <n v="0.95"/>
    <n v="0.32696662226075207"/>
    <n v="0.64455717508326504"/>
    <n v="2.69061971266638"/>
    <n v="0.32696662226075207"/>
  </r>
  <r>
    <x v="0"/>
    <s v="2025-05-17 23:41:37"/>
    <n v="17"/>
    <x v="5"/>
    <x v="1"/>
    <x v="1"/>
    <n v="1.2416728955330101"/>
    <n v="2E+20"/>
    <n v="0"/>
    <n v="8"/>
    <n v="5"/>
    <n v="0"/>
    <s v="Weekend (base)Preparacion.QueueNumber WaitingQueue"/>
    <n v="17"/>
    <n v="0.72401974106922729"/>
    <n v="0.44300605222417661"/>
    <n v="0.95"/>
    <n v="0.22777269441319098"/>
    <n v="0.20519043218243799"/>
    <n v="1.8050950008829001"/>
    <n v="0.22777269441319098"/>
  </r>
  <r>
    <x v="0"/>
    <s v="2025-05-17 23:41:37"/>
    <n v="17"/>
    <x v="6"/>
    <x v="2"/>
    <x v="2"/>
    <n v="2.03710374501747"/>
    <n v="2E+20"/>
    <n v="0"/>
    <n v="4"/>
    <n v="3"/>
    <n v="0"/>
    <s v="Weekend (base)TP_MesasTime PersistentUser Specified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7"/>
    <x v="7"/>
    <x v="3"/>
    <x v="3"/>
    <n v="0.87839421174033205"/>
    <n v="2E+20"/>
    <n v="0"/>
    <n v="1"/>
    <n v="1"/>
    <n v="0"/>
    <s v="Weekend (base)rCajeroInstantaneous Utilization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7"/>
    <x v="7"/>
    <x v="4"/>
    <x v="3"/>
    <n v="0.87839421174033205"/>
    <n v="2E+20"/>
    <n v="0"/>
    <n v="1"/>
    <n v="1"/>
    <n v="0"/>
    <s v="Weekend (base)rCajeroNumber BusyResource"/>
    <n v="17"/>
    <n v="0.82034721885470152"/>
    <n v="6.5495768324500853E-2"/>
    <n v="0.95"/>
    <n v="3.3674816741294945E-2"/>
    <n v="0.73534383204610498"/>
    <n v="0.95888680213271504"/>
    <n v="3.3674816741294945E-2"/>
  </r>
  <r>
    <x v="0"/>
    <s v="2025-05-17 23:41:37"/>
    <n v="17"/>
    <x v="7"/>
    <x v="5"/>
    <x v="3"/>
    <n v="1"/>
    <n v="2E+20"/>
    <n v="1"/>
    <n v="1"/>
    <n v="1"/>
    <n v="0"/>
    <s v="Weekend (base)rCajeroNumber ScheduledResource"/>
    <n v="17"/>
    <n v="1"/>
    <n v="0"/>
    <n v="0.95"/>
    <n v="0"/>
    <n v="1"/>
    <n v="1"/>
    <n v="0"/>
  </r>
  <r>
    <x v="0"/>
    <s v="2025-05-17 23:41:37"/>
    <n v="17"/>
    <x v="8"/>
    <x v="3"/>
    <x v="3"/>
    <n v="0.65981085089275904"/>
    <n v="2E+20"/>
    <n v="0"/>
    <n v="1"/>
    <n v="1"/>
    <n v="0"/>
    <s v="Weekend (base)rCocinaInstantaneous Utilization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7"/>
    <x v="8"/>
    <x v="4"/>
    <x v="3"/>
    <n v="0.65981085089275904"/>
    <n v="2E+20"/>
    <n v="0"/>
    <n v="1"/>
    <n v="1"/>
    <n v="0"/>
    <s v="Weekend (base)rCocinaNumber BusyResource"/>
    <n v="17"/>
    <n v="0.66010861965703893"/>
    <n v="6.6171154002911237E-2"/>
    <n v="0.95"/>
    <n v="3.4022068014651748E-2"/>
    <n v="0.52223972091576099"/>
    <n v="0.77852312806092006"/>
    <n v="3.4022068014651748E-2"/>
  </r>
  <r>
    <x v="0"/>
    <s v="2025-05-17 23:41:37"/>
    <n v="17"/>
    <x v="8"/>
    <x v="5"/>
    <x v="3"/>
    <n v="1"/>
    <n v="2E+20"/>
    <n v="1"/>
    <n v="1"/>
    <n v="1"/>
    <n v="0"/>
    <s v="Weekend (base)rCocinaNumber ScheduledResource"/>
    <n v="17"/>
    <n v="1"/>
    <n v="0"/>
    <n v="0.95"/>
    <n v="0"/>
    <n v="1"/>
    <n v="1"/>
    <n v="0"/>
  </r>
  <r>
    <x v="0"/>
    <s v="2025-05-17 23:41:37"/>
    <n v="17"/>
    <x v="9"/>
    <x v="3"/>
    <x v="3"/>
    <n v="0.40742074900349501"/>
    <n v="2E+20"/>
    <n v="0"/>
    <n v="0.8"/>
    <n v="0.6"/>
    <n v="0"/>
    <s v="Weekend (base)rMesaInstantaneous UtilizationResource"/>
    <n v="17"/>
    <n v="0.34356399197544252"/>
    <n v="7.597675013665138E-2"/>
    <n v="0.95"/>
    <n v="3.9063640337413962E-2"/>
    <n v="0.20879044077011299"/>
    <n v="0.53820629377380302"/>
    <n v="3.9063640337413962E-2"/>
  </r>
  <r>
    <x v="0"/>
    <s v="2025-05-17 23:41:37"/>
    <n v="17"/>
    <x v="9"/>
    <x v="4"/>
    <x v="3"/>
    <n v="2.03710374501747"/>
    <n v="2E+20"/>
    <n v="0"/>
    <n v="4"/>
    <n v="3"/>
    <n v="0"/>
    <s v="Weekend (base)rMesaNumber BusyResource"/>
    <n v="17"/>
    <n v="1.7178199598772124"/>
    <n v="0.37988375068325786"/>
    <n v="0.95"/>
    <n v="0.19531820168707029"/>
    <n v="1.04395220385056"/>
    <n v="2.6910314688690198"/>
    <n v="0.19531820168707029"/>
  </r>
  <r>
    <x v="0"/>
    <s v="2025-05-17 23:41:37"/>
    <n v="17"/>
    <x v="9"/>
    <x v="5"/>
    <x v="3"/>
    <n v="5"/>
    <n v="2E+20"/>
    <n v="5"/>
    <n v="5"/>
    <n v="5"/>
    <n v="0"/>
    <s v="Weekend (base)rMesaNumber ScheduledResource"/>
    <n v="17"/>
    <n v="5"/>
    <n v="0"/>
    <n v="0.95"/>
    <n v="0"/>
    <n v="5"/>
    <n v="5"/>
    <n v="0"/>
  </r>
  <r>
    <x v="0"/>
    <s v="2025-05-17 23:41:37"/>
    <n v="17"/>
    <x v="10"/>
    <x v="0"/>
    <x v="0"/>
    <n v="0"/>
    <n v="2E+20"/>
    <n v="0"/>
    <n v="1"/>
    <n v="0"/>
    <n v="0"/>
    <s v="Weekend (base)relojWIPEntity"/>
    <n v="17"/>
    <n v="0"/>
    <n v="0"/>
    <n v="0.95"/>
    <n v="0"/>
    <n v="0"/>
    <n v="0"/>
    <n v="0"/>
  </r>
  <r>
    <x v="0"/>
    <s v="2025-05-17 23:41:37"/>
    <n v="17"/>
    <x v="11"/>
    <x v="6"/>
    <x v="2"/>
    <n v="7.5459127468968701"/>
    <n v="2E+20"/>
    <n v="1"/>
    <n v="21"/>
    <n v="21"/>
    <n v="0"/>
    <s v="Weekend (base)vClientesEnSistemaVariableUser Specified"/>
    <n v="17"/>
    <n v="5.5519234835794924"/>
    <n v="1.2386176572912104"/>
    <n v="0.95"/>
    <n v="0.63683843534988338"/>
    <n v="3.84735462379287"/>
    <n v="7.9213485690690897"/>
    <n v="0.63683843534988338"/>
  </r>
  <r>
    <x v="0"/>
    <s v="2025-05-17 23:41:37"/>
    <n v="17"/>
    <x v="12"/>
    <x v="6"/>
    <x v="2"/>
    <n v="2.9628962549825202"/>
    <n v="2E+20"/>
    <n v="1"/>
    <n v="5"/>
    <n v="2"/>
    <n v="0"/>
    <s v="Weekend (base)vMesasLibresVariableUser Specified"/>
    <n v="17"/>
    <n v="3.2821800401227872"/>
    <n v="0.37988375068326141"/>
    <n v="0.95"/>
    <n v="0.19531820168707212"/>
    <n v="2.3089685311309802"/>
    <n v="3.9560477961494298"/>
    <n v="0.1953182016870721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5">
  <r>
    <x v="0"/>
    <s v="2025-05-17 23:41:37"/>
    <n v="1"/>
    <x v="0"/>
    <x v="0"/>
    <x v="0"/>
    <n v="0"/>
    <n v="2E+20"/>
    <n v="0"/>
    <n v="0"/>
    <n v="125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"/>
    <x v="0"/>
    <x v="1"/>
    <x v="0"/>
    <n v="0.705486358412581"/>
    <n v="2E+20"/>
    <n v="0.169637592876107"/>
    <n v="2.77237376987748"/>
    <n v="125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"/>
    <x v="0"/>
    <x v="2"/>
    <x v="0"/>
    <n v="8.4545823751403208"/>
    <n v="2E+20"/>
    <n v="0.85916784632652798"/>
    <n v="43.466040921324797"/>
    <n v="125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"/>
    <x v="0"/>
    <x v="3"/>
    <x v="0"/>
    <n v="0.233333333333337"/>
    <n v="2E+20"/>
    <n v="0.23333333333331999"/>
    <n v="0.23333333333334799"/>
    <n v="125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"/>
    <x v="0"/>
    <x v="4"/>
    <x v="0"/>
    <n v="4.2146267056124902"/>
    <n v="2E+20"/>
    <n v="7.6832724142946104E-2"/>
    <n v="34.981578953107302"/>
    <n v="125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"/>
    <x v="0"/>
    <x v="5"/>
    <x v="0"/>
    <n v="5.8886151258202801"/>
    <n v="2E+20"/>
    <n v="7.73538560408156E-2"/>
    <n v="28.423819628114298"/>
    <n v="125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2"/>
    <x v="0"/>
    <x v="0"/>
    <x v="0"/>
    <n v="0"/>
    <n v="2E+20"/>
    <n v="0"/>
    <n v="0"/>
    <n v="117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2"/>
    <x v="0"/>
    <x v="1"/>
    <x v="0"/>
    <n v="0.60220538399521695"/>
    <n v="2E+20"/>
    <n v="0.18115599249468101"/>
    <n v="1.34451287775357"/>
    <n v="117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2"/>
    <x v="0"/>
    <x v="2"/>
    <x v="0"/>
    <n v="8.31402861988715"/>
    <n v="2E+20"/>
    <n v="0.70672821920527396"/>
    <n v="38.737216146511997"/>
    <n v="117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2"/>
    <x v="0"/>
    <x v="3"/>
    <x v="0"/>
    <n v="0.233333333333334"/>
    <n v="2E+20"/>
    <n v="0.23333333333331999"/>
    <n v="0.23333333333334799"/>
    <n v="117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2"/>
    <x v="0"/>
    <x v="4"/>
    <x v="0"/>
    <n v="3.7598916008227801"/>
    <n v="2E+20"/>
    <n v="8.6978967344236893E-2"/>
    <n v="29.088541665680498"/>
    <n v="117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2"/>
    <x v="0"/>
    <x v="5"/>
    <x v="0"/>
    <n v="6.7003146152418802"/>
    <n v="2E+20"/>
    <n v="7.0312300677557005E-2"/>
    <n v="22.130293894575399"/>
    <n v="117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3"/>
    <x v="0"/>
    <x v="0"/>
    <x v="0"/>
    <n v="0"/>
    <n v="2E+20"/>
    <n v="0"/>
    <n v="0"/>
    <n v="126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3"/>
    <x v="0"/>
    <x v="1"/>
    <x v="0"/>
    <n v="0.69090797323493802"/>
    <n v="2E+20"/>
    <n v="0.16932208974282001"/>
    <n v="2.2872246919335701"/>
    <n v="126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3"/>
    <x v="0"/>
    <x v="2"/>
    <x v="0"/>
    <n v="10.781600802494999"/>
    <n v="2E+20"/>
    <n v="0.59350794441101595"/>
    <n v="40.485627405697102"/>
    <n v="126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3"/>
    <x v="0"/>
    <x v="3"/>
    <x v="0"/>
    <n v="0.233333333333338"/>
    <n v="2E+20"/>
    <n v="0.23333333333331999"/>
    <n v="0.23333333333334799"/>
    <n v="126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3"/>
    <x v="0"/>
    <x v="4"/>
    <x v="0"/>
    <n v="4.1547945678044496"/>
    <n v="2E+20"/>
    <n v="0.105406515071508"/>
    <n v="37.434904884044499"/>
    <n v="126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3"/>
    <x v="0"/>
    <x v="5"/>
    <x v="0"/>
    <n v="9.6253384669611997"/>
    <n v="2E+20"/>
    <n v="8.8739848404827598E-2"/>
    <n v="24.209950571129401"/>
    <n v="126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4"/>
    <x v="0"/>
    <x v="0"/>
    <x v="0"/>
    <n v="0"/>
    <n v="2E+20"/>
    <n v="0"/>
    <n v="0"/>
    <n v="130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4"/>
    <x v="0"/>
    <x v="1"/>
    <x v="0"/>
    <n v="0.66703222028272202"/>
    <n v="2E+20"/>
    <n v="0.101496466271186"/>
    <n v="2.5502252451240999"/>
    <n v="130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4"/>
    <x v="0"/>
    <x v="2"/>
    <x v="0"/>
    <n v="7.7944480602891604"/>
    <n v="2E+20"/>
    <n v="0.69049380728114296"/>
    <n v="39.020925414430302"/>
    <n v="130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4"/>
    <x v="0"/>
    <x v="3"/>
    <x v="0"/>
    <n v="0.233333333333338"/>
    <n v="2E+20"/>
    <n v="0.23333333333331999"/>
    <n v="0.23333333333334799"/>
    <n v="130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4"/>
    <x v="0"/>
    <x v="4"/>
    <x v="0"/>
    <n v="3.8212142823806499"/>
    <n v="2E+20"/>
    <n v="4.8783094206100899E-2"/>
    <n v="33.442719546495702"/>
    <n v="130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4"/>
    <x v="0"/>
    <x v="5"/>
    <x v="0"/>
    <n v="5.5672803900819599"/>
    <n v="2E+20"/>
    <n v="0.20313111811020701"/>
    <n v="15.2606761622074"/>
    <n v="130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5"/>
    <x v="0"/>
    <x v="0"/>
    <x v="0"/>
    <n v="0"/>
    <n v="2E+20"/>
    <n v="0"/>
    <n v="0"/>
    <n v="130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5"/>
    <x v="0"/>
    <x v="1"/>
    <x v="0"/>
    <n v="0.58746163597160395"/>
    <n v="2E+20"/>
    <n v="6.2080029502567399E-2"/>
    <n v="2.4869215576272601"/>
    <n v="130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5"/>
    <x v="0"/>
    <x v="2"/>
    <x v="0"/>
    <n v="8.2246744712782096"/>
    <n v="2E+20"/>
    <n v="0.49903761733864399"/>
    <n v="44.080644859439801"/>
    <n v="130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5"/>
    <x v="0"/>
    <x v="3"/>
    <x v="0"/>
    <n v="0.233333333333339"/>
    <n v="2E+20"/>
    <n v="0.23333333333331999"/>
    <n v="0.23333333333334799"/>
    <n v="130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5"/>
    <x v="0"/>
    <x v="4"/>
    <x v="0"/>
    <n v="4.29223503111821"/>
    <n v="2E+20"/>
    <n v="6.6051079522992495E-2"/>
    <n v="43.594905534033202"/>
    <n v="130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5"/>
    <x v="0"/>
    <x v="5"/>
    <x v="0"/>
    <n v="5.5489172432494502"/>
    <n v="2E+20"/>
    <n v="8.9034689974113193E-2"/>
    <n v="15.513079068181399"/>
    <n v="130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6"/>
    <x v="0"/>
    <x v="0"/>
    <x v="0"/>
    <n v="0"/>
    <n v="2E+20"/>
    <n v="0"/>
    <n v="0"/>
    <n v="120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6"/>
    <x v="0"/>
    <x v="1"/>
    <x v="0"/>
    <n v="0.63681908352601002"/>
    <n v="2E+20"/>
    <n v="0.148896087479159"/>
    <n v="2.1399929760824801"/>
    <n v="120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6"/>
    <x v="0"/>
    <x v="2"/>
    <x v="0"/>
    <n v="6.3029244422908404"/>
    <n v="2E+20"/>
    <n v="0.70330296436537798"/>
    <n v="41.586768190049099"/>
    <n v="120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6"/>
    <x v="0"/>
    <x v="3"/>
    <x v="0"/>
    <n v="0.233333333333337"/>
    <n v="2E+20"/>
    <n v="0.23333333333331999"/>
    <n v="0.23333333333334799"/>
    <n v="120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6"/>
    <x v="0"/>
    <x v="4"/>
    <x v="0"/>
    <n v="3.9791013711611201"/>
    <n v="2E+20"/>
    <n v="8.7529510649943604E-2"/>
    <n v="36.055866822269103"/>
    <n v="120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6"/>
    <x v="0"/>
    <x v="5"/>
    <x v="0"/>
    <n v="3.2797723254625799"/>
    <n v="2E+20"/>
    <n v="7.0862843983263701E-2"/>
    <n v="13.3250378487503"/>
    <n v="120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7"/>
    <x v="0"/>
    <x v="0"/>
    <x v="0"/>
    <n v="0"/>
    <n v="2E+20"/>
    <n v="0"/>
    <n v="0"/>
    <n v="107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7"/>
    <x v="0"/>
    <x v="1"/>
    <x v="0"/>
    <n v="0.71891620780174204"/>
    <n v="2E+20"/>
    <n v="8.4619390095525701E-2"/>
    <n v="2.8276635428573802"/>
    <n v="107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7"/>
    <x v="0"/>
    <x v="2"/>
    <x v="0"/>
    <n v="8.0267605025559501"/>
    <n v="2E+20"/>
    <n v="0.56875282116780601"/>
    <n v="46.508024686921303"/>
    <n v="107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7"/>
    <x v="0"/>
    <x v="3"/>
    <x v="0"/>
    <n v="0.233333333333338"/>
    <n v="2E+20"/>
    <n v="0.23333333333331999"/>
    <n v="0.23333333333334799"/>
    <n v="107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7"/>
    <x v="0"/>
    <x v="4"/>
    <x v="0"/>
    <n v="4.7378540939075604"/>
    <n v="2E+20"/>
    <n v="9.4886653473935198E-2"/>
    <n v="40.415328943604798"/>
    <n v="107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7"/>
    <x v="0"/>
    <x v="5"/>
    <x v="0"/>
    <n v="4.6623211850597901"/>
    <n v="2E+20"/>
    <n v="8.9529835323446605E-2"/>
    <n v="13.958828131384999"/>
    <n v="107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8"/>
    <x v="0"/>
    <x v="0"/>
    <x v="0"/>
    <n v="0"/>
    <n v="2E+20"/>
    <n v="0"/>
    <n v="0"/>
    <n v="119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8"/>
    <x v="0"/>
    <x v="1"/>
    <x v="0"/>
    <n v="0.64502550068780196"/>
    <n v="2E+20"/>
    <n v="8.7769437444251294E-2"/>
    <n v="3.07779584713577"/>
    <n v="119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8"/>
    <x v="0"/>
    <x v="2"/>
    <x v="0"/>
    <n v="12.3809834783632"/>
    <n v="2E+20"/>
    <n v="0.89432155814576197"/>
    <n v="58.049421412935096"/>
    <n v="119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8"/>
    <x v="0"/>
    <x v="3"/>
    <x v="0"/>
    <n v="0.233333333333337"/>
    <n v="2E+20"/>
    <n v="0.23333333333331999"/>
    <n v="0.23333333333334799"/>
    <n v="119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8"/>
    <x v="0"/>
    <x v="4"/>
    <x v="0"/>
    <n v="4.5709565466579098"/>
    <n v="2E+20"/>
    <n v="5.7741408836392297E-2"/>
    <n v="40.996035732802703"/>
    <n v="119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8"/>
    <x v="0"/>
    <x v="5"/>
    <x v="0"/>
    <n v="11.483148854180399"/>
    <n v="2E+20"/>
    <n v="0.10905213470312"/>
    <n v="35.927727096959302"/>
    <n v="119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9"/>
    <x v="0"/>
    <x v="0"/>
    <x v="0"/>
    <n v="0"/>
    <n v="2E+20"/>
    <n v="0"/>
    <n v="0"/>
    <n v="120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9"/>
    <x v="0"/>
    <x v="1"/>
    <x v="0"/>
    <n v="0.66936428202460396"/>
    <n v="2E+20"/>
    <n v="0.15296473154786799"/>
    <n v="2.5367199261492299"/>
    <n v="120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9"/>
    <x v="0"/>
    <x v="2"/>
    <x v="0"/>
    <n v="7.7326570398544501"/>
    <n v="2E+20"/>
    <n v="0.55434824506934899"/>
    <n v="38.092374132475904"/>
    <n v="120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9"/>
    <x v="0"/>
    <x v="3"/>
    <x v="0"/>
    <n v="0.233333333333337"/>
    <n v="2E+20"/>
    <n v="0.23333333333331999"/>
    <n v="0.23333333333334799"/>
    <n v="120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9"/>
    <x v="0"/>
    <x v="4"/>
    <x v="0"/>
    <n v="3.4983558905782202"/>
    <n v="2E+20"/>
    <n v="7.0999501424836395E-2"/>
    <n v="30.053358918594501"/>
    <n v="120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9"/>
    <x v="0"/>
    <x v="5"/>
    <x v="0"/>
    <n v="6.1375764523010501"/>
    <n v="2E+20"/>
    <n v="6.0091465803424199E-2"/>
    <n v="21.7215907940259"/>
    <n v="120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0"/>
    <x v="0"/>
    <x v="0"/>
    <x v="0"/>
    <n v="0"/>
    <n v="2E+20"/>
    <n v="0"/>
    <n v="0"/>
    <n v="124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0"/>
    <x v="0"/>
    <x v="1"/>
    <x v="0"/>
    <n v="0.69147831247456404"/>
    <n v="2E+20"/>
    <n v="0.157739310061459"/>
    <n v="2.4640204779605601"/>
    <n v="124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0"/>
    <x v="0"/>
    <x v="2"/>
    <x v="0"/>
    <n v="9.9469886069776194"/>
    <n v="2E+20"/>
    <n v="0.734060739053504"/>
    <n v="46.040540549425899"/>
    <n v="124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0"/>
    <x v="0"/>
    <x v="3"/>
    <x v="0"/>
    <n v="0.233333333333338"/>
    <n v="2E+20"/>
    <n v="0.23333333333331999"/>
    <n v="0.23333333333334799"/>
    <n v="124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0"/>
    <x v="0"/>
    <x v="4"/>
    <x v="0"/>
    <n v="5.2882290525835298"/>
    <n v="2E+20"/>
    <n v="8.4527203756607605E-2"/>
    <n v="38.9356218378039"/>
    <n v="124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0"/>
    <x v="0"/>
    <x v="5"/>
    <x v="0"/>
    <n v="6.7435763796374504"/>
    <n v="2E+20"/>
    <n v="0.100773937079566"/>
    <n v="16.895071137195199"/>
    <n v="124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1"/>
    <x v="0"/>
    <x v="0"/>
    <x v="0"/>
    <n v="0"/>
    <n v="2E+20"/>
    <n v="0"/>
    <n v="0"/>
    <n v="115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1"/>
    <x v="0"/>
    <x v="1"/>
    <x v="0"/>
    <n v="0.64135226777878696"/>
    <n v="2E+20"/>
    <n v="0.17554561764273999"/>
    <n v="2.4290637169095799"/>
    <n v="115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1"/>
    <x v="0"/>
    <x v="2"/>
    <x v="0"/>
    <n v="7.11577959746137"/>
    <n v="2E+20"/>
    <n v="0.66619012039601"/>
    <n v="41.159616258472099"/>
    <n v="115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1"/>
    <x v="0"/>
    <x v="3"/>
    <x v="0"/>
    <n v="0.233333333333338"/>
    <n v="2E+20"/>
    <n v="0.23333333333331999"/>
    <n v="0.23333333333334799"/>
    <n v="115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1"/>
    <x v="0"/>
    <x v="4"/>
    <x v="0"/>
    <n v="4.1057073425361104"/>
    <n v="2E+20"/>
    <n v="6.6235358839208003E-2"/>
    <n v="38.303026647969197"/>
    <n v="115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1"/>
    <x v="0"/>
    <x v="5"/>
    <x v="0"/>
    <n v="4.3188922304474699"/>
    <n v="2E+20"/>
    <n v="6.79942526611228E-2"/>
    <n v="12.770807449795299"/>
    <n v="115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2"/>
    <x v="0"/>
    <x v="0"/>
    <x v="0"/>
    <n v="0"/>
    <n v="2E+20"/>
    <n v="0"/>
    <n v="0"/>
    <n v="122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2"/>
    <x v="0"/>
    <x v="1"/>
    <x v="0"/>
    <n v="0.63400085001525697"/>
    <n v="2E+20"/>
    <n v="0.11159644046412601"/>
    <n v="1.7555305251869799"/>
    <n v="122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2"/>
    <x v="0"/>
    <x v="2"/>
    <x v="0"/>
    <n v="9.0583380242114693"/>
    <n v="2E+20"/>
    <n v="0.77053896372007102"/>
    <n v="39.593354907189003"/>
    <n v="122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2"/>
    <x v="0"/>
    <x v="3"/>
    <x v="0"/>
    <n v="0.233333333333337"/>
    <n v="2E+20"/>
    <n v="0.23333333333331999"/>
    <n v="0.23333333333334799"/>
    <n v="122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2"/>
    <x v="0"/>
    <x v="4"/>
    <x v="0"/>
    <n v="3.5582634826496"/>
    <n v="2E+20"/>
    <n v="0.100588805066892"/>
    <n v="31.068258853797701"/>
    <n v="122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2"/>
    <x v="0"/>
    <x v="5"/>
    <x v="0"/>
    <n v="7.8623837848056803"/>
    <n v="2E+20"/>
    <n v="0.16087317936379"/>
    <n v="27.810104347216999"/>
    <n v="122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3"/>
    <x v="0"/>
    <x v="0"/>
    <x v="0"/>
    <n v="0"/>
    <n v="2E+20"/>
    <n v="0"/>
    <n v="0"/>
    <n v="111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3"/>
    <x v="0"/>
    <x v="1"/>
    <x v="0"/>
    <n v="0.62832946840131398"/>
    <n v="2E+20"/>
    <n v="0.11356873536371399"/>
    <n v="2.38533640554235"/>
    <n v="111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3"/>
    <x v="0"/>
    <x v="2"/>
    <x v="0"/>
    <n v="7.2013188607330099"/>
    <n v="2E+20"/>
    <n v="0.74707605140898203"/>
    <n v="35.917318907329303"/>
    <n v="111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3"/>
    <x v="0"/>
    <x v="3"/>
    <x v="0"/>
    <n v="0.233333333333339"/>
    <n v="2E+20"/>
    <n v="0.23333333333331999"/>
    <n v="0.23333333333334799"/>
    <n v="111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3"/>
    <x v="0"/>
    <x v="4"/>
    <x v="0"/>
    <n v="4.4898124262756802"/>
    <n v="2E+20"/>
    <n v="7.2811646739211297E-2"/>
    <n v="34.764332781591598"/>
    <n v="111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3"/>
    <x v="0"/>
    <x v="5"/>
    <x v="0"/>
    <n v="4.1946724092138199"/>
    <n v="2E+20"/>
    <n v="0.12199206156859101"/>
    <n v="16.9690080161641"/>
    <n v="111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4"/>
    <x v="0"/>
    <x v="0"/>
    <x v="0"/>
    <n v="0"/>
    <n v="2E+20"/>
    <n v="0"/>
    <n v="0"/>
    <n v="108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4"/>
    <x v="0"/>
    <x v="1"/>
    <x v="0"/>
    <n v="0.59726077564575997"/>
    <n v="2E+20"/>
    <n v="0.20537316198230801"/>
    <n v="1.82348496076486"/>
    <n v="108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4"/>
    <x v="0"/>
    <x v="2"/>
    <x v="0"/>
    <n v="7.6264942452867297"/>
    <n v="2E+20"/>
    <n v="0.75514294490321299"/>
    <n v="42.731754474429003"/>
    <n v="108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4"/>
    <x v="0"/>
    <x v="3"/>
    <x v="0"/>
    <n v="0.233333333333338"/>
    <n v="2E+20"/>
    <n v="0.23333333333331999"/>
    <n v="0.23333333333334799"/>
    <n v="108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4"/>
    <x v="0"/>
    <x v="4"/>
    <x v="0"/>
    <n v="3.89967372194578"/>
    <n v="2E+20"/>
    <n v="6.6826078700273697E-2"/>
    <n v="33.440809980788302"/>
    <n v="108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4"/>
    <x v="0"/>
    <x v="5"/>
    <x v="0"/>
    <n v="5.4072459470241601"/>
    <n v="2E+20"/>
    <n v="0.175964557122569"/>
    <n v="16.248301411484501"/>
    <n v="108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5"/>
    <x v="0"/>
    <x v="0"/>
    <x v="0"/>
    <n v="0"/>
    <n v="2E+20"/>
    <n v="0"/>
    <n v="0"/>
    <n v="118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5"/>
    <x v="0"/>
    <x v="1"/>
    <x v="0"/>
    <n v="0.61069915471721903"/>
    <n v="2E+20"/>
    <n v="0.143991735142151"/>
    <n v="2.08862679103976"/>
    <n v="118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5"/>
    <x v="0"/>
    <x v="2"/>
    <x v="0"/>
    <n v="8.0302015509659892"/>
    <n v="2E+20"/>
    <n v="0.70710881042238305"/>
    <n v="59.068854696650199"/>
    <n v="118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5"/>
    <x v="0"/>
    <x v="3"/>
    <x v="0"/>
    <n v="0.233333333333338"/>
    <n v="2E+20"/>
    <n v="0.23333333333331999"/>
    <n v="0.23333333333334799"/>
    <n v="118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5"/>
    <x v="0"/>
    <x v="4"/>
    <x v="0"/>
    <n v="4.57542588844042"/>
    <n v="2E+20"/>
    <n v="6.8541065135150403E-2"/>
    <n v="44.837649128962603"/>
    <n v="118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5"/>
    <x v="0"/>
    <x v="5"/>
    <x v="0"/>
    <n v="4.89519307229844"/>
    <n v="2E+20"/>
    <n v="0.13521663054663699"/>
    <n v="29.261780775236801"/>
    <n v="118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6"/>
    <x v="0"/>
    <x v="0"/>
    <x v="0"/>
    <n v="0"/>
    <n v="2E+20"/>
    <n v="0"/>
    <n v="0"/>
    <n v="110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6"/>
    <x v="0"/>
    <x v="1"/>
    <x v="0"/>
    <n v="0.585122172203972"/>
    <n v="2E+20"/>
    <n v="0.16695699414540899"/>
    <n v="1.21091022485352"/>
    <n v="110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6"/>
    <x v="0"/>
    <x v="2"/>
    <x v="0"/>
    <n v="6.7782987181634597"/>
    <n v="2E+20"/>
    <n v="0.63326647380412704"/>
    <n v="38.183169586679398"/>
    <n v="110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6"/>
    <x v="0"/>
    <x v="3"/>
    <x v="0"/>
    <n v="0.233333333333336"/>
    <n v="2E+20"/>
    <n v="0.23333333333331999"/>
    <n v="0.23333333333334799"/>
    <n v="110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6"/>
    <x v="0"/>
    <x v="4"/>
    <x v="0"/>
    <n v="3.9548755686345101"/>
    <n v="2E+20"/>
    <n v="6.2892149244021298E-2"/>
    <n v="34.4370110247187"/>
    <n v="110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6"/>
    <x v="0"/>
    <x v="5"/>
    <x v="0"/>
    <n v="3.9387083586110201"/>
    <n v="2E+20"/>
    <n v="4.6225482577341402E-2"/>
    <n v="13.938687734340199"/>
    <n v="110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7"/>
    <x v="0"/>
    <x v="0"/>
    <x v="0"/>
    <n v="0"/>
    <n v="2E+20"/>
    <n v="0"/>
    <n v="0"/>
    <n v="117"/>
    <s v="Weekend (base)ClienteNVA TimeEntity"/>
    <n v="17"/>
    <n v="0"/>
    <n v="0"/>
    <n v="0.95"/>
    <n v="0"/>
    <n v="0"/>
    <n v="0"/>
    <n v="0"/>
    <n v="0"/>
    <n v="118.76470588235294"/>
    <n v="0"/>
    <n v="17"/>
    <n v="1"/>
  </r>
  <r>
    <x v="0"/>
    <s v="2025-05-17 23:41:37"/>
    <n v="17"/>
    <x v="0"/>
    <x v="1"/>
    <x v="0"/>
    <n v="0.56954522570007104"/>
    <n v="2E+20"/>
    <n v="0.14249025763181999"/>
    <n v="1.74490137170491"/>
    <n v="117"/>
    <s v="Weekend (base)ClienteOther TimeEntity"/>
    <n v="17"/>
    <n v="0.64005922781612723"/>
    <n v="4.5006631524114833E-2"/>
    <n v="0.95"/>
    <n v="2.3140274669479658E-2"/>
    <n v="0.56954522570007104"/>
    <n v="0.71891620780174204"/>
    <n v="6.2080029502567399E-2"/>
    <n v="3.07779584713577"/>
    <n v="118.76470588235294"/>
    <n v="2.3140274669479658E-2"/>
    <n v="17"/>
    <n v="1"/>
  </r>
  <r>
    <x v="0"/>
    <s v="2025-05-17 23:41:37"/>
    <n v="17"/>
    <x v="0"/>
    <x v="2"/>
    <x v="0"/>
    <n v="10.334965297288001"/>
    <n v="2E+20"/>
    <n v="1.0392723983344601"/>
    <n v="51.655360618147398"/>
    <n v="117"/>
    <s v="Weekend (base)ClienteTotal TimeEntity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7"/>
    <x v="0"/>
    <x v="3"/>
    <x v="0"/>
    <n v="0.233333333333336"/>
    <n v="2E+20"/>
    <n v="0.23333333333331999"/>
    <n v="0.23333333333334799"/>
    <n v="117"/>
    <s v="Weekend (base)ClienteTransfer TimeEntity"/>
    <n v="17"/>
    <n v="0.23333333333333733"/>
    <n v="1.2209298820799337E-15"/>
    <n v="0.95"/>
    <n v="6.277442205015305E-16"/>
    <n v="0.233333333333334"/>
    <n v="0.233333333333339"/>
    <n v="0.23333333333331999"/>
    <n v="0.23333333333334799"/>
    <n v="118.76470588235294"/>
    <n v="6.277442205015305E-16"/>
    <n v="17"/>
    <n v="1"/>
  </r>
  <r>
    <x v="0"/>
    <s v="2025-05-17 23:41:37"/>
    <n v="17"/>
    <x v="0"/>
    <x v="4"/>
    <x v="0"/>
    <n v="4.5038550316327202"/>
    <n v="2E+20"/>
    <n v="0.123168483600693"/>
    <n v="39.413259139481603"/>
    <n v="117"/>
    <s v="Weekend (base)ClienteVA TimeEntity"/>
    <n v="17"/>
    <n v="4.2002866238083385"/>
    <n v="0.46019281010737506"/>
    <n v="0.95"/>
    <n v="0.23660930992132923"/>
    <n v="3.4983558905782202"/>
    <n v="5.2882290525835298"/>
    <n v="4.8783094206100899E-2"/>
    <n v="44.837649128962603"/>
    <n v="118.76470588235294"/>
    <n v="0.23660930992132923"/>
    <n v="17"/>
    <n v="1"/>
  </r>
  <r>
    <x v="0"/>
    <s v="2025-05-17 23:41:37"/>
    <n v="17"/>
    <x v="0"/>
    <x v="5"/>
    <x v="0"/>
    <n v="8.5708898519089107"/>
    <n v="2E+20"/>
    <n v="0.109608450033363"/>
    <n v="29.018133125269099"/>
    <n v="117"/>
    <s v="Weekend (base)ClienteWait TimeEntity"/>
    <n v="17"/>
    <n v="6.1661674524885619"/>
    <n v="2.1705008948157731"/>
    <n v="0.95"/>
    <n v="1.1159685845290814"/>
    <n v="3.2797723254625799"/>
    <n v="11.483148854180399"/>
    <n v="4.6225482577341402E-2"/>
    <n v="35.927727096959302"/>
    <n v="118.76470588235294"/>
    <n v="1.1159685845290814"/>
    <n v="17"/>
    <n v="1"/>
  </r>
  <r>
    <x v="0"/>
    <s v="2025-05-17 23:41:37"/>
    <n v="1"/>
    <x v="1"/>
    <x v="6"/>
    <x v="1"/>
    <n v="5.04"/>
    <n v="2E+20"/>
    <n v="0"/>
    <n v="15"/>
    <n v="125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2"/>
    <x v="1"/>
    <x v="6"/>
    <x v="1"/>
    <n v="5.60683760683761"/>
    <n v="2E+20"/>
    <n v="1"/>
    <n v="15"/>
    <n v="117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3"/>
    <x v="1"/>
    <x v="6"/>
    <x v="1"/>
    <n v="6.8253968253968296"/>
    <n v="2E+20"/>
    <n v="1"/>
    <n v="14"/>
    <n v="126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4"/>
    <x v="1"/>
    <x v="6"/>
    <x v="1"/>
    <n v="5.0384615384615401"/>
    <n v="2E+20"/>
    <n v="0"/>
    <n v="11"/>
    <n v="130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5"/>
    <x v="1"/>
    <x v="6"/>
    <x v="1"/>
    <n v="5.9230769230769296"/>
    <n v="2E+20"/>
    <n v="0"/>
    <n v="13"/>
    <n v="130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6"/>
    <x v="1"/>
    <x v="6"/>
    <x v="1"/>
    <n v="3.56666666666667"/>
    <n v="2E+20"/>
    <n v="0"/>
    <n v="7"/>
    <n v="120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7"/>
    <x v="1"/>
    <x v="6"/>
    <x v="1"/>
    <n v="4.6355140186915902"/>
    <n v="2E+20"/>
    <n v="0"/>
    <n v="9"/>
    <n v="107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8"/>
    <x v="1"/>
    <x v="6"/>
    <x v="1"/>
    <n v="7.5042016806722698"/>
    <n v="2E+20"/>
    <n v="0"/>
    <n v="17"/>
    <n v="119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9"/>
    <x v="1"/>
    <x v="6"/>
    <x v="1"/>
    <n v="4.55833333333333"/>
    <n v="2E+20"/>
    <n v="1"/>
    <n v="13"/>
    <n v="120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0"/>
    <x v="1"/>
    <x v="6"/>
    <x v="1"/>
    <n v="6.7983870967741904"/>
    <n v="2E+20"/>
    <n v="2"/>
    <n v="12"/>
    <n v="124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1"/>
    <x v="1"/>
    <x v="6"/>
    <x v="1"/>
    <n v="4.6173913043478301"/>
    <n v="2E+20"/>
    <n v="1"/>
    <n v="10"/>
    <n v="115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2"/>
    <x v="1"/>
    <x v="6"/>
    <x v="1"/>
    <n v="5.8114754098360697"/>
    <n v="2E+20"/>
    <n v="0"/>
    <n v="14"/>
    <n v="122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3"/>
    <x v="1"/>
    <x v="6"/>
    <x v="1"/>
    <n v="4.6936936936937004"/>
    <n v="2E+20"/>
    <n v="0"/>
    <n v="10"/>
    <n v="111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4"/>
    <x v="1"/>
    <x v="6"/>
    <x v="1"/>
    <n v="4.3703703703703702"/>
    <n v="2E+20"/>
    <n v="1"/>
    <n v="10"/>
    <n v="108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5"/>
    <x v="1"/>
    <x v="6"/>
    <x v="1"/>
    <n v="4.28813559322034"/>
    <n v="2E+20"/>
    <n v="0"/>
    <n v="9"/>
    <n v="118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6"/>
    <x v="1"/>
    <x v="6"/>
    <x v="1"/>
    <n v="3.8909090909090902"/>
    <n v="2E+20"/>
    <n v="1"/>
    <n v="11"/>
    <n v="110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7"/>
    <x v="1"/>
    <x v="6"/>
    <x v="1"/>
    <n v="7.2991452991452999"/>
    <n v="2E+20"/>
    <n v="1"/>
    <n v="20"/>
    <n v="117"/>
    <s v="Weekend (base)ClientesEnSistemaExpressionUser Specified"/>
    <n v="17"/>
    <n v="5.3216468500843321"/>
    <n v="1.1990188567743081"/>
    <n v="0.95"/>
    <n v="0.61647861081931221"/>
    <n v="3.56666666666667"/>
    <n v="7.5042016806722698"/>
    <n v="0"/>
    <n v="20"/>
    <n v="118.76470588235294"/>
    <n v="0.61647861081931221"/>
    <n v="17"/>
    <n v="1"/>
  </r>
  <r>
    <x v="0"/>
    <s v="2025-05-17 23:41:37"/>
    <n v="1"/>
    <x v="2"/>
    <x v="6"/>
    <x v="1"/>
    <n v="6.7021276595744697"/>
    <n v="2E+20"/>
    <n v="6.7021276595744697"/>
    <n v="6.7021276595744697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2"/>
    <x v="2"/>
    <x v="6"/>
    <x v="1"/>
    <n v="7.0555555555555598"/>
    <n v="2E+20"/>
    <n v="7.0555555555555598"/>
    <n v="7.0555555555555598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3"/>
    <x v="2"/>
    <x v="6"/>
    <x v="1"/>
    <n v="10.6315789473684"/>
    <n v="2E+20"/>
    <n v="10.6315789473684"/>
    <n v="10.6315789473684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4"/>
    <x v="2"/>
    <x v="6"/>
    <x v="1"/>
    <n v="3.9302325581395299"/>
    <n v="2E+20"/>
    <n v="3.9302325581395299"/>
    <n v="3.9302325581395299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5"/>
    <x v="2"/>
    <x v="6"/>
    <x v="1"/>
    <n v="3.9736842105263199"/>
    <n v="2E+20"/>
    <n v="3.9736842105263199"/>
    <n v="3.9736842105263199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6"/>
    <x v="2"/>
    <x v="6"/>
    <x v="1"/>
    <n v="4.2142857142857197"/>
    <n v="2E+20"/>
    <n v="4.2142857142857197"/>
    <n v="4.2142857142857197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7"/>
    <x v="2"/>
    <x v="6"/>
    <x v="1"/>
    <n v="3.22857142857143"/>
    <n v="2E+20"/>
    <n v="3.22857142857143"/>
    <n v="3.22857142857143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8"/>
    <x v="2"/>
    <x v="6"/>
    <x v="1"/>
    <n v="3.86486486486486"/>
    <n v="2E+20"/>
    <n v="3.86486486486486"/>
    <n v="3.86486486486486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9"/>
    <x v="2"/>
    <x v="6"/>
    <x v="1"/>
    <n v="7.5581395348837201"/>
    <n v="2E+20"/>
    <n v="7.5581395348837201"/>
    <n v="7.5581395348837201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0"/>
    <x v="2"/>
    <x v="6"/>
    <x v="1"/>
    <n v="5.75"/>
    <n v="2E+20"/>
    <n v="5.75"/>
    <n v="5.75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1"/>
    <x v="2"/>
    <x v="6"/>
    <x v="1"/>
    <n v="4.5641025641025701"/>
    <n v="2E+20"/>
    <n v="4.5641025641025701"/>
    <n v="4.5641025641025701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2"/>
    <x v="2"/>
    <x v="6"/>
    <x v="1"/>
    <n v="8.1086956521739104"/>
    <n v="2E+20"/>
    <n v="8.1086956521739104"/>
    <n v="8.1086956521739104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3"/>
    <x v="2"/>
    <x v="6"/>
    <x v="1"/>
    <n v="2.78125"/>
    <n v="2E+20"/>
    <n v="2.78125"/>
    <n v="2.78125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4"/>
    <x v="2"/>
    <x v="6"/>
    <x v="1"/>
    <n v="4.3142857142857096"/>
    <n v="2E+20"/>
    <n v="4.3142857142857096"/>
    <n v="4.3142857142857096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5"/>
    <x v="2"/>
    <x v="6"/>
    <x v="1"/>
    <n v="4.3333333333333304"/>
    <n v="2E+20"/>
    <n v="4.3333333333333304"/>
    <n v="4.3333333333333304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6"/>
    <x v="2"/>
    <x v="6"/>
    <x v="1"/>
    <n v="5.5641025641025701"/>
    <n v="2E+20"/>
    <n v="5.5641025641025701"/>
    <n v="5.5641025641025701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7"/>
    <x v="2"/>
    <x v="6"/>
    <x v="1"/>
    <n v="4.5111111111111102"/>
    <n v="2E+20"/>
    <n v="4.5111111111111102"/>
    <n v="4.5111111111111102"/>
    <n v="1"/>
    <s v="Weekend (base)ClientesSisH1ExpressionUser Specified"/>
    <n v="17"/>
    <n v="5.3579953772281881"/>
    <n v="2.0502341108130522"/>
    <n v="0.95"/>
    <n v="1.0541331100402431"/>
    <n v="2.78125"/>
    <n v="10.6315789473684"/>
    <n v="2.78125"/>
    <n v="10.6315789473684"/>
    <n v="1"/>
    <n v="1.0541331100402431"/>
    <n v="17"/>
    <n v="1"/>
  </r>
  <r>
    <x v="0"/>
    <s v="2025-05-17 23:41:37"/>
    <n v="1"/>
    <x v="3"/>
    <x v="6"/>
    <x v="1"/>
    <n v="5.3255813953488396"/>
    <n v="2E+20"/>
    <n v="5.3255813953488396"/>
    <n v="5.3255813953488396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2"/>
    <x v="3"/>
    <x v="6"/>
    <x v="1"/>
    <n v="5.48780487804878"/>
    <n v="2E+20"/>
    <n v="5.48780487804878"/>
    <n v="5.48780487804878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3"/>
    <x v="3"/>
    <x v="6"/>
    <x v="1"/>
    <n v="8.0681818181818201"/>
    <n v="2E+20"/>
    <n v="8.0681818181818201"/>
    <n v="8.0681818181818201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4"/>
    <x v="3"/>
    <x v="6"/>
    <x v="1"/>
    <n v="5.8131868131868103"/>
    <n v="2E+20"/>
    <n v="5.8131868131868103"/>
    <n v="5.8131868131868103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5"/>
    <x v="3"/>
    <x v="6"/>
    <x v="1"/>
    <n v="4.5063291139240498"/>
    <n v="2E+20"/>
    <n v="4.5063291139240498"/>
    <n v="4.5063291139240498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6"/>
    <x v="3"/>
    <x v="6"/>
    <x v="1"/>
    <n v="3.8048780487804899"/>
    <n v="2E+20"/>
    <n v="3.8048780487804899"/>
    <n v="3.8048780487804899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7"/>
    <x v="3"/>
    <x v="6"/>
    <x v="1"/>
    <n v="4.9444444444444402"/>
    <n v="2E+20"/>
    <n v="4.9444444444444402"/>
    <n v="4.9444444444444402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8"/>
    <x v="3"/>
    <x v="6"/>
    <x v="1"/>
    <n v="8.2432432432432403"/>
    <n v="2E+20"/>
    <n v="8.2432432432432403"/>
    <n v="8.2432432432432403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9"/>
    <x v="3"/>
    <x v="6"/>
    <x v="1"/>
    <n v="5.3647058823529399"/>
    <n v="2E+20"/>
    <n v="5.3647058823529399"/>
    <n v="5.3647058823529399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0"/>
    <x v="3"/>
    <x v="6"/>
    <x v="1"/>
    <n v="6.3950617283950599"/>
    <n v="2E+20"/>
    <n v="6.3950617283950599"/>
    <n v="6.3950617283950599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1"/>
    <x v="3"/>
    <x v="6"/>
    <x v="1"/>
    <n v="3.6478873239436602"/>
    <n v="2E+20"/>
    <n v="3.6478873239436602"/>
    <n v="3.6478873239436602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2"/>
    <x v="3"/>
    <x v="6"/>
    <x v="1"/>
    <n v="7.0329670329670302"/>
    <n v="2E+20"/>
    <n v="7.0329670329670302"/>
    <n v="7.0329670329670302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3"/>
    <x v="3"/>
    <x v="6"/>
    <x v="1"/>
    <n v="4.0422535211267601"/>
    <n v="2E+20"/>
    <n v="4.0422535211267601"/>
    <n v="4.0422535211267601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4"/>
    <x v="3"/>
    <x v="6"/>
    <x v="1"/>
    <n v="3.9736842105263102"/>
    <n v="2E+20"/>
    <n v="3.9736842105263102"/>
    <n v="3.9736842105263102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5"/>
    <x v="3"/>
    <x v="6"/>
    <x v="1"/>
    <n v="4.7397260273972597"/>
    <n v="2E+20"/>
    <n v="4.7397260273972597"/>
    <n v="4.7397260273972597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6"/>
    <x v="3"/>
    <x v="6"/>
    <x v="1"/>
    <n v="4.2307692307692299"/>
    <n v="2E+20"/>
    <n v="4.2307692307692299"/>
    <n v="4.2307692307692299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7"/>
    <x v="3"/>
    <x v="6"/>
    <x v="1"/>
    <n v="4.2597402597402603"/>
    <n v="2E+20"/>
    <n v="4.2597402597402603"/>
    <n v="4.2597402597402603"/>
    <n v="1"/>
    <s v="Weekend (base)ClientesSisH2ExpressionUser Specified"/>
    <n v="17"/>
    <n v="5.287084998375116"/>
    <n v="1.4236841296556906"/>
    <n v="0.95"/>
    <n v="0.73199083528746056"/>
    <n v="3.6478873239436602"/>
    <n v="8.2432432432432403"/>
    <n v="3.6478873239436602"/>
    <n v="8.2432432432432403"/>
    <n v="1"/>
    <n v="0.73199083528746056"/>
    <n v="17"/>
    <n v="1"/>
  </r>
  <r>
    <x v="0"/>
    <s v="2025-05-17 23:41:37"/>
    <n v="1"/>
    <x v="4"/>
    <x v="6"/>
    <x v="1"/>
    <n v="5.04"/>
    <n v="2E+20"/>
    <n v="5.04"/>
    <n v="5.04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2"/>
    <x v="4"/>
    <x v="6"/>
    <x v="1"/>
    <n v="5.60683760683761"/>
    <n v="2E+20"/>
    <n v="5.60683760683761"/>
    <n v="5.60683760683761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3"/>
    <x v="4"/>
    <x v="6"/>
    <x v="1"/>
    <n v="6.8253968253968296"/>
    <n v="2E+20"/>
    <n v="6.8253968253968296"/>
    <n v="6.8253968253968296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4"/>
    <x v="4"/>
    <x v="6"/>
    <x v="1"/>
    <n v="5.0384615384615401"/>
    <n v="2E+20"/>
    <n v="5.0384615384615401"/>
    <n v="5.0384615384615401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5"/>
    <x v="4"/>
    <x v="6"/>
    <x v="1"/>
    <n v="5.9230769230769296"/>
    <n v="2E+20"/>
    <n v="5.9230769230769296"/>
    <n v="5.9230769230769296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6"/>
    <x v="4"/>
    <x v="6"/>
    <x v="1"/>
    <n v="3.56666666666667"/>
    <n v="2E+20"/>
    <n v="3.56666666666667"/>
    <n v="3.56666666666667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7"/>
    <x v="4"/>
    <x v="6"/>
    <x v="1"/>
    <n v="4.6355140186915902"/>
    <n v="2E+20"/>
    <n v="4.6355140186915902"/>
    <n v="4.6355140186915902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8"/>
    <x v="4"/>
    <x v="6"/>
    <x v="1"/>
    <n v="7.5042016806722698"/>
    <n v="2E+20"/>
    <n v="7.5042016806722698"/>
    <n v="7.5042016806722698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9"/>
    <x v="4"/>
    <x v="6"/>
    <x v="1"/>
    <n v="4.55833333333333"/>
    <n v="2E+20"/>
    <n v="4.55833333333333"/>
    <n v="4.55833333333333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0"/>
    <x v="4"/>
    <x v="6"/>
    <x v="1"/>
    <n v="6.7983870967741904"/>
    <n v="2E+20"/>
    <n v="6.7983870967741904"/>
    <n v="6.7983870967741904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1"/>
    <x v="4"/>
    <x v="6"/>
    <x v="1"/>
    <n v="4.6173913043478301"/>
    <n v="2E+20"/>
    <n v="4.6173913043478301"/>
    <n v="4.6173913043478301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2"/>
    <x v="4"/>
    <x v="6"/>
    <x v="1"/>
    <n v="5.8114754098360697"/>
    <n v="2E+20"/>
    <n v="5.8114754098360697"/>
    <n v="5.8114754098360697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3"/>
    <x v="4"/>
    <x v="6"/>
    <x v="1"/>
    <n v="4.6936936936937004"/>
    <n v="2E+20"/>
    <n v="4.6936936936937004"/>
    <n v="4.6936936936937004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4"/>
    <x v="4"/>
    <x v="6"/>
    <x v="1"/>
    <n v="4.3703703703703702"/>
    <n v="2E+20"/>
    <n v="4.3703703703703702"/>
    <n v="4.3703703703703702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5"/>
    <x v="4"/>
    <x v="6"/>
    <x v="1"/>
    <n v="4.28813559322034"/>
    <n v="2E+20"/>
    <n v="4.28813559322034"/>
    <n v="4.28813559322034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6"/>
    <x v="4"/>
    <x v="6"/>
    <x v="1"/>
    <n v="3.8909090909090902"/>
    <n v="2E+20"/>
    <n v="3.8909090909090902"/>
    <n v="3.8909090909090902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7"/>
    <x v="4"/>
    <x v="6"/>
    <x v="1"/>
    <n v="7.2991452991452999"/>
    <n v="2E+20"/>
    <n v="7.2991452991452999"/>
    <n v="7.2991452991452999"/>
    <n v="1"/>
    <s v="Weekend (base)ClientesSisH3ExpressionUser Specified"/>
    <n v="17"/>
    <n v="5.3216468500843321"/>
    <n v="1.1990188567743081"/>
    <n v="0.95"/>
    <n v="0.61647861081931221"/>
    <n v="3.56666666666667"/>
    <n v="7.5042016806722698"/>
    <n v="3.56666666666667"/>
    <n v="7.5042016806722698"/>
    <n v="1"/>
    <n v="0.61647861081931221"/>
    <n v="17"/>
    <n v="1"/>
  </r>
  <r>
    <x v="0"/>
    <s v="2025-05-17 23:41:37"/>
    <n v="1"/>
    <x v="5"/>
    <x v="7"/>
    <x v="2"/>
    <n v="18.2593992105048"/>
    <n v="2E+20"/>
    <n v="2.2955081499061101"/>
    <n v="33.534938461929002"/>
    <n v="18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"/>
    <x v="5"/>
    <x v="8"/>
    <x v="2"/>
    <n v="18.2593992105048"/>
    <n v="2E+20"/>
    <n v="2.2955081499061101"/>
    <n v="33.534938461929002"/>
    <n v="18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"/>
    <x v="5"/>
    <x v="9"/>
    <x v="2"/>
    <n v="0"/>
    <n v="2E+20"/>
    <n v="0"/>
    <n v="0"/>
    <n v="18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2"/>
    <x v="5"/>
    <x v="7"/>
    <x v="2"/>
    <n v="17.2685153930776"/>
    <n v="2E+20"/>
    <n v="4.2869157497203396"/>
    <n v="27.243425483403701"/>
    <n v="15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2"/>
    <x v="5"/>
    <x v="8"/>
    <x v="2"/>
    <n v="17.2685153930776"/>
    <n v="2E+20"/>
    <n v="4.2869157497203396"/>
    <n v="27.243425483403701"/>
    <n v="15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2"/>
    <x v="5"/>
    <x v="9"/>
    <x v="2"/>
    <n v="0"/>
    <n v="2E+20"/>
    <n v="0"/>
    <n v="0"/>
    <n v="15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3"/>
    <x v="5"/>
    <x v="7"/>
    <x v="2"/>
    <n v="16.711136995459501"/>
    <n v="2E+20"/>
    <n v="1.4247963853516701"/>
    <n v="35.423370240477297"/>
    <n v="18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3"/>
    <x v="5"/>
    <x v="8"/>
    <x v="2"/>
    <n v="16.711136995459501"/>
    <n v="2E+20"/>
    <n v="1.4247963853516701"/>
    <n v="35.423370240477297"/>
    <n v="18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3"/>
    <x v="5"/>
    <x v="9"/>
    <x v="2"/>
    <n v="0"/>
    <n v="2E+20"/>
    <n v="0"/>
    <n v="0"/>
    <n v="18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4"/>
    <x v="5"/>
    <x v="7"/>
    <x v="2"/>
    <n v="18.264009130516001"/>
    <n v="2E+20"/>
    <n v="0"/>
    <n v="31.627733362812201"/>
    <n v="16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4"/>
    <x v="5"/>
    <x v="8"/>
    <x v="2"/>
    <n v="18.264009130516001"/>
    <n v="2E+20"/>
    <n v="0"/>
    <n v="31.627733362812201"/>
    <n v="16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4"/>
    <x v="5"/>
    <x v="9"/>
    <x v="2"/>
    <n v="0"/>
    <n v="2E+20"/>
    <n v="0"/>
    <n v="0"/>
    <n v="16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5"/>
    <x v="5"/>
    <x v="7"/>
    <x v="2"/>
    <n v="18.720907483545201"/>
    <n v="2E+20"/>
    <n v="3.1328990905535599E-2"/>
    <n v="43.471801567160703"/>
    <n v="20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5"/>
    <x v="5"/>
    <x v="8"/>
    <x v="2"/>
    <n v="18.720907483545201"/>
    <n v="2E+20"/>
    <n v="3.1328990905535599E-2"/>
    <n v="43.471801567160703"/>
    <n v="20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5"/>
    <x v="5"/>
    <x v="9"/>
    <x v="2"/>
    <n v="0"/>
    <n v="2E+20"/>
    <n v="0"/>
    <n v="0"/>
    <n v="20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6"/>
    <x v="5"/>
    <x v="7"/>
    <x v="2"/>
    <n v="18.845963572607101"/>
    <n v="2E+20"/>
    <n v="0"/>
    <n v="35.583084453429798"/>
    <n v="16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6"/>
    <x v="5"/>
    <x v="8"/>
    <x v="2"/>
    <n v="18.845963572607101"/>
    <n v="2E+20"/>
    <n v="0"/>
    <n v="35.583084453429798"/>
    <n v="16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6"/>
    <x v="5"/>
    <x v="9"/>
    <x v="2"/>
    <n v="0"/>
    <n v="2E+20"/>
    <n v="0"/>
    <n v="0"/>
    <n v="16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7"/>
    <x v="5"/>
    <x v="7"/>
    <x v="2"/>
    <n v="20.9021083047334"/>
    <n v="2E+20"/>
    <n v="4.7836091019057703"/>
    <n v="37.510579447555301"/>
    <n v="16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7"/>
    <x v="5"/>
    <x v="8"/>
    <x v="2"/>
    <n v="20.9021083047334"/>
    <n v="2E+20"/>
    <n v="4.7836091019057703"/>
    <n v="37.510579447555301"/>
    <n v="16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7"/>
    <x v="5"/>
    <x v="9"/>
    <x v="2"/>
    <n v="0"/>
    <n v="2E+20"/>
    <n v="0"/>
    <n v="0"/>
    <n v="16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8"/>
    <x v="5"/>
    <x v="7"/>
    <x v="2"/>
    <n v="18.6809013452324"/>
    <n v="2E+20"/>
    <n v="0"/>
    <n v="36.821357145884903"/>
    <n v="18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8"/>
    <x v="5"/>
    <x v="8"/>
    <x v="2"/>
    <n v="18.6809013452324"/>
    <n v="2E+20"/>
    <n v="0"/>
    <n v="36.821357145884903"/>
    <n v="18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8"/>
    <x v="5"/>
    <x v="9"/>
    <x v="2"/>
    <n v="0"/>
    <n v="2E+20"/>
    <n v="0"/>
    <n v="0"/>
    <n v="18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9"/>
    <x v="5"/>
    <x v="7"/>
    <x v="2"/>
    <n v="15.4431685816695"/>
    <n v="2E+20"/>
    <n v="3.4456120685755698"/>
    <n v="28.4927510845794"/>
    <n v="15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9"/>
    <x v="5"/>
    <x v="8"/>
    <x v="2"/>
    <n v="15.4431685816695"/>
    <n v="2E+20"/>
    <n v="3.4456120685755698"/>
    <n v="28.4927510845794"/>
    <n v="15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9"/>
    <x v="5"/>
    <x v="9"/>
    <x v="2"/>
    <n v="0"/>
    <n v="2E+20"/>
    <n v="0"/>
    <n v="0"/>
    <n v="15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0"/>
    <x v="5"/>
    <x v="7"/>
    <x v="2"/>
    <n v="22.816713775859"/>
    <n v="2E+20"/>
    <n v="9.2131462587443202"/>
    <n v="36.440722923259202"/>
    <n v="20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0"/>
    <x v="5"/>
    <x v="8"/>
    <x v="2"/>
    <n v="22.816713775859"/>
    <n v="2E+20"/>
    <n v="9.2131462587443202"/>
    <n v="36.440722923259202"/>
    <n v="20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0"/>
    <x v="5"/>
    <x v="9"/>
    <x v="2"/>
    <n v="0"/>
    <n v="2E+20"/>
    <n v="0"/>
    <n v="0"/>
    <n v="20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1"/>
    <x v="5"/>
    <x v="7"/>
    <x v="2"/>
    <n v="18.537174772151499"/>
    <n v="2E+20"/>
    <n v="0"/>
    <n v="37.749583513244502"/>
    <n v="16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1"/>
    <x v="5"/>
    <x v="8"/>
    <x v="2"/>
    <n v="18.537174772151499"/>
    <n v="2E+20"/>
    <n v="0"/>
    <n v="37.749583513244502"/>
    <n v="16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1"/>
    <x v="5"/>
    <x v="9"/>
    <x v="2"/>
    <n v="0"/>
    <n v="2E+20"/>
    <n v="0"/>
    <n v="0"/>
    <n v="16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2"/>
    <x v="5"/>
    <x v="7"/>
    <x v="2"/>
    <n v="15.010749008421101"/>
    <n v="2E+20"/>
    <n v="0"/>
    <n v="30.952675896527399"/>
    <n v="15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2"/>
    <x v="5"/>
    <x v="8"/>
    <x v="2"/>
    <n v="15.010749008421101"/>
    <n v="2E+20"/>
    <n v="0"/>
    <n v="30.952675896527399"/>
    <n v="15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2"/>
    <x v="5"/>
    <x v="9"/>
    <x v="2"/>
    <n v="0"/>
    <n v="2E+20"/>
    <n v="0"/>
    <n v="0"/>
    <n v="15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3"/>
    <x v="5"/>
    <x v="7"/>
    <x v="2"/>
    <n v="18.408362143555799"/>
    <n v="2E+20"/>
    <n v="1.0534864575693601"/>
    <n v="33.270339262695899"/>
    <n v="17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3"/>
    <x v="5"/>
    <x v="8"/>
    <x v="2"/>
    <n v="18.408362143555799"/>
    <n v="2E+20"/>
    <n v="1.0534864575693601"/>
    <n v="33.270339262695899"/>
    <n v="17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3"/>
    <x v="5"/>
    <x v="9"/>
    <x v="2"/>
    <n v="0"/>
    <n v="2E+20"/>
    <n v="0"/>
    <n v="0"/>
    <n v="17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4"/>
    <x v="5"/>
    <x v="7"/>
    <x v="2"/>
    <n v="18.1420160768544"/>
    <n v="2E+20"/>
    <n v="1.1644373686646601"/>
    <n v="29.557702364787001"/>
    <n v="13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4"/>
    <x v="5"/>
    <x v="8"/>
    <x v="2"/>
    <n v="18.1420160768544"/>
    <n v="2E+20"/>
    <n v="1.1644373686646601"/>
    <n v="29.557702364787001"/>
    <n v="13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4"/>
    <x v="5"/>
    <x v="9"/>
    <x v="2"/>
    <n v="0"/>
    <n v="2E+20"/>
    <n v="0"/>
    <n v="0"/>
    <n v="13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5"/>
    <x v="5"/>
    <x v="7"/>
    <x v="2"/>
    <n v="22.3239887839127"/>
    <n v="2E+20"/>
    <n v="11.4783811708635"/>
    <n v="44.433668276207797"/>
    <n v="16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5"/>
    <x v="5"/>
    <x v="8"/>
    <x v="2"/>
    <n v="22.3239887839127"/>
    <n v="2E+20"/>
    <n v="11.4783811708635"/>
    <n v="44.433668276207797"/>
    <n v="16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5"/>
    <x v="5"/>
    <x v="9"/>
    <x v="2"/>
    <n v="0"/>
    <n v="2E+20"/>
    <n v="0"/>
    <n v="0"/>
    <n v="16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6"/>
    <x v="5"/>
    <x v="7"/>
    <x v="2"/>
    <n v="15.507538213446001"/>
    <n v="2E+20"/>
    <n v="0"/>
    <n v="34.2162059751467"/>
    <n v="18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6"/>
    <x v="5"/>
    <x v="8"/>
    <x v="2"/>
    <n v="15.507538213446001"/>
    <n v="2E+20"/>
    <n v="0"/>
    <n v="34.2162059751467"/>
    <n v="18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6"/>
    <x v="5"/>
    <x v="9"/>
    <x v="2"/>
    <n v="0"/>
    <n v="2E+20"/>
    <n v="0"/>
    <n v="0"/>
    <n v="18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7"/>
    <x v="5"/>
    <x v="7"/>
    <x v="2"/>
    <n v="18.032962413256602"/>
    <n v="2E+20"/>
    <n v="3.9138028399751299"/>
    <n v="39.318468668477401"/>
    <n v="18"/>
    <s v="Weekend (base)Comer en MesaTotal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7"/>
    <x v="5"/>
    <x v="8"/>
    <x v="2"/>
    <n v="18.032962413256602"/>
    <n v="2E+20"/>
    <n v="3.9138028399751299"/>
    <n v="39.318468668477401"/>
    <n v="18"/>
    <s v="Weekend (base)Comer en MesaVA Time Per EntityProcess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7"/>
    <x v="5"/>
    <x v="9"/>
    <x v="2"/>
    <n v="0"/>
    <n v="2E+20"/>
    <n v="0"/>
    <n v="0"/>
    <n v="18"/>
    <s v="Weekend (base)Comer en MesaWait Time Per EntityProcess"/>
    <n v="17"/>
    <n v="0"/>
    <n v="0"/>
    <n v="0.95"/>
    <n v="0"/>
    <n v="0"/>
    <n v="0"/>
    <n v="0"/>
    <n v="0"/>
    <n v="16.764705882352942"/>
    <n v="0"/>
    <n v="17"/>
    <n v="1"/>
  </r>
  <r>
    <x v="0"/>
    <s v="2025-05-17 23:41:37"/>
    <n v="1"/>
    <x v="6"/>
    <x v="10"/>
    <x v="3"/>
    <n v="0"/>
    <n v="2E+20"/>
    <n v="0"/>
    <n v="0"/>
    <n v="19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2"/>
    <x v="6"/>
    <x v="10"/>
    <x v="3"/>
    <n v="0"/>
    <n v="2E+20"/>
    <n v="0"/>
    <n v="0"/>
    <n v="13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3"/>
    <x v="6"/>
    <x v="10"/>
    <x v="3"/>
    <n v="0"/>
    <n v="2E+20"/>
    <n v="0"/>
    <n v="0"/>
    <n v="19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4"/>
    <x v="6"/>
    <x v="10"/>
    <x v="3"/>
    <n v="0"/>
    <n v="2E+20"/>
    <n v="0"/>
    <n v="0"/>
    <n v="14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5"/>
    <x v="6"/>
    <x v="10"/>
    <x v="3"/>
    <n v="0"/>
    <n v="2E+20"/>
    <n v="0"/>
    <n v="0"/>
    <n v="22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6"/>
    <x v="6"/>
    <x v="10"/>
    <x v="3"/>
    <n v="0"/>
    <n v="2E+20"/>
    <n v="0"/>
    <n v="0"/>
    <n v="12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7"/>
    <x v="6"/>
    <x v="10"/>
    <x v="3"/>
    <n v="0"/>
    <n v="2E+20"/>
    <n v="0"/>
    <n v="0"/>
    <n v="17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8"/>
    <x v="6"/>
    <x v="10"/>
    <x v="3"/>
    <n v="0"/>
    <n v="2E+20"/>
    <n v="0"/>
    <n v="0"/>
    <n v="16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9"/>
    <x v="6"/>
    <x v="10"/>
    <x v="3"/>
    <n v="0"/>
    <n v="2E+20"/>
    <n v="0"/>
    <n v="0"/>
    <n v="16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0"/>
    <x v="6"/>
    <x v="10"/>
    <x v="3"/>
    <n v="0"/>
    <n v="2E+20"/>
    <n v="0"/>
    <n v="0"/>
    <n v="22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1"/>
    <x v="6"/>
    <x v="10"/>
    <x v="3"/>
    <n v="0"/>
    <n v="2E+20"/>
    <n v="0"/>
    <n v="0"/>
    <n v="19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2"/>
    <x v="6"/>
    <x v="10"/>
    <x v="3"/>
    <n v="0"/>
    <n v="2E+20"/>
    <n v="0"/>
    <n v="0"/>
    <n v="13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3"/>
    <x v="6"/>
    <x v="10"/>
    <x v="3"/>
    <n v="0"/>
    <n v="2E+20"/>
    <n v="0"/>
    <n v="0"/>
    <n v="18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4"/>
    <x v="6"/>
    <x v="10"/>
    <x v="3"/>
    <n v="0"/>
    <n v="2E+20"/>
    <n v="0"/>
    <n v="0"/>
    <n v="15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5"/>
    <x v="6"/>
    <x v="10"/>
    <x v="3"/>
    <n v="0"/>
    <n v="2E+20"/>
    <n v="0"/>
    <n v="0"/>
    <n v="16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6"/>
    <x v="6"/>
    <x v="10"/>
    <x v="3"/>
    <n v="0"/>
    <n v="2E+20"/>
    <n v="0"/>
    <n v="0"/>
    <n v="17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7"/>
    <x v="6"/>
    <x v="10"/>
    <x v="3"/>
    <n v="0"/>
    <n v="2E+20"/>
    <n v="0"/>
    <n v="0"/>
    <n v="20"/>
    <s v="Weekend (base)Comer en Mesa.QueueWaiting TimeQueue"/>
    <n v="17"/>
    <n v="0"/>
    <n v="0"/>
    <n v="0.95"/>
    <n v="0"/>
    <n v="0"/>
    <n v="0"/>
    <n v="0"/>
    <n v="0"/>
    <n v="16.941176470588236"/>
    <n v="0"/>
    <n v="17"/>
    <n v="1"/>
  </r>
  <r>
    <x v="0"/>
    <s v="2025-05-17 23:41:37"/>
    <n v="1"/>
    <x v="7"/>
    <x v="10"/>
    <x v="3"/>
    <n v="1.2201107501661801"/>
    <n v="2E+20"/>
    <n v="0"/>
    <n v="10.465866472766301"/>
    <n v="252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2"/>
    <x v="7"/>
    <x v="10"/>
    <x v="3"/>
    <n v="1.4434643602465"/>
    <n v="2E+20"/>
    <n v="0"/>
    <n v="12.599252620231301"/>
    <n v="230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3"/>
    <x v="7"/>
    <x v="10"/>
    <x v="3"/>
    <n v="1.9414346421079001"/>
    <n v="2E+20"/>
    <n v="0"/>
    <n v="14.0288185137744"/>
    <n v="254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4"/>
    <x v="7"/>
    <x v="10"/>
    <x v="3"/>
    <n v="1.2295176277472"/>
    <n v="2E+20"/>
    <n v="0"/>
    <n v="9.3613725717114598"/>
    <n v="256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5"/>
    <x v="7"/>
    <x v="10"/>
    <x v="3"/>
    <n v="1.18924202263693"/>
    <n v="2E+20"/>
    <n v="0"/>
    <n v="10.222868027770099"/>
    <n v="264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6"/>
    <x v="7"/>
    <x v="10"/>
    <x v="3"/>
    <n v="0.85883485461918996"/>
    <n v="2E+20"/>
    <n v="0"/>
    <n v="10.0986525875665"/>
    <n v="232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7"/>
    <x v="7"/>
    <x v="10"/>
    <x v="3"/>
    <n v="1.12758700607416"/>
    <n v="2E+20"/>
    <n v="0"/>
    <n v="9.6544314698426508"/>
    <n v="216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8"/>
    <x v="7"/>
    <x v="10"/>
    <x v="3"/>
    <n v="2.2660130562086702"/>
    <n v="2E+20"/>
    <n v="0"/>
    <n v="21.912888333721199"/>
    <n v="234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9"/>
    <x v="7"/>
    <x v="10"/>
    <x v="3"/>
    <n v="1.3735330804072501"/>
    <n v="2E+20"/>
    <n v="0"/>
    <n v="11.1555448659246"/>
    <n v="242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0"/>
    <x v="7"/>
    <x v="10"/>
    <x v="3"/>
    <n v="1.4847730644972701"/>
    <n v="2E+20"/>
    <n v="0"/>
    <n v="9.2242450928413593"/>
    <n v="252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1"/>
    <x v="7"/>
    <x v="10"/>
    <x v="3"/>
    <n v="1.05132264521858"/>
    <n v="2E+20"/>
    <n v="0"/>
    <n v="8.1360548801123098"/>
    <n v="236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2"/>
    <x v="7"/>
    <x v="10"/>
    <x v="3"/>
    <n v="1.5258620818787101"/>
    <n v="2E+20"/>
    <n v="0"/>
    <n v="11.637541490525599"/>
    <n v="240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3"/>
    <x v="7"/>
    <x v="10"/>
    <x v="3"/>
    <n v="1.1779908719536001"/>
    <n v="2E+20"/>
    <n v="0"/>
    <n v="8.6190862583777506"/>
    <n v="224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4"/>
    <x v="7"/>
    <x v="10"/>
    <x v="3"/>
    <n v="1.28093182789523"/>
    <n v="2E+20"/>
    <n v="0"/>
    <n v="12.702915981841"/>
    <n v="220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5"/>
    <x v="7"/>
    <x v="10"/>
    <x v="3"/>
    <n v="1.0781567741401801"/>
    <n v="2E+20"/>
    <n v="0"/>
    <n v="13.108801677154901"/>
    <n v="236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6"/>
    <x v="7"/>
    <x v="10"/>
    <x v="3"/>
    <n v="0.94649476634958896"/>
    <n v="2E+20"/>
    <n v="0"/>
    <n v="9.8369100769560998"/>
    <n v="218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7"/>
    <x v="7"/>
    <x v="10"/>
    <x v="3"/>
    <n v="1.82723212172539"/>
    <n v="2E+20"/>
    <n v="0"/>
    <n v="13.6640536046934"/>
    <n v="238"/>
    <s v="Weekend (base)Entrega pedido.QueueWaiting TimeQueue"/>
    <n v="17"/>
    <n v="1.3542647972866195"/>
    <n v="0.36936760196705204"/>
    <n v="0.95"/>
    <n v="0.18991129693731779"/>
    <n v="0.85883485461918996"/>
    <n v="2.2660130562086702"/>
    <n v="0"/>
    <n v="21.912888333721199"/>
    <n v="237.88235294117646"/>
    <n v="0.18991129693731779"/>
    <n v="17"/>
    <n v="1"/>
  </r>
  <r>
    <x v="0"/>
    <s v="2025-05-17 23:41:37"/>
    <n v="1"/>
    <x v="8"/>
    <x v="6"/>
    <x v="1"/>
    <n v="1.6599769355307501"/>
    <n v="2E+20"/>
    <n v="1.6599769355307501"/>
    <n v="1.659976935530750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2"/>
    <x v="8"/>
    <x v="6"/>
    <x v="1"/>
    <n v="1.4848769018504999"/>
    <n v="2E+20"/>
    <n v="1.4848769018504999"/>
    <n v="1.4848769018504999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3"/>
    <x v="8"/>
    <x v="6"/>
    <x v="1"/>
    <n v="3.3197989389730198"/>
    <n v="2E+20"/>
    <n v="3.3197989389730198"/>
    <n v="3.3197989389730198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4"/>
    <x v="8"/>
    <x v="6"/>
    <x v="1"/>
    <n v="1.07890608279321"/>
    <n v="2E+20"/>
    <n v="1.07890608279321"/>
    <n v="1.0789060827932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5"/>
    <x v="8"/>
    <x v="6"/>
    <x v="1"/>
    <n v="0.95724359645843404"/>
    <n v="2E+20"/>
    <n v="0.95724359645843404"/>
    <n v="0.95724359645843404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6"/>
    <x v="8"/>
    <x v="6"/>
    <x v="1"/>
    <n v="1.2639356469310301"/>
    <n v="2E+20"/>
    <n v="1.2639356469310301"/>
    <n v="1.263935646931030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7"/>
    <x v="8"/>
    <x v="6"/>
    <x v="1"/>
    <n v="1.11032757633812"/>
    <n v="2E+20"/>
    <n v="1.11032757633812"/>
    <n v="1.11032757633812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8"/>
    <x v="8"/>
    <x v="6"/>
    <x v="1"/>
    <n v="1.0532793813781101"/>
    <n v="2E+20"/>
    <n v="1.0532793813781101"/>
    <n v="1.053279381378110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9"/>
    <x v="8"/>
    <x v="6"/>
    <x v="1"/>
    <n v="2.32181917563411"/>
    <n v="2E+20"/>
    <n v="2.32181917563411"/>
    <n v="2.3218191756341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0"/>
    <x v="8"/>
    <x v="6"/>
    <x v="1"/>
    <n v="1.08738833972658"/>
    <n v="2E+20"/>
    <n v="1.08738833972658"/>
    <n v="1.08738833972658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1"/>
    <x v="8"/>
    <x v="6"/>
    <x v="1"/>
    <n v="0.88025911677620094"/>
    <n v="2E+20"/>
    <n v="0.88025911677620094"/>
    <n v="0.88025911677620094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2"/>
    <x v="8"/>
    <x v="6"/>
    <x v="1"/>
    <n v="2.1330427186426402"/>
    <n v="2E+20"/>
    <n v="2.1330427186426402"/>
    <n v="2.1330427186426402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3"/>
    <x v="8"/>
    <x v="6"/>
    <x v="1"/>
    <n v="1.06286923697651"/>
    <n v="2E+20"/>
    <n v="1.06286923697651"/>
    <n v="1.0628692369765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4"/>
    <x v="8"/>
    <x v="6"/>
    <x v="1"/>
    <n v="1.28553288245671"/>
    <n v="2E+20"/>
    <n v="1.28553288245671"/>
    <n v="1.2855328824567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5"/>
    <x v="8"/>
    <x v="6"/>
    <x v="1"/>
    <n v="1.6635204096590599"/>
    <n v="2E+20"/>
    <n v="1.6635204096590599"/>
    <n v="1.6635204096590599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6"/>
    <x v="8"/>
    <x v="6"/>
    <x v="1"/>
    <n v="1.2870839391715601"/>
    <n v="2E+20"/>
    <n v="1.2870839391715601"/>
    <n v="1.287083939171560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7"/>
    <x v="8"/>
    <x v="6"/>
    <x v="1"/>
    <n v="1.1730857177849401"/>
    <n v="2E+20"/>
    <n v="1.1730857177849401"/>
    <n v="1.1730857177849401"/>
    <n v="1"/>
    <s v="Weekend (base)EsperaPedidoH1ExpressionUser Specified"/>
    <n v="17"/>
    <n v="1.4601733292400874"/>
    <n v="0.62430166821657107"/>
    <n v="0.95"/>
    <n v="0.32098629890586861"/>
    <n v="0.88025911677620094"/>
    <n v="3.3197989389730198"/>
    <n v="0.88025911677620094"/>
    <n v="3.3197989389730198"/>
    <n v="1"/>
    <n v="0.32098629890586861"/>
    <n v="17"/>
    <n v="1"/>
  </r>
  <r>
    <x v="0"/>
    <s v="2025-05-17 23:41:37"/>
    <n v="1"/>
    <x v="9"/>
    <x v="6"/>
    <x v="1"/>
    <n v="1.3841696754536701"/>
    <n v="2E+20"/>
    <n v="1.3841696754536701"/>
    <n v="1.3841696754536701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2"/>
    <x v="9"/>
    <x v="6"/>
    <x v="1"/>
    <n v="1.24026757621777"/>
    <n v="2E+20"/>
    <n v="1.24026757621777"/>
    <n v="1.24026757621777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3"/>
    <x v="9"/>
    <x v="6"/>
    <x v="1"/>
    <n v="2.3220938593793701"/>
    <n v="2E+20"/>
    <n v="2.3220938593793701"/>
    <n v="2.3220938593793701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4"/>
    <x v="9"/>
    <x v="6"/>
    <x v="1"/>
    <n v="1.37692357093614"/>
    <n v="2E+20"/>
    <n v="1.37692357093614"/>
    <n v="1.37692357093614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5"/>
    <x v="9"/>
    <x v="6"/>
    <x v="1"/>
    <n v="1.0704172636012701"/>
    <n v="2E+20"/>
    <n v="1.0704172636012701"/>
    <n v="1.0704172636012701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6"/>
    <x v="9"/>
    <x v="6"/>
    <x v="1"/>
    <n v="0.96527405138748501"/>
    <n v="2E+20"/>
    <n v="0.96527405138748501"/>
    <n v="0.96527405138748501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7"/>
    <x v="9"/>
    <x v="6"/>
    <x v="1"/>
    <n v="1.1947647700269"/>
    <n v="2E+20"/>
    <n v="1.1947647700269"/>
    <n v="1.1947647700269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8"/>
    <x v="9"/>
    <x v="6"/>
    <x v="1"/>
    <n v="2.7062728135588401"/>
    <n v="2E+20"/>
    <n v="2.7062728135588401"/>
    <n v="2.7062728135588401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9"/>
    <x v="9"/>
    <x v="6"/>
    <x v="1"/>
    <n v="1.60877337091336"/>
    <n v="2E+20"/>
    <n v="1.60877337091336"/>
    <n v="1.60877337091336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0"/>
    <x v="9"/>
    <x v="6"/>
    <x v="1"/>
    <n v="1.36587309092432"/>
    <n v="2E+20"/>
    <n v="1.36587309092432"/>
    <n v="1.36587309092432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1"/>
    <x v="9"/>
    <x v="6"/>
    <x v="1"/>
    <n v="0.88270130339863795"/>
    <n v="2E+20"/>
    <n v="0.88270130339863795"/>
    <n v="0.88270130339863795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2"/>
    <x v="9"/>
    <x v="6"/>
    <x v="1"/>
    <n v="1.76273585007072"/>
    <n v="2E+20"/>
    <n v="1.76273585007072"/>
    <n v="1.76273585007072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3"/>
    <x v="9"/>
    <x v="6"/>
    <x v="1"/>
    <n v="1.20218288482283"/>
    <n v="2E+20"/>
    <n v="1.20218288482283"/>
    <n v="1.20218288482283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4"/>
    <x v="9"/>
    <x v="6"/>
    <x v="1"/>
    <n v="1.1308884764471201"/>
    <n v="2E+20"/>
    <n v="1.1308884764471201"/>
    <n v="1.1308884764471201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5"/>
    <x v="9"/>
    <x v="6"/>
    <x v="1"/>
    <n v="1.3499233241266899"/>
    <n v="2E+20"/>
    <n v="1.3499233241266899"/>
    <n v="1.3499233241266899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6"/>
    <x v="9"/>
    <x v="6"/>
    <x v="1"/>
    <n v="0.98503735547309401"/>
    <n v="2E+20"/>
    <n v="0.98503735547309401"/>
    <n v="0.98503735547309401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7"/>
    <x v="9"/>
    <x v="6"/>
    <x v="1"/>
    <n v="1.1356721423654801"/>
    <n v="2E+20"/>
    <n v="1.1356721423654801"/>
    <n v="1.1356721423654801"/>
    <n v="1"/>
    <s v="Weekend (base)EsperaPedidoH2ExpressionUser Specified"/>
    <n v="17"/>
    <n v="1.3931747870060993"/>
    <n v="0.48230527424765807"/>
    <n v="0.95"/>
    <n v="0.24797848989541821"/>
    <n v="0.88270130339863795"/>
    <n v="2.7062728135588401"/>
    <n v="0.88270130339863795"/>
    <n v="2.7062728135588401"/>
    <n v="1"/>
    <n v="0.24797848989541821"/>
    <n v="17"/>
    <n v="1"/>
  </r>
  <r>
    <x v="0"/>
    <s v="2025-05-17 23:41:37"/>
    <n v="1"/>
    <x v="10"/>
    <x v="6"/>
    <x v="1"/>
    <n v="1.2201107501661801"/>
    <n v="2E+20"/>
    <n v="1.2201107501661801"/>
    <n v="1.2201107501661801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2"/>
    <x v="10"/>
    <x v="6"/>
    <x v="1"/>
    <n v="1.4434643602465"/>
    <n v="2E+20"/>
    <n v="1.4434643602465"/>
    <n v="1.4434643602465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3"/>
    <x v="10"/>
    <x v="6"/>
    <x v="1"/>
    <n v="1.9414346421079001"/>
    <n v="2E+20"/>
    <n v="1.9414346421079001"/>
    <n v="1.9414346421079001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4"/>
    <x v="10"/>
    <x v="6"/>
    <x v="1"/>
    <n v="1.2295176277472"/>
    <n v="2E+20"/>
    <n v="1.2295176277472"/>
    <n v="1.2295176277472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5"/>
    <x v="10"/>
    <x v="6"/>
    <x v="1"/>
    <n v="1.18924202263693"/>
    <n v="2E+20"/>
    <n v="1.18924202263693"/>
    <n v="1.18924202263693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6"/>
    <x v="10"/>
    <x v="6"/>
    <x v="1"/>
    <n v="0.85883485461918996"/>
    <n v="2E+20"/>
    <n v="0.85883485461918996"/>
    <n v="0.85883485461918996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7"/>
    <x v="10"/>
    <x v="6"/>
    <x v="1"/>
    <n v="1.12758700607416"/>
    <n v="2E+20"/>
    <n v="1.12758700607416"/>
    <n v="1.12758700607416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8"/>
    <x v="10"/>
    <x v="6"/>
    <x v="1"/>
    <n v="2.2660130562086702"/>
    <n v="2E+20"/>
    <n v="2.2660130562086702"/>
    <n v="2.2660130562086702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9"/>
    <x v="10"/>
    <x v="6"/>
    <x v="1"/>
    <n v="1.3735330804072501"/>
    <n v="2E+20"/>
    <n v="1.3735330804072501"/>
    <n v="1.3735330804072501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0"/>
    <x v="10"/>
    <x v="6"/>
    <x v="1"/>
    <n v="1.4847730644972701"/>
    <n v="2E+20"/>
    <n v="1.4847730644972701"/>
    <n v="1.4847730644972701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1"/>
    <x v="10"/>
    <x v="6"/>
    <x v="1"/>
    <n v="1.05132264521858"/>
    <n v="2E+20"/>
    <n v="1.05132264521858"/>
    <n v="1.05132264521858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2"/>
    <x v="10"/>
    <x v="6"/>
    <x v="1"/>
    <n v="1.5258620818787101"/>
    <n v="2E+20"/>
    <n v="1.5258620818787101"/>
    <n v="1.5258620818787101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3"/>
    <x v="10"/>
    <x v="6"/>
    <x v="1"/>
    <n v="1.1779908719536001"/>
    <n v="2E+20"/>
    <n v="1.1779908719536001"/>
    <n v="1.1779908719536001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4"/>
    <x v="10"/>
    <x v="6"/>
    <x v="1"/>
    <n v="1.28093182789523"/>
    <n v="2E+20"/>
    <n v="1.28093182789523"/>
    <n v="1.28093182789523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5"/>
    <x v="10"/>
    <x v="6"/>
    <x v="1"/>
    <n v="1.0781567741401801"/>
    <n v="2E+20"/>
    <n v="1.0781567741401801"/>
    <n v="1.0781567741401801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6"/>
    <x v="10"/>
    <x v="6"/>
    <x v="1"/>
    <n v="0.94649476634958896"/>
    <n v="2E+20"/>
    <n v="0.94649476634958896"/>
    <n v="0.94649476634958896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7"/>
    <x v="10"/>
    <x v="6"/>
    <x v="1"/>
    <n v="1.82723212172539"/>
    <n v="2E+20"/>
    <n v="1.82723212172539"/>
    <n v="1.82723212172539"/>
    <n v="1"/>
    <s v="Weekend (base)EsperaPedidoH3ExpressionUser Specified"/>
    <n v="17"/>
    <n v="1.3542647972866195"/>
    <n v="0.36936760196705204"/>
    <n v="0.95"/>
    <n v="0.18991129693731779"/>
    <n v="0.85883485461918996"/>
    <n v="2.2660130562086702"/>
    <n v="0.85883485461918996"/>
    <n v="2.2660130562086702"/>
    <n v="1"/>
    <n v="0.18991129693731779"/>
    <n v="17"/>
    <n v="1"/>
  </r>
  <r>
    <x v="0"/>
    <s v="2025-05-17 23:41:37"/>
    <n v="1"/>
    <x v="11"/>
    <x v="6"/>
    <x v="1"/>
    <n v="4.0750629033409798"/>
    <n v="2E+20"/>
    <n v="4.0750629033409798"/>
    <n v="4.0750629033409798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2"/>
    <x v="11"/>
    <x v="6"/>
    <x v="1"/>
    <n v="2.5762157903370699"/>
    <n v="2E+20"/>
    <n v="2.5762157903370699"/>
    <n v="2.5762157903370699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3"/>
    <x v="11"/>
    <x v="6"/>
    <x v="1"/>
    <n v="5.9493407878474596"/>
    <n v="2E+20"/>
    <n v="5.9493407878474596"/>
    <n v="5.9493407878474596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4"/>
    <x v="11"/>
    <x v="6"/>
    <x v="1"/>
    <n v="1.9387254813922501"/>
    <n v="2E+20"/>
    <n v="1.9387254813922501"/>
    <n v="1.9387254813922501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5"/>
    <x v="11"/>
    <x v="6"/>
    <x v="1"/>
    <n v="1.55512623584222"/>
    <n v="2E+20"/>
    <n v="1.55512623584222"/>
    <n v="1.55512623584222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6"/>
    <x v="11"/>
    <x v="6"/>
    <x v="1"/>
    <n v="1.6390057255859101"/>
    <n v="2E+20"/>
    <n v="1.6390057255859101"/>
    <n v="1.6390057255859101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7"/>
    <x v="11"/>
    <x v="6"/>
    <x v="1"/>
    <n v="1.3602527709792001"/>
    <n v="2E+20"/>
    <n v="1.3602527709792001"/>
    <n v="1.3602527709792001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8"/>
    <x v="11"/>
    <x v="6"/>
    <x v="1"/>
    <n v="1.9054529562715301"/>
    <n v="2E+20"/>
    <n v="1.9054529562715301"/>
    <n v="1.9054529562715301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9"/>
    <x v="11"/>
    <x v="6"/>
    <x v="1"/>
    <n v="4.6982386317761797"/>
    <n v="2E+20"/>
    <n v="4.6982386317761797"/>
    <n v="4.6982386317761797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0"/>
    <x v="11"/>
    <x v="6"/>
    <x v="1"/>
    <n v="2.0165768533808999"/>
    <n v="2E+20"/>
    <n v="2.0165768533808999"/>
    <n v="2.0165768533808999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1"/>
    <x v="11"/>
    <x v="6"/>
    <x v="1"/>
    <n v="1.2240809657709999"/>
    <n v="2E+20"/>
    <n v="1.2240809657709999"/>
    <n v="1.2240809657709999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2"/>
    <x v="11"/>
    <x v="6"/>
    <x v="1"/>
    <n v="4.9756981739013"/>
    <n v="2E+20"/>
    <n v="4.9756981739013"/>
    <n v="4.9756981739013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3"/>
    <x v="11"/>
    <x v="6"/>
    <x v="1"/>
    <n v="0.55495913031834998"/>
    <n v="2E+20"/>
    <n v="0.55495913031834998"/>
    <n v="0.55495913031834998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4"/>
    <x v="11"/>
    <x v="6"/>
    <x v="1"/>
    <n v="2.90487581633157"/>
    <n v="2E+20"/>
    <n v="2.90487581633157"/>
    <n v="2.90487581633157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5"/>
    <x v="11"/>
    <x v="6"/>
    <x v="1"/>
    <n v="2.2752478303015602"/>
    <n v="2E+20"/>
    <n v="2.2752478303015602"/>
    <n v="2.2752478303015602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6"/>
    <x v="11"/>
    <x v="6"/>
    <x v="1"/>
    <n v="2.8195757181274299"/>
    <n v="2E+20"/>
    <n v="2.8195757181274299"/>
    <n v="2.8195757181274299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7"/>
    <x v="11"/>
    <x v="6"/>
    <x v="1"/>
    <n v="1.05855657943667"/>
    <n v="2E+20"/>
    <n v="1.05855657943667"/>
    <n v="1.05855657943667"/>
    <n v="1"/>
    <s v="Weekend (base)FilaCajaH1ExpressionUser Specified"/>
    <n v="17"/>
    <n v="2.5604113147612697"/>
    <n v="1.5191422347936809"/>
    <n v="0.95"/>
    <n v="0.78107086410804905"/>
    <n v="0.55495913031834998"/>
    <n v="5.9493407878474596"/>
    <n v="0.55495913031834998"/>
    <n v="5.9493407878474596"/>
    <n v="1"/>
    <n v="0.78107086410804905"/>
    <n v="17"/>
    <n v="1"/>
  </r>
  <r>
    <x v="0"/>
    <s v="2025-05-17 23:41:37"/>
    <n v="1"/>
    <x v="12"/>
    <x v="6"/>
    <x v="1"/>
    <n v="2.3580663285983001"/>
    <n v="2E+20"/>
    <n v="2.3580663285983001"/>
    <n v="2.3580663285983001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2"/>
    <x v="12"/>
    <x v="6"/>
    <x v="1"/>
    <n v="2.2127199439408902"/>
    <n v="2E+20"/>
    <n v="2.2127199439408902"/>
    <n v="2.2127199439408902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3"/>
    <x v="12"/>
    <x v="6"/>
    <x v="1"/>
    <n v="4.3388925732037604"/>
    <n v="2E+20"/>
    <n v="4.3388925732037604"/>
    <n v="4.3388925732037604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4"/>
    <x v="12"/>
    <x v="6"/>
    <x v="1"/>
    <n v="2.8059070684532399"/>
    <n v="2E+20"/>
    <n v="2.8059070684532399"/>
    <n v="2.8059070684532399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5"/>
    <x v="12"/>
    <x v="6"/>
    <x v="1"/>
    <n v="1.5316660983374399"/>
    <n v="2E+20"/>
    <n v="1.5316660983374399"/>
    <n v="1.5316660983374399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6"/>
    <x v="12"/>
    <x v="6"/>
    <x v="1"/>
    <n v="1.38644887004712"/>
    <n v="2E+20"/>
    <n v="1.38644887004712"/>
    <n v="1.38644887004712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7"/>
    <x v="12"/>
    <x v="6"/>
    <x v="1"/>
    <n v="1.64048231132994"/>
    <n v="2E+20"/>
    <n v="1.64048231132994"/>
    <n v="1.64048231132994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8"/>
    <x v="12"/>
    <x v="6"/>
    <x v="1"/>
    <n v="4.7289332713104599"/>
    <n v="2E+20"/>
    <n v="4.7289332713104599"/>
    <n v="4.7289332713104599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9"/>
    <x v="12"/>
    <x v="6"/>
    <x v="1"/>
    <n v="2.67152720561737"/>
    <n v="2E+20"/>
    <n v="2.67152720561737"/>
    <n v="2.67152720561737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0"/>
    <x v="12"/>
    <x v="6"/>
    <x v="1"/>
    <n v="2.53059084283072"/>
    <n v="2E+20"/>
    <n v="2.53059084283072"/>
    <n v="2.53059084283072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1"/>
    <x v="12"/>
    <x v="6"/>
    <x v="1"/>
    <n v="1.08308800708578"/>
    <n v="2E+20"/>
    <n v="1.08308800708578"/>
    <n v="1.08308800708578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2"/>
    <x v="12"/>
    <x v="6"/>
    <x v="1"/>
    <n v="4.0995234125974704"/>
    <n v="2E+20"/>
    <n v="4.0995234125974704"/>
    <n v="4.0995234125974704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3"/>
    <x v="12"/>
    <x v="6"/>
    <x v="1"/>
    <n v="1.07168633121505"/>
    <n v="2E+20"/>
    <n v="1.07168633121505"/>
    <n v="1.07168633121505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4"/>
    <x v="12"/>
    <x v="6"/>
    <x v="1"/>
    <n v="2.1088969048897699"/>
    <n v="2E+20"/>
    <n v="2.1088969048897699"/>
    <n v="2.1088969048897699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5"/>
    <x v="12"/>
    <x v="6"/>
    <x v="1"/>
    <n v="2.3524329375923698"/>
    <n v="2E+20"/>
    <n v="2.3524329375923698"/>
    <n v="2.3524329375923698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6"/>
    <x v="12"/>
    <x v="6"/>
    <x v="1"/>
    <n v="1.6863288825306899"/>
    <n v="2E+20"/>
    <n v="1.6863288825306899"/>
    <n v="1.6863288825306899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7"/>
    <x v="12"/>
    <x v="6"/>
    <x v="1"/>
    <n v="0.98810927862417397"/>
    <n v="2E+20"/>
    <n v="0.98810927862417397"/>
    <n v="0.98810927862417397"/>
    <n v="1"/>
    <s v="Weekend (base)FilaCajaH2ExpressionUser Specified"/>
    <n v="17"/>
    <n v="2.3291353098943843"/>
    <n v="1.1381238462069199"/>
    <n v="0.95"/>
    <n v="0.58516928544189073"/>
    <n v="0.98810927862417397"/>
    <n v="4.7289332713104599"/>
    <n v="0.98810927862417397"/>
    <n v="4.7289332713104599"/>
    <n v="1"/>
    <n v="0.58516928544189073"/>
    <n v="17"/>
    <n v="1"/>
  </r>
  <r>
    <x v="0"/>
    <s v="2025-05-17 23:41:37"/>
    <n v="1"/>
    <x v="13"/>
    <x v="6"/>
    <x v="1"/>
    <n v="1.9143670470273699"/>
    <n v="2E+20"/>
    <n v="1.9143670470273699"/>
    <n v="1.9143670470273699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2"/>
    <x v="13"/>
    <x v="6"/>
    <x v="1"/>
    <n v="2.3646548816687898"/>
    <n v="2E+20"/>
    <n v="2.3646548816687898"/>
    <n v="2.3646548816687898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3"/>
    <x v="13"/>
    <x v="6"/>
    <x v="1"/>
    <n v="3.5691652944640202"/>
    <n v="2E+20"/>
    <n v="3.5691652944640202"/>
    <n v="3.5691652944640202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4"/>
    <x v="13"/>
    <x v="6"/>
    <x v="1"/>
    <n v="2.30522590701402"/>
    <n v="2E+20"/>
    <n v="2.30522590701402"/>
    <n v="2.30522590701402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5"/>
    <x v="13"/>
    <x v="6"/>
    <x v="1"/>
    <n v="2.12694981692179"/>
    <n v="2E+20"/>
    <n v="2.12694981692179"/>
    <n v="2.12694981692179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6"/>
    <x v="13"/>
    <x v="6"/>
    <x v="1"/>
    <n v="0.98865877093700905"/>
    <n v="2E+20"/>
    <n v="0.98865877093700905"/>
    <n v="0.98865877093700905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7"/>
    <x v="13"/>
    <x v="6"/>
    <x v="1"/>
    <n v="1.60306582992946"/>
    <n v="2E+20"/>
    <n v="1.60306582992946"/>
    <n v="1.60306582992946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8"/>
    <x v="13"/>
    <x v="6"/>
    <x v="1"/>
    <n v="4.1304081052144204"/>
    <n v="2E+20"/>
    <n v="4.1304081052144204"/>
    <n v="4.1304081052144204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9"/>
    <x v="13"/>
    <x v="6"/>
    <x v="1"/>
    <n v="2.1069758056487098"/>
    <n v="2E+20"/>
    <n v="2.1069758056487098"/>
    <n v="2.1069758056487098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0"/>
    <x v="13"/>
    <x v="6"/>
    <x v="1"/>
    <n v="2.46591128130905"/>
    <n v="2E+20"/>
    <n v="2.46591128130905"/>
    <n v="2.46591128130905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1"/>
    <x v="13"/>
    <x v="6"/>
    <x v="1"/>
    <n v="1.5884898569305701"/>
    <n v="2E+20"/>
    <n v="1.5884898569305701"/>
    <n v="1.5884898569305701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2"/>
    <x v="13"/>
    <x v="6"/>
    <x v="1"/>
    <n v="3.1696946426745498"/>
    <n v="2E+20"/>
    <n v="3.1696946426745498"/>
    <n v="3.1696946426745498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3"/>
    <x v="13"/>
    <x v="6"/>
    <x v="1"/>
    <n v="1.33546284943723"/>
    <n v="2E+20"/>
    <n v="1.33546284943723"/>
    <n v="1.33546284943723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4"/>
    <x v="13"/>
    <x v="6"/>
    <x v="1"/>
    <n v="2.3104264126552798"/>
    <n v="2E+20"/>
    <n v="2.3104264126552798"/>
    <n v="2.3104264126552798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5"/>
    <x v="13"/>
    <x v="6"/>
    <x v="1"/>
    <n v="1.63968993514122"/>
    <n v="2E+20"/>
    <n v="1.63968993514122"/>
    <n v="1.63968993514122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6"/>
    <x v="13"/>
    <x v="6"/>
    <x v="1"/>
    <n v="1.4961535480174999"/>
    <n v="2E+20"/>
    <n v="1.4961535480174999"/>
    <n v="1.4961535480174999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7"/>
    <x v="13"/>
    <x v="6"/>
    <x v="1"/>
    <n v="3.5898719239118799"/>
    <n v="2E+20"/>
    <n v="3.5898719239118799"/>
    <n v="3.5898719239118799"/>
    <n v="1"/>
    <s v="Weekend (base)FilaCajaH3ExpressionUser Specified"/>
    <n v="17"/>
    <n v="2.276774818170757"/>
    <n v="0.8783504865595686"/>
    <n v="0.95"/>
    <n v="0.45160614839991103"/>
    <n v="0.98865877093700905"/>
    <n v="4.1304081052144204"/>
    <n v="0.98865877093700905"/>
    <n v="4.1304081052144204"/>
    <n v="1"/>
    <n v="0.45160614839991103"/>
    <n v="17"/>
    <n v="1"/>
  </r>
  <r>
    <x v="0"/>
    <s v="2025-05-17 23:41:37"/>
    <n v="1"/>
    <x v="14"/>
    <x v="10"/>
    <x v="3"/>
    <n v="1.9143670470273699"/>
    <n v="2E+20"/>
    <n v="0"/>
    <n v="10.014793175306099"/>
    <n v="122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2"/>
    <x v="14"/>
    <x v="10"/>
    <x v="3"/>
    <n v="2.3646548816687898"/>
    <n v="2E+20"/>
    <n v="0"/>
    <n v="6.9702927281432201"/>
    <n v="112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3"/>
    <x v="14"/>
    <x v="10"/>
    <x v="3"/>
    <n v="3.5691652944640202"/>
    <n v="2E+20"/>
    <n v="0"/>
    <n v="10.554063869214399"/>
    <n v="126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4"/>
    <x v="14"/>
    <x v="10"/>
    <x v="3"/>
    <n v="2.30522590701402"/>
    <n v="2E+20"/>
    <n v="0"/>
    <n v="7.9019211087089296"/>
    <n v="125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5"/>
    <x v="14"/>
    <x v="10"/>
    <x v="3"/>
    <n v="2.12694981692179"/>
    <n v="2E+20"/>
    <n v="0"/>
    <n v="9.3333129361153908"/>
    <n v="131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6"/>
    <x v="14"/>
    <x v="10"/>
    <x v="3"/>
    <n v="0.98865877093700905"/>
    <n v="2E+20"/>
    <n v="0"/>
    <n v="6.3472860000857603"/>
    <n v="115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7"/>
    <x v="14"/>
    <x v="10"/>
    <x v="3"/>
    <n v="1.60306582992946"/>
    <n v="2E+20"/>
    <n v="0"/>
    <n v="6.9655919187257798"/>
    <n v="104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8"/>
    <x v="14"/>
    <x v="10"/>
    <x v="3"/>
    <n v="4.1304081052144204"/>
    <n v="2E+20"/>
    <n v="0"/>
    <n v="14.0414476655955"/>
    <n v="117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9"/>
    <x v="14"/>
    <x v="10"/>
    <x v="3"/>
    <n v="2.1069758056487098"/>
    <n v="2E+20"/>
    <n v="0"/>
    <n v="9.3416759196079404"/>
    <n v="120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0"/>
    <x v="14"/>
    <x v="10"/>
    <x v="3"/>
    <n v="2.46591128130905"/>
    <n v="2E+20"/>
    <n v="0"/>
    <n v="9.3754976264090395"/>
    <n v="126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1"/>
    <x v="14"/>
    <x v="10"/>
    <x v="3"/>
    <n v="1.5884898569305701"/>
    <n v="2E+20"/>
    <n v="0"/>
    <n v="7.2980452748116402"/>
    <n v="118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2"/>
    <x v="14"/>
    <x v="10"/>
    <x v="3"/>
    <n v="3.1696946426745498"/>
    <n v="2E+20"/>
    <n v="0"/>
    <n v="9.4300529372939899"/>
    <n v="117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3"/>
    <x v="14"/>
    <x v="10"/>
    <x v="3"/>
    <n v="1.33546284943723"/>
    <n v="2E+20"/>
    <n v="0"/>
    <n v="8.1633097819494704"/>
    <n v="114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4"/>
    <x v="14"/>
    <x v="10"/>
    <x v="3"/>
    <n v="2.3104264126552798"/>
    <n v="2E+20"/>
    <n v="0"/>
    <n v="12.439316232992599"/>
    <n v="106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5"/>
    <x v="14"/>
    <x v="10"/>
    <x v="3"/>
    <n v="1.63968993514122"/>
    <n v="2E+20"/>
    <n v="0"/>
    <n v="8.7390569959479798"/>
    <n v="116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6"/>
    <x v="14"/>
    <x v="10"/>
    <x v="3"/>
    <n v="1.4961535480174999"/>
    <n v="2E+20"/>
    <n v="0"/>
    <n v="7.23421217369369"/>
    <n v="110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7"/>
    <x v="14"/>
    <x v="10"/>
    <x v="3"/>
    <n v="3.5898719239118799"/>
    <n v="2E+20"/>
    <n v="0"/>
    <n v="13.397299315956399"/>
    <n v="118"/>
    <s v="Weekend (base)Pasar a Caja.QueueWaiting TimeQueue"/>
    <n v="17"/>
    <n v="2.276774818170757"/>
    <n v="0.8783504865595686"/>
    <n v="0.95"/>
    <n v="0.45160614839991103"/>
    <n v="0.98865877093700905"/>
    <n v="4.1304081052144204"/>
    <n v="0"/>
    <n v="14.0414476655955"/>
    <n v="117.47058823529412"/>
    <n v="0.45160614839991103"/>
    <n v="17"/>
    <n v="1"/>
  </r>
  <r>
    <x v="0"/>
    <s v="2025-05-17 23:41:37"/>
    <n v="1"/>
    <x v="15"/>
    <x v="7"/>
    <x v="2"/>
    <n v="2.4568881669990401"/>
    <n v="2E+20"/>
    <n v="7.6832724142946104E-2"/>
    <n v="10.482533139432901"/>
    <n v="126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"/>
    <x v="15"/>
    <x v="8"/>
    <x v="2"/>
    <n v="1.5867311349692399"/>
    <n v="2E+20"/>
    <n v="0"/>
    <n v="9.1653898112536005"/>
    <n v="126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"/>
    <x v="15"/>
    <x v="9"/>
    <x v="2"/>
    <n v="0.87015703202980299"/>
    <n v="2E+20"/>
    <n v="0"/>
    <n v="5.9763914213918401"/>
    <n v="126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2"/>
    <x v="15"/>
    <x v="7"/>
    <x v="2"/>
    <n v="2.9035953871596698"/>
    <n v="2E+20"/>
    <n v="8.6978967344236893E-2"/>
    <n v="12.615919286898"/>
    <n v="115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2"/>
    <x v="15"/>
    <x v="8"/>
    <x v="2"/>
    <n v="1.56727429784808"/>
    <n v="2E+20"/>
    <n v="8.6978967344236893E-2"/>
    <n v="9.5575472356816302"/>
    <n v="115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2"/>
    <x v="15"/>
    <x v="9"/>
    <x v="2"/>
    <n v="1.3363210893116"/>
    <n v="2E+20"/>
    <n v="0"/>
    <n v="6.4192820495913496"/>
    <n v="115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3"/>
    <x v="15"/>
    <x v="7"/>
    <x v="2"/>
    <n v="3.8995359508824801"/>
    <n v="2E+20"/>
    <n v="0.105406515071508"/>
    <n v="14.045485180441"/>
    <n v="127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3"/>
    <x v="15"/>
    <x v="8"/>
    <x v="2"/>
    <n v="1.77188920267996"/>
    <n v="2E+20"/>
    <n v="0.105406515071508"/>
    <n v="7.9380465414783599"/>
    <n v="127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3"/>
    <x v="15"/>
    <x v="9"/>
    <x v="2"/>
    <n v="2.1276467482025199"/>
    <n v="2E+20"/>
    <n v="0"/>
    <n v="8.9558078326435204"/>
    <n v="127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4"/>
    <x v="15"/>
    <x v="7"/>
    <x v="2"/>
    <n v="2.4800409297455399"/>
    <n v="2E+20"/>
    <n v="4.8783094206100899E-2"/>
    <n v="9.3780392383781397"/>
    <n v="127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4"/>
    <x v="15"/>
    <x v="8"/>
    <x v="2"/>
    <n v="1.58062551169041"/>
    <n v="2E+20"/>
    <n v="4.8783094206100899E-2"/>
    <n v="6.5652280342830798"/>
    <n v="127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4"/>
    <x v="15"/>
    <x v="9"/>
    <x v="2"/>
    <n v="0.89941541805512903"/>
    <n v="2E+20"/>
    <n v="0"/>
    <n v="4.9005621028883599"/>
    <n v="127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5"/>
    <x v="15"/>
    <x v="7"/>
    <x v="2"/>
    <n v="2.39515071194054"/>
    <n v="2E+20"/>
    <n v="6.6051079522992495E-2"/>
    <n v="10.2395346944368"/>
    <n v="132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5"/>
    <x v="15"/>
    <x v="8"/>
    <x v="2"/>
    <n v="1.41833463085361"/>
    <n v="2E+20"/>
    <n v="6.6051079522992495E-2"/>
    <n v="10.2395346944368"/>
    <n v="132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5"/>
    <x v="15"/>
    <x v="9"/>
    <x v="2"/>
    <n v="0.97681608108692797"/>
    <n v="2E+20"/>
    <n v="0"/>
    <n v="4.9139508023934901"/>
    <n v="132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6"/>
    <x v="15"/>
    <x v="7"/>
    <x v="2"/>
    <n v="1.7343363759050501"/>
    <n v="2E+20"/>
    <n v="8.7529510649943604E-2"/>
    <n v="10.115319254233199"/>
    <n v="116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6"/>
    <x v="15"/>
    <x v="8"/>
    <x v="2"/>
    <n v="1.4202198386465099"/>
    <n v="2E+20"/>
    <n v="8.7529510649943604E-2"/>
    <n v="10.115319254233199"/>
    <n v="116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6"/>
    <x v="15"/>
    <x v="9"/>
    <x v="2"/>
    <n v="0.31411653725854"/>
    <n v="2E+20"/>
    <n v="0"/>
    <n v="2.4356125057003801"/>
    <n v="116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7"/>
    <x v="15"/>
    <x v="7"/>
    <x v="2"/>
    <n v="2.2718406788150101"/>
    <n v="2E+20"/>
    <n v="9.4886653473935198E-2"/>
    <n v="9.6710981365093307"/>
    <n v="108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7"/>
    <x v="15"/>
    <x v="8"/>
    <x v="2"/>
    <n v="1.59595094473475"/>
    <n v="2E+20"/>
    <n v="9.4886653473935198E-2"/>
    <n v="9.6710981365093307"/>
    <n v="108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7"/>
    <x v="15"/>
    <x v="9"/>
    <x v="2"/>
    <n v="0.67588973408025299"/>
    <n v="2E+20"/>
    <n v="0"/>
    <n v="4.2859941984159802"/>
    <n v="108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8"/>
    <x v="15"/>
    <x v="7"/>
    <x v="2"/>
    <n v="4.5486927790840097"/>
    <n v="2E+20"/>
    <n v="0.125718801369786"/>
    <n v="21.9295550003879"/>
    <n v="117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8"/>
    <x v="15"/>
    <x v="8"/>
    <x v="2"/>
    <n v="1.7716235469564801"/>
    <n v="2E+20"/>
    <n v="5.7741408836392297E-2"/>
    <n v="15.9278211436392"/>
    <n v="117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8"/>
    <x v="15"/>
    <x v="9"/>
    <x v="2"/>
    <n v="2.7770692321275301"/>
    <n v="2E+20"/>
    <n v="0"/>
    <n v="14.2582487155402"/>
    <n v="117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9"/>
    <x v="15"/>
    <x v="7"/>
    <x v="2"/>
    <n v="2.7637328274811699"/>
    <n v="2E+20"/>
    <n v="7.0999501424836395E-2"/>
    <n v="11.1722115325913"/>
    <n v="121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9"/>
    <x v="15"/>
    <x v="8"/>
    <x v="2"/>
    <n v="1.5635705096742001"/>
    <n v="2E+20"/>
    <n v="7.0999501424836395E-2"/>
    <n v="8.0682017964739003"/>
    <n v="121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9"/>
    <x v="15"/>
    <x v="9"/>
    <x v="2"/>
    <n v="1.20016231780698"/>
    <n v="2E+20"/>
    <n v="0"/>
    <n v="8.1178194016963108"/>
    <n v="121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0"/>
    <x v="15"/>
    <x v="7"/>
    <x v="2"/>
    <n v="2.9862127956612099"/>
    <n v="2E+20"/>
    <n v="8.4527203756607605E-2"/>
    <n v="9.2409117595080392"/>
    <n v="126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0"/>
    <x v="15"/>
    <x v="8"/>
    <x v="2"/>
    <n v="1.62022732032631"/>
    <n v="2E+20"/>
    <n v="8.4527203756607605E-2"/>
    <n v="8.3699081267817199"/>
    <n v="126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0"/>
    <x v="15"/>
    <x v="9"/>
    <x v="2"/>
    <n v="1.3659854753348999"/>
    <n v="2E+20"/>
    <n v="0"/>
    <n v="5.36089862984264"/>
    <n v="126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1"/>
    <x v="15"/>
    <x v="7"/>
    <x v="2"/>
    <n v="2.1193119571038301"/>
    <n v="2E+20"/>
    <n v="6.6235358839208003E-2"/>
    <n v="8.1527215467789897"/>
    <n v="118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1"/>
    <x v="15"/>
    <x v="8"/>
    <x v="2"/>
    <n v="1.50837613982693"/>
    <n v="2E+20"/>
    <n v="6.6235358839208003E-2"/>
    <n v="8.1527215467789897"/>
    <n v="118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1"/>
    <x v="15"/>
    <x v="9"/>
    <x v="2"/>
    <n v="0.61093581727690305"/>
    <n v="2E+20"/>
    <n v="0"/>
    <n v="4.0985958137802099"/>
    <n v="118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2"/>
    <x v="15"/>
    <x v="7"/>
    <x v="2"/>
    <n v="3.0683908304241001"/>
    <n v="2E+20"/>
    <n v="0.173136048822954"/>
    <n v="11.654208157192199"/>
    <n v="120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2"/>
    <x v="15"/>
    <x v="8"/>
    <x v="2"/>
    <n v="1.6590961128631401"/>
    <n v="2E+20"/>
    <n v="0.100588805066892"/>
    <n v="10.436032174734599"/>
    <n v="120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2"/>
    <x v="15"/>
    <x v="9"/>
    <x v="2"/>
    <n v="1.40929471756095"/>
    <n v="2E+20"/>
    <n v="0"/>
    <n v="9.6012349349361301"/>
    <n v="120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3"/>
    <x v="15"/>
    <x v="7"/>
    <x v="2"/>
    <n v="2.3726484105738801"/>
    <n v="2E+20"/>
    <n v="0.13865872823527101"/>
    <n v="8.6357529250444092"/>
    <n v="112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3"/>
    <x v="15"/>
    <x v="8"/>
    <x v="2"/>
    <n v="1.6890327481912999"/>
    <n v="2E+20"/>
    <n v="6.7164132291423997E-2"/>
    <n v="7.7277863948652099"/>
    <n v="112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3"/>
    <x v="15"/>
    <x v="9"/>
    <x v="2"/>
    <n v="0.68361566238257798"/>
    <n v="2E+20"/>
    <n v="0"/>
    <n v="5.8710284321085204"/>
    <n v="112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4"/>
    <x v="15"/>
    <x v="7"/>
    <x v="2"/>
    <n v="2.5785303224571301"/>
    <n v="2E+20"/>
    <n v="8.1707279932245996E-2"/>
    <n v="12.7195826485077"/>
    <n v="110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4"/>
    <x v="15"/>
    <x v="8"/>
    <x v="2"/>
    <n v="1.77240534710645"/>
    <n v="2E+20"/>
    <n v="6.6826078700273697E-2"/>
    <n v="11.0524376028978"/>
    <n v="110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4"/>
    <x v="15"/>
    <x v="9"/>
    <x v="2"/>
    <n v="0.80612497535068695"/>
    <n v="2E+20"/>
    <n v="0"/>
    <n v="4.5672500462710302"/>
    <n v="110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5"/>
    <x v="15"/>
    <x v="7"/>
    <x v="2"/>
    <n v="2.1729802149470299"/>
    <n v="2E+20"/>
    <n v="6.8541065135150403E-2"/>
    <n v="13.1254683438216"/>
    <n v="118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5"/>
    <x v="15"/>
    <x v="8"/>
    <x v="2"/>
    <n v="1.6068987336060701"/>
    <n v="2E+20"/>
    <n v="6.8541065135150403E-2"/>
    <n v="10.4565492082018"/>
    <n v="118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5"/>
    <x v="15"/>
    <x v="9"/>
    <x v="2"/>
    <n v="0.56608148134095304"/>
    <n v="2E+20"/>
    <n v="0"/>
    <n v="5.4890023847587797"/>
    <n v="118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6"/>
    <x v="15"/>
    <x v="7"/>
    <x v="2"/>
    <n v="1.9096561993658501"/>
    <n v="2E+20"/>
    <n v="6.2892149244021298E-2"/>
    <n v="9.8535767436227708"/>
    <n v="109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6"/>
    <x v="15"/>
    <x v="8"/>
    <x v="2"/>
    <n v="1.4622681175682199"/>
    <n v="2E+20"/>
    <n v="6.2892149244021298E-2"/>
    <n v="9.8535767436227708"/>
    <n v="109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6"/>
    <x v="15"/>
    <x v="9"/>
    <x v="2"/>
    <n v="0.44738808179763101"/>
    <n v="2E+20"/>
    <n v="0"/>
    <n v="2.7223417180338201"/>
    <n v="109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7"/>
    <x v="15"/>
    <x v="7"/>
    <x v="2"/>
    <n v="3.66182255706426"/>
    <n v="2E+20"/>
    <n v="0.12627511670004299"/>
    <n v="13.68072027136"/>
    <n v="118"/>
    <s v="Weekend (base)PreparacionTotal Time Per EntityProcess"/>
    <n v="17"/>
    <n v="2.7249039468005769"/>
    <n v="0.73790259948822989"/>
    <n v="0.95"/>
    <n v="0.37939450817001585"/>
    <n v="1.7343363759050501"/>
    <n v="4.5486927790840097"/>
    <n v="4.8783094206100899E-2"/>
    <n v="21.9295550003879"/>
    <n v="118.82352941176471"/>
    <n v="0.37939450817001585"/>
    <n v="17"/>
    <n v="1"/>
  </r>
  <r>
    <x v="0"/>
    <s v="2025-05-17 23:41:37"/>
    <n v="17"/>
    <x v="15"/>
    <x v="8"/>
    <x v="2"/>
    <n v="1.7811413925183199"/>
    <n v="2E+20"/>
    <n v="0.123168483600693"/>
    <n v="7.2909745167501097"/>
    <n v="118"/>
    <s v="Weekend (base)PreparacionVA Time Per EntityProcess"/>
    <n v="17"/>
    <n v="1.6103332664741163"/>
    <n v="0.11917717652594345"/>
    <n v="0.95"/>
    <n v="6.1275250018783402E-2"/>
    <n v="1.41833463085361"/>
    <n v="1.7811413925183199"/>
    <n v="0"/>
    <n v="15.9278211436392"/>
    <n v="118.82352941176471"/>
    <n v="6.1275250018783402E-2"/>
    <n v="17"/>
    <n v="1"/>
  </r>
  <r>
    <x v="0"/>
    <s v="2025-05-17 23:41:37"/>
    <n v="17"/>
    <x v="15"/>
    <x v="9"/>
    <x v="2"/>
    <n v="1.88068116454594"/>
    <n v="2E+20"/>
    <n v="0"/>
    <n v="9.7249393081319493"/>
    <n v="118"/>
    <s v="Weekend (base)PreparacionWait Time Per EntityProcess"/>
    <n v="17"/>
    <n v="1.1145706803264603"/>
    <n v="0.65299199316651879"/>
    <n v="0.95"/>
    <n v="0.33573750283328746"/>
    <n v="0.31411653725854"/>
    <n v="2.7770692321275301"/>
    <n v="0"/>
    <n v="14.2582487155402"/>
    <n v="118.82352941176471"/>
    <n v="0.33573750283328746"/>
    <n v="17"/>
    <n v="1"/>
  </r>
  <r>
    <x v="0"/>
    <s v="2025-05-17 23:41:37"/>
    <n v="1"/>
    <x v="16"/>
    <x v="10"/>
    <x v="3"/>
    <n v="0.81271818200073898"/>
    <n v="2E+20"/>
    <n v="0"/>
    <n v="5.9763914213918401"/>
    <n v="124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2"/>
    <x v="16"/>
    <x v="10"/>
    <x v="3"/>
    <n v="1.3729792803177101"/>
    <n v="2E+20"/>
    <n v="0"/>
    <n v="6.4192820495913496"/>
    <n v="116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3"/>
    <x v="16"/>
    <x v="10"/>
    <x v="3"/>
    <n v="2.1144024293599601"/>
    <n v="2E+20"/>
    <n v="0"/>
    <n v="8.9558078326435204"/>
    <n v="127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4"/>
    <x v="16"/>
    <x v="10"/>
    <x v="3"/>
    <n v="0.90413977843846904"/>
    <n v="2E+20"/>
    <n v="0"/>
    <n v="4.9005621028883599"/>
    <n v="126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5"/>
    <x v="16"/>
    <x v="10"/>
    <x v="3"/>
    <n v="0.95885265068747305"/>
    <n v="2E+20"/>
    <n v="0"/>
    <n v="4.9139508023934901"/>
    <n v="132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6"/>
    <x v="16"/>
    <x v="10"/>
    <x v="3"/>
    <n v="0.30890882984771101"/>
    <n v="2E+20"/>
    <n v="0"/>
    <n v="2.4356125057003801"/>
    <n v="116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7"/>
    <x v="16"/>
    <x v="10"/>
    <x v="3"/>
    <n v="0.65778197038679598"/>
    <n v="2E+20"/>
    <n v="0"/>
    <n v="4.2859941984159802"/>
    <n v="108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8"/>
    <x v="16"/>
    <x v="10"/>
    <x v="3"/>
    <n v="2.8010094841286302"/>
    <n v="2E+20"/>
    <n v="0"/>
    <n v="14.2582487155402"/>
    <n v="116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9"/>
    <x v="16"/>
    <x v="10"/>
    <x v="3"/>
    <n v="1.1558867767485399"/>
    <n v="2E+20"/>
    <n v="0"/>
    <n v="8.1178194016963108"/>
    <n v="121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0"/>
    <x v="16"/>
    <x v="10"/>
    <x v="3"/>
    <n v="1.37691335913757"/>
    <n v="2E+20"/>
    <n v="0"/>
    <n v="5.36089862984264"/>
    <n v="125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1"/>
    <x v="16"/>
    <x v="10"/>
    <x v="3"/>
    <n v="0.61471804778832895"/>
    <n v="2E+20"/>
    <n v="0"/>
    <n v="4.0985958137802099"/>
    <n v="118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2"/>
    <x v="16"/>
    <x v="10"/>
    <x v="3"/>
    <n v="1.40336917164237"/>
    <n v="2E+20"/>
    <n v="0"/>
    <n v="9.6012349349361301"/>
    <n v="120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3"/>
    <x v="16"/>
    <x v="10"/>
    <x v="3"/>
    <n v="0.69676193246016305"/>
    <n v="2E+20"/>
    <n v="0"/>
    <n v="5.8710284321085204"/>
    <n v="113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4"/>
    <x v="16"/>
    <x v="10"/>
    <x v="3"/>
    <n v="0.80758689895531899"/>
    <n v="2E+20"/>
    <n v="0"/>
    <n v="4.5672500462710302"/>
    <n v="108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5"/>
    <x v="16"/>
    <x v="10"/>
    <x v="3"/>
    <n v="0.515335004400583"/>
    <n v="2E+20"/>
    <n v="0"/>
    <n v="5.4890023847587797"/>
    <n v="117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6"/>
    <x v="16"/>
    <x v="10"/>
    <x v="3"/>
    <n v="0.44332091741765201"/>
    <n v="2E+20"/>
    <n v="0"/>
    <n v="2.7223417180338201"/>
    <n v="110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7"/>
    <x v="16"/>
    <x v="10"/>
    <x v="3"/>
    <n v="1.89952778545737"/>
    <n v="2E+20"/>
    <n v="0"/>
    <n v="9.7249393081319493"/>
    <n v="117"/>
    <s v="Weekend (base)Preparacion.QueueWaiting TimeQueue"/>
    <n v="17"/>
    <n v="1.1084830881867871"/>
    <n v="0.66265016814562161"/>
    <n v="0.95"/>
    <n v="0.3407032781924717"/>
    <n v="0.30890882984771101"/>
    <n v="2.8010094841286302"/>
    <n v="0"/>
    <n v="14.2582487155402"/>
    <n v="118.47058823529412"/>
    <n v="0.3407032781924717"/>
    <n v="17"/>
    <n v="1"/>
  </r>
  <r>
    <x v="0"/>
    <s v="2025-05-17 23:41:37"/>
    <n v="1"/>
    <x v="17"/>
    <x v="6"/>
    <x v="1"/>
    <n v="1.5092997186382899"/>
    <n v="2E+20"/>
    <n v="1.5092997186382899"/>
    <n v="1.5092997186382899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2"/>
    <x v="17"/>
    <x v="6"/>
    <x v="1"/>
    <n v="1.6159848311274201"/>
    <n v="2E+20"/>
    <n v="1.6159848311274201"/>
    <n v="1.6159848311274201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3"/>
    <x v="17"/>
    <x v="6"/>
    <x v="1"/>
    <n v="4.50094101938984"/>
    <n v="2E+20"/>
    <n v="4.50094101938984"/>
    <n v="4.50094101938984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4"/>
    <x v="17"/>
    <x v="6"/>
    <x v="1"/>
    <n v="0.48501976508561201"/>
    <n v="2E+20"/>
    <n v="0.48501976508561201"/>
    <n v="0.48501976508561201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5"/>
    <x v="17"/>
    <x v="6"/>
    <x v="1"/>
    <n v="0.813883529540531"/>
    <n v="2E+20"/>
    <n v="0.813883529540531"/>
    <n v="0.813883529540531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6"/>
    <x v="17"/>
    <x v="6"/>
    <x v="1"/>
    <n v="0.737617351618021"/>
    <n v="2E+20"/>
    <n v="0.737617351618021"/>
    <n v="0.737617351618021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7"/>
    <x v="17"/>
    <x v="6"/>
    <x v="1"/>
    <n v="0.70017155138035603"/>
    <n v="2E+20"/>
    <n v="0.70017155138035603"/>
    <n v="0.70017155138035603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8"/>
    <x v="17"/>
    <x v="6"/>
    <x v="1"/>
    <n v="0.65698483418947495"/>
    <n v="2E+20"/>
    <n v="0.65698483418947495"/>
    <n v="0.65698483418947495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9"/>
    <x v="17"/>
    <x v="6"/>
    <x v="1"/>
    <n v="2.76318934657438"/>
    <n v="2E+20"/>
    <n v="2.76318934657438"/>
    <n v="2.76318934657438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0"/>
    <x v="17"/>
    <x v="6"/>
    <x v="1"/>
    <n v="0.86039268801737101"/>
    <n v="2E+20"/>
    <n v="0.86039268801737101"/>
    <n v="0.86039268801737101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1"/>
    <x v="17"/>
    <x v="6"/>
    <x v="1"/>
    <n v="0.45137685126091298"/>
    <n v="2E+20"/>
    <n v="0.45137685126091298"/>
    <n v="0.45137685126091298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2"/>
    <x v="17"/>
    <x v="6"/>
    <x v="1"/>
    <n v="2.4548367687503698"/>
    <n v="2E+20"/>
    <n v="2.4548367687503698"/>
    <n v="2.4548367687503698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3"/>
    <x v="17"/>
    <x v="6"/>
    <x v="1"/>
    <n v="0.31984647428526602"/>
    <n v="2E+20"/>
    <n v="0.31984647428526602"/>
    <n v="0.31984647428526602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4"/>
    <x v="17"/>
    <x v="6"/>
    <x v="1"/>
    <n v="0.63320512474919999"/>
    <n v="2E+20"/>
    <n v="0.63320512474919999"/>
    <n v="0.63320512474919999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5"/>
    <x v="17"/>
    <x v="6"/>
    <x v="1"/>
    <n v="1.0368172118482999"/>
    <n v="2E+20"/>
    <n v="1.0368172118482999"/>
    <n v="1.0368172118482999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6"/>
    <x v="17"/>
    <x v="6"/>
    <x v="1"/>
    <n v="0.91346636770360901"/>
    <n v="2E+20"/>
    <n v="0.91346636770360901"/>
    <n v="0.91346636770360901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7"/>
    <x v="17"/>
    <x v="6"/>
    <x v="1"/>
    <n v="0.76197730004861097"/>
    <n v="2E+20"/>
    <n v="0.76197730004861097"/>
    <n v="0.76197730004861097"/>
    <n v="1"/>
    <s v="Weekend (base)PrepPedidoH1ExpressionUser Specified"/>
    <n v="17"/>
    <n v="1.2479418078945623"/>
    <n v="1.0792094685636386"/>
    <n v="0.95"/>
    <n v="0.55487830754641054"/>
    <n v="0.31984647428526602"/>
    <n v="4.50094101938984"/>
    <n v="0.31984647428526602"/>
    <n v="4.50094101938984"/>
    <n v="1"/>
    <n v="0.55487830754641054"/>
    <n v="17"/>
    <n v="1"/>
  </r>
  <r>
    <x v="0"/>
    <s v="2025-05-17 23:41:37"/>
    <n v="1"/>
    <x v="18"/>
    <x v="6"/>
    <x v="1"/>
    <n v="0.99930242111850798"/>
    <n v="2E+20"/>
    <n v="0.99930242111850798"/>
    <n v="0.99930242111850798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2"/>
    <x v="18"/>
    <x v="6"/>
    <x v="1"/>
    <n v="1.1524630765055399"/>
    <n v="2E+20"/>
    <n v="1.1524630765055399"/>
    <n v="1.1524630765055399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3"/>
    <x v="18"/>
    <x v="6"/>
    <x v="1"/>
    <n v="2.8297865152547299"/>
    <n v="2E+20"/>
    <n v="2.8297865152547299"/>
    <n v="2.8297865152547299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4"/>
    <x v="18"/>
    <x v="6"/>
    <x v="1"/>
    <n v="1.12153227616603"/>
    <n v="2E+20"/>
    <n v="1.12153227616603"/>
    <n v="1.12153227616603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5"/>
    <x v="18"/>
    <x v="6"/>
    <x v="1"/>
    <n v="0.67838898847898399"/>
    <n v="2E+20"/>
    <n v="0.67838898847898399"/>
    <n v="0.67838898847898399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6"/>
    <x v="18"/>
    <x v="6"/>
    <x v="1"/>
    <n v="0.43124249715639401"/>
    <n v="2E+20"/>
    <n v="0.43124249715639401"/>
    <n v="0.43124249715639401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7"/>
    <x v="18"/>
    <x v="6"/>
    <x v="1"/>
    <n v="0.76892503236124798"/>
    <n v="2E+20"/>
    <n v="0.76892503236124798"/>
    <n v="0.76892503236124798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8"/>
    <x v="18"/>
    <x v="6"/>
    <x v="1"/>
    <n v="3.55514158269076"/>
    <n v="2E+20"/>
    <n v="3.55514158269076"/>
    <n v="3.55514158269076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9"/>
    <x v="18"/>
    <x v="6"/>
    <x v="1"/>
    <n v="1.56499186295072"/>
    <n v="2E+20"/>
    <n v="1.56499186295072"/>
    <n v="1.56499186295072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0"/>
    <x v="18"/>
    <x v="6"/>
    <x v="1"/>
    <n v="1.1582145762137701"/>
    <n v="2E+20"/>
    <n v="1.1582145762137701"/>
    <n v="1.1582145762137701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1"/>
    <x v="18"/>
    <x v="6"/>
    <x v="1"/>
    <n v="0.319489264505948"/>
    <n v="2E+20"/>
    <n v="0.319489264505948"/>
    <n v="0.319489264505948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2"/>
    <x v="18"/>
    <x v="6"/>
    <x v="1"/>
    <n v="1.81012300916894"/>
    <n v="2E+20"/>
    <n v="1.81012300916894"/>
    <n v="1.81012300916894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3"/>
    <x v="18"/>
    <x v="6"/>
    <x v="1"/>
    <n v="0.63108389954690203"/>
    <n v="2E+20"/>
    <n v="0.63108389954690203"/>
    <n v="0.63108389954690203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4"/>
    <x v="18"/>
    <x v="6"/>
    <x v="1"/>
    <n v="0.59455827584750498"/>
    <n v="2E+20"/>
    <n v="0.59455827584750498"/>
    <n v="0.59455827584750498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5"/>
    <x v="18"/>
    <x v="6"/>
    <x v="1"/>
    <n v="0.74452913889893801"/>
    <n v="2E+20"/>
    <n v="0.74452913889893801"/>
    <n v="0.74452913889893801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6"/>
    <x v="18"/>
    <x v="6"/>
    <x v="1"/>
    <n v="0.53288281273167903"/>
    <n v="2E+20"/>
    <n v="0.53288281273167903"/>
    <n v="0.53288281273167903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7"/>
    <x v="18"/>
    <x v="6"/>
    <x v="1"/>
    <n v="0.56544011851833598"/>
    <n v="2E+20"/>
    <n v="0.56544011851833598"/>
    <n v="0.56544011851833598"/>
    <n v="1"/>
    <s v="Weekend (base)PrepPedidoH2ExpressionUser Specified"/>
    <n v="17"/>
    <n v="1.1445938440067605"/>
    <n v="0.87593527521973991"/>
    <n v="0.95"/>
    <n v="0.4503643613144116"/>
    <n v="0.319489264505948"/>
    <n v="3.55514158269076"/>
    <n v="0.319489264505948"/>
    <n v="3.55514158269076"/>
    <n v="1"/>
    <n v="0.4503643613144116"/>
    <n v="17"/>
    <n v="1"/>
  </r>
  <r>
    <x v="0"/>
    <s v="2025-05-17 23:41:37"/>
    <n v="1"/>
    <x v="19"/>
    <x v="6"/>
    <x v="1"/>
    <n v="0.81271818200073898"/>
    <n v="2E+20"/>
    <n v="0.81271818200073898"/>
    <n v="0.81271818200073898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2"/>
    <x v="19"/>
    <x v="6"/>
    <x v="1"/>
    <n v="1.3729792803177101"/>
    <n v="2E+20"/>
    <n v="1.3729792803177101"/>
    <n v="1.3729792803177101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3"/>
    <x v="19"/>
    <x v="6"/>
    <x v="1"/>
    <n v="2.1144024293599601"/>
    <n v="2E+20"/>
    <n v="2.1144024293599601"/>
    <n v="2.1144024293599601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4"/>
    <x v="19"/>
    <x v="6"/>
    <x v="1"/>
    <n v="0.90413977843846904"/>
    <n v="2E+20"/>
    <n v="0.90413977843846904"/>
    <n v="0.90413977843846904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5"/>
    <x v="19"/>
    <x v="6"/>
    <x v="1"/>
    <n v="0.95885265068747305"/>
    <n v="2E+20"/>
    <n v="0.95885265068747305"/>
    <n v="0.95885265068747305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6"/>
    <x v="19"/>
    <x v="6"/>
    <x v="1"/>
    <n v="0.30890882984771101"/>
    <n v="2E+20"/>
    <n v="0.30890882984771101"/>
    <n v="0.30890882984771101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7"/>
    <x v="19"/>
    <x v="6"/>
    <x v="1"/>
    <n v="0.65778197038679598"/>
    <n v="2E+20"/>
    <n v="0.65778197038679598"/>
    <n v="0.65778197038679598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8"/>
    <x v="19"/>
    <x v="6"/>
    <x v="1"/>
    <n v="2.8010094841286302"/>
    <n v="2E+20"/>
    <n v="2.8010094841286302"/>
    <n v="2.8010094841286302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9"/>
    <x v="19"/>
    <x v="6"/>
    <x v="1"/>
    <n v="1.1558867767485399"/>
    <n v="2E+20"/>
    <n v="1.1558867767485399"/>
    <n v="1.1558867767485399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0"/>
    <x v="19"/>
    <x v="6"/>
    <x v="1"/>
    <n v="1.37691335913757"/>
    <n v="2E+20"/>
    <n v="1.37691335913757"/>
    <n v="1.37691335913757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1"/>
    <x v="19"/>
    <x v="6"/>
    <x v="1"/>
    <n v="0.61471804778832895"/>
    <n v="2E+20"/>
    <n v="0.61471804778832895"/>
    <n v="0.61471804778832895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2"/>
    <x v="19"/>
    <x v="6"/>
    <x v="1"/>
    <n v="1.40336917164237"/>
    <n v="2E+20"/>
    <n v="1.40336917164237"/>
    <n v="1.40336917164237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3"/>
    <x v="19"/>
    <x v="6"/>
    <x v="1"/>
    <n v="0.69676193246016305"/>
    <n v="2E+20"/>
    <n v="0.69676193246016305"/>
    <n v="0.69676193246016305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4"/>
    <x v="19"/>
    <x v="6"/>
    <x v="1"/>
    <n v="0.80758689895531899"/>
    <n v="2E+20"/>
    <n v="0.80758689895531899"/>
    <n v="0.80758689895531899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5"/>
    <x v="19"/>
    <x v="6"/>
    <x v="1"/>
    <n v="0.515335004400583"/>
    <n v="2E+20"/>
    <n v="0.515335004400583"/>
    <n v="0.515335004400583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6"/>
    <x v="19"/>
    <x v="6"/>
    <x v="1"/>
    <n v="0.44332091741765201"/>
    <n v="2E+20"/>
    <n v="0.44332091741765201"/>
    <n v="0.44332091741765201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7"/>
    <x v="19"/>
    <x v="6"/>
    <x v="1"/>
    <n v="1.89952778545737"/>
    <n v="2E+20"/>
    <n v="1.89952778545737"/>
    <n v="1.89952778545737"/>
    <n v="1"/>
    <s v="Weekend (base)PrepPedidoH3ExpressionUser Specified"/>
    <n v="17"/>
    <n v="1.1084830881867871"/>
    <n v="0.66265016814562161"/>
    <n v="0.95"/>
    <n v="0.3407032781924717"/>
    <n v="0.30890882984771101"/>
    <n v="2.8010094841286302"/>
    <n v="0.30890882984771101"/>
    <n v="2.8010094841286302"/>
    <n v="1"/>
    <n v="0.3407032781924717"/>
    <n v="17"/>
    <n v="1"/>
  </r>
  <r>
    <x v="0"/>
    <s v="2025-05-17 23:41:37"/>
    <n v="1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2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2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2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2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2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2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3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3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3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3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3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3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4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4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4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4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4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4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5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5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5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5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5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5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6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6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6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6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6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6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7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7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7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7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7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7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8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8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8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8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8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8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9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9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9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9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9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9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0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0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0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0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0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0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1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1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1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1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1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1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2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2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2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2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2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2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3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3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3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3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3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3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4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4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4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4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4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4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5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5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5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5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5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5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6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6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6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6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6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6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7"/>
    <x v="20"/>
    <x v="0"/>
    <x v="0"/>
    <n v="0"/>
    <n v="2E+20"/>
    <n v="0"/>
    <n v="0"/>
    <n v="3"/>
    <s v="Weekend (base)relojN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7"/>
    <x v="20"/>
    <x v="1"/>
    <x v="0"/>
    <n v="0"/>
    <n v="2E+20"/>
    <n v="0"/>
    <n v="0"/>
    <n v="3"/>
    <s v="Weekend (base)relojOth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7"/>
    <x v="20"/>
    <x v="2"/>
    <x v="0"/>
    <n v="0"/>
    <n v="2E+20"/>
    <n v="0"/>
    <n v="0"/>
    <n v="3"/>
    <s v="Weekend (base)relojTotal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7"/>
    <x v="20"/>
    <x v="3"/>
    <x v="0"/>
    <n v="0"/>
    <n v="2E+20"/>
    <n v="0"/>
    <n v="0"/>
    <n v="3"/>
    <s v="Weekend (base)relojTransfer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7"/>
    <x v="20"/>
    <x v="4"/>
    <x v="0"/>
    <n v="0"/>
    <n v="2E+20"/>
    <n v="0"/>
    <n v="0"/>
    <n v="3"/>
    <s v="Weekend (base)relojVA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7"/>
    <x v="20"/>
    <x v="5"/>
    <x v="0"/>
    <n v="0"/>
    <n v="2E+20"/>
    <n v="0"/>
    <n v="0"/>
    <n v="3"/>
    <s v="Weekend (base)relojWait TimeEntity"/>
    <n v="17"/>
    <n v="0"/>
    <n v="0"/>
    <n v="0.95"/>
    <n v="0"/>
    <n v="0"/>
    <n v="0"/>
    <n v="0"/>
    <n v="0"/>
    <n v="3"/>
    <n v="0"/>
    <n v="17"/>
    <n v="1"/>
  </r>
  <r>
    <x v="0"/>
    <s v="2025-05-17 23:41:37"/>
    <n v="1"/>
    <x v="21"/>
    <x v="6"/>
    <x v="1"/>
    <n v="18.2593992105048"/>
    <n v="2E+20"/>
    <n v="2.2955081499061101"/>
    <n v="33.534938461929002"/>
    <n v="18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2"/>
    <x v="21"/>
    <x v="6"/>
    <x v="1"/>
    <n v="17.2685153930776"/>
    <n v="2E+20"/>
    <n v="4.2869157497203396"/>
    <n v="27.243425483403701"/>
    <n v="15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3"/>
    <x v="21"/>
    <x v="6"/>
    <x v="1"/>
    <n v="16.711136995459501"/>
    <n v="2E+20"/>
    <n v="1.4247963853516701"/>
    <n v="35.423370240477297"/>
    <n v="18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4"/>
    <x v="21"/>
    <x v="6"/>
    <x v="1"/>
    <n v="18.264009130516001"/>
    <n v="2E+20"/>
    <n v="0"/>
    <n v="31.627733362812201"/>
    <n v="16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5"/>
    <x v="21"/>
    <x v="6"/>
    <x v="1"/>
    <n v="18.720907483545201"/>
    <n v="2E+20"/>
    <n v="3.1328990905535599E-2"/>
    <n v="43.471801567160703"/>
    <n v="20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6"/>
    <x v="21"/>
    <x v="6"/>
    <x v="1"/>
    <n v="18.845963572607101"/>
    <n v="2E+20"/>
    <n v="0"/>
    <n v="35.583084453429798"/>
    <n v="16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7"/>
    <x v="21"/>
    <x v="6"/>
    <x v="1"/>
    <n v="20.9021083047334"/>
    <n v="2E+20"/>
    <n v="4.7836091019057703"/>
    <n v="37.510579447555301"/>
    <n v="16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8"/>
    <x v="21"/>
    <x v="6"/>
    <x v="1"/>
    <n v="18.6809013452324"/>
    <n v="2E+20"/>
    <n v="0"/>
    <n v="36.821357145884903"/>
    <n v="18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9"/>
    <x v="21"/>
    <x v="6"/>
    <x v="1"/>
    <n v="15.4431685816695"/>
    <n v="2E+20"/>
    <n v="3.4456120685755698"/>
    <n v="28.4927510845794"/>
    <n v="15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0"/>
    <x v="21"/>
    <x v="6"/>
    <x v="1"/>
    <n v="22.816713775859"/>
    <n v="2E+20"/>
    <n v="9.2131462587443202"/>
    <n v="36.440722923259202"/>
    <n v="20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1"/>
    <x v="21"/>
    <x v="6"/>
    <x v="1"/>
    <n v="18.537174772151499"/>
    <n v="2E+20"/>
    <n v="0"/>
    <n v="37.749583513244502"/>
    <n v="16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2"/>
    <x v="21"/>
    <x v="6"/>
    <x v="1"/>
    <n v="15.010749008421101"/>
    <n v="2E+20"/>
    <n v="0"/>
    <n v="30.952675896527399"/>
    <n v="15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3"/>
    <x v="21"/>
    <x v="6"/>
    <x v="1"/>
    <n v="18.408362143555799"/>
    <n v="2E+20"/>
    <n v="1.0534864575693601"/>
    <n v="33.270339262695899"/>
    <n v="17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4"/>
    <x v="21"/>
    <x v="6"/>
    <x v="1"/>
    <n v="18.1420160768544"/>
    <n v="2E+20"/>
    <n v="1.1644373686646601"/>
    <n v="29.557702364787001"/>
    <n v="13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5"/>
    <x v="21"/>
    <x v="6"/>
    <x v="1"/>
    <n v="22.3239887839127"/>
    <n v="2E+20"/>
    <n v="11.4783811708635"/>
    <n v="44.433668276207797"/>
    <n v="16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6"/>
    <x v="21"/>
    <x v="6"/>
    <x v="1"/>
    <n v="15.507538213446001"/>
    <n v="2E+20"/>
    <n v="0"/>
    <n v="34.2162059751467"/>
    <n v="18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7"/>
    <x v="21"/>
    <x v="6"/>
    <x v="1"/>
    <n v="18.032962413256602"/>
    <n v="2E+20"/>
    <n v="3.9138028399751299"/>
    <n v="39.318468668477401"/>
    <n v="18"/>
    <s v="Weekend (base)TiempoEnMesaExpressionUser Specified"/>
    <n v="17"/>
    <n v="18.34562442381192"/>
    <n v="2.1575919398341346"/>
    <n v="0.95"/>
    <n v="1.1093314123201146"/>
    <n v="15.010749008421101"/>
    <n v="22.816713775859"/>
    <n v="0"/>
    <n v="44.433668276207797"/>
    <n v="16.764705882352942"/>
    <n v="1.1093314123201146"/>
    <n v="17"/>
    <n v="1"/>
  </r>
  <r>
    <x v="0"/>
    <s v="2025-05-17 23:41:37"/>
    <n v="1"/>
    <x v="22"/>
    <x v="11"/>
    <x v="1"/>
    <n v="24.530026391636799"/>
    <n v="2E+20"/>
    <n v="5.4657031183762701"/>
    <n v="43.382707587991497"/>
    <n v="18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2"/>
    <x v="22"/>
    <x v="11"/>
    <x v="1"/>
    <n v="22.490582968310001"/>
    <n v="2E+20"/>
    <n v="5.15009252995472"/>
    <n v="38.653882813178598"/>
    <n v="15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3"/>
    <x v="22"/>
    <x v="11"/>
    <x v="1"/>
    <n v="25.3115671594839"/>
    <n v="2E+20"/>
    <n v="4.6044699313706001"/>
    <n v="40.402294072363702"/>
    <n v="18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4"/>
    <x v="22"/>
    <x v="11"/>
    <x v="1"/>
    <n v="23.279526771006399"/>
    <n v="2E+20"/>
    <n v="1.74560784835606"/>
    <n v="38.937592081096902"/>
    <n v="16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5"/>
    <x v="22"/>
    <x v="11"/>
    <x v="1"/>
    <n v="23.9305410527083"/>
    <n v="2E+20"/>
    <n v="2.76521724629941"/>
    <n v="43.997311526106401"/>
    <n v="20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6"/>
    <x v="22"/>
    <x v="11"/>
    <x v="1"/>
    <n v="23.970092939314199"/>
    <n v="2E+20"/>
    <n v="2.6539537162159701"/>
    <n v="41.503434856715799"/>
    <n v="16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7"/>
    <x v="22"/>
    <x v="11"/>
    <x v="1"/>
    <n v="26.9641147774046"/>
    <n v="2E+20"/>
    <n v="9.7081463626401501"/>
    <n v="46.424691353587903"/>
    <n v="16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8"/>
    <x v="22"/>
    <x v="11"/>
    <x v="1"/>
    <n v="30.794162534515099"/>
    <n v="2E+20"/>
    <n v="9.2544216899444507"/>
    <n v="57.966088079601803"/>
    <n v="18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9"/>
    <x v="22"/>
    <x v="11"/>
    <x v="1"/>
    <n v="21.283907434484799"/>
    <n v="2E+20"/>
    <n v="4.9551816681147303"/>
    <n v="38.009040799142603"/>
    <n v="15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0"/>
    <x v="22"/>
    <x v="11"/>
    <x v="1"/>
    <n v="28.151008054653101"/>
    <n v="2E+20"/>
    <n v="9.8976346038438301"/>
    <n v="45.957207216092598"/>
    <n v="20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1"/>
    <x v="22"/>
    <x v="11"/>
    <x v="1"/>
    <n v="22.106485402592199"/>
    <n v="2E+20"/>
    <n v="1.4828571817912699"/>
    <n v="41.076282925138798"/>
    <n v="16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2"/>
    <x v="22"/>
    <x v="11"/>
    <x v="1"/>
    <n v="22.243884186044799"/>
    <n v="2E+20"/>
    <n v="1.89145001299062"/>
    <n v="39.510021573855703"/>
    <n v="15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3"/>
    <x v="22"/>
    <x v="11"/>
    <x v="1"/>
    <n v="22.796830767057799"/>
    <n v="2E+20"/>
    <n v="5.8121754986673402"/>
    <n v="35.833985573996003"/>
    <n v="17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4"/>
    <x v="22"/>
    <x v="11"/>
    <x v="1"/>
    <n v="22.932097932425901"/>
    <n v="2E+20"/>
    <n v="6.0394868095291896"/>
    <n v="42.648421141095703"/>
    <n v="13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5"/>
    <x v="22"/>
    <x v="11"/>
    <x v="1"/>
    <n v="28.660972996300199"/>
    <n v="2E+20"/>
    <n v="15.3625064828483"/>
    <n v="58.985521363316899"/>
    <n v="16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6"/>
    <x v="22"/>
    <x v="11"/>
    <x v="1"/>
    <n v="20.4127209261279"/>
    <n v="2E+20"/>
    <n v="10.4691312124431"/>
    <n v="38.099836253345998"/>
    <n v="18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7"/>
    <x v="22"/>
    <x v="11"/>
    <x v="1"/>
    <n v="22.246455679836"/>
    <n v="2E+20"/>
    <n v="8.3701432026834901"/>
    <n v="51.572027284814098"/>
    <n v="18"/>
    <s v="Weekend (base)TiempoEnSistemaMesaIntervalUser Specified"/>
    <n v="17"/>
    <n v="24.241469292582472"/>
    <n v="2.8536514740210155"/>
    <n v="0.95"/>
    <n v="1.4672122014825797"/>
    <n v="20.4127209261279"/>
    <n v="30.794162534515099"/>
    <n v="1.4828571817912699"/>
    <n v="58.985521363316899"/>
    <n v="16.764705882352942"/>
    <n v="1.4672122014825797"/>
    <n v="17"/>
    <n v="1"/>
  </r>
  <r>
    <x v="0"/>
    <s v="2025-05-17 23:41:37"/>
    <n v="1"/>
    <x v="23"/>
    <x v="11"/>
    <x v="1"/>
    <n v="5.6529500483776598"/>
    <n v="2E+20"/>
    <n v="0.77583451299318495"/>
    <n v="25.382770849462698"/>
    <n v="107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2"/>
    <x v="23"/>
    <x v="11"/>
    <x v="1"/>
    <n v="6.1336529804132001"/>
    <n v="2E+20"/>
    <n v="0.62339488587194603"/>
    <n v="16.734530035523999"/>
    <n v="102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3"/>
    <x v="23"/>
    <x v="11"/>
    <x v="1"/>
    <n v="8.26271752077459"/>
    <n v="2E+20"/>
    <n v="0.51017461107767303"/>
    <n v="18.462782442901801"/>
    <n v="108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4"/>
    <x v="23"/>
    <x v="11"/>
    <x v="1"/>
    <n v="5.5260744400715298"/>
    <n v="2E+20"/>
    <n v="0.60716047394780104"/>
    <n v="12.7051443816689"/>
    <n v="114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5"/>
    <x v="23"/>
    <x v="11"/>
    <x v="1"/>
    <n v="5.2705775170787801"/>
    <n v="2E+20"/>
    <n v="0.41570428400530102"/>
    <n v="14.755753260412799"/>
    <n v="110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6"/>
    <x v="23"/>
    <x v="11"/>
    <x v="1"/>
    <n v="3.4887446735180001"/>
    <n v="2E+20"/>
    <n v="0.61996963103203495"/>
    <n v="15.581697491499501"/>
    <n v="104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7"/>
    <x v="23"/>
    <x v="11"/>
    <x v="1"/>
    <n v="4.5991304469049004"/>
    <n v="2E+20"/>
    <n v="0.48541948783446298"/>
    <n v="13.8024308594422"/>
    <n v="91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8"/>
    <x v="23"/>
    <x v="11"/>
    <x v="1"/>
    <n v="9.0012419964087407"/>
    <n v="2E+20"/>
    <n v="0.81098822481243404"/>
    <n v="22.9456279665315"/>
    <n v="101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9"/>
    <x v="23"/>
    <x v="11"/>
    <x v="1"/>
    <n v="5.7015260310977203"/>
    <n v="2E+20"/>
    <n v="0.47101491173600601"/>
    <n v="16.278536201465499"/>
    <n v="105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0"/>
    <x v="23"/>
    <x v="11"/>
    <x v="1"/>
    <n v="6.3468566619118096"/>
    <n v="2E+20"/>
    <n v="0.65072740572017596"/>
    <n v="14.5429428603983"/>
    <n v="104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1"/>
    <x v="23"/>
    <x v="11"/>
    <x v="1"/>
    <n v="4.5962379185176596"/>
    <n v="2E+20"/>
    <n v="0.58285678706268096"/>
    <n v="11.0786928739853"/>
    <n v="99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2"/>
    <x v="23"/>
    <x v="11"/>
    <x v="1"/>
    <n v="7.1148813971631704"/>
    <n v="2E+20"/>
    <n v="0.68720563038672799"/>
    <n v="21.2117727055752"/>
    <n v="107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3"/>
    <x v="23"/>
    <x v="11"/>
    <x v="1"/>
    <n v="4.2824496861848997"/>
    <n v="2E+20"/>
    <n v="0.663742718075639"/>
    <n v="11.6717603113043"/>
    <n v="94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4"/>
    <x v="23"/>
    <x v="11"/>
    <x v="1"/>
    <n v="5.4373063723097896"/>
    <n v="2E+20"/>
    <n v="0.67180961156986996"/>
    <n v="14.134901963976599"/>
    <n v="95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5"/>
    <x v="23"/>
    <x v="11"/>
    <x v="1"/>
    <n v="4.6975968798024503"/>
    <n v="2E+20"/>
    <n v="0.62377547708905501"/>
    <n v="18.840349330144299"/>
    <n v="102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6"/>
    <x v="23"/>
    <x v="11"/>
    <x v="1"/>
    <n v="4.0110566919675099"/>
    <n v="2E+20"/>
    <n v="0.54993314047078501"/>
    <n v="11.4421049243178"/>
    <n v="92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7"/>
    <x v="23"/>
    <x v="11"/>
    <x v="1"/>
    <n v="8.0707549247035502"/>
    <n v="2E+20"/>
    <n v="0.95593906500113202"/>
    <n v="23.168166097434302"/>
    <n v="99"/>
    <s v="Weekend (base)TiempoEnSistemaNoMesaIntervalUser Specified"/>
    <n v="17"/>
    <n v="5.7761033051297623"/>
    <n v="1.5626225988990237"/>
    <n v="0.95"/>
    <n v="0.80342640448186076"/>
    <n v="3.4887446735180001"/>
    <n v="9.0012419964087407"/>
    <n v="0.41570428400530102"/>
    <n v="25.382770849462698"/>
    <n v="102"/>
    <n v="0.80342640448186076"/>
    <n v="17"/>
    <n v="1"/>
  </r>
  <r>
    <x v="0"/>
    <s v="2025-05-17 23:41:37"/>
    <n v="1"/>
    <x v="24"/>
    <x v="11"/>
    <x v="1"/>
    <n v="5.3226692443939996"/>
    <n v="2E+20"/>
    <n v="0.77583451299318495"/>
    <n v="25.382770849462698"/>
    <n v="72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2"/>
    <x v="24"/>
    <x v="11"/>
    <x v="1"/>
    <n v="5.0482123665221703"/>
    <n v="2E+20"/>
    <n v="0.62339488587194603"/>
    <n v="11.675342503088601"/>
    <n v="64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3"/>
    <x v="24"/>
    <x v="11"/>
    <x v="1"/>
    <n v="7.5166486275509099"/>
    <n v="2E+20"/>
    <n v="0.51017461107767303"/>
    <n v="17.410251384879299"/>
    <n v="71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4"/>
    <x v="24"/>
    <x v="11"/>
    <x v="1"/>
    <n v="4.7865177314442198"/>
    <n v="2E+20"/>
    <n v="0.60716047394780104"/>
    <n v="10.831702938496299"/>
    <n v="70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5"/>
    <x v="24"/>
    <x v="11"/>
    <x v="1"/>
    <n v="4.81487807932964"/>
    <n v="2E+20"/>
    <n v="0.41570428400530102"/>
    <n v="12.400703303022"/>
    <n v="66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6"/>
    <x v="24"/>
    <x v="11"/>
    <x v="1"/>
    <n v="3.0847238028681798"/>
    <n v="2E+20"/>
    <n v="0.61996963103203495"/>
    <n v="9.5240095595267196"/>
    <n v="74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7"/>
    <x v="24"/>
    <x v="11"/>
    <x v="1"/>
    <n v="4.1464375509722098"/>
    <n v="2E+20"/>
    <n v="0.48541948783446298"/>
    <n v="13.0623805119828"/>
    <n v="57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8"/>
    <x v="24"/>
    <x v="11"/>
    <x v="1"/>
    <n v="8.6324770448662207"/>
    <n v="2E+20"/>
    <n v="0.81098822481243404"/>
    <n v="22.9456279665315"/>
    <n v="56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9"/>
    <x v="24"/>
    <x v="11"/>
    <x v="1"/>
    <n v="4.88331635305574"/>
    <n v="2E+20"/>
    <n v="0.47101491173600601"/>
    <n v="14.1773947821227"/>
    <n v="69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0"/>
    <x v="24"/>
    <x v="11"/>
    <x v="1"/>
    <n v="5.8900224697412602"/>
    <n v="2E+20"/>
    <n v="0.65072740572017596"/>
    <n v="13.785480671028401"/>
    <n v="60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1"/>
    <x v="24"/>
    <x v="11"/>
    <x v="1"/>
    <n v="3.7196428469755398"/>
    <n v="2E+20"/>
    <n v="0.58285678706268096"/>
    <n v="8.5913884246508605"/>
    <n v="63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2"/>
    <x v="24"/>
    <x v="11"/>
    <x v="1"/>
    <n v="6.7949345996181796"/>
    <n v="2E+20"/>
    <n v="0.68720563038672799"/>
    <n v="18.829898641878302"/>
    <n v="69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3"/>
    <x v="24"/>
    <x v="11"/>
    <x v="1"/>
    <n v="3.6402844513864601"/>
    <n v="2E+20"/>
    <n v="0.663742718075639"/>
    <n v="10.092880613537"/>
    <n v="52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4"/>
    <x v="24"/>
    <x v="11"/>
    <x v="1"/>
    <n v="4.7529472529766901"/>
    <n v="2E+20"/>
    <n v="0.67180961156986996"/>
    <n v="11.187601694472001"/>
    <n v="55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5"/>
    <x v="24"/>
    <x v="11"/>
    <x v="1"/>
    <n v="3.8744920447776798"/>
    <n v="2E+20"/>
    <n v="0.62377547708905501"/>
    <n v="13.9605774307985"/>
    <n v="62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6"/>
    <x v="24"/>
    <x v="11"/>
    <x v="1"/>
    <n v="3.86922483389881"/>
    <n v="2E+20"/>
    <n v="0.54993314047078501"/>
    <n v="11.4421049243178"/>
    <n v="54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7"/>
    <x v="24"/>
    <x v="11"/>
    <x v="1"/>
    <n v="7.1625503711841496"/>
    <n v="2E+20"/>
    <n v="0.95593906500113202"/>
    <n v="22.371333144300198"/>
    <n v="59"/>
    <s v="Weekend (base)TiempoEnSistemaNoMesaCantProd1IntervalUser Specified"/>
    <n v="17"/>
    <n v="5.1729399806801215"/>
    <n v="1.5492311018878344"/>
    <n v="0.95"/>
    <n v="0.79654113205465416"/>
    <n v="3.0847238028681798"/>
    <n v="8.6324770448662207"/>
    <n v="0.41570428400530102"/>
    <n v="25.382770849462698"/>
    <n v="63.117647058823529"/>
    <n v="0.79654113205465416"/>
    <n v="17"/>
    <n v="1"/>
  </r>
  <r>
    <x v="0"/>
    <s v="2025-05-17 23:41:37"/>
    <n v="1"/>
    <x v="25"/>
    <x v="11"/>
    <x v="1"/>
    <n v="6.4110130882203196"/>
    <n v="2E+20"/>
    <n v="1.6500068951251601"/>
    <n v="14.3471264453194"/>
    <n v="22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2"/>
    <x v="25"/>
    <x v="11"/>
    <x v="1"/>
    <n v="7.1251933830734302"/>
    <n v="2E+20"/>
    <n v="1.4111713259712499"/>
    <n v="13.782223115346"/>
    <n v="21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3"/>
    <x v="25"/>
    <x v="11"/>
    <x v="1"/>
    <n v="8.9372165029935093"/>
    <n v="2E+20"/>
    <n v="2.5632495802155999"/>
    <n v="18.462782442901801"/>
    <n v="26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4"/>
    <x v="25"/>
    <x v="11"/>
    <x v="1"/>
    <n v="6.9086998590526498"/>
    <n v="2E+20"/>
    <n v="1.1056947229898"/>
    <n v="12.7051443816689"/>
    <n v="26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5"/>
    <x v="25"/>
    <x v="11"/>
    <x v="1"/>
    <n v="5.2190518165529598"/>
    <n v="2E+20"/>
    <n v="1.1960647364811501"/>
    <n v="11.325097842376"/>
    <n v="35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6"/>
    <x v="25"/>
    <x v="11"/>
    <x v="1"/>
    <n v="3.3181766515664401"/>
    <n v="2E+20"/>
    <n v="1.0232258867613699"/>
    <n v="8.4784047234998408"/>
    <n v="23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7"/>
    <x v="25"/>
    <x v="11"/>
    <x v="1"/>
    <n v="4.7922697776278698"/>
    <n v="2E+20"/>
    <n v="1.4949064356805799"/>
    <n v="12.021832260622199"/>
    <n v="20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8"/>
    <x v="25"/>
    <x v="11"/>
    <x v="1"/>
    <n v="8.56403267613765"/>
    <n v="2E+20"/>
    <n v="0.93098808188179305"/>
    <n v="19.554538024347199"/>
    <n v="29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9"/>
    <x v="25"/>
    <x v="11"/>
    <x v="1"/>
    <n v="5.9246226937978204"/>
    <n v="2E+20"/>
    <n v="1.1283731898736"/>
    <n v="14.1390621051808"/>
    <n v="23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0"/>
    <x v="25"/>
    <x v="11"/>
    <x v="1"/>
    <n v="6.3243222299299902"/>
    <n v="2E+20"/>
    <n v="0.83887633278111196"/>
    <n v="13.344947578537701"/>
    <n v="32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1"/>
    <x v="25"/>
    <x v="11"/>
    <x v="1"/>
    <n v="5.9553657031557998"/>
    <n v="2E+20"/>
    <n v="1.2698149888032899"/>
    <n v="10.651927654479"/>
    <n v="24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2"/>
    <x v="25"/>
    <x v="11"/>
    <x v="1"/>
    <n v="7.9451379707042999"/>
    <n v="2E+20"/>
    <n v="1.45170999084721"/>
    <n v="21.2117727055752"/>
    <n v="26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3"/>
    <x v="25"/>
    <x v="11"/>
    <x v="1"/>
    <n v="4.6614907202545304"/>
    <n v="2E+20"/>
    <n v="1.0927043133389001"/>
    <n v="8.9378158517299404"/>
    <n v="32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4"/>
    <x v="25"/>
    <x v="11"/>
    <x v="1"/>
    <n v="5.6431498419078503"/>
    <n v="2E+20"/>
    <n v="1.2528518362226699"/>
    <n v="14.134901963976599"/>
    <n v="27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5"/>
    <x v="25"/>
    <x v="11"/>
    <x v="1"/>
    <n v="4.7551822600057498"/>
    <n v="2E+20"/>
    <n v="1.25027471604619"/>
    <n v="10.4586288976841"/>
    <n v="26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6"/>
    <x v="25"/>
    <x v="11"/>
    <x v="1"/>
    <n v="4.2708348445685402"/>
    <n v="2E+20"/>
    <n v="1.0296639129757099"/>
    <n v="10.2821861601115"/>
    <n v="28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7"/>
    <x v="25"/>
    <x v="11"/>
    <x v="1"/>
    <n v="8.5590915521739603"/>
    <n v="2E+20"/>
    <n v="1.0100543780848701"/>
    <n v="23.168166097434302"/>
    <n v="23"/>
    <s v="Weekend (base)TiempoEnSistemaNoMesaCantProd2IntervalUser Specified"/>
    <n v="17"/>
    <n v="6.1949912689249045"/>
    <n v="1.6389866541119029"/>
    <n v="0.95"/>
    <n v="0.84268917871446514"/>
    <n v="3.3181766515664401"/>
    <n v="8.9372165029935093"/>
    <n v="0.83887633278111196"/>
    <n v="23.168166097434302"/>
    <n v="26.058823529411764"/>
    <n v="0.84268917871446514"/>
    <n v="17"/>
    <n v="1"/>
  </r>
  <r>
    <x v="0"/>
    <s v="2025-05-17 23:41:37"/>
    <n v="1"/>
    <x v="26"/>
    <x v="11"/>
    <x v="1"/>
    <n v="7.3222600963333599"/>
    <n v="2E+20"/>
    <n v="1.78480297687801"/>
    <n v="14.599412513571099"/>
    <n v="7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2"/>
    <x v="26"/>
    <x v="11"/>
    <x v="1"/>
    <n v="8.8778970897113698"/>
    <n v="2E+20"/>
    <n v="2.3719203211542199"/>
    <n v="13.1683581656578"/>
    <n v="10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3"/>
    <x v="26"/>
    <x v="11"/>
    <x v="1"/>
    <n v="11.706880649765999"/>
    <n v="2E+20"/>
    <n v="3.9858090843315499"/>
    <n v="15.8421568346551"/>
    <n v="7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4"/>
    <x v="26"/>
    <x v="11"/>
    <x v="1"/>
    <n v="5.7046196202112496"/>
    <n v="2E+20"/>
    <n v="1.73413656938217"/>
    <n v="10.737514975185301"/>
    <n v="10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5"/>
    <x v="26"/>
    <x v="11"/>
    <x v="1"/>
    <n v="6.2819928882066396"/>
    <n v="2E+20"/>
    <n v="3.56745467295478"/>
    <n v="9.0329890608601104"/>
    <n v="5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6"/>
    <x v="26"/>
    <x v="11"/>
    <x v="1"/>
    <n v="7.4818190050681901"/>
    <n v="2E+20"/>
    <n v="2.78627348488914"/>
    <n v="15.581697491499501"/>
    <n v="5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7"/>
    <x v="26"/>
    <x v="11"/>
    <x v="1"/>
    <n v="4.5045952050830902"/>
    <n v="2E+20"/>
    <n v="2.6655923967248598"/>
    <n v="5.9229371529808104"/>
    <n v="7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8"/>
    <x v="26"/>
    <x v="11"/>
    <x v="1"/>
    <n v="10.310270667316001"/>
    <n v="2E+20"/>
    <n v="2.1156655218354401"/>
    <n v="22.5301784793722"/>
    <n v="11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9"/>
    <x v="26"/>
    <x v="11"/>
    <x v="1"/>
    <n v="9.3595335620797098"/>
    <n v="2E+20"/>
    <n v="2.0003569879033298"/>
    <n v="15.2217147623436"/>
    <n v="10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0"/>
    <x v="26"/>
    <x v="11"/>
    <x v="1"/>
    <n v="8.4785190637990695"/>
    <n v="2E+20"/>
    <n v="2.7895913622071999"/>
    <n v="14.5429428603983"/>
    <n v="9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1"/>
    <x v="26"/>
    <x v="11"/>
    <x v="1"/>
    <n v="6.07333671553969"/>
    <n v="2E+20"/>
    <n v="1.7032034106631799"/>
    <n v="11.0786928739853"/>
    <n v="7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2"/>
    <x v="26"/>
    <x v="11"/>
    <x v="1"/>
    <n v="7.4623178427394503"/>
    <n v="2E+20"/>
    <n v="2.89001662832408"/>
    <n v="11.517484972707599"/>
    <n v="7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3"/>
    <x v="26"/>
    <x v="11"/>
    <x v="1"/>
    <n v="6.09987893284611"/>
    <n v="2E+20"/>
    <n v="2.8275337413348498"/>
    <n v="11.6717603113043"/>
    <n v="8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4"/>
    <x v="26"/>
    <x v="11"/>
    <x v="1"/>
    <n v="6.9475960756504103"/>
    <n v="2E+20"/>
    <n v="1.36932320487489"/>
    <n v="11.186299077141999"/>
    <n v="6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5"/>
    <x v="26"/>
    <x v="11"/>
    <x v="1"/>
    <n v="7.0710042939104403"/>
    <n v="2E+20"/>
    <n v="2.47237668669732"/>
    <n v="13.267985401788801"/>
    <n v="9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6"/>
    <x v="26"/>
    <x v="11"/>
    <x v="1"/>
    <n v="2.9825808036794701"/>
    <n v="2E+20"/>
    <n v="2.37159177795861"/>
    <n v="4.1587625112621804"/>
    <n v="3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7"/>
    <x v="26"/>
    <x v="11"/>
    <x v="1"/>
    <n v="11.407005675414499"/>
    <n v="2E+20"/>
    <n v="4.3207017580270399"/>
    <n v="18.776321530423601"/>
    <n v="7"/>
    <s v="Weekend (base)TiempoEnSistemaNoMesaCantProd3IntervalUser Specified"/>
    <n v="17"/>
    <n v="7.5336534227855738"/>
    <n v="2.3151615172060418"/>
    <n v="0.95"/>
    <n v="1.1903462133941762"/>
    <n v="2.9825808036794701"/>
    <n v="11.706880649765999"/>
    <n v="1.36932320487489"/>
    <n v="22.5301784793722"/>
    <n v="7.5294117647058822"/>
    <n v="1.1903462133941762"/>
    <n v="17"/>
    <n v="1"/>
  </r>
  <r>
    <x v="0"/>
    <s v="2025-05-17 23:41:37"/>
    <n v="1"/>
    <x v="27"/>
    <x v="11"/>
    <x v="1"/>
    <n v="4.75123716713055"/>
    <n v="2E+20"/>
    <n v="1.71161498974072"/>
    <n v="10.2530857334812"/>
    <n v="5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2"/>
    <x v="27"/>
    <x v="11"/>
    <x v="1"/>
    <n v="7.9007417612579598"/>
    <n v="2E+20"/>
    <n v="5.5727836415606502"/>
    <n v="10.733678223474699"/>
    <n v="6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3"/>
    <x v="27"/>
    <x v="11"/>
    <x v="1"/>
    <n v="13.9857659300144"/>
    <n v="2E+20"/>
    <n v="13.9857659300144"/>
    <n v="13.9857659300144"/>
    <n v="1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4"/>
    <x v="27"/>
    <x v="11"/>
    <x v="1"/>
    <n v="6.9069052827232804"/>
    <n v="2E+20"/>
    <n v="4.8076452708229498"/>
    <n v="9.4154104316601206"/>
    <n v="7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5"/>
    <x v="27"/>
    <x v="11"/>
    <x v="1"/>
    <n v="13.7501194375483"/>
    <n v="2E+20"/>
    <n v="12.7444856146838"/>
    <n v="14.755753260412799"/>
    <n v="2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6"/>
    <x v="27"/>
    <x v="11"/>
    <x v="1"/>
    <n v="9.0214847305420598"/>
    <n v="2E+20"/>
    <n v="9.0214847305420598"/>
    <n v="9.0214847305420598"/>
    <n v="1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7"/>
    <x v="27"/>
    <x v="11"/>
    <x v="1"/>
    <n v="6.0351043054591402"/>
    <n v="2E+20"/>
    <n v="2.9790395539868402"/>
    <n v="9.7226277293896999"/>
    <n v="4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8"/>
    <x v="27"/>
    <x v="11"/>
    <x v="1"/>
    <n v="9.8813012051709794"/>
    <n v="2E+20"/>
    <n v="7.4167989261245602"/>
    <n v="13.6508140802065"/>
    <n v="3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9"/>
    <x v="27"/>
    <x v="11"/>
    <x v="1"/>
    <n v="10.6165824420892"/>
    <n v="2E+20"/>
    <n v="2.9507245804783802"/>
    <n v="16.278536201465499"/>
    <n v="3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10"/>
    <x v="27"/>
    <x v="11"/>
    <x v="1"/>
    <n v="9.3289205741336705"/>
    <n v="2E+20"/>
    <n v="4.9659464853404502"/>
    <n v="13.5622712037891"/>
    <n v="3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11"/>
    <x v="27"/>
    <x v="11"/>
    <x v="1"/>
    <n v="6.0263681312676001"/>
    <n v="2E+20"/>
    <n v="3.6782553689440398"/>
    <n v="8.6965134780865299"/>
    <n v="3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12"/>
    <x v="27"/>
    <x v="11"/>
    <x v="1"/>
    <n v="7.0729340374662799"/>
    <n v="2E+20"/>
    <n v="4.5627994004083199"/>
    <n v="10.920490480664"/>
    <n v="4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13"/>
    <x v="27"/>
    <x v="11"/>
    <x v="1"/>
    <n v="7.6443722591852499"/>
    <n v="2E+20"/>
    <n v="5.7784107733841097"/>
    <n v="9.5103337449864007"/>
    <n v="2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14"/>
    <x v="27"/>
    <x v="11"/>
    <x v="1"/>
    <n v="8.4803776773394297"/>
    <n v="2E+20"/>
    <n v="5.5456084540916502"/>
    <n v="11.547817809537101"/>
    <n v="6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15"/>
    <x v="27"/>
    <x v="11"/>
    <x v="1"/>
    <n v="5.5962797013154999"/>
    <n v="2E+20"/>
    <n v="4.2781607462117996"/>
    <n v="6.9143986564192002"/>
    <n v="2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16"/>
    <x v="27"/>
    <x v="11"/>
    <x v="1"/>
    <n v="4.5501121552987103"/>
    <n v="2E+20"/>
    <n v="2.0567411441408598"/>
    <n v="6.1299703011417099"/>
    <n v="5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17"/>
    <x v="27"/>
    <x v="11"/>
    <x v="1"/>
    <n v="10.6704957494296"/>
    <n v="2E+20"/>
    <n v="3.35138217421783"/>
    <n v="19.669924731540899"/>
    <n v="5"/>
    <s v="Weekend (base)TiempoEnSistemaNoMesaCantProd4IntervalUser Specified"/>
    <n v="17"/>
    <n v="8.3658295616101128"/>
    <n v="2.7990671517052195"/>
    <n v="0.95"/>
    <n v="1.4391475326046577"/>
    <n v="4.5501121552987103"/>
    <n v="13.9857659300144"/>
    <n v="1.71161498974072"/>
    <n v="19.669924731540899"/>
    <n v="3.6470588235294117"/>
    <n v="1.4391475326046577"/>
    <n v="17"/>
    <n v="1"/>
  </r>
  <r>
    <x v="0"/>
    <s v="2025-05-17 23:41:37"/>
    <n v="2"/>
    <x v="28"/>
    <x v="11"/>
    <x v="1"/>
    <n v="16.734530035523999"/>
    <n v="2E+20"/>
    <n v="16.734530035523999"/>
    <n v="16.734530035523999"/>
    <n v="1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3"/>
    <x v="28"/>
    <x v="11"/>
    <x v="1"/>
    <n v="12.312080109501199"/>
    <n v="2E+20"/>
    <n v="6.3850672146907401"/>
    <n v="18.239093004311702"/>
    <n v="2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4"/>
    <x v="28"/>
    <x v="11"/>
    <x v="1"/>
    <n v="9.8955154505148393"/>
    <n v="2E+20"/>
    <n v="9.8955154505148393"/>
    <n v="9.8955154505148393"/>
    <n v="1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5"/>
    <x v="28"/>
    <x v="11"/>
    <x v="1"/>
    <n v="7.6246325674747197"/>
    <n v="2E+20"/>
    <n v="7.6246325674747197"/>
    <n v="7.6246325674747197"/>
    <n v="1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6"/>
    <x v="28"/>
    <x v="11"/>
    <x v="1"/>
    <n v="11.8112418917162"/>
    <n v="2E+20"/>
    <n v="11.8112418917162"/>
    <n v="11.8112418917162"/>
    <n v="1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7"/>
    <x v="28"/>
    <x v="11"/>
    <x v="1"/>
    <n v="11.5181116514037"/>
    <n v="2E+20"/>
    <n v="9.2337924433652496"/>
    <n v="13.8024308594422"/>
    <n v="2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8"/>
    <x v="28"/>
    <x v="11"/>
    <x v="1"/>
    <n v="16.101643720435401"/>
    <n v="2E+20"/>
    <n v="16.101643720435401"/>
    <n v="16.101643720435401"/>
    <n v="1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11"/>
    <x v="28"/>
    <x v="11"/>
    <x v="1"/>
    <n v="8.6003725448319397"/>
    <n v="2E+20"/>
    <n v="8.6003725448319397"/>
    <n v="8.6003725448319397"/>
    <n v="1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12"/>
    <x v="28"/>
    <x v="11"/>
    <x v="1"/>
    <n v="5.3402738354516304"/>
    <n v="2E+20"/>
    <n v="5.3402738354516304"/>
    <n v="5.3402738354516304"/>
    <n v="1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14"/>
    <x v="28"/>
    <x v="11"/>
    <x v="1"/>
    <n v="10.1991182062606"/>
    <n v="2E+20"/>
    <n v="10.1991182062606"/>
    <n v="10.1991182062606"/>
    <n v="1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15"/>
    <x v="28"/>
    <x v="11"/>
    <x v="1"/>
    <n v="13.644962528279599"/>
    <n v="2E+20"/>
    <n v="8.4495757264149596"/>
    <n v="18.840349330144299"/>
    <n v="2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16"/>
    <x v="28"/>
    <x v="11"/>
    <x v="1"/>
    <n v="4.3986978975121502"/>
    <n v="2E+20"/>
    <n v="4.1412426090453804"/>
    <n v="4.65615318597892"/>
    <n v="2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17"/>
    <x v="28"/>
    <x v="11"/>
    <x v="1"/>
    <n v="9.2707282941471103"/>
    <n v="2E+20"/>
    <n v="3.7027506622532398"/>
    <n v="16.804081892617202"/>
    <n v="5"/>
    <s v="Weekend (base)TiempoEnSistemaNoMesaCantProd5IntervalUser Specified"/>
    <n v="17"/>
    <n v="10.573223748696392"/>
    <n v="3.6945954807904307"/>
    <n v="0.95"/>
    <n v="2.2326217044135195"/>
    <n v="4.3986978975121502"/>
    <n v="16.734530035523999"/>
    <n v="3.7027506622532398"/>
    <n v="18.840349330144299"/>
    <n v="1.6153846153846154"/>
    <n v="2.2326217044135195"/>
    <n v="13"/>
    <n v="0"/>
  </r>
  <r>
    <x v="0"/>
    <s v="2025-05-17 23:41:37"/>
    <n v="1"/>
    <x v="29"/>
    <x v="11"/>
    <x v="1"/>
    <n v="5.5791751292079299"/>
    <n v="2E+20"/>
    <n v="5.5791751292079299"/>
    <n v="5.5791751292079299"/>
    <n v="1"/>
    <s v="Weekend (base)TiempoEnSistemaNoMesaCantProd7IntervalUser Specified"/>
    <n v="17"/>
    <n v="10.24062266596184"/>
    <n v="4.6497370612929947"/>
    <n v="0.95"/>
    <n v="4.3002895519336475"/>
    <n v="5.5791751292079299"/>
    <n v="18.191254840358098"/>
    <n v="5.5791751292079299"/>
    <n v="18.191254840358098"/>
    <n v="1"/>
    <n v="4.3002895519336475"/>
    <n v="7"/>
    <n v="0"/>
  </r>
  <r>
    <x v="0"/>
    <s v="2025-05-17 23:41:37"/>
    <n v="3"/>
    <x v="29"/>
    <x v="11"/>
    <x v="1"/>
    <n v="5.7657199123307796"/>
    <n v="2E+20"/>
    <n v="5.7657199123307796"/>
    <n v="5.7657199123307796"/>
    <n v="1"/>
    <s v="Weekend (base)TiempoEnSistemaNoMesaCantProd7IntervalUser Specified"/>
    <n v="17"/>
    <n v="10.24062266596184"/>
    <n v="4.6497370612929947"/>
    <n v="0.95"/>
    <n v="4.3002895519336475"/>
    <n v="5.5791751292079299"/>
    <n v="18.191254840358098"/>
    <n v="5.5791751292079299"/>
    <n v="18.191254840358098"/>
    <n v="1"/>
    <n v="4.3002895519336475"/>
    <n v="7"/>
    <n v="0"/>
  </r>
  <r>
    <x v="0"/>
    <s v="2025-05-17 23:41:37"/>
    <n v="5"/>
    <x v="29"/>
    <x v="11"/>
    <x v="1"/>
    <n v="12.7799241799518"/>
    <n v="2E+20"/>
    <n v="12.7799241799518"/>
    <n v="12.7799241799518"/>
    <n v="1"/>
    <s v="Weekend (base)TiempoEnSistemaNoMesaCantProd7IntervalUser Specified"/>
    <n v="17"/>
    <n v="10.24062266596184"/>
    <n v="4.6497370612929947"/>
    <n v="0.95"/>
    <n v="4.3002895519336475"/>
    <n v="5.5791751292079299"/>
    <n v="18.191254840358098"/>
    <n v="5.5791751292079299"/>
    <n v="18.191254840358098"/>
    <n v="1"/>
    <n v="4.3002895519336475"/>
    <n v="7"/>
    <n v="0"/>
  </r>
  <r>
    <x v="0"/>
    <s v="2025-05-17 23:41:37"/>
    <n v="7"/>
    <x v="29"/>
    <x v="11"/>
    <x v="1"/>
    <n v="7.61972775014695"/>
    <n v="2E+20"/>
    <n v="7.61972775014695"/>
    <n v="7.61972775014695"/>
    <n v="1"/>
    <s v="Weekend (base)TiempoEnSistemaNoMesaCantProd7IntervalUser Specified"/>
    <n v="17"/>
    <n v="10.24062266596184"/>
    <n v="4.6497370612929947"/>
    <n v="0.95"/>
    <n v="4.3002895519336475"/>
    <n v="5.5791751292079299"/>
    <n v="18.191254840358098"/>
    <n v="5.5791751292079299"/>
    <n v="18.191254840358098"/>
    <n v="1"/>
    <n v="4.3002895519336475"/>
    <n v="7"/>
    <n v="0"/>
  </r>
  <r>
    <x v="0"/>
    <s v="2025-05-17 23:41:37"/>
    <n v="8"/>
    <x v="29"/>
    <x v="11"/>
    <x v="1"/>
    <n v="18.191254840358098"/>
    <n v="2E+20"/>
    <n v="18.191254840358098"/>
    <n v="18.191254840358098"/>
    <n v="1"/>
    <s v="Weekend (base)TiempoEnSistemaNoMesaCantProd7IntervalUser Specified"/>
    <n v="17"/>
    <n v="10.24062266596184"/>
    <n v="4.6497370612929947"/>
    <n v="0.95"/>
    <n v="4.3002895519336475"/>
    <n v="5.5791751292079299"/>
    <n v="18.191254840358098"/>
    <n v="5.5791751292079299"/>
    <n v="18.191254840358098"/>
    <n v="1"/>
    <n v="4.3002895519336475"/>
    <n v="7"/>
    <n v="0"/>
  </r>
  <r>
    <x v="0"/>
    <s v="2025-05-17 23:41:37"/>
    <n v="11"/>
    <x v="29"/>
    <x v="11"/>
    <x v="1"/>
    <n v="8.5684437506375293"/>
    <n v="2E+20"/>
    <n v="8.5684437506375293"/>
    <n v="8.5684437506375293"/>
    <n v="1"/>
    <s v="Weekend (base)TiempoEnSistemaNoMesaCantProd7IntervalUser Specified"/>
    <n v="17"/>
    <n v="10.24062266596184"/>
    <n v="4.6497370612929947"/>
    <n v="0.95"/>
    <n v="4.3002895519336475"/>
    <n v="5.5791751292079299"/>
    <n v="18.191254840358098"/>
    <n v="5.5791751292079299"/>
    <n v="18.191254840358098"/>
    <n v="1"/>
    <n v="4.3002895519336475"/>
    <n v="7"/>
    <n v="0"/>
  </r>
  <r>
    <x v="0"/>
    <s v="2025-05-17 23:41:37"/>
    <n v="15"/>
    <x v="29"/>
    <x v="11"/>
    <x v="1"/>
    <n v="13.180113099099801"/>
    <n v="2E+20"/>
    <n v="13.180113099099801"/>
    <n v="13.180113099099801"/>
    <n v="1"/>
    <s v="Weekend (base)TiempoEnSistemaNoMesaCantProd7IntervalUser Specified"/>
    <n v="17"/>
    <n v="10.24062266596184"/>
    <n v="4.6497370612929947"/>
    <n v="0.95"/>
    <n v="4.3002895519336475"/>
    <n v="5.5791751292079299"/>
    <n v="18.191254840358098"/>
    <n v="5.5791751292079299"/>
    <n v="18.191254840358098"/>
    <n v="1"/>
    <n v="4.3002895519336475"/>
    <n v="7"/>
    <n v="0"/>
  </r>
  <r>
    <x v="0"/>
    <s v="2025-05-17 23:41:37"/>
    <n v="1"/>
    <x v="30"/>
    <x v="11"/>
    <x v="1"/>
    <n v="8.4545823751403208"/>
    <n v="2E+20"/>
    <n v="0.85916784632652798"/>
    <n v="43.466040921324797"/>
    <n v="125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2"/>
    <x v="30"/>
    <x v="11"/>
    <x v="1"/>
    <n v="8.31402861988715"/>
    <n v="2E+20"/>
    <n v="0.70672821920527396"/>
    <n v="38.737216146511997"/>
    <n v="117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3"/>
    <x v="30"/>
    <x v="11"/>
    <x v="1"/>
    <n v="10.781600802494999"/>
    <n v="2E+20"/>
    <n v="0.59350794441101595"/>
    <n v="40.485627405697102"/>
    <n v="126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4"/>
    <x v="30"/>
    <x v="11"/>
    <x v="1"/>
    <n v="7.7944480602891604"/>
    <n v="2E+20"/>
    <n v="0.69049380728114296"/>
    <n v="39.020925414430302"/>
    <n v="130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5"/>
    <x v="30"/>
    <x v="11"/>
    <x v="1"/>
    <n v="8.2246744712782096"/>
    <n v="2E+20"/>
    <n v="0.49903761733864399"/>
    <n v="44.080644859439801"/>
    <n v="130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6"/>
    <x v="30"/>
    <x v="11"/>
    <x v="1"/>
    <n v="6.3029244422908404"/>
    <n v="2E+20"/>
    <n v="0.70330296436537798"/>
    <n v="41.586768190049099"/>
    <n v="120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7"/>
    <x v="30"/>
    <x v="11"/>
    <x v="1"/>
    <n v="8.0267605025559501"/>
    <n v="2E+20"/>
    <n v="0.56875282116780601"/>
    <n v="46.508024686921303"/>
    <n v="107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8"/>
    <x v="30"/>
    <x v="11"/>
    <x v="1"/>
    <n v="12.3809834783632"/>
    <n v="2E+20"/>
    <n v="0.89432155814576197"/>
    <n v="58.049421412935096"/>
    <n v="119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9"/>
    <x v="30"/>
    <x v="11"/>
    <x v="1"/>
    <n v="7.7326570398544501"/>
    <n v="2E+20"/>
    <n v="0.55434824506934899"/>
    <n v="38.092374132475904"/>
    <n v="120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0"/>
    <x v="30"/>
    <x v="11"/>
    <x v="1"/>
    <n v="9.9469886069776194"/>
    <n v="2E+20"/>
    <n v="0.734060739053504"/>
    <n v="46.040540549425899"/>
    <n v="124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1"/>
    <x v="30"/>
    <x v="11"/>
    <x v="1"/>
    <n v="7.11577959746137"/>
    <n v="2E+20"/>
    <n v="0.66619012039601"/>
    <n v="41.159616258472099"/>
    <n v="115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2"/>
    <x v="30"/>
    <x v="11"/>
    <x v="1"/>
    <n v="9.0583380242114693"/>
    <n v="2E+20"/>
    <n v="0.77053896372007102"/>
    <n v="39.593354907189003"/>
    <n v="122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3"/>
    <x v="30"/>
    <x v="11"/>
    <x v="1"/>
    <n v="7.2013188607330099"/>
    <n v="2E+20"/>
    <n v="0.74707605140898203"/>
    <n v="35.917318907329303"/>
    <n v="111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4"/>
    <x v="30"/>
    <x v="11"/>
    <x v="1"/>
    <n v="7.6264942452867297"/>
    <n v="2E+20"/>
    <n v="0.75514294490321299"/>
    <n v="42.731754474429003"/>
    <n v="108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5"/>
    <x v="30"/>
    <x v="11"/>
    <x v="1"/>
    <n v="8.0302015509659892"/>
    <n v="2E+20"/>
    <n v="0.70710881042238305"/>
    <n v="59.068854696650199"/>
    <n v="118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6"/>
    <x v="30"/>
    <x v="11"/>
    <x v="1"/>
    <n v="6.7782987181634597"/>
    <n v="2E+20"/>
    <n v="0.63326647380412704"/>
    <n v="38.183169586679398"/>
    <n v="110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7"/>
    <x v="30"/>
    <x v="11"/>
    <x v="1"/>
    <n v="10.334965297288001"/>
    <n v="2E+20"/>
    <n v="1.0392723983344601"/>
    <n v="51.655360618147398"/>
    <n v="117"/>
    <s v="Weekend (base)TiempoEnSistemaTodosIntervalUser Specified"/>
    <n v="17"/>
    <n v="8.476767334896584"/>
    <n v="1.5778141287777554"/>
    <n v="0.95"/>
    <n v="0.81123716841017435"/>
    <n v="6.3029244422908404"/>
    <n v="12.3809834783632"/>
    <n v="0.49903761733864399"/>
    <n v="59.068854696650199"/>
    <n v="118.76470588235294"/>
    <n v="0.81123716841017435"/>
    <n v="17"/>
    <n v="1"/>
  </r>
  <r>
    <x v="0"/>
    <s v="2025-05-17 23:41:37"/>
    <n v="1"/>
    <x v="31"/>
    <x v="6"/>
    <x v="1"/>
    <n v="0.35325995084212097"/>
    <n v="2E+20"/>
    <n v="5.1271351512070899E-2"/>
    <n v="2.1860372267269699"/>
    <n v="125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2"/>
    <x v="31"/>
    <x v="6"/>
    <x v="1"/>
    <n v="0.29854501162108499"/>
    <n v="2E+20"/>
    <n v="3.1900428696474102E-3"/>
    <n v="0.95916170816246904"/>
    <n v="117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3"/>
    <x v="31"/>
    <x v="6"/>
    <x v="1"/>
    <n v="0.36260084441518398"/>
    <n v="2E+20"/>
    <n v="2.31255553534595E-2"/>
    <n v="2.17470396677541"/>
    <n v="126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4"/>
    <x v="31"/>
    <x v="6"/>
    <x v="1"/>
    <n v="0.35085379355209201"/>
    <n v="2E+20"/>
    <n v="2.1639011382191601E-2"/>
    <n v="2.1856814350840201"/>
    <n v="130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5"/>
    <x v="31"/>
    <x v="6"/>
    <x v="1"/>
    <n v="0.29272625819624598"/>
    <n v="2E+20"/>
    <n v="1.8577749214244901E-2"/>
    <n v="2.3759277185802401"/>
    <n v="130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6"/>
    <x v="31"/>
    <x v="6"/>
    <x v="1"/>
    <n v="0.31265973898670701"/>
    <n v="2E+20"/>
    <n v="5.7829984261843501E-3"/>
    <n v="1.98570086391808"/>
    <n v="120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7"/>
    <x v="31"/>
    <x v="6"/>
    <x v="1"/>
    <n v="0.37907847273247702"/>
    <n v="2E+20"/>
    <n v="1.07621456128442E-2"/>
    <n v="2.3863487431003101"/>
    <n v="107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8"/>
    <x v="31"/>
    <x v="6"/>
    <x v="1"/>
    <n v="0.336649657428506"/>
    <n v="2E+20"/>
    <n v="2.9749809229116402E-2"/>
    <n v="2.38038027612768"/>
    <n v="119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9"/>
    <x v="31"/>
    <x v="6"/>
    <x v="1"/>
    <n v="0.35056949679787502"/>
    <n v="2E+20"/>
    <n v="3.7276331415767999E-2"/>
    <n v="1.96004961599564"/>
    <n v="120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0"/>
    <x v="31"/>
    <x v="6"/>
    <x v="1"/>
    <n v="0.343783206160657"/>
    <n v="2E+20"/>
    <n v="1.2394548481111701E-2"/>
    <n v="2.3436405583945299"/>
    <n v="124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1"/>
    <x v="31"/>
    <x v="6"/>
    <x v="1"/>
    <n v="0.35458020800623102"/>
    <n v="2E+20"/>
    <n v="9.5335730247398907E-3"/>
    <n v="2.1885767061903598"/>
    <n v="115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2"/>
    <x v="31"/>
    <x v="6"/>
    <x v="1"/>
    <n v="0.32773093873909298"/>
    <n v="2E+20"/>
    <n v="1.2844393367743101E-2"/>
    <n v="0.95637084003988104"/>
    <n v="122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3"/>
    <x v="31"/>
    <x v="6"/>
    <x v="1"/>
    <n v="0.31953120802714702"/>
    <n v="2E+20"/>
    <n v="1.40230702180872E-2"/>
    <n v="1.9296610534535099"/>
    <n v="111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4"/>
    <x v="31"/>
    <x v="6"/>
    <x v="1"/>
    <n v="0.30973860115902901"/>
    <n v="2E+20"/>
    <n v="2.9120982472079501E-2"/>
    <n v="1.59256260753847"/>
    <n v="108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5"/>
    <x v="31"/>
    <x v="6"/>
    <x v="1"/>
    <n v="0.30800358600419397"/>
    <n v="2E+20"/>
    <n v="2.6253382237996399E-2"/>
    <n v="1.8455015333939599"/>
    <n v="118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6"/>
    <x v="31"/>
    <x v="6"/>
    <x v="1"/>
    <n v="0.282977199494648"/>
    <n v="2E+20"/>
    <n v="1.11786954876436E-2"/>
    <n v="0.76107873414667904"/>
    <n v="110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7"/>
    <x v="31"/>
    <x v="6"/>
    <x v="1"/>
    <n v="0.28333620037261298"/>
    <n v="2E+20"/>
    <n v="1.25171935620614E-2"/>
    <n v="0.79814313127462799"/>
    <n v="117"/>
    <s v="Weekend (base)TiempoPagoExpressionUser Specified"/>
    <n v="17"/>
    <n v="0.32744849250211205"/>
    <n v="2.9235495715303723E-2"/>
    <n v="0.95"/>
    <n v="1.5031504870299871E-2"/>
    <n v="0.282977199494648"/>
    <n v="0.37907847273247702"/>
    <n v="3.1900428696474102E-3"/>
    <n v="2.3863487431003101"/>
    <n v="118.76470588235294"/>
    <n v="1.5031504870299871E-2"/>
    <n v="17"/>
    <n v="1"/>
  </r>
  <r>
    <x v="0"/>
    <s v="2025-05-17 23:41:37"/>
    <n v="1"/>
    <x v="32"/>
    <x v="6"/>
    <x v="1"/>
    <n v="0.35222640757045898"/>
    <n v="2E+20"/>
    <n v="3.6332865054561098E-2"/>
    <n v="1.1254827335592399"/>
    <n v="125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2"/>
    <x v="32"/>
    <x v="6"/>
    <x v="1"/>
    <n v="0.30366037237413201"/>
    <n v="2E+20"/>
    <n v="3.2691388069679299E-2"/>
    <n v="1.30125691063139"/>
    <n v="117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3"/>
    <x v="32"/>
    <x v="6"/>
    <x v="1"/>
    <n v="0.32830712881975399"/>
    <n v="2E+20"/>
    <n v="5.3475730445683198E-2"/>
    <n v="1.3578592622225301"/>
    <n v="126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4"/>
    <x v="32"/>
    <x v="6"/>
    <x v="1"/>
    <n v="0.31617842673062901"/>
    <n v="2E+20"/>
    <n v="3.4985691403335302E-2"/>
    <n v="0.97320538721399397"/>
    <n v="130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5"/>
    <x v="32"/>
    <x v="6"/>
    <x v="1"/>
    <n v="0.29473537777535802"/>
    <n v="2E+20"/>
    <n v="2.7295964517620099E-2"/>
    <n v="1.0232158211595399"/>
    <n v="130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6"/>
    <x v="32"/>
    <x v="6"/>
    <x v="1"/>
    <n v="0.32415934453930201"/>
    <n v="2E+20"/>
    <n v="3.3565205325928098E-2"/>
    <n v="1.2035509078425"/>
    <n v="120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7"/>
    <x v="32"/>
    <x v="6"/>
    <x v="1"/>
    <n v="0.33983773506926501"/>
    <n v="2E+20"/>
    <n v="2.9708481357886299E-2"/>
    <n v="0.83105375343288301"/>
    <n v="107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8"/>
    <x v="32"/>
    <x v="6"/>
    <x v="1"/>
    <n v="0.30837584325929501"/>
    <n v="2E+20"/>
    <n v="3.15929628477747E-2"/>
    <n v="1.1916587921259401"/>
    <n v="119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9"/>
    <x v="32"/>
    <x v="6"/>
    <x v="1"/>
    <n v="0.31879478522672899"/>
    <n v="2E+20"/>
    <n v="3.7208010601062803E-2"/>
    <n v="1.0494109444083199"/>
    <n v="120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0"/>
    <x v="32"/>
    <x v="6"/>
    <x v="1"/>
    <n v="0.34769510631390699"/>
    <n v="2E+20"/>
    <n v="4.4039780477021402E-2"/>
    <n v="1.2124289806024799"/>
    <n v="124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1"/>
    <x v="32"/>
    <x v="6"/>
    <x v="1"/>
    <n v="0.28677205977255599"/>
    <n v="2E+20"/>
    <n v="3.6342852181689998E-2"/>
    <n v="0.84178935787227305"/>
    <n v="115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2"/>
    <x v="32"/>
    <x v="6"/>
    <x v="1"/>
    <n v="0.30626991127616399"/>
    <n v="2E+20"/>
    <n v="3.10299731586667E-2"/>
    <n v="1.1991209544629"/>
    <n v="122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3"/>
    <x v="32"/>
    <x v="6"/>
    <x v="1"/>
    <n v="0.30879826037416702"/>
    <n v="2E+20"/>
    <n v="2.88072724200958E-2"/>
    <n v="1.2429000873761"/>
    <n v="111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4"/>
    <x v="32"/>
    <x v="6"/>
    <x v="1"/>
    <n v="0.28752217448673101"/>
    <n v="2E+20"/>
    <n v="3.3918669767985E-2"/>
    <n v="0.87043292760920099"/>
    <n v="108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5"/>
    <x v="32"/>
    <x v="6"/>
    <x v="1"/>
    <n v="0.302695568713024"/>
    <n v="2E+20"/>
    <n v="3.3346523162805397E-2"/>
    <n v="0.80052104397313395"/>
    <n v="118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6"/>
    <x v="32"/>
    <x v="6"/>
    <x v="1"/>
    <n v="0.302144972709324"/>
    <n v="2E+20"/>
    <n v="5.1668077727015302E-2"/>
    <n v="0.87582311737162399"/>
    <n v="110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7"/>
    <x v="32"/>
    <x v="6"/>
    <x v="1"/>
    <n v="0.28620902532745701"/>
    <n v="2E+20"/>
    <n v="3.1975835765393902E-2"/>
    <n v="1.0744399206973601"/>
    <n v="117"/>
    <s v="Weekend (base)TiempoPedidoExpressionUser Specified"/>
    <n v="17"/>
    <n v="0.31261073531401484"/>
    <n v="2.0381702739778445E-2"/>
    <n v="0.95"/>
    <n v="1.047930457487032E-2"/>
    <n v="0.28620902532745701"/>
    <n v="0.35222640757045898"/>
    <n v="2.7295964517620099E-2"/>
    <n v="1.3578592622225301"/>
    <n v="118.76470588235294"/>
    <n v="1.047930457487032E-2"/>
    <n v="17"/>
    <n v="1"/>
  </r>
  <r>
    <x v="0"/>
    <s v="2025-05-17 23:41:37"/>
    <n v="1"/>
    <x v="33"/>
    <x v="6"/>
    <x v="1"/>
    <n v="17.577161377541501"/>
    <n v="2E+20"/>
    <n v="0"/>
    <n v="21.095926501019701"/>
    <n v="125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2"/>
    <x v="33"/>
    <x v="6"/>
    <x v="1"/>
    <n v="16.022045199779299"/>
    <n v="2E+20"/>
    <n v="0"/>
    <n v="22.445090283073299"/>
    <n v="117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3"/>
    <x v="33"/>
    <x v="6"/>
    <x v="1"/>
    <n v="17.9577780479955"/>
    <n v="2E+20"/>
    <n v="0"/>
    <n v="29.243643990731801"/>
    <n v="126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4"/>
    <x v="33"/>
    <x v="6"/>
    <x v="1"/>
    <n v="17.221721467046699"/>
    <n v="2E+20"/>
    <n v="0"/>
    <n v="20.551408669903498"/>
    <n v="130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5"/>
    <x v="33"/>
    <x v="6"/>
    <x v="1"/>
    <n v="15.6486797599871"/>
    <n v="2E+20"/>
    <n v="0"/>
    <n v="22.586752082400402"/>
    <n v="130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6"/>
    <x v="33"/>
    <x v="6"/>
    <x v="1"/>
    <n v="15.9134365743051"/>
    <n v="2E+20"/>
    <n v="0"/>
    <n v="20.186854709545599"/>
    <n v="120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7"/>
    <x v="33"/>
    <x v="6"/>
    <x v="1"/>
    <n v="20.800216259302399"/>
    <n v="2E+20"/>
    <n v="0"/>
    <n v="36.882621210074099"/>
    <n v="107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8"/>
    <x v="33"/>
    <x v="6"/>
    <x v="1"/>
    <n v="19.321040136380699"/>
    <n v="2E+20"/>
    <n v="0"/>
    <n v="28.9562676747477"/>
    <n v="119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9"/>
    <x v="33"/>
    <x v="6"/>
    <x v="1"/>
    <n v="16.1969280969648"/>
    <n v="2E+20"/>
    <n v="0"/>
    <n v="21.716931005201602"/>
    <n v="120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0"/>
    <x v="33"/>
    <x v="6"/>
    <x v="1"/>
    <n v="21.0676136422863"/>
    <n v="2E+20"/>
    <n v="0"/>
    <n v="24.592641542026499"/>
    <n v="124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1"/>
    <x v="33"/>
    <x v="6"/>
    <x v="1"/>
    <n v="15.8138987366622"/>
    <n v="2E+20"/>
    <n v="0"/>
    <n v="21.518685316955199"/>
    <n v="115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2"/>
    <x v="33"/>
    <x v="6"/>
    <x v="1"/>
    <n v="15.5259897349213"/>
    <n v="2E+20"/>
    <n v="0"/>
    <n v="25.755153014234502"/>
    <n v="122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3"/>
    <x v="33"/>
    <x v="6"/>
    <x v="1"/>
    <n v="15.784431545655501"/>
    <n v="2E+20"/>
    <n v="0"/>
    <n v="20.4187273415784"/>
    <n v="111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4"/>
    <x v="33"/>
    <x v="6"/>
    <x v="1"/>
    <n v="14.6470373690884"/>
    <n v="2E+20"/>
    <n v="0"/>
    <n v="20.3110803774223"/>
    <n v="108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5"/>
    <x v="33"/>
    <x v="6"/>
    <x v="1"/>
    <n v="22.917358741694599"/>
    <n v="2E+20"/>
    <n v="0"/>
    <n v="44.433668276207797"/>
    <n v="118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6"/>
    <x v="33"/>
    <x v="6"/>
    <x v="1"/>
    <n v="14.2944813157662"/>
    <n v="2E+20"/>
    <n v="12.8247387807306"/>
    <n v="16.1257050657176"/>
    <n v="110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7"/>
    <x v="33"/>
    <x v="6"/>
    <x v="1"/>
    <n v="13.482385434320999"/>
    <n v="2E+20"/>
    <n v="0"/>
    <n v="18.1121826779044"/>
    <n v="117"/>
    <s v="Weekend (base)TiempoPromEnMesaExpressionUser Specified"/>
    <n v="17"/>
    <n v="17.070129614099912"/>
    <n v="2.5920614894700362"/>
    <n v="0.95"/>
    <n v="1.3327150421017175"/>
    <n v="13.482385434320999"/>
    <n v="22.917358741694599"/>
    <n v="0"/>
    <n v="44.433668276207797"/>
    <n v="118.76470588235294"/>
    <n v="1.3327150421017175"/>
    <n v="17"/>
    <n v="1"/>
  </r>
  <r>
    <x v="0"/>
    <s v="2025-05-17 23:41:37"/>
    <n v="1"/>
    <x v="34"/>
    <x v="6"/>
    <x v="1"/>
    <n v="11.347486563673501"/>
    <n v="2E+20"/>
    <n v="11.347486563673501"/>
    <n v="11.347486563673501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2"/>
    <x v="34"/>
    <x v="6"/>
    <x v="1"/>
    <n v="8.8444668056446805"/>
    <n v="2E+20"/>
    <n v="8.8444668056446805"/>
    <n v="8.8444668056446805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3"/>
    <x v="34"/>
    <x v="6"/>
    <x v="1"/>
    <n v="15.7564955839941"/>
    <n v="2E+20"/>
    <n v="15.7564955839941"/>
    <n v="15.7564955839941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4"/>
    <x v="34"/>
    <x v="6"/>
    <x v="1"/>
    <n v="6.3960326171165498"/>
    <n v="2E+20"/>
    <n v="6.3960326171165498"/>
    <n v="6.3960326171165498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5"/>
    <x v="34"/>
    <x v="6"/>
    <x v="1"/>
    <n v="6.2613277570755699"/>
    <n v="2E+20"/>
    <n v="6.2613277570755699"/>
    <n v="6.2613277570755699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6"/>
    <x v="34"/>
    <x v="6"/>
    <x v="1"/>
    <n v="7.6018177653873398"/>
    <n v="2E+20"/>
    <n v="7.6018177653873398"/>
    <n v="7.6018177653873398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7"/>
    <x v="34"/>
    <x v="6"/>
    <x v="1"/>
    <n v="6.7170456858193699"/>
    <n v="2E+20"/>
    <n v="6.7170456858193699"/>
    <n v="6.7170456858193699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8"/>
    <x v="34"/>
    <x v="6"/>
    <x v="1"/>
    <n v="8.0816507246327394"/>
    <n v="2E+20"/>
    <n v="8.0816507246327394"/>
    <n v="8.0816507246327394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9"/>
    <x v="34"/>
    <x v="6"/>
    <x v="1"/>
    <n v="12.450143246343"/>
    <n v="2E+20"/>
    <n v="12.450143246343"/>
    <n v="12.450143246343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0"/>
    <x v="34"/>
    <x v="6"/>
    <x v="1"/>
    <n v="7.9361583217308604"/>
    <n v="2E+20"/>
    <n v="7.9361583217308604"/>
    <n v="7.9361583217308604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1"/>
    <x v="34"/>
    <x v="6"/>
    <x v="1"/>
    <n v="6.6766834859913802"/>
    <n v="2E+20"/>
    <n v="6.6766834859913802"/>
    <n v="6.6766834859913802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2"/>
    <x v="34"/>
    <x v="6"/>
    <x v="1"/>
    <n v="12.230665555047599"/>
    <n v="2E+20"/>
    <n v="12.230665555047599"/>
    <n v="12.230665555047599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3"/>
    <x v="34"/>
    <x v="6"/>
    <x v="1"/>
    <n v="4.1973972240350799"/>
    <n v="2E+20"/>
    <n v="4.1973972240350799"/>
    <n v="4.1973972240350799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4"/>
    <x v="34"/>
    <x v="6"/>
    <x v="1"/>
    <n v="7.17820148517914"/>
    <n v="2E+20"/>
    <n v="7.17820148517914"/>
    <n v="7.17820148517914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5"/>
    <x v="34"/>
    <x v="6"/>
    <x v="1"/>
    <n v="10.1974679965444"/>
    <n v="2E+20"/>
    <n v="10.1974679965444"/>
    <n v="10.1974679965444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6"/>
    <x v="34"/>
    <x v="6"/>
    <x v="1"/>
    <n v="8.5814418185822703"/>
    <n v="2E+20"/>
    <n v="8.5814418185822703"/>
    <n v="8.5814418185822703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7"/>
    <x v="34"/>
    <x v="6"/>
    <x v="1"/>
    <n v="7.7993546841392796"/>
    <n v="2E+20"/>
    <n v="7.7993546841392796"/>
    <n v="7.7993546841392796"/>
    <n v="1"/>
    <s v="Weekend (base)TiempoSistemaTodosH1ExpressionUser Specified"/>
    <n v="17"/>
    <n v="8.7208139600551107"/>
    <n v="2.855433911459559"/>
    <n v="0.95"/>
    <n v="1.4681286462488794"/>
    <n v="4.1973972240350799"/>
    <n v="15.7564955839941"/>
    <n v="4.1973972240350799"/>
    <n v="15.7564955839941"/>
    <n v="1"/>
    <n v="1.4681286462488794"/>
    <n v="17"/>
    <n v="1"/>
  </r>
  <r>
    <x v="0"/>
    <s v="2025-05-17 23:41:37"/>
    <n v="1"/>
    <x v="35"/>
    <x v="6"/>
    <x v="1"/>
    <n v="9.3230282350180094"/>
    <n v="2E+20"/>
    <n v="9.3230282350180094"/>
    <n v="9.3230282350180094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2"/>
    <x v="35"/>
    <x v="6"/>
    <x v="1"/>
    <n v="8.0073470024180402"/>
    <n v="2E+20"/>
    <n v="8.0073470024180402"/>
    <n v="8.0073470024180402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3"/>
    <x v="35"/>
    <x v="6"/>
    <x v="1"/>
    <n v="12.798658986762799"/>
    <n v="2E+20"/>
    <n v="12.798658986762799"/>
    <n v="12.798658986762799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4"/>
    <x v="35"/>
    <x v="6"/>
    <x v="1"/>
    <n v="8.6167266526855197"/>
    <n v="2E+20"/>
    <n v="8.6167266526855197"/>
    <n v="8.6167266526855197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5"/>
    <x v="35"/>
    <x v="6"/>
    <x v="1"/>
    <n v="6.5396432951408796"/>
    <n v="2E+20"/>
    <n v="6.5396432951408796"/>
    <n v="6.5396432951408796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6"/>
    <x v="35"/>
    <x v="6"/>
    <x v="1"/>
    <n v="6.4127567352937103"/>
    <n v="2E+20"/>
    <n v="6.4127567352937103"/>
    <n v="6.4127567352937103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7"/>
    <x v="35"/>
    <x v="6"/>
    <x v="1"/>
    <n v="8.0081069854668492"/>
    <n v="2E+20"/>
    <n v="8.0081069854668492"/>
    <n v="8.0081069854668492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8"/>
    <x v="35"/>
    <x v="6"/>
    <x v="1"/>
    <n v="12.6568126410413"/>
    <n v="2E+20"/>
    <n v="12.6568126410413"/>
    <n v="12.6568126410413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9"/>
    <x v="35"/>
    <x v="6"/>
    <x v="1"/>
    <n v="8.6443350672711006"/>
    <n v="2E+20"/>
    <n v="8.6443350672711006"/>
    <n v="8.6443350672711006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0"/>
    <x v="35"/>
    <x v="6"/>
    <x v="1"/>
    <n v="9.7855118650011104"/>
    <n v="2E+20"/>
    <n v="9.7855118650011104"/>
    <n v="9.7855118650011104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1"/>
    <x v="35"/>
    <x v="6"/>
    <x v="1"/>
    <n v="6.3741941897433199"/>
    <n v="2E+20"/>
    <n v="6.3741941897433199"/>
    <n v="6.3741941897433199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2"/>
    <x v="35"/>
    <x v="6"/>
    <x v="1"/>
    <n v="10.254203204204201"/>
    <n v="2E+20"/>
    <n v="10.254203204204201"/>
    <n v="10.254203204204201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3"/>
    <x v="35"/>
    <x v="6"/>
    <x v="1"/>
    <n v="6.8651122779543901"/>
    <n v="2E+20"/>
    <n v="6.8651122779543901"/>
    <n v="6.8651122779543901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4"/>
    <x v="35"/>
    <x v="6"/>
    <x v="1"/>
    <n v="7.3935629538215402"/>
    <n v="2E+20"/>
    <n v="7.3935629538215402"/>
    <n v="7.3935629538215402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5"/>
    <x v="35"/>
    <x v="6"/>
    <x v="1"/>
    <n v="9.2829580893347305"/>
    <n v="2E+20"/>
    <n v="9.2829580893347305"/>
    <n v="9.2829580893347305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6"/>
    <x v="35"/>
    <x v="6"/>
    <x v="1"/>
    <n v="7.5790602062844297"/>
    <n v="2E+20"/>
    <n v="7.5790602062844297"/>
    <n v="7.5790602062844297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7"/>
    <x v="35"/>
    <x v="6"/>
    <x v="1"/>
    <n v="7.7121937762047201"/>
    <n v="2E+20"/>
    <n v="7.7121937762047201"/>
    <n v="7.7121937762047201"/>
    <n v="1"/>
    <s v="Weekend (base)TiempoSistemaTodosH2ExpressionUser Specified"/>
    <n v="17"/>
    <n v="8.6031889508027444"/>
    <n v="1.9397213036513103"/>
    <n v="0.95"/>
    <n v="0.99731266768281568"/>
    <n v="6.3741941897433199"/>
    <n v="12.798658986762799"/>
    <n v="6.3741941897433199"/>
    <n v="12.798658986762799"/>
    <n v="1"/>
    <n v="0.99731266768281568"/>
    <n v="17"/>
    <n v="1"/>
  </r>
  <r>
    <x v="0"/>
    <s v="2025-05-17 23:41:37"/>
    <n v="1"/>
    <x v="36"/>
    <x v="6"/>
    <x v="1"/>
    <n v="8.4545823751403208"/>
    <n v="2E+20"/>
    <n v="8.4545823751403208"/>
    <n v="8.4545823751403208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2"/>
    <x v="36"/>
    <x v="6"/>
    <x v="1"/>
    <n v="8.31402861988715"/>
    <n v="2E+20"/>
    <n v="8.31402861988715"/>
    <n v="8.31402861988715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3"/>
    <x v="36"/>
    <x v="6"/>
    <x v="1"/>
    <n v="10.781600802494999"/>
    <n v="2E+20"/>
    <n v="10.781600802494999"/>
    <n v="10.781600802494999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4"/>
    <x v="36"/>
    <x v="6"/>
    <x v="1"/>
    <n v="7.7944480602891604"/>
    <n v="2E+20"/>
    <n v="7.7944480602891604"/>
    <n v="7.7944480602891604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5"/>
    <x v="36"/>
    <x v="6"/>
    <x v="1"/>
    <n v="8.2246744712782096"/>
    <n v="2E+20"/>
    <n v="8.2246744712782096"/>
    <n v="8.2246744712782096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6"/>
    <x v="36"/>
    <x v="6"/>
    <x v="1"/>
    <n v="6.3029244422908404"/>
    <n v="2E+20"/>
    <n v="6.3029244422908404"/>
    <n v="6.3029244422908404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7"/>
    <x v="36"/>
    <x v="6"/>
    <x v="1"/>
    <n v="8.0267605025559501"/>
    <n v="2E+20"/>
    <n v="8.0267605025559501"/>
    <n v="8.0267605025559501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8"/>
    <x v="36"/>
    <x v="6"/>
    <x v="1"/>
    <n v="12.3809834783632"/>
    <n v="2E+20"/>
    <n v="12.3809834783632"/>
    <n v="12.3809834783632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9"/>
    <x v="36"/>
    <x v="6"/>
    <x v="1"/>
    <n v="7.7326570398544501"/>
    <n v="2E+20"/>
    <n v="7.7326570398544501"/>
    <n v="7.7326570398544501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0"/>
    <x v="36"/>
    <x v="6"/>
    <x v="1"/>
    <n v="9.9469886069776194"/>
    <n v="2E+20"/>
    <n v="9.9469886069776194"/>
    <n v="9.9469886069776194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1"/>
    <x v="36"/>
    <x v="6"/>
    <x v="1"/>
    <n v="7.11577959746137"/>
    <n v="2E+20"/>
    <n v="7.11577959746137"/>
    <n v="7.11577959746137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2"/>
    <x v="36"/>
    <x v="6"/>
    <x v="1"/>
    <n v="9.0583380242114693"/>
    <n v="2E+20"/>
    <n v="9.0583380242114693"/>
    <n v="9.0583380242114693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3"/>
    <x v="36"/>
    <x v="6"/>
    <x v="1"/>
    <n v="7.2013188607330099"/>
    <n v="2E+20"/>
    <n v="7.2013188607330099"/>
    <n v="7.2013188607330099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4"/>
    <x v="36"/>
    <x v="6"/>
    <x v="1"/>
    <n v="7.6264942452867297"/>
    <n v="2E+20"/>
    <n v="7.6264942452867297"/>
    <n v="7.6264942452867297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5"/>
    <x v="36"/>
    <x v="6"/>
    <x v="1"/>
    <n v="8.0302015509659892"/>
    <n v="2E+20"/>
    <n v="8.0302015509659892"/>
    <n v="8.0302015509659892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6"/>
    <x v="36"/>
    <x v="6"/>
    <x v="1"/>
    <n v="6.7782987181634597"/>
    <n v="2E+20"/>
    <n v="6.7782987181634597"/>
    <n v="6.7782987181634597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7"/>
    <x v="36"/>
    <x v="6"/>
    <x v="1"/>
    <n v="10.334965297288001"/>
    <n v="2E+20"/>
    <n v="10.334965297288001"/>
    <n v="10.334965297288001"/>
    <n v="1"/>
    <s v="Weekend (base)TiempoSistemaTodosH3ExpressionUser Specified"/>
    <n v="17"/>
    <n v="8.476767334896584"/>
    <n v="1.5778141287777554"/>
    <n v="0.95"/>
    <n v="0.81123716841017435"/>
    <n v="6.3029244422908404"/>
    <n v="12.3809834783632"/>
    <n v="6.3029244422908404"/>
    <n v="12.3809834783632"/>
    <n v="1"/>
    <n v="0.81123716841017435"/>
    <n v="17"/>
    <n v="1"/>
  </r>
  <r>
    <x v="0"/>
    <s v="2025-05-17 23:41:37"/>
    <n v="1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2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3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4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5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6"/>
    <x v="37"/>
    <x v="6"/>
    <x v="1"/>
    <n v="0"/>
    <n v="2E+20"/>
    <n v="0"/>
    <n v="0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7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8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9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0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1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2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3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4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5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6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7"/>
    <x v="37"/>
    <x v="6"/>
    <x v="1"/>
    <n v="1"/>
    <n v="2E+20"/>
    <n v="1"/>
    <n v="1"/>
    <n v="1"/>
    <s v="Weekend (base)UtilizacionCajeroH1ExpressionUser Specified"/>
    <n v="17"/>
    <n v="0.94117647058823528"/>
    <n v="0.242535625036333"/>
    <n v="0.95"/>
    <n v="0.12470031171889735"/>
    <n v="0"/>
    <n v="1"/>
    <n v="0"/>
    <n v="1"/>
    <n v="1"/>
    <n v="0.12470031171889735"/>
    <n v="17"/>
    <n v="1"/>
  </r>
  <r>
    <x v="0"/>
    <s v="2025-05-17 23:41:37"/>
    <n v="1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2"/>
    <x v="38"/>
    <x v="6"/>
    <x v="1"/>
    <n v="0"/>
    <n v="2E+20"/>
    <n v="0"/>
    <n v="0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3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4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5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6"/>
    <x v="38"/>
    <x v="6"/>
    <x v="1"/>
    <n v="0"/>
    <n v="2E+20"/>
    <n v="0"/>
    <n v="0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7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8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9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0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1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2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3"/>
    <x v="38"/>
    <x v="6"/>
    <x v="1"/>
    <n v="0"/>
    <n v="2E+20"/>
    <n v="0"/>
    <n v="0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4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5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6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7"/>
    <x v="38"/>
    <x v="6"/>
    <x v="1"/>
    <n v="1"/>
    <n v="2E+20"/>
    <n v="1"/>
    <n v="1"/>
    <n v="1"/>
    <s v="Weekend (base)UtilizacionCajeroH2ExpressionUser Specified"/>
    <n v="17"/>
    <n v="0.82352941176470584"/>
    <n v="0.3929526239966879"/>
    <n v="0.95"/>
    <n v="0.20203759631520121"/>
    <n v="0"/>
    <n v="1"/>
    <n v="0"/>
    <n v="1"/>
    <n v="1"/>
    <n v="0.20203759631520121"/>
    <n v="17"/>
    <n v="1"/>
  </r>
  <r>
    <x v="0"/>
    <s v="2025-05-17 23:41:37"/>
    <n v="1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2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3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4"/>
    <x v="39"/>
    <x v="6"/>
    <x v="1"/>
    <n v="0"/>
    <n v="2E+20"/>
    <n v="0"/>
    <n v="0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5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6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7"/>
    <x v="39"/>
    <x v="6"/>
    <x v="1"/>
    <n v="0"/>
    <n v="2E+20"/>
    <n v="0"/>
    <n v="0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8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9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0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1"/>
    <x v="39"/>
    <x v="6"/>
    <x v="1"/>
    <n v="0"/>
    <n v="2E+20"/>
    <n v="0"/>
    <n v="0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2"/>
    <x v="39"/>
    <x v="6"/>
    <x v="1"/>
    <n v="0"/>
    <n v="2E+20"/>
    <n v="0"/>
    <n v="0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3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4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5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6"/>
    <x v="39"/>
    <x v="6"/>
    <x v="1"/>
    <n v="0"/>
    <n v="2E+20"/>
    <n v="0"/>
    <n v="0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7"/>
    <x v="39"/>
    <x v="6"/>
    <x v="1"/>
    <n v="1"/>
    <n v="2E+20"/>
    <n v="1"/>
    <n v="1"/>
    <n v="1"/>
    <s v="Weekend (base)UtilizacionCajeroH3ExpressionUser Specified"/>
    <n v="17"/>
    <n v="0.70588235294117652"/>
    <n v="0.46966821831386213"/>
    <n v="0.95"/>
    <n v="0.24148111527708152"/>
    <n v="0"/>
    <n v="1"/>
    <n v="0"/>
    <n v="1"/>
    <n v="1"/>
    <n v="0.24148111527708152"/>
    <n v="17"/>
    <n v="1"/>
  </r>
  <r>
    <x v="0"/>
    <s v="2025-05-17 23:41:37"/>
    <n v="1"/>
    <x v="40"/>
    <x v="6"/>
    <x v="1"/>
    <n v="0.97077340745767904"/>
    <n v="2E+20"/>
    <n v="0.97077340745767904"/>
    <n v="0.97077340745767904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2"/>
    <x v="40"/>
    <x v="6"/>
    <x v="1"/>
    <n v="0.88366185659627206"/>
    <n v="2E+20"/>
    <n v="0.88366185659627206"/>
    <n v="0.88366185659627206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3"/>
    <x v="40"/>
    <x v="6"/>
    <x v="1"/>
    <n v="1"/>
    <n v="2E+20"/>
    <n v="1"/>
    <n v="1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4"/>
    <x v="40"/>
    <x v="6"/>
    <x v="1"/>
    <n v="0.97947294169838395"/>
    <n v="2E+20"/>
    <n v="0.97947294169838395"/>
    <n v="0.97947294169838395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5"/>
    <x v="40"/>
    <x v="6"/>
    <x v="1"/>
    <n v="0.51184062690283305"/>
    <n v="2E+20"/>
    <n v="0.51184062690283305"/>
    <n v="0.51184062690283305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6"/>
    <x v="40"/>
    <x v="6"/>
    <x v="1"/>
    <n v="0.83999762370757902"/>
    <n v="2E+20"/>
    <n v="0.83999762370757902"/>
    <n v="0.83999762370757902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7"/>
    <x v="40"/>
    <x v="6"/>
    <x v="1"/>
    <n v="0.72412549874768295"/>
    <n v="2E+20"/>
    <n v="0.72412549874768295"/>
    <n v="0.72412549874768295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8"/>
    <x v="40"/>
    <x v="6"/>
    <x v="1"/>
    <n v="0.76334016108663205"/>
    <n v="2E+20"/>
    <n v="0.76334016108663205"/>
    <n v="0.76334016108663205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9"/>
    <x v="40"/>
    <x v="6"/>
    <x v="1"/>
    <n v="0.994931793798839"/>
    <n v="2E+20"/>
    <n v="0.994931793798839"/>
    <n v="0.994931793798839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0"/>
    <x v="40"/>
    <x v="6"/>
    <x v="1"/>
    <n v="0.84784187734205496"/>
    <n v="2E+20"/>
    <n v="0.84784187734205496"/>
    <n v="0.84784187734205496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1"/>
    <x v="40"/>
    <x v="6"/>
    <x v="1"/>
    <n v="0.678702873564072"/>
    <n v="2E+20"/>
    <n v="0.678702873564072"/>
    <n v="0.678702873564072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2"/>
    <x v="40"/>
    <x v="6"/>
    <x v="1"/>
    <n v="1"/>
    <n v="2E+20"/>
    <n v="1"/>
    <n v="1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3"/>
    <x v="40"/>
    <x v="6"/>
    <x v="1"/>
    <n v="0.64198644881952704"/>
    <n v="2E+20"/>
    <n v="0.64198644881952704"/>
    <n v="0.64198644881952704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4"/>
    <x v="40"/>
    <x v="6"/>
    <x v="1"/>
    <n v="0.90131701938268205"/>
    <n v="2E+20"/>
    <n v="0.90131701938268205"/>
    <n v="0.90131701938268205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5"/>
    <x v="40"/>
    <x v="6"/>
    <x v="1"/>
    <n v="0.85592764730396897"/>
    <n v="2E+20"/>
    <n v="0.85592764730396897"/>
    <n v="0.85592764730396897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6"/>
    <x v="40"/>
    <x v="6"/>
    <x v="1"/>
    <n v="0.89678624701043097"/>
    <n v="2E+20"/>
    <n v="0.89678624701043097"/>
    <n v="0.89678624701043097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7"/>
    <x v="40"/>
    <x v="6"/>
    <x v="1"/>
    <n v="0.82430725509599601"/>
    <n v="2E+20"/>
    <n v="0.82430725509599601"/>
    <n v="0.82430725509599601"/>
    <n v="1"/>
    <s v="Weekend (base)UtilizacionCocinaH1ExpressionUser Specified"/>
    <n v="17"/>
    <n v="0.84205960461850793"/>
    <n v="0.13994568745579178"/>
    <n v="0.95"/>
    <n v="7.1953433013555584E-2"/>
    <n v="0.51184062690283305"/>
    <n v="1"/>
    <n v="0.51184062690283305"/>
    <n v="1"/>
    <n v="1"/>
    <n v="7.1953433013555584E-2"/>
    <n v="17"/>
    <n v="1"/>
  </r>
  <r>
    <x v="0"/>
    <s v="2025-05-17 23:41:37"/>
    <n v="1"/>
    <x v="41"/>
    <x v="6"/>
    <x v="1"/>
    <n v="0.85293978788318203"/>
    <n v="2E+20"/>
    <n v="0.85293978788318203"/>
    <n v="0.85293978788318203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2"/>
    <x v="41"/>
    <x v="6"/>
    <x v="1"/>
    <n v="0.68159295243940798"/>
    <n v="2E+20"/>
    <n v="0.68159295243940798"/>
    <n v="0.68159295243940798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3"/>
    <x v="41"/>
    <x v="6"/>
    <x v="1"/>
    <n v="0.96057590888513"/>
    <n v="2E+20"/>
    <n v="0.96057590888513"/>
    <n v="0.96057590888513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4"/>
    <x v="41"/>
    <x v="6"/>
    <x v="1"/>
    <n v="0.98352716210802005"/>
    <n v="2E+20"/>
    <n v="0.98352716210802005"/>
    <n v="0.98352716210802005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5"/>
    <x v="41"/>
    <x v="6"/>
    <x v="1"/>
    <n v="0.67389585758374404"/>
    <n v="2E+20"/>
    <n v="0.67389585758374404"/>
    <n v="0.67389585758374404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6"/>
    <x v="41"/>
    <x v="6"/>
    <x v="1"/>
    <n v="0.79853810938103598"/>
    <n v="2E+20"/>
    <n v="0.79853810938103598"/>
    <n v="0.79853810938103598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7"/>
    <x v="41"/>
    <x v="6"/>
    <x v="1"/>
    <n v="0.81947700361693498"/>
    <n v="2E+20"/>
    <n v="0.81947700361693498"/>
    <n v="0.81947700361693498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8"/>
    <x v="41"/>
    <x v="6"/>
    <x v="1"/>
    <n v="0.88167008054331597"/>
    <n v="2E+20"/>
    <n v="0.88167008054331597"/>
    <n v="0.88167008054331597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9"/>
    <x v="41"/>
    <x v="6"/>
    <x v="1"/>
    <n v="0.89886869307275197"/>
    <n v="2E+20"/>
    <n v="0.89886869307275197"/>
    <n v="0.89886869307275197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0"/>
    <x v="41"/>
    <x v="6"/>
    <x v="1"/>
    <n v="0.86420407665391197"/>
    <n v="2E+20"/>
    <n v="0.86420407665391197"/>
    <n v="0.86420407665391197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1"/>
    <x v="41"/>
    <x v="6"/>
    <x v="1"/>
    <n v="0.69295080047523405"/>
    <n v="2E+20"/>
    <n v="0.69295080047523405"/>
    <n v="0.69295080047523405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2"/>
    <x v="41"/>
    <x v="6"/>
    <x v="1"/>
    <n v="0.97654910299961895"/>
    <n v="2E+20"/>
    <n v="0.97654910299961895"/>
    <n v="0.97654910299961895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3"/>
    <x v="41"/>
    <x v="6"/>
    <x v="1"/>
    <n v="0.71644059627504297"/>
    <n v="2E+20"/>
    <n v="0.71644059627504297"/>
    <n v="0.71644059627504297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4"/>
    <x v="41"/>
    <x v="6"/>
    <x v="1"/>
    <n v="0.82348785335061403"/>
    <n v="2E+20"/>
    <n v="0.82348785335061403"/>
    <n v="0.82348785335061403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5"/>
    <x v="41"/>
    <x v="6"/>
    <x v="1"/>
    <n v="0.84209939804980605"/>
    <n v="2E+20"/>
    <n v="0.84209939804980605"/>
    <n v="0.84209939804980605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6"/>
    <x v="41"/>
    <x v="6"/>
    <x v="1"/>
    <n v="0.772898216728236"/>
    <n v="2E+20"/>
    <n v="0.772898216728236"/>
    <n v="0.772898216728236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7"/>
    <x v="41"/>
    <x v="6"/>
    <x v="1"/>
    <n v="0.81759131761049897"/>
    <n v="2E+20"/>
    <n v="0.81759131761049897"/>
    <n v="0.81759131761049897"/>
    <n v="1"/>
    <s v="Weekend (base)UtilizacionCocinaH2ExpressionUser Specified"/>
    <n v="17"/>
    <n v="0.82690040692096956"/>
    <n v="9.8049148919771928E-2"/>
    <n v="0.95"/>
    <n v="5.041222060568018E-2"/>
    <n v="0.67389585758374404"/>
    <n v="0.98352716210802005"/>
    <n v="0.67389585758374404"/>
    <n v="0.98352716210802005"/>
    <n v="1"/>
    <n v="5.041222060568018E-2"/>
    <n v="17"/>
    <n v="1"/>
  </r>
  <r>
    <x v="0"/>
    <s v="2025-05-17 23:41:37"/>
    <n v="1"/>
    <x v="42"/>
    <x v="6"/>
    <x v="1"/>
    <n v="0.83444472024726102"/>
    <n v="2E+20"/>
    <n v="0.83444472024726102"/>
    <n v="0.83444472024726102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2"/>
    <x v="42"/>
    <x v="6"/>
    <x v="1"/>
    <n v="0.73534383204610498"/>
    <n v="2E+20"/>
    <n v="0.73534383204610498"/>
    <n v="0.73534383204610498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3"/>
    <x v="42"/>
    <x v="6"/>
    <x v="1"/>
    <n v="0.95888680213271504"/>
    <n v="2E+20"/>
    <n v="0.95888680213271504"/>
    <n v="0.95888680213271504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4"/>
    <x v="42"/>
    <x v="6"/>
    <x v="1"/>
    <n v="0.91240023943169402"/>
    <n v="2E+20"/>
    <n v="0.91240023943169402"/>
    <n v="0.91240023943169402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5"/>
    <x v="42"/>
    <x v="6"/>
    <x v="1"/>
    <n v="0.76736570138686699"/>
    <n v="2E+20"/>
    <n v="0.76736570138686699"/>
    <n v="0.76736570138686699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6"/>
    <x v="42"/>
    <x v="6"/>
    <x v="1"/>
    <n v="0.73707365264835401"/>
    <n v="2E+20"/>
    <n v="0.73707365264835401"/>
    <n v="0.73707365264835401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7"/>
    <x v="42"/>
    <x v="6"/>
    <x v="1"/>
    <n v="0.788535692973937"/>
    <n v="2E+20"/>
    <n v="0.788535692973937"/>
    <n v="0.788535692973937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8"/>
    <x v="42"/>
    <x v="6"/>
    <x v="1"/>
    <n v="0.85086953734208004"/>
    <n v="2E+20"/>
    <n v="0.85086953734208004"/>
    <n v="0.85086953734208004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9"/>
    <x v="42"/>
    <x v="6"/>
    <x v="1"/>
    <n v="0.82055692316692297"/>
    <n v="2E+20"/>
    <n v="0.82055692316692297"/>
    <n v="0.82055692316692297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10"/>
    <x v="42"/>
    <x v="6"/>
    <x v="1"/>
    <n v="0.88290459880079397"/>
    <n v="2E+20"/>
    <n v="0.88290459880079397"/>
    <n v="0.88290459880079397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11"/>
    <x v="42"/>
    <x v="6"/>
    <x v="1"/>
    <n v="0.79483347197116505"/>
    <n v="2E+20"/>
    <n v="0.79483347197116505"/>
    <n v="0.79483347197116505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12"/>
    <x v="42"/>
    <x v="6"/>
    <x v="1"/>
    <n v="0.81573225758243195"/>
    <n v="2E+20"/>
    <n v="0.81573225758243195"/>
    <n v="0.81573225758243195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13"/>
    <x v="42"/>
    <x v="6"/>
    <x v="1"/>
    <n v="0.75713038369841801"/>
    <n v="2E+20"/>
    <n v="0.75713038369841801"/>
    <n v="0.75713038369841801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14"/>
    <x v="42"/>
    <x v="6"/>
    <x v="1"/>
    <n v="0.87240837809518301"/>
    <n v="2E+20"/>
    <n v="0.87240837809518301"/>
    <n v="0.87240837809518301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15"/>
    <x v="42"/>
    <x v="6"/>
    <x v="1"/>
    <n v="0.80135619468820696"/>
    <n v="2E+20"/>
    <n v="0.80135619468820696"/>
    <n v="0.80135619468820696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16"/>
    <x v="42"/>
    <x v="6"/>
    <x v="1"/>
    <n v="0.73766612257745801"/>
    <n v="2E+20"/>
    <n v="0.73766612257745801"/>
    <n v="0.73766612257745801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  <r>
    <x v="0"/>
    <s v="2025-05-17 23:41:37"/>
    <n v="17"/>
    <x v="42"/>
    <x v="6"/>
    <x v="1"/>
    <n v="0.87839421174033205"/>
    <n v="2E+20"/>
    <n v="0.87839421174033205"/>
    <n v="0.87839421174033205"/>
    <n v="1"/>
    <s v="Weekend (base)UtilizacionCocinaH3ExpressionUser Specified"/>
    <n v="17"/>
    <n v="0.82034721885470152"/>
    <n v="6.5495768324500853E-2"/>
    <n v="0.95"/>
    <n v="3.3674816741294945E-2"/>
    <n v="0.73534383204610498"/>
    <n v="0.95888680213271504"/>
    <n v="0.73534383204610498"/>
    <n v="0.95888680213271504"/>
    <n v="1"/>
    <n v="3.3674816741294945E-2"/>
    <n v="1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3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46"/>
        <item m="1" x="22"/>
        <item m="1" x="47"/>
        <item m="1" x="23"/>
        <item m="1" x="48"/>
        <item m="1" x="24"/>
        <item m="1" x="49"/>
        <item m="1" x="25"/>
        <item m="1" x="81"/>
        <item m="1" x="36"/>
        <item x="12"/>
        <item m="1" x="80"/>
        <item m="1" x="67"/>
        <item m="1" x="84"/>
        <item m="1" x="69"/>
        <item m="1" x="85"/>
        <item m="1" x="92"/>
        <item m="1" x="61"/>
        <item m="1" x="29"/>
        <item m="1" x="78"/>
        <item m="1" x="68"/>
        <item m="1" x="66"/>
        <item m="1" x="32"/>
        <item m="1" x="76"/>
        <item m="1" x="41"/>
        <item m="1" x="77"/>
        <item m="1" x="42"/>
        <item m="1" x="75"/>
        <item m="1" x="95"/>
        <item m="1" x="35"/>
        <item m="1" x="98"/>
        <item m="1" x="63"/>
        <item m="1" x="30"/>
        <item m="1" x="93"/>
        <item m="1" x="88"/>
        <item m="1" x="64"/>
        <item m="1" x="31"/>
        <item m="1" x="94"/>
        <item m="1" x="89"/>
        <item m="1" x="26"/>
        <item m="1" x="60"/>
        <item m="1" x="44"/>
        <item m="1" x="34"/>
        <item m="1" x="86"/>
        <item m="1" x="56"/>
        <item m="1" x="87"/>
        <item m="1" x="57"/>
        <item m="1" x="43"/>
        <item m="1" x="38"/>
        <item m="1" x="65"/>
        <item m="1" x="40"/>
        <item m="1" x="97"/>
        <item m="1" x="90"/>
        <item m="1" x="39"/>
        <item m="1" x="37"/>
        <item m="1" x="82"/>
        <item m="1" x="91"/>
        <item m="1" x="27"/>
        <item m="1" x="45"/>
        <item m="1" x="58"/>
        <item m="1" x="79"/>
        <item m="1" x="96"/>
        <item m="1" x="28"/>
        <item m="1" x="55"/>
        <item m="1" x="59"/>
        <item m="1" x="83"/>
        <item m="1" x="62"/>
        <item m="1" x="33"/>
        <item m="1" x="50"/>
        <item m="1" x="70"/>
        <item m="1" x="51"/>
        <item m="1" x="71"/>
        <item m="1" x="52"/>
        <item m="1" x="72"/>
        <item m="1" x="53"/>
        <item m="1" x="73"/>
        <item m="1" x="54"/>
        <item m="1" x="74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7">
        <item x="0"/>
        <item x="1"/>
        <item x="5"/>
        <item x="4"/>
        <item x="2"/>
        <item x="3"/>
        <item m="1" x="6"/>
      </items>
    </pivotField>
    <pivotField axis="axisRow" compact="0" outline="0" showAll="0" defaultSubtotal="0">
      <items count="5">
        <item x="0"/>
        <item x="3"/>
        <item x="2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4"/>
      <x v="10"/>
      <x v="1"/>
      <x v="2"/>
    </i>
    <i r="1">
      <x v="79"/>
      <x/>
      <x/>
    </i>
    <i r="1">
      <x v="80"/>
      <x v="1"/>
      <x/>
    </i>
    <i r="1">
      <x v="81"/>
      <x v="4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/>
      <x/>
    </i>
    <i r="1">
      <x v="86"/>
      <x v="1"/>
      <x/>
    </i>
    <i r="1">
      <x v="87"/>
      <x v="4"/>
      <x v="3"/>
    </i>
    <i r="1">
      <x v="88"/>
      <x v="5"/>
      <x v="3"/>
    </i>
    <i r="1">
      <x v="89"/>
      <x/>
      <x v="3"/>
    </i>
    <i r="1">
      <x v="90"/>
      <x v="1"/>
      <x v="3"/>
    </i>
    <i r="1">
      <x v="91"/>
      <x v="3"/>
      <x v="1"/>
    </i>
    <i r="1">
      <x v="92"/>
      <x v="2"/>
      <x v="1"/>
    </i>
    <i r="1">
      <x v="93"/>
      <x v="3"/>
      <x v="1"/>
    </i>
    <i r="1">
      <x v="94"/>
      <x v="2"/>
      <x v="1"/>
    </i>
    <i r="1">
      <x v="95"/>
      <x v="3"/>
      <x v="1"/>
    </i>
    <i r="1">
      <x v="96"/>
      <x v="2"/>
      <x v="1"/>
    </i>
    <i r="1">
      <x v="97"/>
      <x/>
      <x/>
    </i>
    <i r="1">
      <x v="98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1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9">
        <item x="3"/>
        <item x="4"/>
        <item x="5"/>
        <item x="1"/>
        <item x="0"/>
        <item m="1" x="8"/>
        <item m="1" x="7"/>
        <item x="2"/>
        <item x="6"/>
      </items>
    </pivotField>
    <pivotField axis="axisRow" compact="0" outline="0" showAll="0" defaultSubtotal="0">
      <items count="5">
        <item x="0"/>
        <item x="1"/>
        <item x="3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9">
    <i>
      <x v="4"/>
      <x v="124"/>
      <x v="4"/>
      <x/>
    </i>
    <i r="1">
      <x v="125"/>
      <x v="3"/>
      <x v="1"/>
    </i>
    <i r="1">
      <x v="126"/>
      <x v="3"/>
      <x v="1"/>
    </i>
    <i r="1">
      <x v="127"/>
      <x v="4"/>
      <x/>
    </i>
    <i r="1">
      <x v="128"/>
      <x v="3"/>
      <x v="1"/>
    </i>
    <i r="1">
      <x v="129"/>
      <x v="3"/>
      <x v="1"/>
    </i>
    <i r="1">
      <x v="130"/>
      <x v="7"/>
      <x v="3"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  <i r="1">
      <x v="134"/>
      <x v="4"/>
      <x/>
    </i>
    <i r="1">
      <x v="135"/>
      <x v="8"/>
      <x v="3"/>
    </i>
    <i r="1">
      <x v="136"/>
      <x v="8"/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59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2">
        <item m="1" x="53"/>
        <item m="1" x="76"/>
        <item m="1" x="48"/>
        <item m="1" x="128"/>
        <item m="1" x="111"/>
        <item m="1" x="81"/>
        <item m="1" x="137"/>
        <item m="1" x="69"/>
        <item m="1" x="73"/>
        <item m="1" x="140"/>
        <item m="1" x="106"/>
        <item m="1" x="118"/>
        <item m="1" x="123"/>
        <item m="1" x="47"/>
        <item m="1" x="75"/>
        <item m="1" x="65"/>
        <item m="1" x="141"/>
        <item m="1" x="135"/>
        <item m="1" x="63"/>
        <item m="1" x="57"/>
        <item m="1" x="129"/>
        <item m="1" x="49"/>
        <item m="1" x="82"/>
        <item m="1" x="68"/>
        <item m="1" x="93"/>
        <item m="1" x="120"/>
        <item m="1" x="84"/>
        <item m="1" x="54"/>
        <item m="1" x="78"/>
        <item m="1" x="107"/>
        <item m="1" x="97"/>
        <item m="1" x="55"/>
        <item m="1" x="114"/>
        <item m="1" x="46"/>
        <item m="1" x="134"/>
        <item m="1" x="102"/>
        <item m="1" x="122"/>
        <item m="1" x="77"/>
        <item m="1" x="136"/>
        <item m="1" x="105"/>
        <item m="1" x="59"/>
        <item m="1" x="96"/>
        <item m="1" x="110"/>
        <item m="1" x="121"/>
        <item m="1" x="127"/>
        <item m="1" x="45"/>
        <item m="1" x="58"/>
        <item m="1" x="67"/>
        <item m="1" x="60"/>
        <item m="1" x="44"/>
        <item m="1" x="119"/>
        <item m="1" x="131"/>
        <item m="1" x="71"/>
        <item m="1" x="101"/>
        <item m="1" x="62"/>
        <item m="1" x="79"/>
        <item m="1" x="66"/>
        <item m="1" x="87"/>
        <item m="1" x="74"/>
        <item m="1" x="94"/>
        <item m="1" x="80"/>
        <item m="1" x="103"/>
        <item m="1" x="88"/>
        <item m="1" x="108"/>
        <item m="1" x="95"/>
        <item m="1" x="116"/>
        <item m="1" x="109"/>
        <item m="1" x="124"/>
        <item m="1" x="132"/>
        <item m="1" x="112"/>
        <item m="1" x="91"/>
        <item m="1" x="72"/>
        <item m="1" x="85"/>
        <item m="1" x="56"/>
        <item m="1" x="61"/>
        <item m="1" x="70"/>
        <item m="1" x="98"/>
        <item m="1" x="133"/>
        <item m="1" x="126"/>
        <item m="1" x="113"/>
        <item m="1" x="86"/>
        <item m="1" x="99"/>
        <item m="1" x="90"/>
        <item m="1" x="115"/>
        <item m="1" x="100"/>
        <item m="1" x="83"/>
        <item m="1" x="89"/>
        <item m="1" x="52"/>
        <item m="1" x="92"/>
        <item m="1" x="104"/>
        <item m="1" x="117"/>
        <item m="1" x="125"/>
        <item m="1" x="130"/>
        <item m="1" x="139"/>
        <item m="1" x="50"/>
        <item m="1" x="64"/>
        <item m="1" x="138"/>
        <item m="1" x="51"/>
        <item m="1" x="4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howAll="0" defaultSubtotal="0">
      <items count="13">
        <item x="11"/>
        <item x="0"/>
        <item x="1"/>
        <item x="2"/>
        <item x="3"/>
        <item x="4"/>
        <item x="5"/>
        <item x="10"/>
        <item x="7"/>
        <item x="8"/>
        <item x="9"/>
        <item m="1" x="12"/>
        <item x="6"/>
      </items>
    </pivotField>
    <pivotField axis="axisRow" compact="0" outline="0" showAll="0" defaultSubtotal="0">
      <items count="5">
        <item x="0"/>
        <item x="3"/>
        <item x="1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57">
    <i>
      <x v="4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2"/>
      <x v="2"/>
    </i>
    <i r="1">
      <x v="101"/>
      <x v="12"/>
      <x v="2"/>
    </i>
    <i r="1">
      <x v="102"/>
      <x v="12"/>
      <x v="2"/>
    </i>
    <i r="1">
      <x v="103"/>
      <x v="12"/>
      <x v="2"/>
    </i>
    <i r="1">
      <x v="104"/>
      <x v="8"/>
      <x v="3"/>
    </i>
    <i r="2">
      <x v="9"/>
      <x v="3"/>
    </i>
    <i r="2">
      <x v="10"/>
      <x v="3"/>
    </i>
    <i r="1">
      <x v="105"/>
      <x v="7"/>
      <x v="1"/>
    </i>
    <i r="1">
      <x v="106"/>
      <x v="7"/>
      <x v="1"/>
    </i>
    <i r="1">
      <x v="107"/>
      <x v="12"/>
      <x v="2"/>
    </i>
    <i r="1">
      <x v="108"/>
      <x v="12"/>
      <x v="2"/>
    </i>
    <i r="1">
      <x v="109"/>
      <x v="12"/>
      <x v="2"/>
    </i>
    <i r="1">
      <x v="110"/>
      <x v="12"/>
      <x v="2"/>
    </i>
    <i r="1">
      <x v="111"/>
      <x v="12"/>
      <x v="2"/>
    </i>
    <i r="1">
      <x v="112"/>
      <x v="12"/>
      <x v="2"/>
    </i>
    <i r="1">
      <x v="113"/>
      <x v="7"/>
      <x v="1"/>
    </i>
    <i r="1">
      <x v="114"/>
      <x v="8"/>
      <x v="3"/>
    </i>
    <i r="2">
      <x v="9"/>
      <x v="3"/>
    </i>
    <i r="2">
      <x v="10"/>
      <x v="3"/>
    </i>
    <i r="1">
      <x v="115"/>
      <x v="7"/>
      <x v="1"/>
    </i>
    <i r="1">
      <x v="116"/>
      <x v="12"/>
      <x v="2"/>
    </i>
    <i r="1">
      <x v="117"/>
      <x v="12"/>
      <x v="2"/>
    </i>
    <i r="1">
      <x v="118"/>
      <x v="12"/>
      <x v="2"/>
    </i>
    <i r="1">
      <x v="11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20"/>
      <x v="12"/>
      <x v="2"/>
    </i>
    <i r="1">
      <x v="121"/>
      <x/>
      <x v="2"/>
    </i>
    <i r="1">
      <x v="122"/>
      <x/>
      <x v="2"/>
    </i>
    <i r="1">
      <x v="123"/>
      <x/>
      <x v="2"/>
    </i>
    <i r="1">
      <x v="124"/>
      <x/>
      <x v="2"/>
    </i>
    <i r="1">
      <x v="125"/>
      <x/>
      <x v="2"/>
    </i>
    <i r="1">
      <x v="126"/>
      <x/>
      <x v="2"/>
    </i>
    <i r="1">
      <x v="127"/>
      <x/>
      <x v="2"/>
    </i>
    <i r="1">
      <x v="128"/>
      <x/>
      <x v="2"/>
    </i>
    <i r="1">
      <x v="129"/>
      <x/>
      <x v="2"/>
    </i>
    <i r="1">
      <x v="130"/>
      <x v="12"/>
      <x v="2"/>
    </i>
    <i r="1">
      <x v="131"/>
      <x v="12"/>
      <x v="2"/>
    </i>
    <i r="1">
      <x v="132"/>
      <x v="12"/>
      <x v="2"/>
    </i>
    <i r="1">
      <x v="133"/>
      <x v="12"/>
      <x v="2"/>
    </i>
    <i r="1">
      <x v="134"/>
      <x v="12"/>
      <x v="2"/>
    </i>
    <i r="1">
      <x v="135"/>
      <x v="12"/>
      <x v="2"/>
    </i>
    <i r="1">
      <x v="136"/>
      <x v="12"/>
      <x v="2"/>
    </i>
    <i r="1">
      <x v="137"/>
      <x v="12"/>
      <x v="2"/>
    </i>
    <i r="1">
      <x v="138"/>
      <x v="12"/>
      <x v="2"/>
    </i>
    <i r="1">
      <x v="139"/>
      <x v="12"/>
      <x v="2"/>
    </i>
    <i r="1">
      <x v="140"/>
      <x v="12"/>
      <x v="2"/>
    </i>
    <i r="1">
      <x v="141"/>
      <x v="12"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956" tableType="queryTable" totalsRowShown="0">
  <autoFilter ref="A1:Y956" xr:uid="{C3D003CA-1AFF-426C-A03D-D3AF5760DF1A}"/>
  <sortState xmlns:xlrd2="http://schemas.microsoft.com/office/spreadsheetml/2017/richdata2" ref="A2:Y956">
    <sortCondition ref="D1:D95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24" tableType="queryTable" totalsRowShown="0">
  <autoFilter ref="A1:U324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358" tableType="queryTable" totalsRowShown="0">
  <autoFilter ref="A1:P35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9.140625" defaultRowHeight="15" x14ac:dyDescent="0.25"/>
  <cols>
    <col min="1" max="1" width="15.5703125" bestFit="1" customWidth="1"/>
    <col min="2" max="2" width="81.140625" bestFit="1" customWidth="1"/>
    <col min="3" max="3" width="18.140625" bestFit="1" customWidth="1"/>
    <col min="4" max="4" width="12.42578125" bestFit="1" customWidth="1"/>
    <col min="5" max="5" width="23.85546875" bestFit="1" customWidth="1"/>
    <col min="6" max="6" width="25.28515625" bestFit="1" customWidth="1"/>
    <col min="7" max="7" width="20.42578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17</v>
      </c>
      <c r="F2">
        <v>180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9"/>
  <sheetViews>
    <sheetView tabSelected="1" workbookViewId="0"/>
  </sheetViews>
  <sheetFormatPr baseColWidth="10" defaultColWidth="9.140625"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7109375" bestFit="1" customWidth="1"/>
    <col min="5" max="5" width="30.28515625" bestFit="1" customWidth="1"/>
    <col min="6" max="6" width="20.7109375" bestFit="1" customWidth="1"/>
    <col min="7" max="7" width="12" bestFit="1" customWidth="1"/>
    <col min="8" max="8" width="28.140625" bestFit="1" customWidth="1"/>
    <col min="9" max="9" width="28.28515625" bestFit="1" customWidth="1"/>
    <col min="10" max="10" width="28.5703125" bestFit="1" customWidth="1"/>
    <col min="11" max="11" width="17.140625" bestFit="1" customWidth="1"/>
    <col min="12" max="12" width="17.42578125" bestFit="1" customWidth="1"/>
    <col min="13" max="13" width="30.7109375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13.7109375" bestFit="1" customWidth="1"/>
    <col min="19" max="19" width="30.28515625" bestFit="1" customWidth="1"/>
    <col min="20" max="20" width="12" bestFit="1" customWidth="1"/>
    <col min="21" max="21" width="28.140625" bestFit="1" customWidth="1"/>
    <col min="22" max="22" width="23" bestFit="1" customWidth="1"/>
    <col min="23" max="23" width="23.28515625" bestFit="1" customWidth="1"/>
    <col min="24" max="24" width="17.140625" bestFit="1" customWidth="1"/>
    <col min="25" max="25" width="17.42578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1" bestFit="1" customWidth="1"/>
    <col min="31" max="31" width="26" bestFit="1" customWidth="1"/>
    <col min="32" max="32" width="10.85546875" bestFit="1" customWidth="1"/>
    <col min="33" max="33" width="30.85546875" bestFit="1" customWidth="1"/>
    <col min="34" max="34" width="20.7109375" bestFit="1" customWidth="1"/>
    <col min="35" max="35" width="21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" bestFit="1" customWidth="1"/>
    <col min="42" max="42" width="12" bestFit="1" customWidth="1"/>
    <col min="43" max="43" width="30.85546875" bestFit="1" customWidth="1"/>
    <col min="44" max="44" width="20.7109375" bestFit="1" customWidth="1"/>
    <col min="45" max="45" width="21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11" bestFit="1" customWidth="1"/>
    <col min="51" max="51" width="27.42578125" bestFit="1" customWidth="1"/>
    <col min="52" max="52" width="28.570312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118.76470588235294</v>
      </c>
      <c r="O3" t="s">
        <v>67</v>
      </c>
      <c r="P3" t="s">
        <v>70</v>
      </c>
      <c r="Q3" t="s">
        <v>129</v>
      </c>
      <c r="R3" t="s">
        <v>72</v>
      </c>
      <c r="S3" s="5">
        <v>7.346753247378274</v>
      </c>
      <c r="T3" s="5">
        <v>0.73494663100688618</v>
      </c>
      <c r="U3" s="5">
        <v>1.4294329987034813</v>
      </c>
      <c r="V3" s="5">
        <v>5.4544685782955797</v>
      </c>
      <c r="W3" s="5">
        <v>9.9812364527489308</v>
      </c>
      <c r="X3" s="5">
        <v>0</v>
      </c>
      <c r="Y3" s="5">
        <v>25</v>
      </c>
      <c r="AA3" t="s">
        <v>172</v>
      </c>
      <c r="AB3" t="s">
        <v>172</v>
      </c>
      <c r="AC3" t="s">
        <v>172</v>
      </c>
      <c r="AD3" t="s">
        <v>172</v>
      </c>
      <c r="AE3" s="5"/>
      <c r="AF3" s="5"/>
      <c r="AG3" s="5"/>
      <c r="AH3" s="5"/>
      <c r="AI3" s="5"/>
      <c r="AK3" t="s">
        <v>67</v>
      </c>
      <c r="AL3" t="s">
        <v>160</v>
      </c>
      <c r="AM3" t="s">
        <v>147</v>
      </c>
      <c r="AN3" t="s">
        <v>161</v>
      </c>
      <c r="AO3" s="5">
        <v>121.76470588235294</v>
      </c>
      <c r="AP3" s="5">
        <v>3.6289183384550587</v>
      </c>
      <c r="AQ3" s="5">
        <v>7.0580575564802697</v>
      </c>
      <c r="AR3" s="5">
        <v>110</v>
      </c>
      <c r="AS3" s="5">
        <v>133</v>
      </c>
      <c r="AU3" t="s">
        <v>172</v>
      </c>
      <c r="AV3" t="s">
        <v>172</v>
      </c>
      <c r="AW3" t="s">
        <v>172</v>
      </c>
      <c r="AX3" t="s">
        <v>172</v>
      </c>
      <c r="AY3" s="4"/>
      <c r="AZ3" s="4"/>
    </row>
    <row r="4" spans="1:52" x14ac:dyDescent="0.25">
      <c r="C4" t="s">
        <v>73</v>
      </c>
      <c r="D4" t="s">
        <v>72</v>
      </c>
      <c r="E4" s="5">
        <v>0.64005922781612723</v>
      </c>
      <c r="F4" s="5">
        <v>1</v>
      </c>
      <c r="G4" s="5">
        <v>2.3140274669479658E-2</v>
      </c>
      <c r="H4" s="5">
        <v>4.5006631524114833E-2</v>
      </c>
      <c r="I4" s="5">
        <v>0.56954522570007104</v>
      </c>
      <c r="J4" s="5">
        <v>0.71891620780174204</v>
      </c>
      <c r="K4" s="5">
        <v>6.2080029502567399E-2</v>
      </c>
      <c r="L4" s="5">
        <v>3.07779584713577</v>
      </c>
      <c r="M4" s="5">
        <v>118.76470588235294</v>
      </c>
      <c r="P4" t="s">
        <v>89</v>
      </c>
      <c r="Q4" t="s">
        <v>130</v>
      </c>
      <c r="R4" t="s">
        <v>91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144</v>
      </c>
      <c r="AM4" t="s">
        <v>145</v>
      </c>
      <c r="AN4" t="s">
        <v>72</v>
      </c>
      <c r="AO4" s="5">
        <v>354.11764705882354</v>
      </c>
      <c r="AP4" s="5">
        <v>10.168142482815826</v>
      </c>
      <c r="AQ4" s="5">
        <v>19.776508643277939</v>
      </c>
      <c r="AR4" s="5">
        <v>316</v>
      </c>
      <c r="AS4" s="5">
        <v>387</v>
      </c>
    </row>
    <row r="5" spans="1:52" x14ac:dyDescent="0.25">
      <c r="C5" t="s">
        <v>74</v>
      </c>
      <c r="D5" t="s">
        <v>72</v>
      </c>
      <c r="E5" s="5">
        <v>8.476767334896584</v>
      </c>
      <c r="F5" s="5">
        <v>1</v>
      </c>
      <c r="G5" s="5">
        <v>0.81123716841017435</v>
      </c>
      <c r="H5" s="5">
        <v>1.5778141287777554</v>
      </c>
      <c r="I5" s="5">
        <v>6.3029244422908404</v>
      </c>
      <c r="J5" s="5">
        <v>12.3809834783632</v>
      </c>
      <c r="K5" s="5">
        <v>0.49903761733864399</v>
      </c>
      <c r="L5" s="5">
        <v>59.068854696650199</v>
      </c>
      <c r="M5" s="5">
        <v>118.76470588235294</v>
      </c>
      <c r="P5" t="s">
        <v>92</v>
      </c>
      <c r="Q5" t="s">
        <v>130</v>
      </c>
      <c r="R5" t="s">
        <v>91</v>
      </c>
      <c r="S5" s="5">
        <v>1.7749337514586665</v>
      </c>
      <c r="T5" s="5">
        <v>0.26472622632728454</v>
      </c>
      <c r="U5" s="5">
        <v>0.5148787511496481</v>
      </c>
      <c r="V5" s="5">
        <v>1.1292470593949</v>
      </c>
      <c r="W5" s="5">
        <v>2.9364889703726602</v>
      </c>
      <c r="X5" s="5">
        <v>0</v>
      </c>
      <c r="Y5" s="5">
        <v>12</v>
      </c>
      <c r="AL5" t="s">
        <v>146</v>
      </c>
      <c r="AM5" t="s">
        <v>147</v>
      </c>
      <c r="AN5" t="s">
        <v>72</v>
      </c>
      <c r="AO5" s="5">
        <v>354.88235294117646</v>
      </c>
      <c r="AP5" s="5">
        <v>10.772511978294911</v>
      </c>
      <c r="AQ5" s="5">
        <v>20.951975900082719</v>
      </c>
      <c r="AR5" s="5">
        <v>319</v>
      </c>
      <c r="AS5" s="5">
        <v>391</v>
      </c>
    </row>
    <row r="6" spans="1:52" x14ac:dyDescent="0.25">
      <c r="C6" t="s">
        <v>75</v>
      </c>
      <c r="D6" t="s">
        <v>72</v>
      </c>
      <c r="E6" s="5">
        <v>0.23333333333333733</v>
      </c>
      <c r="F6" s="5">
        <v>1</v>
      </c>
      <c r="G6" s="5">
        <v>6.277442205015305E-16</v>
      </c>
      <c r="H6" s="5">
        <v>1.2209298820799337E-15</v>
      </c>
      <c r="I6" s="5">
        <v>0.233333333333334</v>
      </c>
      <c r="J6" s="5">
        <v>0.233333333333339</v>
      </c>
      <c r="K6" s="5">
        <v>0.23333333333331999</v>
      </c>
      <c r="L6" s="5">
        <v>0.23333333333334799</v>
      </c>
      <c r="M6" s="5">
        <v>118.76470588235294</v>
      </c>
      <c r="P6" t="s">
        <v>131</v>
      </c>
      <c r="Q6" t="s">
        <v>129</v>
      </c>
      <c r="R6" t="s">
        <v>72</v>
      </c>
      <c r="S6" s="5">
        <v>3.6023633426613157</v>
      </c>
      <c r="T6" s="5">
        <v>0.34715563137404881</v>
      </c>
      <c r="U6" s="5">
        <v>0.67519965972489415</v>
      </c>
      <c r="V6" s="5">
        <v>2.7429685070299299</v>
      </c>
      <c r="W6" s="5">
        <v>4.8837925841766499</v>
      </c>
      <c r="X6" s="5">
        <v>0</v>
      </c>
      <c r="Y6" s="5">
        <v>12</v>
      </c>
      <c r="AL6" t="s">
        <v>148</v>
      </c>
      <c r="AM6" t="s">
        <v>149</v>
      </c>
      <c r="AN6" t="s">
        <v>86</v>
      </c>
      <c r="AO6" s="5">
        <v>308.63553444706355</v>
      </c>
      <c r="AP6" s="5">
        <v>29.49464024998937</v>
      </c>
      <c r="AQ6" s="5">
        <v>57.365542312184125</v>
      </c>
      <c r="AR6" s="5">
        <v>225.161235126317</v>
      </c>
      <c r="AS6" s="5">
        <v>456.33427551718</v>
      </c>
    </row>
    <row r="7" spans="1:52" x14ac:dyDescent="0.25">
      <c r="C7" t="s">
        <v>76</v>
      </c>
      <c r="D7" t="s">
        <v>72</v>
      </c>
      <c r="E7" s="5">
        <v>4.2002866238083385</v>
      </c>
      <c r="F7" s="5">
        <v>1</v>
      </c>
      <c r="G7" s="5">
        <v>0.23660930992132923</v>
      </c>
      <c r="H7" s="5">
        <v>0.46019281010737506</v>
      </c>
      <c r="I7" s="5">
        <v>3.4983558905782202</v>
      </c>
      <c r="J7" s="5">
        <v>5.2882290525835298</v>
      </c>
      <c r="K7" s="5">
        <v>4.8783094206100899E-2</v>
      </c>
      <c r="L7" s="5">
        <v>44.837649128962603</v>
      </c>
      <c r="M7" s="5">
        <v>118.76470588235294</v>
      </c>
      <c r="P7" t="s">
        <v>99</v>
      </c>
      <c r="Q7" t="s">
        <v>130</v>
      </c>
      <c r="R7" t="s">
        <v>91</v>
      </c>
      <c r="S7" s="5">
        <v>1.5087844494703444</v>
      </c>
      <c r="T7" s="5">
        <v>0.32696662226075207</v>
      </c>
      <c r="U7" s="5">
        <v>0.63593308631651668</v>
      </c>
      <c r="V7" s="5">
        <v>0.64455717508326504</v>
      </c>
      <c r="W7" s="5">
        <v>2.69061971266638</v>
      </c>
      <c r="X7" s="5">
        <v>0</v>
      </c>
      <c r="Y7" s="5">
        <v>14</v>
      </c>
      <c r="AL7" t="s">
        <v>150</v>
      </c>
      <c r="AM7" t="s">
        <v>151</v>
      </c>
      <c r="AN7" t="s">
        <v>86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</row>
    <row r="8" spans="1:52" x14ac:dyDescent="0.25">
      <c r="C8" t="s">
        <v>77</v>
      </c>
      <c r="D8" t="s">
        <v>72</v>
      </c>
      <c r="E8" s="5">
        <v>6.1661674524885619</v>
      </c>
      <c r="F8" s="5">
        <v>1</v>
      </c>
      <c r="G8" s="5">
        <v>1.1159685845290814</v>
      </c>
      <c r="H8" s="5">
        <v>2.1705008948157731</v>
      </c>
      <c r="I8" s="5">
        <v>3.2797723254625799</v>
      </c>
      <c r="J8" s="5">
        <v>11.483148854180399</v>
      </c>
      <c r="K8" s="5">
        <v>4.6225482577341402E-2</v>
      </c>
      <c r="L8" s="5">
        <v>35.927727096959302</v>
      </c>
      <c r="M8" s="5">
        <v>118.76470588235294</v>
      </c>
      <c r="P8" t="s">
        <v>104</v>
      </c>
      <c r="Q8" t="s">
        <v>130</v>
      </c>
      <c r="R8" t="s">
        <v>91</v>
      </c>
      <c r="S8" s="5">
        <v>0.72401974106922729</v>
      </c>
      <c r="T8" s="5">
        <v>0.22777269441319098</v>
      </c>
      <c r="U8" s="5">
        <v>0.44300605222417661</v>
      </c>
      <c r="V8" s="5">
        <v>0.20519043218243799</v>
      </c>
      <c r="W8" s="5">
        <v>1.8050950008829001</v>
      </c>
      <c r="X8" s="5">
        <v>0</v>
      </c>
      <c r="Y8" s="5">
        <v>9</v>
      </c>
      <c r="AL8" t="s">
        <v>152</v>
      </c>
      <c r="AM8" t="s">
        <v>145</v>
      </c>
      <c r="AN8" t="s">
        <v>86</v>
      </c>
      <c r="AO8" s="5">
        <v>16.941176470588236</v>
      </c>
      <c r="AP8" s="5">
        <v>1.5474901719848453</v>
      </c>
      <c r="AQ8" s="5">
        <v>3.0097879542273018</v>
      </c>
      <c r="AR8" s="5">
        <v>12</v>
      </c>
      <c r="AS8" s="5">
        <v>22</v>
      </c>
    </row>
    <row r="9" spans="1:52" x14ac:dyDescent="0.25">
      <c r="B9" t="s">
        <v>78</v>
      </c>
      <c r="C9" t="s">
        <v>79</v>
      </c>
      <c r="D9" t="s">
        <v>80</v>
      </c>
      <c r="E9" s="5">
        <v>5.3216468500843321</v>
      </c>
      <c r="F9" s="5">
        <v>1</v>
      </c>
      <c r="G9" s="5">
        <v>0.61647861081931221</v>
      </c>
      <c r="H9" s="5">
        <v>1.1990188567743081</v>
      </c>
      <c r="I9" s="5">
        <v>3.56666666666667</v>
      </c>
      <c r="J9" s="5">
        <v>7.5042016806722698</v>
      </c>
      <c r="K9" s="5">
        <v>0</v>
      </c>
      <c r="L9" s="5">
        <v>20</v>
      </c>
      <c r="M9" s="5">
        <v>118.76470588235294</v>
      </c>
      <c r="P9" t="s">
        <v>132</v>
      </c>
      <c r="Q9" t="s">
        <v>133</v>
      </c>
      <c r="R9" t="s">
        <v>80</v>
      </c>
      <c r="S9" s="5">
        <v>1.7178199598772124</v>
      </c>
      <c r="T9" s="5">
        <v>0.19531820168707029</v>
      </c>
      <c r="U9" s="5">
        <v>0.37988375068325786</v>
      </c>
      <c r="V9" s="5">
        <v>1.04395220385056</v>
      </c>
      <c r="W9" s="5">
        <v>2.6910314688690198</v>
      </c>
      <c r="X9" s="5">
        <v>0</v>
      </c>
      <c r="Y9" s="5">
        <v>5</v>
      </c>
      <c r="AL9" t="s">
        <v>153</v>
      </c>
      <c r="AM9" t="s">
        <v>147</v>
      </c>
      <c r="AN9" t="s">
        <v>86</v>
      </c>
      <c r="AO9" s="5">
        <v>16.764705882352942</v>
      </c>
      <c r="AP9" s="5">
        <v>0.95377398420864057</v>
      </c>
      <c r="AQ9" s="5">
        <v>1.8550408272025261</v>
      </c>
      <c r="AR9" s="5">
        <v>13</v>
      </c>
      <c r="AS9" s="5">
        <v>20</v>
      </c>
    </row>
    <row r="10" spans="1:52" x14ac:dyDescent="0.25">
      <c r="B10" t="s">
        <v>81</v>
      </c>
      <c r="C10" t="s">
        <v>79</v>
      </c>
      <c r="D10" t="s">
        <v>80</v>
      </c>
      <c r="E10" s="5">
        <v>5.3579953772281881</v>
      </c>
      <c r="F10" s="5">
        <v>1</v>
      </c>
      <c r="G10" s="5">
        <v>1.0541331100402431</v>
      </c>
      <c r="H10" s="5">
        <v>2.0502341108130522</v>
      </c>
      <c r="I10" s="5">
        <v>2.78125</v>
      </c>
      <c r="J10" s="5">
        <v>10.6315789473684</v>
      </c>
      <c r="K10" s="5">
        <v>2.78125</v>
      </c>
      <c r="L10" s="5">
        <v>10.6315789473684</v>
      </c>
      <c r="M10" s="5">
        <v>1</v>
      </c>
      <c r="P10" t="s">
        <v>134</v>
      </c>
      <c r="Q10" t="s">
        <v>135</v>
      </c>
      <c r="R10" t="s">
        <v>136</v>
      </c>
      <c r="S10" s="5">
        <v>0.82034721885470152</v>
      </c>
      <c r="T10" s="5">
        <v>3.3674816741294945E-2</v>
      </c>
      <c r="U10" s="5">
        <v>6.5495768324500853E-2</v>
      </c>
      <c r="V10" s="5">
        <v>0.73534383204610498</v>
      </c>
      <c r="W10" s="5">
        <v>0.95888680213271504</v>
      </c>
      <c r="X10" s="5">
        <v>0</v>
      </c>
      <c r="Y10" s="5">
        <v>1</v>
      </c>
      <c r="AL10" t="s">
        <v>154</v>
      </c>
      <c r="AM10" t="s">
        <v>145</v>
      </c>
      <c r="AN10" t="s">
        <v>72</v>
      </c>
      <c r="AO10" s="5">
        <v>117.35294117647059</v>
      </c>
      <c r="AP10" s="5">
        <v>3.6760162905630134</v>
      </c>
      <c r="AQ10" s="5">
        <v>7.1496606254299602</v>
      </c>
      <c r="AR10" s="5">
        <v>105</v>
      </c>
      <c r="AS10" s="5">
        <v>131</v>
      </c>
    </row>
    <row r="11" spans="1:52" x14ac:dyDescent="0.25">
      <c r="B11" t="s">
        <v>82</v>
      </c>
      <c r="C11" t="s">
        <v>79</v>
      </c>
      <c r="D11" t="s">
        <v>80</v>
      </c>
      <c r="E11" s="5">
        <v>5.287084998375116</v>
      </c>
      <c r="F11" s="5">
        <v>1</v>
      </c>
      <c r="G11" s="5">
        <v>0.73199083528746056</v>
      </c>
      <c r="H11" s="5">
        <v>1.4236841296556906</v>
      </c>
      <c r="I11" s="5">
        <v>3.6478873239436602</v>
      </c>
      <c r="J11" s="5">
        <v>8.2432432432432403</v>
      </c>
      <c r="K11" s="5">
        <v>3.6478873239436602</v>
      </c>
      <c r="L11" s="5">
        <v>8.2432432432432403</v>
      </c>
      <c r="M11" s="5">
        <v>1</v>
      </c>
      <c r="Q11" t="s">
        <v>137</v>
      </c>
      <c r="R11" t="s">
        <v>136</v>
      </c>
      <c r="S11" s="5">
        <v>0.82034721885470152</v>
      </c>
      <c r="T11" s="5">
        <v>3.3674816741294945E-2</v>
      </c>
      <c r="U11" s="5">
        <v>6.5495768324500853E-2</v>
      </c>
      <c r="V11" s="5">
        <v>0.73534383204610498</v>
      </c>
      <c r="W11" s="5">
        <v>0.95888680213271504</v>
      </c>
      <c r="X11" s="5">
        <v>0</v>
      </c>
      <c r="Y11" s="5">
        <v>1</v>
      </c>
      <c r="AL11" t="s">
        <v>155</v>
      </c>
      <c r="AM11" t="s">
        <v>147</v>
      </c>
      <c r="AN11" t="s">
        <v>72</v>
      </c>
      <c r="AO11" s="5">
        <v>118.76470588235294</v>
      </c>
      <c r="AP11" s="5">
        <v>3.6289183384550587</v>
      </c>
      <c r="AQ11" s="5">
        <v>7.0580575564802697</v>
      </c>
      <c r="AR11" s="5">
        <v>107</v>
      </c>
      <c r="AS11" s="5">
        <v>130</v>
      </c>
    </row>
    <row r="12" spans="1:52" x14ac:dyDescent="0.25">
      <c r="B12" t="s">
        <v>83</v>
      </c>
      <c r="C12" t="s">
        <v>79</v>
      </c>
      <c r="D12" t="s">
        <v>80</v>
      </c>
      <c r="E12" s="5">
        <v>5.3216468500843321</v>
      </c>
      <c r="F12" s="5">
        <v>1</v>
      </c>
      <c r="G12" s="5">
        <v>0.61647861081931221</v>
      </c>
      <c r="H12" s="5">
        <v>1.1990188567743081</v>
      </c>
      <c r="I12" s="5">
        <v>3.56666666666667</v>
      </c>
      <c r="J12" s="5">
        <v>7.5042016806722698</v>
      </c>
      <c r="K12" s="5">
        <v>3.56666666666667</v>
      </c>
      <c r="L12" s="5">
        <v>7.5042016806722698</v>
      </c>
      <c r="M12" s="5">
        <v>1</v>
      </c>
      <c r="Q12" t="s">
        <v>138</v>
      </c>
      <c r="R12" t="s">
        <v>136</v>
      </c>
      <c r="S12" s="5">
        <v>1</v>
      </c>
      <c r="T12" s="5">
        <v>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  <c r="AL12" t="s">
        <v>156</v>
      </c>
      <c r="AM12" t="s">
        <v>149</v>
      </c>
      <c r="AN12" t="s">
        <v>86</v>
      </c>
      <c r="AO12" s="5">
        <v>191.25148078330704</v>
      </c>
      <c r="AP12" s="5">
        <v>8.6820837361734355</v>
      </c>
      <c r="AQ12" s="5">
        <v>16.886201618463961</v>
      </c>
      <c r="AR12" s="5">
        <v>159.38722481493599</v>
      </c>
      <c r="AS12" s="5">
        <v>225.02992874035499</v>
      </c>
    </row>
    <row r="13" spans="1:52" x14ac:dyDescent="0.25">
      <c r="B13" t="s">
        <v>84</v>
      </c>
      <c r="C13" t="s">
        <v>85</v>
      </c>
      <c r="D13" t="s">
        <v>86</v>
      </c>
      <c r="E13" s="5">
        <v>18.34562442381192</v>
      </c>
      <c r="F13" s="5">
        <v>1</v>
      </c>
      <c r="G13" s="5">
        <v>1.1093314123201146</v>
      </c>
      <c r="H13" s="5">
        <v>2.1575919398341346</v>
      </c>
      <c r="I13" s="5">
        <v>15.010749008421101</v>
      </c>
      <c r="J13" s="5">
        <v>22.816713775859</v>
      </c>
      <c r="K13" s="5">
        <v>0</v>
      </c>
      <c r="L13" s="5">
        <v>44.433668276207797</v>
      </c>
      <c r="M13" s="5">
        <v>16.764705882352942</v>
      </c>
      <c r="P13" t="s">
        <v>139</v>
      </c>
      <c r="Q13" t="s">
        <v>135</v>
      </c>
      <c r="R13" t="s">
        <v>136</v>
      </c>
      <c r="S13" s="5">
        <v>0.66010861965703893</v>
      </c>
      <c r="T13" s="5">
        <v>3.4022068014651748E-2</v>
      </c>
      <c r="U13" s="5">
        <v>6.6171154002911237E-2</v>
      </c>
      <c r="V13" s="5">
        <v>0.52223972091576099</v>
      </c>
      <c r="W13" s="5">
        <v>0.77852312806092006</v>
      </c>
      <c r="X13" s="5">
        <v>0</v>
      </c>
      <c r="Y13" s="5">
        <v>1</v>
      </c>
      <c r="AL13" t="s">
        <v>157</v>
      </c>
      <c r="AM13" t="s">
        <v>151</v>
      </c>
      <c r="AN13" t="s">
        <v>86</v>
      </c>
      <c r="AO13" s="5">
        <v>133.66503743442436</v>
      </c>
      <c r="AP13" s="5">
        <v>40.879748949999311</v>
      </c>
      <c r="AQ13" s="5">
        <v>79.508986996493206</v>
      </c>
      <c r="AR13" s="5">
        <v>36.437518321990602</v>
      </c>
      <c r="AS13" s="5">
        <v>324.91710015892198</v>
      </c>
    </row>
    <row r="14" spans="1:52" x14ac:dyDescent="0.25">
      <c r="C14" t="s">
        <v>87</v>
      </c>
      <c r="D14" t="s">
        <v>86</v>
      </c>
      <c r="E14" s="5">
        <v>18.34562442381192</v>
      </c>
      <c r="F14" s="5">
        <v>1</v>
      </c>
      <c r="G14" s="5">
        <v>1.1093314123201146</v>
      </c>
      <c r="H14" s="5">
        <v>2.1575919398341346</v>
      </c>
      <c r="I14" s="5">
        <v>15.010749008421101</v>
      </c>
      <c r="J14" s="5">
        <v>22.816713775859</v>
      </c>
      <c r="K14" s="5">
        <v>0</v>
      </c>
      <c r="L14" s="5">
        <v>44.433668276207797</v>
      </c>
      <c r="M14" s="5">
        <v>16.764705882352942</v>
      </c>
      <c r="Q14" t="s">
        <v>137</v>
      </c>
      <c r="R14" t="s">
        <v>136</v>
      </c>
      <c r="S14" s="5">
        <v>0.66010861965703893</v>
      </c>
      <c r="T14" s="5">
        <v>3.4022068014651748E-2</v>
      </c>
      <c r="U14" s="5">
        <v>6.6171154002911237E-2</v>
      </c>
      <c r="V14" s="5">
        <v>0.52223972091576099</v>
      </c>
      <c r="W14" s="5">
        <v>0.77852312806092006</v>
      </c>
      <c r="X14" s="5">
        <v>0</v>
      </c>
      <c r="Y14" s="5">
        <v>1</v>
      </c>
      <c r="AL14" t="s">
        <v>158</v>
      </c>
      <c r="AM14" t="s">
        <v>145</v>
      </c>
      <c r="AN14" t="s">
        <v>86</v>
      </c>
      <c r="AO14" s="5">
        <v>117.35294117647059</v>
      </c>
      <c r="AP14" s="5">
        <v>3.6760162905630134</v>
      </c>
      <c r="AQ14" s="5">
        <v>7.1496606254299602</v>
      </c>
      <c r="AR14" s="5">
        <v>105</v>
      </c>
      <c r="AS14" s="5">
        <v>131</v>
      </c>
    </row>
    <row r="15" spans="1:52" x14ac:dyDescent="0.25">
      <c r="C15" t="s">
        <v>88</v>
      </c>
      <c r="D15" t="s">
        <v>86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16.764705882352942</v>
      </c>
      <c r="Q15" t="s">
        <v>138</v>
      </c>
      <c r="R15" t="s">
        <v>136</v>
      </c>
      <c r="S15" s="5">
        <v>1</v>
      </c>
      <c r="T15" s="5">
        <v>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  <c r="AL15" t="s">
        <v>159</v>
      </c>
      <c r="AM15" t="s">
        <v>147</v>
      </c>
      <c r="AN15" t="s">
        <v>86</v>
      </c>
      <c r="AO15" s="5">
        <v>118.82352941176471</v>
      </c>
      <c r="AP15" s="5">
        <v>3.5955556882298705</v>
      </c>
      <c r="AQ15" s="5">
        <v>6.9931689358048459</v>
      </c>
      <c r="AR15" s="5">
        <v>108</v>
      </c>
      <c r="AS15" s="5">
        <v>132</v>
      </c>
    </row>
    <row r="16" spans="1:52" x14ac:dyDescent="0.25">
      <c r="B16" t="s">
        <v>89</v>
      </c>
      <c r="C16" t="s">
        <v>90</v>
      </c>
      <c r="D16" t="s">
        <v>91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16.941176470588236</v>
      </c>
      <c r="P16" t="s">
        <v>140</v>
      </c>
      <c r="Q16" t="s">
        <v>135</v>
      </c>
      <c r="R16" t="s">
        <v>136</v>
      </c>
      <c r="S16" s="5">
        <v>0.34356399197544252</v>
      </c>
      <c r="T16" s="5">
        <v>3.9063640337413962E-2</v>
      </c>
      <c r="U16" s="5">
        <v>7.597675013665138E-2</v>
      </c>
      <c r="V16" s="5">
        <v>0.20879044077011299</v>
      </c>
      <c r="W16" s="5">
        <v>0.53820629377380302</v>
      </c>
      <c r="X16" s="5">
        <v>0</v>
      </c>
      <c r="Y16" s="5">
        <v>1</v>
      </c>
      <c r="AL16" t="s">
        <v>162</v>
      </c>
      <c r="AM16" t="s">
        <v>163</v>
      </c>
      <c r="AN16" t="s">
        <v>136</v>
      </c>
      <c r="AO16" s="5">
        <v>162.1764705882353</v>
      </c>
      <c r="AP16" s="5">
        <v>5.1934348893453492</v>
      </c>
      <c r="AQ16" s="5">
        <v>10.100960932738323</v>
      </c>
      <c r="AR16" s="5">
        <v>147</v>
      </c>
      <c r="AS16" s="5">
        <v>183</v>
      </c>
    </row>
    <row r="17" spans="2:45" x14ac:dyDescent="0.25">
      <c r="B17" t="s">
        <v>92</v>
      </c>
      <c r="C17" t="s">
        <v>90</v>
      </c>
      <c r="D17" t="s">
        <v>91</v>
      </c>
      <c r="E17" s="5">
        <v>1.3542647972866195</v>
      </c>
      <c r="F17" s="5">
        <v>1</v>
      </c>
      <c r="G17" s="5">
        <v>0.18991129693731779</v>
      </c>
      <c r="H17" s="5">
        <v>0.36936760196705204</v>
      </c>
      <c r="I17" s="5">
        <v>0.85883485461918996</v>
      </c>
      <c r="J17" s="5">
        <v>2.2660130562086702</v>
      </c>
      <c r="K17" s="5">
        <v>0</v>
      </c>
      <c r="L17" s="5">
        <v>21.912888333721199</v>
      </c>
      <c r="M17" s="5">
        <v>237.88235294117646</v>
      </c>
      <c r="Q17" t="s">
        <v>137</v>
      </c>
      <c r="R17" t="s">
        <v>136</v>
      </c>
      <c r="S17" s="5">
        <v>1.7178199598772124</v>
      </c>
      <c r="T17" s="5">
        <v>0.19531820168707029</v>
      </c>
      <c r="U17" s="5">
        <v>0.37988375068325786</v>
      </c>
      <c r="V17" s="5">
        <v>1.04395220385056</v>
      </c>
      <c r="W17" s="5">
        <v>2.6910314688690198</v>
      </c>
      <c r="X17" s="5">
        <v>0</v>
      </c>
      <c r="Y17" s="5">
        <v>5</v>
      </c>
      <c r="AL17" t="s">
        <v>164</v>
      </c>
      <c r="AM17" t="s">
        <v>165</v>
      </c>
      <c r="AN17" t="s">
        <v>136</v>
      </c>
      <c r="AO17" s="5">
        <v>0.82034721885470152</v>
      </c>
      <c r="AP17" s="5">
        <v>3.3674816741294945E-2</v>
      </c>
      <c r="AQ17" s="5">
        <v>6.5495768324500853E-2</v>
      </c>
      <c r="AR17" s="5">
        <v>0.73534383204610498</v>
      </c>
      <c r="AS17" s="5">
        <v>0.95888680213271504</v>
      </c>
    </row>
    <row r="18" spans="2:45" x14ac:dyDescent="0.25">
      <c r="B18" t="s">
        <v>93</v>
      </c>
      <c r="C18" t="s">
        <v>79</v>
      </c>
      <c r="D18" t="s">
        <v>80</v>
      </c>
      <c r="E18" s="5">
        <v>1.4601733292400874</v>
      </c>
      <c r="F18" s="5">
        <v>1</v>
      </c>
      <c r="G18" s="5">
        <v>0.32098629890586861</v>
      </c>
      <c r="H18" s="5">
        <v>0.62430166821657107</v>
      </c>
      <c r="I18" s="5">
        <v>0.88025911677620094</v>
      </c>
      <c r="J18" s="5">
        <v>3.3197989389730198</v>
      </c>
      <c r="K18" s="5">
        <v>0.88025911677620094</v>
      </c>
      <c r="L18" s="5">
        <v>3.3197989389730198</v>
      </c>
      <c r="M18" s="5">
        <v>1</v>
      </c>
      <c r="Q18" t="s">
        <v>138</v>
      </c>
      <c r="R18" t="s">
        <v>136</v>
      </c>
      <c r="S18" s="5">
        <v>5</v>
      </c>
      <c r="T18" s="5">
        <v>0</v>
      </c>
      <c r="U18" s="5">
        <v>0</v>
      </c>
      <c r="V18" s="5">
        <v>5</v>
      </c>
      <c r="W18" s="5">
        <v>5</v>
      </c>
      <c r="X18" s="5">
        <v>5</v>
      </c>
      <c r="Y18" s="5">
        <v>5</v>
      </c>
      <c r="AL18" t="s">
        <v>166</v>
      </c>
      <c r="AM18" t="s">
        <v>163</v>
      </c>
      <c r="AN18" t="s">
        <v>136</v>
      </c>
      <c r="AO18" s="5">
        <v>73.764705882352942</v>
      </c>
      <c r="AP18" s="5">
        <v>3.2033056268913307</v>
      </c>
      <c r="AQ18" s="5">
        <v>6.2302629535669061</v>
      </c>
      <c r="AR18" s="5">
        <v>60</v>
      </c>
      <c r="AS18" s="5">
        <v>84</v>
      </c>
    </row>
    <row r="19" spans="2:45" x14ac:dyDescent="0.25">
      <c r="B19" t="s">
        <v>94</v>
      </c>
      <c r="C19" t="s">
        <v>79</v>
      </c>
      <c r="D19" t="s">
        <v>80</v>
      </c>
      <c r="E19" s="5">
        <v>1.3931747870060993</v>
      </c>
      <c r="F19" s="5">
        <v>1</v>
      </c>
      <c r="G19" s="5">
        <v>0.24797848989541821</v>
      </c>
      <c r="H19" s="5">
        <v>0.48230527424765807</v>
      </c>
      <c r="I19" s="5">
        <v>0.88270130339863795</v>
      </c>
      <c r="J19" s="5">
        <v>2.7062728135588401</v>
      </c>
      <c r="K19" s="5">
        <v>0.88270130339863795</v>
      </c>
      <c r="L19" s="5">
        <v>2.7062728135588401</v>
      </c>
      <c r="M19" s="5">
        <v>1</v>
      </c>
      <c r="P19" t="s">
        <v>127</v>
      </c>
      <c r="Q19" t="s">
        <v>129</v>
      </c>
      <c r="R19" t="s">
        <v>72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1</v>
      </c>
      <c r="AL19" t="s">
        <v>167</v>
      </c>
      <c r="AM19" t="s">
        <v>165</v>
      </c>
      <c r="AN19" t="s">
        <v>136</v>
      </c>
      <c r="AO19" s="5">
        <v>0.66010861965703893</v>
      </c>
      <c r="AP19" s="5">
        <v>3.4022068014651748E-2</v>
      </c>
      <c r="AQ19" s="5">
        <v>6.6171154002911237E-2</v>
      </c>
      <c r="AR19" s="5">
        <v>0.52223972091576099</v>
      </c>
      <c r="AS19" s="5">
        <v>0.77852312806092006</v>
      </c>
    </row>
    <row r="20" spans="2:45" x14ac:dyDescent="0.25">
      <c r="B20" t="s">
        <v>95</v>
      </c>
      <c r="C20" t="s">
        <v>79</v>
      </c>
      <c r="D20" t="s">
        <v>80</v>
      </c>
      <c r="E20" s="5">
        <v>1.3542647972866195</v>
      </c>
      <c r="F20" s="5">
        <v>1</v>
      </c>
      <c r="G20" s="5">
        <v>0.18991129693731779</v>
      </c>
      <c r="H20" s="5">
        <v>0.36936760196705204</v>
      </c>
      <c r="I20" s="5">
        <v>0.85883485461918996</v>
      </c>
      <c r="J20" s="5">
        <v>2.2660130562086702</v>
      </c>
      <c r="K20" s="5">
        <v>0.85883485461918996</v>
      </c>
      <c r="L20" s="5">
        <v>2.2660130562086702</v>
      </c>
      <c r="M20" s="5">
        <v>1</v>
      </c>
      <c r="P20" t="s">
        <v>141</v>
      </c>
      <c r="Q20" t="s">
        <v>142</v>
      </c>
      <c r="R20" t="s">
        <v>80</v>
      </c>
      <c r="S20" s="5">
        <v>5.5519234835794924</v>
      </c>
      <c r="T20" s="5">
        <v>0.63683843534988338</v>
      </c>
      <c r="U20" s="5">
        <v>1.2386176572912104</v>
      </c>
      <c r="V20" s="5">
        <v>3.84735462379287</v>
      </c>
      <c r="W20" s="5">
        <v>7.9213485690690897</v>
      </c>
      <c r="X20" s="5">
        <v>0</v>
      </c>
      <c r="Y20" s="5">
        <v>21</v>
      </c>
      <c r="AL20" t="s">
        <v>168</v>
      </c>
      <c r="AM20" t="s">
        <v>163</v>
      </c>
      <c r="AN20" t="s">
        <v>136</v>
      </c>
      <c r="AO20" s="5">
        <v>16.941176470588236</v>
      </c>
      <c r="AP20" s="5">
        <v>1.5474901719848453</v>
      </c>
      <c r="AQ20" s="5">
        <v>3.0097879542273018</v>
      </c>
      <c r="AR20" s="5">
        <v>12</v>
      </c>
      <c r="AS20" s="5">
        <v>22</v>
      </c>
    </row>
    <row r="21" spans="2:45" x14ac:dyDescent="0.25">
      <c r="B21" t="s">
        <v>96</v>
      </c>
      <c r="C21" t="s">
        <v>79</v>
      </c>
      <c r="D21" t="s">
        <v>80</v>
      </c>
      <c r="E21" s="5">
        <v>2.5604113147612697</v>
      </c>
      <c r="F21" s="5">
        <v>1</v>
      </c>
      <c r="G21" s="5">
        <v>0.78107086410804905</v>
      </c>
      <c r="H21" s="5">
        <v>1.5191422347936809</v>
      </c>
      <c r="I21" s="5">
        <v>0.55495913031834998</v>
      </c>
      <c r="J21" s="5">
        <v>5.9493407878474596</v>
      </c>
      <c r="K21" s="5">
        <v>0.55495913031834998</v>
      </c>
      <c r="L21" s="5">
        <v>5.9493407878474596</v>
      </c>
      <c r="M21" s="5">
        <v>1</v>
      </c>
      <c r="P21" t="s">
        <v>143</v>
      </c>
      <c r="Q21" t="s">
        <v>142</v>
      </c>
      <c r="R21" t="s">
        <v>80</v>
      </c>
      <c r="S21" s="5">
        <v>3.2821800401227872</v>
      </c>
      <c r="T21" s="5">
        <v>0.19531820168707212</v>
      </c>
      <c r="U21" s="5">
        <v>0.37988375068326141</v>
      </c>
      <c r="V21" s="5">
        <v>2.3089685311309802</v>
      </c>
      <c r="W21" s="5">
        <v>3.9560477961494298</v>
      </c>
      <c r="X21" s="5">
        <v>0</v>
      </c>
      <c r="Y21" s="5">
        <v>5</v>
      </c>
      <c r="AL21" t="s">
        <v>169</v>
      </c>
      <c r="AM21" t="s">
        <v>165</v>
      </c>
      <c r="AN21" t="s">
        <v>136</v>
      </c>
      <c r="AO21" s="5">
        <v>0.34356399197544252</v>
      </c>
      <c r="AP21" s="5">
        <v>3.9063640337413962E-2</v>
      </c>
      <c r="AQ21" s="5">
        <v>7.597675013665138E-2</v>
      </c>
      <c r="AR21" s="5">
        <v>0.20879044077011299</v>
      </c>
      <c r="AS21" s="5">
        <v>0.53820629377380302</v>
      </c>
    </row>
    <row r="22" spans="2:45" x14ac:dyDescent="0.25">
      <c r="B22" t="s">
        <v>97</v>
      </c>
      <c r="C22" t="s">
        <v>79</v>
      </c>
      <c r="D22" t="s">
        <v>80</v>
      </c>
      <c r="E22" s="5">
        <v>2.3291353098943843</v>
      </c>
      <c r="F22" s="5">
        <v>1</v>
      </c>
      <c r="G22" s="5">
        <v>0.58516928544189073</v>
      </c>
      <c r="H22" s="5">
        <v>1.1381238462069199</v>
      </c>
      <c r="I22" s="5">
        <v>0.98810927862417397</v>
      </c>
      <c r="J22" s="5">
        <v>4.7289332713104599</v>
      </c>
      <c r="K22" s="5">
        <v>0.98810927862417397</v>
      </c>
      <c r="L22" s="5">
        <v>4.7289332713104599</v>
      </c>
      <c r="M22" s="5">
        <v>1</v>
      </c>
      <c r="AL22" t="s">
        <v>170</v>
      </c>
      <c r="AM22" t="s">
        <v>145</v>
      </c>
      <c r="AN22" t="s">
        <v>72</v>
      </c>
      <c r="AO22" s="5">
        <v>3</v>
      </c>
      <c r="AP22" s="5">
        <v>0</v>
      </c>
      <c r="AQ22" s="5">
        <v>0</v>
      </c>
      <c r="AR22" s="5">
        <v>3</v>
      </c>
      <c r="AS22" s="5">
        <v>3</v>
      </c>
    </row>
    <row r="23" spans="2:45" x14ac:dyDescent="0.25">
      <c r="B23" t="s">
        <v>98</v>
      </c>
      <c r="C23" t="s">
        <v>79</v>
      </c>
      <c r="D23" t="s">
        <v>80</v>
      </c>
      <c r="E23" s="5">
        <v>2.276774818170757</v>
      </c>
      <c r="F23" s="5">
        <v>1</v>
      </c>
      <c r="G23" s="5">
        <v>0.45160614839991103</v>
      </c>
      <c r="H23" s="5">
        <v>0.8783504865595686</v>
      </c>
      <c r="I23" s="5">
        <v>0.98865877093700905</v>
      </c>
      <c r="J23" s="5">
        <v>4.1304081052144204</v>
      </c>
      <c r="K23" s="5">
        <v>0.98865877093700905</v>
      </c>
      <c r="L23" s="5">
        <v>4.1304081052144204</v>
      </c>
      <c r="M23" s="5">
        <v>1</v>
      </c>
      <c r="AL23" t="s">
        <v>171</v>
      </c>
      <c r="AM23" t="s">
        <v>147</v>
      </c>
      <c r="AN23" t="s">
        <v>72</v>
      </c>
      <c r="AO23" s="5">
        <v>3</v>
      </c>
      <c r="AP23" s="5">
        <v>0</v>
      </c>
      <c r="AQ23" s="5">
        <v>0</v>
      </c>
      <c r="AR23" s="5">
        <v>3</v>
      </c>
      <c r="AS23" s="5">
        <v>3</v>
      </c>
    </row>
    <row r="24" spans="2:45" x14ac:dyDescent="0.25">
      <c r="B24" t="s">
        <v>99</v>
      </c>
      <c r="C24" t="s">
        <v>90</v>
      </c>
      <c r="D24" t="s">
        <v>91</v>
      </c>
      <c r="E24" s="5">
        <v>2.276774818170757</v>
      </c>
      <c r="F24" s="5">
        <v>1</v>
      </c>
      <c r="G24" s="5">
        <v>0.45160614839991103</v>
      </c>
      <c r="H24" s="5">
        <v>0.8783504865595686</v>
      </c>
      <c r="I24" s="5">
        <v>0.98865877093700905</v>
      </c>
      <c r="J24" s="5">
        <v>4.1304081052144204</v>
      </c>
      <c r="K24" s="5">
        <v>0</v>
      </c>
      <c r="L24" s="5">
        <v>14.0414476655955</v>
      </c>
      <c r="M24" s="5">
        <v>117.47058823529412</v>
      </c>
    </row>
    <row r="25" spans="2:45" x14ac:dyDescent="0.25">
      <c r="B25" t="s">
        <v>103</v>
      </c>
      <c r="C25" t="s">
        <v>85</v>
      </c>
      <c r="D25" t="s">
        <v>86</v>
      </c>
      <c r="E25" s="5">
        <v>2.7249039468005769</v>
      </c>
      <c r="F25" s="5">
        <v>1</v>
      </c>
      <c r="G25" s="5">
        <v>0.37939450817001585</v>
      </c>
      <c r="H25" s="5">
        <v>0.73790259948822989</v>
      </c>
      <c r="I25" s="5">
        <v>1.7343363759050501</v>
      </c>
      <c r="J25" s="5">
        <v>4.5486927790840097</v>
      </c>
      <c r="K25" s="5">
        <v>4.8783094206100899E-2</v>
      </c>
      <c r="L25" s="5">
        <v>21.9295550003879</v>
      </c>
      <c r="M25" s="5">
        <v>118.82352941176471</v>
      </c>
    </row>
    <row r="26" spans="2:45" x14ac:dyDescent="0.25">
      <c r="C26" t="s">
        <v>87</v>
      </c>
      <c r="D26" t="s">
        <v>86</v>
      </c>
      <c r="E26" s="5">
        <v>1.6103332664741163</v>
      </c>
      <c r="F26" s="5">
        <v>1</v>
      </c>
      <c r="G26" s="5">
        <v>6.1275250018783402E-2</v>
      </c>
      <c r="H26" s="5">
        <v>0.11917717652594345</v>
      </c>
      <c r="I26" s="5">
        <v>1.41833463085361</v>
      </c>
      <c r="J26" s="5">
        <v>1.7811413925183199</v>
      </c>
      <c r="K26" s="5">
        <v>0</v>
      </c>
      <c r="L26" s="5">
        <v>15.9278211436392</v>
      </c>
      <c r="M26" s="5">
        <v>118.82352941176471</v>
      </c>
    </row>
    <row r="27" spans="2:45" x14ac:dyDescent="0.25">
      <c r="C27" t="s">
        <v>88</v>
      </c>
      <c r="D27" t="s">
        <v>86</v>
      </c>
      <c r="E27" s="5">
        <v>1.1145706803264603</v>
      </c>
      <c r="F27" s="5">
        <v>1</v>
      </c>
      <c r="G27" s="5">
        <v>0.33573750283328746</v>
      </c>
      <c r="H27" s="5">
        <v>0.65299199316651879</v>
      </c>
      <c r="I27" s="5">
        <v>0.31411653725854</v>
      </c>
      <c r="J27" s="5">
        <v>2.7770692321275301</v>
      </c>
      <c r="K27" s="5">
        <v>0</v>
      </c>
      <c r="L27" s="5">
        <v>14.2582487155402</v>
      </c>
      <c r="M27" s="5">
        <v>118.82352941176471</v>
      </c>
    </row>
    <row r="28" spans="2:45" x14ac:dyDescent="0.25">
      <c r="B28" t="s">
        <v>104</v>
      </c>
      <c r="C28" t="s">
        <v>90</v>
      </c>
      <c r="D28" t="s">
        <v>91</v>
      </c>
      <c r="E28" s="5">
        <v>1.1084830881867871</v>
      </c>
      <c r="F28" s="5">
        <v>1</v>
      </c>
      <c r="G28" s="5">
        <v>0.3407032781924717</v>
      </c>
      <c r="H28" s="5">
        <v>0.66265016814562161</v>
      </c>
      <c r="I28" s="5">
        <v>0.30890882984771101</v>
      </c>
      <c r="J28" s="5">
        <v>2.8010094841286302</v>
      </c>
      <c r="K28" s="5">
        <v>0</v>
      </c>
      <c r="L28" s="5">
        <v>14.2582487155402</v>
      </c>
      <c r="M28" s="5">
        <v>118.47058823529412</v>
      </c>
    </row>
    <row r="29" spans="2:45" x14ac:dyDescent="0.25">
      <c r="B29" t="s">
        <v>100</v>
      </c>
      <c r="C29" t="s">
        <v>79</v>
      </c>
      <c r="D29" t="s">
        <v>80</v>
      </c>
      <c r="E29" s="5">
        <v>1.2479418078945623</v>
      </c>
      <c r="F29" s="5">
        <v>1</v>
      </c>
      <c r="G29" s="5">
        <v>0.55487830754641054</v>
      </c>
      <c r="H29" s="5">
        <v>1.0792094685636386</v>
      </c>
      <c r="I29" s="5">
        <v>0.31984647428526602</v>
      </c>
      <c r="J29" s="5">
        <v>4.50094101938984</v>
      </c>
      <c r="K29" s="5">
        <v>0.31984647428526602</v>
      </c>
      <c r="L29" s="5">
        <v>4.50094101938984</v>
      </c>
      <c r="M29" s="5">
        <v>1</v>
      </c>
    </row>
    <row r="30" spans="2:45" x14ac:dyDescent="0.25">
      <c r="B30" t="s">
        <v>101</v>
      </c>
      <c r="C30" t="s">
        <v>79</v>
      </c>
      <c r="D30" t="s">
        <v>80</v>
      </c>
      <c r="E30" s="5">
        <v>1.1445938440067605</v>
      </c>
      <c r="F30" s="5">
        <v>1</v>
      </c>
      <c r="G30" s="5">
        <v>0.4503643613144116</v>
      </c>
      <c r="H30" s="5">
        <v>0.87593527521973991</v>
      </c>
      <c r="I30" s="5">
        <v>0.319489264505948</v>
      </c>
      <c r="J30" s="5">
        <v>3.55514158269076</v>
      </c>
      <c r="K30" s="5">
        <v>0.319489264505948</v>
      </c>
      <c r="L30" s="5">
        <v>3.55514158269076</v>
      </c>
      <c r="M30" s="5">
        <v>1</v>
      </c>
    </row>
    <row r="31" spans="2:45" x14ac:dyDescent="0.25">
      <c r="B31" t="s">
        <v>102</v>
      </c>
      <c r="C31" t="s">
        <v>79</v>
      </c>
      <c r="D31" t="s">
        <v>80</v>
      </c>
      <c r="E31" s="5">
        <v>1.1084830881867871</v>
      </c>
      <c r="F31" s="5">
        <v>1</v>
      </c>
      <c r="G31" s="5">
        <v>0.3407032781924717</v>
      </c>
      <c r="H31" s="5">
        <v>0.66265016814562161</v>
      </c>
      <c r="I31" s="5">
        <v>0.30890882984771101</v>
      </c>
      <c r="J31" s="5">
        <v>2.8010094841286302</v>
      </c>
      <c r="K31" s="5">
        <v>0.30890882984771101</v>
      </c>
      <c r="L31" s="5">
        <v>2.8010094841286302</v>
      </c>
      <c r="M31" s="5">
        <v>1</v>
      </c>
    </row>
    <row r="32" spans="2:45" x14ac:dyDescent="0.25">
      <c r="B32" t="s">
        <v>127</v>
      </c>
      <c r="C32" t="s">
        <v>71</v>
      </c>
      <c r="D32" t="s">
        <v>72</v>
      </c>
      <c r="E32" s="5">
        <v>0</v>
      </c>
      <c r="F32" s="5">
        <v>1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3</v>
      </c>
    </row>
    <row r="33" spans="2:13" x14ac:dyDescent="0.25">
      <c r="C33" t="s">
        <v>73</v>
      </c>
      <c r="D33" t="s">
        <v>72</v>
      </c>
      <c r="E33" s="5">
        <v>0</v>
      </c>
      <c r="F33" s="5">
        <v>1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3</v>
      </c>
    </row>
    <row r="34" spans="2:13" x14ac:dyDescent="0.25">
      <c r="C34" t="s">
        <v>74</v>
      </c>
      <c r="D34" t="s">
        <v>72</v>
      </c>
      <c r="E34" s="5">
        <v>0</v>
      </c>
      <c r="F34" s="5">
        <v>1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3</v>
      </c>
    </row>
    <row r="35" spans="2:13" x14ac:dyDescent="0.25">
      <c r="C35" t="s">
        <v>75</v>
      </c>
      <c r="D35" t="s">
        <v>72</v>
      </c>
      <c r="E35" s="5">
        <v>0</v>
      </c>
      <c r="F35" s="5">
        <v>1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3</v>
      </c>
    </row>
    <row r="36" spans="2:13" x14ac:dyDescent="0.25">
      <c r="C36" t="s">
        <v>76</v>
      </c>
      <c r="D36" t="s">
        <v>72</v>
      </c>
      <c r="E36" s="5">
        <v>0</v>
      </c>
      <c r="F36" s="5">
        <v>1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3</v>
      </c>
    </row>
    <row r="37" spans="2:13" x14ac:dyDescent="0.25">
      <c r="C37" t="s">
        <v>77</v>
      </c>
      <c r="D37" t="s">
        <v>72</v>
      </c>
      <c r="E37" s="5">
        <v>0</v>
      </c>
      <c r="F37" s="5">
        <v>1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3</v>
      </c>
    </row>
    <row r="38" spans="2:13" x14ac:dyDescent="0.25">
      <c r="B38" t="s">
        <v>105</v>
      </c>
      <c r="C38" t="s">
        <v>79</v>
      </c>
      <c r="D38" t="s">
        <v>80</v>
      </c>
      <c r="E38" s="5">
        <v>18.34562442381192</v>
      </c>
      <c r="F38" s="5">
        <v>1</v>
      </c>
      <c r="G38" s="5">
        <v>1.1093314123201146</v>
      </c>
      <c r="H38" s="5">
        <v>2.1575919398341346</v>
      </c>
      <c r="I38" s="5">
        <v>15.010749008421101</v>
      </c>
      <c r="J38" s="5">
        <v>22.816713775859</v>
      </c>
      <c r="K38" s="5">
        <v>0</v>
      </c>
      <c r="L38" s="5">
        <v>44.433668276207797</v>
      </c>
      <c r="M38" s="5">
        <v>16.764705882352942</v>
      </c>
    </row>
    <row r="39" spans="2:13" x14ac:dyDescent="0.25">
      <c r="B39" t="s">
        <v>106</v>
      </c>
      <c r="C39" t="s">
        <v>107</v>
      </c>
      <c r="D39" t="s">
        <v>80</v>
      </c>
      <c r="E39" s="5">
        <v>24.241469292582472</v>
      </c>
      <c r="F39" s="5">
        <v>1</v>
      </c>
      <c r="G39" s="5">
        <v>1.4672122014825797</v>
      </c>
      <c r="H39" s="5">
        <v>2.8536514740210155</v>
      </c>
      <c r="I39" s="5">
        <v>20.4127209261279</v>
      </c>
      <c r="J39" s="5">
        <v>30.794162534515099</v>
      </c>
      <c r="K39" s="5">
        <v>1.4828571817912699</v>
      </c>
      <c r="L39" s="5">
        <v>58.985521363316899</v>
      </c>
      <c r="M39" s="5">
        <v>16.764705882352942</v>
      </c>
    </row>
    <row r="40" spans="2:13" x14ac:dyDescent="0.25">
      <c r="B40" t="s">
        <v>108</v>
      </c>
      <c r="C40" t="s">
        <v>107</v>
      </c>
      <c r="D40" t="s">
        <v>80</v>
      </c>
      <c r="E40" s="5">
        <v>5.7761033051297623</v>
      </c>
      <c r="F40" s="5">
        <v>1</v>
      </c>
      <c r="G40" s="5">
        <v>0.80342640448186076</v>
      </c>
      <c r="H40" s="5">
        <v>1.5626225988990237</v>
      </c>
      <c r="I40" s="5">
        <v>3.4887446735180001</v>
      </c>
      <c r="J40" s="5">
        <v>9.0012419964087407</v>
      </c>
      <c r="K40" s="5">
        <v>0.41570428400530102</v>
      </c>
      <c r="L40" s="5">
        <v>25.382770849462698</v>
      </c>
      <c r="M40" s="5">
        <v>102</v>
      </c>
    </row>
    <row r="41" spans="2:13" x14ac:dyDescent="0.25">
      <c r="B41" t="s">
        <v>109</v>
      </c>
      <c r="C41" t="s">
        <v>107</v>
      </c>
      <c r="D41" t="s">
        <v>80</v>
      </c>
      <c r="E41" s="5">
        <v>5.1729399806801215</v>
      </c>
      <c r="F41" s="5">
        <v>1</v>
      </c>
      <c r="G41" s="5">
        <v>0.79654113205465416</v>
      </c>
      <c r="H41" s="5">
        <v>1.5492311018878344</v>
      </c>
      <c r="I41" s="5">
        <v>3.0847238028681798</v>
      </c>
      <c r="J41" s="5">
        <v>8.6324770448662207</v>
      </c>
      <c r="K41" s="5">
        <v>0.41570428400530102</v>
      </c>
      <c r="L41" s="5">
        <v>25.382770849462698</v>
      </c>
      <c r="M41" s="5">
        <v>63.117647058823529</v>
      </c>
    </row>
    <row r="42" spans="2:13" x14ac:dyDescent="0.25">
      <c r="B42" t="s">
        <v>110</v>
      </c>
      <c r="C42" t="s">
        <v>107</v>
      </c>
      <c r="D42" t="s">
        <v>80</v>
      </c>
      <c r="E42" s="5">
        <v>6.1949912689249045</v>
      </c>
      <c r="F42" s="5">
        <v>1</v>
      </c>
      <c r="G42" s="5">
        <v>0.84268917871446514</v>
      </c>
      <c r="H42" s="5">
        <v>1.6389866541119029</v>
      </c>
      <c r="I42" s="5">
        <v>3.3181766515664401</v>
      </c>
      <c r="J42" s="5">
        <v>8.9372165029935093</v>
      </c>
      <c r="K42" s="5">
        <v>0.83887633278111196</v>
      </c>
      <c r="L42" s="5">
        <v>23.168166097434302</v>
      </c>
      <c r="M42" s="5">
        <v>26.058823529411764</v>
      </c>
    </row>
    <row r="43" spans="2:13" x14ac:dyDescent="0.25">
      <c r="B43" t="s">
        <v>111</v>
      </c>
      <c r="C43" t="s">
        <v>107</v>
      </c>
      <c r="D43" t="s">
        <v>80</v>
      </c>
      <c r="E43" s="5">
        <v>7.5336534227855738</v>
      </c>
      <c r="F43" s="5">
        <v>1</v>
      </c>
      <c r="G43" s="5">
        <v>1.1903462133941762</v>
      </c>
      <c r="H43" s="5">
        <v>2.3151615172060418</v>
      </c>
      <c r="I43" s="5">
        <v>2.9825808036794701</v>
      </c>
      <c r="J43" s="5">
        <v>11.706880649765999</v>
      </c>
      <c r="K43" s="5">
        <v>1.36932320487489</v>
      </c>
      <c r="L43" s="5">
        <v>22.5301784793722</v>
      </c>
      <c r="M43" s="5">
        <v>7.5294117647058822</v>
      </c>
    </row>
    <row r="44" spans="2:13" x14ac:dyDescent="0.25">
      <c r="B44" t="s">
        <v>112</v>
      </c>
      <c r="C44" t="s">
        <v>107</v>
      </c>
      <c r="D44" t="s">
        <v>80</v>
      </c>
      <c r="E44" s="5">
        <v>8.3658295616101128</v>
      </c>
      <c r="F44" s="5">
        <v>1</v>
      </c>
      <c r="G44" s="5">
        <v>1.4391475326046577</v>
      </c>
      <c r="H44" s="5">
        <v>2.7990671517052195</v>
      </c>
      <c r="I44" s="5">
        <v>4.5501121552987103</v>
      </c>
      <c r="J44" s="5">
        <v>13.9857659300144</v>
      </c>
      <c r="K44" s="5">
        <v>1.71161498974072</v>
      </c>
      <c r="L44" s="5">
        <v>19.669924731540899</v>
      </c>
      <c r="M44" s="5">
        <v>3.6470588235294117</v>
      </c>
    </row>
    <row r="45" spans="2:13" x14ac:dyDescent="0.25">
      <c r="B45" t="s">
        <v>128</v>
      </c>
      <c r="C45" t="s">
        <v>107</v>
      </c>
      <c r="D45" t="s">
        <v>80</v>
      </c>
      <c r="E45" s="5">
        <v>10.573223748696392</v>
      </c>
      <c r="F45" s="5">
        <v>0</v>
      </c>
      <c r="G45" s="5">
        <v>2.2326217044135195</v>
      </c>
      <c r="H45" s="5">
        <v>3.6945954807904307</v>
      </c>
      <c r="I45" s="5">
        <v>4.3986978975121502</v>
      </c>
      <c r="J45" s="5">
        <v>16.734530035523999</v>
      </c>
      <c r="K45" s="5">
        <v>3.7027506622532398</v>
      </c>
      <c r="L45" s="5">
        <v>18.840349330144299</v>
      </c>
      <c r="M45" s="5">
        <v>1.6153846153846154</v>
      </c>
    </row>
    <row r="46" spans="2:13" x14ac:dyDescent="0.25">
      <c r="B46" t="s">
        <v>113</v>
      </c>
      <c r="C46" t="s">
        <v>107</v>
      </c>
      <c r="D46" t="s">
        <v>80</v>
      </c>
      <c r="E46" s="5">
        <v>10.24062266596184</v>
      </c>
      <c r="F46" s="5">
        <v>0</v>
      </c>
      <c r="G46" s="5">
        <v>4.3002895519336475</v>
      </c>
      <c r="H46" s="5">
        <v>4.6497370612929947</v>
      </c>
      <c r="I46" s="5">
        <v>5.5791751292079299</v>
      </c>
      <c r="J46" s="5">
        <v>18.191254840358098</v>
      </c>
      <c r="K46" s="5">
        <v>5.5791751292079299</v>
      </c>
      <c r="L46" s="5">
        <v>18.191254840358098</v>
      </c>
      <c r="M46" s="5">
        <v>1</v>
      </c>
    </row>
    <row r="47" spans="2:13" x14ac:dyDescent="0.25">
      <c r="B47" t="s">
        <v>114</v>
      </c>
      <c r="C47" t="s">
        <v>107</v>
      </c>
      <c r="D47" t="s">
        <v>80</v>
      </c>
      <c r="E47" s="5">
        <v>8.476767334896584</v>
      </c>
      <c r="F47" s="5">
        <v>1</v>
      </c>
      <c r="G47" s="5">
        <v>0.81123716841017435</v>
      </c>
      <c r="H47" s="5">
        <v>1.5778141287777554</v>
      </c>
      <c r="I47" s="5">
        <v>6.3029244422908404</v>
      </c>
      <c r="J47" s="5">
        <v>12.3809834783632</v>
      </c>
      <c r="K47" s="5">
        <v>0.49903761733864399</v>
      </c>
      <c r="L47" s="5">
        <v>59.068854696650199</v>
      </c>
      <c r="M47" s="5">
        <v>118.76470588235294</v>
      </c>
    </row>
    <row r="48" spans="2:13" x14ac:dyDescent="0.25">
      <c r="B48" t="s">
        <v>115</v>
      </c>
      <c r="C48" t="s">
        <v>79</v>
      </c>
      <c r="D48" t="s">
        <v>80</v>
      </c>
      <c r="E48" s="5">
        <v>0.32744849250211205</v>
      </c>
      <c r="F48" s="5">
        <v>1</v>
      </c>
      <c r="G48" s="5">
        <v>1.5031504870299871E-2</v>
      </c>
      <c r="H48" s="5">
        <v>2.9235495715303723E-2</v>
      </c>
      <c r="I48" s="5">
        <v>0.282977199494648</v>
      </c>
      <c r="J48" s="5">
        <v>0.37907847273247702</v>
      </c>
      <c r="K48" s="5">
        <v>3.1900428696474102E-3</v>
      </c>
      <c r="L48" s="5">
        <v>2.3863487431003101</v>
      </c>
      <c r="M48" s="5">
        <v>118.76470588235294</v>
      </c>
    </row>
    <row r="49" spans="2:13" x14ac:dyDescent="0.25">
      <c r="B49" t="s">
        <v>116</v>
      </c>
      <c r="C49" t="s">
        <v>79</v>
      </c>
      <c r="D49" t="s">
        <v>80</v>
      </c>
      <c r="E49" s="5">
        <v>0.31261073531401484</v>
      </c>
      <c r="F49" s="5">
        <v>1</v>
      </c>
      <c r="G49" s="5">
        <v>1.047930457487032E-2</v>
      </c>
      <c r="H49" s="5">
        <v>2.0381702739778445E-2</v>
      </c>
      <c r="I49" s="5">
        <v>0.28620902532745701</v>
      </c>
      <c r="J49" s="5">
        <v>0.35222640757045898</v>
      </c>
      <c r="K49" s="5">
        <v>2.7295964517620099E-2</v>
      </c>
      <c r="L49" s="5">
        <v>1.3578592622225301</v>
      </c>
      <c r="M49" s="5">
        <v>118.76470588235294</v>
      </c>
    </row>
    <row r="50" spans="2:13" x14ac:dyDescent="0.25">
      <c r="B50" t="s">
        <v>117</v>
      </c>
      <c r="C50" t="s">
        <v>79</v>
      </c>
      <c r="D50" t="s">
        <v>80</v>
      </c>
      <c r="E50" s="5">
        <v>17.070129614099912</v>
      </c>
      <c r="F50" s="5">
        <v>1</v>
      </c>
      <c r="G50" s="5">
        <v>1.3327150421017175</v>
      </c>
      <c r="H50" s="5">
        <v>2.5920614894700362</v>
      </c>
      <c r="I50" s="5">
        <v>13.482385434320999</v>
      </c>
      <c r="J50" s="5">
        <v>22.917358741694599</v>
      </c>
      <c r="K50" s="5">
        <v>0</v>
      </c>
      <c r="L50" s="5">
        <v>44.433668276207797</v>
      </c>
      <c r="M50" s="5">
        <v>118.76470588235294</v>
      </c>
    </row>
    <row r="51" spans="2:13" x14ac:dyDescent="0.25">
      <c r="B51" t="s">
        <v>118</v>
      </c>
      <c r="C51" t="s">
        <v>79</v>
      </c>
      <c r="D51" t="s">
        <v>80</v>
      </c>
      <c r="E51" s="5">
        <v>8.7208139600551107</v>
      </c>
      <c r="F51" s="5">
        <v>1</v>
      </c>
      <c r="G51" s="5">
        <v>1.4681286462488794</v>
      </c>
      <c r="H51" s="5">
        <v>2.855433911459559</v>
      </c>
      <c r="I51" s="5">
        <v>4.1973972240350799</v>
      </c>
      <c r="J51" s="5">
        <v>15.7564955839941</v>
      </c>
      <c r="K51" s="5">
        <v>4.1973972240350799</v>
      </c>
      <c r="L51" s="5">
        <v>15.7564955839941</v>
      </c>
      <c r="M51" s="5">
        <v>1</v>
      </c>
    </row>
    <row r="52" spans="2:13" x14ac:dyDescent="0.25">
      <c r="B52" t="s">
        <v>119</v>
      </c>
      <c r="C52" t="s">
        <v>79</v>
      </c>
      <c r="D52" t="s">
        <v>80</v>
      </c>
      <c r="E52" s="5">
        <v>8.6031889508027444</v>
      </c>
      <c r="F52" s="5">
        <v>1</v>
      </c>
      <c r="G52" s="5">
        <v>0.99731266768281568</v>
      </c>
      <c r="H52" s="5">
        <v>1.9397213036513103</v>
      </c>
      <c r="I52" s="5">
        <v>6.3741941897433199</v>
      </c>
      <c r="J52" s="5">
        <v>12.798658986762799</v>
      </c>
      <c r="K52" s="5">
        <v>6.3741941897433199</v>
      </c>
      <c r="L52" s="5">
        <v>12.798658986762799</v>
      </c>
      <c r="M52" s="5">
        <v>1</v>
      </c>
    </row>
    <row r="53" spans="2:13" x14ac:dyDescent="0.25">
      <c r="B53" t="s">
        <v>120</v>
      </c>
      <c r="C53" t="s">
        <v>79</v>
      </c>
      <c r="D53" t="s">
        <v>80</v>
      </c>
      <c r="E53" s="5">
        <v>8.476767334896584</v>
      </c>
      <c r="F53" s="5">
        <v>1</v>
      </c>
      <c r="G53" s="5">
        <v>0.81123716841017435</v>
      </c>
      <c r="H53" s="5">
        <v>1.5778141287777554</v>
      </c>
      <c r="I53" s="5">
        <v>6.3029244422908404</v>
      </c>
      <c r="J53" s="5">
        <v>12.3809834783632</v>
      </c>
      <c r="K53" s="5">
        <v>6.3029244422908404</v>
      </c>
      <c r="L53" s="5">
        <v>12.3809834783632</v>
      </c>
      <c r="M53" s="5">
        <v>1</v>
      </c>
    </row>
    <row r="54" spans="2:13" x14ac:dyDescent="0.25">
      <c r="B54" t="s">
        <v>121</v>
      </c>
      <c r="C54" t="s">
        <v>79</v>
      </c>
      <c r="D54" t="s">
        <v>80</v>
      </c>
      <c r="E54" s="5">
        <v>0.94117647058823528</v>
      </c>
      <c r="F54" s="5">
        <v>1</v>
      </c>
      <c r="G54" s="5">
        <v>0.12470031171889735</v>
      </c>
      <c r="H54" s="5">
        <v>0.242535625036333</v>
      </c>
      <c r="I54" s="5">
        <v>0</v>
      </c>
      <c r="J54" s="5">
        <v>1</v>
      </c>
      <c r="K54" s="5">
        <v>0</v>
      </c>
      <c r="L54" s="5">
        <v>1</v>
      </c>
      <c r="M54" s="5">
        <v>1</v>
      </c>
    </row>
    <row r="55" spans="2:13" x14ac:dyDescent="0.25">
      <c r="B55" t="s">
        <v>122</v>
      </c>
      <c r="C55" t="s">
        <v>79</v>
      </c>
      <c r="D55" t="s">
        <v>80</v>
      </c>
      <c r="E55" s="5">
        <v>0.82352941176470584</v>
      </c>
      <c r="F55" s="5">
        <v>1</v>
      </c>
      <c r="G55" s="5">
        <v>0.20203759631520121</v>
      </c>
      <c r="H55" s="5">
        <v>0.3929526239966879</v>
      </c>
      <c r="I55" s="5">
        <v>0</v>
      </c>
      <c r="J55" s="5">
        <v>1</v>
      </c>
      <c r="K55" s="5">
        <v>0</v>
      </c>
      <c r="L55" s="5">
        <v>1</v>
      </c>
      <c r="M55" s="5">
        <v>1</v>
      </c>
    </row>
    <row r="56" spans="2:13" x14ac:dyDescent="0.25">
      <c r="B56" t="s">
        <v>123</v>
      </c>
      <c r="C56" t="s">
        <v>79</v>
      </c>
      <c r="D56" t="s">
        <v>80</v>
      </c>
      <c r="E56" s="5">
        <v>0.70588235294117652</v>
      </c>
      <c r="F56" s="5">
        <v>1</v>
      </c>
      <c r="G56" s="5">
        <v>0.24148111527708152</v>
      </c>
      <c r="H56" s="5">
        <v>0.46966821831386213</v>
      </c>
      <c r="I56" s="5">
        <v>0</v>
      </c>
      <c r="J56" s="5">
        <v>1</v>
      </c>
      <c r="K56" s="5">
        <v>0</v>
      </c>
      <c r="L56" s="5">
        <v>1</v>
      </c>
      <c r="M56" s="5">
        <v>1</v>
      </c>
    </row>
    <row r="57" spans="2:13" x14ac:dyDescent="0.25">
      <c r="B57" t="s">
        <v>124</v>
      </c>
      <c r="C57" t="s">
        <v>79</v>
      </c>
      <c r="D57" t="s">
        <v>80</v>
      </c>
      <c r="E57" s="5">
        <v>0.84205960461850793</v>
      </c>
      <c r="F57" s="5">
        <v>1</v>
      </c>
      <c r="G57" s="5">
        <v>7.1953433013555584E-2</v>
      </c>
      <c r="H57" s="5">
        <v>0.13994568745579178</v>
      </c>
      <c r="I57" s="5">
        <v>0.51184062690283305</v>
      </c>
      <c r="J57" s="5">
        <v>1</v>
      </c>
      <c r="K57" s="5">
        <v>0.51184062690283305</v>
      </c>
      <c r="L57" s="5">
        <v>1</v>
      </c>
      <c r="M57" s="5">
        <v>1</v>
      </c>
    </row>
    <row r="58" spans="2:13" x14ac:dyDescent="0.25">
      <c r="B58" t="s">
        <v>125</v>
      </c>
      <c r="C58" t="s">
        <v>79</v>
      </c>
      <c r="D58" t="s">
        <v>80</v>
      </c>
      <c r="E58" s="5">
        <v>0.82690040692096956</v>
      </c>
      <c r="F58" s="5">
        <v>1</v>
      </c>
      <c r="G58" s="5">
        <v>5.041222060568018E-2</v>
      </c>
      <c r="H58" s="5">
        <v>9.8049148919771928E-2</v>
      </c>
      <c r="I58" s="5">
        <v>0.67389585758374404</v>
      </c>
      <c r="J58" s="5">
        <v>0.98352716210802005</v>
      </c>
      <c r="K58" s="5">
        <v>0.67389585758374404</v>
      </c>
      <c r="L58" s="5">
        <v>0.98352716210802005</v>
      </c>
      <c r="M58" s="5">
        <v>1</v>
      </c>
    </row>
    <row r="59" spans="2:13" x14ac:dyDescent="0.25">
      <c r="B59" t="s">
        <v>126</v>
      </c>
      <c r="C59" t="s">
        <v>79</v>
      </c>
      <c r="D59" t="s">
        <v>80</v>
      </c>
      <c r="E59" s="5">
        <v>0.82034721885470152</v>
      </c>
      <c r="F59" s="5">
        <v>1</v>
      </c>
      <c r="G59" s="5">
        <v>3.3674816741294945E-2</v>
      </c>
      <c r="H59" s="5">
        <v>6.5495768324500853E-2</v>
      </c>
      <c r="I59" s="5">
        <v>0.73534383204610498</v>
      </c>
      <c r="J59" s="5">
        <v>0.95888680213271504</v>
      </c>
      <c r="K59" s="5">
        <v>0.73534383204610498</v>
      </c>
      <c r="L59" s="5">
        <v>0.95888680213271504</v>
      </c>
      <c r="M59" s="5">
        <v>1</v>
      </c>
    </row>
  </sheetData>
  <dataConsolidate/>
  <conditionalFormatting pivot="1" sqref="G3:G59">
    <cfRule type="expression" dxfId="31" priority="14">
      <formula>G3=200000000000000000000</formula>
    </cfRule>
  </conditionalFormatting>
  <conditionalFormatting pivot="1" sqref="T3:T21">
    <cfRule type="expression" dxfId="30" priority="13">
      <formula>T3=200000000000000000000</formula>
    </cfRule>
  </conditionalFormatting>
  <conditionalFormatting pivot="1" sqref="T3:T21">
    <cfRule type="expression" dxfId="29" priority="12">
      <formula>T3=300000000000000000000</formula>
    </cfRule>
  </conditionalFormatting>
  <conditionalFormatting pivot="1" sqref="G3:G59">
    <cfRule type="expression" dxfId="28" priority="11">
      <formula>G3=300000000000000000000</formula>
    </cfRule>
  </conditionalFormatting>
  <conditionalFormatting pivot="1" sqref="F3:F59">
    <cfRule type="expression" dxfId="27" priority="10">
      <formula>F3=0</formula>
    </cfRule>
  </conditionalFormatting>
  <conditionalFormatting pivot="1" sqref="F3:F59">
    <cfRule type="expression" dxfId="26" priority="9">
      <formula>F3=1</formula>
    </cfRule>
  </conditionalFormatting>
  <conditionalFormatting pivot="1" sqref="T3:T21">
    <cfRule type="expression" dxfId="25" priority="8">
      <formula>T3=400000000000000000000</formula>
    </cfRule>
  </conditionalFormatting>
  <conditionalFormatting pivot="1" sqref="AP3:AP2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5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956"/>
  <sheetViews>
    <sheetView workbookViewId="0">
      <selection activeCell="A2" sqref="A2:K61"/>
    </sheetView>
  </sheetViews>
  <sheetFormatPr baseColWidth="10" defaultColWidth="9.140625" defaultRowHeight="15" x14ac:dyDescent="0.25"/>
  <cols>
    <col min="1" max="1" width="15.5703125" bestFit="1" customWidth="1"/>
    <col min="2" max="2" width="22.140625" bestFit="1" customWidth="1"/>
    <col min="3" max="3" width="13.28515625" bestFit="1" customWidth="1"/>
    <col min="4" max="4" width="33.85546875" bestFit="1" customWidth="1"/>
    <col min="5" max="5" width="19.42578125" bestFit="1" customWidth="1"/>
    <col min="6" max="6" width="13.7109375" bestFit="1" customWidth="1"/>
    <col min="7" max="7" width="12" bestFit="1" customWidth="1"/>
    <col min="8" max="8" width="23.5703125" bestFit="1" customWidth="1"/>
    <col min="9" max="9" width="12" bestFit="1" customWidth="1"/>
    <col min="10" max="10" width="12.28515625" bestFit="1" customWidth="1"/>
    <col min="11" max="11" width="22.42578125" bestFit="1" customWidth="1"/>
    <col min="12" max="12" width="69" bestFit="1" customWidth="1"/>
    <col min="13" max="13" width="17.140625" bestFit="1" customWidth="1"/>
    <col min="14" max="14" width="20.140625" bestFit="1" customWidth="1"/>
    <col min="15" max="15" width="17.85546875" bestFit="1" customWidth="1"/>
    <col min="16" max="16" width="20.42578125" bestFit="1" customWidth="1"/>
    <col min="17" max="17" width="12.42578125" bestFit="1" customWidth="1"/>
    <col min="18" max="18" width="19.42578125" bestFit="1" customWidth="1"/>
    <col min="19" max="19" width="19.7109375" bestFit="1" customWidth="1"/>
    <col min="20" max="20" width="18.5703125" bestFit="1" customWidth="1"/>
    <col min="21" max="21" width="18.85546875" bestFit="1" customWidth="1"/>
    <col min="22" max="22" width="30" bestFit="1" customWidth="1"/>
    <col min="23" max="23" width="20.85546875" bestFit="1" customWidth="1"/>
    <col min="24" max="24" width="24.28515625" bestFit="1" customWidth="1"/>
    <col min="25" max="25" width="22.570312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125</v>
      </c>
      <c r="L2" t="str">
        <f>DiscreteStatsTable[[#This Row],[ProjectName]]&amp;DiscreteStatsTable[[#This Row],[Name]]&amp;DiscreteStatsTable[[#This Row],[Type]]&amp;DiscreteStatsTable[[#This Row],[Source]]</f>
        <v>Weekend (base)ClienteNVA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17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17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0.705486358412581</v>
      </c>
      <c r="H3">
        <v>2E+20</v>
      </c>
      <c r="I3">
        <v>0.169637592876107</v>
      </c>
      <c r="J3">
        <v>2.77237376987748</v>
      </c>
      <c r="K3">
        <v>125</v>
      </c>
      <c r="L3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17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0.64005922781612723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0.56954522570007104</v>
      </c>
      <c r="S3" cm="1">
        <f t="array" ref="S3">MAX(IF((DiscreteStatsTable[GroupByKey]=DiscreteStatsTable[[#This Row],[GroupByKey]]),(DiscreteStatsTable[GroupByKey]=DiscreteStatsTable[[#This Row],[GroupByKey]])*DiscreteStatsTable[Average]))</f>
        <v>0.71891620780174204</v>
      </c>
      <c r="T3" cm="1">
        <f t="array" ref="T3">MIN(IF((DiscreteStatsTable[GroupByKey]=DiscreteStatsTable[[#This Row],[GroupByKey]]),(DiscreteStatsTable[GroupByKey]=DiscreteStatsTable[[#This Row],[GroupByKey]])*DiscreteStatsTable[Minimum]))</f>
        <v>6.2080029502567399E-2</v>
      </c>
      <c r="U3" cm="1">
        <f t="array" ref="U3">MAX(IF((DiscreteStatsTable[GroupByKey]=DiscreteStatsTable[[#This Row],[GroupByKey]]),(DiscreteStatsTable[GroupByKey]=DiscreteStatsTable[[#This Row],[GroupByKey]])*DiscreteStatsTable[Maximum]))</f>
        <v>3.07779584713577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">
        <f>IF((DiscreteStatsTable[[#This Row],[RepsRequested]]&gt;1),DiscreteStatsTable[[#This Row],[HalfWidth]],DiscreteStatsTable[[#This Row],[BatchMeansHalfWidth]])</f>
        <v>2.3140274669479658E-2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17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8.4545823751403208</v>
      </c>
      <c r="H4">
        <v>2E+20</v>
      </c>
      <c r="I4">
        <v>0.85916784632652798</v>
      </c>
      <c r="J4">
        <v>43.466040921324797</v>
      </c>
      <c r="K4">
        <v>125</v>
      </c>
      <c r="L4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17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8.476767334896584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1.5778141287777554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6.3029244422908404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12.3809834783632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0.49903761733864399</v>
      </c>
      <c r="U4" cm="1">
        <f t="array" ref="U4">MAX(IF((DiscreteStatsTable[GroupByKey]=DiscreteStatsTable[[#This Row],[GroupByKey]]),(DiscreteStatsTable[GroupByKey]=DiscreteStatsTable[[#This Row],[GroupByKey]])*DiscreteStatsTable[Maximum]))</f>
        <v>59.068854696650199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">
        <f>IF((DiscreteStatsTable[[#This Row],[RepsRequested]]&gt;1),DiscreteStatsTable[[#This Row],[HalfWidth]],DiscreteStatsTable[[#This Row],[BatchMeansHalfWidth]])</f>
        <v>0.81123716841017435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17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0.233333333333337</v>
      </c>
      <c r="H5">
        <v>2E+20</v>
      </c>
      <c r="I5">
        <v>0.23333333333331999</v>
      </c>
      <c r="J5">
        <v>0.23333333333334799</v>
      </c>
      <c r="K5">
        <v>125</v>
      </c>
      <c r="L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17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0.23333333333333733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5" cm="1">
        <f t="array" ref="R5">MIN(IF((DiscreteStatsTable[GroupByKey]=DiscreteStatsTable[[#This Row],[GroupByKey]]),(DiscreteStatsTable[GroupByKey]=DiscreteStatsTable[[#This Row],[GroupByKey]])*DiscreteStatsTable[Average]))</f>
        <v>0.233333333333334</v>
      </c>
      <c r="S5" cm="1">
        <f t="array" ref="S5">MAX(IF((DiscreteStatsTable[GroupByKey]=DiscreteStatsTable[[#This Row],[GroupByKey]]),(DiscreteStatsTable[GroupByKey]=DiscreteStatsTable[[#This Row],[GroupByKey]])*DiscreteStatsTable[Average]))</f>
        <v>0.233333333333339</v>
      </c>
      <c r="T5" cm="1">
        <f t="array" ref="T5">MIN(IF((DiscreteStatsTable[GroupByKey]=DiscreteStatsTable[[#This Row],[GroupByKey]]),(DiscreteStatsTable[GroupByKey]=DiscreteStatsTable[[#This Row],[GroupByKey]])*DiscreteStatsTable[Minimum]))</f>
        <v>0.23333333333331999</v>
      </c>
      <c r="U5" cm="1">
        <f t="array" ref="U5">MAX(IF((DiscreteStatsTable[GroupByKey]=DiscreteStatsTable[[#This Row],[GroupByKey]]),(DiscreteStatsTable[GroupByKey]=DiscreteStatsTable[[#This Row],[GroupByKey]])*DiscreteStatsTable[Maximum]))</f>
        <v>0.23333333333334799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">
        <f>IF((DiscreteStatsTable[[#This Row],[RepsRequested]]&gt;1),DiscreteStatsTable[[#This Row],[HalfWidth]],DiscreteStatsTable[[#This Row],[BatchMeansHalfWidth]])</f>
        <v>6.277442205015305E-16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17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4.2146267056124902</v>
      </c>
      <c r="H6">
        <v>2E+20</v>
      </c>
      <c r="I6">
        <v>7.6832724142946104E-2</v>
      </c>
      <c r="J6">
        <v>34.981578953107302</v>
      </c>
      <c r="K6">
        <v>125</v>
      </c>
      <c r="L6" t="str">
        <f>DiscreteStatsTable[[#This Row],[ProjectName]]&amp;DiscreteStatsTable[[#This Row],[Name]]&amp;DiscreteStatsTable[[#This Row],[Type]]&amp;DiscreteStatsTable[[#This Row],[Source]]</f>
        <v>Weekend (base)ClienteVA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17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4.2002866238083385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0.46019281010737506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6" cm="1">
        <f t="array" ref="R6">MIN(IF((DiscreteStatsTable[GroupByKey]=DiscreteStatsTable[[#This Row],[GroupByKey]]),(DiscreteStatsTable[GroupByKey]=DiscreteStatsTable[[#This Row],[GroupByKey]])*DiscreteStatsTable[Average]))</f>
        <v>3.4983558905782202</v>
      </c>
      <c r="S6" cm="1">
        <f t="array" ref="S6">MAX(IF((DiscreteStatsTable[GroupByKey]=DiscreteStatsTable[[#This Row],[GroupByKey]]),(DiscreteStatsTable[GroupByKey]=DiscreteStatsTable[[#This Row],[GroupByKey]])*DiscreteStatsTable[Average]))</f>
        <v>5.2882290525835298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4.8783094206100899E-2</v>
      </c>
      <c r="U6" cm="1">
        <f t="array" ref="U6">MAX(IF((DiscreteStatsTable[GroupByKey]=DiscreteStatsTable[[#This Row],[GroupByKey]]),(DiscreteStatsTable[GroupByKey]=DiscreteStatsTable[[#This Row],[GroupByKey]])*DiscreteStatsTable[Maximum]))</f>
        <v>44.837649128962603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">
        <f>IF((DiscreteStatsTable[[#This Row],[RepsRequested]]&gt;1),DiscreteStatsTable[[#This Row],[HalfWidth]],DiscreteStatsTable[[#This Row],[BatchMeansHalfWidth]])</f>
        <v>0.23660930992132923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17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5.8886151258202801</v>
      </c>
      <c r="H7">
        <v>2E+20</v>
      </c>
      <c r="I7">
        <v>7.73538560408156E-2</v>
      </c>
      <c r="J7">
        <v>28.423819628114298</v>
      </c>
      <c r="K7">
        <v>125</v>
      </c>
      <c r="L7" t="str">
        <f>DiscreteStatsTable[[#This Row],[ProjectName]]&amp;DiscreteStatsTable[[#This Row],[Name]]&amp;DiscreteStatsTable[[#This Row],[Type]]&amp;DiscreteStatsTable[[#This Row],[Source]]</f>
        <v>Weekend (base)ClienteWait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17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6.1661674524885619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2.1705008948157731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7" cm="1">
        <f t="array" ref="R7">MIN(IF((DiscreteStatsTable[GroupByKey]=DiscreteStatsTable[[#This Row],[GroupByKey]]),(DiscreteStatsTable[GroupByKey]=DiscreteStatsTable[[#This Row],[GroupByKey]])*DiscreteStatsTable[Average]))</f>
        <v>3.2797723254625799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11.483148854180399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4.6225482577341402E-2</v>
      </c>
      <c r="U7" cm="1">
        <f t="array" ref="U7">MAX(IF((DiscreteStatsTable[GroupByKey]=DiscreteStatsTable[[#This Row],[GroupByKey]]),(DiscreteStatsTable[GroupByKey]=DiscreteStatsTable[[#This Row],[GroupByKey]])*DiscreteStatsTable[Maximum]))</f>
        <v>35.927727096959302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">
        <f>IF((DiscreteStatsTable[[#This Row],[RepsRequested]]&gt;1),DiscreteStatsTable[[#This Row],[HalfWidth]],DiscreteStatsTable[[#This Row],[BatchMeansHalfWidth]])</f>
        <v>1.1159685845290814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17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117</v>
      </c>
      <c r="L8" t="str">
        <f>DiscreteStatsTable[[#This Row],[ProjectName]]&amp;DiscreteStatsTable[[#This Row],[Name]]&amp;DiscreteStatsTable[[#This Row],[Type]]&amp;DiscreteStatsTable[[#This Row],[Source]]</f>
        <v>Weekend (base)ClienteNVA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17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17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0.60220538399521695</v>
      </c>
      <c r="H9">
        <v>2E+20</v>
      </c>
      <c r="I9">
        <v>0.18115599249468101</v>
      </c>
      <c r="J9">
        <v>1.34451287775357</v>
      </c>
      <c r="K9">
        <v>117</v>
      </c>
      <c r="L9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17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0.64005922781612723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0.56954522570007104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0.71891620780174204</v>
      </c>
      <c r="T9" cm="1">
        <f t="array" ref="T9">MIN(IF((DiscreteStatsTable[GroupByKey]=DiscreteStatsTable[[#This Row],[GroupByKey]]),(DiscreteStatsTable[GroupByKey]=DiscreteStatsTable[[#This Row],[GroupByKey]])*DiscreteStatsTable[Minimum]))</f>
        <v>6.2080029502567399E-2</v>
      </c>
      <c r="U9" cm="1">
        <f t="array" ref="U9">MAX(IF((DiscreteStatsTable[GroupByKey]=DiscreteStatsTable[[#This Row],[GroupByKey]]),(DiscreteStatsTable[GroupByKey]=DiscreteStatsTable[[#This Row],[GroupByKey]])*DiscreteStatsTable[Maximum]))</f>
        <v>3.07779584713577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">
        <f>IF((DiscreteStatsTable[[#This Row],[RepsRequested]]&gt;1),DiscreteStatsTable[[#This Row],[HalfWidth]],DiscreteStatsTable[[#This Row],[BatchMeansHalfWidth]])</f>
        <v>2.3140274669479658E-2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17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8.31402861988715</v>
      </c>
      <c r="H10">
        <v>2E+20</v>
      </c>
      <c r="I10">
        <v>0.70672821920527396</v>
      </c>
      <c r="J10">
        <v>38.737216146511997</v>
      </c>
      <c r="K10">
        <v>117</v>
      </c>
      <c r="L10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17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8.476767334896584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1.5778141287777554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6.3029244422908404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12.3809834783632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0.49903761733864399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59.068854696650199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">
        <f>IF((DiscreteStatsTable[[#This Row],[RepsRequested]]&gt;1),DiscreteStatsTable[[#This Row],[HalfWidth]],DiscreteStatsTable[[#This Row],[BatchMeansHalfWidth]])</f>
        <v>0.81123716841017435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17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0.233333333333334</v>
      </c>
      <c r="H11">
        <v>2E+20</v>
      </c>
      <c r="I11">
        <v>0.23333333333331999</v>
      </c>
      <c r="J11">
        <v>0.23333333333334799</v>
      </c>
      <c r="K11">
        <v>117</v>
      </c>
      <c r="L11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17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0.23333333333333733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0.233333333333334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0.233333333333339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0.23333333333331999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0.23333333333334799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">
        <f>IF((DiscreteStatsTable[[#This Row],[RepsRequested]]&gt;1),DiscreteStatsTable[[#This Row],[HalfWidth]],DiscreteStatsTable[[#This Row],[BatchMeansHalfWidth]])</f>
        <v>6.277442205015305E-16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17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3.7598916008227801</v>
      </c>
      <c r="H12">
        <v>2E+20</v>
      </c>
      <c r="I12">
        <v>8.6978967344236893E-2</v>
      </c>
      <c r="J12">
        <v>29.088541665680498</v>
      </c>
      <c r="K12">
        <v>117</v>
      </c>
      <c r="L12" t="str">
        <f>DiscreteStatsTable[[#This Row],[ProjectName]]&amp;DiscreteStatsTable[[#This Row],[Name]]&amp;DiscreteStatsTable[[#This Row],[Type]]&amp;DiscreteStatsTable[[#This Row],[Source]]</f>
        <v>Weekend (base)ClienteVA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17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4.2002866238083385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0.46019281010737506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3.4983558905782202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5.2882290525835298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4.8783094206100899E-2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44.837649128962603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2">
        <f>IF((DiscreteStatsTable[[#This Row],[RepsRequested]]&gt;1),DiscreteStatsTable[[#This Row],[HalfWidth]],DiscreteStatsTable[[#This Row],[BatchMeansHalfWidth]])</f>
        <v>0.23660930992132923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17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6.7003146152418802</v>
      </c>
      <c r="H13">
        <v>2E+20</v>
      </c>
      <c r="I13">
        <v>7.0312300677557005E-2</v>
      </c>
      <c r="J13">
        <v>22.130293894575399</v>
      </c>
      <c r="K13">
        <v>117</v>
      </c>
      <c r="L13" t="str">
        <f>DiscreteStatsTable[[#This Row],[ProjectName]]&amp;DiscreteStatsTable[[#This Row],[Name]]&amp;DiscreteStatsTable[[#This Row],[Type]]&amp;DiscreteStatsTable[[#This Row],[Source]]</f>
        <v>Weekend (base)ClienteWait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17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6.1661674524885619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2.1705008948157731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3.2797723254625799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11.483148854180399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4.6225482577341402E-2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35.927727096959302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3">
        <f>IF((DiscreteStatsTable[[#This Row],[RepsRequested]]&gt;1),DiscreteStatsTable[[#This Row],[HalfWidth]],DiscreteStatsTable[[#This Row],[BatchMeansHalfWidth]])</f>
        <v>1.1159685845290814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17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126</v>
      </c>
      <c r="L14" t="str">
        <f>DiscreteStatsTable[[#This Row],[ProjectName]]&amp;DiscreteStatsTable[[#This Row],[Name]]&amp;DiscreteStatsTable[[#This Row],[Type]]&amp;DiscreteStatsTable[[#This Row],[Source]]</f>
        <v>Weekend (base)ClienteNVA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17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17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0.69090797323493802</v>
      </c>
      <c r="H15">
        <v>2E+20</v>
      </c>
      <c r="I15">
        <v>0.16932208974282001</v>
      </c>
      <c r="J15">
        <v>2.2872246919335701</v>
      </c>
      <c r="K15">
        <v>126</v>
      </c>
      <c r="L1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17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0.64005922781612723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0.56954522570007104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0.71891620780174204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6.2080029502567399E-2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3.07779584713577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5">
        <f>IF((DiscreteStatsTable[[#This Row],[RepsRequested]]&gt;1),DiscreteStatsTable[[#This Row],[HalfWidth]],DiscreteStatsTable[[#This Row],[BatchMeansHalfWidth]])</f>
        <v>2.3140274669479658E-2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17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10.781600802494999</v>
      </c>
      <c r="H16">
        <v>2E+20</v>
      </c>
      <c r="I16">
        <v>0.59350794441101595</v>
      </c>
      <c r="J16">
        <v>40.485627405697102</v>
      </c>
      <c r="K16">
        <v>126</v>
      </c>
      <c r="L16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17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8.476767334896584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1.5778141287777554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6.3029244422908404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12.3809834783632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0.49903761733864399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59.068854696650199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6">
        <f>IF((DiscreteStatsTable[[#This Row],[RepsRequested]]&gt;1),DiscreteStatsTable[[#This Row],[HalfWidth]],DiscreteStatsTable[[#This Row],[BatchMeansHalfWidth]])</f>
        <v>0.81123716841017435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17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0.233333333333338</v>
      </c>
      <c r="H17">
        <v>2E+20</v>
      </c>
      <c r="I17">
        <v>0.23333333333331999</v>
      </c>
      <c r="J17">
        <v>0.23333333333334799</v>
      </c>
      <c r="K17">
        <v>126</v>
      </c>
      <c r="L17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17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0.23333333333333733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0.233333333333334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0.233333333333339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0.23333333333331999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0.23333333333334799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7">
        <f>IF((DiscreteStatsTable[[#This Row],[RepsRequested]]&gt;1),DiscreteStatsTable[[#This Row],[HalfWidth]],DiscreteStatsTable[[#This Row],[BatchMeansHalfWidth]])</f>
        <v>6.277442205015305E-16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17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4.1547945678044496</v>
      </c>
      <c r="H18">
        <v>2E+20</v>
      </c>
      <c r="I18">
        <v>0.105406515071508</v>
      </c>
      <c r="J18">
        <v>37.434904884044499</v>
      </c>
      <c r="K18">
        <v>126</v>
      </c>
      <c r="L18" t="str">
        <f>DiscreteStatsTable[[#This Row],[ProjectName]]&amp;DiscreteStatsTable[[#This Row],[Name]]&amp;DiscreteStatsTable[[#This Row],[Type]]&amp;DiscreteStatsTable[[#This Row],[Source]]</f>
        <v>Weekend (base)ClienteVA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17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4.2002866238083385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0.46019281010737506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3.4983558905782202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5.2882290525835298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4.8783094206100899E-2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44.837649128962603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8">
        <f>IF((DiscreteStatsTable[[#This Row],[RepsRequested]]&gt;1),DiscreteStatsTable[[#This Row],[HalfWidth]],DiscreteStatsTable[[#This Row],[BatchMeansHalfWidth]])</f>
        <v>0.23660930992132923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17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9.6253384669611997</v>
      </c>
      <c r="H19">
        <v>2E+20</v>
      </c>
      <c r="I19">
        <v>8.8739848404827598E-2</v>
      </c>
      <c r="J19">
        <v>24.209950571129401</v>
      </c>
      <c r="K19">
        <v>126</v>
      </c>
      <c r="L19" t="str">
        <f>DiscreteStatsTable[[#This Row],[ProjectName]]&amp;DiscreteStatsTable[[#This Row],[Name]]&amp;DiscreteStatsTable[[#This Row],[Type]]&amp;DiscreteStatsTable[[#This Row],[Source]]</f>
        <v>Weekend (base)ClienteWait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17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6.1661674524885619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2.1705008948157731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3.2797723254625799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11.483148854180399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4.6225482577341402E-2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35.927727096959302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9">
        <f>IF((DiscreteStatsTable[[#This Row],[RepsRequested]]&gt;1),DiscreteStatsTable[[#This Row],[HalfWidth]],DiscreteStatsTable[[#This Row],[BatchMeansHalfWidth]])</f>
        <v>1.1159685845290814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17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130</v>
      </c>
      <c r="L20" t="str">
        <f>DiscreteStatsTable[[#This Row],[ProjectName]]&amp;DiscreteStatsTable[[#This Row],[Name]]&amp;DiscreteStatsTable[[#This Row],[Type]]&amp;DiscreteStatsTable[[#This Row],[Source]]</f>
        <v>Weekend (base)ClienteNVA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17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17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0.66703222028272202</v>
      </c>
      <c r="H21">
        <v>2E+20</v>
      </c>
      <c r="I21">
        <v>0.101496466271186</v>
      </c>
      <c r="J21">
        <v>2.5502252451240999</v>
      </c>
      <c r="K21">
        <v>130</v>
      </c>
      <c r="L21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17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0.64005922781612723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0.56954522570007104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0.71891620780174204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6.2080029502567399E-2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3.07779584713577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1">
        <f>IF((DiscreteStatsTable[[#This Row],[RepsRequested]]&gt;1),DiscreteStatsTable[[#This Row],[HalfWidth]],DiscreteStatsTable[[#This Row],[BatchMeansHalfWidth]])</f>
        <v>2.3140274669479658E-2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17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7.7944480602891604</v>
      </c>
      <c r="H22">
        <v>2E+20</v>
      </c>
      <c r="I22">
        <v>0.69049380728114296</v>
      </c>
      <c r="J22">
        <v>39.020925414430302</v>
      </c>
      <c r="K22">
        <v>130</v>
      </c>
      <c r="L22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17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8.476767334896584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1.5778141287777554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6.3029244422908404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12.3809834783632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0.49903761733864399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59.068854696650199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2">
        <f>IF((DiscreteStatsTable[[#This Row],[RepsRequested]]&gt;1),DiscreteStatsTable[[#This Row],[HalfWidth]],DiscreteStatsTable[[#This Row],[BatchMeansHalfWidth]])</f>
        <v>0.81123716841017435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17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0.233333333333338</v>
      </c>
      <c r="H23">
        <v>2E+20</v>
      </c>
      <c r="I23">
        <v>0.23333333333331999</v>
      </c>
      <c r="J23">
        <v>0.23333333333334799</v>
      </c>
      <c r="K23">
        <v>130</v>
      </c>
      <c r="L23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17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0.23333333333333733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0.233333333333334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0.233333333333339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0.23333333333331999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0.23333333333334799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3">
        <f>IF((DiscreteStatsTable[[#This Row],[RepsRequested]]&gt;1),DiscreteStatsTable[[#This Row],[HalfWidth]],DiscreteStatsTable[[#This Row],[BatchMeansHalfWidth]])</f>
        <v>6.277442205015305E-16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17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3.8212142823806499</v>
      </c>
      <c r="H24">
        <v>2E+20</v>
      </c>
      <c r="I24">
        <v>4.8783094206100899E-2</v>
      </c>
      <c r="J24">
        <v>33.442719546495702</v>
      </c>
      <c r="K24">
        <v>130</v>
      </c>
      <c r="L24" t="str">
        <f>DiscreteStatsTable[[#This Row],[ProjectName]]&amp;DiscreteStatsTable[[#This Row],[Name]]&amp;DiscreteStatsTable[[#This Row],[Type]]&amp;DiscreteStatsTable[[#This Row],[Source]]</f>
        <v>Weekend (base)ClienteVA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17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4.2002866238083385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0.46019281010737506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3.4983558905782202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5.2882290525835298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4.8783094206100899E-2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44.837649128962603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4">
        <f>IF((DiscreteStatsTable[[#This Row],[RepsRequested]]&gt;1),DiscreteStatsTable[[#This Row],[HalfWidth]],DiscreteStatsTable[[#This Row],[BatchMeansHalfWidth]])</f>
        <v>0.23660930992132923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17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5.5672803900819599</v>
      </c>
      <c r="H25">
        <v>2E+20</v>
      </c>
      <c r="I25">
        <v>0.20313111811020701</v>
      </c>
      <c r="J25">
        <v>15.2606761622074</v>
      </c>
      <c r="K25">
        <v>130</v>
      </c>
      <c r="L2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17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6.1661674524885619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2.1705008948157731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3.2797723254625799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11.483148854180399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4.6225482577341402E-2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35.927727096959302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5">
        <f>IF((DiscreteStatsTable[[#This Row],[RepsRequested]]&gt;1),DiscreteStatsTable[[#This Row],[HalfWidth]],DiscreteStatsTable[[#This Row],[BatchMeansHalfWidth]])</f>
        <v>1.1159685845290814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17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130</v>
      </c>
      <c r="L26" t="str">
        <f>DiscreteStatsTable[[#This Row],[ProjectName]]&amp;DiscreteStatsTable[[#This Row],[Name]]&amp;DiscreteStatsTable[[#This Row],[Type]]&amp;DiscreteStatsTable[[#This Row],[Source]]</f>
        <v>Weekend (base)ClienteNVA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17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17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0.58746163597160395</v>
      </c>
      <c r="H27">
        <v>2E+20</v>
      </c>
      <c r="I27">
        <v>6.2080029502567399E-2</v>
      </c>
      <c r="J27">
        <v>2.4869215576272601</v>
      </c>
      <c r="K27">
        <v>130</v>
      </c>
      <c r="L27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17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0.64005922781612723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0.56954522570007104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0.71891620780174204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6.2080029502567399E-2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3.07779584713577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7">
        <f>IF((DiscreteStatsTable[[#This Row],[RepsRequested]]&gt;1),DiscreteStatsTable[[#This Row],[HalfWidth]],DiscreteStatsTable[[#This Row],[BatchMeansHalfWidth]])</f>
        <v>2.3140274669479658E-2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17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8.2246744712782096</v>
      </c>
      <c r="H28">
        <v>2E+20</v>
      </c>
      <c r="I28">
        <v>0.49903761733864399</v>
      </c>
      <c r="J28">
        <v>44.080644859439801</v>
      </c>
      <c r="K28">
        <v>130</v>
      </c>
      <c r="L28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17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8.476767334896584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1.5778141287777554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6.3029244422908404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12.3809834783632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0.49903761733864399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59.068854696650199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8">
        <f>IF((DiscreteStatsTable[[#This Row],[RepsRequested]]&gt;1),DiscreteStatsTable[[#This Row],[HalfWidth]],DiscreteStatsTable[[#This Row],[BatchMeansHalfWidth]])</f>
        <v>0.81123716841017435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17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0.233333333333339</v>
      </c>
      <c r="H29">
        <v>2E+20</v>
      </c>
      <c r="I29">
        <v>0.23333333333331999</v>
      </c>
      <c r="J29">
        <v>0.23333333333334799</v>
      </c>
      <c r="K29">
        <v>130</v>
      </c>
      <c r="L29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17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0.23333333333333733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0.233333333333334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0.233333333333339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0.23333333333331999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0.23333333333334799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29">
        <f>IF((DiscreteStatsTable[[#This Row],[RepsRequested]]&gt;1),DiscreteStatsTable[[#This Row],[HalfWidth]],DiscreteStatsTable[[#This Row],[BatchMeansHalfWidth]])</f>
        <v>6.277442205015305E-16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17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4.29223503111821</v>
      </c>
      <c r="H30">
        <v>2E+20</v>
      </c>
      <c r="I30">
        <v>6.6051079522992495E-2</v>
      </c>
      <c r="J30">
        <v>43.594905534033202</v>
      </c>
      <c r="K30">
        <v>130</v>
      </c>
      <c r="L30" t="str">
        <f>DiscreteStatsTable[[#This Row],[ProjectName]]&amp;DiscreteStatsTable[[#This Row],[Name]]&amp;DiscreteStatsTable[[#This Row],[Type]]&amp;DiscreteStatsTable[[#This Row],[Source]]</f>
        <v>Weekend (base)ClienteVA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17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4.2002866238083385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0.46019281010737506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3.4983558905782202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5.2882290525835298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4.8783094206100899E-2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44.837649128962603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0">
        <f>IF((DiscreteStatsTable[[#This Row],[RepsRequested]]&gt;1),DiscreteStatsTable[[#This Row],[HalfWidth]],DiscreteStatsTable[[#This Row],[BatchMeansHalfWidth]])</f>
        <v>0.23660930992132923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17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5.5489172432494502</v>
      </c>
      <c r="H31">
        <v>2E+20</v>
      </c>
      <c r="I31">
        <v>8.9034689974113193E-2</v>
      </c>
      <c r="J31">
        <v>15.513079068181399</v>
      </c>
      <c r="K31">
        <v>130</v>
      </c>
      <c r="L31" t="str">
        <f>DiscreteStatsTable[[#This Row],[ProjectName]]&amp;DiscreteStatsTable[[#This Row],[Name]]&amp;DiscreteStatsTable[[#This Row],[Type]]&amp;DiscreteStatsTable[[#This Row],[Source]]</f>
        <v>Weekend (base)ClienteWait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17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6.1661674524885619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2.1705008948157731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3.2797723254625799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11.483148854180399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4.6225482577341402E-2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35.927727096959302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1">
        <f>IF((DiscreteStatsTable[[#This Row],[RepsRequested]]&gt;1),DiscreteStatsTable[[#This Row],[HalfWidth]],DiscreteStatsTable[[#This Row],[BatchMeansHalfWidth]])</f>
        <v>1.1159685845290814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17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120</v>
      </c>
      <c r="L32" t="str">
        <f>DiscreteStatsTable[[#This Row],[ProjectName]]&amp;DiscreteStatsTable[[#This Row],[Name]]&amp;DiscreteStatsTable[[#This Row],[Type]]&amp;DiscreteStatsTable[[#This Row],[Source]]</f>
        <v>Weekend (base)ClienteNVA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17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17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0.63681908352601002</v>
      </c>
      <c r="H33">
        <v>2E+20</v>
      </c>
      <c r="I33">
        <v>0.148896087479159</v>
      </c>
      <c r="J33">
        <v>2.1399929760824801</v>
      </c>
      <c r="K33">
        <v>120</v>
      </c>
      <c r="L33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17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0.64005922781612723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0.56954522570007104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0.71891620780174204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6.2080029502567399E-2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3.07779584713577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3">
        <f>IF((DiscreteStatsTable[[#This Row],[RepsRequested]]&gt;1),DiscreteStatsTable[[#This Row],[HalfWidth]],DiscreteStatsTable[[#This Row],[BatchMeansHalfWidth]])</f>
        <v>2.3140274669479658E-2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17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6.3029244422908404</v>
      </c>
      <c r="H34">
        <v>2E+20</v>
      </c>
      <c r="I34">
        <v>0.70330296436537798</v>
      </c>
      <c r="J34">
        <v>41.586768190049099</v>
      </c>
      <c r="K34">
        <v>120</v>
      </c>
      <c r="L34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17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8.476767334896584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1.5778141287777554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6.3029244422908404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12.3809834783632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0.49903761733864399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59.068854696650199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4">
        <f>IF((DiscreteStatsTable[[#This Row],[RepsRequested]]&gt;1),DiscreteStatsTable[[#This Row],[HalfWidth]],DiscreteStatsTable[[#This Row],[BatchMeansHalfWidth]])</f>
        <v>0.81123716841017435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17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0.233333333333337</v>
      </c>
      <c r="H35">
        <v>2E+20</v>
      </c>
      <c r="I35">
        <v>0.23333333333331999</v>
      </c>
      <c r="J35">
        <v>0.23333333333334799</v>
      </c>
      <c r="K35">
        <v>120</v>
      </c>
      <c r="L3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17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0.23333333333333733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0.233333333333334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0.233333333333339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0.23333333333331999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0.23333333333334799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5">
        <f>IF((DiscreteStatsTable[[#This Row],[RepsRequested]]&gt;1),DiscreteStatsTable[[#This Row],[HalfWidth]],DiscreteStatsTable[[#This Row],[BatchMeansHalfWidth]])</f>
        <v>6.277442205015305E-16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17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3.9791013711611201</v>
      </c>
      <c r="H36">
        <v>2E+20</v>
      </c>
      <c r="I36">
        <v>8.7529510649943604E-2</v>
      </c>
      <c r="J36">
        <v>36.055866822269103</v>
      </c>
      <c r="K36">
        <v>120</v>
      </c>
      <c r="L36" t="str">
        <f>DiscreteStatsTable[[#This Row],[ProjectName]]&amp;DiscreteStatsTable[[#This Row],[Name]]&amp;DiscreteStatsTable[[#This Row],[Type]]&amp;DiscreteStatsTable[[#This Row],[Source]]</f>
        <v>Weekend (base)ClienteVA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17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4.2002866238083385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0.46019281010737506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3.4983558905782202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5.2882290525835298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4.8783094206100899E-2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44.837649128962603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6">
        <f>IF((DiscreteStatsTable[[#This Row],[RepsRequested]]&gt;1),DiscreteStatsTable[[#This Row],[HalfWidth]],DiscreteStatsTable[[#This Row],[BatchMeansHalfWidth]])</f>
        <v>0.23660930992132923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17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3.2797723254625799</v>
      </c>
      <c r="H37">
        <v>2E+20</v>
      </c>
      <c r="I37">
        <v>7.0862843983263701E-2</v>
      </c>
      <c r="J37">
        <v>13.3250378487503</v>
      </c>
      <c r="K37">
        <v>120</v>
      </c>
      <c r="L37" t="str">
        <f>DiscreteStatsTable[[#This Row],[ProjectName]]&amp;DiscreteStatsTable[[#This Row],[Name]]&amp;DiscreteStatsTable[[#This Row],[Type]]&amp;DiscreteStatsTable[[#This Row],[Source]]</f>
        <v>Weekend (base)ClienteWait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17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6.1661674524885619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2.1705008948157731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3.2797723254625799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11.483148854180399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4.6225482577341402E-2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35.927727096959302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7">
        <f>IF((DiscreteStatsTable[[#This Row],[RepsRequested]]&gt;1),DiscreteStatsTable[[#This Row],[HalfWidth]],DiscreteStatsTable[[#This Row],[BatchMeansHalfWidth]])</f>
        <v>1.1159685845290814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17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107</v>
      </c>
      <c r="L38" t="str">
        <f>DiscreteStatsTable[[#This Row],[ProjectName]]&amp;DiscreteStatsTable[[#This Row],[Name]]&amp;DiscreteStatsTable[[#This Row],[Type]]&amp;DiscreteStatsTable[[#This Row],[Source]]</f>
        <v>Weekend (base)ClienteNVA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17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17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0.71891620780174204</v>
      </c>
      <c r="H39">
        <v>2E+20</v>
      </c>
      <c r="I39">
        <v>8.4619390095525701E-2</v>
      </c>
      <c r="J39">
        <v>2.8276635428573802</v>
      </c>
      <c r="K39">
        <v>107</v>
      </c>
      <c r="L39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17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0.64005922781612723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0.56954522570007104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0.71891620780174204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6.2080029502567399E-2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3.07779584713577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39">
        <f>IF((DiscreteStatsTable[[#This Row],[RepsRequested]]&gt;1),DiscreteStatsTable[[#This Row],[HalfWidth]],DiscreteStatsTable[[#This Row],[BatchMeansHalfWidth]])</f>
        <v>2.3140274669479658E-2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17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8.0267605025559501</v>
      </c>
      <c r="H40">
        <v>2E+20</v>
      </c>
      <c r="I40">
        <v>0.56875282116780601</v>
      </c>
      <c r="J40">
        <v>46.508024686921303</v>
      </c>
      <c r="K40">
        <v>107</v>
      </c>
      <c r="L40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17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8.476767334896584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1.5778141287777554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6.3029244422908404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12.3809834783632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0.49903761733864399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59.068854696650199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0">
        <f>IF((DiscreteStatsTable[[#This Row],[RepsRequested]]&gt;1),DiscreteStatsTable[[#This Row],[HalfWidth]],DiscreteStatsTable[[#This Row],[BatchMeansHalfWidth]])</f>
        <v>0.81123716841017435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17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0.233333333333338</v>
      </c>
      <c r="H41">
        <v>2E+20</v>
      </c>
      <c r="I41">
        <v>0.23333333333331999</v>
      </c>
      <c r="J41">
        <v>0.23333333333334799</v>
      </c>
      <c r="K41">
        <v>107</v>
      </c>
      <c r="L41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17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0.23333333333333733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0.233333333333334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0.233333333333339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0.23333333333331999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0.23333333333334799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1">
        <f>IF((DiscreteStatsTable[[#This Row],[RepsRequested]]&gt;1),DiscreteStatsTable[[#This Row],[HalfWidth]],DiscreteStatsTable[[#This Row],[BatchMeansHalfWidth]])</f>
        <v>6.277442205015305E-16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17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4.7378540939075604</v>
      </c>
      <c r="H42">
        <v>2E+20</v>
      </c>
      <c r="I42">
        <v>9.4886653473935198E-2</v>
      </c>
      <c r="J42">
        <v>40.415328943604798</v>
      </c>
      <c r="K42">
        <v>107</v>
      </c>
      <c r="L42" t="str">
        <f>DiscreteStatsTable[[#This Row],[ProjectName]]&amp;DiscreteStatsTable[[#This Row],[Name]]&amp;DiscreteStatsTable[[#This Row],[Type]]&amp;DiscreteStatsTable[[#This Row],[Source]]</f>
        <v>Weekend (base)ClienteVA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17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4.2002866238083385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0.46019281010737506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3.4983558905782202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5.2882290525835298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4.8783094206100899E-2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44.837649128962603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2">
        <f>IF((DiscreteStatsTable[[#This Row],[RepsRequested]]&gt;1),DiscreteStatsTable[[#This Row],[HalfWidth]],DiscreteStatsTable[[#This Row],[BatchMeansHalfWidth]])</f>
        <v>0.23660930992132923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17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4.6623211850597901</v>
      </c>
      <c r="H43">
        <v>2E+20</v>
      </c>
      <c r="I43">
        <v>8.9529835323446605E-2</v>
      </c>
      <c r="J43">
        <v>13.958828131384999</v>
      </c>
      <c r="K43">
        <v>107</v>
      </c>
      <c r="L43" t="str">
        <f>DiscreteStatsTable[[#This Row],[ProjectName]]&amp;DiscreteStatsTable[[#This Row],[Name]]&amp;DiscreteStatsTable[[#This Row],[Type]]&amp;DiscreteStatsTable[[#This Row],[Source]]</f>
        <v>Weekend (base)ClienteWait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17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6.1661674524885619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2.1705008948157731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3.2797723254625799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11.483148854180399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4.6225482577341402E-2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35.927727096959302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3">
        <f>IF((DiscreteStatsTable[[#This Row],[RepsRequested]]&gt;1),DiscreteStatsTable[[#This Row],[HalfWidth]],DiscreteStatsTable[[#This Row],[BatchMeansHalfWidth]])</f>
        <v>1.1159685845290814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17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2E+20</v>
      </c>
      <c r="I44">
        <v>0</v>
      </c>
      <c r="J44">
        <v>0</v>
      </c>
      <c r="K44">
        <v>119</v>
      </c>
      <c r="L44" t="str">
        <f>DiscreteStatsTable[[#This Row],[ProjectName]]&amp;DiscreteStatsTable[[#This Row],[Name]]&amp;DiscreteStatsTable[[#This Row],[Type]]&amp;DiscreteStatsTable[[#This Row],[Source]]</f>
        <v>Weekend (base)ClienteNVA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17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17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0.64502550068780196</v>
      </c>
      <c r="H45">
        <v>2E+20</v>
      </c>
      <c r="I45">
        <v>8.7769437444251294E-2</v>
      </c>
      <c r="J45">
        <v>3.07779584713577</v>
      </c>
      <c r="K45">
        <v>119</v>
      </c>
      <c r="L4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17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0.64005922781612723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0.56954522570007104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0.71891620780174204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6.2080029502567399E-2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3.07779584713577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5">
        <f>IF((DiscreteStatsTable[[#This Row],[RepsRequested]]&gt;1),DiscreteStatsTable[[#This Row],[HalfWidth]],DiscreteStatsTable[[#This Row],[BatchMeansHalfWidth]])</f>
        <v>2.3140274669479658E-2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17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12.3809834783632</v>
      </c>
      <c r="H46">
        <v>2E+20</v>
      </c>
      <c r="I46">
        <v>0.89432155814576197</v>
      </c>
      <c r="J46">
        <v>58.049421412935096</v>
      </c>
      <c r="K46">
        <v>119</v>
      </c>
      <c r="L46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17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8.476767334896584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1.5778141287777554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6.3029244422908404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12.3809834783632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0.49903761733864399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59.068854696650199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6">
        <f>IF((DiscreteStatsTable[[#This Row],[RepsRequested]]&gt;1),DiscreteStatsTable[[#This Row],[HalfWidth]],DiscreteStatsTable[[#This Row],[BatchMeansHalfWidth]])</f>
        <v>0.81123716841017435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17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0.233333333333337</v>
      </c>
      <c r="H47">
        <v>2E+20</v>
      </c>
      <c r="I47">
        <v>0.23333333333331999</v>
      </c>
      <c r="J47">
        <v>0.23333333333334799</v>
      </c>
      <c r="K47">
        <v>119</v>
      </c>
      <c r="L47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17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0.23333333333333733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0.233333333333334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0.233333333333339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0.23333333333331999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0.23333333333334799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7">
        <f>IF((DiscreteStatsTable[[#This Row],[RepsRequested]]&gt;1),DiscreteStatsTable[[#This Row],[HalfWidth]],DiscreteStatsTable[[#This Row],[BatchMeansHalfWidth]])</f>
        <v>6.277442205015305E-16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17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4.5709565466579098</v>
      </c>
      <c r="H48">
        <v>2E+20</v>
      </c>
      <c r="I48">
        <v>5.7741408836392297E-2</v>
      </c>
      <c r="J48">
        <v>40.996035732802703</v>
      </c>
      <c r="K48">
        <v>119</v>
      </c>
      <c r="L48" t="str">
        <f>DiscreteStatsTable[[#This Row],[ProjectName]]&amp;DiscreteStatsTable[[#This Row],[Name]]&amp;DiscreteStatsTable[[#This Row],[Type]]&amp;DiscreteStatsTable[[#This Row],[Source]]</f>
        <v>Weekend (base)ClienteVA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17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4.2002866238083385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0.46019281010737506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3.4983558905782202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5.2882290525835298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4.8783094206100899E-2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44.837649128962603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8">
        <f>IF((DiscreteStatsTable[[#This Row],[RepsRequested]]&gt;1),DiscreteStatsTable[[#This Row],[HalfWidth]],DiscreteStatsTable[[#This Row],[BatchMeansHalfWidth]])</f>
        <v>0.23660930992132923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17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11.483148854180399</v>
      </c>
      <c r="H49">
        <v>2E+20</v>
      </c>
      <c r="I49">
        <v>0.10905213470312</v>
      </c>
      <c r="J49">
        <v>35.927727096959302</v>
      </c>
      <c r="K49">
        <v>119</v>
      </c>
      <c r="L49" t="str">
        <f>DiscreteStatsTable[[#This Row],[ProjectName]]&amp;DiscreteStatsTable[[#This Row],[Name]]&amp;DiscreteStatsTable[[#This Row],[Type]]&amp;DiscreteStatsTable[[#This Row],[Source]]</f>
        <v>Weekend (base)ClienteWait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17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6.1661674524885619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2.1705008948157731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3.2797723254625799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11.483148854180399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4.6225482577341402E-2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35.927727096959302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49">
        <f>IF((DiscreteStatsTable[[#This Row],[RepsRequested]]&gt;1),DiscreteStatsTable[[#This Row],[HalfWidth]],DiscreteStatsTable[[#This Row],[BatchMeansHalfWidth]])</f>
        <v>1.1159685845290814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17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120</v>
      </c>
      <c r="L50" t="str">
        <f>DiscreteStatsTable[[#This Row],[ProjectName]]&amp;DiscreteStatsTable[[#This Row],[Name]]&amp;DiscreteStatsTable[[#This Row],[Type]]&amp;DiscreteStatsTable[[#This Row],[Source]]</f>
        <v>Weekend (base)ClienteNVA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17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17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0.66936428202460396</v>
      </c>
      <c r="H51">
        <v>2E+20</v>
      </c>
      <c r="I51">
        <v>0.15296473154786799</v>
      </c>
      <c r="J51">
        <v>2.5367199261492299</v>
      </c>
      <c r="K51">
        <v>120</v>
      </c>
      <c r="L51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17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0.64005922781612723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0.56954522570007104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0.71891620780174204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6.2080029502567399E-2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3.07779584713577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1">
        <f>IF((DiscreteStatsTable[[#This Row],[RepsRequested]]&gt;1),DiscreteStatsTable[[#This Row],[HalfWidth]],DiscreteStatsTable[[#This Row],[BatchMeansHalfWidth]])</f>
        <v>2.3140274669479658E-2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17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7.7326570398544501</v>
      </c>
      <c r="H52">
        <v>2E+20</v>
      </c>
      <c r="I52">
        <v>0.55434824506934899</v>
      </c>
      <c r="J52">
        <v>38.092374132475904</v>
      </c>
      <c r="K52">
        <v>120</v>
      </c>
      <c r="L52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17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8.476767334896584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1.5778141287777554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6.3029244422908404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12.3809834783632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0.49903761733864399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59.068854696650199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2">
        <f>IF((DiscreteStatsTable[[#This Row],[RepsRequested]]&gt;1),DiscreteStatsTable[[#This Row],[HalfWidth]],DiscreteStatsTable[[#This Row],[BatchMeansHalfWidth]])</f>
        <v>0.81123716841017435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17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0.233333333333337</v>
      </c>
      <c r="H53">
        <v>2E+20</v>
      </c>
      <c r="I53">
        <v>0.23333333333331999</v>
      </c>
      <c r="J53">
        <v>0.23333333333334799</v>
      </c>
      <c r="K53">
        <v>120</v>
      </c>
      <c r="L53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17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0.23333333333333733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0.233333333333334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0.233333333333339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0.23333333333331999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0.23333333333334799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3">
        <f>IF((DiscreteStatsTable[[#This Row],[RepsRequested]]&gt;1),DiscreteStatsTable[[#This Row],[HalfWidth]],DiscreteStatsTable[[#This Row],[BatchMeansHalfWidth]])</f>
        <v>6.277442205015305E-16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17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3.4983558905782202</v>
      </c>
      <c r="H54">
        <v>2E+20</v>
      </c>
      <c r="I54">
        <v>7.0999501424836395E-2</v>
      </c>
      <c r="J54">
        <v>30.053358918594501</v>
      </c>
      <c r="K54">
        <v>120</v>
      </c>
      <c r="L54" t="str">
        <f>DiscreteStatsTable[[#This Row],[ProjectName]]&amp;DiscreteStatsTable[[#This Row],[Name]]&amp;DiscreteStatsTable[[#This Row],[Type]]&amp;DiscreteStatsTable[[#This Row],[Source]]</f>
        <v>Weekend (base)ClienteVA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17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4.2002866238083385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0.46019281010737506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3.4983558905782202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5.2882290525835298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4.8783094206100899E-2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44.837649128962603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4">
        <f>IF((DiscreteStatsTable[[#This Row],[RepsRequested]]&gt;1),DiscreteStatsTable[[#This Row],[HalfWidth]],DiscreteStatsTable[[#This Row],[BatchMeansHalfWidth]])</f>
        <v>0.23660930992132923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17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6.1375764523010501</v>
      </c>
      <c r="H55">
        <v>2E+20</v>
      </c>
      <c r="I55">
        <v>6.0091465803424199E-2</v>
      </c>
      <c r="J55">
        <v>21.7215907940259</v>
      </c>
      <c r="K55">
        <v>120</v>
      </c>
      <c r="L5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17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6.1661674524885619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2.1705008948157731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3.2797723254625799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11.483148854180399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4.6225482577341402E-2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35.927727096959302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5">
        <f>IF((DiscreteStatsTable[[#This Row],[RepsRequested]]&gt;1),DiscreteStatsTable[[#This Row],[HalfWidth]],DiscreteStatsTable[[#This Row],[BatchMeansHalfWidth]])</f>
        <v>1.1159685845290814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17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124</v>
      </c>
      <c r="L56" t="str">
        <f>DiscreteStatsTable[[#This Row],[ProjectName]]&amp;DiscreteStatsTable[[#This Row],[Name]]&amp;DiscreteStatsTable[[#This Row],[Type]]&amp;DiscreteStatsTable[[#This Row],[Source]]</f>
        <v>Weekend (base)ClienteNVA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17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17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0.69147831247456404</v>
      </c>
      <c r="H57">
        <v>2E+20</v>
      </c>
      <c r="I57">
        <v>0.157739310061459</v>
      </c>
      <c r="J57">
        <v>2.4640204779605601</v>
      </c>
      <c r="K57">
        <v>124</v>
      </c>
      <c r="L57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17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0.64005922781612723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0.56954522570007104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0.71891620780174204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6.2080029502567399E-2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3.07779584713577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7">
        <f>IF((DiscreteStatsTable[[#This Row],[RepsRequested]]&gt;1),DiscreteStatsTable[[#This Row],[HalfWidth]],DiscreteStatsTable[[#This Row],[BatchMeansHalfWidth]])</f>
        <v>2.3140274669479658E-2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17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9.9469886069776194</v>
      </c>
      <c r="H58">
        <v>2E+20</v>
      </c>
      <c r="I58">
        <v>0.734060739053504</v>
      </c>
      <c r="J58">
        <v>46.040540549425899</v>
      </c>
      <c r="K58">
        <v>124</v>
      </c>
      <c r="L58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17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8.476767334896584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1.5778141287777554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6.3029244422908404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12.3809834783632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0.49903761733864399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59.068854696650199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8">
        <f>IF((DiscreteStatsTable[[#This Row],[RepsRequested]]&gt;1),DiscreteStatsTable[[#This Row],[HalfWidth]],DiscreteStatsTable[[#This Row],[BatchMeansHalfWidth]])</f>
        <v>0.81123716841017435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17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0.233333333333338</v>
      </c>
      <c r="H59">
        <v>2E+20</v>
      </c>
      <c r="I59">
        <v>0.23333333333331999</v>
      </c>
      <c r="J59">
        <v>0.23333333333334799</v>
      </c>
      <c r="K59">
        <v>124</v>
      </c>
      <c r="L59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17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0.23333333333333733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0.233333333333334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0.233333333333339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0.23333333333331999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0.23333333333334799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59">
        <f>IF((DiscreteStatsTable[[#This Row],[RepsRequested]]&gt;1),DiscreteStatsTable[[#This Row],[HalfWidth]],DiscreteStatsTable[[#This Row],[BatchMeansHalfWidth]])</f>
        <v>6.277442205015305E-16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17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5.2882290525835298</v>
      </c>
      <c r="H60">
        <v>2E+20</v>
      </c>
      <c r="I60">
        <v>8.4527203756607605E-2</v>
      </c>
      <c r="J60">
        <v>38.9356218378039</v>
      </c>
      <c r="K60">
        <v>124</v>
      </c>
      <c r="L60" t="str">
        <f>DiscreteStatsTable[[#This Row],[ProjectName]]&amp;DiscreteStatsTable[[#This Row],[Name]]&amp;DiscreteStatsTable[[#This Row],[Type]]&amp;DiscreteStatsTable[[#This Row],[Source]]</f>
        <v>Weekend (base)ClienteVA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17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4.2002866238083385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0.46019281010737506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3.4983558905782202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5.2882290525835298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4.8783094206100899E-2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44.837649128962603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0">
        <f>IF((DiscreteStatsTable[[#This Row],[RepsRequested]]&gt;1),DiscreteStatsTable[[#This Row],[HalfWidth]],DiscreteStatsTable[[#This Row],[BatchMeansHalfWidth]])</f>
        <v>0.23660930992132923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17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6.7435763796374504</v>
      </c>
      <c r="H61">
        <v>2E+20</v>
      </c>
      <c r="I61">
        <v>0.100773937079566</v>
      </c>
      <c r="J61">
        <v>16.895071137195199</v>
      </c>
      <c r="K61">
        <v>124</v>
      </c>
      <c r="L61" t="str">
        <f>DiscreteStatsTable[[#This Row],[ProjectName]]&amp;DiscreteStatsTable[[#This Row],[Name]]&amp;DiscreteStatsTable[[#This Row],[Type]]&amp;DiscreteStatsTable[[#This Row],[Source]]</f>
        <v>Weekend (base)ClienteWait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17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6.1661674524885619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2.1705008948157731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3.2797723254625799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11.483148854180399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4.6225482577341402E-2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35.927727096959302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1">
        <f>IF((DiscreteStatsTable[[#This Row],[RepsRequested]]&gt;1),DiscreteStatsTable[[#This Row],[HalfWidth]],DiscreteStatsTable[[#This Row],[BatchMeansHalfWidth]])</f>
        <v>1.1159685845290814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17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69</v>
      </c>
      <c r="C62">
        <v>11</v>
      </c>
      <c r="D62" t="s">
        <v>70</v>
      </c>
      <c r="E62" t="s">
        <v>71</v>
      </c>
      <c r="F62" t="s">
        <v>72</v>
      </c>
      <c r="G62">
        <v>0</v>
      </c>
      <c r="H62">
        <v>2E+20</v>
      </c>
      <c r="I62">
        <v>0</v>
      </c>
      <c r="J62">
        <v>0</v>
      </c>
      <c r="K62">
        <v>115</v>
      </c>
      <c r="L62" s="5" t="str">
        <f>DiscreteStatsTable[[#This Row],[ProjectName]]&amp;DiscreteStatsTable[[#This Row],[Name]]&amp;DiscreteStatsTable[[#This Row],[Type]]&amp;DiscreteStatsTable[[#This Row],[Source]]</f>
        <v>Weekend (base)ClienteNVA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17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17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69</v>
      </c>
      <c r="C63">
        <v>11</v>
      </c>
      <c r="D63" t="s">
        <v>70</v>
      </c>
      <c r="E63" t="s">
        <v>73</v>
      </c>
      <c r="F63" t="s">
        <v>72</v>
      </c>
      <c r="G63">
        <v>0.64135226777878696</v>
      </c>
      <c r="H63">
        <v>2E+20</v>
      </c>
      <c r="I63">
        <v>0.17554561764273999</v>
      </c>
      <c r="J63">
        <v>2.4290637169095799</v>
      </c>
      <c r="K63">
        <v>115</v>
      </c>
      <c r="L63" s="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17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0.64005922781612723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0.56954522570007104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0.71891620780174204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6.2080029502567399E-2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3.07779584713577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3" s="5">
        <f>IF((DiscreteStatsTable[[#This Row],[RepsRequested]]&gt;1),DiscreteStatsTable[[#This Row],[HalfWidth]],DiscreteStatsTable[[#This Row],[BatchMeansHalfWidth]])</f>
        <v>2.3140274669479658E-2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17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69</v>
      </c>
      <c r="C64">
        <v>11</v>
      </c>
      <c r="D64" t="s">
        <v>70</v>
      </c>
      <c r="E64" t="s">
        <v>74</v>
      </c>
      <c r="F64" t="s">
        <v>72</v>
      </c>
      <c r="G64">
        <v>7.11577959746137</v>
      </c>
      <c r="H64">
        <v>2E+20</v>
      </c>
      <c r="I64">
        <v>0.66619012039601</v>
      </c>
      <c r="J64">
        <v>41.159616258472099</v>
      </c>
      <c r="K64">
        <v>115</v>
      </c>
      <c r="L64" s="5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17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8.476767334896584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1.5778141287777554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6.3029244422908404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12.3809834783632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0.49903761733864399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59.068854696650199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4" s="5">
        <f>IF((DiscreteStatsTable[[#This Row],[RepsRequested]]&gt;1),DiscreteStatsTable[[#This Row],[HalfWidth]],DiscreteStatsTable[[#This Row],[BatchMeansHalfWidth]])</f>
        <v>0.81123716841017435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17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69</v>
      </c>
      <c r="C65">
        <v>11</v>
      </c>
      <c r="D65" t="s">
        <v>70</v>
      </c>
      <c r="E65" t="s">
        <v>75</v>
      </c>
      <c r="F65" t="s">
        <v>72</v>
      </c>
      <c r="G65">
        <v>0.233333333333338</v>
      </c>
      <c r="H65">
        <v>2E+20</v>
      </c>
      <c r="I65">
        <v>0.23333333333331999</v>
      </c>
      <c r="J65">
        <v>0.23333333333334799</v>
      </c>
      <c r="K65">
        <v>115</v>
      </c>
      <c r="L65" s="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17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0.23333333333333733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0.233333333333334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0.233333333333339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0.23333333333331999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0.23333333333334799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5" s="5">
        <f>IF((DiscreteStatsTable[[#This Row],[RepsRequested]]&gt;1),DiscreteStatsTable[[#This Row],[HalfWidth]],DiscreteStatsTable[[#This Row],[BatchMeansHalfWidth]])</f>
        <v>6.277442205015305E-16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17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69</v>
      </c>
      <c r="C66">
        <v>11</v>
      </c>
      <c r="D66" t="s">
        <v>70</v>
      </c>
      <c r="E66" t="s">
        <v>76</v>
      </c>
      <c r="F66" t="s">
        <v>72</v>
      </c>
      <c r="G66">
        <v>4.1057073425361104</v>
      </c>
      <c r="H66">
        <v>2E+20</v>
      </c>
      <c r="I66">
        <v>6.6235358839208003E-2</v>
      </c>
      <c r="J66">
        <v>38.303026647969197</v>
      </c>
      <c r="K66">
        <v>115</v>
      </c>
      <c r="L66" s="5" t="str">
        <f>DiscreteStatsTable[[#This Row],[ProjectName]]&amp;DiscreteStatsTable[[#This Row],[Name]]&amp;DiscreteStatsTable[[#This Row],[Type]]&amp;DiscreteStatsTable[[#This Row],[Source]]</f>
        <v>Weekend (base)ClienteVA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17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4.2002866238083385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0.46019281010737506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3.4983558905782202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5.2882290525835298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4.8783094206100899E-2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44.837649128962603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6" s="5">
        <f>IF((DiscreteStatsTable[[#This Row],[RepsRequested]]&gt;1),DiscreteStatsTable[[#This Row],[HalfWidth]],DiscreteStatsTable[[#This Row],[BatchMeansHalfWidth]])</f>
        <v>0.23660930992132923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17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69</v>
      </c>
      <c r="C67">
        <v>11</v>
      </c>
      <c r="D67" t="s">
        <v>70</v>
      </c>
      <c r="E67" t="s">
        <v>77</v>
      </c>
      <c r="F67" t="s">
        <v>72</v>
      </c>
      <c r="G67">
        <v>4.3188922304474699</v>
      </c>
      <c r="H67">
        <v>2E+20</v>
      </c>
      <c r="I67">
        <v>6.79942526611228E-2</v>
      </c>
      <c r="J67">
        <v>12.770807449795299</v>
      </c>
      <c r="K67">
        <v>115</v>
      </c>
      <c r="L67" s="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17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6.1661674524885619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2.1705008948157731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3.2797723254625799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11.483148854180399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4.6225482577341402E-2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35.927727096959302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7" s="5">
        <f>IF((DiscreteStatsTable[[#This Row],[RepsRequested]]&gt;1),DiscreteStatsTable[[#This Row],[HalfWidth]],DiscreteStatsTable[[#This Row],[BatchMeansHalfWidth]])</f>
        <v>1.1159685845290814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17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69</v>
      </c>
      <c r="C68">
        <v>12</v>
      </c>
      <c r="D68" t="s">
        <v>70</v>
      </c>
      <c r="E68" t="s">
        <v>71</v>
      </c>
      <c r="F68" t="s">
        <v>72</v>
      </c>
      <c r="G68">
        <v>0</v>
      </c>
      <c r="H68">
        <v>2E+20</v>
      </c>
      <c r="I68">
        <v>0</v>
      </c>
      <c r="J68">
        <v>0</v>
      </c>
      <c r="K68">
        <v>122</v>
      </c>
      <c r="L68" s="5" t="str">
        <f>DiscreteStatsTable[[#This Row],[ProjectName]]&amp;DiscreteStatsTable[[#This Row],[Name]]&amp;DiscreteStatsTable[[#This Row],[Type]]&amp;DiscreteStatsTable[[#This Row],[Source]]</f>
        <v>Weekend (base)ClienteNVA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17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17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69</v>
      </c>
      <c r="C69">
        <v>12</v>
      </c>
      <c r="D69" t="s">
        <v>70</v>
      </c>
      <c r="E69" t="s">
        <v>73</v>
      </c>
      <c r="F69" t="s">
        <v>72</v>
      </c>
      <c r="G69">
        <v>0.63400085001525697</v>
      </c>
      <c r="H69">
        <v>2E+20</v>
      </c>
      <c r="I69">
        <v>0.11159644046412601</v>
      </c>
      <c r="J69">
        <v>1.7555305251869799</v>
      </c>
      <c r="K69">
        <v>122</v>
      </c>
      <c r="L69" s="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17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0.64005922781612723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0.56954522570007104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0.71891620780174204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6.2080029502567399E-2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3.07779584713577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69" s="5">
        <f>IF((DiscreteStatsTable[[#This Row],[RepsRequested]]&gt;1),DiscreteStatsTable[[#This Row],[HalfWidth]],DiscreteStatsTable[[#This Row],[BatchMeansHalfWidth]])</f>
        <v>2.3140274669479658E-2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17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69</v>
      </c>
      <c r="C70">
        <v>12</v>
      </c>
      <c r="D70" t="s">
        <v>70</v>
      </c>
      <c r="E70" t="s">
        <v>74</v>
      </c>
      <c r="F70" t="s">
        <v>72</v>
      </c>
      <c r="G70">
        <v>9.0583380242114693</v>
      </c>
      <c r="H70">
        <v>2E+20</v>
      </c>
      <c r="I70">
        <v>0.77053896372007102</v>
      </c>
      <c r="J70">
        <v>39.593354907189003</v>
      </c>
      <c r="K70">
        <v>122</v>
      </c>
      <c r="L70" s="5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17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8.476767334896584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1.5778141287777554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6.3029244422908404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12.3809834783632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0.49903761733864399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59.068854696650199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0" s="5">
        <f>IF((DiscreteStatsTable[[#This Row],[RepsRequested]]&gt;1),DiscreteStatsTable[[#This Row],[HalfWidth]],DiscreteStatsTable[[#This Row],[BatchMeansHalfWidth]])</f>
        <v>0.81123716841017435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17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69</v>
      </c>
      <c r="C71">
        <v>12</v>
      </c>
      <c r="D71" t="s">
        <v>70</v>
      </c>
      <c r="E71" t="s">
        <v>75</v>
      </c>
      <c r="F71" t="s">
        <v>72</v>
      </c>
      <c r="G71">
        <v>0.233333333333337</v>
      </c>
      <c r="H71">
        <v>2E+20</v>
      </c>
      <c r="I71">
        <v>0.23333333333331999</v>
      </c>
      <c r="J71">
        <v>0.23333333333334799</v>
      </c>
      <c r="K71">
        <v>122</v>
      </c>
      <c r="L71" s="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17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0.23333333333333733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0.233333333333334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0.233333333333339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0.23333333333331999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0.23333333333334799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1" s="5">
        <f>IF((DiscreteStatsTable[[#This Row],[RepsRequested]]&gt;1),DiscreteStatsTable[[#This Row],[HalfWidth]],DiscreteStatsTable[[#This Row],[BatchMeansHalfWidth]])</f>
        <v>6.277442205015305E-16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17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69</v>
      </c>
      <c r="C72">
        <v>12</v>
      </c>
      <c r="D72" t="s">
        <v>70</v>
      </c>
      <c r="E72" t="s">
        <v>76</v>
      </c>
      <c r="F72" t="s">
        <v>72</v>
      </c>
      <c r="G72">
        <v>3.5582634826496</v>
      </c>
      <c r="H72">
        <v>2E+20</v>
      </c>
      <c r="I72">
        <v>0.100588805066892</v>
      </c>
      <c r="J72">
        <v>31.068258853797701</v>
      </c>
      <c r="K72">
        <v>122</v>
      </c>
      <c r="L72" s="5" t="str">
        <f>DiscreteStatsTable[[#This Row],[ProjectName]]&amp;DiscreteStatsTable[[#This Row],[Name]]&amp;DiscreteStatsTable[[#This Row],[Type]]&amp;DiscreteStatsTable[[#This Row],[Source]]</f>
        <v>Weekend (base)ClienteVA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17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4.2002866238083385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0.46019281010737506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3.4983558905782202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5.2882290525835298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4.8783094206100899E-2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44.837649128962603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2" s="5">
        <f>IF((DiscreteStatsTable[[#This Row],[RepsRequested]]&gt;1),DiscreteStatsTable[[#This Row],[HalfWidth]],DiscreteStatsTable[[#This Row],[BatchMeansHalfWidth]])</f>
        <v>0.23660930992132923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17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69</v>
      </c>
      <c r="C73">
        <v>12</v>
      </c>
      <c r="D73" t="s">
        <v>70</v>
      </c>
      <c r="E73" t="s">
        <v>77</v>
      </c>
      <c r="F73" t="s">
        <v>72</v>
      </c>
      <c r="G73">
        <v>7.8623837848056803</v>
      </c>
      <c r="H73">
        <v>2E+20</v>
      </c>
      <c r="I73">
        <v>0.16087317936379</v>
      </c>
      <c r="J73">
        <v>27.810104347216999</v>
      </c>
      <c r="K73">
        <v>122</v>
      </c>
      <c r="L73" s="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17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6.1661674524885619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2.1705008948157731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3.2797723254625799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11.483148854180399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4.6225482577341402E-2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35.927727096959302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3" s="5">
        <f>IF((DiscreteStatsTable[[#This Row],[RepsRequested]]&gt;1),DiscreteStatsTable[[#This Row],[HalfWidth]],DiscreteStatsTable[[#This Row],[BatchMeansHalfWidth]])</f>
        <v>1.1159685845290814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17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69</v>
      </c>
      <c r="C74">
        <v>13</v>
      </c>
      <c r="D74" t="s">
        <v>70</v>
      </c>
      <c r="E74" t="s">
        <v>71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111</v>
      </c>
      <c r="L74" s="5" t="str">
        <f>DiscreteStatsTable[[#This Row],[ProjectName]]&amp;DiscreteStatsTable[[#This Row],[Name]]&amp;DiscreteStatsTable[[#This Row],[Type]]&amp;DiscreteStatsTable[[#This Row],[Source]]</f>
        <v>Weekend (base)ClienteNVA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17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17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69</v>
      </c>
      <c r="C75">
        <v>13</v>
      </c>
      <c r="D75" t="s">
        <v>70</v>
      </c>
      <c r="E75" t="s">
        <v>73</v>
      </c>
      <c r="F75" t="s">
        <v>72</v>
      </c>
      <c r="G75">
        <v>0.62832946840131398</v>
      </c>
      <c r="H75">
        <v>2E+20</v>
      </c>
      <c r="I75">
        <v>0.11356873536371399</v>
      </c>
      <c r="J75">
        <v>2.38533640554235</v>
      </c>
      <c r="K75">
        <v>111</v>
      </c>
      <c r="L75" s="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17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0.64005922781612723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0.56954522570007104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0.71891620780174204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6.2080029502567399E-2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3.07779584713577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" s="5">
        <f>IF((DiscreteStatsTable[[#This Row],[RepsRequested]]&gt;1),DiscreteStatsTable[[#This Row],[HalfWidth]],DiscreteStatsTable[[#This Row],[BatchMeansHalfWidth]])</f>
        <v>2.3140274669479658E-2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17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69</v>
      </c>
      <c r="C76">
        <v>13</v>
      </c>
      <c r="D76" t="s">
        <v>70</v>
      </c>
      <c r="E76" t="s">
        <v>74</v>
      </c>
      <c r="F76" t="s">
        <v>72</v>
      </c>
      <c r="G76">
        <v>7.2013188607330099</v>
      </c>
      <c r="H76">
        <v>2E+20</v>
      </c>
      <c r="I76">
        <v>0.74707605140898203</v>
      </c>
      <c r="J76">
        <v>35.917318907329303</v>
      </c>
      <c r="K76">
        <v>111</v>
      </c>
      <c r="L76" s="5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17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8.476767334896584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1.5778141287777554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6.3029244422908404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12.3809834783632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0.49903761733864399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59.068854696650199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" s="5">
        <f>IF((DiscreteStatsTable[[#This Row],[RepsRequested]]&gt;1),DiscreteStatsTable[[#This Row],[HalfWidth]],DiscreteStatsTable[[#This Row],[BatchMeansHalfWidth]])</f>
        <v>0.81123716841017435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17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69</v>
      </c>
      <c r="C77">
        <v>13</v>
      </c>
      <c r="D77" t="s">
        <v>70</v>
      </c>
      <c r="E77" t="s">
        <v>75</v>
      </c>
      <c r="F77" t="s">
        <v>72</v>
      </c>
      <c r="G77">
        <v>0.233333333333339</v>
      </c>
      <c r="H77">
        <v>2E+20</v>
      </c>
      <c r="I77">
        <v>0.23333333333331999</v>
      </c>
      <c r="J77">
        <v>0.23333333333334799</v>
      </c>
      <c r="K77">
        <v>111</v>
      </c>
      <c r="L77" s="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17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0.23333333333333733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0.233333333333334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0.233333333333339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0.23333333333331999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0.23333333333334799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" s="5">
        <f>IF((DiscreteStatsTable[[#This Row],[RepsRequested]]&gt;1),DiscreteStatsTable[[#This Row],[HalfWidth]],DiscreteStatsTable[[#This Row],[BatchMeansHalfWidth]])</f>
        <v>6.277442205015305E-16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17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69</v>
      </c>
      <c r="C78">
        <v>13</v>
      </c>
      <c r="D78" t="s">
        <v>70</v>
      </c>
      <c r="E78" t="s">
        <v>76</v>
      </c>
      <c r="F78" t="s">
        <v>72</v>
      </c>
      <c r="G78">
        <v>4.4898124262756802</v>
      </c>
      <c r="H78">
        <v>2E+20</v>
      </c>
      <c r="I78">
        <v>7.2811646739211297E-2</v>
      </c>
      <c r="J78">
        <v>34.764332781591598</v>
      </c>
      <c r="K78">
        <v>111</v>
      </c>
      <c r="L78" s="5" t="str">
        <f>DiscreteStatsTable[[#This Row],[ProjectName]]&amp;DiscreteStatsTable[[#This Row],[Name]]&amp;DiscreteStatsTable[[#This Row],[Type]]&amp;DiscreteStatsTable[[#This Row],[Source]]</f>
        <v>Weekend (base)ClienteVA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17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4.2002866238083385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0.46019281010737506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3.4983558905782202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5.2882290525835298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4.8783094206100899E-2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44.837649128962603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" s="5">
        <f>IF((DiscreteStatsTable[[#This Row],[RepsRequested]]&gt;1),DiscreteStatsTable[[#This Row],[HalfWidth]],DiscreteStatsTable[[#This Row],[BatchMeansHalfWidth]])</f>
        <v>0.23660930992132923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17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69</v>
      </c>
      <c r="C79">
        <v>13</v>
      </c>
      <c r="D79" t="s">
        <v>70</v>
      </c>
      <c r="E79" t="s">
        <v>77</v>
      </c>
      <c r="F79" t="s">
        <v>72</v>
      </c>
      <c r="G79">
        <v>4.1946724092138199</v>
      </c>
      <c r="H79">
        <v>2E+20</v>
      </c>
      <c r="I79">
        <v>0.12199206156859101</v>
      </c>
      <c r="J79">
        <v>16.9690080161641</v>
      </c>
      <c r="K79">
        <v>111</v>
      </c>
      <c r="L79" s="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17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6.1661674524885619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2.1705008948157731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3.2797723254625799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11.483148854180399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4.6225482577341402E-2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35.927727096959302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" s="5">
        <f>IF((DiscreteStatsTable[[#This Row],[RepsRequested]]&gt;1),DiscreteStatsTable[[#This Row],[HalfWidth]],DiscreteStatsTable[[#This Row],[BatchMeansHalfWidth]])</f>
        <v>1.1159685845290814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17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69</v>
      </c>
      <c r="C80">
        <v>14</v>
      </c>
      <c r="D80" t="s">
        <v>70</v>
      </c>
      <c r="E80" t="s">
        <v>71</v>
      </c>
      <c r="F80" t="s">
        <v>72</v>
      </c>
      <c r="G80">
        <v>0</v>
      </c>
      <c r="H80">
        <v>2E+20</v>
      </c>
      <c r="I80">
        <v>0</v>
      </c>
      <c r="J80">
        <v>0</v>
      </c>
      <c r="K80">
        <v>108</v>
      </c>
      <c r="L80" s="5" t="str">
        <f>DiscreteStatsTable[[#This Row],[ProjectName]]&amp;DiscreteStatsTable[[#This Row],[Name]]&amp;DiscreteStatsTable[[#This Row],[Type]]&amp;DiscreteStatsTable[[#This Row],[Source]]</f>
        <v>Weekend (base)ClienteNVA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17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17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69</v>
      </c>
      <c r="C81">
        <v>14</v>
      </c>
      <c r="D81" t="s">
        <v>70</v>
      </c>
      <c r="E81" t="s">
        <v>73</v>
      </c>
      <c r="F81" t="s">
        <v>72</v>
      </c>
      <c r="G81">
        <v>0.59726077564575997</v>
      </c>
      <c r="H81">
        <v>2E+20</v>
      </c>
      <c r="I81">
        <v>0.20537316198230801</v>
      </c>
      <c r="J81">
        <v>1.82348496076486</v>
      </c>
      <c r="K81">
        <v>108</v>
      </c>
      <c r="L81" s="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17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0.64005922781612723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0.56954522570007104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0.71891620780174204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6.2080029502567399E-2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3.07779584713577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1" s="5">
        <f>IF((DiscreteStatsTable[[#This Row],[RepsRequested]]&gt;1),DiscreteStatsTable[[#This Row],[HalfWidth]],DiscreteStatsTable[[#This Row],[BatchMeansHalfWidth]])</f>
        <v>2.3140274669479658E-2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17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69</v>
      </c>
      <c r="C82">
        <v>14</v>
      </c>
      <c r="D82" t="s">
        <v>70</v>
      </c>
      <c r="E82" t="s">
        <v>74</v>
      </c>
      <c r="F82" t="s">
        <v>72</v>
      </c>
      <c r="G82">
        <v>7.6264942452867297</v>
      </c>
      <c r="H82">
        <v>2E+20</v>
      </c>
      <c r="I82">
        <v>0.75514294490321299</v>
      </c>
      <c r="J82">
        <v>42.731754474429003</v>
      </c>
      <c r="K82">
        <v>108</v>
      </c>
      <c r="L82" s="5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17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8.476767334896584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1.5778141287777554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6.3029244422908404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12.3809834783632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0.49903761733864399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59.068854696650199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2" s="5">
        <f>IF((DiscreteStatsTable[[#This Row],[RepsRequested]]&gt;1),DiscreteStatsTable[[#This Row],[HalfWidth]],DiscreteStatsTable[[#This Row],[BatchMeansHalfWidth]])</f>
        <v>0.81123716841017435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17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69</v>
      </c>
      <c r="C83">
        <v>14</v>
      </c>
      <c r="D83" t="s">
        <v>70</v>
      </c>
      <c r="E83" t="s">
        <v>75</v>
      </c>
      <c r="F83" t="s">
        <v>72</v>
      </c>
      <c r="G83">
        <v>0.233333333333338</v>
      </c>
      <c r="H83">
        <v>2E+20</v>
      </c>
      <c r="I83">
        <v>0.23333333333331999</v>
      </c>
      <c r="J83">
        <v>0.23333333333334799</v>
      </c>
      <c r="K83">
        <v>108</v>
      </c>
      <c r="L83" s="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17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0.23333333333333733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0.233333333333334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0.233333333333339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0.23333333333331999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0.23333333333334799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3" s="5">
        <f>IF((DiscreteStatsTable[[#This Row],[RepsRequested]]&gt;1),DiscreteStatsTable[[#This Row],[HalfWidth]],DiscreteStatsTable[[#This Row],[BatchMeansHalfWidth]])</f>
        <v>6.277442205015305E-16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17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69</v>
      </c>
      <c r="C84">
        <v>14</v>
      </c>
      <c r="D84" t="s">
        <v>70</v>
      </c>
      <c r="E84" t="s">
        <v>76</v>
      </c>
      <c r="F84" t="s">
        <v>72</v>
      </c>
      <c r="G84">
        <v>3.89967372194578</v>
      </c>
      <c r="H84">
        <v>2E+20</v>
      </c>
      <c r="I84">
        <v>6.6826078700273697E-2</v>
      </c>
      <c r="J84">
        <v>33.440809980788302</v>
      </c>
      <c r="K84">
        <v>108</v>
      </c>
      <c r="L84" s="5" t="str">
        <f>DiscreteStatsTable[[#This Row],[ProjectName]]&amp;DiscreteStatsTable[[#This Row],[Name]]&amp;DiscreteStatsTable[[#This Row],[Type]]&amp;DiscreteStatsTable[[#This Row],[Source]]</f>
        <v>Weekend (base)ClienteVA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17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4.2002866238083385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0.46019281010737506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3.4983558905782202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5.2882290525835298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4.8783094206100899E-2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44.837649128962603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4" s="5">
        <f>IF((DiscreteStatsTable[[#This Row],[RepsRequested]]&gt;1),DiscreteStatsTable[[#This Row],[HalfWidth]],DiscreteStatsTable[[#This Row],[BatchMeansHalfWidth]])</f>
        <v>0.23660930992132923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17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69</v>
      </c>
      <c r="C85">
        <v>14</v>
      </c>
      <c r="D85" t="s">
        <v>70</v>
      </c>
      <c r="E85" t="s">
        <v>77</v>
      </c>
      <c r="F85" t="s">
        <v>72</v>
      </c>
      <c r="G85">
        <v>5.4072459470241601</v>
      </c>
      <c r="H85">
        <v>2E+20</v>
      </c>
      <c r="I85">
        <v>0.175964557122569</v>
      </c>
      <c r="J85">
        <v>16.248301411484501</v>
      </c>
      <c r="K85">
        <v>108</v>
      </c>
      <c r="L85" s="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17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6.1661674524885619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2.1705008948157731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3.2797723254625799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11.483148854180399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4.6225482577341402E-2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35.927727096959302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5" s="5">
        <f>IF((DiscreteStatsTable[[#This Row],[RepsRequested]]&gt;1),DiscreteStatsTable[[#This Row],[HalfWidth]],DiscreteStatsTable[[#This Row],[BatchMeansHalfWidth]])</f>
        <v>1.1159685845290814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17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69</v>
      </c>
      <c r="C86">
        <v>15</v>
      </c>
      <c r="D86" t="s">
        <v>70</v>
      </c>
      <c r="E86" t="s">
        <v>71</v>
      </c>
      <c r="F86" t="s">
        <v>72</v>
      </c>
      <c r="G86">
        <v>0</v>
      </c>
      <c r="H86">
        <v>2E+20</v>
      </c>
      <c r="I86">
        <v>0</v>
      </c>
      <c r="J86">
        <v>0</v>
      </c>
      <c r="K86">
        <v>118</v>
      </c>
      <c r="L86" s="5" t="str">
        <f>DiscreteStatsTable[[#This Row],[ProjectName]]&amp;DiscreteStatsTable[[#This Row],[Name]]&amp;DiscreteStatsTable[[#This Row],[Type]]&amp;DiscreteStatsTable[[#This Row],[Source]]</f>
        <v>Weekend (base)ClienteNVA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17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17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69</v>
      </c>
      <c r="C87">
        <v>15</v>
      </c>
      <c r="D87" t="s">
        <v>70</v>
      </c>
      <c r="E87" t="s">
        <v>73</v>
      </c>
      <c r="F87" t="s">
        <v>72</v>
      </c>
      <c r="G87">
        <v>0.61069915471721903</v>
      </c>
      <c r="H87">
        <v>2E+20</v>
      </c>
      <c r="I87">
        <v>0.143991735142151</v>
      </c>
      <c r="J87">
        <v>2.08862679103976</v>
      </c>
      <c r="K87">
        <v>118</v>
      </c>
      <c r="L87" s="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17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0.64005922781612723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0.56954522570007104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0.71891620780174204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6.2080029502567399E-2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3.07779584713577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7" s="5">
        <f>IF((DiscreteStatsTable[[#This Row],[RepsRequested]]&gt;1),DiscreteStatsTable[[#This Row],[HalfWidth]],DiscreteStatsTable[[#This Row],[BatchMeansHalfWidth]])</f>
        <v>2.3140274669479658E-2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17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69</v>
      </c>
      <c r="C88">
        <v>15</v>
      </c>
      <c r="D88" t="s">
        <v>70</v>
      </c>
      <c r="E88" t="s">
        <v>74</v>
      </c>
      <c r="F88" t="s">
        <v>72</v>
      </c>
      <c r="G88">
        <v>8.0302015509659892</v>
      </c>
      <c r="H88">
        <v>2E+20</v>
      </c>
      <c r="I88">
        <v>0.70710881042238305</v>
      </c>
      <c r="J88">
        <v>59.068854696650199</v>
      </c>
      <c r="K88">
        <v>118</v>
      </c>
      <c r="L88" s="5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17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8.476767334896584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1.5778141287777554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6.3029244422908404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12.3809834783632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0.49903761733864399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59.068854696650199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8" s="5">
        <f>IF((DiscreteStatsTable[[#This Row],[RepsRequested]]&gt;1),DiscreteStatsTable[[#This Row],[HalfWidth]],DiscreteStatsTable[[#This Row],[BatchMeansHalfWidth]])</f>
        <v>0.81123716841017435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17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69</v>
      </c>
      <c r="C89">
        <v>15</v>
      </c>
      <c r="D89" t="s">
        <v>70</v>
      </c>
      <c r="E89" t="s">
        <v>75</v>
      </c>
      <c r="F89" t="s">
        <v>72</v>
      </c>
      <c r="G89">
        <v>0.233333333333338</v>
      </c>
      <c r="H89">
        <v>2E+20</v>
      </c>
      <c r="I89">
        <v>0.23333333333331999</v>
      </c>
      <c r="J89">
        <v>0.23333333333334799</v>
      </c>
      <c r="K89">
        <v>118</v>
      </c>
      <c r="L89" s="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17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0.23333333333333733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0.233333333333334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0.233333333333339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0.23333333333331999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0.23333333333334799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9" s="5">
        <f>IF((DiscreteStatsTable[[#This Row],[RepsRequested]]&gt;1),DiscreteStatsTable[[#This Row],[HalfWidth]],DiscreteStatsTable[[#This Row],[BatchMeansHalfWidth]])</f>
        <v>6.277442205015305E-16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17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69</v>
      </c>
      <c r="C90">
        <v>15</v>
      </c>
      <c r="D90" t="s">
        <v>70</v>
      </c>
      <c r="E90" t="s">
        <v>76</v>
      </c>
      <c r="F90" t="s">
        <v>72</v>
      </c>
      <c r="G90">
        <v>4.57542588844042</v>
      </c>
      <c r="H90">
        <v>2E+20</v>
      </c>
      <c r="I90">
        <v>6.8541065135150403E-2</v>
      </c>
      <c r="J90">
        <v>44.837649128962603</v>
      </c>
      <c r="K90">
        <v>118</v>
      </c>
      <c r="L90" s="5" t="str">
        <f>DiscreteStatsTable[[#This Row],[ProjectName]]&amp;DiscreteStatsTable[[#This Row],[Name]]&amp;DiscreteStatsTable[[#This Row],[Type]]&amp;DiscreteStatsTable[[#This Row],[Source]]</f>
        <v>Weekend (base)ClienteVA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17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4.2002866238083385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0.46019281010737506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3.4983558905782202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5.2882290525835298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4.8783094206100899E-2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44.837649128962603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0" s="5">
        <f>IF((DiscreteStatsTable[[#This Row],[RepsRequested]]&gt;1),DiscreteStatsTable[[#This Row],[HalfWidth]],DiscreteStatsTable[[#This Row],[BatchMeansHalfWidth]])</f>
        <v>0.23660930992132923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17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69</v>
      </c>
      <c r="C91">
        <v>15</v>
      </c>
      <c r="D91" t="s">
        <v>70</v>
      </c>
      <c r="E91" t="s">
        <v>77</v>
      </c>
      <c r="F91" t="s">
        <v>72</v>
      </c>
      <c r="G91">
        <v>4.89519307229844</v>
      </c>
      <c r="H91">
        <v>2E+20</v>
      </c>
      <c r="I91">
        <v>0.13521663054663699</v>
      </c>
      <c r="J91">
        <v>29.261780775236801</v>
      </c>
      <c r="K91">
        <v>118</v>
      </c>
      <c r="L91" s="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17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6.1661674524885619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2.1705008948157731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3.2797723254625799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11.483148854180399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4.6225482577341402E-2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35.927727096959302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1" s="5">
        <f>IF((DiscreteStatsTable[[#This Row],[RepsRequested]]&gt;1),DiscreteStatsTable[[#This Row],[HalfWidth]],DiscreteStatsTable[[#This Row],[BatchMeansHalfWidth]])</f>
        <v>1.1159685845290814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17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69</v>
      </c>
      <c r="C92">
        <v>16</v>
      </c>
      <c r="D92" t="s">
        <v>70</v>
      </c>
      <c r="E92" t="s">
        <v>71</v>
      </c>
      <c r="F92" t="s">
        <v>72</v>
      </c>
      <c r="G92">
        <v>0</v>
      </c>
      <c r="H92">
        <v>2E+20</v>
      </c>
      <c r="I92">
        <v>0</v>
      </c>
      <c r="J92">
        <v>0</v>
      </c>
      <c r="K92">
        <v>110</v>
      </c>
      <c r="L92" s="5" t="str">
        <f>DiscreteStatsTable[[#This Row],[ProjectName]]&amp;DiscreteStatsTable[[#This Row],[Name]]&amp;DiscreteStatsTable[[#This Row],[Type]]&amp;DiscreteStatsTable[[#This Row],[Source]]</f>
        <v>Weekend (base)ClienteNVA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17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17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69</v>
      </c>
      <c r="C93">
        <v>16</v>
      </c>
      <c r="D93" t="s">
        <v>70</v>
      </c>
      <c r="E93" t="s">
        <v>73</v>
      </c>
      <c r="F93" t="s">
        <v>72</v>
      </c>
      <c r="G93">
        <v>0.585122172203972</v>
      </c>
      <c r="H93">
        <v>2E+20</v>
      </c>
      <c r="I93">
        <v>0.16695699414540899</v>
      </c>
      <c r="J93">
        <v>1.21091022485352</v>
      </c>
      <c r="K93">
        <v>110</v>
      </c>
      <c r="L93" s="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17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0.64005922781612723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0.56954522570007104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0.71891620780174204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6.2080029502567399E-2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3.07779584713577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3" s="5">
        <f>IF((DiscreteStatsTable[[#This Row],[RepsRequested]]&gt;1),DiscreteStatsTable[[#This Row],[HalfWidth]],DiscreteStatsTable[[#This Row],[BatchMeansHalfWidth]])</f>
        <v>2.3140274669479658E-2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17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69</v>
      </c>
      <c r="C94">
        <v>16</v>
      </c>
      <c r="D94" t="s">
        <v>70</v>
      </c>
      <c r="E94" t="s">
        <v>74</v>
      </c>
      <c r="F94" t="s">
        <v>72</v>
      </c>
      <c r="G94">
        <v>6.7782987181634597</v>
      </c>
      <c r="H94">
        <v>2E+20</v>
      </c>
      <c r="I94">
        <v>0.63326647380412704</v>
      </c>
      <c r="J94">
        <v>38.183169586679398</v>
      </c>
      <c r="K94">
        <v>110</v>
      </c>
      <c r="L94" s="5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17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8.476767334896584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1.5778141287777554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6.3029244422908404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12.3809834783632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0.49903761733864399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59.068854696650199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4" s="5">
        <f>IF((DiscreteStatsTable[[#This Row],[RepsRequested]]&gt;1),DiscreteStatsTable[[#This Row],[HalfWidth]],DiscreteStatsTable[[#This Row],[BatchMeansHalfWidth]])</f>
        <v>0.81123716841017435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17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69</v>
      </c>
      <c r="C95">
        <v>16</v>
      </c>
      <c r="D95" t="s">
        <v>70</v>
      </c>
      <c r="E95" t="s">
        <v>75</v>
      </c>
      <c r="F95" t="s">
        <v>72</v>
      </c>
      <c r="G95">
        <v>0.233333333333336</v>
      </c>
      <c r="H95">
        <v>2E+20</v>
      </c>
      <c r="I95">
        <v>0.23333333333331999</v>
      </c>
      <c r="J95">
        <v>0.23333333333334799</v>
      </c>
      <c r="K95">
        <v>110</v>
      </c>
      <c r="L95" s="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17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0.23333333333333733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0.233333333333334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0.233333333333339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0.23333333333331999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0.23333333333334799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5" s="5">
        <f>IF((DiscreteStatsTable[[#This Row],[RepsRequested]]&gt;1),DiscreteStatsTable[[#This Row],[HalfWidth]],DiscreteStatsTable[[#This Row],[BatchMeansHalfWidth]])</f>
        <v>6.277442205015305E-16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17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69</v>
      </c>
      <c r="C96">
        <v>16</v>
      </c>
      <c r="D96" t="s">
        <v>70</v>
      </c>
      <c r="E96" t="s">
        <v>76</v>
      </c>
      <c r="F96" t="s">
        <v>72</v>
      </c>
      <c r="G96">
        <v>3.9548755686345101</v>
      </c>
      <c r="H96">
        <v>2E+20</v>
      </c>
      <c r="I96">
        <v>6.2892149244021298E-2</v>
      </c>
      <c r="J96">
        <v>34.4370110247187</v>
      </c>
      <c r="K96">
        <v>110</v>
      </c>
      <c r="L96" s="5" t="str">
        <f>DiscreteStatsTable[[#This Row],[ProjectName]]&amp;DiscreteStatsTable[[#This Row],[Name]]&amp;DiscreteStatsTable[[#This Row],[Type]]&amp;DiscreteStatsTable[[#This Row],[Source]]</f>
        <v>Weekend (base)ClienteVA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17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4.2002866238083385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0.46019281010737506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3.4983558905782202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5.2882290525835298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4.8783094206100899E-2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44.837649128962603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6" s="5">
        <f>IF((DiscreteStatsTable[[#This Row],[RepsRequested]]&gt;1),DiscreteStatsTable[[#This Row],[HalfWidth]],DiscreteStatsTable[[#This Row],[BatchMeansHalfWidth]])</f>
        <v>0.23660930992132923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17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69</v>
      </c>
      <c r="C97">
        <v>16</v>
      </c>
      <c r="D97" t="s">
        <v>70</v>
      </c>
      <c r="E97" t="s">
        <v>77</v>
      </c>
      <c r="F97" t="s">
        <v>72</v>
      </c>
      <c r="G97">
        <v>3.9387083586110201</v>
      </c>
      <c r="H97">
        <v>2E+20</v>
      </c>
      <c r="I97">
        <v>4.6225482577341402E-2</v>
      </c>
      <c r="J97">
        <v>13.938687734340199</v>
      </c>
      <c r="K97">
        <v>110</v>
      </c>
      <c r="L97" s="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17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6.1661674524885619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2.1705008948157731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3.2797723254625799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11.483148854180399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4.6225482577341402E-2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35.927727096959302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7" s="5">
        <f>IF((DiscreteStatsTable[[#This Row],[RepsRequested]]&gt;1),DiscreteStatsTable[[#This Row],[HalfWidth]],DiscreteStatsTable[[#This Row],[BatchMeansHalfWidth]])</f>
        <v>1.1159685845290814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17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69</v>
      </c>
      <c r="C98">
        <v>17</v>
      </c>
      <c r="D98" t="s">
        <v>70</v>
      </c>
      <c r="E98" t="s">
        <v>71</v>
      </c>
      <c r="F98" t="s">
        <v>72</v>
      </c>
      <c r="G98">
        <v>0</v>
      </c>
      <c r="H98">
        <v>2E+20</v>
      </c>
      <c r="I98">
        <v>0</v>
      </c>
      <c r="J98">
        <v>0</v>
      </c>
      <c r="K98">
        <v>117</v>
      </c>
      <c r="L98" s="5" t="str">
        <f>DiscreteStatsTable[[#This Row],[ProjectName]]&amp;DiscreteStatsTable[[#This Row],[Name]]&amp;DiscreteStatsTable[[#This Row],[Type]]&amp;DiscreteStatsTable[[#This Row],[Source]]</f>
        <v>Weekend (base)ClienteNVA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17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17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69</v>
      </c>
      <c r="C99">
        <v>17</v>
      </c>
      <c r="D99" t="s">
        <v>70</v>
      </c>
      <c r="E99" t="s">
        <v>73</v>
      </c>
      <c r="F99" t="s">
        <v>72</v>
      </c>
      <c r="G99">
        <v>0.56954522570007104</v>
      </c>
      <c r="H99">
        <v>2E+20</v>
      </c>
      <c r="I99">
        <v>0.14249025763181999</v>
      </c>
      <c r="J99">
        <v>1.74490137170491</v>
      </c>
      <c r="K99">
        <v>117</v>
      </c>
      <c r="L99" s="5" t="str">
        <f>DiscreteStatsTable[[#This Row],[ProjectName]]&amp;DiscreteStatsTable[[#This Row],[Name]]&amp;DiscreteStatsTable[[#This Row],[Type]]&amp;DiscreteStatsTable[[#This Row],[Source]]</f>
        <v>Weekend (base)ClienteOther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17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0.64005922781612723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4.5006631524114833E-2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2.3140274669479658E-2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0.56954522570007104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0.71891620780174204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6.2080029502567399E-2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3.07779584713577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99" s="5">
        <f>IF((DiscreteStatsTable[[#This Row],[RepsRequested]]&gt;1),DiscreteStatsTable[[#This Row],[HalfWidth]],DiscreteStatsTable[[#This Row],[BatchMeansHalfWidth]])</f>
        <v>2.3140274669479658E-2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17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69</v>
      </c>
      <c r="C100">
        <v>17</v>
      </c>
      <c r="D100" t="s">
        <v>70</v>
      </c>
      <c r="E100" t="s">
        <v>74</v>
      </c>
      <c r="F100" t="s">
        <v>72</v>
      </c>
      <c r="G100">
        <v>10.334965297288001</v>
      </c>
      <c r="H100">
        <v>2E+20</v>
      </c>
      <c r="I100">
        <v>1.0392723983344601</v>
      </c>
      <c r="J100">
        <v>51.655360618147398</v>
      </c>
      <c r="K100">
        <v>117</v>
      </c>
      <c r="L100" s="5" t="str">
        <f>DiscreteStatsTable[[#This Row],[ProjectName]]&amp;DiscreteStatsTable[[#This Row],[Name]]&amp;DiscreteStatsTable[[#This Row],[Type]]&amp;DiscreteStatsTable[[#This Row],[Source]]</f>
        <v>Weekend (base)ClienteTotal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17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8.476767334896584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1.5778141287777554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6.3029244422908404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12.3809834783632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0.49903761733864399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59.068854696650199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0" s="5">
        <f>IF((DiscreteStatsTable[[#This Row],[RepsRequested]]&gt;1),DiscreteStatsTable[[#This Row],[HalfWidth]],DiscreteStatsTable[[#This Row],[BatchMeansHalfWidth]])</f>
        <v>0.81123716841017435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17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69</v>
      </c>
      <c r="C101">
        <v>17</v>
      </c>
      <c r="D101" t="s">
        <v>70</v>
      </c>
      <c r="E101" t="s">
        <v>75</v>
      </c>
      <c r="F101" t="s">
        <v>72</v>
      </c>
      <c r="G101">
        <v>0.233333333333336</v>
      </c>
      <c r="H101">
        <v>2E+20</v>
      </c>
      <c r="I101">
        <v>0.23333333333331999</v>
      </c>
      <c r="J101">
        <v>0.23333333333334799</v>
      </c>
      <c r="K101">
        <v>117</v>
      </c>
      <c r="L101" s="5" t="str">
        <f>DiscreteStatsTable[[#This Row],[ProjectName]]&amp;DiscreteStatsTable[[#This Row],[Name]]&amp;DiscreteStatsTable[[#This Row],[Type]]&amp;DiscreteStatsTable[[#This Row],[Source]]</f>
        <v>Weekend (base)ClienteTransfer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17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0.23333333333333733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1.2209298820799337E-15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6.277442205015305E-16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0.233333333333334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0.233333333333339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0.23333333333331999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0.23333333333334799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1" s="5">
        <f>IF((DiscreteStatsTable[[#This Row],[RepsRequested]]&gt;1),DiscreteStatsTable[[#This Row],[HalfWidth]],DiscreteStatsTable[[#This Row],[BatchMeansHalfWidth]])</f>
        <v>6.277442205015305E-16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17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69</v>
      </c>
      <c r="C102">
        <v>17</v>
      </c>
      <c r="D102" t="s">
        <v>70</v>
      </c>
      <c r="E102" t="s">
        <v>76</v>
      </c>
      <c r="F102" t="s">
        <v>72</v>
      </c>
      <c r="G102">
        <v>4.5038550316327202</v>
      </c>
      <c r="H102">
        <v>2E+20</v>
      </c>
      <c r="I102">
        <v>0.123168483600693</v>
      </c>
      <c r="J102">
        <v>39.413259139481603</v>
      </c>
      <c r="K102">
        <v>117</v>
      </c>
      <c r="L102" s="5" t="str">
        <f>DiscreteStatsTable[[#This Row],[ProjectName]]&amp;DiscreteStatsTable[[#This Row],[Name]]&amp;DiscreteStatsTable[[#This Row],[Type]]&amp;DiscreteStatsTable[[#This Row],[Source]]</f>
        <v>Weekend (base)ClienteVA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17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4.2002866238083385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0.46019281010737506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0.23660930992132923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3.4983558905782202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5.2882290525835298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4.8783094206100899E-2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44.837649128962603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2" s="5">
        <f>IF((DiscreteStatsTable[[#This Row],[RepsRequested]]&gt;1),DiscreteStatsTable[[#This Row],[HalfWidth]],DiscreteStatsTable[[#This Row],[BatchMeansHalfWidth]])</f>
        <v>0.23660930992132923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17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69</v>
      </c>
      <c r="C103">
        <v>17</v>
      </c>
      <c r="D103" t="s">
        <v>70</v>
      </c>
      <c r="E103" t="s">
        <v>77</v>
      </c>
      <c r="F103" t="s">
        <v>72</v>
      </c>
      <c r="G103">
        <v>8.5708898519089107</v>
      </c>
      <c r="H103">
        <v>2E+20</v>
      </c>
      <c r="I103">
        <v>0.109608450033363</v>
      </c>
      <c r="J103">
        <v>29.018133125269099</v>
      </c>
      <c r="K103">
        <v>117</v>
      </c>
      <c r="L103" s="5" t="str">
        <f>DiscreteStatsTable[[#This Row],[ProjectName]]&amp;DiscreteStatsTable[[#This Row],[Name]]&amp;DiscreteStatsTable[[#This Row],[Type]]&amp;DiscreteStatsTable[[#This Row],[Source]]</f>
        <v>Weekend (base)ClienteWait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17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6.1661674524885619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2.1705008948157731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1.1159685845290814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3.2797723254625799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11.483148854180399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4.6225482577341402E-2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35.927727096959302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3" s="5">
        <f>IF((DiscreteStatsTable[[#This Row],[RepsRequested]]&gt;1),DiscreteStatsTable[[#This Row],[HalfWidth]],DiscreteStatsTable[[#This Row],[BatchMeansHalfWidth]])</f>
        <v>1.1159685845290814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17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69</v>
      </c>
      <c r="C104">
        <v>1</v>
      </c>
      <c r="D104" t="s">
        <v>78</v>
      </c>
      <c r="E104" t="s">
        <v>79</v>
      </c>
      <c r="F104" t="s">
        <v>80</v>
      </c>
      <c r="G104">
        <v>5.04</v>
      </c>
      <c r="H104">
        <v>2E+20</v>
      </c>
      <c r="I104">
        <v>0</v>
      </c>
      <c r="J104">
        <v>15</v>
      </c>
      <c r="K104">
        <v>125</v>
      </c>
      <c r="L104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17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5.3216468500843321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1.1990188567743081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3.56666666666667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7.5042016806722698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20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4" s="5">
        <f>IF((DiscreteStatsTable[[#This Row],[RepsRequested]]&gt;1),DiscreteStatsTable[[#This Row],[HalfWidth]],DiscreteStatsTable[[#This Row],[BatchMeansHalfWidth]])</f>
        <v>0.61647861081931221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17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69</v>
      </c>
      <c r="C105">
        <v>2</v>
      </c>
      <c r="D105" t="s">
        <v>78</v>
      </c>
      <c r="E105" t="s">
        <v>79</v>
      </c>
      <c r="F105" t="s">
        <v>80</v>
      </c>
      <c r="G105">
        <v>5.60683760683761</v>
      </c>
      <c r="H105">
        <v>2E+20</v>
      </c>
      <c r="I105">
        <v>1</v>
      </c>
      <c r="J105">
        <v>15</v>
      </c>
      <c r="K105">
        <v>117</v>
      </c>
      <c r="L105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17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5.3216468500843321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1.1990188567743081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3.56666666666667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7.5042016806722698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20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5" s="5">
        <f>IF((DiscreteStatsTable[[#This Row],[RepsRequested]]&gt;1),DiscreteStatsTable[[#This Row],[HalfWidth]],DiscreteStatsTable[[#This Row],[BatchMeansHalfWidth]])</f>
        <v>0.61647861081931221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17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69</v>
      </c>
      <c r="C106">
        <v>3</v>
      </c>
      <c r="D106" t="s">
        <v>78</v>
      </c>
      <c r="E106" t="s">
        <v>79</v>
      </c>
      <c r="F106" t="s">
        <v>80</v>
      </c>
      <c r="G106">
        <v>6.8253968253968296</v>
      </c>
      <c r="H106">
        <v>2E+20</v>
      </c>
      <c r="I106">
        <v>1</v>
      </c>
      <c r="J106">
        <v>14</v>
      </c>
      <c r="K106">
        <v>126</v>
      </c>
      <c r="L106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17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5.3216468500843321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1.1990188567743081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3.56666666666667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7.5042016806722698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20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6" s="5">
        <f>IF((DiscreteStatsTable[[#This Row],[RepsRequested]]&gt;1),DiscreteStatsTable[[#This Row],[HalfWidth]],DiscreteStatsTable[[#This Row],[BatchMeansHalfWidth]])</f>
        <v>0.61647861081931221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17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69</v>
      </c>
      <c r="C107">
        <v>4</v>
      </c>
      <c r="D107" t="s">
        <v>78</v>
      </c>
      <c r="E107" t="s">
        <v>79</v>
      </c>
      <c r="F107" t="s">
        <v>80</v>
      </c>
      <c r="G107">
        <v>5.0384615384615401</v>
      </c>
      <c r="H107">
        <v>2E+20</v>
      </c>
      <c r="I107">
        <v>0</v>
      </c>
      <c r="J107">
        <v>11</v>
      </c>
      <c r="K107">
        <v>130</v>
      </c>
      <c r="L107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17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5.3216468500843321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1.1990188567743081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3.56666666666667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7.5042016806722698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20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7" s="5">
        <f>IF((DiscreteStatsTable[[#This Row],[RepsRequested]]&gt;1),DiscreteStatsTable[[#This Row],[HalfWidth]],DiscreteStatsTable[[#This Row],[BatchMeansHalfWidth]])</f>
        <v>0.61647861081931221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17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69</v>
      </c>
      <c r="C108">
        <v>5</v>
      </c>
      <c r="D108" t="s">
        <v>78</v>
      </c>
      <c r="E108" t="s">
        <v>79</v>
      </c>
      <c r="F108" t="s">
        <v>80</v>
      </c>
      <c r="G108">
        <v>5.9230769230769296</v>
      </c>
      <c r="H108">
        <v>2E+20</v>
      </c>
      <c r="I108">
        <v>0</v>
      </c>
      <c r="J108">
        <v>13</v>
      </c>
      <c r="K108">
        <v>130</v>
      </c>
      <c r="L108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17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5.3216468500843321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1.1990188567743081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3.56666666666667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7.5042016806722698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20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8" s="5">
        <f>IF((DiscreteStatsTable[[#This Row],[RepsRequested]]&gt;1),DiscreteStatsTable[[#This Row],[HalfWidth]],DiscreteStatsTable[[#This Row],[BatchMeansHalfWidth]])</f>
        <v>0.61647861081931221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17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69</v>
      </c>
      <c r="C109">
        <v>6</v>
      </c>
      <c r="D109" t="s">
        <v>78</v>
      </c>
      <c r="E109" t="s">
        <v>79</v>
      </c>
      <c r="F109" t="s">
        <v>80</v>
      </c>
      <c r="G109">
        <v>3.56666666666667</v>
      </c>
      <c r="H109">
        <v>2E+20</v>
      </c>
      <c r="I109">
        <v>0</v>
      </c>
      <c r="J109">
        <v>7</v>
      </c>
      <c r="K109">
        <v>120</v>
      </c>
      <c r="L109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17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5.3216468500843321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1.1990188567743081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3.56666666666667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7.5042016806722698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20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09" s="5">
        <f>IF((DiscreteStatsTable[[#This Row],[RepsRequested]]&gt;1),DiscreteStatsTable[[#This Row],[HalfWidth]],DiscreteStatsTable[[#This Row],[BatchMeansHalfWidth]])</f>
        <v>0.61647861081931221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17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69</v>
      </c>
      <c r="C110">
        <v>7</v>
      </c>
      <c r="D110" t="s">
        <v>78</v>
      </c>
      <c r="E110" t="s">
        <v>79</v>
      </c>
      <c r="F110" t="s">
        <v>80</v>
      </c>
      <c r="G110">
        <v>4.6355140186915902</v>
      </c>
      <c r="H110">
        <v>2E+20</v>
      </c>
      <c r="I110">
        <v>0</v>
      </c>
      <c r="J110">
        <v>9</v>
      </c>
      <c r="K110">
        <v>107</v>
      </c>
      <c r="L110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17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5.3216468500843321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3.56666666666667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7.5042016806722698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20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0" s="5">
        <f>IF((DiscreteStatsTable[[#This Row],[RepsRequested]]&gt;1),DiscreteStatsTable[[#This Row],[HalfWidth]],DiscreteStatsTable[[#This Row],[BatchMeansHalfWidth]])</f>
        <v>0.61647861081931221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17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69</v>
      </c>
      <c r="C111">
        <v>8</v>
      </c>
      <c r="D111" t="s">
        <v>78</v>
      </c>
      <c r="E111" t="s">
        <v>79</v>
      </c>
      <c r="F111" t="s">
        <v>80</v>
      </c>
      <c r="G111">
        <v>7.5042016806722698</v>
      </c>
      <c r="H111">
        <v>2E+20</v>
      </c>
      <c r="I111">
        <v>0</v>
      </c>
      <c r="J111">
        <v>17</v>
      </c>
      <c r="K111">
        <v>119</v>
      </c>
      <c r="L111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17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5.3216468500843321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3.56666666666667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7.5042016806722698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20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1" s="5">
        <f>IF((DiscreteStatsTable[[#This Row],[RepsRequested]]&gt;1),DiscreteStatsTable[[#This Row],[HalfWidth]],DiscreteStatsTable[[#This Row],[BatchMeansHalfWidth]])</f>
        <v>0.61647861081931221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17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69</v>
      </c>
      <c r="C112">
        <v>9</v>
      </c>
      <c r="D112" t="s">
        <v>78</v>
      </c>
      <c r="E112" t="s">
        <v>79</v>
      </c>
      <c r="F112" t="s">
        <v>80</v>
      </c>
      <c r="G112">
        <v>4.55833333333333</v>
      </c>
      <c r="H112">
        <v>2E+20</v>
      </c>
      <c r="I112">
        <v>1</v>
      </c>
      <c r="J112">
        <v>13</v>
      </c>
      <c r="K112">
        <v>120</v>
      </c>
      <c r="L112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17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5.3216468500843321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3.56666666666667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7.5042016806722698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20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2" s="5">
        <f>IF((DiscreteStatsTable[[#This Row],[RepsRequested]]&gt;1),DiscreteStatsTable[[#This Row],[HalfWidth]],DiscreteStatsTable[[#This Row],[BatchMeansHalfWidth]])</f>
        <v>0.61647861081931221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17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69</v>
      </c>
      <c r="C113">
        <v>10</v>
      </c>
      <c r="D113" t="s">
        <v>78</v>
      </c>
      <c r="E113" t="s">
        <v>79</v>
      </c>
      <c r="F113" t="s">
        <v>80</v>
      </c>
      <c r="G113">
        <v>6.7983870967741904</v>
      </c>
      <c r="H113">
        <v>2E+20</v>
      </c>
      <c r="I113">
        <v>2</v>
      </c>
      <c r="J113">
        <v>12</v>
      </c>
      <c r="K113">
        <v>124</v>
      </c>
      <c r="L113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17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5.3216468500843321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3.56666666666667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7.5042016806722698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20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3" s="5">
        <f>IF((DiscreteStatsTable[[#This Row],[RepsRequested]]&gt;1),DiscreteStatsTable[[#This Row],[HalfWidth]],DiscreteStatsTable[[#This Row],[BatchMeansHalfWidth]])</f>
        <v>0.61647861081931221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17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69</v>
      </c>
      <c r="C114">
        <v>11</v>
      </c>
      <c r="D114" t="s">
        <v>78</v>
      </c>
      <c r="E114" t="s">
        <v>79</v>
      </c>
      <c r="F114" t="s">
        <v>80</v>
      </c>
      <c r="G114">
        <v>4.6173913043478301</v>
      </c>
      <c r="H114">
        <v>2E+20</v>
      </c>
      <c r="I114">
        <v>1</v>
      </c>
      <c r="J114">
        <v>10</v>
      </c>
      <c r="K114">
        <v>115</v>
      </c>
      <c r="L114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17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5.3216468500843321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3.56666666666667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7.5042016806722698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20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4" s="5">
        <f>IF((DiscreteStatsTable[[#This Row],[RepsRequested]]&gt;1),DiscreteStatsTable[[#This Row],[HalfWidth]],DiscreteStatsTable[[#This Row],[BatchMeansHalfWidth]])</f>
        <v>0.61647861081931221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17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69</v>
      </c>
      <c r="C115">
        <v>12</v>
      </c>
      <c r="D115" t="s">
        <v>78</v>
      </c>
      <c r="E115" t="s">
        <v>79</v>
      </c>
      <c r="F115" t="s">
        <v>80</v>
      </c>
      <c r="G115">
        <v>5.8114754098360697</v>
      </c>
      <c r="H115">
        <v>2E+20</v>
      </c>
      <c r="I115">
        <v>0</v>
      </c>
      <c r="J115">
        <v>14</v>
      </c>
      <c r="K115">
        <v>122</v>
      </c>
      <c r="L115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17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5.3216468500843321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3.56666666666667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7.5042016806722698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20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5" s="5">
        <f>IF((DiscreteStatsTable[[#This Row],[RepsRequested]]&gt;1),DiscreteStatsTable[[#This Row],[HalfWidth]],DiscreteStatsTable[[#This Row],[BatchMeansHalfWidth]])</f>
        <v>0.61647861081931221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17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69</v>
      </c>
      <c r="C116">
        <v>13</v>
      </c>
      <c r="D116" t="s">
        <v>78</v>
      </c>
      <c r="E116" t="s">
        <v>79</v>
      </c>
      <c r="F116" t="s">
        <v>80</v>
      </c>
      <c r="G116">
        <v>4.6936936936937004</v>
      </c>
      <c r="H116">
        <v>2E+20</v>
      </c>
      <c r="I116">
        <v>0</v>
      </c>
      <c r="J116">
        <v>10</v>
      </c>
      <c r="K116">
        <v>111</v>
      </c>
      <c r="L116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17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5.3216468500843321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3.56666666666667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7.5042016806722698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20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6" s="5">
        <f>IF((DiscreteStatsTable[[#This Row],[RepsRequested]]&gt;1),DiscreteStatsTable[[#This Row],[HalfWidth]],DiscreteStatsTable[[#This Row],[BatchMeansHalfWidth]])</f>
        <v>0.61647861081931221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17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69</v>
      </c>
      <c r="C117">
        <v>14</v>
      </c>
      <c r="D117" t="s">
        <v>78</v>
      </c>
      <c r="E117" t="s">
        <v>79</v>
      </c>
      <c r="F117" t="s">
        <v>80</v>
      </c>
      <c r="G117">
        <v>4.3703703703703702</v>
      </c>
      <c r="H117">
        <v>2E+20</v>
      </c>
      <c r="I117">
        <v>1</v>
      </c>
      <c r="J117">
        <v>10</v>
      </c>
      <c r="K117">
        <v>108</v>
      </c>
      <c r="L117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17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5.3216468500843321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3.56666666666667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7.5042016806722698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20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7" s="5">
        <f>IF((DiscreteStatsTable[[#This Row],[RepsRequested]]&gt;1),DiscreteStatsTable[[#This Row],[HalfWidth]],DiscreteStatsTable[[#This Row],[BatchMeansHalfWidth]])</f>
        <v>0.61647861081931221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17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69</v>
      </c>
      <c r="C118">
        <v>15</v>
      </c>
      <c r="D118" t="s">
        <v>78</v>
      </c>
      <c r="E118" t="s">
        <v>79</v>
      </c>
      <c r="F118" t="s">
        <v>80</v>
      </c>
      <c r="G118">
        <v>4.28813559322034</v>
      </c>
      <c r="H118">
        <v>2E+20</v>
      </c>
      <c r="I118">
        <v>0</v>
      </c>
      <c r="J118">
        <v>9</v>
      </c>
      <c r="K118">
        <v>118</v>
      </c>
      <c r="L118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17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5.3216468500843321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3.56666666666667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7.5042016806722698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20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8" s="5">
        <f>IF((DiscreteStatsTable[[#This Row],[RepsRequested]]&gt;1),DiscreteStatsTable[[#This Row],[HalfWidth]],DiscreteStatsTable[[#This Row],[BatchMeansHalfWidth]])</f>
        <v>0.61647861081931221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17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67</v>
      </c>
      <c r="B119" t="s">
        <v>69</v>
      </c>
      <c r="C119">
        <v>16</v>
      </c>
      <c r="D119" t="s">
        <v>78</v>
      </c>
      <c r="E119" t="s">
        <v>79</v>
      </c>
      <c r="F119" t="s">
        <v>80</v>
      </c>
      <c r="G119">
        <v>3.8909090909090902</v>
      </c>
      <c r="H119">
        <v>2E+20</v>
      </c>
      <c r="I119">
        <v>1</v>
      </c>
      <c r="J119">
        <v>11</v>
      </c>
      <c r="K119">
        <v>110</v>
      </c>
      <c r="L119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17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5.3216468500843321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1.1990188567743081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3.56666666666667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7.5042016806722698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20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19" s="5">
        <f>IF((DiscreteStatsTable[[#This Row],[RepsRequested]]&gt;1),DiscreteStatsTable[[#This Row],[HalfWidth]],DiscreteStatsTable[[#This Row],[BatchMeansHalfWidth]])</f>
        <v>0.61647861081931221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17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67</v>
      </c>
      <c r="B120" t="s">
        <v>69</v>
      </c>
      <c r="C120">
        <v>17</v>
      </c>
      <c r="D120" t="s">
        <v>78</v>
      </c>
      <c r="E120" t="s">
        <v>79</v>
      </c>
      <c r="F120" t="s">
        <v>80</v>
      </c>
      <c r="G120">
        <v>7.2991452991452999</v>
      </c>
      <c r="H120">
        <v>2E+20</v>
      </c>
      <c r="I120">
        <v>1</v>
      </c>
      <c r="J120">
        <v>20</v>
      </c>
      <c r="K120">
        <v>117</v>
      </c>
      <c r="L120" s="5" t="str">
        <f>DiscreteStatsTable[[#This Row],[ProjectName]]&amp;DiscreteStatsTable[[#This Row],[Name]]&amp;DiscreteStatsTable[[#This Row],[Type]]&amp;DiscreteStatsTable[[#This Row],[Source]]</f>
        <v>Weekend (base)ClientesEnSistemaExpressionUser Specified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17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5.3216468500843321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1.1990188567743081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3.56666666666667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7.5042016806722698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20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120" s="5">
        <f>IF((DiscreteStatsTable[[#This Row],[RepsRequested]]&gt;1),DiscreteStatsTable[[#This Row],[HalfWidth]],DiscreteStatsTable[[#This Row],[BatchMeansHalfWidth]])</f>
        <v>0.61647861081931221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17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67</v>
      </c>
      <c r="B121" t="s">
        <v>69</v>
      </c>
      <c r="C121">
        <v>1</v>
      </c>
      <c r="D121" t="s">
        <v>81</v>
      </c>
      <c r="E121" t="s">
        <v>79</v>
      </c>
      <c r="F121" t="s">
        <v>80</v>
      </c>
      <c r="G121">
        <v>6.7021276595744697</v>
      </c>
      <c r="H121">
        <v>2E+20</v>
      </c>
      <c r="I121">
        <v>6.7021276595744697</v>
      </c>
      <c r="J121">
        <v>6.7021276595744697</v>
      </c>
      <c r="K121">
        <v>1</v>
      </c>
      <c r="L121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17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5.3579953772281881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2.78125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10.6315789473684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2.78125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10.6315789473684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1</v>
      </c>
      <c r="W121" s="5">
        <f>IF((DiscreteStatsTable[[#This Row],[RepsRequested]]&gt;1),DiscreteStatsTable[[#This Row],[HalfWidth]],DiscreteStatsTable[[#This Row],[BatchMeansHalfWidth]])</f>
        <v>1.0541331100402431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17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67</v>
      </c>
      <c r="B122" t="s">
        <v>69</v>
      </c>
      <c r="C122">
        <v>2</v>
      </c>
      <c r="D122" t="s">
        <v>81</v>
      </c>
      <c r="E122" t="s">
        <v>79</v>
      </c>
      <c r="F122" t="s">
        <v>80</v>
      </c>
      <c r="G122">
        <v>7.0555555555555598</v>
      </c>
      <c r="H122">
        <v>2E+20</v>
      </c>
      <c r="I122">
        <v>7.0555555555555598</v>
      </c>
      <c r="J122">
        <v>7.0555555555555598</v>
      </c>
      <c r="K122">
        <v>1</v>
      </c>
      <c r="L122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17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5.3579953772281881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2.78125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10.6315789473684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2.78125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10.6315789473684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</v>
      </c>
      <c r="W122" s="5">
        <f>IF((DiscreteStatsTable[[#This Row],[RepsRequested]]&gt;1),DiscreteStatsTable[[#This Row],[HalfWidth]],DiscreteStatsTable[[#This Row],[BatchMeansHalfWidth]])</f>
        <v>1.0541331100402431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17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67</v>
      </c>
      <c r="B123" t="s">
        <v>69</v>
      </c>
      <c r="C123">
        <v>3</v>
      </c>
      <c r="D123" t="s">
        <v>81</v>
      </c>
      <c r="E123" t="s">
        <v>79</v>
      </c>
      <c r="F123" t="s">
        <v>80</v>
      </c>
      <c r="G123">
        <v>10.6315789473684</v>
      </c>
      <c r="H123">
        <v>2E+20</v>
      </c>
      <c r="I123">
        <v>10.6315789473684</v>
      </c>
      <c r="J123">
        <v>10.6315789473684</v>
      </c>
      <c r="K123">
        <v>1</v>
      </c>
      <c r="L123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17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5.3579953772281881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2.78125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10.6315789473684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2.78125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10.6315789473684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</v>
      </c>
      <c r="W123" s="5">
        <f>IF((DiscreteStatsTable[[#This Row],[RepsRequested]]&gt;1),DiscreteStatsTable[[#This Row],[HalfWidth]],DiscreteStatsTable[[#This Row],[BatchMeansHalfWidth]])</f>
        <v>1.0541331100402431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17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67</v>
      </c>
      <c r="B124" t="s">
        <v>69</v>
      </c>
      <c r="C124">
        <v>4</v>
      </c>
      <c r="D124" t="s">
        <v>81</v>
      </c>
      <c r="E124" t="s">
        <v>79</v>
      </c>
      <c r="F124" t="s">
        <v>80</v>
      </c>
      <c r="G124">
        <v>3.9302325581395299</v>
      </c>
      <c r="H124">
        <v>2E+20</v>
      </c>
      <c r="I124">
        <v>3.9302325581395299</v>
      </c>
      <c r="J124">
        <v>3.9302325581395299</v>
      </c>
      <c r="K124">
        <v>1</v>
      </c>
      <c r="L124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17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5.3579953772281881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2.78125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10.6315789473684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2.78125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10.6315789473684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</v>
      </c>
      <c r="W124" s="5">
        <f>IF((DiscreteStatsTable[[#This Row],[RepsRequested]]&gt;1),DiscreteStatsTable[[#This Row],[HalfWidth]],DiscreteStatsTable[[#This Row],[BatchMeansHalfWidth]])</f>
        <v>1.0541331100402431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17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67</v>
      </c>
      <c r="B125" t="s">
        <v>69</v>
      </c>
      <c r="C125">
        <v>5</v>
      </c>
      <c r="D125" t="s">
        <v>81</v>
      </c>
      <c r="E125" t="s">
        <v>79</v>
      </c>
      <c r="F125" t="s">
        <v>80</v>
      </c>
      <c r="G125">
        <v>3.9736842105263199</v>
      </c>
      <c r="H125">
        <v>2E+20</v>
      </c>
      <c r="I125">
        <v>3.9736842105263199</v>
      </c>
      <c r="J125">
        <v>3.9736842105263199</v>
      </c>
      <c r="K125">
        <v>1</v>
      </c>
      <c r="L125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17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5.3579953772281881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2.78125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10.6315789473684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2.78125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10.6315789473684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</v>
      </c>
      <c r="W125" s="5">
        <f>IF((DiscreteStatsTable[[#This Row],[RepsRequested]]&gt;1),DiscreteStatsTable[[#This Row],[HalfWidth]],DiscreteStatsTable[[#This Row],[BatchMeansHalfWidth]])</f>
        <v>1.0541331100402431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17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67</v>
      </c>
      <c r="B126" t="s">
        <v>69</v>
      </c>
      <c r="C126">
        <v>6</v>
      </c>
      <c r="D126" t="s">
        <v>81</v>
      </c>
      <c r="E126" t="s">
        <v>79</v>
      </c>
      <c r="F126" t="s">
        <v>80</v>
      </c>
      <c r="G126">
        <v>4.2142857142857197</v>
      </c>
      <c r="H126">
        <v>2E+20</v>
      </c>
      <c r="I126">
        <v>4.2142857142857197</v>
      </c>
      <c r="J126">
        <v>4.2142857142857197</v>
      </c>
      <c r="K126">
        <v>1</v>
      </c>
      <c r="L126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17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5.3579953772281881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2.78125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10.6315789473684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2.78125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10.6315789473684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</v>
      </c>
      <c r="W126" s="5">
        <f>IF((DiscreteStatsTable[[#This Row],[RepsRequested]]&gt;1),DiscreteStatsTable[[#This Row],[HalfWidth]],DiscreteStatsTable[[#This Row],[BatchMeansHalfWidth]])</f>
        <v>1.0541331100402431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17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67</v>
      </c>
      <c r="B127" t="s">
        <v>69</v>
      </c>
      <c r="C127">
        <v>7</v>
      </c>
      <c r="D127" t="s">
        <v>81</v>
      </c>
      <c r="E127" t="s">
        <v>79</v>
      </c>
      <c r="F127" t="s">
        <v>80</v>
      </c>
      <c r="G127">
        <v>3.22857142857143</v>
      </c>
      <c r="H127">
        <v>2E+20</v>
      </c>
      <c r="I127">
        <v>3.22857142857143</v>
      </c>
      <c r="J127">
        <v>3.22857142857143</v>
      </c>
      <c r="K127">
        <v>1</v>
      </c>
      <c r="L127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17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5.3579953772281881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2.78125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10.6315789473684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2.78125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10.6315789473684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</v>
      </c>
      <c r="W127" s="5">
        <f>IF((DiscreteStatsTable[[#This Row],[RepsRequested]]&gt;1),DiscreteStatsTable[[#This Row],[HalfWidth]],DiscreteStatsTable[[#This Row],[BatchMeansHalfWidth]])</f>
        <v>1.0541331100402431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17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67</v>
      </c>
      <c r="B128" t="s">
        <v>69</v>
      </c>
      <c r="C128">
        <v>8</v>
      </c>
      <c r="D128" t="s">
        <v>81</v>
      </c>
      <c r="E128" t="s">
        <v>79</v>
      </c>
      <c r="F128" t="s">
        <v>80</v>
      </c>
      <c r="G128">
        <v>3.86486486486486</v>
      </c>
      <c r="H128">
        <v>2E+20</v>
      </c>
      <c r="I128">
        <v>3.86486486486486</v>
      </c>
      <c r="J128">
        <v>3.86486486486486</v>
      </c>
      <c r="K128">
        <v>1</v>
      </c>
      <c r="L128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17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5.3579953772281881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2.78125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10.6315789473684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2.78125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10.6315789473684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</v>
      </c>
      <c r="W128" s="5">
        <f>IF((DiscreteStatsTable[[#This Row],[RepsRequested]]&gt;1),DiscreteStatsTable[[#This Row],[HalfWidth]],DiscreteStatsTable[[#This Row],[BatchMeansHalfWidth]])</f>
        <v>1.0541331100402431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17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67</v>
      </c>
      <c r="B129" t="s">
        <v>69</v>
      </c>
      <c r="C129">
        <v>9</v>
      </c>
      <c r="D129" t="s">
        <v>81</v>
      </c>
      <c r="E129" t="s">
        <v>79</v>
      </c>
      <c r="F129" t="s">
        <v>80</v>
      </c>
      <c r="G129">
        <v>7.5581395348837201</v>
      </c>
      <c r="H129">
        <v>2E+20</v>
      </c>
      <c r="I129">
        <v>7.5581395348837201</v>
      </c>
      <c r="J129">
        <v>7.5581395348837201</v>
      </c>
      <c r="K129">
        <v>1</v>
      </c>
      <c r="L129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17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5.3579953772281881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2.0502341108130522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2.78125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10.6315789473684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2.78125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10.6315789473684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</v>
      </c>
      <c r="W129" s="5">
        <f>IF((DiscreteStatsTable[[#This Row],[RepsRequested]]&gt;1),DiscreteStatsTable[[#This Row],[HalfWidth]],DiscreteStatsTable[[#This Row],[BatchMeansHalfWidth]])</f>
        <v>1.0541331100402431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17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67</v>
      </c>
      <c r="B130" t="s">
        <v>69</v>
      </c>
      <c r="C130">
        <v>10</v>
      </c>
      <c r="D130" t="s">
        <v>81</v>
      </c>
      <c r="E130" t="s">
        <v>79</v>
      </c>
      <c r="F130" t="s">
        <v>80</v>
      </c>
      <c r="G130">
        <v>5.75</v>
      </c>
      <c r="H130">
        <v>2E+20</v>
      </c>
      <c r="I130">
        <v>5.75</v>
      </c>
      <c r="J130">
        <v>5.75</v>
      </c>
      <c r="K130">
        <v>1</v>
      </c>
      <c r="L130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17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5.3579953772281881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2.0502341108130522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2.78125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10.6315789473684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2.78125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10.6315789473684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</v>
      </c>
      <c r="W130" s="5">
        <f>IF((DiscreteStatsTable[[#This Row],[RepsRequested]]&gt;1),DiscreteStatsTable[[#This Row],[HalfWidth]],DiscreteStatsTable[[#This Row],[BatchMeansHalfWidth]])</f>
        <v>1.0541331100402431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17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67</v>
      </c>
      <c r="B131" t="s">
        <v>69</v>
      </c>
      <c r="C131">
        <v>11</v>
      </c>
      <c r="D131" t="s">
        <v>81</v>
      </c>
      <c r="E131" t="s">
        <v>79</v>
      </c>
      <c r="F131" t="s">
        <v>80</v>
      </c>
      <c r="G131">
        <v>4.5641025641025701</v>
      </c>
      <c r="H131">
        <v>2E+20</v>
      </c>
      <c r="I131">
        <v>4.5641025641025701</v>
      </c>
      <c r="J131">
        <v>4.5641025641025701</v>
      </c>
      <c r="K131">
        <v>1</v>
      </c>
      <c r="L131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17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5.3579953772281881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2.0502341108130522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2.78125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10.6315789473684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2.78125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10.6315789473684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</v>
      </c>
      <c r="W131" s="5">
        <f>IF((DiscreteStatsTable[[#This Row],[RepsRequested]]&gt;1),DiscreteStatsTable[[#This Row],[HalfWidth]],DiscreteStatsTable[[#This Row],[BatchMeansHalfWidth]])</f>
        <v>1.0541331100402431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17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67</v>
      </c>
      <c r="B132" t="s">
        <v>69</v>
      </c>
      <c r="C132">
        <v>12</v>
      </c>
      <c r="D132" t="s">
        <v>81</v>
      </c>
      <c r="E132" t="s">
        <v>79</v>
      </c>
      <c r="F132" t="s">
        <v>80</v>
      </c>
      <c r="G132">
        <v>8.1086956521739104</v>
      </c>
      <c r="H132">
        <v>2E+20</v>
      </c>
      <c r="I132">
        <v>8.1086956521739104</v>
      </c>
      <c r="J132">
        <v>8.1086956521739104</v>
      </c>
      <c r="K132">
        <v>1</v>
      </c>
      <c r="L132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17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5.3579953772281881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2.0502341108130522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2.78125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10.6315789473684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2.78125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10.6315789473684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</v>
      </c>
      <c r="W132" s="5">
        <f>IF((DiscreteStatsTable[[#This Row],[RepsRequested]]&gt;1),DiscreteStatsTable[[#This Row],[HalfWidth]],DiscreteStatsTable[[#This Row],[BatchMeansHalfWidth]])</f>
        <v>1.0541331100402431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17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67</v>
      </c>
      <c r="B133" t="s">
        <v>69</v>
      </c>
      <c r="C133">
        <v>13</v>
      </c>
      <c r="D133" t="s">
        <v>81</v>
      </c>
      <c r="E133" t="s">
        <v>79</v>
      </c>
      <c r="F133" t="s">
        <v>80</v>
      </c>
      <c r="G133">
        <v>2.78125</v>
      </c>
      <c r="H133">
        <v>2E+20</v>
      </c>
      <c r="I133">
        <v>2.78125</v>
      </c>
      <c r="J133">
        <v>2.78125</v>
      </c>
      <c r="K133">
        <v>1</v>
      </c>
      <c r="L133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17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5.3579953772281881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2.0502341108130522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2.78125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10.6315789473684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2.78125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10.6315789473684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</v>
      </c>
      <c r="W133" s="5">
        <f>IF((DiscreteStatsTable[[#This Row],[RepsRequested]]&gt;1),DiscreteStatsTable[[#This Row],[HalfWidth]],DiscreteStatsTable[[#This Row],[BatchMeansHalfWidth]])</f>
        <v>1.0541331100402431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17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67</v>
      </c>
      <c r="B134" t="s">
        <v>69</v>
      </c>
      <c r="C134">
        <v>14</v>
      </c>
      <c r="D134" t="s">
        <v>81</v>
      </c>
      <c r="E134" t="s">
        <v>79</v>
      </c>
      <c r="F134" t="s">
        <v>80</v>
      </c>
      <c r="G134">
        <v>4.3142857142857096</v>
      </c>
      <c r="H134">
        <v>2E+20</v>
      </c>
      <c r="I134">
        <v>4.3142857142857096</v>
      </c>
      <c r="J134">
        <v>4.3142857142857096</v>
      </c>
      <c r="K134">
        <v>1</v>
      </c>
      <c r="L134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17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5.3579953772281881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2.0502341108130522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2.78125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10.6315789473684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2.78125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10.6315789473684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</v>
      </c>
      <c r="W134" s="5">
        <f>IF((DiscreteStatsTable[[#This Row],[RepsRequested]]&gt;1),DiscreteStatsTable[[#This Row],[HalfWidth]],DiscreteStatsTable[[#This Row],[BatchMeansHalfWidth]])</f>
        <v>1.0541331100402431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17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67</v>
      </c>
      <c r="B135" t="s">
        <v>69</v>
      </c>
      <c r="C135">
        <v>15</v>
      </c>
      <c r="D135" t="s">
        <v>81</v>
      </c>
      <c r="E135" t="s">
        <v>79</v>
      </c>
      <c r="F135" t="s">
        <v>80</v>
      </c>
      <c r="G135">
        <v>4.3333333333333304</v>
      </c>
      <c r="H135">
        <v>2E+20</v>
      </c>
      <c r="I135">
        <v>4.3333333333333304</v>
      </c>
      <c r="J135">
        <v>4.3333333333333304</v>
      </c>
      <c r="K135">
        <v>1</v>
      </c>
      <c r="L135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17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5.3579953772281881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2.0502341108130522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2.78125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10.6315789473684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2.78125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10.6315789473684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</v>
      </c>
      <c r="W135" s="5">
        <f>IF((DiscreteStatsTable[[#This Row],[RepsRequested]]&gt;1),DiscreteStatsTable[[#This Row],[HalfWidth]],DiscreteStatsTable[[#This Row],[BatchMeansHalfWidth]])</f>
        <v>1.0541331100402431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17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67</v>
      </c>
      <c r="B136" t="s">
        <v>69</v>
      </c>
      <c r="C136">
        <v>16</v>
      </c>
      <c r="D136" t="s">
        <v>81</v>
      </c>
      <c r="E136" t="s">
        <v>79</v>
      </c>
      <c r="F136" t="s">
        <v>80</v>
      </c>
      <c r="G136">
        <v>5.5641025641025701</v>
      </c>
      <c r="H136">
        <v>2E+20</v>
      </c>
      <c r="I136">
        <v>5.5641025641025701</v>
      </c>
      <c r="J136">
        <v>5.5641025641025701</v>
      </c>
      <c r="K136">
        <v>1</v>
      </c>
      <c r="L136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17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5.3579953772281881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2.0502341108130522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2.78125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10.6315789473684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2.78125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10.6315789473684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</v>
      </c>
      <c r="W136" s="5">
        <f>IF((DiscreteStatsTable[[#This Row],[RepsRequested]]&gt;1),DiscreteStatsTable[[#This Row],[HalfWidth]],DiscreteStatsTable[[#This Row],[BatchMeansHalfWidth]])</f>
        <v>1.0541331100402431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17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67</v>
      </c>
      <c r="B137" t="s">
        <v>69</v>
      </c>
      <c r="C137">
        <v>17</v>
      </c>
      <c r="D137" t="s">
        <v>81</v>
      </c>
      <c r="E137" t="s">
        <v>79</v>
      </c>
      <c r="F137" t="s">
        <v>80</v>
      </c>
      <c r="G137">
        <v>4.5111111111111102</v>
      </c>
      <c r="H137">
        <v>2E+20</v>
      </c>
      <c r="I137">
        <v>4.5111111111111102</v>
      </c>
      <c r="J137">
        <v>4.5111111111111102</v>
      </c>
      <c r="K137">
        <v>1</v>
      </c>
      <c r="L137" s="5" t="str">
        <f>DiscreteStatsTable[[#This Row],[ProjectName]]&amp;DiscreteStatsTable[[#This Row],[Name]]&amp;DiscreteStatsTable[[#This Row],[Type]]&amp;DiscreteStatsTable[[#This Row],[Source]]</f>
        <v>Weekend (base)ClientesSisH1ExpressionUser Specified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17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5.3579953772281881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2.0502341108130522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1.0541331100402431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2.78125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10.6315789473684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2.78125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10.6315789473684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</v>
      </c>
      <c r="W137" s="5">
        <f>IF((DiscreteStatsTable[[#This Row],[RepsRequested]]&gt;1),DiscreteStatsTable[[#This Row],[HalfWidth]],DiscreteStatsTable[[#This Row],[BatchMeansHalfWidth]])</f>
        <v>1.0541331100402431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17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67</v>
      </c>
      <c r="B138" t="s">
        <v>69</v>
      </c>
      <c r="C138">
        <v>1</v>
      </c>
      <c r="D138" t="s">
        <v>82</v>
      </c>
      <c r="E138" t="s">
        <v>79</v>
      </c>
      <c r="F138" t="s">
        <v>80</v>
      </c>
      <c r="G138">
        <v>5.3255813953488396</v>
      </c>
      <c r="H138">
        <v>2E+20</v>
      </c>
      <c r="I138">
        <v>5.3255813953488396</v>
      </c>
      <c r="J138">
        <v>5.3255813953488396</v>
      </c>
      <c r="K138">
        <v>1</v>
      </c>
      <c r="L138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17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5.287084998375116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1.4236841296556906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3.6478873239436602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8.2432432432432403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3.6478873239436602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8.2432432432432403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</v>
      </c>
      <c r="W138" s="5">
        <f>IF((DiscreteStatsTable[[#This Row],[RepsRequested]]&gt;1),DiscreteStatsTable[[#This Row],[HalfWidth]],DiscreteStatsTable[[#This Row],[BatchMeansHalfWidth]])</f>
        <v>0.73199083528746056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17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67</v>
      </c>
      <c r="B139" t="s">
        <v>69</v>
      </c>
      <c r="C139">
        <v>2</v>
      </c>
      <c r="D139" t="s">
        <v>82</v>
      </c>
      <c r="E139" t="s">
        <v>79</v>
      </c>
      <c r="F139" t="s">
        <v>80</v>
      </c>
      <c r="G139">
        <v>5.48780487804878</v>
      </c>
      <c r="H139">
        <v>2E+20</v>
      </c>
      <c r="I139">
        <v>5.48780487804878</v>
      </c>
      <c r="J139">
        <v>5.48780487804878</v>
      </c>
      <c r="K139">
        <v>1</v>
      </c>
      <c r="L139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17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5.287084998375116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1.4236841296556906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3.6478873239436602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8.2432432432432403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3.6478873239436602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8.2432432432432403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</v>
      </c>
      <c r="W139" s="5">
        <f>IF((DiscreteStatsTable[[#This Row],[RepsRequested]]&gt;1),DiscreteStatsTable[[#This Row],[HalfWidth]],DiscreteStatsTable[[#This Row],[BatchMeansHalfWidth]])</f>
        <v>0.73199083528746056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17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67</v>
      </c>
      <c r="B140" t="s">
        <v>69</v>
      </c>
      <c r="C140">
        <v>3</v>
      </c>
      <c r="D140" t="s">
        <v>82</v>
      </c>
      <c r="E140" t="s">
        <v>79</v>
      </c>
      <c r="F140" t="s">
        <v>80</v>
      </c>
      <c r="G140">
        <v>8.0681818181818201</v>
      </c>
      <c r="H140">
        <v>2E+20</v>
      </c>
      <c r="I140">
        <v>8.0681818181818201</v>
      </c>
      <c r="J140">
        <v>8.0681818181818201</v>
      </c>
      <c r="K140">
        <v>1</v>
      </c>
      <c r="L140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17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5.287084998375116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3.6478873239436602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8.2432432432432403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3.6478873239436602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8.2432432432432403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</v>
      </c>
      <c r="W140" s="5">
        <f>IF((DiscreteStatsTable[[#This Row],[RepsRequested]]&gt;1),DiscreteStatsTable[[#This Row],[HalfWidth]],DiscreteStatsTable[[#This Row],[BatchMeansHalfWidth]])</f>
        <v>0.73199083528746056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17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67</v>
      </c>
      <c r="B141" t="s">
        <v>69</v>
      </c>
      <c r="C141">
        <v>4</v>
      </c>
      <c r="D141" t="s">
        <v>82</v>
      </c>
      <c r="E141" t="s">
        <v>79</v>
      </c>
      <c r="F141" t="s">
        <v>80</v>
      </c>
      <c r="G141">
        <v>5.8131868131868103</v>
      </c>
      <c r="H141">
        <v>2E+20</v>
      </c>
      <c r="I141">
        <v>5.8131868131868103</v>
      </c>
      <c r="J141">
        <v>5.8131868131868103</v>
      </c>
      <c r="K141">
        <v>1</v>
      </c>
      <c r="L141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17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5.287084998375116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3.6478873239436602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8.2432432432432403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3.6478873239436602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8.2432432432432403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</v>
      </c>
      <c r="W141" s="5">
        <f>IF((DiscreteStatsTable[[#This Row],[RepsRequested]]&gt;1),DiscreteStatsTable[[#This Row],[HalfWidth]],DiscreteStatsTable[[#This Row],[BatchMeansHalfWidth]])</f>
        <v>0.73199083528746056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17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67</v>
      </c>
      <c r="B142" t="s">
        <v>69</v>
      </c>
      <c r="C142">
        <v>5</v>
      </c>
      <c r="D142" t="s">
        <v>82</v>
      </c>
      <c r="E142" t="s">
        <v>79</v>
      </c>
      <c r="F142" t="s">
        <v>80</v>
      </c>
      <c r="G142">
        <v>4.5063291139240498</v>
      </c>
      <c r="H142">
        <v>2E+20</v>
      </c>
      <c r="I142">
        <v>4.5063291139240498</v>
      </c>
      <c r="J142">
        <v>4.5063291139240498</v>
      </c>
      <c r="K142">
        <v>1</v>
      </c>
      <c r="L142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17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5.287084998375116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3.6478873239436602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8.2432432432432403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3.6478873239436602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8.2432432432432403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</v>
      </c>
      <c r="W142" s="5">
        <f>IF((DiscreteStatsTable[[#This Row],[RepsRequested]]&gt;1),DiscreteStatsTable[[#This Row],[HalfWidth]],DiscreteStatsTable[[#This Row],[BatchMeansHalfWidth]])</f>
        <v>0.73199083528746056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17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67</v>
      </c>
      <c r="B143" t="s">
        <v>69</v>
      </c>
      <c r="C143">
        <v>6</v>
      </c>
      <c r="D143" t="s">
        <v>82</v>
      </c>
      <c r="E143" t="s">
        <v>79</v>
      </c>
      <c r="F143" t="s">
        <v>80</v>
      </c>
      <c r="G143">
        <v>3.8048780487804899</v>
      </c>
      <c r="H143">
        <v>2E+20</v>
      </c>
      <c r="I143">
        <v>3.8048780487804899</v>
      </c>
      <c r="J143">
        <v>3.8048780487804899</v>
      </c>
      <c r="K143">
        <v>1</v>
      </c>
      <c r="L143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17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5.287084998375116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3.6478873239436602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8.2432432432432403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3.6478873239436602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8.2432432432432403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</v>
      </c>
      <c r="W143" s="5">
        <f>IF((DiscreteStatsTable[[#This Row],[RepsRequested]]&gt;1),DiscreteStatsTable[[#This Row],[HalfWidth]],DiscreteStatsTable[[#This Row],[BatchMeansHalfWidth]])</f>
        <v>0.73199083528746056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17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67</v>
      </c>
      <c r="B144" t="s">
        <v>69</v>
      </c>
      <c r="C144">
        <v>7</v>
      </c>
      <c r="D144" t="s">
        <v>82</v>
      </c>
      <c r="E144" t="s">
        <v>79</v>
      </c>
      <c r="F144" t="s">
        <v>80</v>
      </c>
      <c r="G144">
        <v>4.9444444444444402</v>
      </c>
      <c r="H144">
        <v>2E+20</v>
      </c>
      <c r="I144">
        <v>4.9444444444444402</v>
      </c>
      <c r="J144">
        <v>4.9444444444444402</v>
      </c>
      <c r="K144">
        <v>1</v>
      </c>
      <c r="L144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17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5.287084998375116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3.6478873239436602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8.2432432432432403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3.6478873239436602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8.2432432432432403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</v>
      </c>
      <c r="W144" s="5">
        <f>IF((DiscreteStatsTable[[#This Row],[RepsRequested]]&gt;1),DiscreteStatsTable[[#This Row],[HalfWidth]],DiscreteStatsTable[[#This Row],[BatchMeansHalfWidth]])</f>
        <v>0.73199083528746056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17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67</v>
      </c>
      <c r="B145" t="s">
        <v>69</v>
      </c>
      <c r="C145">
        <v>8</v>
      </c>
      <c r="D145" t="s">
        <v>82</v>
      </c>
      <c r="E145" t="s">
        <v>79</v>
      </c>
      <c r="F145" t="s">
        <v>80</v>
      </c>
      <c r="G145">
        <v>8.2432432432432403</v>
      </c>
      <c r="H145">
        <v>2E+20</v>
      </c>
      <c r="I145">
        <v>8.2432432432432403</v>
      </c>
      <c r="J145">
        <v>8.2432432432432403</v>
      </c>
      <c r="K145">
        <v>1</v>
      </c>
      <c r="L145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17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5.287084998375116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3.6478873239436602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8.2432432432432403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3.6478873239436602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8.2432432432432403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</v>
      </c>
      <c r="W145" s="5">
        <f>IF((DiscreteStatsTable[[#This Row],[RepsRequested]]&gt;1),DiscreteStatsTable[[#This Row],[HalfWidth]],DiscreteStatsTable[[#This Row],[BatchMeansHalfWidth]])</f>
        <v>0.73199083528746056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17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67</v>
      </c>
      <c r="B146" t="s">
        <v>69</v>
      </c>
      <c r="C146">
        <v>9</v>
      </c>
      <c r="D146" t="s">
        <v>82</v>
      </c>
      <c r="E146" t="s">
        <v>79</v>
      </c>
      <c r="F146" t="s">
        <v>80</v>
      </c>
      <c r="G146">
        <v>5.3647058823529399</v>
      </c>
      <c r="H146">
        <v>2E+20</v>
      </c>
      <c r="I146">
        <v>5.3647058823529399</v>
      </c>
      <c r="J146">
        <v>5.3647058823529399</v>
      </c>
      <c r="K146">
        <v>1</v>
      </c>
      <c r="L146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17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5.287084998375116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3.6478873239436602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8.2432432432432403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3.6478873239436602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8.2432432432432403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</v>
      </c>
      <c r="W146" s="5">
        <f>IF((DiscreteStatsTable[[#This Row],[RepsRequested]]&gt;1),DiscreteStatsTable[[#This Row],[HalfWidth]],DiscreteStatsTable[[#This Row],[BatchMeansHalfWidth]])</f>
        <v>0.73199083528746056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17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67</v>
      </c>
      <c r="B147" t="s">
        <v>69</v>
      </c>
      <c r="C147">
        <v>10</v>
      </c>
      <c r="D147" t="s">
        <v>82</v>
      </c>
      <c r="E147" t="s">
        <v>79</v>
      </c>
      <c r="F147" t="s">
        <v>80</v>
      </c>
      <c r="G147">
        <v>6.3950617283950599</v>
      </c>
      <c r="H147">
        <v>2E+20</v>
      </c>
      <c r="I147">
        <v>6.3950617283950599</v>
      </c>
      <c r="J147">
        <v>6.3950617283950599</v>
      </c>
      <c r="K147">
        <v>1</v>
      </c>
      <c r="L147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17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5.287084998375116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3.6478873239436602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8.2432432432432403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3.6478873239436602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8.2432432432432403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</v>
      </c>
      <c r="W147" s="5">
        <f>IF((DiscreteStatsTable[[#This Row],[RepsRequested]]&gt;1),DiscreteStatsTable[[#This Row],[HalfWidth]],DiscreteStatsTable[[#This Row],[BatchMeansHalfWidth]])</f>
        <v>0.73199083528746056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17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67</v>
      </c>
      <c r="B148" t="s">
        <v>69</v>
      </c>
      <c r="C148">
        <v>11</v>
      </c>
      <c r="D148" t="s">
        <v>82</v>
      </c>
      <c r="E148" t="s">
        <v>79</v>
      </c>
      <c r="F148" t="s">
        <v>80</v>
      </c>
      <c r="G148">
        <v>3.6478873239436602</v>
      </c>
      <c r="H148">
        <v>2E+20</v>
      </c>
      <c r="I148">
        <v>3.6478873239436602</v>
      </c>
      <c r="J148">
        <v>3.6478873239436602</v>
      </c>
      <c r="K148">
        <v>1</v>
      </c>
      <c r="L148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17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5.287084998375116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3.6478873239436602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8.2432432432432403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3.6478873239436602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8.2432432432432403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</v>
      </c>
      <c r="W148" s="5">
        <f>IF((DiscreteStatsTable[[#This Row],[RepsRequested]]&gt;1),DiscreteStatsTable[[#This Row],[HalfWidth]],DiscreteStatsTable[[#This Row],[BatchMeansHalfWidth]])</f>
        <v>0.73199083528746056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17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67</v>
      </c>
      <c r="B149" t="s">
        <v>69</v>
      </c>
      <c r="C149">
        <v>12</v>
      </c>
      <c r="D149" t="s">
        <v>82</v>
      </c>
      <c r="E149" t="s">
        <v>79</v>
      </c>
      <c r="F149" t="s">
        <v>80</v>
      </c>
      <c r="G149">
        <v>7.0329670329670302</v>
      </c>
      <c r="H149">
        <v>2E+20</v>
      </c>
      <c r="I149">
        <v>7.0329670329670302</v>
      </c>
      <c r="J149">
        <v>7.0329670329670302</v>
      </c>
      <c r="K149">
        <v>1</v>
      </c>
      <c r="L149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17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5.287084998375116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1.4236841296556906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3.6478873239436602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8.2432432432432403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3.6478873239436602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8.2432432432432403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</v>
      </c>
      <c r="W149" s="5">
        <f>IF((DiscreteStatsTable[[#This Row],[RepsRequested]]&gt;1),DiscreteStatsTable[[#This Row],[HalfWidth]],DiscreteStatsTable[[#This Row],[BatchMeansHalfWidth]])</f>
        <v>0.73199083528746056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17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67</v>
      </c>
      <c r="B150" t="s">
        <v>69</v>
      </c>
      <c r="C150">
        <v>13</v>
      </c>
      <c r="D150" t="s">
        <v>82</v>
      </c>
      <c r="E150" t="s">
        <v>79</v>
      </c>
      <c r="F150" t="s">
        <v>80</v>
      </c>
      <c r="G150">
        <v>4.0422535211267601</v>
      </c>
      <c r="H150">
        <v>2E+20</v>
      </c>
      <c r="I150">
        <v>4.0422535211267601</v>
      </c>
      <c r="J150">
        <v>4.0422535211267601</v>
      </c>
      <c r="K150">
        <v>1</v>
      </c>
      <c r="L150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17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5.287084998375116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1.4236841296556906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3.6478873239436602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8.2432432432432403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3.6478873239436602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8.2432432432432403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</v>
      </c>
      <c r="W150" s="5">
        <f>IF((DiscreteStatsTable[[#This Row],[RepsRequested]]&gt;1),DiscreteStatsTable[[#This Row],[HalfWidth]],DiscreteStatsTable[[#This Row],[BatchMeansHalfWidth]])</f>
        <v>0.73199083528746056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17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67</v>
      </c>
      <c r="B151" t="s">
        <v>69</v>
      </c>
      <c r="C151">
        <v>14</v>
      </c>
      <c r="D151" t="s">
        <v>82</v>
      </c>
      <c r="E151" t="s">
        <v>79</v>
      </c>
      <c r="F151" t="s">
        <v>80</v>
      </c>
      <c r="G151">
        <v>3.9736842105263102</v>
      </c>
      <c r="H151">
        <v>2E+20</v>
      </c>
      <c r="I151">
        <v>3.9736842105263102</v>
      </c>
      <c r="J151">
        <v>3.9736842105263102</v>
      </c>
      <c r="K151">
        <v>1</v>
      </c>
      <c r="L151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17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5.287084998375116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1.4236841296556906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3.6478873239436602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8.2432432432432403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3.6478873239436602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8.2432432432432403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</v>
      </c>
      <c r="W151" s="5">
        <f>IF((DiscreteStatsTable[[#This Row],[RepsRequested]]&gt;1),DiscreteStatsTable[[#This Row],[HalfWidth]],DiscreteStatsTable[[#This Row],[BatchMeansHalfWidth]])</f>
        <v>0.73199083528746056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17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67</v>
      </c>
      <c r="B152" t="s">
        <v>69</v>
      </c>
      <c r="C152">
        <v>15</v>
      </c>
      <c r="D152" t="s">
        <v>82</v>
      </c>
      <c r="E152" t="s">
        <v>79</v>
      </c>
      <c r="F152" t="s">
        <v>80</v>
      </c>
      <c r="G152">
        <v>4.7397260273972597</v>
      </c>
      <c r="H152">
        <v>2E+20</v>
      </c>
      <c r="I152">
        <v>4.7397260273972597</v>
      </c>
      <c r="J152">
        <v>4.7397260273972597</v>
      </c>
      <c r="K152">
        <v>1</v>
      </c>
      <c r="L152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17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5.287084998375116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1.4236841296556906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3.6478873239436602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8.2432432432432403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3.6478873239436602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8.2432432432432403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</v>
      </c>
      <c r="W152" s="5">
        <f>IF((DiscreteStatsTable[[#This Row],[RepsRequested]]&gt;1),DiscreteStatsTable[[#This Row],[HalfWidth]],DiscreteStatsTable[[#This Row],[BatchMeansHalfWidth]])</f>
        <v>0.73199083528746056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17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67</v>
      </c>
      <c r="B153" t="s">
        <v>69</v>
      </c>
      <c r="C153">
        <v>16</v>
      </c>
      <c r="D153" t="s">
        <v>82</v>
      </c>
      <c r="E153" t="s">
        <v>79</v>
      </c>
      <c r="F153" t="s">
        <v>80</v>
      </c>
      <c r="G153">
        <v>4.2307692307692299</v>
      </c>
      <c r="H153">
        <v>2E+20</v>
      </c>
      <c r="I153">
        <v>4.2307692307692299</v>
      </c>
      <c r="J153">
        <v>4.2307692307692299</v>
      </c>
      <c r="K153">
        <v>1</v>
      </c>
      <c r="L153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17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5.287084998375116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1.4236841296556906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3.6478873239436602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8.2432432432432403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3.6478873239436602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8.2432432432432403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</v>
      </c>
      <c r="W153" s="5">
        <f>IF((DiscreteStatsTable[[#This Row],[RepsRequested]]&gt;1),DiscreteStatsTable[[#This Row],[HalfWidth]],DiscreteStatsTable[[#This Row],[BatchMeansHalfWidth]])</f>
        <v>0.73199083528746056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17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67</v>
      </c>
      <c r="B154" t="s">
        <v>69</v>
      </c>
      <c r="C154">
        <v>17</v>
      </c>
      <c r="D154" t="s">
        <v>82</v>
      </c>
      <c r="E154" t="s">
        <v>79</v>
      </c>
      <c r="F154" t="s">
        <v>80</v>
      </c>
      <c r="G154">
        <v>4.2597402597402603</v>
      </c>
      <c r="H154">
        <v>2E+20</v>
      </c>
      <c r="I154">
        <v>4.2597402597402603</v>
      </c>
      <c r="J154">
        <v>4.2597402597402603</v>
      </c>
      <c r="K154">
        <v>1</v>
      </c>
      <c r="L154" s="5" t="str">
        <f>DiscreteStatsTable[[#This Row],[ProjectName]]&amp;DiscreteStatsTable[[#This Row],[Name]]&amp;DiscreteStatsTable[[#This Row],[Type]]&amp;DiscreteStatsTable[[#This Row],[Source]]</f>
        <v>Weekend (base)ClientesSisH2ExpressionUser Specified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17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5.287084998375116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1.4236841296556906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0.73199083528746056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3.6478873239436602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8.2432432432432403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3.6478873239436602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8.2432432432432403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</v>
      </c>
      <c r="W154" s="5">
        <f>IF((DiscreteStatsTable[[#This Row],[RepsRequested]]&gt;1),DiscreteStatsTable[[#This Row],[HalfWidth]],DiscreteStatsTable[[#This Row],[BatchMeansHalfWidth]])</f>
        <v>0.73199083528746056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17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67</v>
      </c>
      <c r="B155" t="s">
        <v>69</v>
      </c>
      <c r="C155">
        <v>1</v>
      </c>
      <c r="D155" t="s">
        <v>83</v>
      </c>
      <c r="E155" t="s">
        <v>79</v>
      </c>
      <c r="F155" t="s">
        <v>80</v>
      </c>
      <c r="G155">
        <v>5.04</v>
      </c>
      <c r="H155">
        <v>2E+20</v>
      </c>
      <c r="I155">
        <v>5.04</v>
      </c>
      <c r="J155">
        <v>5.04</v>
      </c>
      <c r="K155">
        <v>1</v>
      </c>
      <c r="L155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17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5.3216468500843321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1.1990188567743081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3.56666666666667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7.5042016806722698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3.56666666666667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7.5042016806722698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</v>
      </c>
      <c r="W155" s="5">
        <f>IF((DiscreteStatsTable[[#This Row],[RepsRequested]]&gt;1),DiscreteStatsTable[[#This Row],[HalfWidth]],DiscreteStatsTable[[#This Row],[BatchMeansHalfWidth]])</f>
        <v>0.61647861081931221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17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67</v>
      </c>
      <c r="B156" t="s">
        <v>69</v>
      </c>
      <c r="C156">
        <v>2</v>
      </c>
      <c r="D156" t="s">
        <v>83</v>
      </c>
      <c r="E156" t="s">
        <v>79</v>
      </c>
      <c r="F156" t="s">
        <v>80</v>
      </c>
      <c r="G156">
        <v>5.60683760683761</v>
      </c>
      <c r="H156">
        <v>2E+20</v>
      </c>
      <c r="I156">
        <v>5.60683760683761</v>
      </c>
      <c r="J156">
        <v>5.60683760683761</v>
      </c>
      <c r="K156">
        <v>1</v>
      </c>
      <c r="L156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17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5.3216468500843321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1.1990188567743081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3.56666666666667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7.5042016806722698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3.56666666666667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7.5042016806722698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</v>
      </c>
      <c r="W156" s="5">
        <f>IF((DiscreteStatsTable[[#This Row],[RepsRequested]]&gt;1),DiscreteStatsTable[[#This Row],[HalfWidth]],DiscreteStatsTable[[#This Row],[BatchMeansHalfWidth]])</f>
        <v>0.61647861081931221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17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67</v>
      </c>
      <c r="B157" t="s">
        <v>69</v>
      </c>
      <c r="C157">
        <v>3</v>
      </c>
      <c r="D157" t="s">
        <v>83</v>
      </c>
      <c r="E157" t="s">
        <v>79</v>
      </c>
      <c r="F157" t="s">
        <v>80</v>
      </c>
      <c r="G157">
        <v>6.8253968253968296</v>
      </c>
      <c r="H157">
        <v>2E+20</v>
      </c>
      <c r="I157">
        <v>6.8253968253968296</v>
      </c>
      <c r="J157">
        <v>6.8253968253968296</v>
      </c>
      <c r="K157">
        <v>1</v>
      </c>
      <c r="L157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17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5.3216468500843321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1.1990188567743081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3.56666666666667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7.5042016806722698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3.56666666666667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7.5042016806722698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</v>
      </c>
      <c r="W157" s="5">
        <f>IF((DiscreteStatsTable[[#This Row],[RepsRequested]]&gt;1),DiscreteStatsTable[[#This Row],[HalfWidth]],DiscreteStatsTable[[#This Row],[BatchMeansHalfWidth]])</f>
        <v>0.61647861081931221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17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67</v>
      </c>
      <c r="B158" t="s">
        <v>69</v>
      </c>
      <c r="C158">
        <v>4</v>
      </c>
      <c r="D158" t="s">
        <v>83</v>
      </c>
      <c r="E158" t="s">
        <v>79</v>
      </c>
      <c r="F158" t="s">
        <v>80</v>
      </c>
      <c r="G158">
        <v>5.0384615384615401</v>
      </c>
      <c r="H158">
        <v>2E+20</v>
      </c>
      <c r="I158">
        <v>5.0384615384615401</v>
      </c>
      <c r="J158">
        <v>5.0384615384615401</v>
      </c>
      <c r="K158">
        <v>1</v>
      </c>
      <c r="L158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17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5.3216468500843321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1.1990188567743081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3.56666666666667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7.5042016806722698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3.56666666666667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7.5042016806722698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</v>
      </c>
      <c r="W158" s="5">
        <f>IF((DiscreteStatsTable[[#This Row],[RepsRequested]]&gt;1),DiscreteStatsTable[[#This Row],[HalfWidth]],DiscreteStatsTable[[#This Row],[BatchMeansHalfWidth]])</f>
        <v>0.61647861081931221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17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67</v>
      </c>
      <c r="B159" t="s">
        <v>69</v>
      </c>
      <c r="C159">
        <v>5</v>
      </c>
      <c r="D159" t="s">
        <v>83</v>
      </c>
      <c r="E159" t="s">
        <v>79</v>
      </c>
      <c r="F159" t="s">
        <v>80</v>
      </c>
      <c r="G159">
        <v>5.9230769230769296</v>
      </c>
      <c r="H159">
        <v>2E+20</v>
      </c>
      <c r="I159">
        <v>5.9230769230769296</v>
      </c>
      <c r="J159">
        <v>5.9230769230769296</v>
      </c>
      <c r="K159">
        <v>1</v>
      </c>
      <c r="L159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17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5.3216468500843321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1.1990188567743081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3.56666666666667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7.5042016806722698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3.56666666666667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7.5042016806722698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</v>
      </c>
      <c r="W159" s="5">
        <f>IF((DiscreteStatsTable[[#This Row],[RepsRequested]]&gt;1),DiscreteStatsTable[[#This Row],[HalfWidth]],DiscreteStatsTable[[#This Row],[BatchMeansHalfWidth]])</f>
        <v>0.61647861081931221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17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67</v>
      </c>
      <c r="B160" t="s">
        <v>69</v>
      </c>
      <c r="C160">
        <v>6</v>
      </c>
      <c r="D160" t="s">
        <v>83</v>
      </c>
      <c r="E160" t="s">
        <v>79</v>
      </c>
      <c r="F160" t="s">
        <v>80</v>
      </c>
      <c r="G160">
        <v>3.56666666666667</v>
      </c>
      <c r="H160">
        <v>2E+20</v>
      </c>
      <c r="I160">
        <v>3.56666666666667</v>
      </c>
      <c r="J160">
        <v>3.56666666666667</v>
      </c>
      <c r="K160">
        <v>1</v>
      </c>
      <c r="L160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17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5.3216468500843321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3.56666666666667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7.5042016806722698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3.56666666666667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7.5042016806722698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</v>
      </c>
      <c r="W160" s="5">
        <f>IF((DiscreteStatsTable[[#This Row],[RepsRequested]]&gt;1),DiscreteStatsTable[[#This Row],[HalfWidth]],DiscreteStatsTable[[#This Row],[BatchMeansHalfWidth]])</f>
        <v>0.61647861081931221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17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67</v>
      </c>
      <c r="B161" t="s">
        <v>69</v>
      </c>
      <c r="C161">
        <v>7</v>
      </c>
      <c r="D161" t="s">
        <v>83</v>
      </c>
      <c r="E161" t="s">
        <v>79</v>
      </c>
      <c r="F161" t="s">
        <v>80</v>
      </c>
      <c r="G161">
        <v>4.6355140186915902</v>
      </c>
      <c r="H161">
        <v>2E+20</v>
      </c>
      <c r="I161">
        <v>4.6355140186915902</v>
      </c>
      <c r="J161">
        <v>4.6355140186915902</v>
      </c>
      <c r="K161">
        <v>1</v>
      </c>
      <c r="L161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17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5.3216468500843321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3.56666666666667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7.5042016806722698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3.56666666666667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7.5042016806722698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</v>
      </c>
      <c r="W161" s="5">
        <f>IF((DiscreteStatsTable[[#This Row],[RepsRequested]]&gt;1),DiscreteStatsTable[[#This Row],[HalfWidth]],DiscreteStatsTable[[#This Row],[BatchMeansHalfWidth]])</f>
        <v>0.61647861081931221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17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67</v>
      </c>
      <c r="B162" t="s">
        <v>69</v>
      </c>
      <c r="C162">
        <v>8</v>
      </c>
      <c r="D162" t="s">
        <v>83</v>
      </c>
      <c r="E162" t="s">
        <v>79</v>
      </c>
      <c r="F162" t="s">
        <v>80</v>
      </c>
      <c r="G162">
        <v>7.5042016806722698</v>
      </c>
      <c r="H162">
        <v>2E+20</v>
      </c>
      <c r="I162">
        <v>7.5042016806722698</v>
      </c>
      <c r="J162">
        <v>7.5042016806722698</v>
      </c>
      <c r="K162">
        <v>1</v>
      </c>
      <c r="L162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17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5.3216468500843321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3.56666666666667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7.5042016806722698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3.56666666666667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7.5042016806722698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</v>
      </c>
      <c r="W162" s="5">
        <f>IF((DiscreteStatsTable[[#This Row],[RepsRequested]]&gt;1),DiscreteStatsTable[[#This Row],[HalfWidth]],DiscreteStatsTable[[#This Row],[BatchMeansHalfWidth]])</f>
        <v>0.61647861081931221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17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67</v>
      </c>
      <c r="B163" t="s">
        <v>69</v>
      </c>
      <c r="C163">
        <v>9</v>
      </c>
      <c r="D163" t="s">
        <v>83</v>
      </c>
      <c r="E163" t="s">
        <v>79</v>
      </c>
      <c r="F163" t="s">
        <v>80</v>
      </c>
      <c r="G163">
        <v>4.55833333333333</v>
      </c>
      <c r="H163">
        <v>2E+20</v>
      </c>
      <c r="I163">
        <v>4.55833333333333</v>
      </c>
      <c r="J163">
        <v>4.55833333333333</v>
      </c>
      <c r="K163">
        <v>1</v>
      </c>
      <c r="L163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17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5.3216468500843321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3.56666666666667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7.5042016806722698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3.56666666666667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7.5042016806722698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</v>
      </c>
      <c r="W163" s="5">
        <f>IF((DiscreteStatsTable[[#This Row],[RepsRequested]]&gt;1),DiscreteStatsTable[[#This Row],[HalfWidth]],DiscreteStatsTable[[#This Row],[BatchMeansHalfWidth]])</f>
        <v>0.61647861081931221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17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67</v>
      </c>
      <c r="B164" t="s">
        <v>69</v>
      </c>
      <c r="C164">
        <v>10</v>
      </c>
      <c r="D164" t="s">
        <v>83</v>
      </c>
      <c r="E164" t="s">
        <v>79</v>
      </c>
      <c r="F164" t="s">
        <v>80</v>
      </c>
      <c r="G164">
        <v>6.7983870967741904</v>
      </c>
      <c r="H164">
        <v>2E+20</v>
      </c>
      <c r="I164">
        <v>6.7983870967741904</v>
      </c>
      <c r="J164">
        <v>6.7983870967741904</v>
      </c>
      <c r="K164">
        <v>1</v>
      </c>
      <c r="L164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17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5.3216468500843321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3.56666666666667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7.5042016806722698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3.56666666666667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7.5042016806722698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</v>
      </c>
      <c r="W164" s="5">
        <f>IF((DiscreteStatsTable[[#This Row],[RepsRequested]]&gt;1),DiscreteStatsTable[[#This Row],[HalfWidth]],DiscreteStatsTable[[#This Row],[BatchMeansHalfWidth]])</f>
        <v>0.61647861081931221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17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67</v>
      </c>
      <c r="B165" t="s">
        <v>69</v>
      </c>
      <c r="C165">
        <v>11</v>
      </c>
      <c r="D165" t="s">
        <v>83</v>
      </c>
      <c r="E165" t="s">
        <v>79</v>
      </c>
      <c r="F165" t="s">
        <v>80</v>
      </c>
      <c r="G165">
        <v>4.6173913043478301</v>
      </c>
      <c r="H165">
        <v>2E+20</v>
      </c>
      <c r="I165">
        <v>4.6173913043478301</v>
      </c>
      <c r="J165">
        <v>4.6173913043478301</v>
      </c>
      <c r="K165">
        <v>1</v>
      </c>
      <c r="L165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17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5.3216468500843321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3.56666666666667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7.5042016806722698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3.56666666666667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7.5042016806722698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</v>
      </c>
      <c r="W165" s="5">
        <f>IF((DiscreteStatsTable[[#This Row],[RepsRequested]]&gt;1),DiscreteStatsTable[[#This Row],[HalfWidth]],DiscreteStatsTable[[#This Row],[BatchMeansHalfWidth]])</f>
        <v>0.61647861081931221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17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67</v>
      </c>
      <c r="B166" t="s">
        <v>69</v>
      </c>
      <c r="C166">
        <v>12</v>
      </c>
      <c r="D166" t="s">
        <v>83</v>
      </c>
      <c r="E166" t="s">
        <v>79</v>
      </c>
      <c r="F166" t="s">
        <v>80</v>
      </c>
      <c r="G166">
        <v>5.8114754098360697</v>
      </c>
      <c r="H166">
        <v>2E+20</v>
      </c>
      <c r="I166">
        <v>5.8114754098360697</v>
      </c>
      <c r="J166">
        <v>5.8114754098360697</v>
      </c>
      <c r="K166">
        <v>1</v>
      </c>
      <c r="L166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17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5.3216468500843321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3.56666666666667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7.5042016806722698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3.56666666666667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7.5042016806722698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</v>
      </c>
      <c r="W166" s="5">
        <f>IF((DiscreteStatsTable[[#This Row],[RepsRequested]]&gt;1),DiscreteStatsTable[[#This Row],[HalfWidth]],DiscreteStatsTable[[#This Row],[BatchMeansHalfWidth]])</f>
        <v>0.61647861081931221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17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67</v>
      </c>
      <c r="B167" t="s">
        <v>69</v>
      </c>
      <c r="C167">
        <v>13</v>
      </c>
      <c r="D167" t="s">
        <v>83</v>
      </c>
      <c r="E167" t="s">
        <v>79</v>
      </c>
      <c r="F167" t="s">
        <v>80</v>
      </c>
      <c r="G167">
        <v>4.6936936936937004</v>
      </c>
      <c r="H167">
        <v>2E+20</v>
      </c>
      <c r="I167">
        <v>4.6936936936937004</v>
      </c>
      <c r="J167">
        <v>4.6936936936937004</v>
      </c>
      <c r="K167">
        <v>1</v>
      </c>
      <c r="L167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17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5.3216468500843321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3.56666666666667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7.5042016806722698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3.56666666666667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7.5042016806722698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</v>
      </c>
      <c r="W167" s="5">
        <f>IF((DiscreteStatsTable[[#This Row],[RepsRequested]]&gt;1),DiscreteStatsTable[[#This Row],[HalfWidth]],DiscreteStatsTable[[#This Row],[BatchMeansHalfWidth]])</f>
        <v>0.61647861081931221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17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67</v>
      </c>
      <c r="B168" t="s">
        <v>69</v>
      </c>
      <c r="C168">
        <v>14</v>
      </c>
      <c r="D168" t="s">
        <v>83</v>
      </c>
      <c r="E168" t="s">
        <v>79</v>
      </c>
      <c r="F168" t="s">
        <v>80</v>
      </c>
      <c r="G168">
        <v>4.3703703703703702</v>
      </c>
      <c r="H168">
        <v>2E+20</v>
      </c>
      <c r="I168">
        <v>4.3703703703703702</v>
      </c>
      <c r="J168">
        <v>4.3703703703703702</v>
      </c>
      <c r="K168">
        <v>1</v>
      </c>
      <c r="L168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17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5.3216468500843321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3.56666666666667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7.5042016806722698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3.56666666666667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7.5042016806722698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</v>
      </c>
      <c r="W168" s="5">
        <f>IF((DiscreteStatsTable[[#This Row],[RepsRequested]]&gt;1),DiscreteStatsTable[[#This Row],[HalfWidth]],DiscreteStatsTable[[#This Row],[BatchMeansHalfWidth]])</f>
        <v>0.61647861081931221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17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67</v>
      </c>
      <c r="B169" t="s">
        <v>69</v>
      </c>
      <c r="C169">
        <v>15</v>
      </c>
      <c r="D169" t="s">
        <v>83</v>
      </c>
      <c r="E169" t="s">
        <v>79</v>
      </c>
      <c r="F169" t="s">
        <v>80</v>
      </c>
      <c r="G169">
        <v>4.28813559322034</v>
      </c>
      <c r="H169">
        <v>2E+20</v>
      </c>
      <c r="I169">
        <v>4.28813559322034</v>
      </c>
      <c r="J169">
        <v>4.28813559322034</v>
      </c>
      <c r="K169">
        <v>1</v>
      </c>
      <c r="L169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17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5.3216468500843321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1.1990188567743081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3.56666666666667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7.5042016806722698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3.56666666666667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7.5042016806722698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</v>
      </c>
      <c r="W169" s="5">
        <f>IF((DiscreteStatsTable[[#This Row],[RepsRequested]]&gt;1),DiscreteStatsTable[[#This Row],[HalfWidth]],DiscreteStatsTable[[#This Row],[BatchMeansHalfWidth]])</f>
        <v>0.61647861081931221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17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67</v>
      </c>
      <c r="B170" t="s">
        <v>69</v>
      </c>
      <c r="C170">
        <v>16</v>
      </c>
      <c r="D170" t="s">
        <v>83</v>
      </c>
      <c r="E170" t="s">
        <v>79</v>
      </c>
      <c r="F170" t="s">
        <v>80</v>
      </c>
      <c r="G170">
        <v>3.8909090909090902</v>
      </c>
      <c r="H170">
        <v>2E+20</v>
      </c>
      <c r="I170">
        <v>3.8909090909090902</v>
      </c>
      <c r="J170">
        <v>3.8909090909090902</v>
      </c>
      <c r="K170">
        <v>1</v>
      </c>
      <c r="L170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17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5.3216468500843321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1.1990188567743081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3.56666666666667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7.5042016806722698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3.56666666666667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7.5042016806722698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</v>
      </c>
      <c r="W170" s="5">
        <f>IF((DiscreteStatsTable[[#This Row],[RepsRequested]]&gt;1),DiscreteStatsTable[[#This Row],[HalfWidth]],DiscreteStatsTable[[#This Row],[BatchMeansHalfWidth]])</f>
        <v>0.61647861081931221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17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67</v>
      </c>
      <c r="B171" t="s">
        <v>69</v>
      </c>
      <c r="C171">
        <v>17</v>
      </c>
      <c r="D171" t="s">
        <v>83</v>
      </c>
      <c r="E171" t="s">
        <v>79</v>
      </c>
      <c r="F171" t="s">
        <v>80</v>
      </c>
      <c r="G171">
        <v>7.2991452991452999</v>
      </c>
      <c r="H171">
        <v>2E+20</v>
      </c>
      <c r="I171">
        <v>7.2991452991452999</v>
      </c>
      <c r="J171">
        <v>7.2991452991452999</v>
      </c>
      <c r="K171">
        <v>1</v>
      </c>
      <c r="L171" s="5" t="str">
        <f>DiscreteStatsTable[[#This Row],[ProjectName]]&amp;DiscreteStatsTable[[#This Row],[Name]]&amp;DiscreteStatsTable[[#This Row],[Type]]&amp;DiscreteStatsTable[[#This Row],[Source]]</f>
        <v>Weekend (base)ClientesSisH3ExpressionUser Specified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17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5.3216468500843321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1.1990188567743081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0.61647861081931221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3.56666666666667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7.5042016806722698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3.56666666666667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7.5042016806722698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</v>
      </c>
      <c r="W171" s="5">
        <f>IF((DiscreteStatsTable[[#This Row],[RepsRequested]]&gt;1),DiscreteStatsTable[[#This Row],[HalfWidth]],DiscreteStatsTable[[#This Row],[BatchMeansHalfWidth]])</f>
        <v>0.61647861081931221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17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67</v>
      </c>
      <c r="B172" t="s">
        <v>69</v>
      </c>
      <c r="C172">
        <v>1</v>
      </c>
      <c r="D172" t="s">
        <v>84</v>
      </c>
      <c r="E172" t="s">
        <v>85</v>
      </c>
      <c r="F172" t="s">
        <v>86</v>
      </c>
      <c r="G172">
        <v>18.2593992105048</v>
      </c>
      <c r="H172">
        <v>2E+20</v>
      </c>
      <c r="I172">
        <v>2.2955081499061101</v>
      </c>
      <c r="J172">
        <v>33.534938461929002</v>
      </c>
      <c r="K172">
        <v>18</v>
      </c>
      <c r="L172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17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18.34562442381192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2.1575919398341346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15.010749008421101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22.816713775859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44.433668276207797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72" s="5">
        <f>IF((DiscreteStatsTable[[#This Row],[RepsRequested]]&gt;1),DiscreteStatsTable[[#This Row],[HalfWidth]],DiscreteStatsTable[[#This Row],[BatchMeansHalfWidth]])</f>
        <v>1.1093314123201146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17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67</v>
      </c>
      <c r="B173" t="s">
        <v>69</v>
      </c>
      <c r="C173">
        <v>1</v>
      </c>
      <c r="D173" t="s">
        <v>84</v>
      </c>
      <c r="E173" t="s">
        <v>87</v>
      </c>
      <c r="F173" t="s">
        <v>86</v>
      </c>
      <c r="G173">
        <v>18.2593992105048</v>
      </c>
      <c r="H173">
        <v>2E+20</v>
      </c>
      <c r="I173">
        <v>2.2955081499061101</v>
      </c>
      <c r="J173">
        <v>33.534938461929002</v>
      </c>
      <c r="K173">
        <v>18</v>
      </c>
      <c r="L173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17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18.34562442381192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2.1575919398341346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15.010749008421101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22.816713775859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44.433668276207797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73" s="5">
        <f>IF((DiscreteStatsTable[[#This Row],[RepsRequested]]&gt;1),DiscreteStatsTable[[#This Row],[HalfWidth]],DiscreteStatsTable[[#This Row],[BatchMeansHalfWidth]])</f>
        <v>1.1093314123201146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17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67</v>
      </c>
      <c r="B174" t="s">
        <v>69</v>
      </c>
      <c r="C174">
        <v>1</v>
      </c>
      <c r="D174" t="s">
        <v>84</v>
      </c>
      <c r="E174" t="s">
        <v>88</v>
      </c>
      <c r="F174" t="s">
        <v>86</v>
      </c>
      <c r="G174">
        <v>0</v>
      </c>
      <c r="H174">
        <v>2E+20</v>
      </c>
      <c r="I174">
        <v>0</v>
      </c>
      <c r="J174">
        <v>0</v>
      </c>
      <c r="K174">
        <v>18</v>
      </c>
      <c r="L174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17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17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67</v>
      </c>
      <c r="B175" t="s">
        <v>69</v>
      </c>
      <c r="C175">
        <v>2</v>
      </c>
      <c r="D175" t="s">
        <v>84</v>
      </c>
      <c r="E175" t="s">
        <v>85</v>
      </c>
      <c r="F175" t="s">
        <v>86</v>
      </c>
      <c r="G175">
        <v>17.2685153930776</v>
      </c>
      <c r="H175">
        <v>2E+20</v>
      </c>
      <c r="I175">
        <v>4.2869157497203396</v>
      </c>
      <c r="J175">
        <v>27.243425483403701</v>
      </c>
      <c r="K175">
        <v>15</v>
      </c>
      <c r="L175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17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18.34562442381192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2.1575919398341346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15.010749008421101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22.816713775859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44.433668276207797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75" s="5">
        <f>IF((DiscreteStatsTable[[#This Row],[RepsRequested]]&gt;1),DiscreteStatsTable[[#This Row],[HalfWidth]],DiscreteStatsTable[[#This Row],[BatchMeansHalfWidth]])</f>
        <v>1.1093314123201146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17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67</v>
      </c>
      <c r="B176" t="s">
        <v>69</v>
      </c>
      <c r="C176">
        <v>2</v>
      </c>
      <c r="D176" t="s">
        <v>84</v>
      </c>
      <c r="E176" t="s">
        <v>87</v>
      </c>
      <c r="F176" t="s">
        <v>86</v>
      </c>
      <c r="G176">
        <v>17.2685153930776</v>
      </c>
      <c r="H176">
        <v>2E+20</v>
      </c>
      <c r="I176">
        <v>4.2869157497203396</v>
      </c>
      <c r="J176">
        <v>27.243425483403701</v>
      </c>
      <c r="K176">
        <v>15</v>
      </c>
      <c r="L176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17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18.34562442381192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2.1575919398341346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15.010749008421101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22.816713775859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44.433668276207797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76" s="5">
        <f>IF((DiscreteStatsTable[[#This Row],[RepsRequested]]&gt;1),DiscreteStatsTable[[#This Row],[HalfWidth]],DiscreteStatsTable[[#This Row],[BatchMeansHalfWidth]])</f>
        <v>1.1093314123201146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17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67</v>
      </c>
      <c r="B177" t="s">
        <v>69</v>
      </c>
      <c r="C177">
        <v>2</v>
      </c>
      <c r="D177" t="s">
        <v>84</v>
      </c>
      <c r="E177" t="s">
        <v>88</v>
      </c>
      <c r="F177" t="s">
        <v>86</v>
      </c>
      <c r="G177">
        <v>0</v>
      </c>
      <c r="H177">
        <v>2E+20</v>
      </c>
      <c r="I177">
        <v>0</v>
      </c>
      <c r="J177">
        <v>0</v>
      </c>
      <c r="K177">
        <v>15</v>
      </c>
      <c r="L177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17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17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67</v>
      </c>
      <c r="B178" t="s">
        <v>69</v>
      </c>
      <c r="C178">
        <v>3</v>
      </c>
      <c r="D178" t="s">
        <v>84</v>
      </c>
      <c r="E178" t="s">
        <v>85</v>
      </c>
      <c r="F178" t="s">
        <v>86</v>
      </c>
      <c r="G178">
        <v>16.711136995459501</v>
      </c>
      <c r="H178">
        <v>2E+20</v>
      </c>
      <c r="I178">
        <v>1.4247963853516701</v>
      </c>
      <c r="J178">
        <v>35.423370240477297</v>
      </c>
      <c r="K178">
        <v>18</v>
      </c>
      <c r="L178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17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18.34562442381192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2.1575919398341346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15.010749008421101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22.816713775859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44.433668276207797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78" s="5">
        <f>IF((DiscreteStatsTable[[#This Row],[RepsRequested]]&gt;1),DiscreteStatsTable[[#This Row],[HalfWidth]],DiscreteStatsTable[[#This Row],[BatchMeansHalfWidth]])</f>
        <v>1.1093314123201146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17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67</v>
      </c>
      <c r="B179" t="s">
        <v>69</v>
      </c>
      <c r="C179">
        <v>3</v>
      </c>
      <c r="D179" t="s">
        <v>84</v>
      </c>
      <c r="E179" t="s">
        <v>87</v>
      </c>
      <c r="F179" t="s">
        <v>86</v>
      </c>
      <c r="G179">
        <v>16.711136995459501</v>
      </c>
      <c r="H179">
        <v>2E+20</v>
      </c>
      <c r="I179">
        <v>1.4247963853516701</v>
      </c>
      <c r="J179">
        <v>35.423370240477297</v>
      </c>
      <c r="K179">
        <v>18</v>
      </c>
      <c r="L179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17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18.34562442381192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2.1575919398341346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15.010749008421101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22.816713775859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44.433668276207797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79" s="5">
        <f>IF((DiscreteStatsTable[[#This Row],[RepsRequested]]&gt;1),DiscreteStatsTable[[#This Row],[HalfWidth]],DiscreteStatsTable[[#This Row],[BatchMeansHalfWidth]])</f>
        <v>1.1093314123201146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17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67</v>
      </c>
      <c r="B180" t="s">
        <v>69</v>
      </c>
      <c r="C180">
        <v>3</v>
      </c>
      <c r="D180" t="s">
        <v>84</v>
      </c>
      <c r="E180" t="s">
        <v>88</v>
      </c>
      <c r="F180" t="s">
        <v>86</v>
      </c>
      <c r="G180">
        <v>0</v>
      </c>
      <c r="H180">
        <v>2E+20</v>
      </c>
      <c r="I180">
        <v>0</v>
      </c>
      <c r="J180">
        <v>0</v>
      </c>
      <c r="K180">
        <v>18</v>
      </c>
      <c r="L180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17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17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67</v>
      </c>
      <c r="B181" t="s">
        <v>69</v>
      </c>
      <c r="C181">
        <v>4</v>
      </c>
      <c r="D181" t="s">
        <v>84</v>
      </c>
      <c r="E181" t="s">
        <v>85</v>
      </c>
      <c r="F181" t="s">
        <v>86</v>
      </c>
      <c r="G181">
        <v>18.264009130516001</v>
      </c>
      <c r="H181">
        <v>2E+20</v>
      </c>
      <c r="I181">
        <v>0</v>
      </c>
      <c r="J181">
        <v>31.627733362812201</v>
      </c>
      <c r="K181">
        <v>16</v>
      </c>
      <c r="L181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17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18.34562442381192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2.1575919398341346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15.010749008421101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22.816713775859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44.433668276207797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1" s="5">
        <f>IF((DiscreteStatsTable[[#This Row],[RepsRequested]]&gt;1),DiscreteStatsTable[[#This Row],[HalfWidth]],DiscreteStatsTable[[#This Row],[BatchMeansHalfWidth]])</f>
        <v>1.1093314123201146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17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67</v>
      </c>
      <c r="B182" t="s">
        <v>69</v>
      </c>
      <c r="C182">
        <v>4</v>
      </c>
      <c r="D182" t="s">
        <v>84</v>
      </c>
      <c r="E182" t="s">
        <v>87</v>
      </c>
      <c r="F182" t="s">
        <v>86</v>
      </c>
      <c r="G182">
        <v>18.264009130516001</v>
      </c>
      <c r="H182">
        <v>2E+20</v>
      </c>
      <c r="I182">
        <v>0</v>
      </c>
      <c r="J182">
        <v>31.627733362812201</v>
      </c>
      <c r="K182">
        <v>16</v>
      </c>
      <c r="L182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17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18.34562442381192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2.1575919398341346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15.010749008421101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22.816713775859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44.433668276207797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2" s="5">
        <f>IF((DiscreteStatsTable[[#This Row],[RepsRequested]]&gt;1),DiscreteStatsTable[[#This Row],[HalfWidth]],DiscreteStatsTable[[#This Row],[BatchMeansHalfWidth]])</f>
        <v>1.1093314123201146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17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67</v>
      </c>
      <c r="B183" t="s">
        <v>69</v>
      </c>
      <c r="C183">
        <v>4</v>
      </c>
      <c r="D183" t="s">
        <v>84</v>
      </c>
      <c r="E183" t="s">
        <v>88</v>
      </c>
      <c r="F183" t="s">
        <v>86</v>
      </c>
      <c r="G183">
        <v>0</v>
      </c>
      <c r="H183">
        <v>2E+20</v>
      </c>
      <c r="I183">
        <v>0</v>
      </c>
      <c r="J183">
        <v>0</v>
      </c>
      <c r="K183">
        <v>16</v>
      </c>
      <c r="L183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17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3" s="5">
        <f>IF((DiscreteStatsTable[[#This Row],[RepsRequested]]&gt;1),DiscreteStatsTable[[#This Row],[HalfWidth]],DiscreteStatsTable[[#This Row],[BatchMeansHalfWidth]])</f>
        <v>0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17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67</v>
      </c>
      <c r="B184" t="s">
        <v>69</v>
      </c>
      <c r="C184">
        <v>5</v>
      </c>
      <c r="D184" t="s">
        <v>84</v>
      </c>
      <c r="E184" t="s">
        <v>85</v>
      </c>
      <c r="F184" t="s">
        <v>86</v>
      </c>
      <c r="G184">
        <v>18.720907483545201</v>
      </c>
      <c r="H184">
        <v>2E+20</v>
      </c>
      <c r="I184">
        <v>3.1328990905535599E-2</v>
      </c>
      <c r="J184">
        <v>43.471801567160703</v>
      </c>
      <c r="K184">
        <v>20</v>
      </c>
      <c r="L184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17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18.34562442381192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2.1575919398341346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15.010749008421101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22.816713775859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44.433668276207797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4" s="5">
        <f>IF((DiscreteStatsTable[[#This Row],[RepsRequested]]&gt;1),DiscreteStatsTable[[#This Row],[HalfWidth]],DiscreteStatsTable[[#This Row],[BatchMeansHalfWidth]])</f>
        <v>1.1093314123201146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17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67</v>
      </c>
      <c r="B185" t="s">
        <v>69</v>
      </c>
      <c r="C185">
        <v>5</v>
      </c>
      <c r="D185" t="s">
        <v>84</v>
      </c>
      <c r="E185" t="s">
        <v>87</v>
      </c>
      <c r="F185" t="s">
        <v>86</v>
      </c>
      <c r="G185">
        <v>18.720907483545201</v>
      </c>
      <c r="H185">
        <v>2E+20</v>
      </c>
      <c r="I185">
        <v>3.1328990905535599E-2</v>
      </c>
      <c r="J185">
        <v>43.471801567160703</v>
      </c>
      <c r="K185">
        <v>20</v>
      </c>
      <c r="L185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17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18.34562442381192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2.1575919398341346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15.010749008421101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22.816713775859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44.433668276207797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5" s="5">
        <f>IF((DiscreteStatsTable[[#This Row],[RepsRequested]]&gt;1),DiscreteStatsTable[[#This Row],[HalfWidth]],DiscreteStatsTable[[#This Row],[BatchMeansHalfWidth]])</f>
        <v>1.1093314123201146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17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67</v>
      </c>
      <c r="B186" t="s">
        <v>69</v>
      </c>
      <c r="C186">
        <v>5</v>
      </c>
      <c r="D186" t="s">
        <v>84</v>
      </c>
      <c r="E186" t="s">
        <v>88</v>
      </c>
      <c r="F186" t="s">
        <v>86</v>
      </c>
      <c r="G186">
        <v>0</v>
      </c>
      <c r="H186">
        <v>2E+20</v>
      </c>
      <c r="I186">
        <v>0</v>
      </c>
      <c r="J186">
        <v>0</v>
      </c>
      <c r="K186">
        <v>20</v>
      </c>
      <c r="L186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17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17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67</v>
      </c>
      <c r="B187" t="s">
        <v>69</v>
      </c>
      <c r="C187">
        <v>6</v>
      </c>
      <c r="D187" t="s">
        <v>84</v>
      </c>
      <c r="E187" t="s">
        <v>85</v>
      </c>
      <c r="F187" t="s">
        <v>86</v>
      </c>
      <c r="G187">
        <v>18.845963572607101</v>
      </c>
      <c r="H187">
        <v>2E+20</v>
      </c>
      <c r="I187">
        <v>0</v>
      </c>
      <c r="J187">
        <v>35.583084453429798</v>
      </c>
      <c r="K187">
        <v>16</v>
      </c>
      <c r="L187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17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18.34562442381192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2.1575919398341346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15.010749008421101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22.816713775859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44.433668276207797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7" s="5">
        <f>IF((DiscreteStatsTable[[#This Row],[RepsRequested]]&gt;1),DiscreteStatsTable[[#This Row],[HalfWidth]],DiscreteStatsTable[[#This Row],[BatchMeansHalfWidth]])</f>
        <v>1.1093314123201146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17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67</v>
      </c>
      <c r="B188" t="s">
        <v>69</v>
      </c>
      <c r="C188">
        <v>6</v>
      </c>
      <c r="D188" t="s">
        <v>84</v>
      </c>
      <c r="E188" t="s">
        <v>87</v>
      </c>
      <c r="F188" t="s">
        <v>86</v>
      </c>
      <c r="G188">
        <v>18.845963572607101</v>
      </c>
      <c r="H188">
        <v>2E+20</v>
      </c>
      <c r="I188">
        <v>0</v>
      </c>
      <c r="J188">
        <v>35.583084453429798</v>
      </c>
      <c r="K188">
        <v>16</v>
      </c>
      <c r="L188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17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18.34562442381192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2.1575919398341346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15.010749008421101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22.816713775859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44.433668276207797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8" s="5">
        <f>IF((DiscreteStatsTable[[#This Row],[RepsRequested]]&gt;1),DiscreteStatsTable[[#This Row],[HalfWidth]],DiscreteStatsTable[[#This Row],[BatchMeansHalfWidth]])</f>
        <v>1.1093314123201146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17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67</v>
      </c>
      <c r="B189" t="s">
        <v>69</v>
      </c>
      <c r="C189">
        <v>6</v>
      </c>
      <c r="D189" t="s">
        <v>84</v>
      </c>
      <c r="E189" t="s">
        <v>88</v>
      </c>
      <c r="F189" t="s">
        <v>86</v>
      </c>
      <c r="G189">
        <v>0</v>
      </c>
      <c r="H189">
        <v>2E+20</v>
      </c>
      <c r="I189">
        <v>0</v>
      </c>
      <c r="J189">
        <v>0</v>
      </c>
      <c r="K189">
        <v>16</v>
      </c>
      <c r="L189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17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89" s="5">
        <f>IF((DiscreteStatsTable[[#This Row],[RepsRequested]]&gt;1),DiscreteStatsTable[[#This Row],[HalfWidth]],DiscreteStatsTable[[#This Row],[BatchMeansHalfWidth]])</f>
        <v>0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17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67</v>
      </c>
      <c r="B190" t="s">
        <v>69</v>
      </c>
      <c r="C190">
        <v>7</v>
      </c>
      <c r="D190" t="s">
        <v>84</v>
      </c>
      <c r="E190" t="s">
        <v>85</v>
      </c>
      <c r="F190" t="s">
        <v>86</v>
      </c>
      <c r="G190">
        <v>20.9021083047334</v>
      </c>
      <c r="H190">
        <v>2E+20</v>
      </c>
      <c r="I190">
        <v>4.7836091019057703</v>
      </c>
      <c r="J190">
        <v>37.510579447555301</v>
      </c>
      <c r="K190">
        <v>16</v>
      </c>
      <c r="L190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17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18.34562442381192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2.1575919398341346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15.010749008421101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22.816713775859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44.433668276207797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0" s="5">
        <f>IF((DiscreteStatsTable[[#This Row],[RepsRequested]]&gt;1),DiscreteStatsTable[[#This Row],[HalfWidth]],DiscreteStatsTable[[#This Row],[BatchMeansHalfWidth]])</f>
        <v>1.1093314123201146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17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67</v>
      </c>
      <c r="B191" t="s">
        <v>69</v>
      </c>
      <c r="C191">
        <v>7</v>
      </c>
      <c r="D191" t="s">
        <v>84</v>
      </c>
      <c r="E191" t="s">
        <v>87</v>
      </c>
      <c r="F191" t="s">
        <v>86</v>
      </c>
      <c r="G191">
        <v>20.9021083047334</v>
      </c>
      <c r="H191">
        <v>2E+20</v>
      </c>
      <c r="I191">
        <v>4.7836091019057703</v>
      </c>
      <c r="J191">
        <v>37.510579447555301</v>
      </c>
      <c r="K191">
        <v>16</v>
      </c>
      <c r="L191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17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18.34562442381192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2.1575919398341346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15.010749008421101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22.816713775859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44.433668276207797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1" s="5">
        <f>IF((DiscreteStatsTable[[#This Row],[RepsRequested]]&gt;1),DiscreteStatsTable[[#This Row],[HalfWidth]],DiscreteStatsTable[[#This Row],[BatchMeansHalfWidth]])</f>
        <v>1.1093314123201146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17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67</v>
      </c>
      <c r="B192" t="s">
        <v>69</v>
      </c>
      <c r="C192">
        <v>7</v>
      </c>
      <c r="D192" t="s">
        <v>84</v>
      </c>
      <c r="E192" t="s">
        <v>88</v>
      </c>
      <c r="F192" t="s">
        <v>86</v>
      </c>
      <c r="G192">
        <v>0</v>
      </c>
      <c r="H192">
        <v>2E+20</v>
      </c>
      <c r="I192">
        <v>0</v>
      </c>
      <c r="J192">
        <v>0</v>
      </c>
      <c r="K192">
        <v>16</v>
      </c>
      <c r="L192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17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17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67</v>
      </c>
      <c r="B193" t="s">
        <v>69</v>
      </c>
      <c r="C193">
        <v>8</v>
      </c>
      <c r="D193" t="s">
        <v>84</v>
      </c>
      <c r="E193" t="s">
        <v>85</v>
      </c>
      <c r="F193" t="s">
        <v>86</v>
      </c>
      <c r="G193">
        <v>18.6809013452324</v>
      </c>
      <c r="H193">
        <v>2E+20</v>
      </c>
      <c r="I193">
        <v>0</v>
      </c>
      <c r="J193">
        <v>36.821357145884903</v>
      </c>
      <c r="K193">
        <v>18</v>
      </c>
      <c r="L193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17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18.34562442381192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2.1575919398341346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15.010749008421101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22.816713775859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44.433668276207797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3" s="5">
        <f>IF((DiscreteStatsTable[[#This Row],[RepsRequested]]&gt;1),DiscreteStatsTable[[#This Row],[HalfWidth]],DiscreteStatsTable[[#This Row],[BatchMeansHalfWidth]])</f>
        <v>1.1093314123201146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17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67</v>
      </c>
      <c r="B194" t="s">
        <v>69</v>
      </c>
      <c r="C194">
        <v>8</v>
      </c>
      <c r="D194" t="s">
        <v>84</v>
      </c>
      <c r="E194" t="s">
        <v>87</v>
      </c>
      <c r="F194" t="s">
        <v>86</v>
      </c>
      <c r="G194">
        <v>18.6809013452324</v>
      </c>
      <c r="H194">
        <v>2E+20</v>
      </c>
      <c r="I194">
        <v>0</v>
      </c>
      <c r="J194">
        <v>36.821357145884903</v>
      </c>
      <c r="K194">
        <v>18</v>
      </c>
      <c r="L194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17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18.34562442381192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2.1575919398341346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15.010749008421101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22.816713775859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44.433668276207797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4" s="5">
        <f>IF((DiscreteStatsTable[[#This Row],[RepsRequested]]&gt;1),DiscreteStatsTable[[#This Row],[HalfWidth]],DiscreteStatsTable[[#This Row],[BatchMeansHalfWidth]])</f>
        <v>1.1093314123201146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17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67</v>
      </c>
      <c r="B195" t="s">
        <v>69</v>
      </c>
      <c r="C195">
        <v>8</v>
      </c>
      <c r="D195" t="s">
        <v>84</v>
      </c>
      <c r="E195" t="s">
        <v>88</v>
      </c>
      <c r="F195" t="s">
        <v>86</v>
      </c>
      <c r="G195">
        <v>0</v>
      </c>
      <c r="H195">
        <v>2E+20</v>
      </c>
      <c r="I195">
        <v>0</v>
      </c>
      <c r="J195">
        <v>0</v>
      </c>
      <c r="K195">
        <v>18</v>
      </c>
      <c r="L195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17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5" s="5">
        <f>IF((DiscreteStatsTable[[#This Row],[RepsRequested]]&gt;1),DiscreteStatsTable[[#This Row],[HalfWidth]],DiscreteStatsTable[[#This Row],[BatchMeansHalfWidth]])</f>
        <v>0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17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67</v>
      </c>
      <c r="B196" t="s">
        <v>69</v>
      </c>
      <c r="C196">
        <v>9</v>
      </c>
      <c r="D196" t="s">
        <v>84</v>
      </c>
      <c r="E196" t="s">
        <v>85</v>
      </c>
      <c r="F196" t="s">
        <v>86</v>
      </c>
      <c r="G196">
        <v>15.4431685816695</v>
      </c>
      <c r="H196">
        <v>2E+20</v>
      </c>
      <c r="I196">
        <v>3.4456120685755698</v>
      </c>
      <c r="J196">
        <v>28.4927510845794</v>
      </c>
      <c r="K196">
        <v>15</v>
      </c>
      <c r="L196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17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18.34562442381192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2.1575919398341346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15.010749008421101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22.816713775859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44.433668276207797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6" s="5">
        <f>IF((DiscreteStatsTable[[#This Row],[RepsRequested]]&gt;1),DiscreteStatsTable[[#This Row],[HalfWidth]],DiscreteStatsTable[[#This Row],[BatchMeansHalfWidth]])</f>
        <v>1.1093314123201146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17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67</v>
      </c>
      <c r="B197" t="s">
        <v>69</v>
      </c>
      <c r="C197">
        <v>9</v>
      </c>
      <c r="D197" t="s">
        <v>84</v>
      </c>
      <c r="E197" t="s">
        <v>87</v>
      </c>
      <c r="F197" t="s">
        <v>86</v>
      </c>
      <c r="G197">
        <v>15.4431685816695</v>
      </c>
      <c r="H197">
        <v>2E+20</v>
      </c>
      <c r="I197">
        <v>3.4456120685755698</v>
      </c>
      <c r="J197">
        <v>28.4927510845794</v>
      </c>
      <c r="K197">
        <v>15</v>
      </c>
      <c r="L197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17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18.34562442381192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2.1575919398341346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15.010749008421101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22.816713775859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44.433668276207797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7" s="5">
        <f>IF((DiscreteStatsTable[[#This Row],[RepsRequested]]&gt;1),DiscreteStatsTable[[#This Row],[HalfWidth]],DiscreteStatsTable[[#This Row],[BatchMeansHalfWidth]])</f>
        <v>1.1093314123201146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17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67</v>
      </c>
      <c r="B198" t="s">
        <v>69</v>
      </c>
      <c r="C198">
        <v>9</v>
      </c>
      <c r="D198" t="s">
        <v>84</v>
      </c>
      <c r="E198" t="s">
        <v>88</v>
      </c>
      <c r="F198" t="s">
        <v>86</v>
      </c>
      <c r="G198">
        <v>0</v>
      </c>
      <c r="H198">
        <v>2E+20</v>
      </c>
      <c r="I198">
        <v>0</v>
      </c>
      <c r="J198">
        <v>0</v>
      </c>
      <c r="K198">
        <v>15</v>
      </c>
      <c r="L198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17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17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67</v>
      </c>
      <c r="B199" t="s">
        <v>69</v>
      </c>
      <c r="C199">
        <v>10</v>
      </c>
      <c r="D199" t="s">
        <v>84</v>
      </c>
      <c r="E199" t="s">
        <v>85</v>
      </c>
      <c r="F199" t="s">
        <v>86</v>
      </c>
      <c r="G199">
        <v>22.816713775859</v>
      </c>
      <c r="H199">
        <v>2E+20</v>
      </c>
      <c r="I199">
        <v>9.2131462587443202</v>
      </c>
      <c r="J199">
        <v>36.440722923259202</v>
      </c>
      <c r="K199">
        <v>20</v>
      </c>
      <c r="L199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17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18.34562442381192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2.1575919398341346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15.010749008421101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22.816713775859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44.433668276207797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199" s="5">
        <f>IF((DiscreteStatsTable[[#This Row],[RepsRequested]]&gt;1),DiscreteStatsTable[[#This Row],[HalfWidth]],DiscreteStatsTable[[#This Row],[BatchMeansHalfWidth]])</f>
        <v>1.1093314123201146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17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67</v>
      </c>
      <c r="B200" t="s">
        <v>69</v>
      </c>
      <c r="C200">
        <v>10</v>
      </c>
      <c r="D200" t="s">
        <v>84</v>
      </c>
      <c r="E200" t="s">
        <v>87</v>
      </c>
      <c r="F200" t="s">
        <v>86</v>
      </c>
      <c r="G200">
        <v>22.816713775859</v>
      </c>
      <c r="H200">
        <v>2E+20</v>
      </c>
      <c r="I200">
        <v>9.2131462587443202</v>
      </c>
      <c r="J200">
        <v>36.440722923259202</v>
      </c>
      <c r="K200">
        <v>20</v>
      </c>
      <c r="L200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17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18.34562442381192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2.1575919398341346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15.010749008421101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22.816713775859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44.433668276207797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0" s="5">
        <f>IF((DiscreteStatsTable[[#This Row],[RepsRequested]]&gt;1),DiscreteStatsTable[[#This Row],[HalfWidth]],DiscreteStatsTable[[#This Row],[BatchMeansHalfWidth]])</f>
        <v>1.1093314123201146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17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67</v>
      </c>
      <c r="B201" t="s">
        <v>69</v>
      </c>
      <c r="C201">
        <v>10</v>
      </c>
      <c r="D201" t="s">
        <v>84</v>
      </c>
      <c r="E201" t="s">
        <v>88</v>
      </c>
      <c r="F201" t="s">
        <v>86</v>
      </c>
      <c r="G201">
        <v>0</v>
      </c>
      <c r="H201">
        <v>2E+20</v>
      </c>
      <c r="I201">
        <v>0</v>
      </c>
      <c r="J201">
        <v>0</v>
      </c>
      <c r="K201">
        <v>20</v>
      </c>
      <c r="L201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17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1" s="5">
        <f>IF((DiscreteStatsTable[[#This Row],[RepsRequested]]&gt;1),DiscreteStatsTable[[#This Row],[HalfWidth]],DiscreteStatsTable[[#This Row],[BatchMeansHalfWidth]])</f>
        <v>0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17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67</v>
      </c>
      <c r="B202" t="s">
        <v>69</v>
      </c>
      <c r="C202">
        <v>11</v>
      </c>
      <c r="D202" t="s">
        <v>84</v>
      </c>
      <c r="E202" t="s">
        <v>85</v>
      </c>
      <c r="F202" t="s">
        <v>86</v>
      </c>
      <c r="G202">
        <v>18.537174772151499</v>
      </c>
      <c r="H202">
        <v>2E+20</v>
      </c>
      <c r="I202">
        <v>0</v>
      </c>
      <c r="J202">
        <v>37.749583513244502</v>
      </c>
      <c r="K202">
        <v>16</v>
      </c>
      <c r="L202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17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18.34562442381192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2.1575919398341346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15.010749008421101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22.816713775859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44.433668276207797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2" s="5">
        <f>IF((DiscreteStatsTable[[#This Row],[RepsRequested]]&gt;1),DiscreteStatsTable[[#This Row],[HalfWidth]],DiscreteStatsTable[[#This Row],[BatchMeansHalfWidth]])</f>
        <v>1.1093314123201146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17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67</v>
      </c>
      <c r="B203" t="s">
        <v>69</v>
      </c>
      <c r="C203">
        <v>11</v>
      </c>
      <c r="D203" t="s">
        <v>84</v>
      </c>
      <c r="E203" t="s">
        <v>87</v>
      </c>
      <c r="F203" t="s">
        <v>86</v>
      </c>
      <c r="G203">
        <v>18.537174772151499</v>
      </c>
      <c r="H203">
        <v>2E+20</v>
      </c>
      <c r="I203">
        <v>0</v>
      </c>
      <c r="J203">
        <v>37.749583513244502</v>
      </c>
      <c r="K203">
        <v>16</v>
      </c>
      <c r="L203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17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18.34562442381192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2.1575919398341346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15.010749008421101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22.816713775859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44.433668276207797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3" s="5">
        <f>IF((DiscreteStatsTable[[#This Row],[RepsRequested]]&gt;1),DiscreteStatsTable[[#This Row],[HalfWidth]],DiscreteStatsTable[[#This Row],[BatchMeansHalfWidth]])</f>
        <v>1.1093314123201146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17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67</v>
      </c>
      <c r="B204" t="s">
        <v>69</v>
      </c>
      <c r="C204">
        <v>11</v>
      </c>
      <c r="D204" t="s">
        <v>84</v>
      </c>
      <c r="E204" t="s">
        <v>88</v>
      </c>
      <c r="F204" t="s">
        <v>86</v>
      </c>
      <c r="G204">
        <v>0</v>
      </c>
      <c r="H204">
        <v>2E+20</v>
      </c>
      <c r="I204">
        <v>0</v>
      </c>
      <c r="J204">
        <v>0</v>
      </c>
      <c r="K204">
        <v>16</v>
      </c>
      <c r="L204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17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17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67</v>
      </c>
      <c r="B205" t="s">
        <v>69</v>
      </c>
      <c r="C205">
        <v>12</v>
      </c>
      <c r="D205" t="s">
        <v>84</v>
      </c>
      <c r="E205" t="s">
        <v>85</v>
      </c>
      <c r="F205" t="s">
        <v>86</v>
      </c>
      <c r="G205">
        <v>15.010749008421101</v>
      </c>
      <c r="H205">
        <v>2E+20</v>
      </c>
      <c r="I205">
        <v>0</v>
      </c>
      <c r="J205">
        <v>30.952675896527399</v>
      </c>
      <c r="K205">
        <v>15</v>
      </c>
      <c r="L205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17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18.34562442381192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2.1575919398341346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15.010749008421101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22.816713775859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44.433668276207797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5" s="5">
        <f>IF((DiscreteStatsTable[[#This Row],[RepsRequested]]&gt;1),DiscreteStatsTable[[#This Row],[HalfWidth]],DiscreteStatsTable[[#This Row],[BatchMeansHalfWidth]])</f>
        <v>1.1093314123201146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17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67</v>
      </c>
      <c r="B206" t="s">
        <v>69</v>
      </c>
      <c r="C206">
        <v>12</v>
      </c>
      <c r="D206" t="s">
        <v>84</v>
      </c>
      <c r="E206" t="s">
        <v>87</v>
      </c>
      <c r="F206" t="s">
        <v>86</v>
      </c>
      <c r="G206">
        <v>15.010749008421101</v>
      </c>
      <c r="H206">
        <v>2E+20</v>
      </c>
      <c r="I206">
        <v>0</v>
      </c>
      <c r="J206">
        <v>30.952675896527399</v>
      </c>
      <c r="K206">
        <v>15</v>
      </c>
      <c r="L206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17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18.34562442381192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2.1575919398341346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15.010749008421101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22.816713775859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44.433668276207797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6" s="5">
        <f>IF((DiscreteStatsTable[[#This Row],[RepsRequested]]&gt;1),DiscreteStatsTable[[#This Row],[HalfWidth]],DiscreteStatsTable[[#This Row],[BatchMeansHalfWidth]])</f>
        <v>1.1093314123201146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17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67</v>
      </c>
      <c r="B207" t="s">
        <v>69</v>
      </c>
      <c r="C207">
        <v>12</v>
      </c>
      <c r="D207" t="s">
        <v>84</v>
      </c>
      <c r="E207" t="s">
        <v>88</v>
      </c>
      <c r="F207" t="s">
        <v>86</v>
      </c>
      <c r="G207">
        <v>0</v>
      </c>
      <c r="H207">
        <v>2E+20</v>
      </c>
      <c r="I207">
        <v>0</v>
      </c>
      <c r="J207">
        <v>0</v>
      </c>
      <c r="K207">
        <v>15</v>
      </c>
      <c r="L207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17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7" s="5">
        <f>IF((DiscreteStatsTable[[#This Row],[RepsRequested]]&gt;1),DiscreteStatsTable[[#This Row],[HalfWidth]],DiscreteStatsTable[[#This Row],[BatchMeansHalfWidth]])</f>
        <v>0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17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67</v>
      </c>
      <c r="B208" t="s">
        <v>69</v>
      </c>
      <c r="C208">
        <v>13</v>
      </c>
      <c r="D208" t="s">
        <v>84</v>
      </c>
      <c r="E208" t="s">
        <v>85</v>
      </c>
      <c r="F208" t="s">
        <v>86</v>
      </c>
      <c r="G208">
        <v>18.408362143555799</v>
      </c>
      <c r="H208">
        <v>2E+20</v>
      </c>
      <c r="I208">
        <v>1.0534864575693601</v>
      </c>
      <c r="J208">
        <v>33.270339262695899</v>
      </c>
      <c r="K208">
        <v>17</v>
      </c>
      <c r="L208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17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18.34562442381192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2.1575919398341346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15.010749008421101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22.816713775859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44.433668276207797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8" s="5">
        <f>IF((DiscreteStatsTable[[#This Row],[RepsRequested]]&gt;1),DiscreteStatsTable[[#This Row],[HalfWidth]],DiscreteStatsTable[[#This Row],[BatchMeansHalfWidth]])</f>
        <v>1.1093314123201146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17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67</v>
      </c>
      <c r="B209" t="s">
        <v>69</v>
      </c>
      <c r="C209">
        <v>13</v>
      </c>
      <c r="D209" t="s">
        <v>84</v>
      </c>
      <c r="E209" t="s">
        <v>87</v>
      </c>
      <c r="F209" t="s">
        <v>86</v>
      </c>
      <c r="G209">
        <v>18.408362143555799</v>
      </c>
      <c r="H209">
        <v>2E+20</v>
      </c>
      <c r="I209">
        <v>1.0534864575693601</v>
      </c>
      <c r="J209">
        <v>33.270339262695899</v>
      </c>
      <c r="K209">
        <v>17</v>
      </c>
      <c r="L209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17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18.34562442381192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2.1575919398341346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15.010749008421101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22.816713775859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44.433668276207797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09" s="5">
        <f>IF((DiscreteStatsTable[[#This Row],[RepsRequested]]&gt;1),DiscreteStatsTable[[#This Row],[HalfWidth]],DiscreteStatsTable[[#This Row],[BatchMeansHalfWidth]])</f>
        <v>1.1093314123201146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17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67</v>
      </c>
      <c r="B210" t="s">
        <v>69</v>
      </c>
      <c r="C210">
        <v>13</v>
      </c>
      <c r="D210" t="s">
        <v>84</v>
      </c>
      <c r="E210" t="s">
        <v>88</v>
      </c>
      <c r="F210" t="s">
        <v>86</v>
      </c>
      <c r="G210">
        <v>0</v>
      </c>
      <c r="H210">
        <v>2E+20</v>
      </c>
      <c r="I210">
        <v>0</v>
      </c>
      <c r="J210">
        <v>0</v>
      </c>
      <c r="K210">
        <v>17</v>
      </c>
      <c r="L210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17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17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67</v>
      </c>
      <c r="B211" t="s">
        <v>69</v>
      </c>
      <c r="C211">
        <v>14</v>
      </c>
      <c r="D211" t="s">
        <v>84</v>
      </c>
      <c r="E211" t="s">
        <v>85</v>
      </c>
      <c r="F211" t="s">
        <v>86</v>
      </c>
      <c r="G211">
        <v>18.1420160768544</v>
      </c>
      <c r="H211">
        <v>2E+20</v>
      </c>
      <c r="I211">
        <v>1.1644373686646601</v>
      </c>
      <c r="J211">
        <v>29.557702364787001</v>
      </c>
      <c r="K211">
        <v>13</v>
      </c>
      <c r="L211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17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18.34562442381192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2.1575919398341346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15.010749008421101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22.816713775859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44.433668276207797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1" s="5">
        <f>IF((DiscreteStatsTable[[#This Row],[RepsRequested]]&gt;1),DiscreteStatsTable[[#This Row],[HalfWidth]],DiscreteStatsTable[[#This Row],[BatchMeansHalfWidth]])</f>
        <v>1.1093314123201146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17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67</v>
      </c>
      <c r="B212" t="s">
        <v>69</v>
      </c>
      <c r="C212">
        <v>14</v>
      </c>
      <c r="D212" t="s">
        <v>84</v>
      </c>
      <c r="E212" t="s">
        <v>87</v>
      </c>
      <c r="F212" t="s">
        <v>86</v>
      </c>
      <c r="G212">
        <v>18.1420160768544</v>
      </c>
      <c r="H212">
        <v>2E+20</v>
      </c>
      <c r="I212">
        <v>1.1644373686646601</v>
      </c>
      <c r="J212">
        <v>29.557702364787001</v>
      </c>
      <c r="K212">
        <v>13</v>
      </c>
      <c r="L212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17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18.34562442381192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2.1575919398341346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15.010749008421101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22.816713775859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44.433668276207797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2" s="5">
        <f>IF((DiscreteStatsTable[[#This Row],[RepsRequested]]&gt;1),DiscreteStatsTable[[#This Row],[HalfWidth]],DiscreteStatsTable[[#This Row],[BatchMeansHalfWidth]])</f>
        <v>1.1093314123201146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17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67</v>
      </c>
      <c r="B213" t="s">
        <v>69</v>
      </c>
      <c r="C213">
        <v>14</v>
      </c>
      <c r="D213" t="s">
        <v>84</v>
      </c>
      <c r="E213" t="s">
        <v>88</v>
      </c>
      <c r="F213" t="s">
        <v>86</v>
      </c>
      <c r="G213">
        <v>0</v>
      </c>
      <c r="H213">
        <v>2E+20</v>
      </c>
      <c r="I213">
        <v>0</v>
      </c>
      <c r="J213">
        <v>0</v>
      </c>
      <c r="K213">
        <v>13</v>
      </c>
      <c r="L213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17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0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0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0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3" s="5">
        <f>IF((DiscreteStatsTable[[#This Row],[RepsRequested]]&gt;1),DiscreteStatsTable[[#This Row],[HalfWidth]],DiscreteStatsTable[[#This Row],[BatchMeansHalfWidth]])</f>
        <v>0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17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67</v>
      </c>
      <c r="B214" t="s">
        <v>69</v>
      </c>
      <c r="C214">
        <v>15</v>
      </c>
      <c r="D214" t="s">
        <v>84</v>
      </c>
      <c r="E214" t="s">
        <v>85</v>
      </c>
      <c r="F214" t="s">
        <v>86</v>
      </c>
      <c r="G214">
        <v>22.3239887839127</v>
      </c>
      <c r="H214">
        <v>2E+20</v>
      </c>
      <c r="I214">
        <v>11.4783811708635</v>
      </c>
      <c r="J214">
        <v>44.433668276207797</v>
      </c>
      <c r="K214">
        <v>16</v>
      </c>
      <c r="L214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17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18.34562442381192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2.1575919398341346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15.010749008421101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22.816713775859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44.433668276207797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4" s="5">
        <f>IF((DiscreteStatsTable[[#This Row],[RepsRequested]]&gt;1),DiscreteStatsTable[[#This Row],[HalfWidth]],DiscreteStatsTable[[#This Row],[BatchMeansHalfWidth]])</f>
        <v>1.1093314123201146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17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67</v>
      </c>
      <c r="B215" t="s">
        <v>69</v>
      </c>
      <c r="C215">
        <v>15</v>
      </c>
      <c r="D215" t="s">
        <v>84</v>
      </c>
      <c r="E215" t="s">
        <v>87</v>
      </c>
      <c r="F215" t="s">
        <v>86</v>
      </c>
      <c r="G215">
        <v>22.3239887839127</v>
      </c>
      <c r="H215">
        <v>2E+20</v>
      </c>
      <c r="I215">
        <v>11.4783811708635</v>
      </c>
      <c r="J215">
        <v>44.433668276207797</v>
      </c>
      <c r="K215">
        <v>16</v>
      </c>
      <c r="L215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17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18.34562442381192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2.1575919398341346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15.010749008421101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22.816713775859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44.433668276207797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5" s="5">
        <f>IF((DiscreteStatsTable[[#This Row],[RepsRequested]]&gt;1),DiscreteStatsTable[[#This Row],[HalfWidth]],DiscreteStatsTable[[#This Row],[BatchMeansHalfWidth]])</f>
        <v>1.1093314123201146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17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67</v>
      </c>
      <c r="B216" t="s">
        <v>69</v>
      </c>
      <c r="C216">
        <v>15</v>
      </c>
      <c r="D216" t="s">
        <v>84</v>
      </c>
      <c r="E216" t="s">
        <v>88</v>
      </c>
      <c r="F216" t="s">
        <v>86</v>
      </c>
      <c r="G216">
        <v>0</v>
      </c>
      <c r="H216">
        <v>2E+20</v>
      </c>
      <c r="I216">
        <v>0</v>
      </c>
      <c r="J216">
        <v>0</v>
      </c>
      <c r="K216">
        <v>16</v>
      </c>
      <c r="L216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17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17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67</v>
      </c>
      <c r="B217" t="s">
        <v>69</v>
      </c>
      <c r="C217">
        <v>16</v>
      </c>
      <c r="D217" t="s">
        <v>84</v>
      </c>
      <c r="E217" t="s">
        <v>85</v>
      </c>
      <c r="F217" t="s">
        <v>86</v>
      </c>
      <c r="G217">
        <v>15.507538213446001</v>
      </c>
      <c r="H217">
        <v>2E+20</v>
      </c>
      <c r="I217">
        <v>0</v>
      </c>
      <c r="J217">
        <v>34.2162059751467</v>
      </c>
      <c r="K217">
        <v>18</v>
      </c>
      <c r="L217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17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18.34562442381192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2.1575919398341346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15.010749008421101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22.816713775859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44.433668276207797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7" s="5">
        <f>IF((DiscreteStatsTable[[#This Row],[RepsRequested]]&gt;1),DiscreteStatsTable[[#This Row],[HalfWidth]],DiscreteStatsTable[[#This Row],[BatchMeansHalfWidth]])</f>
        <v>1.1093314123201146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17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67</v>
      </c>
      <c r="B218" t="s">
        <v>69</v>
      </c>
      <c r="C218">
        <v>16</v>
      </c>
      <c r="D218" t="s">
        <v>84</v>
      </c>
      <c r="E218" t="s">
        <v>87</v>
      </c>
      <c r="F218" t="s">
        <v>86</v>
      </c>
      <c r="G218">
        <v>15.507538213446001</v>
      </c>
      <c r="H218">
        <v>2E+20</v>
      </c>
      <c r="I218">
        <v>0</v>
      </c>
      <c r="J218">
        <v>34.2162059751467</v>
      </c>
      <c r="K218">
        <v>18</v>
      </c>
      <c r="L218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17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18.34562442381192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2.1575919398341346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15.010749008421101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22.816713775859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44.433668276207797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8" s="5">
        <f>IF((DiscreteStatsTable[[#This Row],[RepsRequested]]&gt;1),DiscreteStatsTable[[#This Row],[HalfWidth]],DiscreteStatsTable[[#This Row],[BatchMeansHalfWidth]])</f>
        <v>1.1093314123201146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17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67</v>
      </c>
      <c r="B219" t="s">
        <v>69</v>
      </c>
      <c r="C219">
        <v>16</v>
      </c>
      <c r="D219" t="s">
        <v>84</v>
      </c>
      <c r="E219" t="s">
        <v>88</v>
      </c>
      <c r="F219" t="s">
        <v>86</v>
      </c>
      <c r="G219">
        <v>0</v>
      </c>
      <c r="H219">
        <v>2E+20</v>
      </c>
      <c r="I219">
        <v>0</v>
      </c>
      <c r="J219">
        <v>0</v>
      </c>
      <c r="K219">
        <v>18</v>
      </c>
      <c r="L219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17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0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0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0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19" s="5">
        <f>IF((DiscreteStatsTable[[#This Row],[RepsRequested]]&gt;1),DiscreteStatsTable[[#This Row],[HalfWidth]],DiscreteStatsTable[[#This Row],[BatchMeansHalfWidth]])</f>
        <v>0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17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67</v>
      </c>
      <c r="B220" t="s">
        <v>69</v>
      </c>
      <c r="C220">
        <v>17</v>
      </c>
      <c r="D220" t="s">
        <v>84</v>
      </c>
      <c r="E220" t="s">
        <v>85</v>
      </c>
      <c r="F220" t="s">
        <v>86</v>
      </c>
      <c r="G220">
        <v>18.032962413256602</v>
      </c>
      <c r="H220">
        <v>2E+20</v>
      </c>
      <c r="I220">
        <v>3.9138028399751299</v>
      </c>
      <c r="J220">
        <v>39.318468668477401</v>
      </c>
      <c r="K220">
        <v>18</v>
      </c>
      <c r="L220" s="5" t="str">
        <f>DiscreteStatsTable[[#This Row],[ProjectName]]&amp;DiscreteStatsTable[[#This Row],[Name]]&amp;DiscreteStatsTable[[#This Row],[Type]]&amp;DiscreteStatsTable[[#This Row],[Source]]</f>
        <v>Weekend (base)Comer en MesaTotal Time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17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18.34562442381192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2.1575919398341346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15.010749008421101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22.816713775859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44.433668276207797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20" s="5">
        <f>IF((DiscreteStatsTable[[#This Row],[RepsRequested]]&gt;1),DiscreteStatsTable[[#This Row],[HalfWidth]],DiscreteStatsTable[[#This Row],[BatchMeansHalfWidth]])</f>
        <v>1.1093314123201146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17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67</v>
      </c>
      <c r="B221" t="s">
        <v>69</v>
      </c>
      <c r="C221">
        <v>17</v>
      </c>
      <c r="D221" t="s">
        <v>84</v>
      </c>
      <c r="E221" t="s">
        <v>87</v>
      </c>
      <c r="F221" t="s">
        <v>86</v>
      </c>
      <c r="G221">
        <v>18.032962413256602</v>
      </c>
      <c r="H221">
        <v>2E+20</v>
      </c>
      <c r="I221">
        <v>3.9138028399751299</v>
      </c>
      <c r="J221">
        <v>39.318468668477401</v>
      </c>
      <c r="K221">
        <v>18</v>
      </c>
      <c r="L221" s="5" t="str">
        <f>DiscreteStatsTable[[#This Row],[ProjectName]]&amp;DiscreteStatsTable[[#This Row],[Name]]&amp;DiscreteStatsTable[[#This Row],[Type]]&amp;DiscreteStatsTable[[#This Row],[Source]]</f>
        <v>Weekend (base)Comer en MesaVA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17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18.34562442381192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2.1575919398341346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15.010749008421101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22.816713775859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44.433668276207797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21" s="5">
        <f>IF((DiscreteStatsTable[[#This Row],[RepsRequested]]&gt;1),DiscreteStatsTable[[#This Row],[HalfWidth]],DiscreteStatsTable[[#This Row],[BatchMeansHalfWidth]])</f>
        <v>1.1093314123201146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17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67</v>
      </c>
      <c r="B222" t="s">
        <v>69</v>
      </c>
      <c r="C222">
        <v>17</v>
      </c>
      <c r="D222" t="s">
        <v>84</v>
      </c>
      <c r="E222" t="s">
        <v>88</v>
      </c>
      <c r="F222" t="s">
        <v>86</v>
      </c>
      <c r="G222">
        <v>0</v>
      </c>
      <c r="H222">
        <v>2E+20</v>
      </c>
      <c r="I222">
        <v>0</v>
      </c>
      <c r="J222">
        <v>0</v>
      </c>
      <c r="K222">
        <v>18</v>
      </c>
      <c r="L222" s="5" t="str">
        <f>DiscreteStatsTable[[#This Row],[ProjectName]]&amp;DiscreteStatsTable[[#This Row],[Name]]&amp;DiscreteStatsTable[[#This Row],[Type]]&amp;DiscreteStatsTable[[#This Row],[Source]]</f>
        <v>Weekend (base)Comer en MesaWait Time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17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17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67</v>
      </c>
      <c r="B223" t="s">
        <v>69</v>
      </c>
      <c r="C223">
        <v>1</v>
      </c>
      <c r="D223" t="s">
        <v>89</v>
      </c>
      <c r="E223" t="s">
        <v>90</v>
      </c>
      <c r="F223" t="s">
        <v>91</v>
      </c>
      <c r="G223">
        <v>0</v>
      </c>
      <c r="H223">
        <v>2E+20</v>
      </c>
      <c r="I223">
        <v>0</v>
      </c>
      <c r="J223">
        <v>0</v>
      </c>
      <c r="K223">
        <v>19</v>
      </c>
      <c r="L223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17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17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67</v>
      </c>
      <c r="B224" t="s">
        <v>69</v>
      </c>
      <c r="C224">
        <v>2</v>
      </c>
      <c r="D224" t="s">
        <v>89</v>
      </c>
      <c r="E224" t="s">
        <v>90</v>
      </c>
      <c r="F224" t="s">
        <v>91</v>
      </c>
      <c r="G224">
        <v>0</v>
      </c>
      <c r="H224">
        <v>2E+20</v>
      </c>
      <c r="I224">
        <v>0</v>
      </c>
      <c r="J224">
        <v>0</v>
      </c>
      <c r="K224">
        <v>13</v>
      </c>
      <c r="L224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17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0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24" s="5">
        <f>IF((DiscreteStatsTable[[#This Row],[RepsRequested]]&gt;1),DiscreteStatsTable[[#This Row],[HalfWidth]],DiscreteStatsTable[[#This Row],[BatchMeansHalfWidth]])</f>
        <v>0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17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67</v>
      </c>
      <c r="B225" t="s">
        <v>69</v>
      </c>
      <c r="C225">
        <v>3</v>
      </c>
      <c r="D225" t="s">
        <v>89</v>
      </c>
      <c r="E225" t="s">
        <v>90</v>
      </c>
      <c r="F225" t="s">
        <v>91</v>
      </c>
      <c r="G225">
        <v>0</v>
      </c>
      <c r="H225">
        <v>2E+20</v>
      </c>
      <c r="I225">
        <v>0</v>
      </c>
      <c r="J225">
        <v>0</v>
      </c>
      <c r="K225">
        <v>19</v>
      </c>
      <c r="L225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17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0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0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0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25" s="5">
        <f>IF((DiscreteStatsTable[[#This Row],[RepsRequested]]&gt;1),DiscreteStatsTable[[#This Row],[HalfWidth]],DiscreteStatsTable[[#This Row],[BatchMeansHalfWidth]])</f>
        <v>0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17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67</v>
      </c>
      <c r="B226" t="s">
        <v>69</v>
      </c>
      <c r="C226">
        <v>4</v>
      </c>
      <c r="D226" t="s">
        <v>89</v>
      </c>
      <c r="E226" t="s">
        <v>90</v>
      </c>
      <c r="F226" t="s">
        <v>91</v>
      </c>
      <c r="G226">
        <v>0</v>
      </c>
      <c r="H226">
        <v>2E+20</v>
      </c>
      <c r="I226">
        <v>0</v>
      </c>
      <c r="J226">
        <v>0</v>
      </c>
      <c r="K226">
        <v>14</v>
      </c>
      <c r="L226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17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17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67</v>
      </c>
      <c r="B227" t="s">
        <v>69</v>
      </c>
      <c r="C227">
        <v>5</v>
      </c>
      <c r="D227" t="s">
        <v>89</v>
      </c>
      <c r="E227" t="s">
        <v>90</v>
      </c>
      <c r="F227" t="s">
        <v>91</v>
      </c>
      <c r="G227">
        <v>0</v>
      </c>
      <c r="H227">
        <v>2E+20</v>
      </c>
      <c r="I227">
        <v>0</v>
      </c>
      <c r="J227">
        <v>0</v>
      </c>
      <c r="K227">
        <v>22</v>
      </c>
      <c r="L227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17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17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67</v>
      </c>
      <c r="B228" t="s">
        <v>69</v>
      </c>
      <c r="C228">
        <v>6</v>
      </c>
      <c r="D228" t="s">
        <v>89</v>
      </c>
      <c r="E228" t="s">
        <v>90</v>
      </c>
      <c r="F228" t="s">
        <v>91</v>
      </c>
      <c r="G228">
        <v>0</v>
      </c>
      <c r="H228">
        <v>2E+20</v>
      </c>
      <c r="I228">
        <v>0</v>
      </c>
      <c r="J228">
        <v>0</v>
      </c>
      <c r="K228">
        <v>12</v>
      </c>
      <c r="L228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17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17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67</v>
      </c>
      <c r="B229" t="s">
        <v>69</v>
      </c>
      <c r="C229">
        <v>7</v>
      </c>
      <c r="D229" t="s">
        <v>89</v>
      </c>
      <c r="E229" t="s">
        <v>90</v>
      </c>
      <c r="F229" t="s">
        <v>91</v>
      </c>
      <c r="G229">
        <v>0</v>
      </c>
      <c r="H229">
        <v>2E+20</v>
      </c>
      <c r="I229">
        <v>0</v>
      </c>
      <c r="J229">
        <v>0</v>
      </c>
      <c r="K229">
        <v>17</v>
      </c>
      <c r="L229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17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17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67</v>
      </c>
      <c r="B230" t="s">
        <v>69</v>
      </c>
      <c r="C230">
        <v>8</v>
      </c>
      <c r="D230" t="s">
        <v>89</v>
      </c>
      <c r="E230" t="s">
        <v>90</v>
      </c>
      <c r="F230" t="s">
        <v>91</v>
      </c>
      <c r="G230">
        <v>0</v>
      </c>
      <c r="H230">
        <v>2E+20</v>
      </c>
      <c r="I230">
        <v>0</v>
      </c>
      <c r="J230">
        <v>0</v>
      </c>
      <c r="K230">
        <v>16</v>
      </c>
      <c r="L230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17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0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0" s="5">
        <f>IF((DiscreteStatsTable[[#This Row],[RepsRequested]]&gt;1),DiscreteStatsTable[[#This Row],[HalfWidth]],DiscreteStatsTable[[#This Row],[BatchMeansHalfWidth]])</f>
        <v>0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17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67</v>
      </c>
      <c r="B231" t="s">
        <v>69</v>
      </c>
      <c r="C231">
        <v>9</v>
      </c>
      <c r="D231" t="s">
        <v>89</v>
      </c>
      <c r="E231" t="s">
        <v>90</v>
      </c>
      <c r="F231" t="s">
        <v>91</v>
      </c>
      <c r="G231">
        <v>0</v>
      </c>
      <c r="H231">
        <v>2E+20</v>
      </c>
      <c r="I231">
        <v>0</v>
      </c>
      <c r="J231">
        <v>0</v>
      </c>
      <c r="K231">
        <v>16</v>
      </c>
      <c r="L231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17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0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0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0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1" s="5">
        <f>IF((DiscreteStatsTable[[#This Row],[RepsRequested]]&gt;1),DiscreteStatsTable[[#This Row],[HalfWidth]],DiscreteStatsTable[[#This Row],[BatchMeansHalfWidth]])</f>
        <v>0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17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67</v>
      </c>
      <c r="B232" t="s">
        <v>69</v>
      </c>
      <c r="C232">
        <v>10</v>
      </c>
      <c r="D232" t="s">
        <v>89</v>
      </c>
      <c r="E232" t="s">
        <v>90</v>
      </c>
      <c r="F232" t="s">
        <v>91</v>
      </c>
      <c r="G232">
        <v>0</v>
      </c>
      <c r="H232">
        <v>2E+20</v>
      </c>
      <c r="I232">
        <v>0</v>
      </c>
      <c r="J232">
        <v>0</v>
      </c>
      <c r="K232">
        <v>22</v>
      </c>
      <c r="L232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17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17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67</v>
      </c>
      <c r="B233" t="s">
        <v>69</v>
      </c>
      <c r="C233">
        <v>11</v>
      </c>
      <c r="D233" t="s">
        <v>89</v>
      </c>
      <c r="E233" t="s">
        <v>90</v>
      </c>
      <c r="F233" t="s">
        <v>91</v>
      </c>
      <c r="G233">
        <v>0</v>
      </c>
      <c r="H233">
        <v>2E+20</v>
      </c>
      <c r="I233">
        <v>0</v>
      </c>
      <c r="J233">
        <v>0</v>
      </c>
      <c r="K233">
        <v>19</v>
      </c>
      <c r="L233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17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17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67</v>
      </c>
      <c r="B234" t="s">
        <v>69</v>
      </c>
      <c r="C234">
        <v>12</v>
      </c>
      <c r="D234" t="s">
        <v>89</v>
      </c>
      <c r="E234" t="s">
        <v>90</v>
      </c>
      <c r="F234" t="s">
        <v>91</v>
      </c>
      <c r="G234">
        <v>0</v>
      </c>
      <c r="H234">
        <v>2E+20</v>
      </c>
      <c r="I234">
        <v>0</v>
      </c>
      <c r="J234">
        <v>0</v>
      </c>
      <c r="K234">
        <v>13</v>
      </c>
      <c r="L234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17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17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67</v>
      </c>
      <c r="B235" t="s">
        <v>69</v>
      </c>
      <c r="C235">
        <v>13</v>
      </c>
      <c r="D235" t="s">
        <v>89</v>
      </c>
      <c r="E235" t="s">
        <v>90</v>
      </c>
      <c r="F235" t="s">
        <v>91</v>
      </c>
      <c r="G235">
        <v>0</v>
      </c>
      <c r="H235">
        <v>2E+20</v>
      </c>
      <c r="I235">
        <v>0</v>
      </c>
      <c r="J235">
        <v>0</v>
      </c>
      <c r="K235">
        <v>18</v>
      </c>
      <c r="L235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17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17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67</v>
      </c>
      <c r="B236" t="s">
        <v>69</v>
      </c>
      <c r="C236">
        <v>14</v>
      </c>
      <c r="D236" t="s">
        <v>89</v>
      </c>
      <c r="E236" t="s">
        <v>90</v>
      </c>
      <c r="F236" t="s">
        <v>91</v>
      </c>
      <c r="G236">
        <v>0</v>
      </c>
      <c r="H236">
        <v>2E+20</v>
      </c>
      <c r="I236">
        <v>0</v>
      </c>
      <c r="J236">
        <v>0</v>
      </c>
      <c r="K236">
        <v>15</v>
      </c>
      <c r="L236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17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0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6" s="5">
        <f>IF((DiscreteStatsTable[[#This Row],[RepsRequested]]&gt;1),DiscreteStatsTable[[#This Row],[HalfWidth]],DiscreteStatsTable[[#This Row],[BatchMeansHalfWidth]])</f>
        <v>0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17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67</v>
      </c>
      <c r="B237" t="s">
        <v>69</v>
      </c>
      <c r="C237">
        <v>15</v>
      </c>
      <c r="D237" t="s">
        <v>89</v>
      </c>
      <c r="E237" t="s">
        <v>90</v>
      </c>
      <c r="F237" t="s">
        <v>91</v>
      </c>
      <c r="G237">
        <v>0</v>
      </c>
      <c r="H237">
        <v>2E+20</v>
      </c>
      <c r="I237">
        <v>0</v>
      </c>
      <c r="J237">
        <v>0</v>
      </c>
      <c r="K237">
        <v>16</v>
      </c>
      <c r="L237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17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0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0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0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7" s="5">
        <f>IF((DiscreteStatsTable[[#This Row],[RepsRequested]]&gt;1),DiscreteStatsTable[[#This Row],[HalfWidth]],DiscreteStatsTable[[#This Row],[BatchMeansHalfWidth]])</f>
        <v>0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17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67</v>
      </c>
      <c r="B238" t="s">
        <v>69</v>
      </c>
      <c r="C238">
        <v>16</v>
      </c>
      <c r="D238" t="s">
        <v>89</v>
      </c>
      <c r="E238" t="s">
        <v>90</v>
      </c>
      <c r="F238" t="s">
        <v>91</v>
      </c>
      <c r="G238">
        <v>0</v>
      </c>
      <c r="H238">
        <v>2E+20</v>
      </c>
      <c r="I238">
        <v>0</v>
      </c>
      <c r="J238">
        <v>0</v>
      </c>
      <c r="K238">
        <v>17</v>
      </c>
      <c r="L238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17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17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67</v>
      </c>
      <c r="B239" t="s">
        <v>69</v>
      </c>
      <c r="C239">
        <v>17</v>
      </c>
      <c r="D239" t="s">
        <v>89</v>
      </c>
      <c r="E239" t="s">
        <v>90</v>
      </c>
      <c r="F239" t="s">
        <v>91</v>
      </c>
      <c r="G239">
        <v>0</v>
      </c>
      <c r="H239">
        <v>2E+20</v>
      </c>
      <c r="I239">
        <v>0</v>
      </c>
      <c r="J239">
        <v>0</v>
      </c>
      <c r="K239">
        <v>20</v>
      </c>
      <c r="L239" s="5" t="str">
        <f>DiscreteStatsTable[[#This Row],[ProjectName]]&amp;DiscreteStatsTable[[#This Row],[Name]]&amp;DiscreteStatsTable[[#This Row],[Type]]&amp;DiscreteStatsTable[[#This Row],[Source]]</f>
        <v>Weekend (base)Comer en Mesa.QueueWaiting TimeQueue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17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16.941176470588236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17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67</v>
      </c>
      <c r="B240" t="s">
        <v>69</v>
      </c>
      <c r="C240">
        <v>1</v>
      </c>
      <c r="D240" t="s">
        <v>92</v>
      </c>
      <c r="E240" t="s">
        <v>90</v>
      </c>
      <c r="F240" t="s">
        <v>91</v>
      </c>
      <c r="G240">
        <v>1.2201107501661801</v>
      </c>
      <c r="H240">
        <v>2E+20</v>
      </c>
      <c r="I240">
        <v>0</v>
      </c>
      <c r="J240">
        <v>10.465866472766301</v>
      </c>
      <c r="K240">
        <v>252</v>
      </c>
      <c r="L240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17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1.3542647972866195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0.85883485461918996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2.2660130562086702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21.912888333721199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0" s="5">
        <f>IF((DiscreteStatsTable[[#This Row],[RepsRequested]]&gt;1),DiscreteStatsTable[[#This Row],[HalfWidth]],DiscreteStatsTable[[#This Row],[BatchMeansHalfWidth]])</f>
        <v>0.18991129693731779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17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67</v>
      </c>
      <c r="B241" t="s">
        <v>69</v>
      </c>
      <c r="C241">
        <v>2</v>
      </c>
      <c r="D241" t="s">
        <v>92</v>
      </c>
      <c r="E241" t="s">
        <v>90</v>
      </c>
      <c r="F241" t="s">
        <v>91</v>
      </c>
      <c r="G241">
        <v>1.4434643602465</v>
      </c>
      <c r="H241">
        <v>2E+20</v>
      </c>
      <c r="I241">
        <v>0</v>
      </c>
      <c r="J241">
        <v>12.599252620231301</v>
      </c>
      <c r="K241">
        <v>230</v>
      </c>
      <c r="L241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17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1.3542647972866195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0.85883485461918996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2.2660130562086702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21.912888333721199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1" s="5">
        <f>IF((DiscreteStatsTable[[#This Row],[RepsRequested]]&gt;1),DiscreteStatsTable[[#This Row],[HalfWidth]],DiscreteStatsTable[[#This Row],[BatchMeansHalfWidth]])</f>
        <v>0.18991129693731779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17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67</v>
      </c>
      <c r="B242" t="s">
        <v>69</v>
      </c>
      <c r="C242">
        <v>3</v>
      </c>
      <c r="D242" t="s">
        <v>92</v>
      </c>
      <c r="E242" t="s">
        <v>90</v>
      </c>
      <c r="F242" t="s">
        <v>91</v>
      </c>
      <c r="G242">
        <v>1.9414346421079001</v>
      </c>
      <c r="H242">
        <v>2E+20</v>
      </c>
      <c r="I242">
        <v>0</v>
      </c>
      <c r="J242">
        <v>14.0288185137744</v>
      </c>
      <c r="K242">
        <v>254</v>
      </c>
      <c r="L242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17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1.3542647972866195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0.85883485461918996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2.2660130562086702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21.912888333721199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2" s="5">
        <f>IF((DiscreteStatsTable[[#This Row],[RepsRequested]]&gt;1),DiscreteStatsTable[[#This Row],[HalfWidth]],DiscreteStatsTable[[#This Row],[BatchMeansHalfWidth]])</f>
        <v>0.18991129693731779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17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67</v>
      </c>
      <c r="B243" t="s">
        <v>69</v>
      </c>
      <c r="C243">
        <v>4</v>
      </c>
      <c r="D243" t="s">
        <v>92</v>
      </c>
      <c r="E243" t="s">
        <v>90</v>
      </c>
      <c r="F243" t="s">
        <v>91</v>
      </c>
      <c r="G243">
        <v>1.2295176277472</v>
      </c>
      <c r="H243">
        <v>2E+20</v>
      </c>
      <c r="I243">
        <v>0</v>
      </c>
      <c r="J243">
        <v>9.3613725717114598</v>
      </c>
      <c r="K243">
        <v>256</v>
      </c>
      <c r="L243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17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1.3542647972866195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0.85883485461918996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2.2660130562086702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21.912888333721199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3" s="5">
        <f>IF((DiscreteStatsTable[[#This Row],[RepsRequested]]&gt;1),DiscreteStatsTable[[#This Row],[HalfWidth]],DiscreteStatsTable[[#This Row],[BatchMeansHalfWidth]])</f>
        <v>0.18991129693731779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17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67</v>
      </c>
      <c r="B244" t="s">
        <v>69</v>
      </c>
      <c r="C244">
        <v>5</v>
      </c>
      <c r="D244" t="s">
        <v>92</v>
      </c>
      <c r="E244" t="s">
        <v>90</v>
      </c>
      <c r="F244" t="s">
        <v>91</v>
      </c>
      <c r="G244">
        <v>1.18924202263693</v>
      </c>
      <c r="H244">
        <v>2E+20</v>
      </c>
      <c r="I244">
        <v>0</v>
      </c>
      <c r="J244">
        <v>10.222868027770099</v>
      </c>
      <c r="K244">
        <v>264</v>
      </c>
      <c r="L244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17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1.3542647972866195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0.85883485461918996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2.2660130562086702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21.912888333721199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4" s="5">
        <f>IF((DiscreteStatsTable[[#This Row],[RepsRequested]]&gt;1),DiscreteStatsTable[[#This Row],[HalfWidth]],DiscreteStatsTable[[#This Row],[BatchMeansHalfWidth]])</f>
        <v>0.18991129693731779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17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67</v>
      </c>
      <c r="B245" t="s">
        <v>69</v>
      </c>
      <c r="C245">
        <v>6</v>
      </c>
      <c r="D245" t="s">
        <v>92</v>
      </c>
      <c r="E245" t="s">
        <v>90</v>
      </c>
      <c r="F245" t="s">
        <v>91</v>
      </c>
      <c r="G245">
        <v>0.85883485461918996</v>
      </c>
      <c r="H245">
        <v>2E+20</v>
      </c>
      <c r="I245">
        <v>0</v>
      </c>
      <c r="J245">
        <v>10.0986525875665</v>
      </c>
      <c r="K245">
        <v>232</v>
      </c>
      <c r="L245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17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1.3542647972866195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0.85883485461918996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2.2660130562086702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21.912888333721199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5" s="5">
        <f>IF((DiscreteStatsTable[[#This Row],[RepsRequested]]&gt;1),DiscreteStatsTable[[#This Row],[HalfWidth]],DiscreteStatsTable[[#This Row],[BatchMeansHalfWidth]])</f>
        <v>0.18991129693731779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17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67</v>
      </c>
      <c r="B246" t="s">
        <v>69</v>
      </c>
      <c r="C246">
        <v>7</v>
      </c>
      <c r="D246" t="s">
        <v>92</v>
      </c>
      <c r="E246" t="s">
        <v>90</v>
      </c>
      <c r="F246" t="s">
        <v>91</v>
      </c>
      <c r="G246">
        <v>1.12758700607416</v>
      </c>
      <c r="H246">
        <v>2E+20</v>
      </c>
      <c r="I246">
        <v>0</v>
      </c>
      <c r="J246">
        <v>9.6544314698426508</v>
      </c>
      <c r="K246">
        <v>216</v>
      </c>
      <c r="L246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17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1.3542647972866195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0.85883485461918996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2.2660130562086702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21.912888333721199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6" s="5">
        <f>IF((DiscreteStatsTable[[#This Row],[RepsRequested]]&gt;1),DiscreteStatsTable[[#This Row],[HalfWidth]],DiscreteStatsTable[[#This Row],[BatchMeansHalfWidth]])</f>
        <v>0.18991129693731779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17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67</v>
      </c>
      <c r="B247" t="s">
        <v>69</v>
      </c>
      <c r="C247">
        <v>8</v>
      </c>
      <c r="D247" t="s">
        <v>92</v>
      </c>
      <c r="E247" t="s">
        <v>90</v>
      </c>
      <c r="F247" t="s">
        <v>91</v>
      </c>
      <c r="G247">
        <v>2.2660130562086702</v>
      </c>
      <c r="H247">
        <v>2E+20</v>
      </c>
      <c r="I247">
        <v>0</v>
      </c>
      <c r="J247">
        <v>21.912888333721199</v>
      </c>
      <c r="K247">
        <v>234</v>
      </c>
      <c r="L247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17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1.3542647972866195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0.85883485461918996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2.2660130562086702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21.912888333721199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7" s="5">
        <f>IF((DiscreteStatsTable[[#This Row],[RepsRequested]]&gt;1),DiscreteStatsTable[[#This Row],[HalfWidth]],DiscreteStatsTable[[#This Row],[BatchMeansHalfWidth]])</f>
        <v>0.18991129693731779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17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67</v>
      </c>
      <c r="B248" t="s">
        <v>69</v>
      </c>
      <c r="C248">
        <v>9</v>
      </c>
      <c r="D248" t="s">
        <v>92</v>
      </c>
      <c r="E248" t="s">
        <v>90</v>
      </c>
      <c r="F248" t="s">
        <v>91</v>
      </c>
      <c r="G248">
        <v>1.3735330804072501</v>
      </c>
      <c r="H248">
        <v>2E+20</v>
      </c>
      <c r="I248">
        <v>0</v>
      </c>
      <c r="J248">
        <v>11.1555448659246</v>
      </c>
      <c r="K248">
        <v>242</v>
      </c>
      <c r="L248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17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1.3542647972866195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0.85883485461918996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2.2660130562086702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21.912888333721199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8" s="5">
        <f>IF((DiscreteStatsTable[[#This Row],[RepsRequested]]&gt;1),DiscreteStatsTable[[#This Row],[HalfWidth]],DiscreteStatsTable[[#This Row],[BatchMeansHalfWidth]])</f>
        <v>0.18991129693731779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17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67</v>
      </c>
      <c r="B249" t="s">
        <v>69</v>
      </c>
      <c r="C249">
        <v>10</v>
      </c>
      <c r="D249" t="s">
        <v>92</v>
      </c>
      <c r="E249" t="s">
        <v>90</v>
      </c>
      <c r="F249" t="s">
        <v>91</v>
      </c>
      <c r="G249">
        <v>1.4847730644972701</v>
      </c>
      <c r="H249">
        <v>2E+20</v>
      </c>
      <c r="I249">
        <v>0</v>
      </c>
      <c r="J249">
        <v>9.2242450928413593</v>
      </c>
      <c r="K249">
        <v>252</v>
      </c>
      <c r="L249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17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1.3542647972866195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0.85883485461918996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2.2660130562086702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21.912888333721199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49" s="5">
        <f>IF((DiscreteStatsTable[[#This Row],[RepsRequested]]&gt;1),DiscreteStatsTable[[#This Row],[HalfWidth]],DiscreteStatsTable[[#This Row],[BatchMeansHalfWidth]])</f>
        <v>0.18991129693731779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17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67</v>
      </c>
      <c r="B250" t="s">
        <v>69</v>
      </c>
      <c r="C250">
        <v>11</v>
      </c>
      <c r="D250" t="s">
        <v>92</v>
      </c>
      <c r="E250" t="s">
        <v>90</v>
      </c>
      <c r="F250" t="s">
        <v>91</v>
      </c>
      <c r="G250">
        <v>1.05132264521858</v>
      </c>
      <c r="H250">
        <v>2E+20</v>
      </c>
      <c r="I250">
        <v>0</v>
      </c>
      <c r="J250">
        <v>8.1360548801123098</v>
      </c>
      <c r="K250">
        <v>236</v>
      </c>
      <c r="L250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17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1.3542647972866195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0.85883485461918996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2.2660130562086702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21.912888333721199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50" s="5">
        <f>IF((DiscreteStatsTable[[#This Row],[RepsRequested]]&gt;1),DiscreteStatsTable[[#This Row],[HalfWidth]],DiscreteStatsTable[[#This Row],[BatchMeansHalfWidth]])</f>
        <v>0.18991129693731779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17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67</v>
      </c>
      <c r="B251" t="s">
        <v>69</v>
      </c>
      <c r="C251">
        <v>12</v>
      </c>
      <c r="D251" t="s">
        <v>92</v>
      </c>
      <c r="E251" t="s">
        <v>90</v>
      </c>
      <c r="F251" t="s">
        <v>91</v>
      </c>
      <c r="G251">
        <v>1.5258620818787101</v>
      </c>
      <c r="H251">
        <v>2E+20</v>
      </c>
      <c r="I251">
        <v>0</v>
      </c>
      <c r="J251">
        <v>11.637541490525599</v>
      </c>
      <c r="K251">
        <v>240</v>
      </c>
      <c r="L251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17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1.3542647972866195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0.85883485461918996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2.2660130562086702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21.912888333721199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51" s="5">
        <f>IF((DiscreteStatsTable[[#This Row],[RepsRequested]]&gt;1),DiscreteStatsTable[[#This Row],[HalfWidth]],DiscreteStatsTable[[#This Row],[BatchMeansHalfWidth]])</f>
        <v>0.18991129693731779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17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67</v>
      </c>
      <c r="B252" t="s">
        <v>69</v>
      </c>
      <c r="C252">
        <v>13</v>
      </c>
      <c r="D252" t="s">
        <v>92</v>
      </c>
      <c r="E252" t="s">
        <v>90</v>
      </c>
      <c r="F252" t="s">
        <v>91</v>
      </c>
      <c r="G252">
        <v>1.1779908719536001</v>
      </c>
      <c r="H252">
        <v>2E+20</v>
      </c>
      <c r="I252">
        <v>0</v>
      </c>
      <c r="J252">
        <v>8.6190862583777506</v>
      </c>
      <c r="K252">
        <v>224</v>
      </c>
      <c r="L252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17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1.3542647972866195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0.85883485461918996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2.2660130562086702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21.912888333721199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52" s="5">
        <f>IF((DiscreteStatsTable[[#This Row],[RepsRequested]]&gt;1),DiscreteStatsTable[[#This Row],[HalfWidth]],DiscreteStatsTable[[#This Row],[BatchMeansHalfWidth]])</f>
        <v>0.18991129693731779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17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67</v>
      </c>
      <c r="B253" t="s">
        <v>69</v>
      </c>
      <c r="C253">
        <v>14</v>
      </c>
      <c r="D253" t="s">
        <v>92</v>
      </c>
      <c r="E253" t="s">
        <v>90</v>
      </c>
      <c r="F253" t="s">
        <v>91</v>
      </c>
      <c r="G253">
        <v>1.28093182789523</v>
      </c>
      <c r="H253">
        <v>2E+20</v>
      </c>
      <c r="I253">
        <v>0</v>
      </c>
      <c r="J253">
        <v>12.702915981841</v>
      </c>
      <c r="K253">
        <v>220</v>
      </c>
      <c r="L253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17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1.3542647972866195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0.85883485461918996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2.2660130562086702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21.912888333721199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53" s="5">
        <f>IF((DiscreteStatsTable[[#This Row],[RepsRequested]]&gt;1),DiscreteStatsTable[[#This Row],[HalfWidth]],DiscreteStatsTable[[#This Row],[BatchMeansHalfWidth]])</f>
        <v>0.18991129693731779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17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67</v>
      </c>
      <c r="B254" t="s">
        <v>69</v>
      </c>
      <c r="C254">
        <v>15</v>
      </c>
      <c r="D254" t="s">
        <v>92</v>
      </c>
      <c r="E254" t="s">
        <v>90</v>
      </c>
      <c r="F254" t="s">
        <v>91</v>
      </c>
      <c r="G254">
        <v>1.0781567741401801</v>
      </c>
      <c r="H254">
        <v>2E+20</v>
      </c>
      <c r="I254">
        <v>0</v>
      </c>
      <c r="J254">
        <v>13.108801677154901</v>
      </c>
      <c r="K254">
        <v>236</v>
      </c>
      <c r="L254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17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1.3542647972866195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0.85883485461918996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2.2660130562086702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21.912888333721199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54" s="5">
        <f>IF((DiscreteStatsTable[[#This Row],[RepsRequested]]&gt;1),DiscreteStatsTable[[#This Row],[HalfWidth]],DiscreteStatsTable[[#This Row],[BatchMeansHalfWidth]])</f>
        <v>0.18991129693731779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17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67</v>
      </c>
      <c r="B255" t="s">
        <v>69</v>
      </c>
      <c r="C255">
        <v>16</v>
      </c>
      <c r="D255" t="s">
        <v>92</v>
      </c>
      <c r="E255" t="s">
        <v>90</v>
      </c>
      <c r="F255" t="s">
        <v>91</v>
      </c>
      <c r="G255">
        <v>0.94649476634958896</v>
      </c>
      <c r="H255">
        <v>2E+20</v>
      </c>
      <c r="I255">
        <v>0</v>
      </c>
      <c r="J255">
        <v>9.8369100769560998</v>
      </c>
      <c r="K255">
        <v>218</v>
      </c>
      <c r="L255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17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1.3542647972866195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0.85883485461918996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2.2660130562086702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21.912888333721199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55" s="5">
        <f>IF((DiscreteStatsTable[[#This Row],[RepsRequested]]&gt;1),DiscreteStatsTable[[#This Row],[HalfWidth]],DiscreteStatsTable[[#This Row],[BatchMeansHalfWidth]])</f>
        <v>0.18991129693731779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17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67</v>
      </c>
      <c r="B256" t="s">
        <v>69</v>
      </c>
      <c r="C256">
        <v>17</v>
      </c>
      <c r="D256" t="s">
        <v>92</v>
      </c>
      <c r="E256" t="s">
        <v>90</v>
      </c>
      <c r="F256" t="s">
        <v>91</v>
      </c>
      <c r="G256">
        <v>1.82723212172539</v>
      </c>
      <c r="H256">
        <v>2E+20</v>
      </c>
      <c r="I256">
        <v>0</v>
      </c>
      <c r="J256">
        <v>13.6640536046934</v>
      </c>
      <c r="K256">
        <v>238</v>
      </c>
      <c r="L256" s="5" t="str">
        <f>DiscreteStatsTable[[#This Row],[ProjectName]]&amp;DiscreteStatsTable[[#This Row],[Name]]&amp;DiscreteStatsTable[[#This Row],[Type]]&amp;DiscreteStatsTable[[#This Row],[Source]]</f>
        <v>Weekend (base)Entrega pedido.QueueWaiting TimeQueue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17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1.3542647972866195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0.85883485461918996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2.2660130562086702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21.912888333721199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237.88235294117646</v>
      </c>
      <c r="W256" s="5">
        <f>IF((DiscreteStatsTable[[#This Row],[RepsRequested]]&gt;1),DiscreteStatsTable[[#This Row],[HalfWidth]],DiscreteStatsTable[[#This Row],[BatchMeansHalfWidth]])</f>
        <v>0.18991129693731779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17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67</v>
      </c>
      <c r="B257" t="s">
        <v>69</v>
      </c>
      <c r="C257">
        <v>1</v>
      </c>
      <c r="D257" t="s">
        <v>93</v>
      </c>
      <c r="E257" t="s">
        <v>79</v>
      </c>
      <c r="F257" t="s">
        <v>80</v>
      </c>
      <c r="G257">
        <v>1.6599769355307501</v>
      </c>
      <c r="H257">
        <v>2E+20</v>
      </c>
      <c r="I257">
        <v>1.6599769355307501</v>
      </c>
      <c r="J257">
        <v>1.6599769355307501</v>
      </c>
      <c r="K257">
        <v>1</v>
      </c>
      <c r="L257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17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1.4601733292400874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0.88025911677620094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3.3197989389730198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0.88025911677620094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3.3197989389730198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1</v>
      </c>
      <c r="W257" s="5">
        <f>IF((DiscreteStatsTable[[#This Row],[RepsRequested]]&gt;1),DiscreteStatsTable[[#This Row],[HalfWidth]],DiscreteStatsTable[[#This Row],[BatchMeansHalfWidth]])</f>
        <v>0.32098629890586861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17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67</v>
      </c>
      <c r="B258" t="s">
        <v>69</v>
      </c>
      <c r="C258">
        <v>2</v>
      </c>
      <c r="D258" t="s">
        <v>93</v>
      </c>
      <c r="E258" t="s">
        <v>79</v>
      </c>
      <c r="F258" t="s">
        <v>80</v>
      </c>
      <c r="G258">
        <v>1.4848769018504999</v>
      </c>
      <c r="H258">
        <v>2E+20</v>
      </c>
      <c r="I258">
        <v>1.4848769018504999</v>
      </c>
      <c r="J258">
        <v>1.4848769018504999</v>
      </c>
      <c r="K258">
        <v>1</v>
      </c>
      <c r="L258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17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1.4601733292400874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0.88025911677620094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3.3197989389730198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0.88025911677620094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3.3197989389730198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1</v>
      </c>
      <c r="W258" s="5">
        <f>IF((DiscreteStatsTable[[#This Row],[RepsRequested]]&gt;1),DiscreteStatsTable[[#This Row],[HalfWidth]],DiscreteStatsTable[[#This Row],[BatchMeansHalfWidth]])</f>
        <v>0.32098629890586861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17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67</v>
      </c>
      <c r="B259" t="s">
        <v>69</v>
      </c>
      <c r="C259">
        <v>3</v>
      </c>
      <c r="D259" t="s">
        <v>93</v>
      </c>
      <c r="E259" t="s">
        <v>79</v>
      </c>
      <c r="F259" t="s">
        <v>80</v>
      </c>
      <c r="G259">
        <v>3.3197989389730198</v>
      </c>
      <c r="H259">
        <v>2E+20</v>
      </c>
      <c r="I259">
        <v>3.3197989389730198</v>
      </c>
      <c r="J259">
        <v>3.3197989389730198</v>
      </c>
      <c r="K259">
        <v>1</v>
      </c>
      <c r="L259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17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1.4601733292400874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0.88025911677620094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3.3197989389730198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0.88025911677620094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3.3197989389730198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1</v>
      </c>
      <c r="W259" s="5">
        <f>IF((DiscreteStatsTable[[#This Row],[RepsRequested]]&gt;1),DiscreteStatsTable[[#This Row],[HalfWidth]],DiscreteStatsTable[[#This Row],[BatchMeansHalfWidth]])</f>
        <v>0.32098629890586861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17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67</v>
      </c>
      <c r="B260" t="s">
        <v>69</v>
      </c>
      <c r="C260">
        <v>4</v>
      </c>
      <c r="D260" t="s">
        <v>93</v>
      </c>
      <c r="E260" t="s">
        <v>79</v>
      </c>
      <c r="F260" t="s">
        <v>80</v>
      </c>
      <c r="G260">
        <v>1.07890608279321</v>
      </c>
      <c r="H260">
        <v>2E+20</v>
      </c>
      <c r="I260">
        <v>1.07890608279321</v>
      </c>
      <c r="J260">
        <v>1.07890608279321</v>
      </c>
      <c r="K260">
        <v>1</v>
      </c>
      <c r="L260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17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1.4601733292400874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0.88025911677620094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3.3197989389730198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0.88025911677620094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3.3197989389730198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1</v>
      </c>
      <c r="W260" s="5">
        <f>IF((DiscreteStatsTable[[#This Row],[RepsRequested]]&gt;1),DiscreteStatsTable[[#This Row],[HalfWidth]],DiscreteStatsTable[[#This Row],[BatchMeansHalfWidth]])</f>
        <v>0.32098629890586861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17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67</v>
      </c>
      <c r="B261" t="s">
        <v>69</v>
      </c>
      <c r="C261">
        <v>5</v>
      </c>
      <c r="D261" t="s">
        <v>93</v>
      </c>
      <c r="E261" t="s">
        <v>79</v>
      </c>
      <c r="F261" t="s">
        <v>80</v>
      </c>
      <c r="G261">
        <v>0.95724359645843404</v>
      </c>
      <c r="H261">
        <v>2E+20</v>
      </c>
      <c r="I261">
        <v>0.95724359645843404</v>
      </c>
      <c r="J261">
        <v>0.95724359645843404</v>
      </c>
      <c r="K261">
        <v>1</v>
      </c>
      <c r="L261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17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1.4601733292400874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0.88025911677620094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3.3197989389730198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0.88025911677620094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3.3197989389730198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1</v>
      </c>
      <c r="W261" s="5">
        <f>IF((DiscreteStatsTable[[#This Row],[RepsRequested]]&gt;1),DiscreteStatsTable[[#This Row],[HalfWidth]],DiscreteStatsTable[[#This Row],[BatchMeansHalfWidth]])</f>
        <v>0.32098629890586861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17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67</v>
      </c>
      <c r="B262" t="s">
        <v>69</v>
      </c>
      <c r="C262">
        <v>6</v>
      </c>
      <c r="D262" t="s">
        <v>93</v>
      </c>
      <c r="E262" t="s">
        <v>79</v>
      </c>
      <c r="F262" t="s">
        <v>80</v>
      </c>
      <c r="G262">
        <v>1.2639356469310301</v>
      </c>
      <c r="H262">
        <v>2E+20</v>
      </c>
      <c r="I262">
        <v>1.2639356469310301</v>
      </c>
      <c r="J262">
        <v>1.2639356469310301</v>
      </c>
      <c r="K262">
        <v>1</v>
      </c>
      <c r="L262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17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1.4601733292400874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0.88025911677620094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3.3197989389730198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0.88025911677620094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3.3197989389730198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1</v>
      </c>
      <c r="W262" s="5">
        <f>IF((DiscreteStatsTable[[#This Row],[RepsRequested]]&gt;1),DiscreteStatsTable[[#This Row],[HalfWidth]],DiscreteStatsTable[[#This Row],[BatchMeansHalfWidth]])</f>
        <v>0.32098629890586861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17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67</v>
      </c>
      <c r="B263" t="s">
        <v>69</v>
      </c>
      <c r="C263">
        <v>7</v>
      </c>
      <c r="D263" t="s">
        <v>93</v>
      </c>
      <c r="E263" t="s">
        <v>79</v>
      </c>
      <c r="F263" t="s">
        <v>80</v>
      </c>
      <c r="G263">
        <v>1.11032757633812</v>
      </c>
      <c r="H263">
        <v>2E+20</v>
      </c>
      <c r="I263">
        <v>1.11032757633812</v>
      </c>
      <c r="J263">
        <v>1.11032757633812</v>
      </c>
      <c r="K263">
        <v>1</v>
      </c>
      <c r="L263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17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1.4601733292400874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0.88025911677620094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3.3197989389730198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0.88025911677620094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3.3197989389730198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1</v>
      </c>
      <c r="W263" s="5">
        <f>IF((DiscreteStatsTable[[#This Row],[RepsRequested]]&gt;1),DiscreteStatsTable[[#This Row],[HalfWidth]],DiscreteStatsTable[[#This Row],[BatchMeansHalfWidth]])</f>
        <v>0.32098629890586861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17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67</v>
      </c>
      <c r="B264" t="s">
        <v>69</v>
      </c>
      <c r="C264">
        <v>8</v>
      </c>
      <c r="D264" t="s">
        <v>93</v>
      </c>
      <c r="E264" t="s">
        <v>79</v>
      </c>
      <c r="F264" t="s">
        <v>80</v>
      </c>
      <c r="G264">
        <v>1.0532793813781101</v>
      </c>
      <c r="H264">
        <v>2E+20</v>
      </c>
      <c r="I264">
        <v>1.0532793813781101</v>
      </c>
      <c r="J264">
        <v>1.0532793813781101</v>
      </c>
      <c r="K264">
        <v>1</v>
      </c>
      <c r="L264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17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1.4601733292400874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0.88025911677620094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3.3197989389730198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0.88025911677620094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3.3197989389730198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1</v>
      </c>
      <c r="W264" s="5">
        <f>IF((DiscreteStatsTable[[#This Row],[RepsRequested]]&gt;1),DiscreteStatsTable[[#This Row],[HalfWidth]],DiscreteStatsTable[[#This Row],[BatchMeansHalfWidth]])</f>
        <v>0.32098629890586861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17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67</v>
      </c>
      <c r="B265" t="s">
        <v>69</v>
      </c>
      <c r="C265">
        <v>9</v>
      </c>
      <c r="D265" t="s">
        <v>93</v>
      </c>
      <c r="E265" t="s">
        <v>79</v>
      </c>
      <c r="F265" t="s">
        <v>80</v>
      </c>
      <c r="G265">
        <v>2.32181917563411</v>
      </c>
      <c r="H265">
        <v>2E+20</v>
      </c>
      <c r="I265">
        <v>2.32181917563411</v>
      </c>
      <c r="J265">
        <v>2.32181917563411</v>
      </c>
      <c r="K265">
        <v>1</v>
      </c>
      <c r="L265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17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1.4601733292400874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0.88025911677620094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3.3197989389730198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0.88025911677620094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3.3197989389730198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1</v>
      </c>
      <c r="W265" s="5">
        <f>IF((DiscreteStatsTable[[#This Row],[RepsRequested]]&gt;1),DiscreteStatsTable[[#This Row],[HalfWidth]],DiscreteStatsTable[[#This Row],[BatchMeansHalfWidth]])</f>
        <v>0.32098629890586861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17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67</v>
      </c>
      <c r="B266" t="s">
        <v>69</v>
      </c>
      <c r="C266">
        <v>10</v>
      </c>
      <c r="D266" t="s">
        <v>93</v>
      </c>
      <c r="E266" t="s">
        <v>79</v>
      </c>
      <c r="F266" t="s">
        <v>80</v>
      </c>
      <c r="G266">
        <v>1.08738833972658</v>
      </c>
      <c r="H266">
        <v>2E+20</v>
      </c>
      <c r="I266">
        <v>1.08738833972658</v>
      </c>
      <c r="J266">
        <v>1.08738833972658</v>
      </c>
      <c r="K266">
        <v>1</v>
      </c>
      <c r="L266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17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1.4601733292400874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0.88025911677620094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3.3197989389730198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0.88025911677620094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3.3197989389730198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1</v>
      </c>
      <c r="W266" s="5">
        <f>IF((DiscreteStatsTable[[#This Row],[RepsRequested]]&gt;1),DiscreteStatsTable[[#This Row],[HalfWidth]],DiscreteStatsTable[[#This Row],[BatchMeansHalfWidth]])</f>
        <v>0.32098629890586861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17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67</v>
      </c>
      <c r="B267" t="s">
        <v>69</v>
      </c>
      <c r="C267">
        <v>11</v>
      </c>
      <c r="D267" t="s">
        <v>93</v>
      </c>
      <c r="E267" t="s">
        <v>79</v>
      </c>
      <c r="F267" t="s">
        <v>80</v>
      </c>
      <c r="G267">
        <v>0.88025911677620094</v>
      </c>
      <c r="H267">
        <v>2E+20</v>
      </c>
      <c r="I267">
        <v>0.88025911677620094</v>
      </c>
      <c r="J267">
        <v>0.88025911677620094</v>
      </c>
      <c r="K267">
        <v>1</v>
      </c>
      <c r="L267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17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1.4601733292400874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0.88025911677620094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3.3197989389730198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0.88025911677620094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3.3197989389730198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1</v>
      </c>
      <c r="W267" s="5">
        <f>IF((DiscreteStatsTable[[#This Row],[RepsRequested]]&gt;1),DiscreteStatsTable[[#This Row],[HalfWidth]],DiscreteStatsTable[[#This Row],[BatchMeansHalfWidth]])</f>
        <v>0.32098629890586861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17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67</v>
      </c>
      <c r="B268" t="s">
        <v>69</v>
      </c>
      <c r="C268">
        <v>12</v>
      </c>
      <c r="D268" t="s">
        <v>93</v>
      </c>
      <c r="E268" t="s">
        <v>79</v>
      </c>
      <c r="F268" t="s">
        <v>80</v>
      </c>
      <c r="G268">
        <v>2.1330427186426402</v>
      </c>
      <c r="H268">
        <v>2E+20</v>
      </c>
      <c r="I268">
        <v>2.1330427186426402</v>
      </c>
      <c r="J268">
        <v>2.1330427186426402</v>
      </c>
      <c r="K268">
        <v>1</v>
      </c>
      <c r="L268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17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1.4601733292400874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0.88025911677620094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3.3197989389730198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0.88025911677620094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3.3197989389730198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1</v>
      </c>
      <c r="W268" s="5">
        <f>IF((DiscreteStatsTable[[#This Row],[RepsRequested]]&gt;1),DiscreteStatsTable[[#This Row],[HalfWidth]],DiscreteStatsTable[[#This Row],[BatchMeansHalfWidth]])</f>
        <v>0.32098629890586861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17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67</v>
      </c>
      <c r="B269" t="s">
        <v>69</v>
      </c>
      <c r="C269">
        <v>13</v>
      </c>
      <c r="D269" t="s">
        <v>93</v>
      </c>
      <c r="E269" t="s">
        <v>79</v>
      </c>
      <c r="F269" t="s">
        <v>80</v>
      </c>
      <c r="G269">
        <v>1.06286923697651</v>
      </c>
      <c r="H269">
        <v>2E+20</v>
      </c>
      <c r="I269">
        <v>1.06286923697651</v>
      </c>
      <c r="J269">
        <v>1.06286923697651</v>
      </c>
      <c r="K269">
        <v>1</v>
      </c>
      <c r="L269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17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1.4601733292400874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0.88025911677620094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3.3197989389730198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0.88025911677620094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3.3197989389730198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1</v>
      </c>
      <c r="W269" s="5">
        <f>IF((DiscreteStatsTable[[#This Row],[RepsRequested]]&gt;1),DiscreteStatsTable[[#This Row],[HalfWidth]],DiscreteStatsTable[[#This Row],[BatchMeansHalfWidth]])</f>
        <v>0.32098629890586861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17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67</v>
      </c>
      <c r="B270" t="s">
        <v>69</v>
      </c>
      <c r="C270">
        <v>14</v>
      </c>
      <c r="D270" t="s">
        <v>93</v>
      </c>
      <c r="E270" t="s">
        <v>79</v>
      </c>
      <c r="F270" t="s">
        <v>80</v>
      </c>
      <c r="G270">
        <v>1.28553288245671</v>
      </c>
      <c r="H270">
        <v>2E+20</v>
      </c>
      <c r="I270">
        <v>1.28553288245671</v>
      </c>
      <c r="J270">
        <v>1.28553288245671</v>
      </c>
      <c r="K270">
        <v>1</v>
      </c>
      <c r="L270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17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1.4601733292400874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0.88025911677620094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3.3197989389730198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0.88025911677620094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3.3197989389730198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1</v>
      </c>
      <c r="W270" s="5">
        <f>IF((DiscreteStatsTable[[#This Row],[RepsRequested]]&gt;1),DiscreteStatsTable[[#This Row],[HalfWidth]],DiscreteStatsTable[[#This Row],[BatchMeansHalfWidth]])</f>
        <v>0.32098629890586861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17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67</v>
      </c>
      <c r="B271" t="s">
        <v>69</v>
      </c>
      <c r="C271">
        <v>15</v>
      </c>
      <c r="D271" t="s">
        <v>93</v>
      </c>
      <c r="E271" t="s">
        <v>79</v>
      </c>
      <c r="F271" t="s">
        <v>80</v>
      </c>
      <c r="G271">
        <v>1.6635204096590599</v>
      </c>
      <c r="H271">
        <v>2E+20</v>
      </c>
      <c r="I271">
        <v>1.6635204096590599</v>
      </c>
      <c r="J271">
        <v>1.6635204096590599</v>
      </c>
      <c r="K271">
        <v>1</v>
      </c>
      <c r="L271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17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1.4601733292400874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0.88025911677620094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3.3197989389730198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0.88025911677620094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3.3197989389730198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1</v>
      </c>
      <c r="W271" s="5">
        <f>IF((DiscreteStatsTable[[#This Row],[RepsRequested]]&gt;1),DiscreteStatsTable[[#This Row],[HalfWidth]],DiscreteStatsTable[[#This Row],[BatchMeansHalfWidth]])</f>
        <v>0.32098629890586861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17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67</v>
      </c>
      <c r="B272" t="s">
        <v>69</v>
      </c>
      <c r="C272">
        <v>16</v>
      </c>
      <c r="D272" t="s">
        <v>93</v>
      </c>
      <c r="E272" t="s">
        <v>79</v>
      </c>
      <c r="F272" t="s">
        <v>80</v>
      </c>
      <c r="G272">
        <v>1.2870839391715601</v>
      </c>
      <c r="H272">
        <v>2E+20</v>
      </c>
      <c r="I272">
        <v>1.2870839391715601</v>
      </c>
      <c r="J272">
        <v>1.2870839391715601</v>
      </c>
      <c r="K272">
        <v>1</v>
      </c>
      <c r="L272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17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1.4601733292400874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0.88025911677620094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3.3197989389730198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0.88025911677620094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3.3197989389730198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1</v>
      </c>
      <c r="W272" s="5">
        <f>IF((DiscreteStatsTable[[#This Row],[RepsRequested]]&gt;1),DiscreteStatsTable[[#This Row],[HalfWidth]],DiscreteStatsTable[[#This Row],[BatchMeansHalfWidth]])</f>
        <v>0.32098629890586861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17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67</v>
      </c>
      <c r="B273" t="s">
        <v>69</v>
      </c>
      <c r="C273">
        <v>17</v>
      </c>
      <c r="D273" t="s">
        <v>93</v>
      </c>
      <c r="E273" t="s">
        <v>79</v>
      </c>
      <c r="F273" t="s">
        <v>80</v>
      </c>
      <c r="G273">
        <v>1.1730857177849401</v>
      </c>
      <c r="H273">
        <v>2E+20</v>
      </c>
      <c r="I273">
        <v>1.1730857177849401</v>
      </c>
      <c r="J273">
        <v>1.1730857177849401</v>
      </c>
      <c r="K273">
        <v>1</v>
      </c>
      <c r="L273" s="5" t="str">
        <f>DiscreteStatsTable[[#This Row],[ProjectName]]&amp;DiscreteStatsTable[[#This Row],[Name]]&amp;DiscreteStatsTable[[#This Row],[Type]]&amp;DiscreteStatsTable[[#This Row],[Source]]</f>
        <v>Weekend (base)EsperaPedidoH1ExpressionUser Specified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17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1.4601733292400874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0.62430166821657107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0.32098629890586861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0.88025911677620094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3.3197989389730198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0.88025911677620094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3.3197989389730198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1</v>
      </c>
      <c r="W273" s="5">
        <f>IF((DiscreteStatsTable[[#This Row],[RepsRequested]]&gt;1),DiscreteStatsTable[[#This Row],[HalfWidth]],DiscreteStatsTable[[#This Row],[BatchMeansHalfWidth]])</f>
        <v>0.32098629890586861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17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67</v>
      </c>
      <c r="B274" t="s">
        <v>69</v>
      </c>
      <c r="C274">
        <v>1</v>
      </c>
      <c r="D274" t="s">
        <v>94</v>
      </c>
      <c r="E274" t="s">
        <v>79</v>
      </c>
      <c r="F274" t="s">
        <v>80</v>
      </c>
      <c r="G274">
        <v>1.3841696754536701</v>
      </c>
      <c r="H274">
        <v>2E+20</v>
      </c>
      <c r="I274">
        <v>1.3841696754536701</v>
      </c>
      <c r="J274">
        <v>1.3841696754536701</v>
      </c>
      <c r="K274">
        <v>1</v>
      </c>
      <c r="L274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17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1.3931747870060993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0.88270130339863795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2.7062728135588401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0.88270130339863795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2.7062728135588401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1</v>
      </c>
      <c r="W274" s="5">
        <f>IF((DiscreteStatsTable[[#This Row],[RepsRequested]]&gt;1),DiscreteStatsTable[[#This Row],[HalfWidth]],DiscreteStatsTable[[#This Row],[BatchMeansHalfWidth]])</f>
        <v>0.24797848989541821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17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67</v>
      </c>
      <c r="B275" t="s">
        <v>69</v>
      </c>
      <c r="C275">
        <v>2</v>
      </c>
      <c r="D275" t="s">
        <v>94</v>
      </c>
      <c r="E275" t="s">
        <v>79</v>
      </c>
      <c r="F275" t="s">
        <v>80</v>
      </c>
      <c r="G275">
        <v>1.24026757621777</v>
      </c>
      <c r="H275">
        <v>2E+20</v>
      </c>
      <c r="I275">
        <v>1.24026757621777</v>
      </c>
      <c r="J275">
        <v>1.24026757621777</v>
      </c>
      <c r="K275">
        <v>1</v>
      </c>
      <c r="L275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17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1.3931747870060993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0.88270130339863795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2.7062728135588401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0.88270130339863795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2.7062728135588401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1</v>
      </c>
      <c r="W275" s="5">
        <f>IF((DiscreteStatsTable[[#This Row],[RepsRequested]]&gt;1),DiscreteStatsTable[[#This Row],[HalfWidth]],DiscreteStatsTable[[#This Row],[BatchMeansHalfWidth]])</f>
        <v>0.24797848989541821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17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67</v>
      </c>
      <c r="B276" t="s">
        <v>69</v>
      </c>
      <c r="C276">
        <v>3</v>
      </c>
      <c r="D276" t="s">
        <v>94</v>
      </c>
      <c r="E276" t="s">
        <v>79</v>
      </c>
      <c r="F276" t="s">
        <v>80</v>
      </c>
      <c r="G276">
        <v>2.3220938593793701</v>
      </c>
      <c r="H276">
        <v>2E+20</v>
      </c>
      <c r="I276">
        <v>2.3220938593793701</v>
      </c>
      <c r="J276">
        <v>2.3220938593793701</v>
      </c>
      <c r="K276">
        <v>1</v>
      </c>
      <c r="L276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17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1.3931747870060993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0.88270130339863795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2.7062728135588401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0.88270130339863795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2.7062728135588401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1</v>
      </c>
      <c r="W276" s="5">
        <f>IF((DiscreteStatsTable[[#This Row],[RepsRequested]]&gt;1),DiscreteStatsTable[[#This Row],[HalfWidth]],DiscreteStatsTable[[#This Row],[BatchMeansHalfWidth]])</f>
        <v>0.24797848989541821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17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67</v>
      </c>
      <c r="B277" t="s">
        <v>69</v>
      </c>
      <c r="C277">
        <v>4</v>
      </c>
      <c r="D277" t="s">
        <v>94</v>
      </c>
      <c r="E277" t="s">
        <v>79</v>
      </c>
      <c r="F277" t="s">
        <v>80</v>
      </c>
      <c r="G277">
        <v>1.37692357093614</v>
      </c>
      <c r="H277">
        <v>2E+20</v>
      </c>
      <c r="I277">
        <v>1.37692357093614</v>
      </c>
      <c r="J277">
        <v>1.37692357093614</v>
      </c>
      <c r="K277">
        <v>1</v>
      </c>
      <c r="L277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17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1.3931747870060993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0.88270130339863795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2.7062728135588401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0.88270130339863795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2.7062728135588401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1</v>
      </c>
      <c r="W277" s="5">
        <f>IF((DiscreteStatsTable[[#This Row],[RepsRequested]]&gt;1),DiscreteStatsTable[[#This Row],[HalfWidth]],DiscreteStatsTable[[#This Row],[BatchMeansHalfWidth]])</f>
        <v>0.24797848989541821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17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67</v>
      </c>
      <c r="B278" t="s">
        <v>69</v>
      </c>
      <c r="C278">
        <v>5</v>
      </c>
      <c r="D278" t="s">
        <v>94</v>
      </c>
      <c r="E278" t="s">
        <v>79</v>
      </c>
      <c r="F278" t="s">
        <v>80</v>
      </c>
      <c r="G278">
        <v>1.0704172636012701</v>
      </c>
      <c r="H278">
        <v>2E+20</v>
      </c>
      <c r="I278">
        <v>1.0704172636012701</v>
      </c>
      <c r="J278">
        <v>1.0704172636012701</v>
      </c>
      <c r="K278">
        <v>1</v>
      </c>
      <c r="L278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17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1.3931747870060993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0.88270130339863795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2.7062728135588401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0.88270130339863795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2.7062728135588401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1</v>
      </c>
      <c r="W278" s="5">
        <f>IF((DiscreteStatsTable[[#This Row],[RepsRequested]]&gt;1),DiscreteStatsTable[[#This Row],[HalfWidth]],DiscreteStatsTable[[#This Row],[BatchMeansHalfWidth]])</f>
        <v>0.24797848989541821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17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67</v>
      </c>
      <c r="B279" t="s">
        <v>69</v>
      </c>
      <c r="C279">
        <v>6</v>
      </c>
      <c r="D279" t="s">
        <v>94</v>
      </c>
      <c r="E279" t="s">
        <v>79</v>
      </c>
      <c r="F279" t="s">
        <v>80</v>
      </c>
      <c r="G279">
        <v>0.96527405138748501</v>
      </c>
      <c r="H279">
        <v>2E+20</v>
      </c>
      <c r="I279">
        <v>0.96527405138748501</v>
      </c>
      <c r="J279">
        <v>0.96527405138748501</v>
      </c>
      <c r="K279">
        <v>1</v>
      </c>
      <c r="L279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17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1.3931747870060993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0.88270130339863795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2.7062728135588401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0.88270130339863795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2.7062728135588401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1</v>
      </c>
      <c r="W279" s="5">
        <f>IF((DiscreteStatsTable[[#This Row],[RepsRequested]]&gt;1),DiscreteStatsTable[[#This Row],[HalfWidth]],DiscreteStatsTable[[#This Row],[BatchMeansHalfWidth]])</f>
        <v>0.24797848989541821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17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67</v>
      </c>
      <c r="B280" t="s">
        <v>69</v>
      </c>
      <c r="C280">
        <v>7</v>
      </c>
      <c r="D280" t="s">
        <v>94</v>
      </c>
      <c r="E280" t="s">
        <v>79</v>
      </c>
      <c r="F280" t="s">
        <v>80</v>
      </c>
      <c r="G280">
        <v>1.1947647700269</v>
      </c>
      <c r="H280">
        <v>2E+20</v>
      </c>
      <c r="I280">
        <v>1.1947647700269</v>
      </c>
      <c r="J280">
        <v>1.1947647700269</v>
      </c>
      <c r="K280">
        <v>1</v>
      </c>
      <c r="L280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17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1.3931747870060993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0.88270130339863795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2.7062728135588401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0.88270130339863795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2.7062728135588401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1</v>
      </c>
      <c r="W280" s="5">
        <f>IF((DiscreteStatsTable[[#This Row],[RepsRequested]]&gt;1),DiscreteStatsTable[[#This Row],[HalfWidth]],DiscreteStatsTable[[#This Row],[BatchMeansHalfWidth]])</f>
        <v>0.24797848989541821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17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67</v>
      </c>
      <c r="B281" t="s">
        <v>69</v>
      </c>
      <c r="C281">
        <v>8</v>
      </c>
      <c r="D281" t="s">
        <v>94</v>
      </c>
      <c r="E281" t="s">
        <v>79</v>
      </c>
      <c r="F281" t="s">
        <v>80</v>
      </c>
      <c r="G281">
        <v>2.7062728135588401</v>
      </c>
      <c r="H281">
        <v>2E+20</v>
      </c>
      <c r="I281">
        <v>2.7062728135588401</v>
      </c>
      <c r="J281">
        <v>2.7062728135588401</v>
      </c>
      <c r="K281">
        <v>1</v>
      </c>
      <c r="L281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17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1.3931747870060993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0.88270130339863795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2.7062728135588401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0.88270130339863795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2.7062728135588401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1</v>
      </c>
      <c r="W281" s="5">
        <f>IF((DiscreteStatsTable[[#This Row],[RepsRequested]]&gt;1),DiscreteStatsTable[[#This Row],[HalfWidth]],DiscreteStatsTable[[#This Row],[BatchMeansHalfWidth]])</f>
        <v>0.24797848989541821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17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67</v>
      </c>
      <c r="B282" t="s">
        <v>69</v>
      </c>
      <c r="C282">
        <v>9</v>
      </c>
      <c r="D282" t="s">
        <v>94</v>
      </c>
      <c r="E282" t="s">
        <v>79</v>
      </c>
      <c r="F282" t="s">
        <v>80</v>
      </c>
      <c r="G282">
        <v>1.60877337091336</v>
      </c>
      <c r="H282">
        <v>2E+20</v>
      </c>
      <c r="I282">
        <v>1.60877337091336</v>
      </c>
      <c r="J282">
        <v>1.60877337091336</v>
      </c>
      <c r="K282">
        <v>1</v>
      </c>
      <c r="L282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17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1.3931747870060993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0.88270130339863795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2.7062728135588401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0.88270130339863795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2.7062728135588401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1</v>
      </c>
      <c r="W282" s="5">
        <f>IF((DiscreteStatsTable[[#This Row],[RepsRequested]]&gt;1),DiscreteStatsTable[[#This Row],[HalfWidth]],DiscreteStatsTable[[#This Row],[BatchMeansHalfWidth]])</f>
        <v>0.24797848989541821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17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67</v>
      </c>
      <c r="B283" t="s">
        <v>69</v>
      </c>
      <c r="C283">
        <v>10</v>
      </c>
      <c r="D283" t="s">
        <v>94</v>
      </c>
      <c r="E283" t="s">
        <v>79</v>
      </c>
      <c r="F283" t="s">
        <v>80</v>
      </c>
      <c r="G283">
        <v>1.36587309092432</v>
      </c>
      <c r="H283">
        <v>2E+20</v>
      </c>
      <c r="I283">
        <v>1.36587309092432</v>
      </c>
      <c r="J283">
        <v>1.36587309092432</v>
      </c>
      <c r="K283">
        <v>1</v>
      </c>
      <c r="L283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17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1.3931747870060993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0.88270130339863795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2.7062728135588401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0.88270130339863795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2.7062728135588401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1</v>
      </c>
      <c r="W283" s="5">
        <f>IF((DiscreteStatsTable[[#This Row],[RepsRequested]]&gt;1),DiscreteStatsTable[[#This Row],[HalfWidth]],DiscreteStatsTable[[#This Row],[BatchMeansHalfWidth]])</f>
        <v>0.24797848989541821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17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67</v>
      </c>
      <c r="B284" t="s">
        <v>69</v>
      </c>
      <c r="C284">
        <v>11</v>
      </c>
      <c r="D284" t="s">
        <v>94</v>
      </c>
      <c r="E284" t="s">
        <v>79</v>
      </c>
      <c r="F284" t="s">
        <v>80</v>
      </c>
      <c r="G284">
        <v>0.88270130339863795</v>
      </c>
      <c r="H284">
        <v>2E+20</v>
      </c>
      <c r="I284">
        <v>0.88270130339863795</v>
      </c>
      <c r="J284">
        <v>0.88270130339863795</v>
      </c>
      <c r="K284">
        <v>1</v>
      </c>
      <c r="L284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17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1.3931747870060993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0.88270130339863795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2.7062728135588401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0.88270130339863795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2.7062728135588401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1</v>
      </c>
      <c r="W284" s="5">
        <f>IF((DiscreteStatsTable[[#This Row],[RepsRequested]]&gt;1),DiscreteStatsTable[[#This Row],[HalfWidth]],DiscreteStatsTable[[#This Row],[BatchMeansHalfWidth]])</f>
        <v>0.24797848989541821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17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67</v>
      </c>
      <c r="B285" t="s">
        <v>69</v>
      </c>
      <c r="C285">
        <v>12</v>
      </c>
      <c r="D285" t="s">
        <v>94</v>
      </c>
      <c r="E285" t="s">
        <v>79</v>
      </c>
      <c r="F285" t="s">
        <v>80</v>
      </c>
      <c r="G285">
        <v>1.76273585007072</v>
      </c>
      <c r="H285">
        <v>2E+20</v>
      </c>
      <c r="I285">
        <v>1.76273585007072</v>
      </c>
      <c r="J285">
        <v>1.76273585007072</v>
      </c>
      <c r="K285">
        <v>1</v>
      </c>
      <c r="L285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17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1.3931747870060993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0.88270130339863795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2.7062728135588401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0.88270130339863795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2.7062728135588401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1</v>
      </c>
      <c r="W285" s="5">
        <f>IF((DiscreteStatsTable[[#This Row],[RepsRequested]]&gt;1),DiscreteStatsTable[[#This Row],[HalfWidth]],DiscreteStatsTable[[#This Row],[BatchMeansHalfWidth]])</f>
        <v>0.24797848989541821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17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67</v>
      </c>
      <c r="B286" t="s">
        <v>69</v>
      </c>
      <c r="C286">
        <v>13</v>
      </c>
      <c r="D286" t="s">
        <v>94</v>
      </c>
      <c r="E286" t="s">
        <v>79</v>
      </c>
      <c r="F286" t="s">
        <v>80</v>
      </c>
      <c r="G286">
        <v>1.20218288482283</v>
      </c>
      <c r="H286">
        <v>2E+20</v>
      </c>
      <c r="I286">
        <v>1.20218288482283</v>
      </c>
      <c r="J286">
        <v>1.20218288482283</v>
      </c>
      <c r="K286">
        <v>1</v>
      </c>
      <c r="L286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17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1.3931747870060993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0.88270130339863795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2.7062728135588401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0.88270130339863795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2.7062728135588401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1</v>
      </c>
      <c r="W286" s="5">
        <f>IF((DiscreteStatsTable[[#This Row],[RepsRequested]]&gt;1),DiscreteStatsTable[[#This Row],[HalfWidth]],DiscreteStatsTable[[#This Row],[BatchMeansHalfWidth]])</f>
        <v>0.24797848989541821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17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67</v>
      </c>
      <c r="B287" t="s">
        <v>69</v>
      </c>
      <c r="C287">
        <v>14</v>
      </c>
      <c r="D287" t="s">
        <v>94</v>
      </c>
      <c r="E287" t="s">
        <v>79</v>
      </c>
      <c r="F287" t="s">
        <v>80</v>
      </c>
      <c r="G287">
        <v>1.1308884764471201</v>
      </c>
      <c r="H287">
        <v>2E+20</v>
      </c>
      <c r="I287">
        <v>1.1308884764471201</v>
      </c>
      <c r="J287">
        <v>1.1308884764471201</v>
      </c>
      <c r="K287">
        <v>1</v>
      </c>
      <c r="L287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17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1.3931747870060993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0.88270130339863795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2.7062728135588401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0.88270130339863795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2.7062728135588401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1</v>
      </c>
      <c r="W287" s="5">
        <f>IF((DiscreteStatsTable[[#This Row],[RepsRequested]]&gt;1),DiscreteStatsTable[[#This Row],[HalfWidth]],DiscreteStatsTable[[#This Row],[BatchMeansHalfWidth]])</f>
        <v>0.24797848989541821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17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67</v>
      </c>
      <c r="B288" t="s">
        <v>69</v>
      </c>
      <c r="C288">
        <v>15</v>
      </c>
      <c r="D288" t="s">
        <v>94</v>
      </c>
      <c r="E288" t="s">
        <v>79</v>
      </c>
      <c r="F288" t="s">
        <v>80</v>
      </c>
      <c r="G288">
        <v>1.3499233241266899</v>
      </c>
      <c r="H288">
        <v>2E+20</v>
      </c>
      <c r="I288">
        <v>1.3499233241266899</v>
      </c>
      <c r="J288">
        <v>1.3499233241266899</v>
      </c>
      <c r="K288">
        <v>1</v>
      </c>
      <c r="L288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17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1.3931747870060993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0.88270130339863795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2.7062728135588401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0.88270130339863795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2.7062728135588401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1</v>
      </c>
      <c r="W288" s="5">
        <f>IF((DiscreteStatsTable[[#This Row],[RepsRequested]]&gt;1),DiscreteStatsTable[[#This Row],[HalfWidth]],DiscreteStatsTable[[#This Row],[BatchMeansHalfWidth]])</f>
        <v>0.24797848989541821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17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67</v>
      </c>
      <c r="B289" t="s">
        <v>69</v>
      </c>
      <c r="C289">
        <v>16</v>
      </c>
      <c r="D289" t="s">
        <v>94</v>
      </c>
      <c r="E289" t="s">
        <v>79</v>
      </c>
      <c r="F289" t="s">
        <v>80</v>
      </c>
      <c r="G289">
        <v>0.98503735547309401</v>
      </c>
      <c r="H289">
        <v>2E+20</v>
      </c>
      <c r="I289">
        <v>0.98503735547309401</v>
      </c>
      <c r="J289">
        <v>0.98503735547309401</v>
      </c>
      <c r="K289">
        <v>1</v>
      </c>
      <c r="L289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17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1.3931747870060993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0.88270130339863795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2.7062728135588401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0.88270130339863795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2.7062728135588401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1</v>
      </c>
      <c r="W289" s="5">
        <f>IF((DiscreteStatsTable[[#This Row],[RepsRequested]]&gt;1),DiscreteStatsTable[[#This Row],[HalfWidth]],DiscreteStatsTable[[#This Row],[BatchMeansHalfWidth]])</f>
        <v>0.24797848989541821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17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67</v>
      </c>
      <c r="B290" t="s">
        <v>69</v>
      </c>
      <c r="C290">
        <v>17</v>
      </c>
      <c r="D290" t="s">
        <v>94</v>
      </c>
      <c r="E290" t="s">
        <v>79</v>
      </c>
      <c r="F290" t="s">
        <v>80</v>
      </c>
      <c r="G290">
        <v>1.1356721423654801</v>
      </c>
      <c r="H290">
        <v>2E+20</v>
      </c>
      <c r="I290">
        <v>1.1356721423654801</v>
      </c>
      <c r="J290">
        <v>1.1356721423654801</v>
      </c>
      <c r="K290">
        <v>1</v>
      </c>
      <c r="L290" s="5" t="str">
        <f>DiscreteStatsTable[[#This Row],[ProjectName]]&amp;DiscreteStatsTable[[#This Row],[Name]]&amp;DiscreteStatsTable[[#This Row],[Type]]&amp;DiscreteStatsTable[[#This Row],[Source]]</f>
        <v>Weekend (base)EsperaPedidoH2ExpressionUser Specified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17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1.3931747870060993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0.48230527424765807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0.24797848989541821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0.88270130339863795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2.7062728135588401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0.88270130339863795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2.7062728135588401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1</v>
      </c>
      <c r="W290" s="5">
        <f>IF((DiscreteStatsTable[[#This Row],[RepsRequested]]&gt;1),DiscreteStatsTable[[#This Row],[HalfWidth]],DiscreteStatsTable[[#This Row],[BatchMeansHalfWidth]])</f>
        <v>0.24797848989541821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17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67</v>
      </c>
      <c r="B291" t="s">
        <v>69</v>
      </c>
      <c r="C291">
        <v>1</v>
      </c>
      <c r="D291" t="s">
        <v>95</v>
      </c>
      <c r="E291" t="s">
        <v>79</v>
      </c>
      <c r="F291" t="s">
        <v>80</v>
      </c>
      <c r="G291">
        <v>1.2201107501661801</v>
      </c>
      <c r="H291">
        <v>2E+20</v>
      </c>
      <c r="I291">
        <v>1.2201107501661801</v>
      </c>
      <c r="J291">
        <v>1.2201107501661801</v>
      </c>
      <c r="K291">
        <v>1</v>
      </c>
      <c r="L291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17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1.3542647972866195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0.85883485461918996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2.2660130562086702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0.85883485461918996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2.2660130562086702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1</v>
      </c>
      <c r="W291" s="5">
        <f>IF((DiscreteStatsTable[[#This Row],[RepsRequested]]&gt;1),DiscreteStatsTable[[#This Row],[HalfWidth]],DiscreteStatsTable[[#This Row],[BatchMeansHalfWidth]])</f>
        <v>0.18991129693731779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17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67</v>
      </c>
      <c r="B292" t="s">
        <v>69</v>
      </c>
      <c r="C292">
        <v>2</v>
      </c>
      <c r="D292" t="s">
        <v>95</v>
      </c>
      <c r="E292" t="s">
        <v>79</v>
      </c>
      <c r="F292" t="s">
        <v>80</v>
      </c>
      <c r="G292">
        <v>1.4434643602465</v>
      </c>
      <c r="H292">
        <v>2E+20</v>
      </c>
      <c r="I292">
        <v>1.4434643602465</v>
      </c>
      <c r="J292">
        <v>1.4434643602465</v>
      </c>
      <c r="K292">
        <v>1</v>
      </c>
      <c r="L292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17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1.3542647972866195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0.85883485461918996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2.2660130562086702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0.85883485461918996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2.2660130562086702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1</v>
      </c>
      <c r="W292" s="5">
        <f>IF((DiscreteStatsTable[[#This Row],[RepsRequested]]&gt;1),DiscreteStatsTable[[#This Row],[HalfWidth]],DiscreteStatsTable[[#This Row],[BatchMeansHalfWidth]])</f>
        <v>0.18991129693731779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17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67</v>
      </c>
      <c r="B293" t="s">
        <v>69</v>
      </c>
      <c r="C293">
        <v>3</v>
      </c>
      <c r="D293" t="s">
        <v>95</v>
      </c>
      <c r="E293" t="s">
        <v>79</v>
      </c>
      <c r="F293" t="s">
        <v>80</v>
      </c>
      <c r="G293">
        <v>1.9414346421079001</v>
      </c>
      <c r="H293">
        <v>2E+20</v>
      </c>
      <c r="I293">
        <v>1.9414346421079001</v>
      </c>
      <c r="J293">
        <v>1.9414346421079001</v>
      </c>
      <c r="K293">
        <v>1</v>
      </c>
      <c r="L293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17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1.3542647972866195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0.85883485461918996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2.2660130562086702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0.85883485461918996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2.2660130562086702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1</v>
      </c>
      <c r="W293" s="5">
        <f>IF((DiscreteStatsTable[[#This Row],[RepsRequested]]&gt;1),DiscreteStatsTable[[#This Row],[HalfWidth]],DiscreteStatsTable[[#This Row],[BatchMeansHalfWidth]])</f>
        <v>0.18991129693731779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17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67</v>
      </c>
      <c r="B294" t="s">
        <v>69</v>
      </c>
      <c r="C294">
        <v>4</v>
      </c>
      <c r="D294" t="s">
        <v>95</v>
      </c>
      <c r="E294" t="s">
        <v>79</v>
      </c>
      <c r="F294" t="s">
        <v>80</v>
      </c>
      <c r="G294">
        <v>1.2295176277472</v>
      </c>
      <c r="H294">
        <v>2E+20</v>
      </c>
      <c r="I294">
        <v>1.2295176277472</v>
      </c>
      <c r="J294">
        <v>1.2295176277472</v>
      </c>
      <c r="K294">
        <v>1</v>
      </c>
      <c r="L294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17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1.3542647972866195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0.85883485461918996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2.2660130562086702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0.85883485461918996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2.2660130562086702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1</v>
      </c>
      <c r="W294" s="5">
        <f>IF((DiscreteStatsTable[[#This Row],[RepsRequested]]&gt;1),DiscreteStatsTable[[#This Row],[HalfWidth]],DiscreteStatsTable[[#This Row],[BatchMeansHalfWidth]])</f>
        <v>0.18991129693731779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17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67</v>
      </c>
      <c r="B295" t="s">
        <v>69</v>
      </c>
      <c r="C295">
        <v>5</v>
      </c>
      <c r="D295" t="s">
        <v>95</v>
      </c>
      <c r="E295" t="s">
        <v>79</v>
      </c>
      <c r="F295" t="s">
        <v>80</v>
      </c>
      <c r="G295">
        <v>1.18924202263693</v>
      </c>
      <c r="H295">
        <v>2E+20</v>
      </c>
      <c r="I295">
        <v>1.18924202263693</v>
      </c>
      <c r="J295">
        <v>1.18924202263693</v>
      </c>
      <c r="K295">
        <v>1</v>
      </c>
      <c r="L295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17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1.3542647972866195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0.85883485461918996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2.2660130562086702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0.85883485461918996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2.2660130562086702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1</v>
      </c>
      <c r="W295" s="5">
        <f>IF((DiscreteStatsTable[[#This Row],[RepsRequested]]&gt;1),DiscreteStatsTable[[#This Row],[HalfWidth]],DiscreteStatsTable[[#This Row],[BatchMeansHalfWidth]])</f>
        <v>0.18991129693731779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17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67</v>
      </c>
      <c r="B296" t="s">
        <v>69</v>
      </c>
      <c r="C296">
        <v>6</v>
      </c>
      <c r="D296" t="s">
        <v>95</v>
      </c>
      <c r="E296" t="s">
        <v>79</v>
      </c>
      <c r="F296" t="s">
        <v>80</v>
      </c>
      <c r="G296">
        <v>0.85883485461918996</v>
      </c>
      <c r="H296">
        <v>2E+20</v>
      </c>
      <c r="I296">
        <v>0.85883485461918996</v>
      </c>
      <c r="J296">
        <v>0.85883485461918996</v>
      </c>
      <c r="K296">
        <v>1</v>
      </c>
      <c r="L296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17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1.3542647972866195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0.85883485461918996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2.2660130562086702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0.85883485461918996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2.2660130562086702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1</v>
      </c>
      <c r="W296" s="5">
        <f>IF((DiscreteStatsTable[[#This Row],[RepsRequested]]&gt;1),DiscreteStatsTable[[#This Row],[HalfWidth]],DiscreteStatsTable[[#This Row],[BatchMeansHalfWidth]])</f>
        <v>0.18991129693731779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17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67</v>
      </c>
      <c r="B297" t="s">
        <v>69</v>
      </c>
      <c r="C297">
        <v>7</v>
      </c>
      <c r="D297" t="s">
        <v>95</v>
      </c>
      <c r="E297" t="s">
        <v>79</v>
      </c>
      <c r="F297" t="s">
        <v>80</v>
      </c>
      <c r="G297">
        <v>1.12758700607416</v>
      </c>
      <c r="H297">
        <v>2E+20</v>
      </c>
      <c r="I297">
        <v>1.12758700607416</v>
      </c>
      <c r="J297">
        <v>1.12758700607416</v>
      </c>
      <c r="K297">
        <v>1</v>
      </c>
      <c r="L297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17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1.3542647972866195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0.85883485461918996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2.2660130562086702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0.85883485461918996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2.2660130562086702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1</v>
      </c>
      <c r="W297" s="5">
        <f>IF((DiscreteStatsTable[[#This Row],[RepsRequested]]&gt;1),DiscreteStatsTable[[#This Row],[HalfWidth]],DiscreteStatsTable[[#This Row],[BatchMeansHalfWidth]])</f>
        <v>0.18991129693731779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17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67</v>
      </c>
      <c r="B298" t="s">
        <v>69</v>
      </c>
      <c r="C298">
        <v>8</v>
      </c>
      <c r="D298" t="s">
        <v>95</v>
      </c>
      <c r="E298" t="s">
        <v>79</v>
      </c>
      <c r="F298" t="s">
        <v>80</v>
      </c>
      <c r="G298">
        <v>2.2660130562086702</v>
      </c>
      <c r="H298">
        <v>2E+20</v>
      </c>
      <c r="I298">
        <v>2.2660130562086702</v>
      </c>
      <c r="J298">
        <v>2.2660130562086702</v>
      </c>
      <c r="K298">
        <v>1</v>
      </c>
      <c r="L298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17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1.3542647972866195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0.85883485461918996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2.2660130562086702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0.85883485461918996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2.2660130562086702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1</v>
      </c>
      <c r="W298" s="5">
        <f>IF((DiscreteStatsTable[[#This Row],[RepsRequested]]&gt;1),DiscreteStatsTable[[#This Row],[HalfWidth]],DiscreteStatsTable[[#This Row],[BatchMeansHalfWidth]])</f>
        <v>0.18991129693731779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17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67</v>
      </c>
      <c r="B299" t="s">
        <v>69</v>
      </c>
      <c r="C299">
        <v>9</v>
      </c>
      <c r="D299" t="s">
        <v>95</v>
      </c>
      <c r="E299" t="s">
        <v>79</v>
      </c>
      <c r="F299" t="s">
        <v>80</v>
      </c>
      <c r="G299">
        <v>1.3735330804072501</v>
      </c>
      <c r="H299">
        <v>2E+20</v>
      </c>
      <c r="I299">
        <v>1.3735330804072501</v>
      </c>
      <c r="J299">
        <v>1.3735330804072501</v>
      </c>
      <c r="K299">
        <v>1</v>
      </c>
      <c r="L299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17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1.3542647972866195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0.36936760196705204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0.85883485461918996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2.2660130562086702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0.85883485461918996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2.2660130562086702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1</v>
      </c>
      <c r="W299" s="5">
        <f>IF((DiscreteStatsTable[[#This Row],[RepsRequested]]&gt;1),DiscreteStatsTable[[#This Row],[HalfWidth]],DiscreteStatsTable[[#This Row],[BatchMeansHalfWidth]])</f>
        <v>0.18991129693731779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17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67</v>
      </c>
      <c r="B300" t="s">
        <v>69</v>
      </c>
      <c r="C300">
        <v>10</v>
      </c>
      <c r="D300" t="s">
        <v>95</v>
      </c>
      <c r="E300" t="s">
        <v>79</v>
      </c>
      <c r="F300" t="s">
        <v>80</v>
      </c>
      <c r="G300">
        <v>1.4847730644972701</v>
      </c>
      <c r="H300">
        <v>2E+20</v>
      </c>
      <c r="I300">
        <v>1.4847730644972701</v>
      </c>
      <c r="J300">
        <v>1.4847730644972701</v>
      </c>
      <c r="K300">
        <v>1</v>
      </c>
      <c r="L300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17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1.3542647972866195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0.36936760196705204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0.85883485461918996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2.2660130562086702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0.85883485461918996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2.2660130562086702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1</v>
      </c>
      <c r="W300" s="5">
        <f>IF((DiscreteStatsTable[[#This Row],[RepsRequested]]&gt;1),DiscreteStatsTable[[#This Row],[HalfWidth]],DiscreteStatsTable[[#This Row],[BatchMeansHalfWidth]])</f>
        <v>0.18991129693731779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17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67</v>
      </c>
      <c r="B301" t="s">
        <v>69</v>
      </c>
      <c r="C301">
        <v>11</v>
      </c>
      <c r="D301" t="s">
        <v>95</v>
      </c>
      <c r="E301" t="s">
        <v>79</v>
      </c>
      <c r="F301" t="s">
        <v>80</v>
      </c>
      <c r="G301">
        <v>1.05132264521858</v>
      </c>
      <c r="H301">
        <v>2E+20</v>
      </c>
      <c r="I301">
        <v>1.05132264521858</v>
      </c>
      <c r="J301">
        <v>1.05132264521858</v>
      </c>
      <c r="K301">
        <v>1</v>
      </c>
      <c r="L301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17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1.3542647972866195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0.36936760196705204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0.85883485461918996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2.2660130562086702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0.85883485461918996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2.2660130562086702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1</v>
      </c>
      <c r="W301" s="5">
        <f>IF((DiscreteStatsTable[[#This Row],[RepsRequested]]&gt;1),DiscreteStatsTable[[#This Row],[HalfWidth]],DiscreteStatsTable[[#This Row],[BatchMeansHalfWidth]])</f>
        <v>0.18991129693731779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17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67</v>
      </c>
      <c r="B302" t="s">
        <v>69</v>
      </c>
      <c r="C302">
        <v>12</v>
      </c>
      <c r="D302" t="s">
        <v>95</v>
      </c>
      <c r="E302" t="s">
        <v>79</v>
      </c>
      <c r="F302" t="s">
        <v>80</v>
      </c>
      <c r="G302">
        <v>1.5258620818787101</v>
      </c>
      <c r="H302">
        <v>2E+20</v>
      </c>
      <c r="I302">
        <v>1.5258620818787101</v>
      </c>
      <c r="J302">
        <v>1.5258620818787101</v>
      </c>
      <c r="K302">
        <v>1</v>
      </c>
      <c r="L302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17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1.3542647972866195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0.36936760196705204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0.85883485461918996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2.2660130562086702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0.85883485461918996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2.2660130562086702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1</v>
      </c>
      <c r="W302" s="5">
        <f>IF((DiscreteStatsTable[[#This Row],[RepsRequested]]&gt;1),DiscreteStatsTable[[#This Row],[HalfWidth]],DiscreteStatsTable[[#This Row],[BatchMeansHalfWidth]])</f>
        <v>0.18991129693731779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17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67</v>
      </c>
      <c r="B303" t="s">
        <v>69</v>
      </c>
      <c r="C303">
        <v>13</v>
      </c>
      <c r="D303" t="s">
        <v>95</v>
      </c>
      <c r="E303" t="s">
        <v>79</v>
      </c>
      <c r="F303" t="s">
        <v>80</v>
      </c>
      <c r="G303">
        <v>1.1779908719536001</v>
      </c>
      <c r="H303">
        <v>2E+20</v>
      </c>
      <c r="I303">
        <v>1.1779908719536001</v>
      </c>
      <c r="J303">
        <v>1.1779908719536001</v>
      </c>
      <c r="K303">
        <v>1</v>
      </c>
      <c r="L303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17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1.3542647972866195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0.36936760196705204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0.85883485461918996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2.2660130562086702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0.85883485461918996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2.2660130562086702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1</v>
      </c>
      <c r="W303" s="5">
        <f>IF((DiscreteStatsTable[[#This Row],[RepsRequested]]&gt;1),DiscreteStatsTable[[#This Row],[HalfWidth]],DiscreteStatsTable[[#This Row],[BatchMeansHalfWidth]])</f>
        <v>0.18991129693731779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17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67</v>
      </c>
      <c r="B304" t="s">
        <v>69</v>
      </c>
      <c r="C304">
        <v>14</v>
      </c>
      <c r="D304" t="s">
        <v>95</v>
      </c>
      <c r="E304" t="s">
        <v>79</v>
      </c>
      <c r="F304" t="s">
        <v>80</v>
      </c>
      <c r="G304">
        <v>1.28093182789523</v>
      </c>
      <c r="H304">
        <v>2E+20</v>
      </c>
      <c r="I304">
        <v>1.28093182789523</v>
      </c>
      <c r="J304">
        <v>1.28093182789523</v>
      </c>
      <c r="K304">
        <v>1</v>
      </c>
      <c r="L304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17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1.3542647972866195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0.36936760196705204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0.85883485461918996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2.2660130562086702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0.85883485461918996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2.2660130562086702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1</v>
      </c>
      <c r="W304" s="5">
        <f>IF((DiscreteStatsTable[[#This Row],[RepsRequested]]&gt;1),DiscreteStatsTable[[#This Row],[HalfWidth]],DiscreteStatsTable[[#This Row],[BatchMeansHalfWidth]])</f>
        <v>0.18991129693731779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17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67</v>
      </c>
      <c r="B305" t="s">
        <v>69</v>
      </c>
      <c r="C305">
        <v>15</v>
      </c>
      <c r="D305" t="s">
        <v>95</v>
      </c>
      <c r="E305" t="s">
        <v>79</v>
      </c>
      <c r="F305" t="s">
        <v>80</v>
      </c>
      <c r="G305">
        <v>1.0781567741401801</v>
      </c>
      <c r="H305">
        <v>2E+20</v>
      </c>
      <c r="I305">
        <v>1.0781567741401801</v>
      </c>
      <c r="J305">
        <v>1.0781567741401801</v>
      </c>
      <c r="K305">
        <v>1</v>
      </c>
      <c r="L305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17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1.3542647972866195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0.36936760196705204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0.85883485461918996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2.2660130562086702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0.85883485461918996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2.2660130562086702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1</v>
      </c>
      <c r="W305" s="5">
        <f>IF((DiscreteStatsTable[[#This Row],[RepsRequested]]&gt;1),DiscreteStatsTable[[#This Row],[HalfWidth]],DiscreteStatsTable[[#This Row],[BatchMeansHalfWidth]])</f>
        <v>0.18991129693731779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17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67</v>
      </c>
      <c r="B306" t="s">
        <v>69</v>
      </c>
      <c r="C306">
        <v>16</v>
      </c>
      <c r="D306" t="s">
        <v>95</v>
      </c>
      <c r="E306" t="s">
        <v>79</v>
      </c>
      <c r="F306" t="s">
        <v>80</v>
      </c>
      <c r="G306">
        <v>0.94649476634958896</v>
      </c>
      <c r="H306">
        <v>2E+20</v>
      </c>
      <c r="I306">
        <v>0.94649476634958896</v>
      </c>
      <c r="J306">
        <v>0.94649476634958896</v>
      </c>
      <c r="K306">
        <v>1</v>
      </c>
      <c r="L306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17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1.3542647972866195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0.36936760196705204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0.85883485461918996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2.2660130562086702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0.85883485461918996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2.2660130562086702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1</v>
      </c>
      <c r="W306" s="5">
        <f>IF((DiscreteStatsTable[[#This Row],[RepsRequested]]&gt;1),DiscreteStatsTable[[#This Row],[HalfWidth]],DiscreteStatsTable[[#This Row],[BatchMeansHalfWidth]])</f>
        <v>0.18991129693731779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17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67</v>
      </c>
      <c r="B307" t="s">
        <v>69</v>
      </c>
      <c r="C307">
        <v>17</v>
      </c>
      <c r="D307" t="s">
        <v>95</v>
      </c>
      <c r="E307" t="s">
        <v>79</v>
      </c>
      <c r="F307" t="s">
        <v>80</v>
      </c>
      <c r="G307">
        <v>1.82723212172539</v>
      </c>
      <c r="H307">
        <v>2E+20</v>
      </c>
      <c r="I307">
        <v>1.82723212172539</v>
      </c>
      <c r="J307">
        <v>1.82723212172539</v>
      </c>
      <c r="K307">
        <v>1</v>
      </c>
      <c r="L307" s="5" t="str">
        <f>DiscreteStatsTable[[#This Row],[ProjectName]]&amp;DiscreteStatsTable[[#This Row],[Name]]&amp;DiscreteStatsTable[[#This Row],[Type]]&amp;DiscreteStatsTable[[#This Row],[Source]]</f>
        <v>Weekend (base)EsperaPedidoH3ExpressionUser Specified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17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1.3542647972866195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0.36936760196705204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0.18991129693731779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0.85883485461918996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2.2660130562086702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0.85883485461918996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2.2660130562086702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1</v>
      </c>
      <c r="W307" s="5">
        <f>IF((DiscreteStatsTable[[#This Row],[RepsRequested]]&gt;1),DiscreteStatsTable[[#This Row],[HalfWidth]],DiscreteStatsTable[[#This Row],[BatchMeansHalfWidth]])</f>
        <v>0.18991129693731779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17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67</v>
      </c>
      <c r="B308" t="s">
        <v>69</v>
      </c>
      <c r="C308">
        <v>1</v>
      </c>
      <c r="D308" t="s">
        <v>96</v>
      </c>
      <c r="E308" t="s">
        <v>79</v>
      </c>
      <c r="F308" t="s">
        <v>80</v>
      </c>
      <c r="G308">
        <v>4.0750629033409798</v>
      </c>
      <c r="H308">
        <v>2E+20</v>
      </c>
      <c r="I308">
        <v>4.0750629033409798</v>
      </c>
      <c r="J308">
        <v>4.0750629033409798</v>
      </c>
      <c r="K308">
        <v>1</v>
      </c>
      <c r="L308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17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2.5604113147612697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1.5191422347936809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0.55495913031834998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5.9493407878474596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0.55495913031834998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5.9493407878474596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1</v>
      </c>
      <c r="W308" s="5">
        <f>IF((DiscreteStatsTable[[#This Row],[RepsRequested]]&gt;1),DiscreteStatsTable[[#This Row],[HalfWidth]],DiscreteStatsTable[[#This Row],[BatchMeansHalfWidth]])</f>
        <v>0.78107086410804905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17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67</v>
      </c>
      <c r="B309" t="s">
        <v>69</v>
      </c>
      <c r="C309">
        <v>2</v>
      </c>
      <c r="D309" t="s">
        <v>96</v>
      </c>
      <c r="E309" t="s">
        <v>79</v>
      </c>
      <c r="F309" t="s">
        <v>80</v>
      </c>
      <c r="G309">
        <v>2.5762157903370699</v>
      </c>
      <c r="H309">
        <v>2E+20</v>
      </c>
      <c r="I309">
        <v>2.5762157903370699</v>
      </c>
      <c r="J309">
        <v>2.5762157903370699</v>
      </c>
      <c r="K309">
        <v>1</v>
      </c>
      <c r="L309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17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2.5604113147612697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1.5191422347936809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0.55495913031834998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5.9493407878474596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0.55495913031834998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5.9493407878474596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1</v>
      </c>
      <c r="W309" s="5">
        <f>IF((DiscreteStatsTable[[#This Row],[RepsRequested]]&gt;1),DiscreteStatsTable[[#This Row],[HalfWidth]],DiscreteStatsTable[[#This Row],[BatchMeansHalfWidth]])</f>
        <v>0.78107086410804905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17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67</v>
      </c>
      <c r="B310" t="s">
        <v>69</v>
      </c>
      <c r="C310">
        <v>3</v>
      </c>
      <c r="D310" t="s">
        <v>96</v>
      </c>
      <c r="E310" t="s">
        <v>79</v>
      </c>
      <c r="F310" t="s">
        <v>80</v>
      </c>
      <c r="G310">
        <v>5.9493407878474596</v>
      </c>
      <c r="H310">
        <v>2E+20</v>
      </c>
      <c r="I310">
        <v>5.9493407878474596</v>
      </c>
      <c r="J310">
        <v>5.9493407878474596</v>
      </c>
      <c r="K310">
        <v>1</v>
      </c>
      <c r="L310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17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2.5604113147612697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0.55495913031834998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5.9493407878474596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0.55495913031834998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5.9493407878474596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1</v>
      </c>
      <c r="W310" s="5">
        <f>IF((DiscreteStatsTable[[#This Row],[RepsRequested]]&gt;1),DiscreteStatsTable[[#This Row],[HalfWidth]],DiscreteStatsTable[[#This Row],[BatchMeansHalfWidth]])</f>
        <v>0.78107086410804905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17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67</v>
      </c>
      <c r="B311" t="s">
        <v>69</v>
      </c>
      <c r="C311">
        <v>4</v>
      </c>
      <c r="D311" t="s">
        <v>96</v>
      </c>
      <c r="E311" t="s">
        <v>79</v>
      </c>
      <c r="F311" t="s">
        <v>80</v>
      </c>
      <c r="G311">
        <v>1.9387254813922501</v>
      </c>
      <c r="H311">
        <v>2E+20</v>
      </c>
      <c r="I311">
        <v>1.9387254813922501</v>
      </c>
      <c r="J311">
        <v>1.9387254813922501</v>
      </c>
      <c r="K311">
        <v>1</v>
      </c>
      <c r="L311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17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2.5604113147612697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0.55495913031834998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5.9493407878474596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0.55495913031834998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5.9493407878474596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1</v>
      </c>
      <c r="W311" s="5">
        <f>IF((DiscreteStatsTable[[#This Row],[RepsRequested]]&gt;1),DiscreteStatsTable[[#This Row],[HalfWidth]],DiscreteStatsTable[[#This Row],[BatchMeansHalfWidth]])</f>
        <v>0.78107086410804905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17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67</v>
      </c>
      <c r="B312" t="s">
        <v>69</v>
      </c>
      <c r="C312">
        <v>5</v>
      </c>
      <c r="D312" t="s">
        <v>96</v>
      </c>
      <c r="E312" t="s">
        <v>79</v>
      </c>
      <c r="F312" t="s">
        <v>80</v>
      </c>
      <c r="G312">
        <v>1.55512623584222</v>
      </c>
      <c r="H312">
        <v>2E+20</v>
      </c>
      <c r="I312">
        <v>1.55512623584222</v>
      </c>
      <c r="J312">
        <v>1.55512623584222</v>
      </c>
      <c r="K312">
        <v>1</v>
      </c>
      <c r="L312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17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2.5604113147612697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0.55495913031834998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5.9493407878474596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0.55495913031834998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5.9493407878474596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1</v>
      </c>
      <c r="W312" s="5">
        <f>IF((DiscreteStatsTable[[#This Row],[RepsRequested]]&gt;1),DiscreteStatsTable[[#This Row],[HalfWidth]],DiscreteStatsTable[[#This Row],[BatchMeansHalfWidth]])</f>
        <v>0.78107086410804905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17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67</v>
      </c>
      <c r="B313" t="s">
        <v>69</v>
      </c>
      <c r="C313">
        <v>6</v>
      </c>
      <c r="D313" t="s">
        <v>96</v>
      </c>
      <c r="E313" t="s">
        <v>79</v>
      </c>
      <c r="F313" t="s">
        <v>80</v>
      </c>
      <c r="G313">
        <v>1.6390057255859101</v>
      </c>
      <c r="H313">
        <v>2E+20</v>
      </c>
      <c r="I313">
        <v>1.6390057255859101</v>
      </c>
      <c r="J313">
        <v>1.6390057255859101</v>
      </c>
      <c r="K313">
        <v>1</v>
      </c>
      <c r="L313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17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2.5604113147612697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0.55495913031834998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5.9493407878474596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0.55495913031834998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5.9493407878474596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1</v>
      </c>
      <c r="W313" s="5">
        <f>IF((DiscreteStatsTable[[#This Row],[RepsRequested]]&gt;1),DiscreteStatsTable[[#This Row],[HalfWidth]],DiscreteStatsTable[[#This Row],[BatchMeansHalfWidth]])</f>
        <v>0.78107086410804905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17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67</v>
      </c>
      <c r="B314" t="s">
        <v>69</v>
      </c>
      <c r="C314">
        <v>7</v>
      </c>
      <c r="D314" t="s">
        <v>96</v>
      </c>
      <c r="E314" t="s">
        <v>79</v>
      </c>
      <c r="F314" t="s">
        <v>80</v>
      </c>
      <c r="G314">
        <v>1.3602527709792001</v>
      </c>
      <c r="H314">
        <v>2E+20</v>
      </c>
      <c r="I314">
        <v>1.3602527709792001</v>
      </c>
      <c r="J314">
        <v>1.3602527709792001</v>
      </c>
      <c r="K314">
        <v>1</v>
      </c>
      <c r="L314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17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2.5604113147612697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0.55495913031834998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5.9493407878474596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0.55495913031834998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5.9493407878474596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1</v>
      </c>
      <c r="W314" s="5">
        <f>IF((DiscreteStatsTable[[#This Row],[RepsRequested]]&gt;1),DiscreteStatsTable[[#This Row],[HalfWidth]],DiscreteStatsTable[[#This Row],[BatchMeansHalfWidth]])</f>
        <v>0.78107086410804905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17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67</v>
      </c>
      <c r="B315" t="s">
        <v>69</v>
      </c>
      <c r="C315">
        <v>8</v>
      </c>
      <c r="D315" t="s">
        <v>96</v>
      </c>
      <c r="E315" t="s">
        <v>79</v>
      </c>
      <c r="F315" t="s">
        <v>80</v>
      </c>
      <c r="G315">
        <v>1.9054529562715301</v>
      </c>
      <c r="H315">
        <v>2E+20</v>
      </c>
      <c r="I315">
        <v>1.9054529562715301</v>
      </c>
      <c r="J315">
        <v>1.9054529562715301</v>
      </c>
      <c r="K315">
        <v>1</v>
      </c>
      <c r="L315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17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2.5604113147612697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0.55495913031834998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5.9493407878474596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0.55495913031834998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5.9493407878474596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1</v>
      </c>
      <c r="W315" s="5">
        <f>IF((DiscreteStatsTable[[#This Row],[RepsRequested]]&gt;1),DiscreteStatsTable[[#This Row],[HalfWidth]],DiscreteStatsTable[[#This Row],[BatchMeansHalfWidth]])</f>
        <v>0.78107086410804905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17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67</v>
      </c>
      <c r="B316" t="s">
        <v>69</v>
      </c>
      <c r="C316">
        <v>9</v>
      </c>
      <c r="D316" t="s">
        <v>96</v>
      </c>
      <c r="E316" t="s">
        <v>79</v>
      </c>
      <c r="F316" t="s">
        <v>80</v>
      </c>
      <c r="G316">
        <v>4.6982386317761797</v>
      </c>
      <c r="H316">
        <v>2E+20</v>
      </c>
      <c r="I316">
        <v>4.6982386317761797</v>
      </c>
      <c r="J316">
        <v>4.6982386317761797</v>
      </c>
      <c r="K316">
        <v>1</v>
      </c>
      <c r="L316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17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2.5604113147612697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0.55495913031834998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5.9493407878474596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0.55495913031834998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5.9493407878474596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1</v>
      </c>
      <c r="W316" s="5">
        <f>IF((DiscreteStatsTable[[#This Row],[RepsRequested]]&gt;1),DiscreteStatsTable[[#This Row],[HalfWidth]],DiscreteStatsTable[[#This Row],[BatchMeansHalfWidth]])</f>
        <v>0.78107086410804905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17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67</v>
      </c>
      <c r="B317" t="s">
        <v>69</v>
      </c>
      <c r="C317">
        <v>10</v>
      </c>
      <c r="D317" t="s">
        <v>96</v>
      </c>
      <c r="E317" t="s">
        <v>79</v>
      </c>
      <c r="F317" t="s">
        <v>80</v>
      </c>
      <c r="G317">
        <v>2.0165768533808999</v>
      </c>
      <c r="H317">
        <v>2E+20</v>
      </c>
      <c r="I317">
        <v>2.0165768533808999</v>
      </c>
      <c r="J317">
        <v>2.0165768533808999</v>
      </c>
      <c r="K317">
        <v>1</v>
      </c>
      <c r="L317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17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2.5604113147612697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0.55495913031834998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5.9493407878474596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0.55495913031834998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5.9493407878474596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1</v>
      </c>
      <c r="W317" s="5">
        <f>IF((DiscreteStatsTable[[#This Row],[RepsRequested]]&gt;1),DiscreteStatsTable[[#This Row],[HalfWidth]],DiscreteStatsTable[[#This Row],[BatchMeansHalfWidth]])</f>
        <v>0.78107086410804905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17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67</v>
      </c>
      <c r="B318" t="s">
        <v>69</v>
      </c>
      <c r="C318">
        <v>11</v>
      </c>
      <c r="D318" t="s">
        <v>96</v>
      </c>
      <c r="E318" t="s">
        <v>79</v>
      </c>
      <c r="F318" t="s">
        <v>80</v>
      </c>
      <c r="G318">
        <v>1.2240809657709999</v>
      </c>
      <c r="H318">
        <v>2E+20</v>
      </c>
      <c r="I318">
        <v>1.2240809657709999</v>
      </c>
      <c r="J318">
        <v>1.2240809657709999</v>
      </c>
      <c r="K318">
        <v>1</v>
      </c>
      <c r="L318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17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2.5604113147612697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0.55495913031834998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5.9493407878474596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0.55495913031834998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5.9493407878474596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1</v>
      </c>
      <c r="W318" s="5">
        <f>IF((DiscreteStatsTable[[#This Row],[RepsRequested]]&gt;1),DiscreteStatsTable[[#This Row],[HalfWidth]],DiscreteStatsTable[[#This Row],[BatchMeansHalfWidth]])</f>
        <v>0.78107086410804905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17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67</v>
      </c>
      <c r="B319" t="s">
        <v>69</v>
      </c>
      <c r="C319">
        <v>12</v>
      </c>
      <c r="D319" t="s">
        <v>96</v>
      </c>
      <c r="E319" t="s">
        <v>79</v>
      </c>
      <c r="F319" t="s">
        <v>80</v>
      </c>
      <c r="G319">
        <v>4.9756981739013</v>
      </c>
      <c r="H319">
        <v>2E+20</v>
      </c>
      <c r="I319">
        <v>4.9756981739013</v>
      </c>
      <c r="J319">
        <v>4.9756981739013</v>
      </c>
      <c r="K319">
        <v>1</v>
      </c>
      <c r="L319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17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2.5604113147612697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1.5191422347936809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0.55495913031834998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5.9493407878474596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0.55495913031834998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5.9493407878474596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1</v>
      </c>
      <c r="W319" s="5">
        <f>IF((DiscreteStatsTable[[#This Row],[RepsRequested]]&gt;1),DiscreteStatsTable[[#This Row],[HalfWidth]],DiscreteStatsTable[[#This Row],[BatchMeansHalfWidth]])</f>
        <v>0.78107086410804905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17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67</v>
      </c>
      <c r="B320" t="s">
        <v>69</v>
      </c>
      <c r="C320">
        <v>13</v>
      </c>
      <c r="D320" t="s">
        <v>96</v>
      </c>
      <c r="E320" t="s">
        <v>79</v>
      </c>
      <c r="F320" t="s">
        <v>80</v>
      </c>
      <c r="G320">
        <v>0.55495913031834998</v>
      </c>
      <c r="H320">
        <v>2E+20</v>
      </c>
      <c r="I320">
        <v>0.55495913031834998</v>
      </c>
      <c r="J320">
        <v>0.55495913031834998</v>
      </c>
      <c r="K320">
        <v>1</v>
      </c>
      <c r="L320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17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2.5604113147612697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1.5191422347936809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0.55495913031834998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5.9493407878474596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0.55495913031834998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5.9493407878474596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1</v>
      </c>
      <c r="W320" s="5">
        <f>IF((DiscreteStatsTable[[#This Row],[RepsRequested]]&gt;1),DiscreteStatsTable[[#This Row],[HalfWidth]],DiscreteStatsTable[[#This Row],[BatchMeansHalfWidth]])</f>
        <v>0.78107086410804905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17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67</v>
      </c>
      <c r="B321" t="s">
        <v>69</v>
      </c>
      <c r="C321">
        <v>14</v>
      </c>
      <c r="D321" t="s">
        <v>96</v>
      </c>
      <c r="E321" t="s">
        <v>79</v>
      </c>
      <c r="F321" t="s">
        <v>80</v>
      </c>
      <c r="G321">
        <v>2.90487581633157</v>
      </c>
      <c r="H321">
        <v>2E+20</v>
      </c>
      <c r="I321">
        <v>2.90487581633157</v>
      </c>
      <c r="J321">
        <v>2.90487581633157</v>
      </c>
      <c r="K321">
        <v>1</v>
      </c>
      <c r="L321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17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2.5604113147612697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1.5191422347936809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0.55495913031834998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5.9493407878474596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0.55495913031834998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5.9493407878474596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1</v>
      </c>
      <c r="W321" s="5">
        <f>IF((DiscreteStatsTable[[#This Row],[RepsRequested]]&gt;1),DiscreteStatsTable[[#This Row],[HalfWidth]],DiscreteStatsTable[[#This Row],[BatchMeansHalfWidth]])</f>
        <v>0.78107086410804905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17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67</v>
      </c>
      <c r="B322" t="s">
        <v>69</v>
      </c>
      <c r="C322">
        <v>15</v>
      </c>
      <c r="D322" t="s">
        <v>96</v>
      </c>
      <c r="E322" t="s">
        <v>79</v>
      </c>
      <c r="F322" t="s">
        <v>80</v>
      </c>
      <c r="G322">
        <v>2.2752478303015602</v>
      </c>
      <c r="H322">
        <v>2E+20</v>
      </c>
      <c r="I322">
        <v>2.2752478303015602</v>
      </c>
      <c r="J322">
        <v>2.2752478303015602</v>
      </c>
      <c r="K322">
        <v>1</v>
      </c>
      <c r="L322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17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2.5604113147612697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1.5191422347936809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0.55495913031834998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5.9493407878474596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0.55495913031834998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5.9493407878474596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1</v>
      </c>
      <c r="W322" s="5">
        <f>IF((DiscreteStatsTable[[#This Row],[RepsRequested]]&gt;1),DiscreteStatsTable[[#This Row],[HalfWidth]],DiscreteStatsTable[[#This Row],[BatchMeansHalfWidth]])</f>
        <v>0.78107086410804905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17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67</v>
      </c>
      <c r="B323" t="s">
        <v>69</v>
      </c>
      <c r="C323">
        <v>16</v>
      </c>
      <c r="D323" t="s">
        <v>96</v>
      </c>
      <c r="E323" t="s">
        <v>79</v>
      </c>
      <c r="F323" t="s">
        <v>80</v>
      </c>
      <c r="G323">
        <v>2.8195757181274299</v>
      </c>
      <c r="H323">
        <v>2E+20</v>
      </c>
      <c r="I323">
        <v>2.8195757181274299</v>
      </c>
      <c r="J323">
        <v>2.8195757181274299</v>
      </c>
      <c r="K323">
        <v>1</v>
      </c>
      <c r="L323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17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2.5604113147612697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1.5191422347936809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0.55495913031834998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5.9493407878474596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0.55495913031834998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5.9493407878474596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1</v>
      </c>
      <c r="W323" s="5">
        <f>IF((DiscreteStatsTable[[#This Row],[RepsRequested]]&gt;1),DiscreteStatsTable[[#This Row],[HalfWidth]],DiscreteStatsTable[[#This Row],[BatchMeansHalfWidth]])</f>
        <v>0.78107086410804905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17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67</v>
      </c>
      <c r="B324" t="s">
        <v>69</v>
      </c>
      <c r="C324">
        <v>17</v>
      </c>
      <c r="D324" t="s">
        <v>96</v>
      </c>
      <c r="E324" t="s">
        <v>79</v>
      </c>
      <c r="F324" t="s">
        <v>80</v>
      </c>
      <c r="G324">
        <v>1.05855657943667</v>
      </c>
      <c r="H324">
        <v>2E+20</v>
      </c>
      <c r="I324">
        <v>1.05855657943667</v>
      </c>
      <c r="J324">
        <v>1.05855657943667</v>
      </c>
      <c r="K324">
        <v>1</v>
      </c>
      <c r="L324" s="5" t="str">
        <f>DiscreteStatsTable[[#This Row],[ProjectName]]&amp;DiscreteStatsTable[[#This Row],[Name]]&amp;DiscreteStatsTable[[#This Row],[Type]]&amp;DiscreteStatsTable[[#This Row],[Source]]</f>
        <v>Weekend (base)FilaCajaH1ExpressionUser Specified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17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2.5604113147612697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1.5191422347936809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0.78107086410804905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0.55495913031834998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5.9493407878474596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0.55495913031834998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5.9493407878474596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1</v>
      </c>
      <c r="W324" s="5">
        <f>IF((DiscreteStatsTable[[#This Row],[RepsRequested]]&gt;1),DiscreteStatsTable[[#This Row],[HalfWidth]],DiscreteStatsTable[[#This Row],[BatchMeansHalfWidth]])</f>
        <v>0.78107086410804905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17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67</v>
      </c>
      <c r="B325" t="s">
        <v>69</v>
      </c>
      <c r="C325">
        <v>1</v>
      </c>
      <c r="D325" t="s">
        <v>97</v>
      </c>
      <c r="E325" t="s">
        <v>79</v>
      </c>
      <c r="F325" t="s">
        <v>80</v>
      </c>
      <c r="G325">
        <v>2.3580663285983001</v>
      </c>
      <c r="H325">
        <v>2E+20</v>
      </c>
      <c r="I325">
        <v>2.3580663285983001</v>
      </c>
      <c r="J325">
        <v>2.3580663285983001</v>
      </c>
      <c r="K325">
        <v>1</v>
      </c>
      <c r="L325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17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2.3291353098943843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1.1381238462069199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0.98810927862417397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4.7289332713104599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0.98810927862417397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4.7289332713104599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1</v>
      </c>
      <c r="W325" s="5">
        <f>IF((DiscreteStatsTable[[#This Row],[RepsRequested]]&gt;1),DiscreteStatsTable[[#This Row],[HalfWidth]],DiscreteStatsTable[[#This Row],[BatchMeansHalfWidth]])</f>
        <v>0.58516928544189073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17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67</v>
      </c>
      <c r="B326" t="s">
        <v>69</v>
      </c>
      <c r="C326">
        <v>2</v>
      </c>
      <c r="D326" t="s">
        <v>97</v>
      </c>
      <c r="E326" t="s">
        <v>79</v>
      </c>
      <c r="F326" t="s">
        <v>80</v>
      </c>
      <c r="G326">
        <v>2.2127199439408902</v>
      </c>
      <c r="H326">
        <v>2E+20</v>
      </c>
      <c r="I326">
        <v>2.2127199439408902</v>
      </c>
      <c r="J326">
        <v>2.2127199439408902</v>
      </c>
      <c r="K326">
        <v>1</v>
      </c>
      <c r="L326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17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2.3291353098943843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1.1381238462069199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0.98810927862417397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4.7289332713104599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0.98810927862417397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4.7289332713104599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1</v>
      </c>
      <c r="W326" s="5">
        <f>IF((DiscreteStatsTable[[#This Row],[RepsRequested]]&gt;1),DiscreteStatsTable[[#This Row],[HalfWidth]],DiscreteStatsTable[[#This Row],[BatchMeansHalfWidth]])</f>
        <v>0.58516928544189073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17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67</v>
      </c>
      <c r="B327" t="s">
        <v>69</v>
      </c>
      <c r="C327">
        <v>3</v>
      </c>
      <c r="D327" t="s">
        <v>97</v>
      </c>
      <c r="E327" t="s">
        <v>79</v>
      </c>
      <c r="F327" t="s">
        <v>80</v>
      </c>
      <c r="G327">
        <v>4.3388925732037604</v>
      </c>
      <c r="H327">
        <v>2E+20</v>
      </c>
      <c r="I327">
        <v>4.3388925732037604</v>
      </c>
      <c r="J327">
        <v>4.3388925732037604</v>
      </c>
      <c r="K327">
        <v>1</v>
      </c>
      <c r="L327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17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2.3291353098943843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1.1381238462069199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0.98810927862417397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4.7289332713104599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0.98810927862417397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4.7289332713104599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1</v>
      </c>
      <c r="W327" s="5">
        <f>IF((DiscreteStatsTable[[#This Row],[RepsRequested]]&gt;1),DiscreteStatsTable[[#This Row],[HalfWidth]],DiscreteStatsTable[[#This Row],[BatchMeansHalfWidth]])</f>
        <v>0.58516928544189073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17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67</v>
      </c>
      <c r="B328" t="s">
        <v>69</v>
      </c>
      <c r="C328">
        <v>4</v>
      </c>
      <c r="D328" t="s">
        <v>97</v>
      </c>
      <c r="E328" t="s">
        <v>79</v>
      </c>
      <c r="F328" t="s">
        <v>80</v>
      </c>
      <c r="G328">
        <v>2.8059070684532399</v>
      </c>
      <c r="H328">
        <v>2E+20</v>
      </c>
      <c r="I328">
        <v>2.8059070684532399</v>
      </c>
      <c r="J328">
        <v>2.8059070684532399</v>
      </c>
      <c r="K328">
        <v>1</v>
      </c>
      <c r="L328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17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2.3291353098943843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1.1381238462069199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0.98810927862417397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4.7289332713104599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0.98810927862417397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4.7289332713104599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1</v>
      </c>
      <c r="W328" s="5">
        <f>IF((DiscreteStatsTable[[#This Row],[RepsRequested]]&gt;1),DiscreteStatsTable[[#This Row],[HalfWidth]],DiscreteStatsTable[[#This Row],[BatchMeansHalfWidth]])</f>
        <v>0.58516928544189073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17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67</v>
      </c>
      <c r="B329" t="s">
        <v>69</v>
      </c>
      <c r="C329">
        <v>5</v>
      </c>
      <c r="D329" t="s">
        <v>97</v>
      </c>
      <c r="E329" t="s">
        <v>79</v>
      </c>
      <c r="F329" t="s">
        <v>80</v>
      </c>
      <c r="G329">
        <v>1.5316660983374399</v>
      </c>
      <c r="H329">
        <v>2E+20</v>
      </c>
      <c r="I329">
        <v>1.5316660983374399</v>
      </c>
      <c r="J329">
        <v>1.5316660983374399</v>
      </c>
      <c r="K329">
        <v>1</v>
      </c>
      <c r="L329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17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2.3291353098943843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1.1381238462069199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0.98810927862417397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4.7289332713104599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0.98810927862417397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4.7289332713104599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1</v>
      </c>
      <c r="W329" s="5">
        <f>IF((DiscreteStatsTable[[#This Row],[RepsRequested]]&gt;1),DiscreteStatsTable[[#This Row],[HalfWidth]],DiscreteStatsTable[[#This Row],[BatchMeansHalfWidth]])</f>
        <v>0.58516928544189073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17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67</v>
      </c>
      <c r="B330" t="s">
        <v>69</v>
      </c>
      <c r="C330">
        <v>6</v>
      </c>
      <c r="D330" t="s">
        <v>97</v>
      </c>
      <c r="E330" t="s">
        <v>79</v>
      </c>
      <c r="F330" t="s">
        <v>80</v>
      </c>
      <c r="G330">
        <v>1.38644887004712</v>
      </c>
      <c r="H330">
        <v>2E+20</v>
      </c>
      <c r="I330">
        <v>1.38644887004712</v>
      </c>
      <c r="J330">
        <v>1.38644887004712</v>
      </c>
      <c r="K330">
        <v>1</v>
      </c>
      <c r="L330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17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2.3291353098943843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0.98810927862417397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4.7289332713104599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0.98810927862417397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4.7289332713104599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1</v>
      </c>
      <c r="W330" s="5">
        <f>IF((DiscreteStatsTable[[#This Row],[RepsRequested]]&gt;1),DiscreteStatsTable[[#This Row],[HalfWidth]],DiscreteStatsTable[[#This Row],[BatchMeansHalfWidth]])</f>
        <v>0.58516928544189073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17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67</v>
      </c>
      <c r="B331" t="s">
        <v>69</v>
      </c>
      <c r="C331">
        <v>7</v>
      </c>
      <c r="D331" t="s">
        <v>97</v>
      </c>
      <c r="E331" t="s">
        <v>79</v>
      </c>
      <c r="F331" t="s">
        <v>80</v>
      </c>
      <c r="G331">
        <v>1.64048231132994</v>
      </c>
      <c r="H331">
        <v>2E+20</v>
      </c>
      <c r="I331">
        <v>1.64048231132994</v>
      </c>
      <c r="J331">
        <v>1.64048231132994</v>
      </c>
      <c r="K331">
        <v>1</v>
      </c>
      <c r="L331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17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2.3291353098943843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0.98810927862417397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4.7289332713104599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0.98810927862417397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4.7289332713104599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1</v>
      </c>
      <c r="W331" s="5">
        <f>IF((DiscreteStatsTable[[#This Row],[RepsRequested]]&gt;1),DiscreteStatsTable[[#This Row],[HalfWidth]],DiscreteStatsTable[[#This Row],[BatchMeansHalfWidth]])</f>
        <v>0.58516928544189073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17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67</v>
      </c>
      <c r="B332" t="s">
        <v>69</v>
      </c>
      <c r="C332">
        <v>8</v>
      </c>
      <c r="D332" t="s">
        <v>97</v>
      </c>
      <c r="E332" t="s">
        <v>79</v>
      </c>
      <c r="F332" t="s">
        <v>80</v>
      </c>
      <c r="G332">
        <v>4.7289332713104599</v>
      </c>
      <c r="H332">
        <v>2E+20</v>
      </c>
      <c r="I332">
        <v>4.7289332713104599</v>
      </c>
      <c r="J332">
        <v>4.7289332713104599</v>
      </c>
      <c r="K332">
        <v>1</v>
      </c>
      <c r="L332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17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2.3291353098943843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0.98810927862417397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4.7289332713104599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0.98810927862417397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4.7289332713104599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1</v>
      </c>
      <c r="W332" s="5">
        <f>IF((DiscreteStatsTable[[#This Row],[RepsRequested]]&gt;1),DiscreteStatsTable[[#This Row],[HalfWidth]],DiscreteStatsTable[[#This Row],[BatchMeansHalfWidth]])</f>
        <v>0.58516928544189073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17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67</v>
      </c>
      <c r="B333" t="s">
        <v>69</v>
      </c>
      <c r="C333">
        <v>9</v>
      </c>
      <c r="D333" t="s">
        <v>97</v>
      </c>
      <c r="E333" t="s">
        <v>79</v>
      </c>
      <c r="F333" t="s">
        <v>80</v>
      </c>
      <c r="G333">
        <v>2.67152720561737</v>
      </c>
      <c r="H333">
        <v>2E+20</v>
      </c>
      <c r="I333">
        <v>2.67152720561737</v>
      </c>
      <c r="J333">
        <v>2.67152720561737</v>
      </c>
      <c r="K333">
        <v>1</v>
      </c>
      <c r="L333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17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2.3291353098943843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0.98810927862417397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4.7289332713104599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0.98810927862417397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4.7289332713104599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1</v>
      </c>
      <c r="W333" s="5">
        <f>IF((DiscreteStatsTable[[#This Row],[RepsRequested]]&gt;1),DiscreteStatsTable[[#This Row],[HalfWidth]],DiscreteStatsTable[[#This Row],[BatchMeansHalfWidth]])</f>
        <v>0.58516928544189073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17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67</v>
      </c>
      <c r="B334" t="s">
        <v>69</v>
      </c>
      <c r="C334">
        <v>10</v>
      </c>
      <c r="D334" t="s">
        <v>97</v>
      </c>
      <c r="E334" t="s">
        <v>79</v>
      </c>
      <c r="F334" t="s">
        <v>80</v>
      </c>
      <c r="G334">
        <v>2.53059084283072</v>
      </c>
      <c r="H334">
        <v>2E+20</v>
      </c>
      <c r="I334">
        <v>2.53059084283072</v>
      </c>
      <c r="J334">
        <v>2.53059084283072</v>
      </c>
      <c r="K334">
        <v>1</v>
      </c>
      <c r="L334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17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2.3291353098943843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0.98810927862417397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4.7289332713104599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0.98810927862417397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4.7289332713104599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1</v>
      </c>
      <c r="W334" s="5">
        <f>IF((DiscreteStatsTable[[#This Row],[RepsRequested]]&gt;1),DiscreteStatsTable[[#This Row],[HalfWidth]],DiscreteStatsTable[[#This Row],[BatchMeansHalfWidth]])</f>
        <v>0.58516928544189073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17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67</v>
      </c>
      <c r="B335" t="s">
        <v>69</v>
      </c>
      <c r="C335">
        <v>11</v>
      </c>
      <c r="D335" t="s">
        <v>97</v>
      </c>
      <c r="E335" t="s">
        <v>79</v>
      </c>
      <c r="F335" t="s">
        <v>80</v>
      </c>
      <c r="G335">
        <v>1.08308800708578</v>
      </c>
      <c r="H335">
        <v>2E+20</v>
      </c>
      <c r="I335">
        <v>1.08308800708578</v>
      </c>
      <c r="J335">
        <v>1.08308800708578</v>
      </c>
      <c r="K335">
        <v>1</v>
      </c>
      <c r="L335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17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2.3291353098943843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0.98810927862417397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4.7289332713104599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0.98810927862417397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4.7289332713104599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1</v>
      </c>
      <c r="W335" s="5">
        <f>IF((DiscreteStatsTable[[#This Row],[RepsRequested]]&gt;1),DiscreteStatsTable[[#This Row],[HalfWidth]],DiscreteStatsTable[[#This Row],[BatchMeansHalfWidth]])</f>
        <v>0.58516928544189073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17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67</v>
      </c>
      <c r="B336" t="s">
        <v>69</v>
      </c>
      <c r="C336">
        <v>12</v>
      </c>
      <c r="D336" t="s">
        <v>97</v>
      </c>
      <c r="E336" t="s">
        <v>79</v>
      </c>
      <c r="F336" t="s">
        <v>80</v>
      </c>
      <c r="G336">
        <v>4.0995234125974704</v>
      </c>
      <c r="H336">
        <v>2E+20</v>
      </c>
      <c r="I336">
        <v>4.0995234125974704</v>
      </c>
      <c r="J336">
        <v>4.0995234125974704</v>
      </c>
      <c r="K336">
        <v>1</v>
      </c>
      <c r="L336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17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2.3291353098943843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0.98810927862417397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4.7289332713104599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0.98810927862417397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4.7289332713104599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1</v>
      </c>
      <c r="W336" s="5">
        <f>IF((DiscreteStatsTable[[#This Row],[RepsRequested]]&gt;1),DiscreteStatsTable[[#This Row],[HalfWidth]],DiscreteStatsTable[[#This Row],[BatchMeansHalfWidth]])</f>
        <v>0.58516928544189073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17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67</v>
      </c>
      <c r="B337" t="s">
        <v>69</v>
      </c>
      <c r="C337">
        <v>13</v>
      </c>
      <c r="D337" t="s">
        <v>97</v>
      </c>
      <c r="E337" t="s">
        <v>79</v>
      </c>
      <c r="F337" t="s">
        <v>80</v>
      </c>
      <c r="G337">
        <v>1.07168633121505</v>
      </c>
      <c r="H337">
        <v>2E+20</v>
      </c>
      <c r="I337">
        <v>1.07168633121505</v>
      </c>
      <c r="J337">
        <v>1.07168633121505</v>
      </c>
      <c r="K337">
        <v>1</v>
      </c>
      <c r="L337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17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2.3291353098943843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0.98810927862417397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4.7289332713104599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0.98810927862417397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4.7289332713104599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1</v>
      </c>
      <c r="W337" s="5">
        <f>IF((DiscreteStatsTable[[#This Row],[RepsRequested]]&gt;1),DiscreteStatsTable[[#This Row],[HalfWidth]],DiscreteStatsTable[[#This Row],[BatchMeansHalfWidth]])</f>
        <v>0.58516928544189073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17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67</v>
      </c>
      <c r="B338" t="s">
        <v>69</v>
      </c>
      <c r="C338">
        <v>14</v>
      </c>
      <c r="D338" t="s">
        <v>97</v>
      </c>
      <c r="E338" t="s">
        <v>79</v>
      </c>
      <c r="F338" t="s">
        <v>80</v>
      </c>
      <c r="G338">
        <v>2.1088969048897699</v>
      </c>
      <c r="H338">
        <v>2E+20</v>
      </c>
      <c r="I338">
        <v>2.1088969048897699</v>
      </c>
      <c r="J338">
        <v>2.1088969048897699</v>
      </c>
      <c r="K338">
        <v>1</v>
      </c>
      <c r="L338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17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2.3291353098943843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0.98810927862417397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4.7289332713104599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0.98810927862417397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4.7289332713104599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1</v>
      </c>
      <c r="W338" s="5">
        <f>IF((DiscreteStatsTable[[#This Row],[RepsRequested]]&gt;1),DiscreteStatsTable[[#This Row],[HalfWidth]],DiscreteStatsTable[[#This Row],[BatchMeansHalfWidth]])</f>
        <v>0.58516928544189073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17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67</v>
      </c>
      <c r="B339" t="s">
        <v>69</v>
      </c>
      <c r="C339">
        <v>15</v>
      </c>
      <c r="D339" t="s">
        <v>97</v>
      </c>
      <c r="E339" t="s">
        <v>79</v>
      </c>
      <c r="F339" t="s">
        <v>80</v>
      </c>
      <c r="G339">
        <v>2.3524329375923698</v>
      </c>
      <c r="H339">
        <v>2E+20</v>
      </c>
      <c r="I339">
        <v>2.3524329375923698</v>
      </c>
      <c r="J339">
        <v>2.3524329375923698</v>
      </c>
      <c r="K339">
        <v>1</v>
      </c>
      <c r="L339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17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2.3291353098943843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1.1381238462069199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0.98810927862417397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4.7289332713104599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0.98810927862417397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4.7289332713104599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1</v>
      </c>
      <c r="W339" s="5">
        <f>IF((DiscreteStatsTable[[#This Row],[RepsRequested]]&gt;1),DiscreteStatsTable[[#This Row],[HalfWidth]],DiscreteStatsTable[[#This Row],[BatchMeansHalfWidth]])</f>
        <v>0.58516928544189073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17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67</v>
      </c>
      <c r="B340" t="s">
        <v>69</v>
      </c>
      <c r="C340">
        <v>16</v>
      </c>
      <c r="D340" t="s">
        <v>97</v>
      </c>
      <c r="E340" t="s">
        <v>79</v>
      </c>
      <c r="F340" t="s">
        <v>80</v>
      </c>
      <c r="G340">
        <v>1.6863288825306899</v>
      </c>
      <c r="H340">
        <v>2E+20</v>
      </c>
      <c r="I340">
        <v>1.6863288825306899</v>
      </c>
      <c r="J340">
        <v>1.6863288825306899</v>
      </c>
      <c r="K340">
        <v>1</v>
      </c>
      <c r="L340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17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2.3291353098943843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1.1381238462069199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0.98810927862417397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4.7289332713104599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0.98810927862417397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4.7289332713104599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1</v>
      </c>
      <c r="W340" s="5">
        <f>IF((DiscreteStatsTable[[#This Row],[RepsRequested]]&gt;1),DiscreteStatsTable[[#This Row],[HalfWidth]],DiscreteStatsTable[[#This Row],[BatchMeansHalfWidth]])</f>
        <v>0.58516928544189073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17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67</v>
      </c>
      <c r="B341" t="s">
        <v>69</v>
      </c>
      <c r="C341">
        <v>17</v>
      </c>
      <c r="D341" t="s">
        <v>97</v>
      </c>
      <c r="E341" t="s">
        <v>79</v>
      </c>
      <c r="F341" t="s">
        <v>80</v>
      </c>
      <c r="G341">
        <v>0.98810927862417397</v>
      </c>
      <c r="H341">
        <v>2E+20</v>
      </c>
      <c r="I341">
        <v>0.98810927862417397</v>
      </c>
      <c r="J341">
        <v>0.98810927862417397</v>
      </c>
      <c r="K341">
        <v>1</v>
      </c>
      <c r="L341" s="5" t="str">
        <f>DiscreteStatsTable[[#This Row],[ProjectName]]&amp;DiscreteStatsTable[[#This Row],[Name]]&amp;DiscreteStatsTable[[#This Row],[Type]]&amp;DiscreteStatsTable[[#This Row],[Source]]</f>
        <v>Weekend (base)FilaCajaH2ExpressionUser Specified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17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2.3291353098943843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1.1381238462069199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0.58516928544189073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0.98810927862417397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4.7289332713104599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0.98810927862417397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4.7289332713104599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1</v>
      </c>
      <c r="W341" s="5">
        <f>IF((DiscreteStatsTable[[#This Row],[RepsRequested]]&gt;1),DiscreteStatsTable[[#This Row],[HalfWidth]],DiscreteStatsTable[[#This Row],[BatchMeansHalfWidth]])</f>
        <v>0.58516928544189073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17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67</v>
      </c>
      <c r="B342" t="s">
        <v>69</v>
      </c>
      <c r="C342">
        <v>1</v>
      </c>
      <c r="D342" t="s">
        <v>98</v>
      </c>
      <c r="E342" t="s">
        <v>79</v>
      </c>
      <c r="F342" t="s">
        <v>80</v>
      </c>
      <c r="G342">
        <v>1.9143670470273699</v>
      </c>
      <c r="H342">
        <v>2E+20</v>
      </c>
      <c r="I342">
        <v>1.9143670470273699</v>
      </c>
      <c r="J342">
        <v>1.9143670470273699</v>
      </c>
      <c r="K342">
        <v>1</v>
      </c>
      <c r="L342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17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2.276774818170757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0.8783504865595686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0.98865877093700905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4.1304081052144204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0.98865877093700905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4.1304081052144204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1</v>
      </c>
      <c r="W342" s="5">
        <f>IF((DiscreteStatsTable[[#This Row],[RepsRequested]]&gt;1),DiscreteStatsTable[[#This Row],[HalfWidth]],DiscreteStatsTable[[#This Row],[BatchMeansHalfWidth]])</f>
        <v>0.45160614839991103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17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67</v>
      </c>
      <c r="B343" t="s">
        <v>69</v>
      </c>
      <c r="C343">
        <v>2</v>
      </c>
      <c r="D343" t="s">
        <v>98</v>
      </c>
      <c r="E343" t="s">
        <v>79</v>
      </c>
      <c r="F343" t="s">
        <v>80</v>
      </c>
      <c r="G343">
        <v>2.3646548816687898</v>
      </c>
      <c r="H343">
        <v>2E+20</v>
      </c>
      <c r="I343">
        <v>2.3646548816687898</v>
      </c>
      <c r="J343">
        <v>2.3646548816687898</v>
      </c>
      <c r="K343">
        <v>1</v>
      </c>
      <c r="L343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17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2.276774818170757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0.8783504865595686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0.98865877093700905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4.1304081052144204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0.98865877093700905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4.1304081052144204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1</v>
      </c>
      <c r="W343" s="5">
        <f>IF((DiscreteStatsTable[[#This Row],[RepsRequested]]&gt;1),DiscreteStatsTable[[#This Row],[HalfWidth]],DiscreteStatsTable[[#This Row],[BatchMeansHalfWidth]])</f>
        <v>0.45160614839991103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17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67</v>
      </c>
      <c r="B344" t="s">
        <v>69</v>
      </c>
      <c r="C344">
        <v>3</v>
      </c>
      <c r="D344" t="s">
        <v>98</v>
      </c>
      <c r="E344" t="s">
        <v>79</v>
      </c>
      <c r="F344" t="s">
        <v>80</v>
      </c>
      <c r="G344">
        <v>3.5691652944640202</v>
      </c>
      <c r="H344">
        <v>2E+20</v>
      </c>
      <c r="I344">
        <v>3.5691652944640202</v>
      </c>
      <c r="J344">
        <v>3.5691652944640202</v>
      </c>
      <c r="K344">
        <v>1</v>
      </c>
      <c r="L344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17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2.276774818170757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0.8783504865595686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0.98865877093700905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4.1304081052144204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0.98865877093700905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4.1304081052144204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1</v>
      </c>
      <c r="W344" s="5">
        <f>IF((DiscreteStatsTable[[#This Row],[RepsRequested]]&gt;1),DiscreteStatsTable[[#This Row],[HalfWidth]],DiscreteStatsTable[[#This Row],[BatchMeansHalfWidth]])</f>
        <v>0.45160614839991103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17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67</v>
      </c>
      <c r="B345" t="s">
        <v>69</v>
      </c>
      <c r="C345">
        <v>4</v>
      </c>
      <c r="D345" t="s">
        <v>98</v>
      </c>
      <c r="E345" t="s">
        <v>79</v>
      </c>
      <c r="F345" t="s">
        <v>80</v>
      </c>
      <c r="G345">
        <v>2.30522590701402</v>
      </c>
      <c r="H345">
        <v>2E+20</v>
      </c>
      <c r="I345">
        <v>2.30522590701402</v>
      </c>
      <c r="J345">
        <v>2.30522590701402</v>
      </c>
      <c r="K345">
        <v>1</v>
      </c>
      <c r="L345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17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2.276774818170757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0.8783504865595686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0.98865877093700905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4.1304081052144204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0.98865877093700905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4.1304081052144204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1</v>
      </c>
      <c r="W345" s="5">
        <f>IF((DiscreteStatsTable[[#This Row],[RepsRequested]]&gt;1),DiscreteStatsTable[[#This Row],[HalfWidth]],DiscreteStatsTable[[#This Row],[BatchMeansHalfWidth]])</f>
        <v>0.45160614839991103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17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67</v>
      </c>
      <c r="B346" t="s">
        <v>69</v>
      </c>
      <c r="C346">
        <v>5</v>
      </c>
      <c r="D346" t="s">
        <v>98</v>
      </c>
      <c r="E346" t="s">
        <v>79</v>
      </c>
      <c r="F346" t="s">
        <v>80</v>
      </c>
      <c r="G346">
        <v>2.12694981692179</v>
      </c>
      <c r="H346">
        <v>2E+20</v>
      </c>
      <c r="I346">
        <v>2.12694981692179</v>
      </c>
      <c r="J346">
        <v>2.12694981692179</v>
      </c>
      <c r="K346">
        <v>1</v>
      </c>
      <c r="L346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17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2.276774818170757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0.8783504865595686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0.98865877093700905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4.1304081052144204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0.98865877093700905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4.1304081052144204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1</v>
      </c>
      <c r="W346" s="5">
        <f>IF((DiscreteStatsTable[[#This Row],[RepsRequested]]&gt;1),DiscreteStatsTable[[#This Row],[HalfWidth]],DiscreteStatsTable[[#This Row],[BatchMeansHalfWidth]])</f>
        <v>0.45160614839991103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17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67</v>
      </c>
      <c r="B347" t="s">
        <v>69</v>
      </c>
      <c r="C347">
        <v>6</v>
      </c>
      <c r="D347" t="s">
        <v>98</v>
      </c>
      <c r="E347" t="s">
        <v>79</v>
      </c>
      <c r="F347" t="s">
        <v>80</v>
      </c>
      <c r="G347">
        <v>0.98865877093700905</v>
      </c>
      <c r="H347">
        <v>2E+20</v>
      </c>
      <c r="I347">
        <v>0.98865877093700905</v>
      </c>
      <c r="J347">
        <v>0.98865877093700905</v>
      </c>
      <c r="K347">
        <v>1</v>
      </c>
      <c r="L347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17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2.276774818170757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0.8783504865595686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0.98865877093700905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4.1304081052144204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0.98865877093700905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4.1304081052144204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1</v>
      </c>
      <c r="W347" s="5">
        <f>IF((DiscreteStatsTable[[#This Row],[RepsRequested]]&gt;1),DiscreteStatsTable[[#This Row],[HalfWidth]],DiscreteStatsTable[[#This Row],[BatchMeansHalfWidth]])</f>
        <v>0.45160614839991103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17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67</v>
      </c>
      <c r="B348" t="s">
        <v>69</v>
      </c>
      <c r="C348">
        <v>7</v>
      </c>
      <c r="D348" t="s">
        <v>98</v>
      </c>
      <c r="E348" t="s">
        <v>79</v>
      </c>
      <c r="F348" t="s">
        <v>80</v>
      </c>
      <c r="G348">
        <v>1.60306582992946</v>
      </c>
      <c r="H348">
        <v>2E+20</v>
      </c>
      <c r="I348">
        <v>1.60306582992946</v>
      </c>
      <c r="J348">
        <v>1.60306582992946</v>
      </c>
      <c r="K348">
        <v>1</v>
      </c>
      <c r="L348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17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2.276774818170757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0.8783504865595686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0.98865877093700905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4.1304081052144204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0.98865877093700905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4.1304081052144204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1</v>
      </c>
      <c r="W348" s="5">
        <f>IF((DiscreteStatsTable[[#This Row],[RepsRequested]]&gt;1),DiscreteStatsTable[[#This Row],[HalfWidth]],DiscreteStatsTable[[#This Row],[BatchMeansHalfWidth]])</f>
        <v>0.45160614839991103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17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67</v>
      </c>
      <c r="B349" t="s">
        <v>69</v>
      </c>
      <c r="C349">
        <v>8</v>
      </c>
      <c r="D349" t="s">
        <v>98</v>
      </c>
      <c r="E349" t="s">
        <v>79</v>
      </c>
      <c r="F349" t="s">
        <v>80</v>
      </c>
      <c r="G349">
        <v>4.1304081052144204</v>
      </c>
      <c r="H349">
        <v>2E+20</v>
      </c>
      <c r="I349">
        <v>4.1304081052144204</v>
      </c>
      <c r="J349">
        <v>4.1304081052144204</v>
      </c>
      <c r="K349">
        <v>1</v>
      </c>
      <c r="L349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17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2.276774818170757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0.8783504865595686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0.98865877093700905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4.1304081052144204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0.98865877093700905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4.1304081052144204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1</v>
      </c>
      <c r="W349" s="5">
        <f>IF((DiscreteStatsTable[[#This Row],[RepsRequested]]&gt;1),DiscreteStatsTable[[#This Row],[HalfWidth]],DiscreteStatsTable[[#This Row],[BatchMeansHalfWidth]])</f>
        <v>0.45160614839991103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17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67</v>
      </c>
      <c r="B350" t="s">
        <v>69</v>
      </c>
      <c r="C350">
        <v>9</v>
      </c>
      <c r="D350" t="s">
        <v>98</v>
      </c>
      <c r="E350" t="s">
        <v>79</v>
      </c>
      <c r="F350" t="s">
        <v>80</v>
      </c>
      <c r="G350">
        <v>2.1069758056487098</v>
      </c>
      <c r="H350">
        <v>2E+20</v>
      </c>
      <c r="I350">
        <v>2.1069758056487098</v>
      </c>
      <c r="J350">
        <v>2.1069758056487098</v>
      </c>
      <c r="K350">
        <v>1</v>
      </c>
      <c r="L350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17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2.276774818170757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0.98865877093700905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4.1304081052144204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0.98865877093700905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4.1304081052144204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1</v>
      </c>
      <c r="W350" s="5">
        <f>IF((DiscreteStatsTable[[#This Row],[RepsRequested]]&gt;1),DiscreteStatsTable[[#This Row],[HalfWidth]],DiscreteStatsTable[[#This Row],[BatchMeansHalfWidth]])</f>
        <v>0.45160614839991103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17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67</v>
      </c>
      <c r="B351" t="s">
        <v>69</v>
      </c>
      <c r="C351">
        <v>10</v>
      </c>
      <c r="D351" t="s">
        <v>98</v>
      </c>
      <c r="E351" t="s">
        <v>79</v>
      </c>
      <c r="F351" t="s">
        <v>80</v>
      </c>
      <c r="G351">
        <v>2.46591128130905</v>
      </c>
      <c r="H351">
        <v>2E+20</v>
      </c>
      <c r="I351">
        <v>2.46591128130905</v>
      </c>
      <c r="J351">
        <v>2.46591128130905</v>
      </c>
      <c r="K351">
        <v>1</v>
      </c>
      <c r="L351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17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2.276774818170757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0.98865877093700905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4.1304081052144204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0.98865877093700905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4.1304081052144204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1</v>
      </c>
      <c r="W351" s="5">
        <f>IF((DiscreteStatsTable[[#This Row],[RepsRequested]]&gt;1),DiscreteStatsTable[[#This Row],[HalfWidth]],DiscreteStatsTable[[#This Row],[BatchMeansHalfWidth]])</f>
        <v>0.45160614839991103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17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67</v>
      </c>
      <c r="B352" t="s">
        <v>69</v>
      </c>
      <c r="C352">
        <v>11</v>
      </c>
      <c r="D352" t="s">
        <v>98</v>
      </c>
      <c r="E352" t="s">
        <v>79</v>
      </c>
      <c r="F352" t="s">
        <v>80</v>
      </c>
      <c r="G352">
        <v>1.5884898569305701</v>
      </c>
      <c r="H352">
        <v>2E+20</v>
      </c>
      <c r="I352">
        <v>1.5884898569305701</v>
      </c>
      <c r="J352">
        <v>1.5884898569305701</v>
      </c>
      <c r="K352">
        <v>1</v>
      </c>
      <c r="L352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17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2.276774818170757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0.98865877093700905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4.1304081052144204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0.98865877093700905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4.1304081052144204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1</v>
      </c>
      <c r="W352" s="5">
        <f>IF((DiscreteStatsTable[[#This Row],[RepsRequested]]&gt;1),DiscreteStatsTable[[#This Row],[HalfWidth]],DiscreteStatsTable[[#This Row],[BatchMeansHalfWidth]])</f>
        <v>0.45160614839991103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17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67</v>
      </c>
      <c r="B353" t="s">
        <v>69</v>
      </c>
      <c r="C353">
        <v>12</v>
      </c>
      <c r="D353" t="s">
        <v>98</v>
      </c>
      <c r="E353" t="s">
        <v>79</v>
      </c>
      <c r="F353" t="s">
        <v>80</v>
      </c>
      <c r="G353">
        <v>3.1696946426745498</v>
      </c>
      <c r="H353">
        <v>2E+20</v>
      </c>
      <c r="I353">
        <v>3.1696946426745498</v>
      </c>
      <c r="J353">
        <v>3.1696946426745498</v>
      </c>
      <c r="K353">
        <v>1</v>
      </c>
      <c r="L353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17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2.276774818170757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0.98865877093700905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4.1304081052144204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0.98865877093700905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4.1304081052144204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1</v>
      </c>
      <c r="W353" s="5">
        <f>IF((DiscreteStatsTable[[#This Row],[RepsRequested]]&gt;1),DiscreteStatsTable[[#This Row],[HalfWidth]],DiscreteStatsTable[[#This Row],[BatchMeansHalfWidth]])</f>
        <v>0.45160614839991103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17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67</v>
      </c>
      <c r="B354" t="s">
        <v>69</v>
      </c>
      <c r="C354">
        <v>13</v>
      </c>
      <c r="D354" t="s">
        <v>98</v>
      </c>
      <c r="E354" t="s">
        <v>79</v>
      </c>
      <c r="F354" t="s">
        <v>80</v>
      </c>
      <c r="G354">
        <v>1.33546284943723</v>
      </c>
      <c r="H354">
        <v>2E+20</v>
      </c>
      <c r="I354">
        <v>1.33546284943723</v>
      </c>
      <c r="J354">
        <v>1.33546284943723</v>
      </c>
      <c r="K354">
        <v>1</v>
      </c>
      <c r="L354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17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2.276774818170757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0.98865877093700905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4.1304081052144204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0.98865877093700905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4.1304081052144204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1</v>
      </c>
      <c r="W354" s="5">
        <f>IF((DiscreteStatsTable[[#This Row],[RepsRequested]]&gt;1),DiscreteStatsTable[[#This Row],[HalfWidth]],DiscreteStatsTable[[#This Row],[BatchMeansHalfWidth]])</f>
        <v>0.45160614839991103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17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67</v>
      </c>
      <c r="B355" t="s">
        <v>69</v>
      </c>
      <c r="C355">
        <v>14</v>
      </c>
      <c r="D355" t="s">
        <v>98</v>
      </c>
      <c r="E355" t="s">
        <v>79</v>
      </c>
      <c r="F355" t="s">
        <v>80</v>
      </c>
      <c r="G355">
        <v>2.3104264126552798</v>
      </c>
      <c r="H355">
        <v>2E+20</v>
      </c>
      <c r="I355">
        <v>2.3104264126552798</v>
      </c>
      <c r="J355">
        <v>2.3104264126552798</v>
      </c>
      <c r="K355">
        <v>1</v>
      </c>
      <c r="L355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17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2.276774818170757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0.98865877093700905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4.1304081052144204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0.98865877093700905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4.1304081052144204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1</v>
      </c>
      <c r="W355" s="5">
        <f>IF((DiscreteStatsTable[[#This Row],[RepsRequested]]&gt;1),DiscreteStatsTable[[#This Row],[HalfWidth]],DiscreteStatsTable[[#This Row],[BatchMeansHalfWidth]])</f>
        <v>0.45160614839991103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17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67</v>
      </c>
      <c r="B356" t="s">
        <v>69</v>
      </c>
      <c r="C356">
        <v>15</v>
      </c>
      <c r="D356" t="s">
        <v>98</v>
      </c>
      <c r="E356" t="s">
        <v>79</v>
      </c>
      <c r="F356" t="s">
        <v>80</v>
      </c>
      <c r="G356">
        <v>1.63968993514122</v>
      </c>
      <c r="H356">
        <v>2E+20</v>
      </c>
      <c r="I356">
        <v>1.63968993514122</v>
      </c>
      <c r="J356">
        <v>1.63968993514122</v>
      </c>
      <c r="K356">
        <v>1</v>
      </c>
      <c r="L356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17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2.276774818170757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0.98865877093700905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4.1304081052144204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0.98865877093700905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4.1304081052144204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1</v>
      </c>
      <c r="W356" s="5">
        <f>IF((DiscreteStatsTable[[#This Row],[RepsRequested]]&gt;1),DiscreteStatsTable[[#This Row],[HalfWidth]],DiscreteStatsTable[[#This Row],[BatchMeansHalfWidth]])</f>
        <v>0.45160614839991103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17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67</v>
      </c>
      <c r="B357" t="s">
        <v>69</v>
      </c>
      <c r="C357">
        <v>16</v>
      </c>
      <c r="D357" t="s">
        <v>98</v>
      </c>
      <c r="E357" t="s">
        <v>79</v>
      </c>
      <c r="F357" t="s">
        <v>80</v>
      </c>
      <c r="G357">
        <v>1.4961535480174999</v>
      </c>
      <c r="H357">
        <v>2E+20</v>
      </c>
      <c r="I357">
        <v>1.4961535480174999</v>
      </c>
      <c r="J357">
        <v>1.4961535480174999</v>
      </c>
      <c r="K357">
        <v>1</v>
      </c>
      <c r="L357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17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2.276774818170757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0.98865877093700905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4.1304081052144204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0.98865877093700905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4.1304081052144204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1</v>
      </c>
      <c r="W357" s="5">
        <f>IF((DiscreteStatsTable[[#This Row],[RepsRequested]]&gt;1),DiscreteStatsTable[[#This Row],[HalfWidth]],DiscreteStatsTable[[#This Row],[BatchMeansHalfWidth]])</f>
        <v>0.45160614839991103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17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67</v>
      </c>
      <c r="B358" t="s">
        <v>69</v>
      </c>
      <c r="C358">
        <v>17</v>
      </c>
      <c r="D358" t="s">
        <v>98</v>
      </c>
      <c r="E358" t="s">
        <v>79</v>
      </c>
      <c r="F358" t="s">
        <v>80</v>
      </c>
      <c r="G358">
        <v>3.5898719239118799</v>
      </c>
      <c r="H358">
        <v>2E+20</v>
      </c>
      <c r="I358">
        <v>3.5898719239118799</v>
      </c>
      <c r="J358">
        <v>3.5898719239118799</v>
      </c>
      <c r="K358">
        <v>1</v>
      </c>
      <c r="L358" s="5" t="str">
        <f>DiscreteStatsTable[[#This Row],[ProjectName]]&amp;DiscreteStatsTable[[#This Row],[Name]]&amp;DiscreteStatsTable[[#This Row],[Type]]&amp;DiscreteStatsTable[[#This Row],[Source]]</f>
        <v>Weekend (base)FilaCajaH3ExpressionUser Specified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17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2.276774818170757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0.98865877093700905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4.1304081052144204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0.98865877093700905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4.1304081052144204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1</v>
      </c>
      <c r="W358" s="5">
        <f>IF((DiscreteStatsTable[[#This Row],[RepsRequested]]&gt;1),DiscreteStatsTable[[#This Row],[HalfWidth]],DiscreteStatsTable[[#This Row],[BatchMeansHalfWidth]])</f>
        <v>0.45160614839991103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17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67</v>
      </c>
      <c r="B359" t="s">
        <v>69</v>
      </c>
      <c r="C359">
        <v>1</v>
      </c>
      <c r="D359" t="s">
        <v>99</v>
      </c>
      <c r="E359" t="s">
        <v>90</v>
      </c>
      <c r="F359" t="s">
        <v>91</v>
      </c>
      <c r="G359">
        <v>1.9143670470273699</v>
      </c>
      <c r="H359">
        <v>2E+20</v>
      </c>
      <c r="I359">
        <v>0</v>
      </c>
      <c r="J359">
        <v>10.014793175306099</v>
      </c>
      <c r="K359">
        <v>122</v>
      </c>
      <c r="L359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17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2.276774818170757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0.8783504865595686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0.98865877093700905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4.1304081052144204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14.0414476655955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59" s="5">
        <f>IF((DiscreteStatsTable[[#This Row],[RepsRequested]]&gt;1),DiscreteStatsTable[[#This Row],[HalfWidth]],DiscreteStatsTable[[#This Row],[BatchMeansHalfWidth]])</f>
        <v>0.45160614839991103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17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67</v>
      </c>
      <c r="B360" t="s">
        <v>69</v>
      </c>
      <c r="C360">
        <v>2</v>
      </c>
      <c r="D360" t="s">
        <v>99</v>
      </c>
      <c r="E360" t="s">
        <v>90</v>
      </c>
      <c r="F360" t="s">
        <v>91</v>
      </c>
      <c r="G360">
        <v>2.3646548816687898</v>
      </c>
      <c r="H360">
        <v>2E+20</v>
      </c>
      <c r="I360">
        <v>0</v>
      </c>
      <c r="J360">
        <v>6.9702927281432201</v>
      </c>
      <c r="K360">
        <v>112</v>
      </c>
      <c r="L360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17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2.276774818170757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0.98865877093700905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4.1304081052144204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14.0414476655955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0" s="5">
        <f>IF((DiscreteStatsTable[[#This Row],[RepsRequested]]&gt;1),DiscreteStatsTable[[#This Row],[HalfWidth]],DiscreteStatsTable[[#This Row],[BatchMeansHalfWidth]])</f>
        <v>0.45160614839991103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17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67</v>
      </c>
      <c r="B361" t="s">
        <v>69</v>
      </c>
      <c r="C361">
        <v>3</v>
      </c>
      <c r="D361" t="s">
        <v>99</v>
      </c>
      <c r="E361" t="s">
        <v>90</v>
      </c>
      <c r="F361" t="s">
        <v>91</v>
      </c>
      <c r="G361">
        <v>3.5691652944640202</v>
      </c>
      <c r="H361">
        <v>2E+20</v>
      </c>
      <c r="I361">
        <v>0</v>
      </c>
      <c r="J361">
        <v>10.554063869214399</v>
      </c>
      <c r="K361">
        <v>126</v>
      </c>
      <c r="L361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17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2.276774818170757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0.98865877093700905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4.1304081052144204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14.0414476655955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1" s="5">
        <f>IF((DiscreteStatsTable[[#This Row],[RepsRequested]]&gt;1),DiscreteStatsTable[[#This Row],[HalfWidth]],DiscreteStatsTable[[#This Row],[BatchMeansHalfWidth]])</f>
        <v>0.45160614839991103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17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67</v>
      </c>
      <c r="B362" t="s">
        <v>69</v>
      </c>
      <c r="C362">
        <v>4</v>
      </c>
      <c r="D362" t="s">
        <v>99</v>
      </c>
      <c r="E362" t="s">
        <v>90</v>
      </c>
      <c r="F362" t="s">
        <v>91</v>
      </c>
      <c r="G362">
        <v>2.30522590701402</v>
      </c>
      <c r="H362">
        <v>2E+20</v>
      </c>
      <c r="I362">
        <v>0</v>
      </c>
      <c r="J362">
        <v>7.9019211087089296</v>
      </c>
      <c r="K362">
        <v>125</v>
      </c>
      <c r="L362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17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2.276774818170757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0.98865877093700905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4.1304081052144204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14.0414476655955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2" s="5">
        <f>IF((DiscreteStatsTable[[#This Row],[RepsRequested]]&gt;1),DiscreteStatsTable[[#This Row],[HalfWidth]],DiscreteStatsTable[[#This Row],[BatchMeansHalfWidth]])</f>
        <v>0.45160614839991103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17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67</v>
      </c>
      <c r="B363" t="s">
        <v>69</v>
      </c>
      <c r="C363">
        <v>5</v>
      </c>
      <c r="D363" t="s">
        <v>99</v>
      </c>
      <c r="E363" t="s">
        <v>90</v>
      </c>
      <c r="F363" t="s">
        <v>91</v>
      </c>
      <c r="G363">
        <v>2.12694981692179</v>
      </c>
      <c r="H363">
        <v>2E+20</v>
      </c>
      <c r="I363">
        <v>0</v>
      </c>
      <c r="J363">
        <v>9.3333129361153908</v>
      </c>
      <c r="K363">
        <v>131</v>
      </c>
      <c r="L363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17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2.276774818170757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0.98865877093700905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4.1304081052144204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14.0414476655955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3" s="5">
        <f>IF((DiscreteStatsTable[[#This Row],[RepsRequested]]&gt;1),DiscreteStatsTable[[#This Row],[HalfWidth]],DiscreteStatsTable[[#This Row],[BatchMeansHalfWidth]])</f>
        <v>0.45160614839991103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17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67</v>
      </c>
      <c r="B364" t="s">
        <v>69</v>
      </c>
      <c r="C364">
        <v>6</v>
      </c>
      <c r="D364" t="s">
        <v>99</v>
      </c>
      <c r="E364" t="s">
        <v>90</v>
      </c>
      <c r="F364" t="s">
        <v>91</v>
      </c>
      <c r="G364">
        <v>0.98865877093700905</v>
      </c>
      <c r="H364">
        <v>2E+20</v>
      </c>
      <c r="I364">
        <v>0</v>
      </c>
      <c r="J364">
        <v>6.3472860000857603</v>
      </c>
      <c r="K364">
        <v>115</v>
      </c>
      <c r="L364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17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2.276774818170757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0.98865877093700905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4.1304081052144204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14.0414476655955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4" s="5">
        <f>IF((DiscreteStatsTable[[#This Row],[RepsRequested]]&gt;1),DiscreteStatsTable[[#This Row],[HalfWidth]],DiscreteStatsTable[[#This Row],[BatchMeansHalfWidth]])</f>
        <v>0.45160614839991103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17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67</v>
      </c>
      <c r="B365" t="s">
        <v>69</v>
      </c>
      <c r="C365">
        <v>7</v>
      </c>
      <c r="D365" t="s">
        <v>99</v>
      </c>
      <c r="E365" t="s">
        <v>90</v>
      </c>
      <c r="F365" t="s">
        <v>91</v>
      </c>
      <c r="G365">
        <v>1.60306582992946</v>
      </c>
      <c r="H365">
        <v>2E+20</v>
      </c>
      <c r="I365">
        <v>0</v>
      </c>
      <c r="J365">
        <v>6.9655919187257798</v>
      </c>
      <c r="K365">
        <v>104</v>
      </c>
      <c r="L365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17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2.276774818170757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0.98865877093700905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4.1304081052144204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14.0414476655955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5" s="5">
        <f>IF((DiscreteStatsTable[[#This Row],[RepsRequested]]&gt;1),DiscreteStatsTable[[#This Row],[HalfWidth]],DiscreteStatsTable[[#This Row],[BatchMeansHalfWidth]])</f>
        <v>0.45160614839991103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17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67</v>
      </c>
      <c r="B366" t="s">
        <v>69</v>
      </c>
      <c r="C366">
        <v>8</v>
      </c>
      <c r="D366" t="s">
        <v>99</v>
      </c>
      <c r="E366" t="s">
        <v>90</v>
      </c>
      <c r="F366" t="s">
        <v>91</v>
      </c>
      <c r="G366">
        <v>4.1304081052144204</v>
      </c>
      <c r="H366">
        <v>2E+20</v>
      </c>
      <c r="I366">
        <v>0</v>
      </c>
      <c r="J366">
        <v>14.0414476655955</v>
      </c>
      <c r="K366">
        <v>117</v>
      </c>
      <c r="L366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17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2.276774818170757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0.98865877093700905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4.1304081052144204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14.0414476655955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6" s="5">
        <f>IF((DiscreteStatsTable[[#This Row],[RepsRequested]]&gt;1),DiscreteStatsTable[[#This Row],[HalfWidth]],DiscreteStatsTable[[#This Row],[BatchMeansHalfWidth]])</f>
        <v>0.45160614839991103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17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67</v>
      </c>
      <c r="B367" t="s">
        <v>69</v>
      </c>
      <c r="C367">
        <v>9</v>
      </c>
      <c r="D367" t="s">
        <v>99</v>
      </c>
      <c r="E367" t="s">
        <v>90</v>
      </c>
      <c r="F367" t="s">
        <v>91</v>
      </c>
      <c r="G367">
        <v>2.1069758056487098</v>
      </c>
      <c r="H367">
        <v>2E+20</v>
      </c>
      <c r="I367">
        <v>0</v>
      </c>
      <c r="J367">
        <v>9.3416759196079404</v>
      </c>
      <c r="K367">
        <v>120</v>
      </c>
      <c r="L367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17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2.276774818170757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0.98865877093700905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4.1304081052144204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14.0414476655955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7" s="5">
        <f>IF((DiscreteStatsTable[[#This Row],[RepsRequested]]&gt;1),DiscreteStatsTable[[#This Row],[HalfWidth]],DiscreteStatsTable[[#This Row],[BatchMeansHalfWidth]])</f>
        <v>0.45160614839991103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17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67</v>
      </c>
      <c r="B368" t="s">
        <v>69</v>
      </c>
      <c r="C368">
        <v>10</v>
      </c>
      <c r="D368" t="s">
        <v>99</v>
      </c>
      <c r="E368" t="s">
        <v>90</v>
      </c>
      <c r="F368" t="s">
        <v>91</v>
      </c>
      <c r="G368">
        <v>2.46591128130905</v>
      </c>
      <c r="H368">
        <v>2E+20</v>
      </c>
      <c r="I368">
        <v>0</v>
      </c>
      <c r="J368">
        <v>9.3754976264090395</v>
      </c>
      <c r="K368">
        <v>126</v>
      </c>
      <c r="L368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17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2.276774818170757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0.98865877093700905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4.1304081052144204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14.0414476655955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8" s="5">
        <f>IF((DiscreteStatsTable[[#This Row],[RepsRequested]]&gt;1),DiscreteStatsTable[[#This Row],[HalfWidth]],DiscreteStatsTable[[#This Row],[BatchMeansHalfWidth]])</f>
        <v>0.45160614839991103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17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67</v>
      </c>
      <c r="B369" t="s">
        <v>69</v>
      </c>
      <c r="C369">
        <v>11</v>
      </c>
      <c r="D369" t="s">
        <v>99</v>
      </c>
      <c r="E369" t="s">
        <v>90</v>
      </c>
      <c r="F369" t="s">
        <v>91</v>
      </c>
      <c r="G369">
        <v>1.5884898569305701</v>
      </c>
      <c r="H369">
        <v>2E+20</v>
      </c>
      <c r="I369">
        <v>0</v>
      </c>
      <c r="J369">
        <v>7.2980452748116402</v>
      </c>
      <c r="K369">
        <v>118</v>
      </c>
      <c r="L369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17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2.276774818170757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0.8783504865595686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0.98865877093700905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4.1304081052144204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14.0414476655955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69" s="5">
        <f>IF((DiscreteStatsTable[[#This Row],[RepsRequested]]&gt;1),DiscreteStatsTable[[#This Row],[HalfWidth]],DiscreteStatsTable[[#This Row],[BatchMeansHalfWidth]])</f>
        <v>0.45160614839991103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17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67</v>
      </c>
      <c r="B370" t="s">
        <v>69</v>
      </c>
      <c r="C370">
        <v>12</v>
      </c>
      <c r="D370" t="s">
        <v>99</v>
      </c>
      <c r="E370" t="s">
        <v>90</v>
      </c>
      <c r="F370" t="s">
        <v>91</v>
      </c>
      <c r="G370">
        <v>3.1696946426745498</v>
      </c>
      <c r="H370">
        <v>2E+20</v>
      </c>
      <c r="I370">
        <v>0</v>
      </c>
      <c r="J370">
        <v>9.4300529372939899</v>
      </c>
      <c r="K370">
        <v>117</v>
      </c>
      <c r="L370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17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2.276774818170757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0.8783504865595686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0.98865877093700905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4.1304081052144204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14.0414476655955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70" s="5">
        <f>IF((DiscreteStatsTable[[#This Row],[RepsRequested]]&gt;1),DiscreteStatsTable[[#This Row],[HalfWidth]],DiscreteStatsTable[[#This Row],[BatchMeansHalfWidth]])</f>
        <v>0.45160614839991103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17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67</v>
      </c>
      <c r="B371" t="s">
        <v>69</v>
      </c>
      <c r="C371">
        <v>13</v>
      </c>
      <c r="D371" t="s">
        <v>99</v>
      </c>
      <c r="E371" t="s">
        <v>90</v>
      </c>
      <c r="F371" t="s">
        <v>91</v>
      </c>
      <c r="G371">
        <v>1.33546284943723</v>
      </c>
      <c r="H371">
        <v>2E+20</v>
      </c>
      <c r="I371">
        <v>0</v>
      </c>
      <c r="J371">
        <v>8.1633097819494704</v>
      </c>
      <c r="K371">
        <v>114</v>
      </c>
      <c r="L371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17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2.276774818170757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0.8783504865595686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0.98865877093700905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4.1304081052144204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14.0414476655955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71" s="5">
        <f>IF((DiscreteStatsTable[[#This Row],[RepsRequested]]&gt;1),DiscreteStatsTable[[#This Row],[HalfWidth]],DiscreteStatsTable[[#This Row],[BatchMeansHalfWidth]])</f>
        <v>0.45160614839991103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17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67</v>
      </c>
      <c r="B372" t="s">
        <v>69</v>
      </c>
      <c r="C372">
        <v>14</v>
      </c>
      <c r="D372" t="s">
        <v>99</v>
      </c>
      <c r="E372" t="s">
        <v>90</v>
      </c>
      <c r="F372" t="s">
        <v>91</v>
      </c>
      <c r="G372">
        <v>2.3104264126552798</v>
      </c>
      <c r="H372">
        <v>2E+20</v>
      </c>
      <c r="I372">
        <v>0</v>
      </c>
      <c r="J372">
        <v>12.439316232992599</v>
      </c>
      <c r="K372">
        <v>106</v>
      </c>
      <c r="L372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17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2.276774818170757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0.8783504865595686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0.98865877093700905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4.1304081052144204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14.0414476655955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72" s="5">
        <f>IF((DiscreteStatsTable[[#This Row],[RepsRequested]]&gt;1),DiscreteStatsTable[[#This Row],[HalfWidth]],DiscreteStatsTable[[#This Row],[BatchMeansHalfWidth]])</f>
        <v>0.45160614839991103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17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67</v>
      </c>
      <c r="B373" t="s">
        <v>69</v>
      </c>
      <c r="C373">
        <v>15</v>
      </c>
      <c r="D373" t="s">
        <v>99</v>
      </c>
      <c r="E373" t="s">
        <v>90</v>
      </c>
      <c r="F373" t="s">
        <v>91</v>
      </c>
      <c r="G373">
        <v>1.63968993514122</v>
      </c>
      <c r="H373">
        <v>2E+20</v>
      </c>
      <c r="I373">
        <v>0</v>
      </c>
      <c r="J373">
        <v>8.7390569959479798</v>
      </c>
      <c r="K373">
        <v>116</v>
      </c>
      <c r="L373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17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2.276774818170757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0.8783504865595686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0.98865877093700905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4.1304081052144204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14.0414476655955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73" s="5">
        <f>IF((DiscreteStatsTable[[#This Row],[RepsRequested]]&gt;1),DiscreteStatsTable[[#This Row],[HalfWidth]],DiscreteStatsTable[[#This Row],[BatchMeansHalfWidth]])</f>
        <v>0.45160614839991103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17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67</v>
      </c>
      <c r="B374" t="s">
        <v>69</v>
      </c>
      <c r="C374">
        <v>16</v>
      </c>
      <c r="D374" t="s">
        <v>99</v>
      </c>
      <c r="E374" t="s">
        <v>90</v>
      </c>
      <c r="F374" t="s">
        <v>91</v>
      </c>
      <c r="G374">
        <v>1.4961535480174999</v>
      </c>
      <c r="H374">
        <v>2E+20</v>
      </c>
      <c r="I374">
        <v>0</v>
      </c>
      <c r="J374">
        <v>7.23421217369369</v>
      </c>
      <c r="K374">
        <v>110</v>
      </c>
      <c r="L374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17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2.276774818170757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0.8783504865595686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0.98865877093700905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4.1304081052144204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14.0414476655955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74" s="5">
        <f>IF((DiscreteStatsTable[[#This Row],[RepsRequested]]&gt;1),DiscreteStatsTable[[#This Row],[HalfWidth]],DiscreteStatsTable[[#This Row],[BatchMeansHalfWidth]])</f>
        <v>0.45160614839991103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17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67</v>
      </c>
      <c r="B375" t="s">
        <v>69</v>
      </c>
      <c r="C375">
        <v>17</v>
      </c>
      <c r="D375" t="s">
        <v>99</v>
      </c>
      <c r="E375" t="s">
        <v>90</v>
      </c>
      <c r="F375" t="s">
        <v>91</v>
      </c>
      <c r="G375">
        <v>3.5898719239118799</v>
      </c>
      <c r="H375">
        <v>2E+20</v>
      </c>
      <c r="I375">
        <v>0</v>
      </c>
      <c r="J375">
        <v>13.397299315956399</v>
      </c>
      <c r="K375">
        <v>118</v>
      </c>
      <c r="L375" s="5" t="str">
        <f>DiscreteStatsTable[[#This Row],[ProjectName]]&amp;DiscreteStatsTable[[#This Row],[Name]]&amp;DiscreteStatsTable[[#This Row],[Type]]&amp;DiscreteStatsTable[[#This Row],[Source]]</f>
        <v>Weekend (base)Pasar a Caja.QueueWaiting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17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2.276774818170757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0.8783504865595686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0.45160614839991103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0.98865877093700905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4.1304081052144204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14.0414476655955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117.47058823529412</v>
      </c>
      <c r="W375" s="5">
        <f>IF((DiscreteStatsTable[[#This Row],[RepsRequested]]&gt;1),DiscreteStatsTable[[#This Row],[HalfWidth]],DiscreteStatsTable[[#This Row],[BatchMeansHalfWidth]])</f>
        <v>0.45160614839991103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17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67</v>
      </c>
      <c r="B376" t="s">
        <v>69</v>
      </c>
      <c r="C376">
        <v>1</v>
      </c>
      <c r="D376" t="s">
        <v>103</v>
      </c>
      <c r="E376" t="s">
        <v>85</v>
      </c>
      <c r="F376" t="s">
        <v>86</v>
      </c>
      <c r="G376">
        <v>2.4568881669990401</v>
      </c>
      <c r="H376">
        <v>2E+20</v>
      </c>
      <c r="I376">
        <v>7.6832724142946104E-2</v>
      </c>
      <c r="J376">
        <v>10.482533139432901</v>
      </c>
      <c r="K376">
        <v>126</v>
      </c>
      <c r="L376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17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2.7249039468005769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0.73790259948822989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1.7343363759050501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4.5486927790840097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4.8783094206100899E-2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21.9295550003879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76" s="5">
        <f>IF((DiscreteStatsTable[[#This Row],[RepsRequested]]&gt;1),DiscreteStatsTable[[#This Row],[HalfWidth]],DiscreteStatsTable[[#This Row],[BatchMeansHalfWidth]])</f>
        <v>0.37939450817001585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17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67</v>
      </c>
      <c r="B377" t="s">
        <v>69</v>
      </c>
      <c r="C377">
        <v>1</v>
      </c>
      <c r="D377" t="s">
        <v>103</v>
      </c>
      <c r="E377" t="s">
        <v>87</v>
      </c>
      <c r="F377" t="s">
        <v>86</v>
      </c>
      <c r="G377">
        <v>1.5867311349692399</v>
      </c>
      <c r="H377">
        <v>2E+20</v>
      </c>
      <c r="I377">
        <v>0</v>
      </c>
      <c r="J377">
        <v>9.1653898112536005</v>
      </c>
      <c r="K377">
        <v>126</v>
      </c>
      <c r="L377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17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1.6103332664741163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0.11917717652594345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1.41833463085361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1.7811413925183199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15.9278211436392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77" s="5">
        <f>IF((DiscreteStatsTable[[#This Row],[RepsRequested]]&gt;1),DiscreteStatsTable[[#This Row],[HalfWidth]],DiscreteStatsTable[[#This Row],[BatchMeansHalfWidth]])</f>
        <v>6.1275250018783402E-2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17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67</v>
      </c>
      <c r="B378" t="s">
        <v>69</v>
      </c>
      <c r="C378">
        <v>1</v>
      </c>
      <c r="D378" t="s">
        <v>103</v>
      </c>
      <c r="E378" t="s">
        <v>88</v>
      </c>
      <c r="F378" t="s">
        <v>86</v>
      </c>
      <c r="G378">
        <v>0.87015703202980299</v>
      </c>
      <c r="H378">
        <v>2E+20</v>
      </c>
      <c r="I378">
        <v>0</v>
      </c>
      <c r="J378">
        <v>5.9763914213918401</v>
      </c>
      <c r="K378">
        <v>126</v>
      </c>
      <c r="L378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17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1.1145706803264603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0.65299199316651879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0.31411653725854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2.7770692321275301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14.2582487155402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78" s="5">
        <f>IF((DiscreteStatsTable[[#This Row],[RepsRequested]]&gt;1),DiscreteStatsTable[[#This Row],[HalfWidth]],DiscreteStatsTable[[#This Row],[BatchMeansHalfWidth]])</f>
        <v>0.33573750283328746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17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67</v>
      </c>
      <c r="B379" t="s">
        <v>69</v>
      </c>
      <c r="C379">
        <v>2</v>
      </c>
      <c r="D379" t="s">
        <v>103</v>
      </c>
      <c r="E379" t="s">
        <v>85</v>
      </c>
      <c r="F379" t="s">
        <v>86</v>
      </c>
      <c r="G379">
        <v>2.9035953871596698</v>
      </c>
      <c r="H379">
        <v>2E+20</v>
      </c>
      <c r="I379">
        <v>8.6978967344236893E-2</v>
      </c>
      <c r="J379">
        <v>12.615919286898</v>
      </c>
      <c r="K379">
        <v>115</v>
      </c>
      <c r="L379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17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2.7249039468005769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0.73790259948822989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1.7343363759050501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4.5486927790840097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4.8783094206100899E-2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21.9295550003879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79" s="5">
        <f>IF((DiscreteStatsTable[[#This Row],[RepsRequested]]&gt;1),DiscreteStatsTable[[#This Row],[HalfWidth]],DiscreteStatsTable[[#This Row],[BatchMeansHalfWidth]])</f>
        <v>0.37939450817001585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17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67</v>
      </c>
      <c r="B380" t="s">
        <v>69</v>
      </c>
      <c r="C380">
        <v>2</v>
      </c>
      <c r="D380" t="s">
        <v>103</v>
      </c>
      <c r="E380" t="s">
        <v>87</v>
      </c>
      <c r="F380" t="s">
        <v>86</v>
      </c>
      <c r="G380">
        <v>1.56727429784808</v>
      </c>
      <c r="H380">
        <v>2E+20</v>
      </c>
      <c r="I380">
        <v>8.6978967344236893E-2</v>
      </c>
      <c r="J380">
        <v>9.5575472356816302</v>
      </c>
      <c r="K380">
        <v>115</v>
      </c>
      <c r="L380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17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1.6103332664741163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0.11917717652594345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1.41833463085361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1.7811413925183199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15.9278211436392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0" s="5">
        <f>IF((DiscreteStatsTable[[#This Row],[RepsRequested]]&gt;1),DiscreteStatsTable[[#This Row],[HalfWidth]],DiscreteStatsTable[[#This Row],[BatchMeansHalfWidth]])</f>
        <v>6.1275250018783402E-2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17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67</v>
      </c>
      <c r="B381" t="s">
        <v>69</v>
      </c>
      <c r="C381">
        <v>2</v>
      </c>
      <c r="D381" t="s">
        <v>103</v>
      </c>
      <c r="E381" t="s">
        <v>88</v>
      </c>
      <c r="F381" t="s">
        <v>86</v>
      </c>
      <c r="G381">
        <v>1.3363210893116</v>
      </c>
      <c r="H381">
        <v>2E+20</v>
      </c>
      <c r="I381">
        <v>0</v>
      </c>
      <c r="J381">
        <v>6.4192820495913496</v>
      </c>
      <c r="K381">
        <v>115</v>
      </c>
      <c r="L381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17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1.1145706803264603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0.65299199316651879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0.31411653725854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2.7770692321275301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14.2582487155402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1" s="5">
        <f>IF((DiscreteStatsTable[[#This Row],[RepsRequested]]&gt;1),DiscreteStatsTable[[#This Row],[HalfWidth]],DiscreteStatsTable[[#This Row],[BatchMeansHalfWidth]])</f>
        <v>0.33573750283328746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17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67</v>
      </c>
      <c r="B382" t="s">
        <v>69</v>
      </c>
      <c r="C382">
        <v>3</v>
      </c>
      <c r="D382" t="s">
        <v>103</v>
      </c>
      <c r="E382" t="s">
        <v>85</v>
      </c>
      <c r="F382" t="s">
        <v>86</v>
      </c>
      <c r="G382">
        <v>3.8995359508824801</v>
      </c>
      <c r="H382">
        <v>2E+20</v>
      </c>
      <c r="I382">
        <v>0.105406515071508</v>
      </c>
      <c r="J382">
        <v>14.045485180441</v>
      </c>
      <c r="K382">
        <v>127</v>
      </c>
      <c r="L382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17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2.7249039468005769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0.73790259948822989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1.7343363759050501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4.5486927790840097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4.8783094206100899E-2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21.9295550003879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2" s="5">
        <f>IF((DiscreteStatsTable[[#This Row],[RepsRequested]]&gt;1),DiscreteStatsTable[[#This Row],[HalfWidth]],DiscreteStatsTable[[#This Row],[BatchMeansHalfWidth]])</f>
        <v>0.37939450817001585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17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67</v>
      </c>
      <c r="B383" t="s">
        <v>69</v>
      </c>
      <c r="C383">
        <v>3</v>
      </c>
      <c r="D383" t="s">
        <v>103</v>
      </c>
      <c r="E383" t="s">
        <v>87</v>
      </c>
      <c r="F383" t="s">
        <v>86</v>
      </c>
      <c r="G383">
        <v>1.77188920267996</v>
      </c>
      <c r="H383">
        <v>2E+20</v>
      </c>
      <c r="I383">
        <v>0.105406515071508</v>
      </c>
      <c r="J383">
        <v>7.9380465414783599</v>
      </c>
      <c r="K383">
        <v>127</v>
      </c>
      <c r="L383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17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1.6103332664741163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0.11917717652594345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1.41833463085361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1.7811413925183199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15.9278211436392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3" s="5">
        <f>IF((DiscreteStatsTable[[#This Row],[RepsRequested]]&gt;1),DiscreteStatsTable[[#This Row],[HalfWidth]],DiscreteStatsTable[[#This Row],[BatchMeansHalfWidth]])</f>
        <v>6.1275250018783402E-2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17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67</v>
      </c>
      <c r="B384" t="s">
        <v>69</v>
      </c>
      <c r="C384">
        <v>3</v>
      </c>
      <c r="D384" t="s">
        <v>103</v>
      </c>
      <c r="E384" t="s">
        <v>88</v>
      </c>
      <c r="F384" t="s">
        <v>86</v>
      </c>
      <c r="G384">
        <v>2.1276467482025199</v>
      </c>
      <c r="H384">
        <v>2E+20</v>
      </c>
      <c r="I384">
        <v>0</v>
      </c>
      <c r="J384">
        <v>8.9558078326435204</v>
      </c>
      <c r="K384">
        <v>127</v>
      </c>
      <c r="L384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17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1.1145706803264603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0.65299199316651879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0.31411653725854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2.7770692321275301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14.2582487155402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4" s="5">
        <f>IF((DiscreteStatsTable[[#This Row],[RepsRequested]]&gt;1),DiscreteStatsTable[[#This Row],[HalfWidth]],DiscreteStatsTable[[#This Row],[BatchMeansHalfWidth]])</f>
        <v>0.33573750283328746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17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67</v>
      </c>
      <c r="B385" t="s">
        <v>69</v>
      </c>
      <c r="C385">
        <v>4</v>
      </c>
      <c r="D385" t="s">
        <v>103</v>
      </c>
      <c r="E385" t="s">
        <v>85</v>
      </c>
      <c r="F385" t="s">
        <v>86</v>
      </c>
      <c r="G385">
        <v>2.4800409297455399</v>
      </c>
      <c r="H385">
        <v>2E+20</v>
      </c>
      <c r="I385">
        <v>4.8783094206100899E-2</v>
      </c>
      <c r="J385">
        <v>9.3780392383781397</v>
      </c>
      <c r="K385">
        <v>127</v>
      </c>
      <c r="L385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17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2.7249039468005769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0.73790259948822989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1.7343363759050501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4.5486927790840097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4.8783094206100899E-2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21.9295550003879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5" s="5">
        <f>IF((DiscreteStatsTable[[#This Row],[RepsRequested]]&gt;1),DiscreteStatsTable[[#This Row],[HalfWidth]],DiscreteStatsTable[[#This Row],[BatchMeansHalfWidth]])</f>
        <v>0.37939450817001585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17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67</v>
      </c>
      <c r="B386" t="s">
        <v>69</v>
      </c>
      <c r="C386">
        <v>4</v>
      </c>
      <c r="D386" t="s">
        <v>103</v>
      </c>
      <c r="E386" t="s">
        <v>87</v>
      </c>
      <c r="F386" t="s">
        <v>86</v>
      </c>
      <c r="G386">
        <v>1.58062551169041</v>
      </c>
      <c r="H386">
        <v>2E+20</v>
      </c>
      <c r="I386">
        <v>4.8783094206100899E-2</v>
      </c>
      <c r="J386">
        <v>6.5652280342830798</v>
      </c>
      <c r="K386">
        <v>127</v>
      </c>
      <c r="L386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17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1.6103332664741163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0.11917717652594345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1.41833463085361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1.7811413925183199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15.9278211436392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6" s="5">
        <f>IF((DiscreteStatsTable[[#This Row],[RepsRequested]]&gt;1),DiscreteStatsTable[[#This Row],[HalfWidth]],DiscreteStatsTable[[#This Row],[BatchMeansHalfWidth]])</f>
        <v>6.1275250018783402E-2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17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67</v>
      </c>
      <c r="B387" t="s">
        <v>69</v>
      </c>
      <c r="C387">
        <v>4</v>
      </c>
      <c r="D387" t="s">
        <v>103</v>
      </c>
      <c r="E387" t="s">
        <v>88</v>
      </c>
      <c r="F387" t="s">
        <v>86</v>
      </c>
      <c r="G387">
        <v>0.89941541805512903</v>
      </c>
      <c r="H387">
        <v>2E+20</v>
      </c>
      <c r="I387">
        <v>0</v>
      </c>
      <c r="J387">
        <v>4.9005621028883599</v>
      </c>
      <c r="K387">
        <v>127</v>
      </c>
      <c r="L387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17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1.1145706803264603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0.65299199316651879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0.31411653725854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2.7770692321275301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14.2582487155402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7" s="5">
        <f>IF((DiscreteStatsTable[[#This Row],[RepsRequested]]&gt;1),DiscreteStatsTable[[#This Row],[HalfWidth]],DiscreteStatsTable[[#This Row],[BatchMeansHalfWidth]])</f>
        <v>0.33573750283328746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17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67</v>
      </c>
      <c r="B388" t="s">
        <v>69</v>
      </c>
      <c r="C388">
        <v>5</v>
      </c>
      <c r="D388" t="s">
        <v>103</v>
      </c>
      <c r="E388" t="s">
        <v>85</v>
      </c>
      <c r="F388" t="s">
        <v>86</v>
      </c>
      <c r="G388">
        <v>2.39515071194054</v>
      </c>
      <c r="H388">
        <v>2E+20</v>
      </c>
      <c r="I388">
        <v>6.6051079522992495E-2</v>
      </c>
      <c r="J388">
        <v>10.2395346944368</v>
      </c>
      <c r="K388">
        <v>132</v>
      </c>
      <c r="L388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17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2.7249039468005769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0.73790259948822989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1.7343363759050501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4.5486927790840097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4.8783094206100899E-2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21.9295550003879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8" s="5">
        <f>IF((DiscreteStatsTable[[#This Row],[RepsRequested]]&gt;1),DiscreteStatsTable[[#This Row],[HalfWidth]],DiscreteStatsTable[[#This Row],[BatchMeansHalfWidth]])</f>
        <v>0.37939450817001585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17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67</v>
      </c>
      <c r="B389" t="s">
        <v>69</v>
      </c>
      <c r="C389">
        <v>5</v>
      </c>
      <c r="D389" t="s">
        <v>103</v>
      </c>
      <c r="E389" t="s">
        <v>87</v>
      </c>
      <c r="F389" t="s">
        <v>86</v>
      </c>
      <c r="G389">
        <v>1.41833463085361</v>
      </c>
      <c r="H389">
        <v>2E+20</v>
      </c>
      <c r="I389">
        <v>6.6051079522992495E-2</v>
      </c>
      <c r="J389">
        <v>10.2395346944368</v>
      </c>
      <c r="K389">
        <v>132</v>
      </c>
      <c r="L389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17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1.6103332664741163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0.11917717652594345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1.41833463085361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1.7811413925183199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15.9278211436392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89" s="5">
        <f>IF((DiscreteStatsTable[[#This Row],[RepsRequested]]&gt;1),DiscreteStatsTable[[#This Row],[HalfWidth]],DiscreteStatsTable[[#This Row],[BatchMeansHalfWidth]])</f>
        <v>6.1275250018783402E-2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17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67</v>
      </c>
      <c r="B390" t="s">
        <v>69</v>
      </c>
      <c r="C390">
        <v>5</v>
      </c>
      <c r="D390" t="s">
        <v>103</v>
      </c>
      <c r="E390" t="s">
        <v>88</v>
      </c>
      <c r="F390" t="s">
        <v>86</v>
      </c>
      <c r="G390">
        <v>0.97681608108692797</v>
      </c>
      <c r="H390">
        <v>2E+20</v>
      </c>
      <c r="I390">
        <v>0</v>
      </c>
      <c r="J390">
        <v>4.9139508023934901</v>
      </c>
      <c r="K390">
        <v>132</v>
      </c>
      <c r="L390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17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1.1145706803264603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0.65299199316651879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0.31411653725854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2.7770692321275301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14.2582487155402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0" s="5">
        <f>IF((DiscreteStatsTable[[#This Row],[RepsRequested]]&gt;1),DiscreteStatsTable[[#This Row],[HalfWidth]],DiscreteStatsTable[[#This Row],[BatchMeansHalfWidth]])</f>
        <v>0.33573750283328746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17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67</v>
      </c>
      <c r="B391" t="s">
        <v>69</v>
      </c>
      <c r="C391">
        <v>6</v>
      </c>
      <c r="D391" t="s">
        <v>103</v>
      </c>
      <c r="E391" t="s">
        <v>85</v>
      </c>
      <c r="F391" t="s">
        <v>86</v>
      </c>
      <c r="G391">
        <v>1.7343363759050501</v>
      </c>
      <c r="H391">
        <v>2E+20</v>
      </c>
      <c r="I391">
        <v>8.7529510649943604E-2</v>
      </c>
      <c r="J391">
        <v>10.115319254233199</v>
      </c>
      <c r="K391">
        <v>116</v>
      </c>
      <c r="L391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17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2.7249039468005769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0.73790259948822989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1.7343363759050501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4.5486927790840097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4.8783094206100899E-2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21.9295550003879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1" s="5">
        <f>IF((DiscreteStatsTable[[#This Row],[RepsRequested]]&gt;1),DiscreteStatsTable[[#This Row],[HalfWidth]],DiscreteStatsTable[[#This Row],[BatchMeansHalfWidth]])</f>
        <v>0.37939450817001585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17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67</v>
      </c>
      <c r="B392" t="s">
        <v>69</v>
      </c>
      <c r="C392">
        <v>6</v>
      </c>
      <c r="D392" t="s">
        <v>103</v>
      </c>
      <c r="E392" t="s">
        <v>87</v>
      </c>
      <c r="F392" t="s">
        <v>86</v>
      </c>
      <c r="G392">
        <v>1.4202198386465099</v>
      </c>
      <c r="H392">
        <v>2E+20</v>
      </c>
      <c r="I392">
        <v>8.7529510649943604E-2</v>
      </c>
      <c r="J392">
        <v>10.115319254233199</v>
      </c>
      <c r="K392">
        <v>116</v>
      </c>
      <c r="L392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17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1.6103332664741163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0.11917717652594345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1.41833463085361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1.7811413925183199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15.9278211436392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2" s="5">
        <f>IF((DiscreteStatsTable[[#This Row],[RepsRequested]]&gt;1),DiscreteStatsTable[[#This Row],[HalfWidth]],DiscreteStatsTable[[#This Row],[BatchMeansHalfWidth]])</f>
        <v>6.1275250018783402E-2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17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67</v>
      </c>
      <c r="B393" t="s">
        <v>69</v>
      </c>
      <c r="C393">
        <v>6</v>
      </c>
      <c r="D393" t="s">
        <v>103</v>
      </c>
      <c r="E393" t="s">
        <v>88</v>
      </c>
      <c r="F393" t="s">
        <v>86</v>
      </c>
      <c r="G393">
        <v>0.31411653725854</v>
      </c>
      <c r="H393">
        <v>2E+20</v>
      </c>
      <c r="I393">
        <v>0</v>
      </c>
      <c r="J393">
        <v>2.4356125057003801</v>
      </c>
      <c r="K393">
        <v>116</v>
      </c>
      <c r="L393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17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1.1145706803264603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0.65299199316651879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0.31411653725854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2.7770692321275301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14.2582487155402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3" s="5">
        <f>IF((DiscreteStatsTable[[#This Row],[RepsRequested]]&gt;1),DiscreteStatsTable[[#This Row],[HalfWidth]],DiscreteStatsTable[[#This Row],[BatchMeansHalfWidth]])</f>
        <v>0.33573750283328746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17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67</v>
      </c>
      <c r="B394" t="s">
        <v>69</v>
      </c>
      <c r="C394">
        <v>7</v>
      </c>
      <c r="D394" t="s">
        <v>103</v>
      </c>
      <c r="E394" t="s">
        <v>85</v>
      </c>
      <c r="F394" t="s">
        <v>86</v>
      </c>
      <c r="G394">
        <v>2.2718406788150101</v>
      </c>
      <c r="H394">
        <v>2E+20</v>
      </c>
      <c r="I394">
        <v>9.4886653473935198E-2</v>
      </c>
      <c r="J394">
        <v>9.6710981365093307</v>
      </c>
      <c r="K394">
        <v>108</v>
      </c>
      <c r="L394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17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2.7249039468005769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0.73790259948822989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1.7343363759050501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4.5486927790840097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4.8783094206100899E-2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21.9295550003879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4" s="5">
        <f>IF((DiscreteStatsTable[[#This Row],[RepsRequested]]&gt;1),DiscreteStatsTable[[#This Row],[HalfWidth]],DiscreteStatsTable[[#This Row],[BatchMeansHalfWidth]])</f>
        <v>0.37939450817001585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17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67</v>
      </c>
      <c r="B395" t="s">
        <v>69</v>
      </c>
      <c r="C395">
        <v>7</v>
      </c>
      <c r="D395" t="s">
        <v>103</v>
      </c>
      <c r="E395" t="s">
        <v>87</v>
      </c>
      <c r="F395" t="s">
        <v>86</v>
      </c>
      <c r="G395">
        <v>1.59595094473475</v>
      </c>
      <c r="H395">
        <v>2E+20</v>
      </c>
      <c r="I395">
        <v>9.4886653473935198E-2</v>
      </c>
      <c r="J395">
        <v>9.6710981365093307</v>
      </c>
      <c r="K395">
        <v>108</v>
      </c>
      <c r="L395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17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1.6103332664741163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0.11917717652594345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1.41833463085361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1.7811413925183199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15.9278211436392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5" s="5">
        <f>IF((DiscreteStatsTable[[#This Row],[RepsRequested]]&gt;1),DiscreteStatsTable[[#This Row],[HalfWidth]],DiscreteStatsTable[[#This Row],[BatchMeansHalfWidth]])</f>
        <v>6.1275250018783402E-2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17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67</v>
      </c>
      <c r="B396" t="s">
        <v>69</v>
      </c>
      <c r="C396">
        <v>7</v>
      </c>
      <c r="D396" t="s">
        <v>103</v>
      </c>
      <c r="E396" t="s">
        <v>88</v>
      </c>
      <c r="F396" t="s">
        <v>86</v>
      </c>
      <c r="G396">
        <v>0.67588973408025299</v>
      </c>
      <c r="H396">
        <v>2E+20</v>
      </c>
      <c r="I396">
        <v>0</v>
      </c>
      <c r="J396">
        <v>4.2859941984159802</v>
      </c>
      <c r="K396">
        <v>108</v>
      </c>
      <c r="L396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17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1.1145706803264603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0.65299199316651879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0.31411653725854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2.7770692321275301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14.2582487155402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6" s="5">
        <f>IF((DiscreteStatsTable[[#This Row],[RepsRequested]]&gt;1),DiscreteStatsTable[[#This Row],[HalfWidth]],DiscreteStatsTable[[#This Row],[BatchMeansHalfWidth]])</f>
        <v>0.33573750283328746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17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67</v>
      </c>
      <c r="B397" t="s">
        <v>69</v>
      </c>
      <c r="C397">
        <v>8</v>
      </c>
      <c r="D397" t="s">
        <v>103</v>
      </c>
      <c r="E397" t="s">
        <v>85</v>
      </c>
      <c r="F397" t="s">
        <v>86</v>
      </c>
      <c r="G397">
        <v>4.5486927790840097</v>
      </c>
      <c r="H397">
        <v>2E+20</v>
      </c>
      <c r="I397">
        <v>0.125718801369786</v>
      </c>
      <c r="J397">
        <v>21.9295550003879</v>
      </c>
      <c r="K397">
        <v>117</v>
      </c>
      <c r="L397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17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2.7249039468005769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0.73790259948822989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1.7343363759050501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4.5486927790840097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4.8783094206100899E-2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21.9295550003879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7" s="5">
        <f>IF((DiscreteStatsTable[[#This Row],[RepsRequested]]&gt;1),DiscreteStatsTable[[#This Row],[HalfWidth]],DiscreteStatsTable[[#This Row],[BatchMeansHalfWidth]])</f>
        <v>0.37939450817001585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17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67</v>
      </c>
      <c r="B398" t="s">
        <v>69</v>
      </c>
      <c r="C398">
        <v>8</v>
      </c>
      <c r="D398" t="s">
        <v>103</v>
      </c>
      <c r="E398" t="s">
        <v>87</v>
      </c>
      <c r="F398" t="s">
        <v>86</v>
      </c>
      <c r="G398">
        <v>1.7716235469564801</v>
      </c>
      <c r="H398">
        <v>2E+20</v>
      </c>
      <c r="I398">
        <v>5.7741408836392297E-2</v>
      </c>
      <c r="J398">
        <v>15.9278211436392</v>
      </c>
      <c r="K398">
        <v>117</v>
      </c>
      <c r="L398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17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1.6103332664741163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0.11917717652594345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1.41833463085361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1.7811413925183199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15.9278211436392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8" s="5">
        <f>IF((DiscreteStatsTable[[#This Row],[RepsRequested]]&gt;1),DiscreteStatsTable[[#This Row],[HalfWidth]],DiscreteStatsTable[[#This Row],[BatchMeansHalfWidth]])</f>
        <v>6.1275250018783402E-2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17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67</v>
      </c>
      <c r="B399" t="s">
        <v>69</v>
      </c>
      <c r="C399">
        <v>8</v>
      </c>
      <c r="D399" t="s">
        <v>103</v>
      </c>
      <c r="E399" t="s">
        <v>88</v>
      </c>
      <c r="F399" t="s">
        <v>86</v>
      </c>
      <c r="G399">
        <v>2.7770692321275301</v>
      </c>
      <c r="H399">
        <v>2E+20</v>
      </c>
      <c r="I399">
        <v>0</v>
      </c>
      <c r="J399">
        <v>14.2582487155402</v>
      </c>
      <c r="K399">
        <v>117</v>
      </c>
      <c r="L399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17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1.1145706803264603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0.65299199316651879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0.31411653725854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2.7770692321275301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14.2582487155402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399" s="5">
        <f>IF((DiscreteStatsTable[[#This Row],[RepsRequested]]&gt;1),DiscreteStatsTable[[#This Row],[HalfWidth]],DiscreteStatsTable[[#This Row],[BatchMeansHalfWidth]])</f>
        <v>0.33573750283328746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17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67</v>
      </c>
      <c r="B400" t="s">
        <v>69</v>
      </c>
      <c r="C400">
        <v>9</v>
      </c>
      <c r="D400" t="s">
        <v>103</v>
      </c>
      <c r="E400" t="s">
        <v>85</v>
      </c>
      <c r="F400" t="s">
        <v>86</v>
      </c>
      <c r="G400">
        <v>2.7637328274811699</v>
      </c>
      <c r="H400">
        <v>2E+20</v>
      </c>
      <c r="I400">
        <v>7.0999501424836395E-2</v>
      </c>
      <c r="J400">
        <v>11.1722115325913</v>
      </c>
      <c r="K400">
        <v>121</v>
      </c>
      <c r="L400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17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2.7249039468005769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1.7343363759050501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4.5486927790840097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4.8783094206100899E-2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21.9295550003879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0" s="5">
        <f>IF((DiscreteStatsTable[[#This Row],[RepsRequested]]&gt;1),DiscreteStatsTable[[#This Row],[HalfWidth]],DiscreteStatsTable[[#This Row],[BatchMeansHalfWidth]])</f>
        <v>0.37939450817001585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17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67</v>
      </c>
      <c r="B401" t="s">
        <v>69</v>
      </c>
      <c r="C401">
        <v>9</v>
      </c>
      <c r="D401" t="s">
        <v>103</v>
      </c>
      <c r="E401" t="s">
        <v>87</v>
      </c>
      <c r="F401" t="s">
        <v>86</v>
      </c>
      <c r="G401">
        <v>1.5635705096742001</v>
      </c>
      <c r="H401">
        <v>2E+20</v>
      </c>
      <c r="I401">
        <v>7.0999501424836395E-2</v>
      </c>
      <c r="J401">
        <v>8.0682017964739003</v>
      </c>
      <c r="K401">
        <v>121</v>
      </c>
      <c r="L401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17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1.6103332664741163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1.41833463085361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1.7811413925183199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15.9278211436392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1" s="5">
        <f>IF((DiscreteStatsTable[[#This Row],[RepsRequested]]&gt;1),DiscreteStatsTable[[#This Row],[HalfWidth]],DiscreteStatsTable[[#This Row],[BatchMeansHalfWidth]])</f>
        <v>6.1275250018783402E-2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17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67</v>
      </c>
      <c r="B402" t="s">
        <v>69</v>
      </c>
      <c r="C402">
        <v>9</v>
      </c>
      <c r="D402" t="s">
        <v>103</v>
      </c>
      <c r="E402" t="s">
        <v>88</v>
      </c>
      <c r="F402" t="s">
        <v>86</v>
      </c>
      <c r="G402">
        <v>1.20016231780698</v>
      </c>
      <c r="H402">
        <v>2E+20</v>
      </c>
      <c r="I402">
        <v>0</v>
      </c>
      <c r="J402">
        <v>8.1178194016963108</v>
      </c>
      <c r="K402">
        <v>121</v>
      </c>
      <c r="L402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17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1.1145706803264603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0.31411653725854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2.7770692321275301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0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14.2582487155402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2" s="5">
        <f>IF((DiscreteStatsTable[[#This Row],[RepsRequested]]&gt;1),DiscreteStatsTable[[#This Row],[HalfWidth]],DiscreteStatsTable[[#This Row],[BatchMeansHalfWidth]])</f>
        <v>0.33573750283328746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17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67</v>
      </c>
      <c r="B403" t="s">
        <v>69</v>
      </c>
      <c r="C403">
        <v>10</v>
      </c>
      <c r="D403" t="s">
        <v>103</v>
      </c>
      <c r="E403" t="s">
        <v>85</v>
      </c>
      <c r="F403" t="s">
        <v>86</v>
      </c>
      <c r="G403">
        <v>2.9862127956612099</v>
      </c>
      <c r="H403">
        <v>2E+20</v>
      </c>
      <c r="I403">
        <v>8.4527203756607605E-2</v>
      </c>
      <c r="J403">
        <v>9.2409117595080392</v>
      </c>
      <c r="K403">
        <v>126</v>
      </c>
      <c r="L403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17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2.7249039468005769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1.7343363759050501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4.5486927790840097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4.8783094206100899E-2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21.9295550003879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3" s="5">
        <f>IF((DiscreteStatsTable[[#This Row],[RepsRequested]]&gt;1),DiscreteStatsTable[[#This Row],[HalfWidth]],DiscreteStatsTable[[#This Row],[BatchMeansHalfWidth]])</f>
        <v>0.37939450817001585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17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67</v>
      </c>
      <c r="B404" t="s">
        <v>69</v>
      </c>
      <c r="C404">
        <v>10</v>
      </c>
      <c r="D404" t="s">
        <v>103</v>
      </c>
      <c r="E404" t="s">
        <v>87</v>
      </c>
      <c r="F404" t="s">
        <v>86</v>
      </c>
      <c r="G404">
        <v>1.62022732032631</v>
      </c>
      <c r="H404">
        <v>2E+20</v>
      </c>
      <c r="I404">
        <v>8.4527203756607605E-2</v>
      </c>
      <c r="J404">
        <v>8.3699081267817199</v>
      </c>
      <c r="K404">
        <v>126</v>
      </c>
      <c r="L404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17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1.6103332664741163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1.41833463085361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1.7811413925183199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15.9278211436392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4" s="5">
        <f>IF((DiscreteStatsTable[[#This Row],[RepsRequested]]&gt;1),DiscreteStatsTable[[#This Row],[HalfWidth]],DiscreteStatsTable[[#This Row],[BatchMeansHalfWidth]])</f>
        <v>6.1275250018783402E-2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17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67</v>
      </c>
      <c r="B405" t="s">
        <v>69</v>
      </c>
      <c r="C405">
        <v>10</v>
      </c>
      <c r="D405" t="s">
        <v>103</v>
      </c>
      <c r="E405" t="s">
        <v>88</v>
      </c>
      <c r="F405" t="s">
        <v>86</v>
      </c>
      <c r="G405">
        <v>1.3659854753348999</v>
      </c>
      <c r="H405">
        <v>2E+20</v>
      </c>
      <c r="I405">
        <v>0</v>
      </c>
      <c r="J405">
        <v>5.36089862984264</v>
      </c>
      <c r="K405">
        <v>126</v>
      </c>
      <c r="L405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17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1.1145706803264603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0.31411653725854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2.7770692321275301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14.2582487155402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5" s="5">
        <f>IF((DiscreteStatsTable[[#This Row],[RepsRequested]]&gt;1),DiscreteStatsTable[[#This Row],[HalfWidth]],DiscreteStatsTable[[#This Row],[BatchMeansHalfWidth]])</f>
        <v>0.33573750283328746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17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67</v>
      </c>
      <c r="B406" t="s">
        <v>69</v>
      </c>
      <c r="C406">
        <v>11</v>
      </c>
      <c r="D406" t="s">
        <v>103</v>
      </c>
      <c r="E406" t="s">
        <v>85</v>
      </c>
      <c r="F406" t="s">
        <v>86</v>
      </c>
      <c r="G406">
        <v>2.1193119571038301</v>
      </c>
      <c r="H406">
        <v>2E+20</v>
      </c>
      <c r="I406">
        <v>6.6235358839208003E-2</v>
      </c>
      <c r="J406">
        <v>8.1527215467789897</v>
      </c>
      <c r="K406">
        <v>118</v>
      </c>
      <c r="L406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17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2.7249039468005769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1.7343363759050501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4.5486927790840097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4.8783094206100899E-2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21.9295550003879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6" s="5">
        <f>IF((DiscreteStatsTable[[#This Row],[RepsRequested]]&gt;1),DiscreteStatsTable[[#This Row],[HalfWidth]],DiscreteStatsTable[[#This Row],[BatchMeansHalfWidth]])</f>
        <v>0.37939450817001585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17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67</v>
      </c>
      <c r="B407" t="s">
        <v>69</v>
      </c>
      <c r="C407">
        <v>11</v>
      </c>
      <c r="D407" t="s">
        <v>103</v>
      </c>
      <c r="E407" t="s">
        <v>87</v>
      </c>
      <c r="F407" t="s">
        <v>86</v>
      </c>
      <c r="G407">
        <v>1.50837613982693</v>
      </c>
      <c r="H407">
        <v>2E+20</v>
      </c>
      <c r="I407">
        <v>6.6235358839208003E-2</v>
      </c>
      <c r="J407">
        <v>8.1527215467789897</v>
      </c>
      <c r="K407">
        <v>118</v>
      </c>
      <c r="L407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17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1.6103332664741163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1.41833463085361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1.7811413925183199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15.9278211436392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7" s="5">
        <f>IF((DiscreteStatsTable[[#This Row],[RepsRequested]]&gt;1),DiscreteStatsTable[[#This Row],[HalfWidth]],DiscreteStatsTable[[#This Row],[BatchMeansHalfWidth]])</f>
        <v>6.1275250018783402E-2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17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67</v>
      </c>
      <c r="B408" t="s">
        <v>69</v>
      </c>
      <c r="C408">
        <v>11</v>
      </c>
      <c r="D408" t="s">
        <v>103</v>
      </c>
      <c r="E408" t="s">
        <v>88</v>
      </c>
      <c r="F408" t="s">
        <v>86</v>
      </c>
      <c r="G408">
        <v>0.61093581727690305</v>
      </c>
      <c r="H408">
        <v>2E+20</v>
      </c>
      <c r="I408">
        <v>0</v>
      </c>
      <c r="J408">
        <v>4.0985958137802099</v>
      </c>
      <c r="K408">
        <v>118</v>
      </c>
      <c r="L408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17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1.1145706803264603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0.31411653725854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2.7770692321275301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0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14.2582487155402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8" s="5">
        <f>IF((DiscreteStatsTable[[#This Row],[RepsRequested]]&gt;1),DiscreteStatsTable[[#This Row],[HalfWidth]],DiscreteStatsTable[[#This Row],[BatchMeansHalfWidth]])</f>
        <v>0.33573750283328746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17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67</v>
      </c>
      <c r="B409" t="s">
        <v>69</v>
      </c>
      <c r="C409">
        <v>12</v>
      </c>
      <c r="D409" t="s">
        <v>103</v>
      </c>
      <c r="E409" t="s">
        <v>85</v>
      </c>
      <c r="F409" t="s">
        <v>86</v>
      </c>
      <c r="G409">
        <v>3.0683908304241001</v>
      </c>
      <c r="H409">
        <v>2E+20</v>
      </c>
      <c r="I409">
        <v>0.173136048822954</v>
      </c>
      <c r="J409">
        <v>11.654208157192199</v>
      </c>
      <c r="K409">
        <v>120</v>
      </c>
      <c r="L409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17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2.7249039468005769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1.7343363759050501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4.5486927790840097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4.8783094206100899E-2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21.9295550003879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09" s="5">
        <f>IF((DiscreteStatsTable[[#This Row],[RepsRequested]]&gt;1),DiscreteStatsTable[[#This Row],[HalfWidth]],DiscreteStatsTable[[#This Row],[BatchMeansHalfWidth]])</f>
        <v>0.37939450817001585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17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67</v>
      </c>
      <c r="B410" t="s">
        <v>69</v>
      </c>
      <c r="C410">
        <v>12</v>
      </c>
      <c r="D410" t="s">
        <v>103</v>
      </c>
      <c r="E410" t="s">
        <v>87</v>
      </c>
      <c r="F410" t="s">
        <v>86</v>
      </c>
      <c r="G410">
        <v>1.6590961128631401</v>
      </c>
      <c r="H410">
        <v>2E+20</v>
      </c>
      <c r="I410">
        <v>0.100588805066892</v>
      </c>
      <c r="J410">
        <v>10.436032174734599</v>
      </c>
      <c r="K410">
        <v>120</v>
      </c>
      <c r="L410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17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1.6103332664741163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1.41833463085361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1.7811413925183199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15.9278211436392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0" s="5">
        <f>IF((DiscreteStatsTable[[#This Row],[RepsRequested]]&gt;1),DiscreteStatsTable[[#This Row],[HalfWidth]],DiscreteStatsTable[[#This Row],[BatchMeansHalfWidth]])</f>
        <v>6.1275250018783402E-2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17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67</v>
      </c>
      <c r="B411" t="s">
        <v>69</v>
      </c>
      <c r="C411">
        <v>12</v>
      </c>
      <c r="D411" t="s">
        <v>103</v>
      </c>
      <c r="E411" t="s">
        <v>88</v>
      </c>
      <c r="F411" t="s">
        <v>86</v>
      </c>
      <c r="G411">
        <v>1.40929471756095</v>
      </c>
      <c r="H411">
        <v>2E+20</v>
      </c>
      <c r="I411">
        <v>0</v>
      </c>
      <c r="J411">
        <v>9.6012349349361301</v>
      </c>
      <c r="K411">
        <v>120</v>
      </c>
      <c r="L411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17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1.1145706803264603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0.31411653725854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2.7770692321275301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14.2582487155402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1" s="5">
        <f>IF((DiscreteStatsTable[[#This Row],[RepsRequested]]&gt;1),DiscreteStatsTable[[#This Row],[HalfWidth]],DiscreteStatsTable[[#This Row],[BatchMeansHalfWidth]])</f>
        <v>0.33573750283328746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17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67</v>
      </c>
      <c r="B412" t="s">
        <v>69</v>
      </c>
      <c r="C412">
        <v>13</v>
      </c>
      <c r="D412" t="s">
        <v>103</v>
      </c>
      <c r="E412" t="s">
        <v>85</v>
      </c>
      <c r="F412" t="s">
        <v>86</v>
      </c>
      <c r="G412">
        <v>2.3726484105738801</v>
      </c>
      <c r="H412">
        <v>2E+20</v>
      </c>
      <c r="I412">
        <v>0.13865872823527101</v>
      </c>
      <c r="J412">
        <v>8.6357529250444092</v>
      </c>
      <c r="K412">
        <v>112</v>
      </c>
      <c r="L412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17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2.7249039468005769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1.7343363759050501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4.5486927790840097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4.8783094206100899E-2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21.9295550003879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2" s="5">
        <f>IF((DiscreteStatsTable[[#This Row],[RepsRequested]]&gt;1),DiscreteStatsTable[[#This Row],[HalfWidth]],DiscreteStatsTable[[#This Row],[BatchMeansHalfWidth]])</f>
        <v>0.37939450817001585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17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67</v>
      </c>
      <c r="B413" t="s">
        <v>69</v>
      </c>
      <c r="C413">
        <v>13</v>
      </c>
      <c r="D413" t="s">
        <v>103</v>
      </c>
      <c r="E413" t="s">
        <v>87</v>
      </c>
      <c r="F413" t="s">
        <v>86</v>
      </c>
      <c r="G413">
        <v>1.6890327481912999</v>
      </c>
      <c r="H413">
        <v>2E+20</v>
      </c>
      <c r="I413">
        <v>6.7164132291423997E-2</v>
      </c>
      <c r="J413">
        <v>7.7277863948652099</v>
      </c>
      <c r="K413">
        <v>112</v>
      </c>
      <c r="L413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17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1.6103332664741163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1.41833463085361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1.7811413925183199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15.9278211436392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3" s="5">
        <f>IF((DiscreteStatsTable[[#This Row],[RepsRequested]]&gt;1),DiscreteStatsTable[[#This Row],[HalfWidth]],DiscreteStatsTable[[#This Row],[BatchMeansHalfWidth]])</f>
        <v>6.1275250018783402E-2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17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67</v>
      </c>
      <c r="B414" t="s">
        <v>69</v>
      </c>
      <c r="C414">
        <v>13</v>
      </c>
      <c r="D414" t="s">
        <v>103</v>
      </c>
      <c r="E414" t="s">
        <v>88</v>
      </c>
      <c r="F414" t="s">
        <v>86</v>
      </c>
      <c r="G414">
        <v>0.68361566238257798</v>
      </c>
      <c r="H414">
        <v>2E+20</v>
      </c>
      <c r="I414">
        <v>0</v>
      </c>
      <c r="J414">
        <v>5.8710284321085204</v>
      </c>
      <c r="K414">
        <v>112</v>
      </c>
      <c r="L414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17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1.1145706803264603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0.31411653725854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2.7770692321275301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0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14.2582487155402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4" s="5">
        <f>IF((DiscreteStatsTable[[#This Row],[RepsRequested]]&gt;1),DiscreteStatsTable[[#This Row],[HalfWidth]],DiscreteStatsTable[[#This Row],[BatchMeansHalfWidth]])</f>
        <v>0.33573750283328746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17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67</v>
      </c>
      <c r="B415" t="s">
        <v>69</v>
      </c>
      <c r="C415">
        <v>14</v>
      </c>
      <c r="D415" t="s">
        <v>103</v>
      </c>
      <c r="E415" t="s">
        <v>85</v>
      </c>
      <c r="F415" t="s">
        <v>86</v>
      </c>
      <c r="G415">
        <v>2.5785303224571301</v>
      </c>
      <c r="H415">
        <v>2E+20</v>
      </c>
      <c r="I415">
        <v>8.1707279932245996E-2</v>
      </c>
      <c r="J415">
        <v>12.7195826485077</v>
      </c>
      <c r="K415">
        <v>110</v>
      </c>
      <c r="L415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17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2.7249039468005769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1.7343363759050501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4.5486927790840097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4.8783094206100899E-2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21.9295550003879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5" s="5">
        <f>IF((DiscreteStatsTable[[#This Row],[RepsRequested]]&gt;1),DiscreteStatsTable[[#This Row],[HalfWidth]],DiscreteStatsTable[[#This Row],[BatchMeansHalfWidth]])</f>
        <v>0.37939450817001585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17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67</v>
      </c>
      <c r="B416" t="s">
        <v>69</v>
      </c>
      <c r="C416">
        <v>14</v>
      </c>
      <c r="D416" t="s">
        <v>103</v>
      </c>
      <c r="E416" t="s">
        <v>87</v>
      </c>
      <c r="F416" t="s">
        <v>86</v>
      </c>
      <c r="G416">
        <v>1.77240534710645</v>
      </c>
      <c r="H416">
        <v>2E+20</v>
      </c>
      <c r="I416">
        <v>6.6826078700273697E-2</v>
      </c>
      <c r="J416">
        <v>11.0524376028978</v>
      </c>
      <c r="K416">
        <v>110</v>
      </c>
      <c r="L416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17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1.6103332664741163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1.41833463085361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1.7811413925183199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15.9278211436392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6" s="5">
        <f>IF((DiscreteStatsTable[[#This Row],[RepsRequested]]&gt;1),DiscreteStatsTable[[#This Row],[HalfWidth]],DiscreteStatsTable[[#This Row],[BatchMeansHalfWidth]])</f>
        <v>6.1275250018783402E-2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17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67</v>
      </c>
      <c r="B417" t="s">
        <v>69</v>
      </c>
      <c r="C417">
        <v>14</v>
      </c>
      <c r="D417" t="s">
        <v>103</v>
      </c>
      <c r="E417" t="s">
        <v>88</v>
      </c>
      <c r="F417" t="s">
        <v>86</v>
      </c>
      <c r="G417">
        <v>0.80612497535068695</v>
      </c>
      <c r="H417">
        <v>2E+20</v>
      </c>
      <c r="I417">
        <v>0</v>
      </c>
      <c r="J417">
        <v>4.5672500462710302</v>
      </c>
      <c r="K417">
        <v>110</v>
      </c>
      <c r="L417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17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1.1145706803264603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0.31411653725854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2.7770692321275301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14.2582487155402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7" s="5">
        <f>IF((DiscreteStatsTable[[#This Row],[RepsRequested]]&gt;1),DiscreteStatsTable[[#This Row],[HalfWidth]],DiscreteStatsTable[[#This Row],[BatchMeansHalfWidth]])</f>
        <v>0.33573750283328746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17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67</v>
      </c>
      <c r="B418" t="s">
        <v>69</v>
      </c>
      <c r="C418">
        <v>15</v>
      </c>
      <c r="D418" t="s">
        <v>103</v>
      </c>
      <c r="E418" t="s">
        <v>85</v>
      </c>
      <c r="F418" t="s">
        <v>86</v>
      </c>
      <c r="G418">
        <v>2.1729802149470299</v>
      </c>
      <c r="H418">
        <v>2E+20</v>
      </c>
      <c r="I418">
        <v>6.8541065135150403E-2</v>
      </c>
      <c r="J418">
        <v>13.1254683438216</v>
      </c>
      <c r="K418">
        <v>118</v>
      </c>
      <c r="L418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17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2.7249039468005769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1.7343363759050501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4.5486927790840097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4.8783094206100899E-2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21.9295550003879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8" s="5">
        <f>IF((DiscreteStatsTable[[#This Row],[RepsRequested]]&gt;1),DiscreteStatsTable[[#This Row],[HalfWidth]],DiscreteStatsTable[[#This Row],[BatchMeansHalfWidth]])</f>
        <v>0.37939450817001585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17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67</v>
      </c>
      <c r="B419" t="s">
        <v>69</v>
      </c>
      <c r="C419">
        <v>15</v>
      </c>
      <c r="D419" t="s">
        <v>103</v>
      </c>
      <c r="E419" t="s">
        <v>87</v>
      </c>
      <c r="F419" t="s">
        <v>86</v>
      </c>
      <c r="G419">
        <v>1.6068987336060701</v>
      </c>
      <c r="H419">
        <v>2E+20</v>
      </c>
      <c r="I419">
        <v>6.8541065135150403E-2</v>
      </c>
      <c r="J419">
        <v>10.4565492082018</v>
      </c>
      <c r="K419">
        <v>118</v>
      </c>
      <c r="L419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17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1.6103332664741163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1.41833463085361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1.7811413925183199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15.9278211436392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19" s="5">
        <f>IF((DiscreteStatsTable[[#This Row],[RepsRequested]]&gt;1),DiscreteStatsTable[[#This Row],[HalfWidth]],DiscreteStatsTable[[#This Row],[BatchMeansHalfWidth]])</f>
        <v>6.1275250018783402E-2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17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67</v>
      </c>
      <c r="B420" t="s">
        <v>69</v>
      </c>
      <c r="C420">
        <v>15</v>
      </c>
      <c r="D420" t="s">
        <v>103</v>
      </c>
      <c r="E420" t="s">
        <v>88</v>
      </c>
      <c r="F420" t="s">
        <v>86</v>
      </c>
      <c r="G420">
        <v>0.56608148134095304</v>
      </c>
      <c r="H420">
        <v>2E+20</v>
      </c>
      <c r="I420">
        <v>0</v>
      </c>
      <c r="J420">
        <v>5.4890023847587797</v>
      </c>
      <c r="K420">
        <v>118</v>
      </c>
      <c r="L420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17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1.1145706803264603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0.31411653725854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2.7770692321275301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0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14.2582487155402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20" s="5">
        <f>IF((DiscreteStatsTable[[#This Row],[RepsRequested]]&gt;1),DiscreteStatsTable[[#This Row],[HalfWidth]],DiscreteStatsTable[[#This Row],[BatchMeansHalfWidth]])</f>
        <v>0.33573750283328746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17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67</v>
      </c>
      <c r="B421" t="s">
        <v>69</v>
      </c>
      <c r="C421">
        <v>16</v>
      </c>
      <c r="D421" t="s">
        <v>103</v>
      </c>
      <c r="E421" t="s">
        <v>85</v>
      </c>
      <c r="F421" t="s">
        <v>86</v>
      </c>
      <c r="G421">
        <v>1.9096561993658501</v>
      </c>
      <c r="H421">
        <v>2E+20</v>
      </c>
      <c r="I421">
        <v>6.2892149244021298E-2</v>
      </c>
      <c r="J421">
        <v>9.8535767436227708</v>
      </c>
      <c r="K421">
        <v>109</v>
      </c>
      <c r="L421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17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2.7249039468005769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1.7343363759050501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4.5486927790840097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4.8783094206100899E-2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21.9295550003879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21" s="5">
        <f>IF((DiscreteStatsTable[[#This Row],[RepsRequested]]&gt;1),DiscreteStatsTable[[#This Row],[HalfWidth]],DiscreteStatsTable[[#This Row],[BatchMeansHalfWidth]])</f>
        <v>0.37939450817001585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17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67</v>
      </c>
      <c r="B422" t="s">
        <v>69</v>
      </c>
      <c r="C422">
        <v>16</v>
      </c>
      <c r="D422" t="s">
        <v>103</v>
      </c>
      <c r="E422" t="s">
        <v>87</v>
      </c>
      <c r="F422" t="s">
        <v>86</v>
      </c>
      <c r="G422">
        <v>1.4622681175682199</v>
      </c>
      <c r="H422">
        <v>2E+20</v>
      </c>
      <c r="I422">
        <v>6.2892149244021298E-2</v>
      </c>
      <c r="J422">
        <v>9.8535767436227708</v>
      </c>
      <c r="K422">
        <v>109</v>
      </c>
      <c r="L422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17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1.6103332664741163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1.41833463085361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1.7811413925183199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15.9278211436392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22" s="5">
        <f>IF((DiscreteStatsTable[[#This Row],[RepsRequested]]&gt;1),DiscreteStatsTable[[#This Row],[HalfWidth]],DiscreteStatsTable[[#This Row],[BatchMeansHalfWidth]])</f>
        <v>6.1275250018783402E-2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17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67</v>
      </c>
      <c r="B423" t="s">
        <v>69</v>
      </c>
      <c r="C423">
        <v>16</v>
      </c>
      <c r="D423" t="s">
        <v>103</v>
      </c>
      <c r="E423" t="s">
        <v>88</v>
      </c>
      <c r="F423" t="s">
        <v>86</v>
      </c>
      <c r="G423">
        <v>0.44738808179763101</v>
      </c>
      <c r="H423">
        <v>2E+20</v>
      </c>
      <c r="I423">
        <v>0</v>
      </c>
      <c r="J423">
        <v>2.7223417180338201</v>
      </c>
      <c r="K423">
        <v>109</v>
      </c>
      <c r="L423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17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1.1145706803264603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0.31411653725854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2.7770692321275301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14.2582487155402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23" s="5">
        <f>IF((DiscreteStatsTable[[#This Row],[RepsRequested]]&gt;1),DiscreteStatsTable[[#This Row],[HalfWidth]],DiscreteStatsTable[[#This Row],[BatchMeansHalfWidth]])</f>
        <v>0.33573750283328746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17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67</v>
      </c>
      <c r="B424" t="s">
        <v>69</v>
      </c>
      <c r="C424">
        <v>17</v>
      </c>
      <c r="D424" t="s">
        <v>103</v>
      </c>
      <c r="E424" t="s">
        <v>85</v>
      </c>
      <c r="F424" t="s">
        <v>86</v>
      </c>
      <c r="G424">
        <v>3.66182255706426</v>
      </c>
      <c r="H424">
        <v>2E+20</v>
      </c>
      <c r="I424">
        <v>0.12627511670004299</v>
      </c>
      <c r="J424">
        <v>13.68072027136</v>
      </c>
      <c r="K424">
        <v>118</v>
      </c>
      <c r="L424" s="5" t="str">
        <f>DiscreteStatsTable[[#This Row],[ProjectName]]&amp;DiscreteStatsTable[[#This Row],[Name]]&amp;DiscreteStatsTable[[#This Row],[Type]]&amp;DiscreteStatsTable[[#This Row],[Source]]</f>
        <v>Weekend (base)PreparacionTotal Time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17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2.7249039468005769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0.73790259948822989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0.37939450817001585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1.7343363759050501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4.5486927790840097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4.8783094206100899E-2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21.9295550003879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24" s="5">
        <f>IF((DiscreteStatsTable[[#This Row],[RepsRequested]]&gt;1),DiscreteStatsTable[[#This Row],[HalfWidth]],DiscreteStatsTable[[#This Row],[BatchMeansHalfWidth]])</f>
        <v>0.37939450817001585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17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67</v>
      </c>
      <c r="B425" t="s">
        <v>69</v>
      </c>
      <c r="C425">
        <v>17</v>
      </c>
      <c r="D425" t="s">
        <v>103</v>
      </c>
      <c r="E425" t="s">
        <v>87</v>
      </c>
      <c r="F425" t="s">
        <v>86</v>
      </c>
      <c r="G425">
        <v>1.7811413925183199</v>
      </c>
      <c r="H425">
        <v>2E+20</v>
      </c>
      <c r="I425">
        <v>0.123168483600693</v>
      </c>
      <c r="J425">
        <v>7.2909745167501097</v>
      </c>
      <c r="K425">
        <v>118</v>
      </c>
      <c r="L425" s="5" t="str">
        <f>DiscreteStatsTable[[#This Row],[ProjectName]]&amp;DiscreteStatsTable[[#This Row],[Name]]&amp;DiscreteStatsTable[[#This Row],[Type]]&amp;DiscreteStatsTable[[#This Row],[Source]]</f>
        <v>Weekend (base)PreparacionVA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17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1.6103332664741163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0.11917717652594345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6.1275250018783402E-2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1.41833463085361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1.7811413925183199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15.9278211436392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25" s="5">
        <f>IF((DiscreteStatsTable[[#This Row],[RepsRequested]]&gt;1),DiscreteStatsTable[[#This Row],[HalfWidth]],DiscreteStatsTable[[#This Row],[BatchMeansHalfWidth]])</f>
        <v>6.1275250018783402E-2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17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67</v>
      </c>
      <c r="B426" t="s">
        <v>69</v>
      </c>
      <c r="C426">
        <v>17</v>
      </c>
      <c r="D426" t="s">
        <v>103</v>
      </c>
      <c r="E426" t="s">
        <v>88</v>
      </c>
      <c r="F426" t="s">
        <v>86</v>
      </c>
      <c r="G426">
        <v>1.88068116454594</v>
      </c>
      <c r="H426">
        <v>2E+20</v>
      </c>
      <c r="I426">
        <v>0</v>
      </c>
      <c r="J426">
        <v>9.7249393081319493</v>
      </c>
      <c r="K426">
        <v>118</v>
      </c>
      <c r="L426" s="5" t="str">
        <f>DiscreteStatsTable[[#This Row],[ProjectName]]&amp;DiscreteStatsTable[[#This Row],[Name]]&amp;DiscreteStatsTable[[#This Row],[Type]]&amp;DiscreteStatsTable[[#This Row],[Source]]</f>
        <v>Weekend (base)PreparacionWait Time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17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1.1145706803264603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0.65299199316651879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0.33573750283328746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0.31411653725854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2.7770692321275301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0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14.2582487155402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118.82352941176471</v>
      </c>
      <c r="W426" s="5">
        <f>IF((DiscreteStatsTable[[#This Row],[RepsRequested]]&gt;1),DiscreteStatsTable[[#This Row],[HalfWidth]],DiscreteStatsTable[[#This Row],[BatchMeansHalfWidth]])</f>
        <v>0.33573750283328746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17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67</v>
      </c>
      <c r="B427" t="s">
        <v>69</v>
      </c>
      <c r="C427">
        <v>1</v>
      </c>
      <c r="D427" t="s">
        <v>104</v>
      </c>
      <c r="E427" t="s">
        <v>90</v>
      </c>
      <c r="F427" t="s">
        <v>91</v>
      </c>
      <c r="G427">
        <v>0.81271818200073898</v>
      </c>
      <c r="H427">
        <v>2E+20</v>
      </c>
      <c r="I427">
        <v>0</v>
      </c>
      <c r="J427">
        <v>5.9763914213918401</v>
      </c>
      <c r="K427">
        <v>124</v>
      </c>
      <c r="L427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17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1.1084830881867871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0.30890882984771101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2.8010094841286302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14.2582487155402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27" s="5">
        <f>IF((DiscreteStatsTable[[#This Row],[RepsRequested]]&gt;1),DiscreteStatsTable[[#This Row],[HalfWidth]],DiscreteStatsTable[[#This Row],[BatchMeansHalfWidth]])</f>
        <v>0.3407032781924717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17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67</v>
      </c>
      <c r="B428" t="s">
        <v>69</v>
      </c>
      <c r="C428">
        <v>2</v>
      </c>
      <c r="D428" t="s">
        <v>104</v>
      </c>
      <c r="E428" t="s">
        <v>90</v>
      </c>
      <c r="F428" t="s">
        <v>91</v>
      </c>
      <c r="G428">
        <v>1.3729792803177101</v>
      </c>
      <c r="H428">
        <v>2E+20</v>
      </c>
      <c r="I428">
        <v>0</v>
      </c>
      <c r="J428">
        <v>6.4192820495913496</v>
      </c>
      <c r="K428">
        <v>116</v>
      </c>
      <c r="L428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17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1.1084830881867871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0.30890882984771101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2.8010094841286302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14.2582487155402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28" s="5">
        <f>IF((DiscreteStatsTable[[#This Row],[RepsRequested]]&gt;1),DiscreteStatsTable[[#This Row],[HalfWidth]],DiscreteStatsTable[[#This Row],[BatchMeansHalfWidth]])</f>
        <v>0.3407032781924717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17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67</v>
      </c>
      <c r="B429" t="s">
        <v>69</v>
      </c>
      <c r="C429">
        <v>3</v>
      </c>
      <c r="D429" t="s">
        <v>104</v>
      </c>
      <c r="E429" t="s">
        <v>90</v>
      </c>
      <c r="F429" t="s">
        <v>91</v>
      </c>
      <c r="G429">
        <v>2.1144024293599601</v>
      </c>
      <c r="H429">
        <v>2E+20</v>
      </c>
      <c r="I429">
        <v>0</v>
      </c>
      <c r="J429">
        <v>8.9558078326435204</v>
      </c>
      <c r="K429">
        <v>127</v>
      </c>
      <c r="L429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17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1.1084830881867871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0.30890882984771101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2.8010094841286302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14.2582487155402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29" s="5">
        <f>IF((DiscreteStatsTable[[#This Row],[RepsRequested]]&gt;1),DiscreteStatsTable[[#This Row],[HalfWidth]],DiscreteStatsTable[[#This Row],[BatchMeansHalfWidth]])</f>
        <v>0.3407032781924717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17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67</v>
      </c>
      <c r="B430" t="s">
        <v>69</v>
      </c>
      <c r="C430">
        <v>4</v>
      </c>
      <c r="D430" t="s">
        <v>104</v>
      </c>
      <c r="E430" t="s">
        <v>90</v>
      </c>
      <c r="F430" t="s">
        <v>91</v>
      </c>
      <c r="G430">
        <v>0.90413977843846904</v>
      </c>
      <c r="H430">
        <v>2E+20</v>
      </c>
      <c r="I430">
        <v>0</v>
      </c>
      <c r="J430">
        <v>4.9005621028883599</v>
      </c>
      <c r="K430">
        <v>126</v>
      </c>
      <c r="L430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17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1.1084830881867871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0.30890882984771101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2.8010094841286302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14.2582487155402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0" s="5">
        <f>IF((DiscreteStatsTable[[#This Row],[RepsRequested]]&gt;1),DiscreteStatsTable[[#This Row],[HalfWidth]],DiscreteStatsTable[[#This Row],[BatchMeansHalfWidth]])</f>
        <v>0.3407032781924717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17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67</v>
      </c>
      <c r="B431" t="s">
        <v>69</v>
      </c>
      <c r="C431">
        <v>5</v>
      </c>
      <c r="D431" t="s">
        <v>104</v>
      </c>
      <c r="E431" t="s">
        <v>90</v>
      </c>
      <c r="F431" t="s">
        <v>91</v>
      </c>
      <c r="G431">
        <v>0.95885265068747305</v>
      </c>
      <c r="H431">
        <v>2E+20</v>
      </c>
      <c r="I431">
        <v>0</v>
      </c>
      <c r="J431">
        <v>4.9139508023934901</v>
      </c>
      <c r="K431">
        <v>132</v>
      </c>
      <c r="L431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17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1.1084830881867871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0.30890882984771101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2.8010094841286302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14.2582487155402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1" s="5">
        <f>IF((DiscreteStatsTable[[#This Row],[RepsRequested]]&gt;1),DiscreteStatsTable[[#This Row],[HalfWidth]],DiscreteStatsTable[[#This Row],[BatchMeansHalfWidth]])</f>
        <v>0.3407032781924717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17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67</v>
      </c>
      <c r="B432" t="s">
        <v>69</v>
      </c>
      <c r="C432">
        <v>6</v>
      </c>
      <c r="D432" t="s">
        <v>104</v>
      </c>
      <c r="E432" t="s">
        <v>90</v>
      </c>
      <c r="F432" t="s">
        <v>91</v>
      </c>
      <c r="G432">
        <v>0.30890882984771101</v>
      </c>
      <c r="H432">
        <v>2E+20</v>
      </c>
      <c r="I432">
        <v>0</v>
      </c>
      <c r="J432">
        <v>2.4356125057003801</v>
      </c>
      <c r="K432">
        <v>116</v>
      </c>
      <c r="L432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17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1.1084830881867871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0.30890882984771101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2.8010094841286302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0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14.2582487155402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2" s="5">
        <f>IF((DiscreteStatsTable[[#This Row],[RepsRequested]]&gt;1),DiscreteStatsTable[[#This Row],[HalfWidth]],DiscreteStatsTable[[#This Row],[BatchMeansHalfWidth]])</f>
        <v>0.3407032781924717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17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67</v>
      </c>
      <c r="B433" t="s">
        <v>69</v>
      </c>
      <c r="C433">
        <v>7</v>
      </c>
      <c r="D433" t="s">
        <v>104</v>
      </c>
      <c r="E433" t="s">
        <v>90</v>
      </c>
      <c r="F433" t="s">
        <v>91</v>
      </c>
      <c r="G433">
        <v>0.65778197038679598</v>
      </c>
      <c r="H433">
        <v>2E+20</v>
      </c>
      <c r="I433">
        <v>0</v>
      </c>
      <c r="J433">
        <v>4.2859941984159802</v>
      </c>
      <c r="K433">
        <v>108</v>
      </c>
      <c r="L433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17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1.1084830881867871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0.30890882984771101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2.8010094841286302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14.2582487155402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3" s="5">
        <f>IF((DiscreteStatsTable[[#This Row],[RepsRequested]]&gt;1),DiscreteStatsTable[[#This Row],[HalfWidth]],DiscreteStatsTable[[#This Row],[BatchMeansHalfWidth]])</f>
        <v>0.3407032781924717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17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67</v>
      </c>
      <c r="B434" t="s">
        <v>69</v>
      </c>
      <c r="C434">
        <v>8</v>
      </c>
      <c r="D434" t="s">
        <v>104</v>
      </c>
      <c r="E434" t="s">
        <v>90</v>
      </c>
      <c r="F434" t="s">
        <v>91</v>
      </c>
      <c r="G434">
        <v>2.8010094841286302</v>
      </c>
      <c r="H434">
        <v>2E+20</v>
      </c>
      <c r="I434">
        <v>0</v>
      </c>
      <c r="J434">
        <v>14.2582487155402</v>
      </c>
      <c r="K434">
        <v>116</v>
      </c>
      <c r="L434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17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1.1084830881867871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0.30890882984771101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2.8010094841286302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0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14.2582487155402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4" s="5">
        <f>IF((DiscreteStatsTable[[#This Row],[RepsRequested]]&gt;1),DiscreteStatsTable[[#This Row],[HalfWidth]],DiscreteStatsTable[[#This Row],[BatchMeansHalfWidth]])</f>
        <v>0.3407032781924717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17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67</v>
      </c>
      <c r="B435" t="s">
        <v>69</v>
      </c>
      <c r="C435">
        <v>9</v>
      </c>
      <c r="D435" t="s">
        <v>104</v>
      </c>
      <c r="E435" t="s">
        <v>90</v>
      </c>
      <c r="F435" t="s">
        <v>91</v>
      </c>
      <c r="G435">
        <v>1.1558867767485399</v>
      </c>
      <c r="H435">
        <v>2E+20</v>
      </c>
      <c r="I435">
        <v>0</v>
      </c>
      <c r="J435">
        <v>8.1178194016963108</v>
      </c>
      <c r="K435">
        <v>121</v>
      </c>
      <c r="L435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17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1.1084830881867871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0.30890882984771101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2.8010094841286302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14.2582487155402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5" s="5">
        <f>IF((DiscreteStatsTable[[#This Row],[RepsRequested]]&gt;1),DiscreteStatsTable[[#This Row],[HalfWidth]],DiscreteStatsTable[[#This Row],[BatchMeansHalfWidth]])</f>
        <v>0.3407032781924717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17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67</v>
      </c>
      <c r="B436" t="s">
        <v>69</v>
      </c>
      <c r="C436">
        <v>10</v>
      </c>
      <c r="D436" t="s">
        <v>104</v>
      </c>
      <c r="E436" t="s">
        <v>90</v>
      </c>
      <c r="F436" t="s">
        <v>91</v>
      </c>
      <c r="G436">
        <v>1.37691335913757</v>
      </c>
      <c r="H436">
        <v>2E+20</v>
      </c>
      <c r="I436">
        <v>0</v>
      </c>
      <c r="J436">
        <v>5.36089862984264</v>
      </c>
      <c r="K436">
        <v>125</v>
      </c>
      <c r="L436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17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1.1084830881867871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0.30890882984771101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2.8010094841286302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14.2582487155402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6" s="5">
        <f>IF((DiscreteStatsTable[[#This Row],[RepsRequested]]&gt;1),DiscreteStatsTable[[#This Row],[HalfWidth]],DiscreteStatsTable[[#This Row],[BatchMeansHalfWidth]])</f>
        <v>0.3407032781924717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17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67</v>
      </c>
      <c r="B437" t="s">
        <v>69</v>
      </c>
      <c r="C437">
        <v>11</v>
      </c>
      <c r="D437" t="s">
        <v>104</v>
      </c>
      <c r="E437" t="s">
        <v>90</v>
      </c>
      <c r="F437" t="s">
        <v>91</v>
      </c>
      <c r="G437">
        <v>0.61471804778832895</v>
      </c>
      <c r="H437">
        <v>2E+20</v>
      </c>
      <c r="I437">
        <v>0</v>
      </c>
      <c r="J437">
        <v>4.0985958137802099</v>
      </c>
      <c r="K437">
        <v>118</v>
      </c>
      <c r="L437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17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1.1084830881867871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0.30890882984771101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2.8010094841286302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14.2582487155402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7" s="5">
        <f>IF((DiscreteStatsTable[[#This Row],[RepsRequested]]&gt;1),DiscreteStatsTable[[#This Row],[HalfWidth]],DiscreteStatsTable[[#This Row],[BatchMeansHalfWidth]])</f>
        <v>0.3407032781924717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17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67</v>
      </c>
      <c r="B438" t="s">
        <v>69</v>
      </c>
      <c r="C438">
        <v>12</v>
      </c>
      <c r="D438" t="s">
        <v>104</v>
      </c>
      <c r="E438" t="s">
        <v>90</v>
      </c>
      <c r="F438" t="s">
        <v>91</v>
      </c>
      <c r="G438">
        <v>1.40336917164237</v>
      </c>
      <c r="H438">
        <v>2E+20</v>
      </c>
      <c r="I438">
        <v>0</v>
      </c>
      <c r="J438">
        <v>9.6012349349361301</v>
      </c>
      <c r="K438">
        <v>120</v>
      </c>
      <c r="L438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17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1.1084830881867871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0.30890882984771101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2.8010094841286302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0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14.2582487155402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8" s="5">
        <f>IF((DiscreteStatsTable[[#This Row],[RepsRequested]]&gt;1),DiscreteStatsTable[[#This Row],[HalfWidth]],DiscreteStatsTable[[#This Row],[BatchMeansHalfWidth]])</f>
        <v>0.3407032781924717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17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67</v>
      </c>
      <c r="B439" t="s">
        <v>69</v>
      </c>
      <c r="C439">
        <v>13</v>
      </c>
      <c r="D439" t="s">
        <v>104</v>
      </c>
      <c r="E439" t="s">
        <v>90</v>
      </c>
      <c r="F439" t="s">
        <v>91</v>
      </c>
      <c r="G439">
        <v>0.69676193246016305</v>
      </c>
      <c r="H439">
        <v>2E+20</v>
      </c>
      <c r="I439">
        <v>0</v>
      </c>
      <c r="J439">
        <v>5.8710284321085204</v>
      </c>
      <c r="K439">
        <v>113</v>
      </c>
      <c r="L439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17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1.1084830881867871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0.30890882984771101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2.8010094841286302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14.2582487155402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39" s="5">
        <f>IF((DiscreteStatsTable[[#This Row],[RepsRequested]]&gt;1),DiscreteStatsTable[[#This Row],[HalfWidth]],DiscreteStatsTable[[#This Row],[BatchMeansHalfWidth]])</f>
        <v>0.3407032781924717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17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67</v>
      </c>
      <c r="B440" t="s">
        <v>69</v>
      </c>
      <c r="C440">
        <v>14</v>
      </c>
      <c r="D440" t="s">
        <v>104</v>
      </c>
      <c r="E440" t="s">
        <v>90</v>
      </c>
      <c r="F440" t="s">
        <v>91</v>
      </c>
      <c r="G440">
        <v>0.80758689895531899</v>
      </c>
      <c r="H440">
        <v>2E+20</v>
      </c>
      <c r="I440">
        <v>0</v>
      </c>
      <c r="J440">
        <v>4.5672500462710302</v>
      </c>
      <c r="K440">
        <v>108</v>
      </c>
      <c r="L440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17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1.1084830881867871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0.30890882984771101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2.8010094841286302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0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14.2582487155402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40" s="5">
        <f>IF((DiscreteStatsTable[[#This Row],[RepsRequested]]&gt;1),DiscreteStatsTable[[#This Row],[HalfWidth]],DiscreteStatsTable[[#This Row],[BatchMeansHalfWidth]])</f>
        <v>0.3407032781924717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17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67</v>
      </c>
      <c r="B441" t="s">
        <v>69</v>
      </c>
      <c r="C441">
        <v>15</v>
      </c>
      <c r="D441" t="s">
        <v>104</v>
      </c>
      <c r="E441" t="s">
        <v>90</v>
      </c>
      <c r="F441" t="s">
        <v>91</v>
      </c>
      <c r="G441">
        <v>0.515335004400583</v>
      </c>
      <c r="H441">
        <v>2E+20</v>
      </c>
      <c r="I441">
        <v>0</v>
      </c>
      <c r="J441">
        <v>5.4890023847587797</v>
      </c>
      <c r="K441">
        <v>117</v>
      </c>
      <c r="L441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17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1.1084830881867871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0.30890882984771101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2.8010094841286302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14.2582487155402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41" s="5">
        <f>IF((DiscreteStatsTable[[#This Row],[RepsRequested]]&gt;1),DiscreteStatsTable[[#This Row],[HalfWidth]],DiscreteStatsTable[[#This Row],[BatchMeansHalfWidth]])</f>
        <v>0.3407032781924717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17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67</v>
      </c>
      <c r="B442" t="s">
        <v>69</v>
      </c>
      <c r="C442">
        <v>16</v>
      </c>
      <c r="D442" t="s">
        <v>104</v>
      </c>
      <c r="E442" t="s">
        <v>90</v>
      </c>
      <c r="F442" t="s">
        <v>91</v>
      </c>
      <c r="G442">
        <v>0.44332091741765201</v>
      </c>
      <c r="H442">
        <v>2E+20</v>
      </c>
      <c r="I442">
        <v>0</v>
      </c>
      <c r="J442">
        <v>2.7223417180338201</v>
      </c>
      <c r="K442">
        <v>110</v>
      </c>
      <c r="L442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17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1.1084830881867871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0.30890882984771101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2.8010094841286302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14.2582487155402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42" s="5">
        <f>IF((DiscreteStatsTable[[#This Row],[RepsRequested]]&gt;1),DiscreteStatsTable[[#This Row],[HalfWidth]],DiscreteStatsTable[[#This Row],[BatchMeansHalfWidth]])</f>
        <v>0.3407032781924717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17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67</v>
      </c>
      <c r="B443" t="s">
        <v>69</v>
      </c>
      <c r="C443">
        <v>17</v>
      </c>
      <c r="D443" t="s">
        <v>104</v>
      </c>
      <c r="E443" t="s">
        <v>90</v>
      </c>
      <c r="F443" t="s">
        <v>91</v>
      </c>
      <c r="G443">
        <v>1.89952778545737</v>
      </c>
      <c r="H443">
        <v>2E+20</v>
      </c>
      <c r="I443">
        <v>0</v>
      </c>
      <c r="J443">
        <v>9.7249393081319493</v>
      </c>
      <c r="K443">
        <v>117</v>
      </c>
      <c r="L443" s="5" t="str">
        <f>DiscreteStatsTable[[#This Row],[ProjectName]]&amp;DiscreteStatsTable[[#This Row],[Name]]&amp;DiscreteStatsTable[[#This Row],[Type]]&amp;DiscreteStatsTable[[#This Row],[Source]]</f>
        <v>Weekend (base)Preparacion.QueueWaiting TimeQueue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17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1.1084830881867871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0.30890882984771101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2.8010094841286302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14.2582487155402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118.47058823529412</v>
      </c>
      <c r="W443" s="5">
        <f>IF((DiscreteStatsTable[[#This Row],[RepsRequested]]&gt;1),DiscreteStatsTable[[#This Row],[HalfWidth]],DiscreteStatsTable[[#This Row],[BatchMeansHalfWidth]])</f>
        <v>0.3407032781924717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17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67</v>
      </c>
      <c r="B444" t="s">
        <v>69</v>
      </c>
      <c r="C444">
        <v>1</v>
      </c>
      <c r="D444" t="s">
        <v>100</v>
      </c>
      <c r="E444" t="s">
        <v>79</v>
      </c>
      <c r="F444" t="s">
        <v>80</v>
      </c>
      <c r="G444">
        <v>1.5092997186382899</v>
      </c>
      <c r="H444">
        <v>2E+20</v>
      </c>
      <c r="I444">
        <v>1.5092997186382899</v>
      </c>
      <c r="J444">
        <v>1.5092997186382899</v>
      </c>
      <c r="K444">
        <v>1</v>
      </c>
      <c r="L444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17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1.2479418078945623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1.0792094685636386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0.31984647428526602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4.50094101938984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0.31984647428526602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4.50094101938984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1</v>
      </c>
      <c r="W444" s="5">
        <f>IF((DiscreteStatsTable[[#This Row],[RepsRequested]]&gt;1),DiscreteStatsTable[[#This Row],[HalfWidth]],DiscreteStatsTable[[#This Row],[BatchMeansHalfWidth]])</f>
        <v>0.55487830754641054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17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67</v>
      </c>
      <c r="B445" t="s">
        <v>69</v>
      </c>
      <c r="C445">
        <v>2</v>
      </c>
      <c r="D445" t="s">
        <v>100</v>
      </c>
      <c r="E445" t="s">
        <v>79</v>
      </c>
      <c r="F445" t="s">
        <v>80</v>
      </c>
      <c r="G445">
        <v>1.6159848311274201</v>
      </c>
      <c r="H445">
        <v>2E+20</v>
      </c>
      <c r="I445">
        <v>1.6159848311274201</v>
      </c>
      <c r="J445">
        <v>1.6159848311274201</v>
      </c>
      <c r="K445">
        <v>1</v>
      </c>
      <c r="L445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17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1.2479418078945623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1.0792094685636386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0.31984647428526602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4.50094101938984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0.31984647428526602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4.50094101938984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1</v>
      </c>
      <c r="W445" s="5">
        <f>IF((DiscreteStatsTable[[#This Row],[RepsRequested]]&gt;1),DiscreteStatsTable[[#This Row],[HalfWidth]],DiscreteStatsTable[[#This Row],[BatchMeansHalfWidth]])</f>
        <v>0.55487830754641054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17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67</v>
      </c>
      <c r="B446" t="s">
        <v>69</v>
      </c>
      <c r="C446">
        <v>3</v>
      </c>
      <c r="D446" t="s">
        <v>100</v>
      </c>
      <c r="E446" t="s">
        <v>79</v>
      </c>
      <c r="F446" t="s">
        <v>80</v>
      </c>
      <c r="G446">
        <v>4.50094101938984</v>
      </c>
      <c r="H446">
        <v>2E+20</v>
      </c>
      <c r="I446">
        <v>4.50094101938984</v>
      </c>
      <c r="J446">
        <v>4.50094101938984</v>
      </c>
      <c r="K446">
        <v>1</v>
      </c>
      <c r="L446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17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1.2479418078945623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1.0792094685636386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0.31984647428526602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4.50094101938984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0.31984647428526602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4.50094101938984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1</v>
      </c>
      <c r="W446" s="5">
        <f>IF((DiscreteStatsTable[[#This Row],[RepsRequested]]&gt;1),DiscreteStatsTable[[#This Row],[HalfWidth]],DiscreteStatsTable[[#This Row],[BatchMeansHalfWidth]])</f>
        <v>0.55487830754641054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17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67</v>
      </c>
      <c r="B447" t="s">
        <v>69</v>
      </c>
      <c r="C447">
        <v>4</v>
      </c>
      <c r="D447" t="s">
        <v>100</v>
      </c>
      <c r="E447" t="s">
        <v>79</v>
      </c>
      <c r="F447" t="s">
        <v>80</v>
      </c>
      <c r="G447">
        <v>0.48501976508561201</v>
      </c>
      <c r="H447">
        <v>2E+20</v>
      </c>
      <c r="I447">
        <v>0.48501976508561201</v>
      </c>
      <c r="J447">
        <v>0.48501976508561201</v>
      </c>
      <c r="K447">
        <v>1</v>
      </c>
      <c r="L447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17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1.2479418078945623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1.0792094685636386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0.31984647428526602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4.50094101938984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0.31984647428526602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4.50094101938984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1</v>
      </c>
      <c r="W447" s="5">
        <f>IF((DiscreteStatsTable[[#This Row],[RepsRequested]]&gt;1),DiscreteStatsTable[[#This Row],[HalfWidth]],DiscreteStatsTable[[#This Row],[BatchMeansHalfWidth]])</f>
        <v>0.55487830754641054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17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67</v>
      </c>
      <c r="B448" t="s">
        <v>69</v>
      </c>
      <c r="C448">
        <v>5</v>
      </c>
      <c r="D448" t="s">
        <v>100</v>
      </c>
      <c r="E448" t="s">
        <v>79</v>
      </c>
      <c r="F448" t="s">
        <v>80</v>
      </c>
      <c r="G448">
        <v>0.813883529540531</v>
      </c>
      <c r="H448">
        <v>2E+20</v>
      </c>
      <c r="I448">
        <v>0.813883529540531</v>
      </c>
      <c r="J448">
        <v>0.813883529540531</v>
      </c>
      <c r="K448">
        <v>1</v>
      </c>
      <c r="L448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17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1.2479418078945623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1.0792094685636386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0.31984647428526602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4.50094101938984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0.31984647428526602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4.50094101938984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1</v>
      </c>
      <c r="W448" s="5">
        <f>IF((DiscreteStatsTable[[#This Row],[RepsRequested]]&gt;1),DiscreteStatsTable[[#This Row],[HalfWidth]],DiscreteStatsTable[[#This Row],[BatchMeansHalfWidth]])</f>
        <v>0.55487830754641054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17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67</v>
      </c>
      <c r="B449" t="s">
        <v>69</v>
      </c>
      <c r="C449">
        <v>6</v>
      </c>
      <c r="D449" t="s">
        <v>100</v>
      </c>
      <c r="E449" t="s">
        <v>79</v>
      </c>
      <c r="F449" t="s">
        <v>80</v>
      </c>
      <c r="G449">
        <v>0.737617351618021</v>
      </c>
      <c r="H449">
        <v>2E+20</v>
      </c>
      <c r="I449">
        <v>0.737617351618021</v>
      </c>
      <c r="J449">
        <v>0.737617351618021</v>
      </c>
      <c r="K449">
        <v>1</v>
      </c>
      <c r="L449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17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1.2479418078945623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1.0792094685636386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0.31984647428526602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4.50094101938984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0.31984647428526602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4.50094101938984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1</v>
      </c>
      <c r="W449" s="5">
        <f>IF((DiscreteStatsTable[[#This Row],[RepsRequested]]&gt;1),DiscreteStatsTable[[#This Row],[HalfWidth]],DiscreteStatsTable[[#This Row],[BatchMeansHalfWidth]])</f>
        <v>0.55487830754641054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17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67</v>
      </c>
      <c r="B450" t="s">
        <v>69</v>
      </c>
      <c r="C450">
        <v>7</v>
      </c>
      <c r="D450" t="s">
        <v>100</v>
      </c>
      <c r="E450" t="s">
        <v>79</v>
      </c>
      <c r="F450" t="s">
        <v>80</v>
      </c>
      <c r="G450">
        <v>0.70017155138035603</v>
      </c>
      <c r="H450">
        <v>2E+20</v>
      </c>
      <c r="I450">
        <v>0.70017155138035603</v>
      </c>
      <c r="J450">
        <v>0.70017155138035603</v>
      </c>
      <c r="K450">
        <v>1</v>
      </c>
      <c r="L450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17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1.2479418078945623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0.31984647428526602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4.50094101938984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0.31984647428526602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4.50094101938984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1</v>
      </c>
      <c r="W450" s="5">
        <f>IF((DiscreteStatsTable[[#This Row],[RepsRequested]]&gt;1),DiscreteStatsTable[[#This Row],[HalfWidth]],DiscreteStatsTable[[#This Row],[BatchMeansHalfWidth]])</f>
        <v>0.55487830754641054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17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67</v>
      </c>
      <c r="B451" t="s">
        <v>69</v>
      </c>
      <c r="C451">
        <v>8</v>
      </c>
      <c r="D451" t="s">
        <v>100</v>
      </c>
      <c r="E451" t="s">
        <v>79</v>
      </c>
      <c r="F451" t="s">
        <v>80</v>
      </c>
      <c r="G451">
        <v>0.65698483418947495</v>
      </c>
      <c r="H451">
        <v>2E+20</v>
      </c>
      <c r="I451">
        <v>0.65698483418947495</v>
      </c>
      <c r="J451">
        <v>0.65698483418947495</v>
      </c>
      <c r="K451">
        <v>1</v>
      </c>
      <c r="L451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17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1.2479418078945623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0.31984647428526602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4.50094101938984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0.31984647428526602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4.50094101938984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1</v>
      </c>
      <c r="W451" s="5">
        <f>IF((DiscreteStatsTable[[#This Row],[RepsRequested]]&gt;1),DiscreteStatsTable[[#This Row],[HalfWidth]],DiscreteStatsTable[[#This Row],[BatchMeansHalfWidth]])</f>
        <v>0.55487830754641054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17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67</v>
      </c>
      <c r="B452" t="s">
        <v>69</v>
      </c>
      <c r="C452">
        <v>9</v>
      </c>
      <c r="D452" t="s">
        <v>100</v>
      </c>
      <c r="E452" t="s">
        <v>79</v>
      </c>
      <c r="F452" t="s">
        <v>80</v>
      </c>
      <c r="G452">
        <v>2.76318934657438</v>
      </c>
      <c r="H452">
        <v>2E+20</v>
      </c>
      <c r="I452">
        <v>2.76318934657438</v>
      </c>
      <c r="J452">
        <v>2.76318934657438</v>
      </c>
      <c r="K452">
        <v>1</v>
      </c>
      <c r="L452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17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1.2479418078945623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0.31984647428526602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4.50094101938984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0.31984647428526602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4.50094101938984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1</v>
      </c>
      <c r="W452" s="5">
        <f>IF((DiscreteStatsTable[[#This Row],[RepsRequested]]&gt;1),DiscreteStatsTable[[#This Row],[HalfWidth]],DiscreteStatsTable[[#This Row],[BatchMeansHalfWidth]])</f>
        <v>0.55487830754641054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17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67</v>
      </c>
      <c r="B453" t="s">
        <v>69</v>
      </c>
      <c r="C453">
        <v>10</v>
      </c>
      <c r="D453" t="s">
        <v>100</v>
      </c>
      <c r="E453" t="s">
        <v>79</v>
      </c>
      <c r="F453" t="s">
        <v>80</v>
      </c>
      <c r="G453">
        <v>0.86039268801737101</v>
      </c>
      <c r="H453">
        <v>2E+20</v>
      </c>
      <c r="I453">
        <v>0.86039268801737101</v>
      </c>
      <c r="J453">
        <v>0.86039268801737101</v>
      </c>
      <c r="K453">
        <v>1</v>
      </c>
      <c r="L453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17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1.2479418078945623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0.31984647428526602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4.50094101938984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0.31984647428526602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4.50094101938984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1</v>
      </c>
      <c r="W453" s="5">
        <f>IF((DiscreteStatsTable[[#This Row],[RepsRequested]]&gt;1),DiscreteStatsTable[[#This Row],[HalfWidth]],DiscreteStatsTable[[#This Row],[BatchMeansHalfWidth]])</f>
        <v>0.55487830754641054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17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67</v>
      </c>
      <c r="B454" t="s">
        <v>69</v>
      </c>
      <c r="C454">
        <v>11</v>
      </c>
      <c r="D454" t="s">
        <v>100</v>
      </c>
      <c r="E454" t="s">
        <v>79</v>
      </c>
      <c r="F454" t="s">
        <v>80</v>
      </c>
      <c r="G454">
        <v>0.45137685126091298</v>
      </c>
      <c r="H454">
        <v>2E+20</v>
      </c>
      <c r="I454">
        <v>0.45137685126091298</v>
      </c>
      <c r="J454">
        <v>0.45137685126091298</v>
      </c>
      <c r="K454">
        <v>1</v>
      </c>
      <c r="L454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17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1.2479418078945623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0.31984647428526602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4.50094101938984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0.31984647428526602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4.50094101938984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1</v>
      </c>
      <c r="W454" s="5">
        <f>IF((DiscreteStatsTable[[#This Row],[RepsRequested]]&gt;1),DiscreteStatsTable[[#This Row],[HalfWidth]],DiscreteStatsTable[[#This Row],[BatchMeansHalfWidth]])</f>
        <v>0.55487830754641054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17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67</v>
      </c>
      <c r="B455" t="s">
        <v>69</v>
      </c>
      <c r="C455">
        <v>12</v>
      </c>
      <c r="D455" t="s">
        <v>100</v>
      </c>
      <c r="E455" t="s">
        <v>79</v>
      </c>
      <c r="F455" t="s">
        <v>80</v>
      </c>
      <c r="G455">
        <v>2.4548367687503698</v>
      </c>
      <c r="H455">
        <v>2E+20</v>
      </c>
      <c r="I455">
        <v>2.4548367687503698</v>
      </c>
      <c r="J455">
        <v>2.4548367687503698</v>
      </c>
      <c r="K455">
        <v>1</v>
      </c>
      <c r="L455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17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1.2479418078945623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0.31984647428526602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4.50094101938984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0.31984647428526602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4.50094101938984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1</v>
      </c>
      <c r="W455" s="5">
        <f>IF((DiscreteStatsTable[[#This Row],[RepsRequested]]&gt;1),DiscreteStatsTable[[#This Row],[HalfWidth]],DiscreteStatsTable[[#This Row],[BatchMeansHalfWidth]])</f>
        <v>0.55487830754641054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17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67</v>
      </c>
      <c r="B456" t="s">
        <v>69</v>
      </c>
      <c r="C456">
        <v>13</v>
      </c>
      <c r="D456" t="s">
        <v>100</v>
      </c>
      <c r="E456" t="s">
        <v>79</v>
      </c>
      <c r="F456" t="s">
        <v>80</v>
      </c>
      <c r="G456">
        <v>0.31984647428526602</v>
      </c>
      <c r="H456">
        <v>2E+20</v>
      </c>
      <c r="I456">
        <v>0.31984647428526602</v>
      </c>
      <c r="J456">
        <v>0.31984647428526602</v>
      </c>
      <c r="K456">
        <v>1</v>
      </c>
      <c r="L456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17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1.2479418078945623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0.31984647428526602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4.50094101938984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0.31984647428526602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4.50094101938984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1</v>
      </c>
      <c r="W456" s="5">
        <f>IF((DiscreteStatsTable[[#This Row],[RepsRequested]]&gt;1),DiscreteStatsTable[[#This Row],[HalfWidth]],DiscreteStatsTable[[#This Row],[BatchMeansHalfWidth]])</f>
        <v>0.55487830754641054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17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67</v>
      </c>
      <c r="B457" t="s">
        <v>69</v>
      </c>
      <c r="C457">
        <v>14</v>
      </c>
      <c r="D457" t="s">
        <v>100</v>
      </c>
      <c r="E457" t="s">
        <v>79</v>
      </c>
      <c r="F457" t="s">
        <v>80</v>
      </c>
      <c r="G457">
        <v>0.63320512474919999</v>
      </c>
      <c r="H457">
        <v>2E+20</v>
      </c>
      <c r="I457">
        <v>0.63320512474919999</v>
      </c>
      <c r="J457">
        <v>0.63320512474919999</v>
      </c>
      <c r="K457">
        <v>1</v>
      </c>
      <c r="L457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17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1.2479418078945623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0.31984647428526602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4.50094101938984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0.31984647428526602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4.50094101938984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1</v>
      </c>
      <c r="W457" s="5">
        <f>IF((DiscreteStatsTable[[#This Row],[RepsRequested]]&gt;1),DiscreteStatsTable[[#This Row],[HalfWidth]],DiscreteStatsTable[[#This Row],[BatchMeansHalfWidth]])</f>
        <v>0.55487830754641054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17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67</v>
      </c>
      <c r="B458" t="s">
        <v>69</v>
      </c>
      <c r="C458">
        <v>15</v>
      </c>
      <c r="D458" t="s">
        <v>100</v>
      </c>
      <c r="E458" t="s">
        <v>79</v>
      </c>
      <c r="F458" t="s">
        <v>80</v>
      </c>
      <c r="G458">
        <v>1.0368172118482999</v>
      </c>
      <c r="H458">
        <v>2E+20</v>
      </c>
      <c r="I458">
        <v>1.0368172118482999</v>
      </c>
      <c r="J458">
        <v>1.0368172118482999</v>
      </c>
      <c r="K458">
        <v>1</v>
      </c>
      <c r="L458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17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1.2479418078945623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0.31984647428526602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4.50094101938984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0.31984647428526602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4.50094101938984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1</v>
      </c>
      <c r="W458" s="5">
        <f>IF((DiscreteStatsTable[[#This Row],[RepsRequested]]&gt;1),DiscreteStatsTable[[#This Row],[HalfWidth]],DiscreteStatsTable[[#This Row],[BatchMeansHalfWidth]])</f>
        <v>0.55487830754641054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17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67</v>
      </c>
      <c r="B459" t="s">
        <v>69</v>
      </c>
      <c r="C459">
        <v>16</v>
      </c>
      <c r="D459" t="s">
        <v>100</v>
      </c>
      <c r="E459" t="s">
        <v>79</v>
      </c>
      <c r="F459" t="s">
        <v>80</v>
      </c>
      <c r="G459">
        <v>0.91346636770360901</v>
      </c>
      <c r="H459">
        <v>2E+20</v>
      </c>
      <c r="I459">
        <v>0.91346636770360901</v>
      </c>
      <c r="J459">
        <v>0.91346636770360901</v>
      </c>
      <c r="K459">
        <v>1</v>
      </c>
      <c r="L459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17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1.2479418078945623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1.0792094685636386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0.31984647428526602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4.50094101938984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0.31984647428526602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4.50094101938984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1</v>
      </c>
      <c r="W459" s="5">
        <f>IF((DiscreteStatsTable[[#This Row],[RepsRequested]]&gt;1),DiscreteStatsTable[[#This Row],[HalfWidth]],DiscreteStatsTable[[#This Row],[BatchMeansHalfWidth]])</f>
        <v>0.55487830754641054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17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67</v>
      </c>
      <c r="B460" t="s">
        <v>69</v>
      </c>
      <c r="C460">
        <v>17</v>
      </c>
      <c r="D460" t="s">
        <v>100</v>
      </c>
      <c r="E460" t="s">
        <v>79</v>
      </c>
      <c r="F460" t="s">
        <v>80</v>
      </c>
      <c r="G460">
        <v>0.76197730004861097</v>
      </c>
      <c r="H460">
        <v>2E+20</v>
      </c>
      <c r="I460">
        <v>0.76197730004861097</v>
      </c>
      <c r="J460">
        <v>0.76197730004861097</v>
      </c>
      <c r="K460">
        <v>1</v>
      </c>
      <c r="L460" s="5" t="str">
        <f>DiscreteStatsTable[[#This Row],[ProjectName]]&amp;DiscreteStatsTable[[#This Row],[Name]]&amp;DiscreteStatsTable[[#This Row],[Type]]&amp;DiscreteStatsTable[[#This Row],[Source]]</f>
        <v>Weekend (base)PrepPedidoH1ExpressionUser Specified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17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1.2479418078945623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1.0792094685636386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0.55487830754641054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0.31984647428526602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4.50094101938984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0.31984647428526602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4.50094101938984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1</v>
      </c>
      <c r="W460" s="5">
        <f>IF((DiscreteStatsTable[[#This Row],[RepsRequested]]&gt;1),DiscreteStatsTable[[#This Row],[HalfWidth]],DiscreteStatsTable[[#This Row],[BatchMeansHalfWidth]])</f>
        <v>0.55487830754641054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17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67</v>
      </c>
      <c r="B461" t="s">
        <v>69</v>
      </c>
      <c r="C461">
        <v>1</v>
      </c>
      <c r="D461" t="s">
        <v>101</v>
      </c>
      <c r="E461" t="s">
        <v>79</v>
      </c>
      <c r="F461" t="s">
        <v>80</v>
      </c>
      <c r="G461">
        <v>0.99930242111850798</v>
      </c>
      <c r="H461">
        <v>2E+20</v>
      </c>
      <c r="I461">
        <v>0.99930242111850798</v>
      </c>
      <c r="J461">
        <v>0.99930242111850798</v>
      </c>
      <c r="K461">
        <v>1</v>
      </c>
      <c r="L461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17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1.1445938440067605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0.319489264505948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3.55514158269076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0.319489264505948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3.55514158269076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1</v>
      </c>
      <c r="W461" s="5">
        <f>IF((DiscreteStatsTable[[#This Row],[RepsRequested]]&gt;1),DiscreteStatsTable[[#This Row],[HalfWidth]],DiscreteStatsTable[[#This Row],[BatchMeansHalfWidth]])</f>
        <v>0.4503643613144116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17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67</v>
      </c>
      <c r="B462" t="s">
        <v>69</v>
      </c>
      <c r="C462">
        <v>2</v>
      </c>
      <c r="D462" t="s">
        <v>101</v>
      </c>
      <c r="E462" t="s">
        <v>79</v>
      </c>
      <c r="F462" t="s">
        <v>80</v>
      </c>
      <c r="G462">
        <v>1.1524630765055399</v>
      </c>
      <c r="H462">
        <v>2E+20</v>
      </c>
      <c r="I462">
        <v>1.1524630765055399</v>
      </c>
      <c r="J462">
        <v>1.1524630765055399</v>
      </c>
      <c r="K462">
        <v>1</v>
      </c>
      <c r="L462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17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1.1445938440067605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0.319489264505948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3.55514158269076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0.319489264505948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3.55514158269076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1</v>
      </c>
      <c r="W462" s="5">
        <f>IF((DiscreteStatsTable[[#This Row],[RepsRequested]]&gt;1),DiscreteStatsTable[[#This Row],[HalfWidth]],DiscreteStatsTable[[#This Row],[BatchMeansHalfWidth]])</f>
        <v>0.4503643613144116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17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67</v>
      </c>
      <c r="B463" t="s">
        <v>69</v>
      </c>
      <c r="C463">
        <v>3</v>
      </c>
      <c r="D463" t="s">
        <v>101</v>
      </c>
      <c r="E463" t="s">
        <v>79</v>
      </c>
      <c r="F463" t="s">
        <v>80</v>
      </c>
      <c r="G463">
        <v>2.8297865152547299</v>
      </c>
      <c r="H463">
        <v>2E+20</v>
      </c>
      <c r="I463">
        <v>2.8297865152547299</v>
      </c>
      <c r="J463">
        <v>2.8297865152547299</v>
      </c>
      <c r="K463">
        <v>1</v>
      </c>
      <c r="L463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17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1.1445938440067605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0.319489264505948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3.55514158269076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0.319489264505948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3.55514158269076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1</v>
      </c>
      <c r="W463" s="5">
        <f>IF((DiscreteStatsTable[[#This Row],[RepsRequested]]&gt;1),DiscreteStatsTable[[#This Row],[HalfWidth]],DiscreteStatsTable[[#This Row],[BatchMeansHalfWidth]])</f>
        <v>0.4503643613144116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17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67</v>
      </c>
      <c r="B464" t="s">
        <v>69</v>
      </c>
      <c r="C464">
        <v>4</v>
      </c>
      <c r="D464" t="s">
        <v>101</v>
      </c>
      <c r="E464" t="s">
        <v>79</v>
      </c>
      <c r="F464" t="s">
        <v>80</v>
      </c>
      <c r="G464">
        <v>1.12153227616603</v>
      </c>
      <c r="H464">
        <v>2E+20</v>
      </c>
      <c r="I464">
        <v>1.12153227616603</v>
      </c>
      <c r="J464">
        <v>1.12153227616603</v>
      </c>
      <c r="K464">
        <v>1</v>
      </c>
      <c r="L464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17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1.1445938440067605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0.319489264505948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3.55514158269076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0.319489264505948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3.55514158269076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1</v>
      </c>
      <c r="W464" s="5">
        <f>IF((DiscreteStatsTable[[#This Row],[RepsRequested]]&gt;1),DiscreteStatsTable[[#This Row],[HalfWidth]],DiscreteStatsTable[[#This Row],[BatchMeansHalfWidth]])</f>
        <v>0.4503643613144116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17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67</v>
      </c>
      <c r="B465" t="s">
        <v>69</v>
      </c>
      <c r="C465">
        <v>5</v>
      </c>
      <c r="D465" t="s">
        <v>101</v>
      </c>
      <c r="E465" t="s">
        <v>79</v>
      </c>
      <c r="F465" t="s">
        <v>80</v>
      </c>
      <c r="G465">
        <v>0.67838898847898399</v>
      </c>
      <c r="H465">
        <v>2E+20</v>
      </c>
      <c r="I465">
        <v>0.67838898847898399</v>
      </c>
      <c r="J465">
        <v>0.67838898847898399</v>
      </c>
      <c r="K465">
        <v>1</v>
      </c>
      <c r="L465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17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1.1445938440067605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0.319489264505948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3.55514158269076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0.319489264505948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3.55514158269076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1</v>
      </c>
      <c r="W465" s="5">
        <f>IF((DiscreteStatsTable[[#This Row],[RepsRequested]]&gt;1),DiscreteStatsTable[[#This Row],[HalfWidth]],DiscreteStatsTable[[#This Row],[BatchMeansHalfWidth]])</f>
        <v>0.4503643613144116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17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67</v>
      </c>
      <c r="B466" t="s">
        <v>69</v>
      </c>
      <c r="C466">
        <v>6</v>
      </c>
      <c r="D466" t="s">
        <v>101</v>
      </c>
      <c r="E466" t="s">
        <v>79</v>
      </c>
      <c r="F466" t="s">
        <v>80</v>
      </c>
      <c r="G466">
        <v>0.43124249715639401</v>
      </c>
      <c r="H466">
        <v>2E+20</v>
      </c>
      <c r="I466">
        <v>0.43124249715639401</v>
      </c>
      <c r="J466">
        <v>0.43124249715639401</v>
      </c>
      <c r="K466">
        <v>1</v>
      </c>
      <c r="L466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17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1.1445938440067605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0.319489264505948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3.55514158269076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0.319489264505948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3.55514158269076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1</v>
      </c>
      <c r="W466" s="5">
        <f>IF((DiscreteStatsTable[[#This Row],[RepsRequested]]&gt;1),DiscreteStatsTable[[#This Row],[HalfWidth]],DiscreteStatsTable[[#This Row],[BatchMeansHalfWidth]])</f>
        <v>0.4503643613144116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17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67</v>
      </c>
      <c r="B467" t="s">
        <v>69</v>
      </c>
      <c r="C467">
        <v>7</v>
      </c>
      <c r="D467" t="s">
        <v>101</v>
      </c>
      <c r="E467" t="s">
        <v>79</v>
      </c>
      <c r="F467" t="s">
        <v>80</v>
      </c>
      <c r="G467">
        <v>0.76892503236124798</v>
      </c>
      <c r="H467">
        <v>2E+20</v>
      </c>
      <c r="I467">
        <v>0.76892503236124798</v>
      </c>
      <c r="J467">
        <v>0.76892503236124798</v>
      </c>
      <c r="K467">
        <v>1</v>
      </c>
      <c r="L467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17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1.1445938440067605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0.319489264505948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3.55514158269076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0.319489264505948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3.55514158269076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1</v>
      </c>
      <c r="W467" s="5">
        <f>IF((DiscreteStatsTable[[#This Row],[RepsRequested]]&gt;1),DiscreteStatsTable[[#This Row],[HalfWidth]],DiscreteStatsTable[[#This Row],[BatchMeansHalfWidth]])</f>
        <v>0.4503643613144116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17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67</v>
      </c>
      <c r="B468" t="s">
        <v>69</v>
      </c>
      <c r="C468">
        <v>8</v>
      </c>
      <c r="D468" t="s">
        <v>101</v>
      </c>
      <c r="E468" t="s">
        <v>79</v>
      </c>
      <c r="F468" t="s">
        <v>80</v>
      </c>
      <c r="G468">
        <v>3.55514158269076</v>
      </c>
      <c r="H468">
        <v>2E+20</v>
      </c>
      <c r="I468">
        <v>3.55514158269076</v>
      </c>
      <c r="J468">
        <v>3.55514158269076</v>
      </c>
      <c r="K468">
        <v>1</v>
      </c>
      <c r="L468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17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1.1445938440067605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0.319489264505948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3.55514158269076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0.319489264505948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3.55514158269076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1</v>
      </c>
      <c r="W468" s="5">
        <f>IF((DiscreteStatsTable[[#This Row],[RepsRequested]]&gt;1),DiscreteStatsTable[[#This Row],[HalfWidth]],DiscreteStatsTable[[#This Row],[BatchMeansHalfWidth]])</f>
        <v>0.4503643613144116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17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67</v>
      </c>
      <c r="B469" t="s">
        <v>69</v>
      </c>
      <c r="C469">
        <v>9</v>
      </c>
      <c r="D469" t="s">
        <v>101</v>
      </c>
      <c r="E469" t="s">
        <v>79</v>
      </c>
      <c r="F469" t="s">
        <v>80</v>
      </c>
      <c r="G469">
        <v>1.56499186295072</v>
      </c>
      <c r="H469">
        <v>2E+20</v>
      </c>
      <c r="I469">
        <v>1.56499186295072</v>
      </c>
      <c r="J469">
        <v>1.56499186295072</v>
      </c>
      <c r="K469">
        <v>1</v>
      </c>
      <c r="L469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17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1.1445938440067605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0.319489264505948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3.55514158269076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0.319489264505948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3.55514158269076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1</v>
      </c>
      <c r="W469" s="5">
        <f>IF((DiscreteStatsTable[[#This Row],[RepsRequested]]&gt;1),DiscreteStatsTable[[#This Row],[HalfWidth]],DiscreteStatsTable[[#This Row],[BatchMeansHalfWidth]])</f>
        <v>0.4503643613144116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17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67</v>
      </c>
      <c r="B470" t="s">
        <v>69</v>
      </c>
      <c r="C470">
        <v>10</v>
      </c>
      <c r="D470" t="s">
        <v>101</v>
      </c>
      <c r="E470" t="s">
        <v>79</v>
      </c>
      <c r="F470" t="s">
        <v>80</v>
      </c>
      <c r="G470">
        <v>1.1582145762137701</v>
      </c>
      <c r="H470">
        <v>2E+20</v>
      </c>
      <c r="I470">
        <v>1.1582145762137701</v>
      </c>
      <c r="J470">
        <v>1.1582145762137701</v>
      </c>
      <c r="K470">
        <v>1</v>
      </c>
      <c r="L470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17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1.1445938440067605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0.319489264505948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3.55514158269076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0.319489264505948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3.55514158269076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1</v>
      </c>
      <c r="W470" s="5">
        <f>IF((DiscreteStatsTable[[#This Row],[RepsRequested]]&gt;1),DiscreteStatsTable[[#This Row],[HalfWidth]],DiscreteStatsTable[[#This Row],[BatchMeansHalfWidth]])</f>
        <v>0.4503643613144116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17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67</v>
      </c>
      <c r="B471" t="s">
        <v>69</v>
      </c>
      <c r="C471">
        <v>11</v>
      </c>
      <c r="D471" t="s">
        <v>101</v>
      </c>
      <c r="E471" t="s">
        <v>79</v>
      </c>
      <c r="F471" t="s">
        <v>80</v>
      </c>
      <c r="G471">
        <v>0.319489264505948</v>
      </c>
      <c r="H471">
        <v>2E+20</v>
      </c>
      <c r="I471">
        <v>0.319489264505948</v>
      </c>
      <c r="J471">
        <v>0.319489264505948</v>
      </c>
      <c r="K471">
        <v>1</v>
      </c>
      <c r="L471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17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1.1445938440067605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0.319489264505948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3.55514158269076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0.319489264505948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3.55514158269076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1</v>
      </c>
      <c r="W471" s="5">
        <f>IF((DiscreteStatsTable[[#This Row],[RepsRequested]]&gt;1),DiscreteStatsTable[[#This Row],[HalfWidth]],DiscreteStatsTable[[#This Row],[BatchMeansHalfWidth]])</f>
        <v>0.4503643613144116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17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67</v>
      </c>
      <c r="B472" t="s">
        <v>69</v>
      </c>
      <c r="C472">
        <v>12</v>
      </c>
      <c r="D472" t="s">
        <v>101</v>
      </c>
      <c r="E472" t="s">
        <v>79</v>
      </c>
      <c r="F472" t="s">
        <v>80</v>
      </c>
      <c r="G472">
        <v>1.81012300916894</v>
      </c>
      <c r="H472">
        <v>2E+20</v>
      </c>
      <c r="I472">
        <v>1.81012300916894</v>
      </c>
      <c r="J472">
        <v>1.81012300916894</v>
      </c>
      <c r="K472">
        <v>1</v>
      </c>
      <c r="L472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17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1.1445938440067605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0.319489264505948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3.55514158269076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0.319489264505948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3.55514158269076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1</v>
      </c>
      <c r="W472" s="5">
        <f>IF((DiscreteStatsTable[[#This Row],[RepsRequested]]&gt;1),DiscreteStatsTable[[#This Row],[HalfWidth]],DiscreteStatsTable[[#This Row],[BatchMeansHalfWidth]])</f>
        <v>0.4503643613144116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17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67</v>
      </c>
      <c r="B473" t="s">
        <v>69</v>
      </c>
      <c r="C473">
        <v>13</v>
      </c>
      <c r="D473" t="s">
        <v>101</v>
      </c>
      <c r="E473" t="s">
        <v>79</v>
      </c>
      <c r="F473" t="s">
        <v>80</v>
      </c>
      <c r="G473">
        <v>0.63108389954690203</v>
      </c>
      <c r="H473">
        <v>2E+20</v>
      </c>
      <c r="I473">
        <v>0.63108389954690203</v>
      </c>
      <c r="J473">
        <v>0.63108389954690203</v>
      </c>
      <c r="K473">
        <v>1</v>
      </c>
      <c r="L473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17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1.1445938440067605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0.319489264505948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3.55514158269076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0.319489264505948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3.55514158269076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1</v>
      </c>
      <c r="W473" s="5">
        <f>IF((DiscreteStatsTable[[#This Row],[RepsRequested]]&gt;1),DiscreteStatsTable[[#This Row],[HalfWidth]],DiscreteStatsTable[[#This Row],[BatchMeansHalfWidth]])</f>
        <v>0.4503643613144116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17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67</v>
      </c>
      <c r="B474" t="s">
        <v>69</v>
      </c>
      <c r="C474">
        <v>14</v>
      </c>
      <c r="D474" t="s">
        <v>101</v>
      </c>
      <c r="E474" t="s">
        <v>79</v>
      </c>
      <c r="F474" t="s">
        <v>80</v>
      </c>
      <c r="G474">
        <v>0.59455827584750498</v>
      </c>
      <c r="H474">
        <v>2E+20</v>
      </c>
      <c r="I474">
        <v>0.59455827584750498</v>
      </c>
      <c r="J474">
        <v>0.59455827584750498</v>
      </c>
      <c r="K474">
        <v>1</v>
      </c>
      <c r="L474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17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1.1445938440067605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0.319489264505948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3.55514158269076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0.319489264505948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3.55514158269076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1</v>
      </c>
      <c r="W474" s="5">
        <f>IF((DiscreteStatsTable[[#This Row],[RepsRequested]]&gt;1),DiscreteStatsTable[[#This Row],[HalfWidth]],DiscreteStatsTable[[#This Row],[BatchMeansHalfWidth]])</f>
        <v>0.4503643613144116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17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67</v>
      </c>
      <c r="B475" t="s">
        <v>69</v>
      </c>
      <c r="C475">
        <v>15</v>
      </c>
      <c r="D475" t="s">
        <v>101</v>
      </c>
      <c r="E475" t="s">
        <v>79</v>
      </c>
      <c r="F475" t="s">
        <v>80</v>
      </c>
      <c r="G475">
        <v>0.74452913889893801</v>
      </c>
      <c r="H475">
        <v>2E+20</v>
      </c>
      <c r="I475">
        <v>0.74452913889893801</v>
      </c>
      <c r="J475">
        <v>0.74452913889893801</v>
      </c>
      <c r="K475">
        <v>1</v>
      </c>
      <c r="L475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17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1.1445938440067605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0.319489264505948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3.55514158269076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0.319489264505948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3.55514158269076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1</v>
      </c>
      <c r="W475" s="5">
        <f>IF((DiscreteStatsTable[[#This Row],[RepsRequested]]&gt;1),DiscreteStatsTable[[#This Row],[HalfWidth]],DiscreteStatsTable[[#This Row],[BatchMeansHalfWidth]])</f>
        <v>0.4503643613144116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17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67</v>
      </c>
      <c r="B476" t="s">
        <v>69</v>
      </c>
      <c r="C476">
        <v>16</v>
      </c>
      <c r="D476" t="s">
        <v>101</v>
      </c>
      <c r="E476" t="s">
        <v>79</v>
      </c>
      <c r="F476" t="s">
        <v>80</v>
      </c>
      <c r="G476">
        <v>0.53288281273167903</v>
      </c>
      <c r="H476">
        <v>2E+20</v>
      </c>
      <c r="I476">
        <v>0.53288281273167903</v>
      </c>
      <c r="J476">
        <v>0.53288281273167903</v>
      </c>
      <c r="K476">
        <v>1</v>
      </c>
      <c r="L476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17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1.1445938440067605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0.319489264505948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3.55514158269076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0.319489264505948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3.55514158269076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1</v>
      </c>
      <c r="W476" s="5">
        <f>IF((DiscreteStatsTable[[#This Row],[RepsRequested]]&gt;1),DiscreteStatsTable[[#This Row],[HalfWidth]],DiscreteStatsTable[[#This Row],[BatchMeansHalfWidth]])</f>
        <v>0.4503643613144116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17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67</v>
      </c>
      <c r="B477" t="s">
        <v>69</v>
      </c>
      <c r="C477">
        <v>17</v>
      </c>
      <c r="D477" t="s">
        <v>101</v>
      </c>
      <c r="E477" t="s">
        <v>79</v>
      </c>
      <c r="F477" t="s">
        <v>80</v>
      </c>
      <c r="G477">
        <v>0.56544011851833598</v>
      </c>
      <c r="H477">
        <v>2E+20</v>
      </c>
      <c r="I477">
        <v>0.56544011851833598</v>
      </c>
      <c r="J477">
        <v>0.56544011851833598</v>
      </c>
      <c r="K477">
        <v>1</v>
      </c>
      <c r="L477" s="5" t="str">
        <f>DiscreteStatsTable[[#This Row],[ProjectName]]&amp;DiscreteStatsTable[[#This Row],[Name]]&amp;DiscreteStatsTable[[#This Row],[Type]]&amp;DiscreteStatsTable[[#This Row],[Source]]</f>
        <v>Weekend (base)PrepPedidoH2ExpressionUser Specified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17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1.1445938440067605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0.87593527521973991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0.4503643613144116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0.319489264505948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3.55514158269076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0.319489264505948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3.55514158269076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1</v>
      </c>
      <c r="W477" s="5">
        <f>IF((DiscreteStatsTable[[#This Row],[RepsRequested]]&gt;1),DiscreteStatsTable[[#This Row],[HalfWidth]],DiscreteStatsTable[[#This Row],[BatchMeansHalfWidth]])</f>
        <v>0.4503643613144116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17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67</v>
      </c>
      <c r="B478" t="s">
        <v>69</v>
      </c>
      <c r="C478">
        <v>1</v>
      </c>
      <c r="D478" t="s">
        <v>102</v>
      </c>
      <c r="E478" t="s">
        <v>79</v>
      </c>
      <c r="F478" t="s">
        <v>80</v>
      </c>
      <c r="G478">
        <v>0.81271818200073898</v>
      </c>
      <c r="H478">
        <v>2E+20</v>
      </c>
      <c r="I478">
        <v>0.81271818200073898</v>
      </c>
      <c r="J478">
        <v>0.81271818200073898</v>
      </c>
      <c r="K478">
        <v>1</v>
      </c>
      <c r="L478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17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1.1084830881867871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0.30890882984771101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2.8010094841286302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0.30890882984771101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2.8010094841286302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1</v>
      </c>
      <c r="W478" s="5">
        <f>IF((DiscreteStatsTable[[#This Row],[RepsRequested]]&gt;1),DiscreteStatsTable[[#This Row],[HalfWidth]],DiscreteStatsTable[[#This Row],[BatchMeansHalfWidth]])</f>
        <v>0.3407032781924717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17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67</v>
      </c>
      <c r="B479" t="s">
        <v>69</v>
      </c>
      <c r="C479">
        <v>2</v>
      </c>
      <c r="D479" t="s">
        <v>102</v>
      </c>
      <c r="E479" t="s">
        <v>79</v>
      </c>
      <c r="F479" t="s">
        <v>80</v>
      </c>
      <c r="G479">
        <v>1.3729792803177101</v>
      </c>
      <c r="H479">
        <v>2E+20</v>
      </c>
      <c r="I479">
        <v>1.3729792803177101</v>
      </c>
      <c r="J479">
        <v>1.3729792803177101</v>
      </c>
      <c r="K479">
        <v>1</v>
      </c>
      <c r="L479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17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1.1084830881867871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0.30890882984771101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2.8010094841286302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0.30890882984771101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2.8010094841286302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1</v>
      </c>
      <c r="W479" s="5">
        <f>IF((DiscreteStatsTable[[#This Row],[RepsRequested]]&gt;1),DiscreteStatsTable[[#This Row],[HalfWidth]],DiscreteStatsTable[[#This Row],[BatchMeansHalfWidth]])</f>
        <v>0.3407032781924717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17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67</v>
      </c>
      <c r="B480" t="s">
        <v>69</v>
      </c>
      <c r="C480">
        <v>3</v>
      </c>
      <c r="D480" t="s">
        <v>102</v>
      </c>
      <c r="E480" t="s">
        <v>79</v>
      </c>
      <c r="F480" t="s">
        <v>80</v>
      </c>
      <c r="G480">
        <v>2.1144024293599601</v>
      </c>
      <c r="H480">
        <v>2E+20</v>
      </c>
      <c r="I480">
        <v>2.1144024293599601</v>
      </c>
      <c r="J480">
        <v>2.1144024293599601</v>
      </c>
      <c r="K480">
        <v>1</v>
      </c>
      <c r="L480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17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1.1084830881867871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0.30890882984771101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2.8010094841286302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0.30890882984771101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2.8010094841286302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1</v>
      </c>
      <c r="W480" s="5">
        <f>IF((DiscreteStatsTable[[#This Row],[RepsRequested]]&gt;1),DiscreteStatsTable[[#This Row],[HalfWidth]],DiscreteStatsTable[[#This Row],[BatchMeansHalfWidth]])</f>
        <v>0.3407032781924717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17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67</v>
      </c>
      <c r="B481" t="s">
        <v>69</v>
      </c>
      <c r="C481">
        <v>4</v>
      </c>
      <c r="D481" t="s">
        <v>102</v>
      </c>
      <c r="E481" t="s">
        <v>79</v>
      </c>
      <c r="F481" t="s">
        <v>80</v>
      </c>
      <c r="G481">
        <v>0.90413977843846904</v>
      </c>
      <c r="H481">
        <v>2E+20</v>
      </c>
      <c r="I481">
        <v>0.90413977843846904</v>
      </c>
      <c r="J481">
        <v>0.90413977843846904</v>
      </c>
      <c r="K481">
        <v>1</v>
      </c>
      <c r="L481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17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1.1084830881867871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0.30890882984771101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2.8010094841286302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0.30890882984771101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2.8010094841286302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1</v>
      </c>
      <c r="W481" s="5">
        <f>IF((DiscreteStatsTable[[#This Row],[RepsRequested]]&gt;1),DiscreteStatsTable[[#This Row],[HalfWidth]],DiscreteStatsTable[[#This Row],[BatchMeansHalfWidth]])</f>
        <v>0.3407032781924717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17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67</v>
      </c>
      <c r="B482" t="s">
        <v>69</v>
      </c>
      <c r="C482">
        <v>5</v>
      </c>
      <c r="D482" t="s">
        <v>102</v>
      </c>
      <c r="E482" t="s">
        <v>79</v>
      </c>
      <c r="F482" t="s">
        <v>80</v>
      </c>
      <c r="G482">
        <v>0.95885265068747305</v>
      </c>
      <c r="H482">
        <v>2E+20</v>
      </c>
      <c r="I482">
        <v>0.95885265068747305</v>
      </c>
      <c r="J482">
        <v>0.95885265068747305</v>
      </c>
      <c r="K482">
        <v>1</v>
      </c>
      <c r="L482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17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1.1084830881867871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0.30890882984771101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2.8010094841286302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0.30890882984771101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2.8010094841286302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1</v>
      </c>
      <c r="W482" s="5">
        <f>IF((DiscreteStatsTable[[#This Row],[RepsRequested]]&gt;1),DiscreteStatsTable[[#This Row],[HalfWidth]],DiscreteStatsTable[[#This Row],[BatchMeansHalfWidth]])</f>
        <v>0.3407032781924717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17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67</v>
      </c>
      <c r="B483" t="s">
        <v>69</v>
      </c>
      <c r="C483">
        <v>6</v>
      </c>
      <c r="D483" t="s">
        <v>102</v>
      </c>
      <c r="E483" t="s">
        <v>79</v>
      </c>
      <c r="F483" t="s">
        <v>80</v>
      </c>
      <c r="G483">
        <v>0.30890882984771101</v>
      </c>
      <c r="H483">
        <v>2E+20</v>
      </c>
      <c r="I483">
        <v>0.30890882984771101</v>
      </c>
      <c r="J483">
        <v>0.30890882984771101</v>
      </c>
      <c r="K483">
        <v>1</v>
      </c>
      <c r="L483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17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1.1084830881867871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0.30890882984771101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2.8010094841286302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0.30890882984771101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2.8010094841286302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1</v>
      </c>
      <c r="W483" s="5">
        <f>IF((DiscreteStatsTable[[#This Row],[RepsRequested]]&gt;1),DiscreteStatsTable[[#This Row],[HalfWidth]],DiscreteStatsTable[[#This Row],[BatchMeansHalfWidth]])</f>
        <v>0.3407032781924717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17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67</v>
      </c>
      <c r="B484" t="s">
        <v>69</v>
      </c>
      <c r="C484">
        <v>7</v>
      </c>
      <c r="D484" t="s">
        <v>102</v>
      </c>
      <c r="E484" t="s">
        <v>79</v>
      </c>
      <c r="F484" t="s">
        <v>80</v>
      </c>
      <c r="G484">
        <v>0.65778197038679598</v>
      </c>
      <c r="H484">
        <v>2E+20</v>
      </c>
      <c r="I484">
        <v>0.65778197038679598</v>
      </c>
      <c r="J484">
        <v>0.65778197038679598</v>
      </c>
      <c r="K484">
        <v>1</v>
      </c>
      <c r="L484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17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1.1084830881867871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0.30890882984771101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2.8010094841286302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0.30890882984771101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2.8010094841286302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1</v>
      </c>
      <c r="W484" s="5">
        <f>IF((DiscreteStatsTable[[#This Row],[RepsRequested]]&gt;1),DiscreteStatsTable[[#This Row],[HalfWidth]],DiscreteStatsTable[[#This Row],[BatchMeansHalfWidth]])</f>
        <v>0.3407032781924717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17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67</v>
      </c>
      <c r="B485" t="s">
        <v>69</v>
      </c>
      <c r="C485">
        <v>8</v>
      </c>
      <c r="D485" t="s">
        <v>102</v>
      </c>
      <c r="E485" t="s">
        <v>79</v>
      </c>
      <c r="F485" t="s">
        <v>80</v>
      </c>
      <c r="G485">
        <v>2.8010094841286302</v>
      </c>
      <c r="H485">
        <v>2E+20</v>
      </c>
      <c r="I485">
        <v>2.8010094841286302</v>
      </c>
      <c r="J485">
        <v>2.8010094841286302</v>
      </c>
      <c r="K485">
        <v>1</v>
      </c>
      <c r="L485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17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1.1084830881867871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0.30890882984771101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2.8010094841286302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0.30890882984771101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2.8010094841286302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1</v>
      </c>
      <c r="W485" s="5">
        <f>IF((DiscreteStatsTable[[#This Row],[RepsRequested]]&gt;1),DiscreteStatsTable[[#This Row],[HalfWidth]],DiscreteStatsTable[[#This Row],[BatchMeansHalfWidth]])</f>
        <v>0.3407032781924717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17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67</v>
      </c>
      <c r="B486" t="s">
        <v>69</v>
      </c>
      <c r="C486">
        <v>9</v>
      </c>
      <c r="D486" t="s">
        <v>102</v>
      </c>
      <c r="E486" t="s">
        <v>79</v>
      </c>
      <c r="F486" t="s">
        <v>80</v>
      </c>
      <c r="G486">
        <v>1.1558867767485399</v>
      </c>
      <c r="H486">
        <v>2E+20</v>
      </c>
      <c r="I486">
        <v>1.1558867767485399</v>
      </c>
      <c r="J486">
        <v>1.1558867767485399</v>
      </c>
      <c r="K486">
        <v>1</v>
      </c>
      <c r="L486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17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1.1084830881867871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0.30890882984771101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2.8010094841286302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0.30890882984771101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2.8010094841286302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1</v>
      </c>
      <c r="W486" s="5">
        <f>IF((DiscreteStatsTable[[#This Row],[RepsRequested]]&gt;1),DiscreteStatsTable[[#This Row],[HalfWidth]],DiscreteStatsTable[[#This Row],[BatchMeansHalfWidth]])</f>
        <v>0.3407032781924717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17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67</v>
      </c>
      <c r="B487" t="s">
        <v>69</v>
      </c>
      <c r="C487">
        <v>10</v>
      </c>
      <c r="D487" t="s">
        <v>102</v>
      </c>
      <c r="E487" t="s">
        <v>79</v>
      </c>
      <c r="F487" t="s">
        <v>80</v>
      </c>
      <c r="G487">
        <v>1.37691335913757</v>
      </c>
      <c r="H487">
        <v>2E+20</v>
      </c>
      <c r="I487">
        <v>1.37691335913757</v>
      </c>
      <c r="J487">
        <v>1.37691335913757</v>
      </c>
      <c r="K487">
        <v>1</v>
      </c>
      <c r="L487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17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1.1084830881867871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0.30890882984771101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2.8010094841286302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0.30890882984771101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2.8010094841286302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1</v>
      </c>
      <c r="W487" s="5">
        <f>IF((DiscreteStatsTable[[#This Row],[RepsRequested]]&gt;1),DiscreteStatsTable[[#This Row],[HalfWidth]],DiscreteStatsTable[[#This Row],[BatchMeansHalfWidth]])</f>
        <v>0.3407032781924717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17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67</v>
      </c>
      <c r="B488" t="s">
        <v>69</v>
      </c>
      <c r="C488">
        <v>11</v>
      </c>
      <c r="D488" t="s">
        <v>102</v>
      </c>
      <c r="E488" t="s">
        <v>79</v>
      </c>
      <c r="F488" t="s">
        <v>80</v>
      </c>
      <c r="G488">
        <v>0.61471804778832895</v>
      </c>
      <c r="H488">
        <v>2E+20</v>
      </c>
      <c r="I488">
        <v>0.61471804778832895</v>
      </c>
      <c r="J488">
        <v>0.61471804778832895</v>
      </c>
      <c r="K488">
        <v>1</v>
      </c>
      <c r="L488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17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1.1084830881867871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0.30890882984771101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2.8010094841286302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0.30890882984771101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2.8010094841286302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1</v>
      </c>
      <c r="W488" s="5">
        <f>IF((DiscreteStatsTable[[#This Row],[RepsRequested]]&gt;1),DiscreteStatsTable[[#This Row],[HalfWidth]],DiscreteStatsTable[[#This Row],[BatchMeansHalfWidth]])</f>
        <v>0.3407032781924717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17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67</v>
      </c>
      <c r="B489" t="s">
        <v>69</v>
      </c>
      <c r="C489">
        <v>12</v>
      </c>
      <c r="D489" t="s">
        <v>102</v>
      </c>
      <c r="E489" t="s">
        <v>79</v>
      </c>
      <c r="F489" t="s">
        <v>80</v>
      </c>
      <c r="G489">
        <v>1.40336917164237</v>
      </c>
      <c r="H489">
        <v>2E+20</v>
      </c>
      <c r="I489">
        <v>1.40336917164237</v>
      </c>
      <c r="J489">
        <v>1.40336917164237</v>
      </c>
      <c r="K489">
        <v>1</v>
      </c>
      <c r="L489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17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1.1084830881867871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0.30890882984771101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2.8010094841286302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0.30890882984771101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2.8010094841286302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1</v>
      </c>
      <c r="W489" s="5">
        <f>IF((DiscreteStatsTable[[#This Row],[RepsRequested]]&gt;1),DiscreteStatsTable[[#This Row],[HalfWidth]],DiscreteStatsTable[[#This Row],[BatchMeansHalfWidth]])</f>
        <v>0.3407032781924717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17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67</v>
      </c>
      <c r="B490" t="s">
        <v>69</v>
      </c>
      <c r="C490">
        <v>13</v>
      </c>
      <c r="D490" t="s">
        <v>102</v>
      </c>
      <c r="E490" t="s">
        <v>79</v>
      </c>
      <c r="F490" t="s">
        <v>80</v>
      </c>
      <c r="G490">
        <v>0.69676193246016305</v>
      </c>
      <c r="H490">
        <v>2E+20</v>
      </c>
      <c r="I490">
        <v>0.69676193246016305</v>
      </c>
      <c r="J490">
        <v>0.69676193246016305</v>
      </c>
      <c r="K490">
        <v>1</v>
      </c>
      <c r="L490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17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1.1084830881867871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0.30890882984771101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2.8010094841286302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0.30890882984771101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2.8010094841286302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1</v>
      </c>
      <c r="W490" s="5">
        <f>IF((DiscreteStatsTable[[#This Row],[RepsRequested]]&gt;1),DiscreteStatsTable[[#This Row],[HalfWidth]],DiscreteStatsTable[[#This Row],[BatchMeansHalfWidth]])</f>
        <v>0.3407032781924717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17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67</v>
      </c>
      <c r="B491" t="s">
        <v>69</v>
      </c>
      <c r="C491">
        <v>14</v>
      </c>
      <c r="D491" t="s">
        <v>102</v>
      </c>
      <c r="E491" t="s">
        <v>79</v>
      </c>
      <c r="F491" t="s">
        <v>80</v>
      </c>
      <c r="G491">
        <v>0.80758689895531899</v>
      </c>
      <c r="H491">
        <v>2E+20</v>
      </c>
      <c r="I491">
        <v>0.80758689895531899</v>
      </c>
      <c r="J491">
        <v>0.80758689895531899</v>
      </c>
      <c r="K491">
        <v>1</v>
      </c>
      <c r="L491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17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1.1084830881867871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0.30890882984771101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2.8010094841286302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0.30890882984771101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2.8010094841286302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1</v>
      </c>
      <c r="W491" s="5">
        <f>IF((DiscreteStatsTable[[#This Row],[RepsRequested]]&gt;1),DiscreteStatsTable[[#This Row],[HalfWidth]],DiscreteStatsTable[[#This Row],[BatchMeansHalfWidth]])</f>
        <v>0.3407032781924717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17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67</v>
      </c>
      <c r="B492" t="s">
        <v>69</v>
      </c>
      <c r="C492">
        <v>15</v>
      </c>
      <c r="D492" t="s">
        <v>102</v>
      </c>
      <c r="E492" t="s">
        <v>79</v>
      </c>
      <c r="F492" t="s">
        <v>80</v>
      </c>
      <c r="G492">
        <v>0.515335004400583</v>
      </c>
      <c r="H492">
        <v>2E+20</v>
      </c>
      <c r="I492">
        <v>0.515335004400583</v>
      </c>
      <c r="J492">
        <v>0.515335004400583</v>
      </c>
      <c r="K492">
        <v>1</v>
      </c>
      <c r="L492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17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1.1084830881867871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0.30890882984771101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2.8010094841286302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0.30890882984771101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2.8010094841286302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1</v>
      </c>
      <c r="W492" s="5">
        <f>IF((DiscreteStatsTable[[#This Row],[RepsRequested]]&gt;1),DiscreteStatsTable[[#This Row],[HalfWidth]],DiscreteStatsTable[[#This Row],[BatchMeansHalfWidth]])</f>
        <v>0.3407032781924717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17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67</v>
      </c>
      <c r="B493" t="s">
        <v>69</v>
      </c>
      <c r="C493">
        <v>16</v>
      </c>
      <c r="D493" t="s">
        <v>102</v>
      </c>
      <c r="E493" t="s">
        <v>79</v>
      </c>
      <c r="F493" t="s">
        <v>80</v>
      </c>
      <c r="G493">
        <v>0.44332091741765201</v>
      </c>
      <c r="H493">
        <v>2E+20</v>
      </c>
      <c r="I493">
        <v>0.44332091741765201</v>
      </c>
      <c r="J493">
        <v>0.44332091741765201</v>
      </c>
      <c r="K493">
        <v>1</v>
      </c>
      <c r="L493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17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1.1084830881867871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0.30890882984771101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2.8010094841286302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0.30890882984771101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2.8010094841286302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1</v>
      </c>
      <c r="W493" s="5">
        <f>IF((DiscreteStatsTable[[#This Row],[RepsRequested]]&gt;1),DiscreteStatsTable[[#This Row],[HalfWidth]],DiscreteStatsTable[[#This Row],[BatchMeansHalfWidth]])</f>
        <v>0.3407032781924717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17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67</v>
      </c>
      <c r="B494" t="s">
        <v>69</v>
      </c>
      <c r="C494">
        <v>17</v>
      </c>
      <c r="D494" t="s">
        <v>102</v>
      </c>
      <c r="E494" t="s">
        <v>79</v>
      </c>
      <c r="F494" t="s">
        <v>80</v>
      </c>
      <c r="G494">
        <v>1.89952778545737</v>
      </c>
      <c r="H494">
        <v>2E+20</v>
      </c>
      <c r="I494">
        <v>1.89952778545737</v>
      </c>
      <c r="J494">
        <v>1.89952778545737</v>
      </c>
      <c r="K494">
        <v>1</v>
      </c>
      <c r="L494" s="5" t="str">
        <f>DiscreteStatsTable[[#This Row],[ProjectName]]&amp;DiscreteStatsTable[[#This Row],[Name]]&amp;DiscreteStatsTable[[#This Row],[Type]]&amp;DiscreteStatsTable[[#This Row],[Source]]</f>
        <v>Weekend (base)PrepPedidoH3ExpressionUser Specified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17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1.1084830881867871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0.66265016814562161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0.3407032781924717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0.30890882984771101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2.8010094841286302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0.30890882984771101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2.8010094841286302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1</v>
      </c>
      <c r="W494" s="5">
        <f>IF((DiscreteStatsTable[[#This Row],[RepsRequested]]&gt;1),DiscreteStatsTable[[#This Row],[HalfWidth]],DiscreteStatsTable[[#This Row],[BatchMeansHalfWidth]])</f>
        <v>0.3407032781924717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17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67</v>
      </c>
      <c r="B495" t="s">
        <v>69</v>
      </c>
      <c r="C495">
        <v>1</v>
      </c>
      <c r="D495" t="s">
        <v>127</v>
      </c>
      <c r="E495" t="s">
        <v>71</v>
      </c>
      <c r="F495" t="s">
        <v>72</v>
      </c>
      <c r="G495">
        <v>0</v>
      </c>
      <c r="H495">
        <v>2E+20</v>
      </c>
      <c r="I495">
        <v>0</v>
      </c>
      <c r="J495">
        <v>0</v>
      </c>
      <c r="K495">
        <v>3</v>
      </c>
      <c r="L495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17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0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0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0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0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0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3</v>
      </c>
      <c r="W495" s="5">
        <f>IF((DiscreteStatsTable[[#This Row],[RepsRequested]]&gt;1),DiscreteStatsTable[[#This Row],[HalfWidth]],DiscreteStatsTable[[#This Row],[BatchMeansHalfWidth]])</f>
        <v>0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17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67</v>
      </c>
      <c r="B496" t="s">
        <v>69</v>
      </c>
      <c r="C496">
        <v>1</v>
      </c>
      <c r="D496" t="s">
        <v>127</v>
      </c>
      <c r="E496" t="s">
        <v>73</v>
      </c>
      <c r="F496" t="s">
        <v>72</v>
      </c>
      <c r="G496">
        <v>0</v>
      </c>
      <c r="H496">
        <v>2E+20</v>
      </c>
      <c r="I496">
        <v>0</v>
      </c>
      <c r="J496">
        <v>0</v>
      </c>
      <c r="K496">
        <v>3</v>
      </c>
      <c r="L496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17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3</v>
      </c>
      <c r="W496" s="5">
        <f>IF((DiscreteStatsTable[[#This Row],[RepsRequested]]&gt;1),DiscreteStatsTable[[#This Row],[HalfWidth]],DiscreteStatsTable[[#This Row],[BatchMeansHalfWidth]])</f>
        <v>0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17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67</v>
      </c>
      <c r="B497" t="s">
        <v>69</v>
      </c>
      <c r="C497">
        <v>1</v>
      </c>
      <c r="D497" t="s">
        <v>127</v>
      </c>
      <c r="E497" t="s">
        <v>74</v>
      </c>
      <c r="F497" t="s">
        <v>72</v>
      </c>
      <c r="G497">
        <v>0</v>
      </c>
      <c r="H497">
        <v>2E+20</v>
      </c>
      <c r="I497">
        <v>0</v>
      </c>
      <c r="J497">
        <v>0</v>
      </c>
      <c r="K497">
        <v>3</v>
      </c>
      <c r="L497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17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0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0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0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0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3</v>
      </c>
      <c r="W497" s="5">
        <f>IF((DiscreteStatsTable[[#This Row],[RepsRequested]]&gt;1),DiscreteStatsTable[[#This Row],[HalfWidth]],DiscreteStatsTable[[#This Row],[BatchMeansHalfWidth]])</f>
        <v>0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17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67</v>
      </c>
      <c r="B498" t="s">
        <v>69</v>
      </c>
      <c r="C498">
        <v>1</v>
      </c>
      <c r="D498" t="s">
        <v>127</v>
      </c>
      <c r="E498" t="s">
        <v>75</v>
      </c>
      <c r="F498" t="s">
        <v>72</v>
      </c>
      <c r="G498">
        <v>0</v>
      </c>
      <c r="H498">
        <v>2E+20</v>
      </c>
      <c r="I498">
        <v>0</v>
      </c>
      <c r="J498">
        <v>0</v>
      </c>
      <c r="K498">
        <v>3</v>
      </c>
      <c r="L498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17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0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0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0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0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0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0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3</v>
      </c>
      <c r="W498" s="5">
        <f>IF((DiscreteStatsTable[[#This Row],[RepsRequested]]&gt;1),DiscreteStatsTable[[#This Row],[HalfWidth]],DiscreteStatsTable[[#This Row],[BatchMeansHalfWidth]])</f>
        <v>0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17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67</v>
      </c>
      <c r="B499" t="s">
        <v>69</v>
      </c>
      <c r="C499">
        <v>1</v>
      </c>
      <c r="D499" t="s">
        <v>127</v>
      </c>
      <c r="E499" t="s">
        <v>76</v>
      </c>
      <c r="F499" t="s">
        <v>72</v>
      </c>
      <c r="G499">
        <v>0</v>
      </c>
      <c r="H499">
        <v>2E+20</v>
      </c>
      <c r="I499">
        <v>0</v>
      </c>
      <c r="J499">
        <v>0</v>
      </c>
      <c r="K499">
        <v>3</v>
      </c>
      <c r="L499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17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0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0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0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0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0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3</v>
      </c>
      <c r="W499" s="5">
        <f>IF((DiscreteStatsTable[[#This Row],[RepsRequested]]&gt;1),DiscreteStatsTable[[#This Row],[HalfWidth]],DiscreteStatsTable[[#This Row],[BatchMeansHalfWidth]])</f>
        <v>0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17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67</v>
      </c>
      <c r="B500" t="s">
        <v>69</v>
      </c>
      <c r="C500">
        <v>1</v>
      </c>
      <c r="D500" t="s">
        <v>127</v>
      </c>
      <c r="E500" t="s">
        <v>77</v>
      </c>
      <c r="F500" t="s">
        <v>72</v>
      </c>
      <c r="G500">
        <v>0</v>
      </c>
      <c r="H500">
        <v>2E+20</v>
      </c>
      <c r="I500">
        <v>0</v>
      </c>
      <c r="J500">
        <v>0</v>
      </c>
      <c r="K500">
        <v>3</v>
      </c>
      <c r="L500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17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0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0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0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0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0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0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3</v>
      </c>
      <c r="W500" s="5">
        <f>IF((DiscreteStatsTable[[#This Row],[RepsRequested]]&gt;1),DiscreteStatsTable[[#This Row],[HalfWidth]],DiscreteStatsTable[[#This Row],[BatchMeansHalfWidth]])</f>
        <v>0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17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67</v>
      </c>
      <c r="B501" t="s">
        <v>69</v>
      </c>
      <c r="C501">
        <v>2</v>
      </c>
      <c r="D501" t="s">
        <v>127</v>
      </c>
      <c r="E501" t="s">
        <v>71</v>
      </c>
      <c r="F501" t="s">
        <v>72</v>
      </c>
      <c r="G501">
        <v>0</v>
      </c>
      <c r="H501">
        <v>2E+20</v>
      </c>
      <c r="I501">
        <v>0</v>
      </c>
      <c r="J501">
        <v>0</v>
      </c>
      <c r="K501">
        <v>3</v>
      </c>
      <c r="L501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17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0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0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0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0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0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3</v>
      </c>
      <c r="W501" s="5">
        <f>IF((DiscreteStatsTable[[#This Row],[RepsRequested]]&gt;1),DiscreteStatsTable[[#This Row],[HalfWidth]],DiscreteStatsTable[[#This Row],[BatchMeansHalfWidth]])</f>
        <v>0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17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67</v>
      </c>
      <c r="B502" t="s">
        <v>69</v>
      </c>
      <c r="C502">
        <v>2</v>
      </c>
      <c r="D502" t="s">
        <v>127</v>
      </c>
      <c r="E502" t="s">
        <v>73</v>
      </c>
      <c r="F502" t="s">
        <v>72</v>
      </c>
      <c r="G502">
        <v>0</v>
      </c>
      <c r="H502">
        <v>2E+20</v>
      </c>
      <c r="I502">
        <v>0</v>
      </c>
      <c r="J502">
        <v>0</v>
      </c>
      <c r="K502">
        <v>3</v>
      </c>
      <c r="L502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17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3</v>
      </c>
      <c r="W502" s="5">
        <f>IF((DiscreteStatsTable[[#This Row],[RepsRequested]]&gt;1),DiscreteStatsTable[[#This Row],[HalfWidth]],DiscreteStatsTable[[#This Row],[BatchMeansHalfWidth]])</f>
        <v>0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17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67</v>
      </c>
      <c r="B503" t="s">
        <v>69</v>
      </c>
      <c r="C503">
        <v>2</v>
      </c>
      <c r="D503" t="s">
        <v>127</v>
      </c>
      <c r="E503" t="s">
        <v>74</v>
      </c>
      <c r="F503" t="s">
        <v>72</v>
      </c>
      <c r="G503">
        <v>0</v>
      </c>
      <c r="H503">
        <v>2E+20</v>
      </c>
      <c r="I503">
        <v>0</v>
      </c>
      <c r="J503">
        <v>0</v>
      </c>
      <c r="K503">
        <v>3</v>
      </c>
      <c r="L503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17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0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0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0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0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3</v>
      </c>
      <c r="W503" s="5">
        <f>IF((DiscreteStatsTable[[#This Row],[RepsRequested]]&gt;1),DiscreteStatsTable[[#This Row],[HalfWidth]],DiscreteStatsTable[[#This Row],[BatchMeansHalfWidth]])</f>
        <v>0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17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67</v>
      </c>
      <c r="B504" t="s">
        <v>69</v>
      </c>
      <c r="C504">
        <v>2</v>
      </c>
      <c r="D504" t="s">
        <v>127</v>
      </c>
      <c r="E504" t="s">
        <v>75</v>
      </c>
      <c r="F504" t="s">
        <v>72</v>
      </c>
      <c r="G504">
        <v>0</v>
      </c>
      <c r="H504">
        <v>2E+20</v>
      </c>
      <c r="I504">
        <v>0</v>
      </c>
      <c r="J504">
        <v>0</v>
      </c>
      <c r="K504">
        <v>3</v>
      </c>
      <c r="L504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17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0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0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0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0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0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0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3</v>
      </c>
      <c r="W504" s="5">
        <f>IF((DiscreteStatsTable[[#This Row],[RepsRequested]]&gt;1),DiscreteStatsTable[[#This Row],[HalfWidth]],DiscreteStatsTable[[#This Row],[BatchMeansHalfWidth]])</f>
        <v>0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17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67</v>
      </c>
      <c r="B505" t="s">
        <v>69</v>
      </c>
      <c r="C505">
        <v>2</v>
      </c>
      <c r="D505" t="s">
        <v>127</v>
      </c>
      <c r="E505" t="s">
        <v>76</v>
      </c>
      <c r="F505" t="s">
        <v>72</v>
      </c>
      <c r="G505">
        <v>0</v>
      </c>
      <c r="H505">
        <v>2E+20</v>
      </c>
      <c r="I505">
        <v>0</v>
      </c>
      <c r="J505">
        <v>0</v>
      </c>
      <c r="K505">
        <v>3</v>
      </c>
      <c r="L505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17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0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0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0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0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0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3</v>
      </c>
      <c r="W505" s="5">
        <f>IF((DiscreteStatsTable[[#This Row],[RepsRequested]]&gt;1),DiscreteStatsTable[[#This Row],[HalfWidth]],DiscreteStatsTable[[#This Row],[BatchMeansHalfWidth]])</f>
        <v>0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17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67</v>
      </c>
      <c r="B506" t="s">
        <v>69</v>
      </c>
      <c r="C506">
        <v>2</v>
      </c>
      <c r="D506" t="s">
        <v>127</v>
      </c>
      <c r="E506" t="s">
        <v>77</v>
      </c>
      <c r="F506" t="s">
        <v>72</v>
      </c>
      <c r="G506">
        <v>0</v>
      </c>
      <c r="H506">
        <v>2E+20</v>
      </c>
      <c r="I506">
        <v>0</v>
      </c>
      <c r="J506">
        <v>0</v>
      </c>
      <c r="K506">
        <v>3</v>
      </c>
      <c r="L506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17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0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0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0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0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0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0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3</v>
      </c>
      <c r="W506" s="5">
        <f>IF((DiscreteStatsTable[[#This Row],[RepsRequested]]&gt;1),DiscreteStatsTable[[#This Row],[HalfWidth]],DiscreteStatsTable[[#This Row],[BatchMeansHalfWidth]])</f>
        <v>0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17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67</v>
      </c>
      <c r="B507" t="s">
        <v>69</v>
      </c>
      <c r="C507">
        <v>3</v>
      </c>
      <c r="D507" t="s">
        <v>127</v>
      </c>
      <c r="E507" t="s">
        <v>71</v>
      </c>
      <c r="F507" t="s">
        <v>72</v>
      </c>
      <c r="G507">
        <v>0</v>
      </c>
      <c r="H507">
        <v>2E+20</v>
      </c>
      <c r="I507">
        <v>0</v>
      </c>
      <c r="J507">
        <v>0</v>
      </c>
      <c r="K507">
        <v>3</v>
      </c>
      <c r="L507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17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0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0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0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0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0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3</v>
      </c>
      <c r="W507" s="5">
        <f>IF((DiscreteStatsTable[[#This Row],[RepsRequested]]&gt;1),DiscreteStatsTable[[#This Row],[HalfWidth]],DiscreteStatsTable[[#This Row],[BatchMeansHalfWidth]])</f>
        <v>0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17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67</v>
      </c>
      <c r="B508" t="s">
        <v>69</v>
      </c>
      <c r="C508">
        <v>3</v>
      </c>
      <c r="D508" t="s">
        <v>127</v>
      </c>
      <c r="E508" t="s">
        <v>73</v>
      </c>
      <c r="F508" t="s">
        <v>72</v>
      </c>
      <c r="G508">
        <v>0</v>
      </c>
      <c r="H508">
        <v>2E+20</v>
      </c>
      <c r="I508">
        <v>0</v>
      </c>
      <c r="J508">
        <v>0</v>
      </c>
      <c r="K508">
        <v>3</v>
      </c>
      <c r="L508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17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3</v>
      </c>
      <c r="W508" s="5">
        <f>IF((DiscreteStatsTable[[#This Row],[RepsRequested]]&gt;1),DiscreteStatsTable[[#This Row],[HalfWidth]],DiscreteStatsTable[[#This Row],[BatchMeansHalfWidth]])</f>
        <v>0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17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67</v>
      </c>
      <c r="B509" t="s">
        <v>69</v>
      </c>
      <c r="C509">
        <v>3</v>
      </c>
      <c r="D509" t="s">
        <v>127</v>
      </c>
      <c r="E509" t="s">
        <v>74</v>
      </c>
      <c r="F509" t="s">
        <v>72</v>
      </c>
      <c r="G509">
        <v>0</v>
      </c>
      <c r="H509">
        <v>2E+20</v>
      </c>
      <c r="I509">
        <v>0</v>
      </c>
      <c r="J509">
        <v>0</v>
      </c>
      <c r="K509">
        <v>3</v>
      </c>
      <c r="L509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17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0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0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0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0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3</v>
      </c>
      <c r="W509" s="5">
        <f>IF((DiscreteStatsTable[[#This Row],[RepsRequested]]&gt;1),DiscreteStatsTable[[#This Row],[HalfWidth]],DiscreteStatsTable[[#This Row],[BatchMeansHalfWidth]])</f>
        <v>0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17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67</v>
      </c>
      <c r="B510" t="s">
        <v>69</v>
      </c>
      <c r="C510">
        <v>3</v>
      </c>
      <c r="D510" t="s">
        <v>127</v>
      </c>
      <c r="E510" t="s">
        <v>75</v>
      </c>
      <c r="F510" t="s">
        <v>72</v>
      </c>
      <c r="G510">
        <v>0</v>
      </c>
      <c r="H510">
        <v>2E+20</v>
      </c>
      <c r="I510">
        <v>0</v>
      </c>
      <c r="J510">
        <v>0</v>
      </c>
      <c r="K510">
        <v>3</v>
      </c>
      <c r="L510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17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0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0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0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0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0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0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3</v>
      </c>
      <c r="W510" s="5">
        <f>IF((DiscreteStatsTable[[#This Row],[RepsRequested]]&gt;1),DiscreteStatsTable[[#This Row],[HalfWidth]],DiscreteStatsTable[[#This Row],[BatchMeansHalfWidth]])</f>
        <v>0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17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67</v>
      </c>
      <c r="B511" t="s">
        <v>69</v>
      </c>
      <c r="C511">
        <v>3</v>
      </c>
      <c r="D511" t="s">
        <v>127</v>
      </c>
      <c r="E511" t="s">
        <v>76</v>
      </c>
      <c r="F511" t="s">
        <v>72</v>
      </c>
      <c r="G511">
        <v>0</v>
      </c>
      <c r="H511">
        <v>2E+20</v>
      </c>
      <c r="I511">
        <v>0</v>
      </c>
      <c r="J511">
        <v>0</v>
      </c>
      <c r="K511">
        <v>3</v>
      </c>
      <c r="L511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17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0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0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0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0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0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3</v>
      </c>
      <c r="W511" s="5">
        <f>IF((DiscreteStatsTable[[#This Row],[RepsRequested]]&gt;1),DiscreteStatsTable[[#This Row],[HalfWidth]],DiscreteStatsTable[[#This Row],[BatchMeansHalfWidth]])</f>
        <v>0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17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67</v>
      </c>
      <c r="B512" t="s">
        <v>69</v>
      </c>
      <c r="C512">
        <v>3</v>
      </c>
      <c r="D512" t="s">
        <v>127</v>
      </c>
      <c r="E512" t="s">
        <v>77</v>
      </c>
      <c r="F512" t="s">
        <v>72</v>
      </c>
      <c r="G512">
        <v>0</v>
      </c>
      <c r="H512">
        <v>2E+20</v>
      </c>
      <c r="I512">
        <v>0</v>
      </c>
      <c r="J512">
        <v>0</v>
      </c>
      <c r="K512">
        <v>3</v>
      </c>
      <c r="L512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17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0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0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0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0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0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0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3</v>
      </c>
      <c r="W512" s="5">
        <f>IF((DiscreteStatsTable[[#This Row],[RepsRequested]]&gt;1),DiscreteStatsTable[[#This Row],[HalfWidth]],DiscreteStatsTable[[#This Row],[BatchMeansHalfWidth]])</f>
        <v>0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17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67</v>
      </c>
      <c r="B513" t="s">
        <v>69</v>
      </c>
      <c r="C513">
        <v>4</v>
      </c>
      <c r="D513" t="s">
        <v>127</v>
      </c>
      <c r="E513" t="s">
        <v>71</v>
      </c>
      <c r="F513" t="s">
        <v>72</v>
      </c>
      <c r="G513">
        <v>0</v>
      </c>
      <c r="H513">
        <v>2E+20</v>
      </c>
      <c r="I513">
        <v>0</v>
      </c>
      <c r="J513">
        <v>0</v>
      </c>
      <c r="K513">
        <v>3</v>
      </c>
      <c r="L513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17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0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0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0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0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0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3</v>
      </c>
      <c r="W513" s="5">
        <f>IF((DiscreteStatsTable[[#This Row],[RepsRequested]]&gt;1),DiscreteStatsTable[[#This Row],[HalfWidth]],DiscreteStatsTable[[#This Row],[BatchMeansHalfWidth]])</f>
        <v>0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17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67</v>
      </c>
      <c r="B514" t="s">
        <v>69</v>
      </c>
      <c r="C514">
        <v>4</v>
      </c>
      <c r="D514" t="s">
        <v>127</v>
      </c>
      <c r="E514" t="s">
        <v>73</v>
      </c>
      <c r="F514" t="s">
        <v>72</v>
      </c>
      <c r="G514">
        <v>0</v>
      </c>
      <c r="H514">
        <v>2E+20</v>
      </c>
      <c r="I514">
        <v>0</v>
      </c>
      <c r="J514">
        <v>0</v>
      </c>
      <c r="K514">
        <v>3</v>
      </c>
      <c r="L514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17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3</v>
      </c>
      <c r="W514" s="5">
        <f>IF((DiscreteStatsTable[[#This Row],[RepsRequested]]&gt;1),DiscreteStatsTable[[#This Row],[HalfWidth]],DiscreteStatsTable[[#This Row],[BatchMeansHalfWidth]])</f>
        <v>0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17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67</v>
      </c>
      <c r="B515" t="s">
        <v>69</v>
      </c>
      <c r="C515">
        <v>4</v>
      </c>
      <c r="D515" t="s">
        <v>127</v>
      </c>
      <c r="E515" t="s">
        <v>74</v>
      </c>
      <c r="F515" t="s">
        <v>72</v>
      </c>
      <c r="G515">
        <v>0</v>
      </c>
      <c r="H515">
        <v>2E+20</v>
      </c>
      <c r="I515">
        <v>0</v>
      </c>
      <c r="J515">
        <v>0</v>
      </c>
      <c r="K515">
        <v>3</v>
      </c>
      <c r="L515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17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0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0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0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0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3</v>
      </c>
      <c r="W515" s="5">
        <f>IF((DiscreteStatsTable[[#This Row],[RepsRequested]]&gt;1),DiscreteStatsTable[[#This Row],[HalfWidth]],DiscreteStatsTable[[#This Row],[BatchMeansHalfWidth]])</f>
        <v>0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17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67</v>
      </c>
      <c r="B516" t="s">
        <v>69</v>
      </c>
      <c r="C516">
        <v>4</v>
      </c>
      <c r="D516" t="s">
        <v>127</v>
      </c>
      <c r="E516" t="s">
        <v>75</v>
      </c>
      <c r="F516" t="s">
        <v>72</v>
      </c>
      <c r="G516">
        <v>0</v>
      </c>
      <c r="H516">
        <v>2E+20</v>
      </c>
      <c r="I516">
        <v>0</v>
      </c>
      <c r="J516">
        <v>0</v>
      </c>
      <c r="K516">
        <v>3</v>
      </c>
      <c r="L516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17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0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0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0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0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0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0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3</v>
      </c>
      <c r="W516" s="5">
        <f>IF((DiscreteStatsTable[[#This Row],[RepsRequested]]&gt;1),DiscreteStatsTable[[#This Row],[HalfWidth]],DiscreteStatsTable[[#This Row],[BatchMeansHalfWidth]])</f>
        <v>0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17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67</v>
      </c>
      <c r="B517" t="s">
        <v>69</v>
      </c>
      <c r="C517">
        <v>4</v>
      </c>
      <c r="D517" t="s">
        <v>127</v>
      </c>
      <c r="E517" t="s">
        <v>76</v>
      </c>
      <c r="F517" t="s">
        <v>72</v>
      </c>
      <c r="G517">
        <v>0</v>
      </c>
      <c r="H517">
        <v>2E+20</v>
      </c>
      <c r="I517">
        <v>0</v>
      </c>
      <c r="J517">
        <v>0</v>
      </c>
      <c r="K517">
        <v>3</v>
      </c>
      <c r="L517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17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0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0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0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0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0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3</v>
      </c>
      <c r="W517" s="5">
        <f>IF((DiscreteStatsTable[[#This Row],[RepsRequested]]&gt;1),DiscreteStatsTable[[#This Row],[HalfWidth]],DiscreteStatsTable[[#This Row],[BatchMeansHalfWidth]])</f>
        <v>0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17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67</v>
      </c>
      <c r="B518" t="s">
        <v>69</v>
      </c>
      <c r="C518">
        <v>4</v>
      </c>
      <c r="D518" t="s">
        <v>127</v>
      </c>
      <c r="E518" t="s">
        <v>77</v>
      </c>
      <c r="F518" t="s">
        <v>72</v>
      </c>
      <c r="G518">
        <v>0</v>
      </c>
      <c r="H518">
        <v>2E+20</v>
      </c>
      <c r="I518">
        <v>0</v>
      </c>
      <c r="J518">
        <v>0</v>
      </c>
      <c r="K518">
        <v>3</v>
      </c>
      <c r="L518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17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0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0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0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0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0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0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3</v>
      </c>
      <c r="W518" s="5">
        <f>IF((DiscreteStatsTable[[#This Row],[RepsRequested]]&gt;1),DiscreteStatsTable[[#This Row],[HalfWidth]],DiscreteStatsTable[[#This Row],[BatchMeansHalfWidth]])</f>
        <v>0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17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67</v>
      </c>
      <c r="B519" t="s">
        <v>69</v>
      </c>
      <c r="C519">
        <v>5</v>
      </c>
      <c r="D519" t="s">
        <v>127</v>
      </c>
      <c r="E519" t="s">
        <v>71</v>
      </c>
      <c r="F519" t="s">
        <v>72</v>
      </c>
      <c r="G519">
        <v>0</v>
      </c>
      <c r="H519">
        <v>2E+20</v>
      </c>
      <c r="I519">
        <v>0</v>
      </c>
      <c r="J519">
        <v>0</v>
      </c>
      <c r="K519">
        <v>3</v>
      </c>
      <c r="L519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17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0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0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0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0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0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3</v>
      </c>
      <c r="W519" s="5">
        <f>IF((DiscreteStatsTable[[#This Row],[RepsRequested]]&gt;1),DiscreteStatsTable[[#This Row],[HalfWidth]],DiscreteStatsTable[[#This Row],[BatchMeansHalfWidth]])</f>
        <v>0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17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67</v>
      </c>
      <c r="B520" t="s">
        <v>69</v>
      </c>
      <c r="C520">
        <v>5</v>
      </c>
      <c r="D520" t="s">
        <v>127</v>
      </c>
      <c r="E520" t="s">
        <v>73</v>
      </c>
      <c r="F520" t="s">
        <v>72</v>
      </c>
      <c r="G520">
        <v>0</v>
      </c>
      <c r="H520">
        <v>2E+20</v>
      </c>
      <c r="I520">
        <v>0</v>
      </c>
      <c r="J520">
        <v>0</v>
      </c>
      <c r="K520">
        <v>3</v>
      </c>
      <c r="L520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17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3</v>
      </c>
      <c r="W520" s="5">
        <f>IF((DiscreteStatsTable[[#This Row],[RepsRequested]]&gt;1),DiscreteStatsTable[[#This Row],[HalfWidth]],DiscreteStatsTable[[#This Row],[BatchMeansHalfWidth]])</f>
        <v>0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17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67</v>
      </c>
      <c r="B521" t="s">
        <v>69</v>
      </c>
      <c r="C521">
        <v>5</v>
      </c>
      <c r="D521" t="s">
        <v>127</v>
      </c>
      <c r="E521" t="s">
        <v>74</v>
      </c>
      <c r="F521" t="s">
        <v>72</v>
      </c>
      <c r="G521">
        <v>0</v>
      </c>
      <c r="H521">
        <v>2E+20</v>
      </c>
      <c r="I521">
        <v>0</v>
      </c>
      <c r="J521">
        <v>0</v>
      </c>
      <c r="K521">
        <v>3</v>
      </c>
      <c r="L521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17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0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0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0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0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3</v>
      </c>
      <c r="W521" s="5">
        <f>IF((DiscreteStatsTable[[#This Row],[RepsRequested]]&gt;1),DiscreteStatsTable[[#This Row],[HalfWidth]],DiscreteStatsTable[[#This Row],[BatchMeansHalfWidth]])</f>
        <v>0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17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67</v>
      </c>
      <c r="B522" t="s">
        <v>69</v>
      </c>
      <c r="C522">
        <v>5</v>
      </c>
      <c r="D522" t="s">
        <v>127</v>
      </c>
      <c r="E522" t="s">
        <v>75</v>
      </c>
      <c r="F522" t="s">
        <v>72</v>
      </c>
      <c r="G522">
        <v>0</v>
      </c>
      <c r="H522">
        <v>2E+20</v>
      </c>
      <c r="I522">
        <v>0</v>
      </c>
      <c r="J522">
        <v>0</v>
      </c>
      <c r="K522">
        <v>3</v>
      </c>
      <c r="L522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17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0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0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0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0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0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0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3</v>
      </c>
      <c r="W522" s="5">
        <f>IF((DiscreteStatsTable[[#This Row],[RepsRequested]]&gt;1),DiscreteStatsTable[[#This Row],[HalfWidth]],DiscreteStatsTable[[#This Row],[BatchMeansHalfWidth]])</f>
        <v>0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17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67</v>
      </c>
      <c r="B523" t="s">
        <v>69</v>
      </c>
      <c r="C523">
        <v>5</v>
      </c>
      <c r="D523" t="s">
        <v>127</v>
      </c>
      <c r="E523" t="s">
        <v>76</v>
      </c>
      <c r="F523" t="s">
        <v>72</v>
      </c>
      <c r="G523">
        <v>0</v>
      </c>
      <c r="H523">
        <v>2E+20</v>
      </c>
      <c r="I523">
        <v>0</v>
      </c>
      <c r="J523">
        <v>0</v>
      </c>
      <c r="K523">
        <v>3</v>
      </c>
      <c r="L523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17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0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0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0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0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0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3</v>
      </c>
      <c r="W523" s="5">
        <f>IF((DiscreteStatsTable[[#This Row],[RepsRequested]]&gt;1),DiscreteStatsTable[[#This Row],[HalfWidth]],DiscreteStatsTable[[#This Row],[BatchMeansHalfWidth]])</f>
        <v>0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17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67</v>
      </c>
      <c r="B524" t="s">
        <v>69</v>
      </c>
      <c r="C524">
        <v>5</v>
      </c>
      <c r="D524" t="s">
        <v>127</v>
      </c>
      <c r="E524" t="s">
        <v>77</v>
      </c>
      <c r="F524" t="s">
        <v>72</v>
      </c>
      <c r="G524">
        <v>0</v>
      </c>
      <c r="H524">
        <v>2E+20</v>
      </c>
      <c r="I524">
        <v>0</v>
      </c>
      <c r="J524">
        <v>0</v>
      </c>
      <c r="K524">
        <v>3</v>
      </c>
      <c r="L524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17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0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0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0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0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0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0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3</v>
      </c>
      <c r="W524" s="5">
        <f>IF((DiscreteStatsTable[[#This Row],[RepsRequested]]&gt;1),DiscreteStatsTable[[#This Row],[HalfWidth]],DiscreteStatsTable[[#This Row],[BatchMeansHalfWidth]])</f>
        <v>0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17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67</v>
      </c>
      <c r="B525" t="s">
        <v>69</v>
      </c>
      <c r="C525">
        <v>6</v>
      </c>
      <c r="D525" t="s">
        <v>127</v>
      </c>
      <c r="E525" t="s">
        <v>71</v>
      </c>
      <c r="F525" t="s">
        <v>72</v>
      </c>
      <c r="G525">
        <v>0</v>
      </c>
      <c r="H525">
        <v>2E+20</v>
      </c>
      <c r="I525">
        <v>0</v>
      </c>
      <c r="J525">
        <v>0</v>
      </c>
      <c r="K525">
        <v>3</v>
      </c>
      <c r="L525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17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0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0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0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0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0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3</v>
      </c>
      <c r="W525" s="5">
        <f>IF((DiscreteStatsTable[[#This Row],[RepsRequested]]&gt;1),DiscreteStatsTable[[#This Row],[HalfWidth]],DiscreteStatsTable[[#This Row],[BatchMeansHalfWidth]])</f>
        <v>0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17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67</v>
      </c>
      <c r="B526" t="s">
        <v>69</v>
      </c>
      <c r="C526">
        <v>6</v>
      </c>
      <c r="D526" t="s">
        <v>127</v>
      </c>
      <c r="E526" t="s">
        <v>73</v>
      </c>
      <c r="F526" t="s">
        <v>72</v>
      </c>
      <c r="G526">
        <v>0</v>
      </c>
      <c r="H526">
        <v>2E+20</v>
      </c>
      <c r="I526">
        <v>0</v>
      </c>
      <c r="J526">
        <v>0</v>
      </c>
      <c r="K526">
        <v>3</v>
      </c>
      <c r="L526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17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3</v>
      </c>
      <c r="W526" s="5">
        <f>IF((DiscreteStatsTable[[#This Row],[RepsRequested]]&gt;1),DiscreteStatsTable[[#This Row],[HalfWidth]],DiscreteStatsTable[[#This Row],[BatchMeansHalfWidth]])</f>
        <v>0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17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67</v>
      </c>
      <c r="B527" t="s">
        <v>69</v>
      </c>
      <c r="C527">
        <v>6</v>
      </c>
      <c r="D527" t="s">
        <v>127</v>
      </c>
      <c r="E527" t="s">
        <v>74</v>
      </c>
      <c r="F527" t="s">
        <v>72</v>
      </c>
      <c r="G527">
        <v>0</v>
      </c>
      <c r="H527">
        <v>2E+20</v>
      </c>
      <c r="I527">
        <v>0</v>
      </c>
      <c r="J527">
        <v>0</v>
      </c>
      <c r="K527">
        <v>3</v>
      </c>
      <c r="L527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17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0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0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0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0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3</v>
      </c>
      <c r="W527" s="5">
        <f>IF((DiscreteStatsTable[[#This Row],[RepsRequested]]&gt;1),DiscreteStatsTable[[#This Row],[HalfWidth]],DiscreteStatsTable[[#This Row],[BatchMeansHalfWidth]])</f>
        <v>0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17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67</v>
      </c>
      <c r="B528" t="s">
        <v>69</v>
      </c>
      <c r="C528">
        <v>6</v>
      </c>
      <c r="D528" t="s">
        <v>127</v>
      </c>
      <c r="E528" t="s">
        <v>75</v>
      </c>
      <c r="F528" t="s">
        <v>72</v>
      </c>
      <c r="G528">
        <v>0</v>
      </c>
      <c r="H528">
        <v>2E+20</v>
      </c>
      <c r="I528">
        <v>0</v>
      </c>
      <c r="J528">
        <v>0</v>
      </c>
      <c r="K528">
        <v>3</v>
      </c>
      <c r="L528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17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0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0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0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0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0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0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3</v>
      </c>
      <c r="W528" s="5">
        <f>IF((DiscreteStatsTable[[#This Row],[RepsRequested]]&gt;1),DiscreteStatsTable[[#This Row],[HalfWidth]],DiscreteStatsTable[[#This Row],[BatchMeansHalfWidth]])</f>
        <v>0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17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67</v>
      </c>
      <c r="B529" t="s">
        <v>69</v>
      </c>
      <c r="C529">
        <v>6</v>
      </c>
      <c r="D529" t="s">
        <v>127</v>
      </c>
      <c r="E529" t="s">
        <v>76</v>
      </c>
      <c r="F529" t="s">
        <v>72</v>
      </c>
      <c r="G529">
        <v>0</v>
      </c>
      <c r="H529">
        <v>2E+20</v>
      </c>
      <c r="I529">
        <v>0</v>
      </c>
      <c r="J529">
        <v>0</v>
      </c>
      <c r="K529">
        <v>3</v>
      </c>
      <c r="L529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17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0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0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0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0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0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3</v>
      </c>
      <c r="W529" s="5">
        <f>IF((DiscreteStatsTable[[#This Row],[RepsRequested]]&gt;1),DiscreteStatsTable[[#This Row],[HalfWidth]],DiscreteStatsTable[[#This Row],[BatchMeansHalfWidth]])</f>
        <v>0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17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67</v>
      </c>
      <c r="B530" t="s">
        <v>69</v>
      </c>
      <c r="C530">
        <v>6</v>
      </c>
      <c r="D530" t="s">
        <v>127</v>
      </c>
      <c r="E530" t="s">
        <v>77</v>
      </c>
      <c r="F530" t="s">
        <v>72</v>
      </c>
      <c r="G530">
        <v>0</v>
      </c>
      <c r="H530">
        <v>2E+20</v>
      </c>
      <c r="I530">
        <v>0</v>
      </c>
      <c r="J530">
        <v>0</v>
      </c>
      <c r="K530">
        <v>3</v>
      </c>
      <c r="L530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17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0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0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0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0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0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0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3</v>
      </c>
      <c r="W530" s="5">
        <f>IF((DiscreteStatsTable[[#This Row],[RepsRequested]]&gt;1),DiscreteStatsTable[[#This Row],[HalfWidth]],DiscreteStatsTable[[#This Row],[BatchMeansHalfWidth]])</f>
        <v>0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17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67</v>
      </c>
      <c r="B531" t="s">
        <v>69</v>
      </c>
      <c r="C531">
        <v>7</v>
      </c>
      <c r="D531" t="s">
        <v>127</v>
      </c>
      <c r="E531" t="s">
        <v>71</v>
      </c>
      <c r="F531" t="s">
        <v>72</v>
      </c>
      <c r="G531">
        <v>0</v>
      </c>
      <c r="H531">
        <v>2E+20</v>
      </c>
      <c r="I531">
        <v>0</v>
      </c>
      <c r="J531">
        <v>0</v>
      </c>
      <c r="K531">
        <v>3</v>
      </c>
      <c r="L531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17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0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0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0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0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0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3</v>
      </c>
      <c r="W531" s="5">
        <f>IF((DiscreteStatsTable[[#This Row],[RepsRequested]]&gt;1),DiscreteStatsTable[[#This Row],[HalfWidth]],DiscreteStatsTable[[#This Row],[BatchMeansHalfWidth]])</f>
        <v>0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17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67</v>
      </c>
      <c r="B532" t="s">
        <v>69</v>
      </c>
      <c r="C532">
        <v>7</v>
      </c>
      <c r="D532" t="s">
        <v>127</v>
      </c>
      <c r="E532" t="s">
        <v>73</v>
      </c>
      <c r="F532" t="s">
        <v>72</v>
      </c>
      <c r="G532">
        <v>0</v>
      </c>
      <c r="H532">
        <v>2E+20</v>
      </c>
      <c r="I532">
        <v>0</v>
      </c>
      <c r="J532">
        <v>0</v>
      </c>
      <c r="K532">
        <v>3</v>
      </c>
      <c r="L532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17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3</v>
      </c>
      <c r="W532" s="5">
        <f>IF((DiscreteStatsTable[[#This Row],[RepsRequested]]&gt;1),DiscreteStatsTable[[#This Row],[HalfWidth]],DiscreteStatsTable[[#This Row],[BatchMeansHalfWidth]])</f>
        <v>0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17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67</v>
      </c>
      <c r="B533" t="s">
        <v>69</v>
      </c>
      <c r="C533">
        <v>7</v>
      </c>
      <c r="D533" t="s">
        <v>127</v>
      </c>
      <c r="E533" t="s">
        <v>74</v>
      </c>
      <c r="F533" t="s">
        <v>72</v>
      </c>
      <c r="G533">
        <v>0</v>
      </c>
      <c r="H533">
        <v>2E+20</v>
      </c>
      <c r="I533">
        <v>0</v>
      </c>
      <c r="J533">
        <v>0</v>
      </c>
      <c r="K533">
        <v>3</v>
      </c>
      <c r="L533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17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0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0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0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0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3</v>
      </c>
      <c r="W533" s="5">
        <f>IF((DiscreteStatsTable[[#This Row],[RepsRequested]]&gt;1),DiscreteStatsTable[[#This Row],[HalfWidth]],DiscreteStatsTable[[#This Row],[BatchMeansHalfWidth]])</f>
        <v>0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17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67</v>
      </c>
      <c r="B534" t="s">
        <v>69</v>
      </c>
      <c r="C534">
        <v>7</v>
      </c>
      <c r="D534" t="s">
        <v>127</v>
      </c>
      <c r="E534" t="s">
        <v>75</v>
      </c>
      <c r="F534" t="s">
        <v>72</v>
      </c>
      <c r="G534">
        <v>0</v>
      </c>
      <c r="H534">
        <v>2E+20</v>
      </c>
      <c r="I534">
        <v>0</v>
      </c>
      <c r="J534">
        <v>0</v>
      </c>
      <c r="K534">
        <v>3</v>
      </c>
      <c r="L534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17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0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0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0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0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0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0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3</v>
      </c>
      <c r="W534" s="5">
        <f>IF((DiscreteStatsTable[[#This Row],[RepsRequested]]&gt;1),DiscreteStatsTable[[#This Row],[HalfWidth]],DiscreteStatsTable[[#This Row],[BatchMeansHalfWidth]])</f>
        <v>0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17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67</v>
      </c>
      <c r="B535" t="s">
        <v>69</v>
      </c>
      <c r="C535">
        <v>7</v>
      </c>
      <c r="D535" t="s">
        <v>127</v>
      </c>
      <c r="E535" t="s">
        <v>76</v>
      </c>
      <c r="F535" t="s">
        <v>72</v>
      </c>
      <c r="G535">
        <v>0</v>
      </c>
      <c r="H535">
        <v>2E+20</v>
      </c>
      <c r="I535">
        <v>0</v>
      </c>
      <c r="J535">
        <v>0</v>
      </c>
      <c r="K535">
        <v>3</v>
      </c>
      <c r="L535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17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0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0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0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0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0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3</v>
      </c>
      <c r="W535" s="5">
        <f>IF((DiscreteStatsTable[[#This Row],[RepsRequested]]&gt;1),DiscreteStatsTable[[#This Row],[HalfWidth]],DiscreteStatsTable[[#This Row],[BatchMeansHalfWidth]])</f>
        <v>0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17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67</v>
      </c>
      <c r="B536" t="s">
        <v>69</v>
      </c>
      <c r="C536">
        <v>7</v>
      </c>
      <c r="D536" t="s">
        <v>127</v>
      </c>
      <c r="E536" t="s">
        <v>77</v>
      </c>
      <c r="F536" t="s">
        <v>72</v>
      </c>
      <c r="G536">
        <v>0</v>
      </c>
      <c r="H536">
        <v>2E+20</v>
      </c>
      <c r="I536">
        <v>0</v>
      </c>
      <c r="J536">
        <v>0</v>
      </c>
      <c r="K536">
        <v>3</v>
      </c>
      <c r="L536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17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0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0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0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0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0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0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3</v>
      </c>
      <c r="W536" s="5">
        <f>IF((DiscreteStatsTable[[#This Row],[RepsRequested]]&gt;1),DiscreteStatsTable[[#This Row],[HalfWidth]],DiscreteStatsTable[[#This Row],[BatchMeansHalfWidth]])</f>
        <v>0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17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67</v>
      </c>
      <c r="B537" t="s">
        <v>69</v>
      </c>
      <c r="C537">
        <v>8</v>
      </c>
      <c r="D537" t="s">
        <v>127</v>
      </c>
      <c r="E537" t="s">
        <v>71</v>
      </c>
      <c r="F537" t="s">
        <v>72</v>
      </c>
      <c r="G537">
        <v>0</v>
      </c>
      <c r="H537">
        <v>2E+20</v>
      </c>
      <c r="I537">
        <v>0</v>
      </c>
      <c r="J537">
        <v>0</v>
      </c>
      <c r="K537">
        <v>3</v>
      </c>
      <c r="L537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17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0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0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0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0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0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3</v>
      </c>
      <c r="W537" s="5">
        <f>IF((DiscreteStatsTable[[#This Row],[RepsRequested]]&gt;1),DiscreteStatsTable[[#This Row],[HalfWidth]],DiscreteStatsTable[[#This Row],[BatchMeansHalfWidth]])</f>
        <v>0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17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67</v>
      </c>
      <c r="B538" t="s">
        <v>69</v>
      </c>
      <c r="C538">
        <v>8</v>
      </c>
      <c r="D538" t="s">
        <v>127</v>
      </c>
      <c r="E538" t="s">
        <v>73</v>
      </c>
      <c r="F538" t="s">
        <v>72</v>
      </c>
      <c r="G538">
        <v>0</v>
      </c>
      <c r="H538">
        <v>2E+20</v>
      </c>
      <c r="I538">
        <v>0</v>
      </c>
      <c r="J538">
        <v>0</v>
      </c>
      <c r="K538">
        <v>3</v>
      </c>
      <c r="L538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17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3</v>
      </c>
      <c r="W538" s="5">
        <f>IF((DiscreteStatsTable[[#This Row],[RepsRequested]]&gt;1),DiscreteStatsTable[[#This Row],[HalfWidth]],DiscreteStatsTable[[#This Row],[BatchMeansHalfWidth]])</f>
        <v>0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17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67</v>
      </c>
      <c r="B539" t="s">
        <v>69</v>
      </c>
      <c r="C539">
        <v>8</v>
      </c>
      <c r="D539" t="s">
        <v>127</v>
      </c>
      <c r="E539" t="s">
        <v>74</v>
      </c>
      <c r="F539" t="s">
        <v>72</v>
      </c>
      <c r="G539">
        <v>0</v>
      </c>
      <c r="H539">
        <v>2E+20</v>
      </c>
      <c r="I539">
        <v>0</v>
      </c>
      <c r="J539">
        <v>0</v>
      </c>
      <c r="K539">
        <v>3</v>
      </c>
      <c r="L539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17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0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0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0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0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3</v>
      </c>
      <c r="W539" s="5">
        <f>IF((DiscreteStatsTable[[#This Row],[RepsRequested]]&gt;1),DiscreteStatsTable[[#This Row],[HalfWidth]],DiscreteStatsTable[[#This Row],[BatchMeansHalfWidth]])</f>
        <v>0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17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67</v>
      </c>
      <c r="B540" t="s">
        <v>69</v>
      </c>
      <c r="C540">
        <v>8</v>
      </c>
      <c r="D540" t="s">
        <v>127</v>
      </c>
      <c r="E540" t="s">
        <v>75</v>
      </c>
      <c r="F540" t="s">
        <v>72</v>
      </c>
      <c r="G540">
        <v>0</v>
      </c>
      <c r="H540">
        <v>2E+20</v>
      </c>
      <c r="I540">
        <v>0</v>
      </c>
      <c r="J540">
        <v>0</v>
      </c>
      <c r="K540">
        <v>3</v>
      </c>
      <c r="L540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17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0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0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0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0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0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0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3</v>
      </c>
      <c r="W540" s="5">
        <f>IF((DiscreteStatsTable[[#This Row],[RepsRequested]]&gt;1),DiscreteStatsTable[[#This Row],[HalfWidth]],DiscreteStatsTable[[#This Row],[BatchMeansHalfWidth]])</f>
        <v>0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17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67</v>
      </c>
      <c r="B541" t="s">
        <v>69</v>
      </c>
      <c r="C541">
        <v>8</v>
      </c>
      <c r="D541" t="s">
        <v>127</v>
      </c>
      <c r="E541" t="s">
        <v>76</v>
      </c>
      <c r="F541" t="s">
        <v>72</v>
      </c>
      <c r="G541">
        <v>0</v>
      </c>
      <c r="H541">
        <v>2E+20</v>
      </c>
      <c r="I541">
        <v>0</v>
      </c>
      <c r="J541">
        <v>0</v>
      </c>
      <c r="K541">
        <v>3</v>
      </c>
      <c r="L541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17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0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0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0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0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0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3</v>
      </c>
      <c r="W541" s="5">
        <f>IF((DiscreteStatsTable[[#This Row],[RepsRequested]]&gt;1),DiscreteStatsTable[[#This Row],[HalfWidth]],DiscreteStatsTable[[#This Row],[BatchMeansHalfWidth]])</f>
        <v>0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17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67</v>
      </c>
      <c r="B542" t="s">
        <v>69</v>
      </c>
      <c r="C542">
        <v>8</v>
      </c>
      <c r="D542" t="s">
        <v>127</v>
      </c>
      <c r="E542" t="s">
        <v>77</v>
      </c>
      <c r="F542" t="s">
        <v>72</v>
      </c>
      <c r="G542">
        <v>0</v>
      </c>
      <c r="H542">
        <v>2E+20</v>
      </c>
      <c r="I542">
        <v>0</v>
      </c>
      <c r="J542">
        <v>0</v>
      </c>
      <c r="K542">
        <v>3</v>
      </c>
      <c r="L542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17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0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0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0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0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0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0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3</v>
      </c>
      <c r="W542" s="5">
        <f>IF((DiscreteStatsTable[[#This Row],[RepsRequested]]&gt;1),DiscreteStatsTable[[#This Row],[HalfWidth]],DiscreteStatsTable[[#This Row],[BatchMeansHalfWidth]])</f>
        <v>0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17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67</v>
      </c>
      <c r="B543" t="s">
        <v>69</v>
      </c>
      <c r="C543">
        <v>9</v>
      </c>
      <c r="D543" t="s">
        <v>127</v>
      </c>
      <c r="E543" t="s">
        <v>71</v>
      </c>
      <c r="F543" t="s">
        <v>72</v>
      </c>
      <c r="G543">
        <v>0</v>
      </c>
      <c r="H543">
        <v>2E+20</v>
      </c>
      <c r="I543">
        <v>0</v>
      </c>
      <c r="J543">
        <v>0</v>
      </c>
      <c r="K543">
        <v>3</v>
      </c>
      <c r="L543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17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0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0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0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0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0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3</v>
      </c>
      <c r="W543" s="5">
        <f>IF((DiscreteStatsTable[[#This Row],[RepsRequested]]&gt;1),DiscreteStatsTable[[#This Row],[HalfWidth]],DiscreteStatsTable[[#This Row],[BatchMeansHalfWidth]])</f>
        <v>0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17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67</v>
      </c>
      <c r="B544" t="s">
        <v>69</v>
      </c>
      <c r="C544">
        <v>9</v>
      </c>
      <c r="D544" t="s">
        <v>127</v>
      </c>
      <c r="E544" t="s">
        <v>73</v>
      </c>
      <c r="F544" t="s">
        <v>72</v>
      </c>
      <c r="G544">
        <v>0</v>
      </c>
      <c r="H544">
        <v>2E+20</v>
      </c>
      <c r="I544">
        <v>0</v>
      </c>
      <c r="J544">
        <v>0</v>
      </c>
      <c r="K544">
        <v>3</v>
      </c>
      <c r="L544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17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3</v>
      </c>
      <c r="W544" s="5">
        <f>IF((DiscreteStatsTable[[#This Row],[RepsRequested]]&gt;1),DiscreteStatsTable[[#This Row],[HalfWidth]],DiscreteStatsTable[[#This Row],[BatchMeansHalfWidth]])</f>
        <v>0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17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67</v>
      </c>
      <c r="B545" t="s">
        <v>69</v>
      </c>
      <c r="C545">
        <v>9</v>
      </c>
      <c r="D545" t="s">
        <v>127</v>
      </c>
      <c r="E545" t="s">
        <v>74</v>
      </c>
      <c r="F545" t="s">
        <v>72</v>
      </c>
      <c r="G545">
        <v>0</v>
      </c>
      <c r="H545">
        <v>2E+20</v>
      </c>
      <c r="I545">
        <v>0</v>
      </c>
      <c r="J545">
        <v>0</v>
      </c>
      <c r="K545">
        <v>3</v>
      </c>
      <c r="L545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17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0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0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0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0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3</v>
      </c>
      <c r="W545" s="5">
        <f>IF((DiscreteStatsTable[[#This Row],[RepsRequested]]&gt;1),DiscreteStatsTable[[#This Row],[HalfWidth]],DiscreteStatsTable[[#This Row],[BatchMeansHalfWidth]])</f>
        <v>0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17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67</v>
      </c>
      <c r="B546" t="s">
        <v>69</v>
      </c>
      <c r="C546">
        <v>9</v>
      </c>
      <c r="D546" t="s">
        <v>127</v>
      </c>
      <c r="E546" t="s">
        <v>75</v>
      </c>
      <c r="F546" t="s">
        <v>72</v>
      </c>
      <c r="G546">
        <v>0</v>
      </c>
      <c r="H546">
        <v>2E+20</v>
      </c>
      <c r="I546">
        <v>0</v>
      </c>
      <c r="J546">
        <v>0</v>
      </c>
      <c r="K546">
        <v>3</v>
      </c>
      <c r="L546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17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0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0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0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0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0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0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3</v>
      </c>
      <c r="W546" s="5">
        <f>IF((DiscreteStatsTable[[#This Row],[RepsRequested]]&gt;1),DiscreteStatsTable[[#This Row],[HalfWidth]],DiscreteStatsTable[[#This Row],[BatchMeansHalfWidth]])</f>
        <v>0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17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67</v>
      </c>
      <c r="B547" t="s">
        <v>69</v>
      </c>
      <c r="C547">
        <v>9</v>
      </c>
      <c r="D547" t="s">
        <v>127</v>
      </c>
      <c r="E547" t="s">
        <v>76</v>
      </c>
      <c r="F547" t="s">
        <v>72</v>
      </c>
      <c r="G547">
        <v>0</v>
      </c>
      <c r="H547">
        <v>2E+20</v>
      </c>
      <c r="I547">
        <v>0</v>
      </c>
      <c r="J547">
        <v>0</v>
      </c>
      <c r="K547">
        <v>3</v>
      </c>
      <c r="L547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17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0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0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0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0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0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3</v>
      </c>
      <c r="W547" s="5">
        <f>IF((DiscreteStatsTable[[#This Row],[RepsRequested]]&gt;1),DiscreteStatsTable[[#This Row],[HalfWidth]],DiscreteStatsTable[[#This Row],[BatchMeansHalfWidth]])</f>
        <v>0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17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67</v>
      </c>
      <c r="B548" t="s">
        <v>69</v>
      </c>
      <c r="C548">
        <v>9</v>
      </c>
      <c r="D548" t="s">
        <v>127</v>
      </c>
      <c r="E548" t="s">
        <v>77</v>
      </c>
      <c r="F548" t="s">
        <v>72</v>
      </c>
      <c r="G548">
        <v>0</v>
      </c>
      <c r="H548">
        <v>2E+20</v>
      </c>
      <c r="I548">
        <v>0</v>
      </c>
      <c r="J548">
        <v>0</v>
      </c>
      <c r="K548">
        <v>3</v>
      </c>
      <c r="L548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17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0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0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0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0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0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0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3</v>
      </c>
      <c r="W548" s="5">
        <f>IF((DiscreteStatsTable[[#This Row],[RepsRequested]]&gt;1),DiscreteStatsTable[[#This Row],[HalfWidth]],DiscreteStatsTable[[#This Row],[BatchMeansHalfWidth]])</f>
        <v>0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17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67</v>
      </c>
      <c r="B549" t="s">
        <v>69</v>
      </c>
      <c r="C549">
        <v>10</v>
      </c>
      <c r="D549" t="s">
        <v>127</v>
      </c>
      <c r="E549" t="s">
        <v>71</v>
      </c>
      <c r="F549" t="s">
        <v>72</v>
      </c>
      <c r="G549">
        <v>0</v>
      </c>
      <c r="H549">
        <v>2E+20</v>
      </c>
      <c r="I549">
        <v>0</v>
      </c>
      <c r="J549">
        <v>0</v>
      </c>
      <c r="K549">
        <v>3</v>
      </c>
      <c r="L549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17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0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0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0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0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0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3</v>
      </c>
      <c r="W549" s="5">
        <f>IF((DiscreteStatsTable[[#This Row],[RepsRequested]]&gt;1),DiscreteStatsTable[[#This Row],[HalfWidth]],DiscreteStatsTable[[#This Row],[BatchMeansHalfWidth]])</f>
        <v>0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17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67</v>
      </c>
      <c r="B550" t="s">
        <v>69</v>
      </c>
      <c r="C550">
        <v>10</v>
      </c>
      <c r="D550" t="s">
        <v>127</v>
      </c>
      <c r="E550" t="s">
        <v>73</v>
      </c>
      <c r="F550" t="s">
        <v>72</v>
      </c>
      <c r="G550">
        <v>0</v>
      </c>
      <c r="H550">
        <v>2E+20</v>
      </c>
      <c r="I550">
        <v>0</v>
      </c>
      <c r="J550">
        <v>0</v>
      </c>
      <c r="K550">
        <v>3</v>
      </c>
      <c r="L550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17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3</v>
      </c>
      <c r="W550" s="5">
        <f>IF((DiscreteStatsTable[[#This Row],[RepsRequested]]&gt;1),DiscreteStatsTable[[#This Row],[HalfWidth]],DiscreteStatsTable[[#This Row],[BatchMeansHalfWidth]])</f>
        <v>0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17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67</v>
      </c>
      <c r="B551" t="s">
        <v>69</v>
      </c>
      <c r="C551">
        <v>10</v>
      </c>
      <c r="D551" t="s">
        <v>127</v>
      </c>
      <c r="E551" t="s">
        <v>74</v>
      </c>
      <c r="F551" t="s">
        <v>72</v>
      </c>
      <c r="G551">
        <v>0</v>
      </c>
      <c r="H551">
        <v>2E+20</v>
      </c>
      <c r="I551">
        <v>0</v>
      </c>
      <c r="J551">
        <v>0</v>
      </c>
      <c r="K551">
        <v>3</v>
      </c>
      <c r="L551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17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0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0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0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0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3</v>
      </c>
      <c r="W551" s="5">
        <f>IF((DiscreteStatsTable[[#This Row],[RepsRequested]]&gt;1),DiscreteStatsTable[[#This Row],[HalfWidth]],DiscreteStatsTable[[#This Row],[BatchMeansHalfWidth]])</f>
        <v>0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17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67</v>
      </c>
      <c r="B552" t="s">
        <v>69</v>
      </c>
      <c r="C552">
        <v>10</v>
      </c>
      <c r="D552" t="s">
        <v>127</v>
      </c>
      <c r="E552" t="s">
        <v>75</v>
      </c>
      <c r="F552" t="s">
        <v>72</v>
      </c>
      <c r="G552">
        <v>0</v>
      </c>
      <c r="H552">
        <v>2E+20</v>
      </c>
      <c r="I552">
        <v>0</v>
      </c>
      <c r="J552">
        <v>0</v>
      </c>
      <c r="K552">
        <v>3</v>
      </c>
      <c r="L552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17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0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0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0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0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0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0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3</v>
      </c>
      <c r="W552" s="5">
        <f>IF((DiscreteStatsTable[[#This Row],[RepsRequested]]&gt;1),DiscreteStatsTable[[#This Row],[HalfWidth]],DiscreteStatsTable[[#This Row],[BatchMeansHalfWidth]])</f>
        <v>0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17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67</v>
      </c>
      <c r="B553" t="s">
        <v>69</v>
      </c>
      <c r="C553">
        <v>10</v>
      </c>
      <c r="D553" t="s">
        <v>127</v>
      </c>
      <c r="E553" t="s">
        <v>76</v>
      </c>
      <c r="F553" t="s">
        <v>72</v>
      </c>
      <c r="G553">
        <v>0</v>
      </c>
      <c r="H553">
        <v>2E+20</v>
      </c>
      <c r="I553">
        <v>0</v>
      </c>
      <c r="J553">
        <v>0</v>
      </c>
      <c r="K553">
        <v>3</v>
      </c>
      <c r="L553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17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0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0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0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0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0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3</v>
      </c>
      <c r="W553" s="5">
        <f>IF((DiscreteStatsTable[[#This Row],[RepsRequested]]&gt;1),DiscreteStatsTable[[#This Row],[HalfWidth]],DiscreteStatsTable[[#This Row],[BatchMeansHalfWidth]])</f>
        <v>0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17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67</v>
      </c>
      <c r="B554" t="s">
        <v>69</v>
      </c>
      <c r="C554">
        <v>10</v>
      </c>
      <c r="D554" t="s">
        <v>127</v>
      </c>
      <c r="E554" t="s">
        <v>77</v>
      </c>
      <c r="F554" t="s">
        <v>72</v>
      </c>
      <c r="G554">
        <v>0</v>
      </c>
      <c r="H554">
        <v>2E+20</v>
      </c>
      <c r="I554">
        <v>0</v>
      </c>
      <c r="J554">
        <v>0</v>
      </c>
      <c r="K554">
        <v>3</v>
      </c>
      <c r="L554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17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0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0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0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0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0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0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3</v>
      </c>
      <c r="W554" s="5">
        <f>IF((DiscreteStatsTable[[#This Row],[RepsRequested]]&gt;1),DiscreteStatsTable[[#This Row],[HalfWidth]],DiscreteStatsTable[[#This Row],[BatchMeansHalfWidth]])</f>
        <v>0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17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67</v>
      </c>
      <c r="B555" t="s">
        <v>69</v>
      </c>
      <c r="C555">
        <v>11</v>
      </c>
      <c r="D555" t="s">
        <v>127</v>
      </c>
      <c r="E555" t="s">
        <v>71</v>
      </c>
      <c r="F555" t="s">
        <v>72</v>
      </c>
      <c r="G555">
        <v>0</v>
      </c>
      <c r="H555">
        <v>2E+20</v>
      </c>
      <c r="I555">
        <v>0</v>
      </c>
      <c r="J555">
        <v>0</v>
      </c>
      <c r="K555">
        <v>3</v>
      </c>
      <c r="L555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17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0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0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0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0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0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3</v>
      </c>
      <c r="W555" s="5">
        <f>IF((DiscreteStatsTable[[#This Row],[RepsRequested]]&gt;1),DiscreteStatsTable[[#This Row],[HalfWidth]],DiscreteStatsTable[[#This Row],[BatchMeansHalfWidth]])</f>
        <v>0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17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67</v>
      </c>
      <c r="B556" t="s">
        <v>69</v>
      </c>
      <c r="C556">
        <v>11</v>
      </c>
      <c r="D556" t="s">
        <v>127</v>
      </c>
      <c r="E556" t="s">
        <v>73</v>
      </c>
      <c r="F556" t="s">
        <v>72</v>
      </c>
      <c r="G556">
        <v>0</v>
      </c>
      <c r="H556">
        <v>2E+20</v>
      </c>
      <c r="I556">
        <v>0</v>
      </c>
      <c r="J556">
        <v>0</v>
      </c>
      <c r="K556">
        <v>3</v>
      </c>
      <c r="L556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17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3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17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67</v>
      </c>
      <c r="B557" t="s">
        <v>69</v>
      </c>
      <c r="C557">
        <v>11</v>
      </c>
      <c r="D557" t="s">
        <v>127</v>
      </c>
      <c r="E557" t="s">
        <v>74</v>
      </c>
      <c r="F557" t="s">
        <v>72</v>
      </c>
      <c r="G557">
        <v>0</v>
      </c>
      <c r="H557">
        <v>2E+20</v>
      </c>
      <c r="I557">
        <v>0</v>
      </c>
      <c r="J557">
        <v>0</v>
      </c>
      <c r="K557">
        <v>3</v>
      </c>
      <c r="L557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17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0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0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0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0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3</v>
      </c>
      <c r="W557" s="5">
        <f>IF((DiscreteStatsTable[[#This Row],[RepsRequested]]&gt;1),DiscreteStatsTable[[#This Row],[HalfWidth]],DiscreteStatsTable[[#This Row],[BatchMeansHalfWidth]])</f>
        <v>0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17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67</v>
      </c>
      <c r="B558" t="s">
        <v>69</v>
      </c>
      <c r="C558">
        <v>11</v>
      </c>
      <c r="D558" t="s">
        <v>127</v>
      </c>
      <c r="E558" t="s">
        <v>75</v>
      </c>
      <c r="F558" t="s">
        <v>72</v>
      </c>
      <c r="G558">
        <v>0</v>
      </c>
      <c r="H558">
        <v>2E+20</v>
      </c>
      <c r="I558">
        <v>0</v>
      </c>
      <c r="J558">
        <v>0</v>
      </c>
      <c r="K558">
        <v>3</v>
      </c>
      <c r="L558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17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0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0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0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0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0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0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3</v>
      </c>
      <c r="W558" s="5">
        <f>IF((DiscreteStatsTable[[#This Row],[RepsRequested]]&gt;1),DiscreteStatsTable[[#This Row],[HalfWidth]],DiscreteStatsTable[[#This Row],[BatchMeansHalfWidth]])</f>
        <v>0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17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67</v>
      </c>
      <c r="B559" t="s">
        <v>69</v>
      </c>
      <c r="C559">
        <v>11</v>
      </c>
      <c r="D559" t="s">
        <v>127</v>
      </c>
      <c r="E559" t="s">
        <v>76</v>
      </c>
      <c r="F559" t="s">
        <v>72</v>
      </c>
      <c r="G559">
        <v>0</v>
      </c>
      <c r="H559">
        <v>2E+20</v>
      </c>
      <c r="I559">
        <v>0</v>
      </c>
      <c r="J559">
        <v>0</v>
      </c>
      <c r="K559">
        <v>3</v>
      </c>
      <c r="L559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17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0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0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0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0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0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3</v>
      </c>
      <c r="W559" s="5">
        <f>IF((DiscreteStatsTable[[#This Row],[RepsRequested]]&gt;1),DiscreteStatsTable[[#This Row],[HalfWidth]],DiscreteStatsTable[[#This Row],[BatchMeansHalfWidth]])</f>
        <v>0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17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67</v>
      </c>
      <c r="B560" t="s">
        <v>69</v>
      </c>
      <c r="C560">
        <v>11</v>
      </c>
      <c r="D560" t="s">
        <v>127</v>
      </c>
      <c r="E560" t="s">
        <v>77</v>
      </c>
      <c r="F560" t="s">
        <v>72</v>
      </c>
      <c r="G560">
        <v>0</v>
      </c>
      <c r="H560">
        <v>2E+20</v>
      </c>
      <c r="I560">
        <v>0</v>
      </c>
      <c r="J560">
        <v>0</v>
      </c>
      <c r="K560">
        <v>3</v>
      </c>
      <c r="L560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17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0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0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0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0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0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0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3</v>
      </c>
      <c r="W560" s="5">
        <f>IF((DiscreteStatsTable[[#This Row],[RepsRequested]]&gt;1),DiscreteStatsTable[[#This Row],[HalfWidth]],DiscreteStatsTable[[#This Row],[BatchMeansHalfWidth]])</f>
        <v>0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17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67</v>
      </c>
      <c r="B561" t="s">
        <v>69</v>
      </c>
      <c r="C561">
        <v>12</v>
      </c>
      <c r="D561" t="s">
        <v>127</v>
      </c>
      <c r="E561" t="s">
        <v>71</v>
      </c>
      <c r="F561" t="s">
        <v>72</v>
      </c>
      <c r="G561">
        <v>0</v>
      </c>
      <c r="H561">
        <v>2E+20</v>
      </c>
      <c r="I561">
        <v>0</v>
      </c>
      <c r="J561">
        <v>0</v>
      </c>
      <c r="K561">
        <v>3</v>
      </c>
      <c r="L561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17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0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0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0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0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0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3</v>
      </c>
      <c r="W561" s="5">
        <f>IF((DiscreteStatsTable[[#This Row],[RepsRequested]]&gt;1),DiscreteStatsTable[[#This Row],[HalfWidth]],DiscreteStatsTable[[#This Row],[BatchMeansHalfWidth]])</f>
        <v>0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17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67</v>
      </c>
      <c r="B562" t="s">
        <v>69</v>
      </c>
      <c r="C562">
        <v>12</v>
      </c>
      <c r="D562" t="s">
        <v>127</v>
      </c>
      <c r="E562" t="s">
        <v>73</v>
      </c>
      <c r="F562" t="s">
        <v>72</v>
      </c>
      <c r="G562">
        <v>0</v>
      </c>
      <c r="H562">
        <v>2E+20</v>
      </c>
      <c r="I562">
        <v>0</v>
      </c>
      <c r="J562">
        <v>0</v>
      </c>
      <c r="K562">
        <v>3</v>
      </c>
      <c r="L562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17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3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17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67</v>
      </c>
      <c r="B563" t="s">
        <v>69</v>
      </c>
      <c r="C563">
        <v>12</v>
      </c>
      <c r="D563" t="s">
        <v>127</v>
      </c>
      <c r="E563" t="s">
        <v>74</v>
      </c>
      <c r="F563" t="s">
        <v>72</v>
      </c>
      <c r="G563">
        <v>0</v>
      </c>
      <c r="H563">
        <v>2E+20</v>
      </c>
      <c r="I563">
        <v>0</v>
      </c>
      <c r="J563">
        <v>0</v>
      </c>
      <c r="K563">
        <v>3</v>
      </c>
      <c r="L563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17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0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0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0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0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3</v>
      </c>
      <c r="W563" s="5">
        <f>IF((DiscreteStatsTable[[#This Row],[RepsRequested]]&gt;1),DiscreteStatsTable[[#This Row],[HalfWidth]],DiscreteStatsTable[[#This Row],[BatchMeansHalfWidth]])</f>
        <v>0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17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67</v>
      </c>
      <c r="B564" t="s">
        <v>69</v>
      </c>
      <c r="C564">
        <v>12</v>
      </c>
      <c r="D564" t="s">
        <v>127</v>
      </c>
      <c r="E564" t="s">
        <v>75</v>
      </c>
      <c r="F564" t="s">
        <v>72</v>
      </c>
      <c r="G564">
        <v>0</v>
      </c>
      <c r="H564">
        <v>2E+20</v>
      </c>
      <c r="I564">
        <v>0</v>
      </c>
      <c r="J564">
        <v>0</v>
      </c>
      <c r="K564">
        <v>3</v>
      </c>
      <c r="L564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17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0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0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0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0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0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0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3</v>
      </c>
      <c r="W564" s="5">
        <f>IF((DiscreteStatsTable[[#This Row],[RepsRequested]]&gt;1),DiscreteStatsTable[[#This Row],[HalfWidth]],DiscreteStatsTable[[#This Row],[BatchMeansHalfWidth]])</f>
        <v>0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17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67</v>
      </c>
      <c r="B565" t="s">
        <v>69</v>
      </c>
      <c r="C565">
        <v>12</v>
      </c>
      <c r="D565" t="s">
        <v>127</v>
      </c>
      <c r="E565" t="s">
        <v>76</v>
      </c>
      <c r="F565" t="s">
        <v>72</v>
      </c>
      <c r="G565">
        <v>0</v>
      </c>
      <c r="H565">
        <v>2E+20</v>
      </c>
      <c r="I565">
        <v>0</v>
      </c>
      <c r="J565">
        <v>0</v>
      </c>
      <c r="K565">
        <v>3</v>
      </c>
      <c r="L565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17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0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0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0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0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0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3</v>
      </c>
      <c r="W565" s="5">
        <f>IF((DiscreteStatsTable[[#This Row],[RepsRequested]]&gt;1),DiscreteStatsTable[[#This Row],[HalfWidth]],DiscreteStatsTable[[#This Row],[BatchMeansHalfWidth]])</f>
        <v>0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17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67</v>
      </c>
      <c r="B566" t="s">
        <v>69</v>
      </c>
      <c r="C566">
        <v>12</v>
      </c>
      <c r="D566" t="s">
        <v>127</v>
      </c>
      <c r="E566" t="s">
        <v>77</v>
      </c>
      <c r="F566" t="s">
        <v>72</v>
      </c>
      <c r="G566">
        <v>0</v>
      </c>
      <c r="H566">
        <v>2E+20</v>
      </c>
      <c r="I566">
        <v>0</v>
      </c>
      <c r="J566">
        <v>0</v>
      </c>
      <c r="K566">
        <v>3</v>
      </c>
      <c r="L566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17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0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0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0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0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0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0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3</v>
      </c>
      <c r="W566" s="5">
        <f>IF((DiscreteStatsTable[[#This Row],[RepsRequested]]&gt;1),DiscreteStatsTable[[#This Row],[HalfWidth]],DiscreteStatsTable[[#This Row],[BatchMeansHalfWidth]])</f>
        <v>0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17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67</v>
      </c>
      <c r="B567" t="s">
        <v>69</v>
      </c>
      <c r="C567">
        <v>13</v>
      </c>
      <c r="D567" t="s">
        <v>127</v>
      </c>
      <c r="E567" t="s">
        <v>71</v>
      </c>
      <c r="F567" t="s">
        <v>72</v>
      </c>
      <c r="G567">
        <v>0</v>
      </c>
      <c r="H567">
        <v>2E+20</v>
      </c>
      <c r="I567">
        <v>0</v>
      </c>
      <c r="J567">
        <v>0</v>
      </c>
      <c r="K567">
        <v>3</v>
      </c>
      <c r="L567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17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0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0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0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0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0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3</v>
      </c>
      <c r="W567" s="5">
        <f>IF((DiscreteStatsTable[[#This Row],[RepsRequested]]&gt;1),DiscreteStatsTable[[#This Row],[HalfWidth]],DiscreteStatsTable[[#This Row],[BatchMeansHalfWidth]])</f>
        <v>0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17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67</v>
      </c>
      <c r="B568" t="s">
        <v>69</v>
      </c>
      <c r="C568">
        <v>13</v>
      </c>
      <c r="D568" t="s">
        <v>127</v>
      </c>
      <c r="E568" t="s">
        <v>73</v>
      </c>
      <c r="F568" t="s">
        <v>72</v>
      </c>
      <c r="G568">
        <v>0</v>
      </c>
      <c r="H568">
        <v>2E+20</v>
      </c>
      <c r="I568">
        <v>0</v>
      </c>
      <c r="J568">
        <v>0</v>
      </c>
      <c r="K568">
        <v>3</v>
      </c>
      <c r="L568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17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3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17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67</v>
      </c>
      <c r="B569" t="s">
        <v>69</v>
      </c>
      <c r="C569">
        <v>13</v>
      </c>
      <c r="D569" t="s">
        <v>127</v>
      </c>
      <c r="E569" t="s">
        <v>74</v>
      </c>
      <c r="F569" t="s">
        <v>72</v>
      </c>
      <c r="G569">
        <v>0</v>
      </c>
      <c r="H569">
        <v>2E+20</v>
      </c>
      <c r="I569">
        <v>0</v>
      </c>
      <c r="J569">
        <v>0</v>
      </c>
      <c r="K569">
        <v>3</v>
      </c>
      <c r="L569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17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0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0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0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0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3</v>
      </c>
      <c r="W569" s="5">
        <f>IF((DiscreteStatsTable[[#This Row],[RepsRequested]]&gt;1),DiscreteStatsTable[[#This Row],[HalfWidth]],DiscreteStatsTable[[#This Row],[BatchMeansHalfWidth]])</f>
        <v>0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17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67</v>
      </c>
      <c r="B570" t="s">
        <v>69</v>
      </c>
      <c r="C570">
        <v>13</v>
      </c>
      <c r="D570" t="s">
        <v>127</v>
      </c>
      <c r="E570" t="s">
        <v>75</v>
      </c>
      <c r="F570" t="s">
        <v>72</v>
      </c>
      <c r="G570">
        <v>0</v>
      </c>
      <c r="H570">
        <v>2E+20</v>
      </c>
      <c r="I570">
        <v>0</v>
      </c>
      <c r="J570">
        <v>0</v>
      </c>
      <c r="K570">
        <v>3</v>
      </c>
      <c r="L570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17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0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0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0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0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0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0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3</v>
      </c>
      <c r="W570" s="5">
        <f>IF((DiscreteStatsTable[[#This Row],[RepsRequested]]&gt;1),DiscreteStatsTable[[#This Row],[HalfWidth]],DiscreteStatsTable[[#This Row],[BatchMeansHalfWidth]])</f>
        <v>0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17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67</v>
      </c>
      <c r="B571" t="s">
        <v>69</v>
      </c>
      <c r="C571">
        <v>13</v>
      </c>
      <c r="D571" t="s">
        <v>127</v>
      </c>
      <c r="E571" t="s">
        <v>76</v>
      </c>
      <c r="F571" t="s">
        <v>72</v>
      </c>
      <c r="G571">
        <v>0</v>
      </c>
      <c r="H571">
        <v>2E+20</v>
      </c>
      <c r="I571">
        <v>0</v>
      </c>
      <c r="J571">
        <v>0</v>
      </c>
      <c r="K571">
        <v>3</v>
      </c>
      <c r="L571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17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0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0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0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0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0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3</v>
      </c>
      <c r="W571" s="5">
        <f>IF((DiscreteStatsTable[[#This Row],[RepsRequested]]&gt;1),DiscreteStatsTable[[#This Row],[HalfWidth]],DiscreteStatsTable[[#This Row],[BatchMeansHalfWidth]])</f>
        <v>0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17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67</v>
      </c>
      <c r="B572" t="s">
        <v>69</v>
      </c>
      <c r="C572">
        <v>13</v>
      </c>
      <c r="D572" t="s">
        <v>127</v>
      </c>
      <c r="E572" t="s">
        <v>77</v>
      </c>
      <c r="F572" t="s">
        <v>72</v>
      </c>
      <c r="G572">
        <v>0</v>
      </c>
      <c r="H572">
        <v>2E+20</v>
      </c>
      <c r="I572">
        <v>0</v>
      </c>
      <c r="J572">
        <v>0</v>
      </c>
      <c r="K572">
        <v>3</v>
      </c>
      <c r="L572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17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0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0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0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0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0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0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3</v>
      </c>
      <c r="W572" s="5">
        <f>IF((DiscreteStatsTable[[#This Row],[RepsRequested]]&gt;1),DiscreteStatsTable[[#This Row],[HalfWidth]],DiscreteStatsTable[[#This Row],[BatchMeansHalfWidth]])</f>
        <v>0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17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67</v>
      </c>
      <c r="B573" t="s">
        <v>69</v>
      </c>
      <c r="C573">
        <v>14</v>
      </c>
      <c r="D573" t="s">
        <v>127</v>
      </c>
      <c r="E573" t="s">
        <v>71</v>
      </c>
      <c r="F573" t="s">
        <v>72</v>
      </c>
      <c r="G573">
        <v>0</v>
      </c>
      <c r="H573">
        <v>2E+20</v>
      </c>
      <c r="I573">
        <v>0</v>
      </c>
      <c r="J573">
        <v>0</v>
      </c>
      <c r="K573">
        <v>3</v>
      </c>
      <c r="L573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17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0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0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0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0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0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3</v>
      </c>
      <c r="W573" s="5">
        <f>IF((DiscreteStatsTable[[#This Row],[RepsRequested]]&gt;1),DiscreteStatsTable[[#This Row],[HalfWidth]],DiscreteStatsTable[[#This Row],[BatchMeansHalfWidth]])</f>
        <v>0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17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67</v>
      </c>
      <c r="B574" t="s">
        <v>69</v>
      </c>
      <c r="C574">
        <v>14</v>
      </c>
      <c r="D574" t="s">
        <v>127</v>
      </c>
      <c r="E574" t="s">
        <v>73</v>
      </c>
      <c r="F574" t="s">
        <v>72</v>
      </c>
      <c r="G574">
        <v>0</v>
      </c>
      <c r="H574">
        <v>2E+20</v>
      </c>
      <c r="I574">
        <v>0</v>
      </c>
      <c r="J574">
        <v>0</v>
      </c>
      <c r="K574">
        <v>3</v>
      </c>
      <c r="L574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17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3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17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67</v>
      </c>
      <c r="B575" t="s">
        <v>69</v>
      </c>
      <c r="C575">
        <v>14</v>
      </c>
      <c r="D575" t="s">
        <v>127</v>
      </c>
      <c r="E575" t="s">
        <v>74</v>
      </c>
      <c r="F575" t="s">
        <v>72</v>
      </c>
      <c r="G575">
        <v>0</v>
      </c>
      <c r="H575">
        <v>2E+20</v>
      </c>
      <c r="I575">
        <v>0</v>
      </c>
      <c r="J575">
        <v>0</v>
      </c>
      <c r="K575">
        <v>3</v>
      </c>
      <c r="L575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17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0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0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0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0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3</v>
      </c>
      <c r="W575" s="5">
        <f>IF((DiscreteStatsTable[[#This Row],[RepsRequested]]&gt;1),DiscreteStatsTable[[#This Row],[HalfWidth]],DiscreteStatsTable[[#This Row],[BatchMeansHalfWidth]])</f>
        <v>0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17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67</v>
      </c>
      <c r="B576" t="s">
        <v>69</v>
      </c>
      <c r="C576">
        <v>14</v>
      </c>
      <c r="D576" t="s">
        <v>127</v>
      </c>
      <c r="E576" t="s">
        <v>75</v>
      </c>
      <c r="F576" t="s">
        <v>72</v>
      </c>
      <c r="G576">
        <v>0</v>
      </c>
      <c r="H576">
        <v>2E+20</v>
      </c>
      <c r="I576">
        <v>0</v>
      </c>
      <c r="J576">
        <v>0</v>
      </c>
      <c r="K576">
        <v>3</v>
      </c>
      <c r="L576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17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0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0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0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0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0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0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3</v>
      </c>
      <c r="W576" s="5">
        <f>IF((DiscreteStatsTable[[#This Row],[RepsRequested]]&gt;1),DiscreteStatsTable[[#This Row],[HalfWidth]],DiscreteStatsTable[[#This Row],[BatchMeansHalfWidth]])</f>
        <v>0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17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67</v>
      </c>
      <c r="B577" t="s">
        <v>69</v>
      </c>
      <c r="C577">
        <v>14</v>
      </c>
      <c r="D577" t="s">
        <v>127</v>
      </c>
      <c r="E577" t="s">
        <v>76</v>
      </c>
      <c r="F577" t="s">
        <v>72</v>
      </c>
      <c r="G577">
        <v>0</v>
      </c>
      <c r="H577">
        <v>2E+20</v>
      </c>
      <c r="I577">
        <v>0</v>
      </c>
      <c r="J577">
        <v>0</v>
      </c>
      <c r="K577">
        <v>3</v>
      </c>
      <c r="L577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17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0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0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0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0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0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3</v>
      </c>
      <c r="W577" s="5">
        <f>IF((DiscreteStatsTable[[#This Row],[RepsRequested]]&gt;1),DiscreteStatsTable[[#This Row],[HalfWidth]],DiscreteStatsTable[[#This Row],[BatchMeansHalfWidth]])</f>
        <v>0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17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67</v>
      </c>
      <c r="B578" t="s">
        <v>69</v>
      </c>
      <c r="C578">
        <v>14</v>
      </c>
      <c r="D578" t="s">
        <v>127</v>
      </c>
      <c r="E578" t="s">
        <v>77</v>
      </c>
      <c r="F578" t="s">
        <v>72</v>
      </c>
      <c r="G578">
        <v>0</v>
      </c>
      <c r="H578">
        <v>2E+20</v>
      </c>
      <c r="I578">
        <v>0</v>
      </c>
      <c r="J578">
        <v>0</v>
      </c>
      <c r="K578">
        <v>3</v>
      </c>
      <c r="L578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17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0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0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0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0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0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0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3</v>
      </c>
      <c r="W578" s="5">
        <f>IF((DiscreteStatsTable[[#This Row],[RepsRequested]]&gt;1),DiscreteStatsTable[[#This Row],[HalfWidth]],DiscreteStatsTable[[#This Row],[BatchMeansHalfWidth]])</f>
        <v>0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17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67</v>
      </c>
      <c r="B579" t="s">
        <v>69</v>
      </c>
      <c r="C579">
        <v>15</v>
      </c>
      <c r="D579" t="s">
        <v>127</v>
      </c>
      <c r="E579" t="s">
        <v>71</v>
      </c>
      <c r="F579" t="s">
        <v>72</v>
      </c>
      <c r="G579">
        <v>0</v>
      </c>
      <c r="H579">
        <v>2E+20</v>
      </c>
      <c r="I579">
        <v>0</v>
      </c>
      <c r="J579">
        <v>0</v>
      </c>
      <c r="K579">
        <v>3</v>
      </c>
      <c r="L579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17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0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0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0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0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0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3</v>
      </c>
      <c r="W579" s="5">
        <f>IF((DiscreteStatsTable[[#This Row],[RepsRequested]]&gt;1),DiscreteStatsTable[[#This Row],[HalfWidth]],DiscreteStatsTable[[#This Row],[BatchMeansHalfWidth]])</f>
        <v>0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17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67</v>
      </c>
      <c r="B580" t="s">
        <v>69</v>
      </c>
      <c r="C580">
        <v>15</v>
      </c>
      <c r="D580" t="s">
        <v>127</v>
      </c>
      <c r="E580" t="s">
        <v>73</v>
      </c>
      <c r="F580" t="s">
        <v>72</v>
      </c>
      <c r="G580">
        <v>0</v>
      </c>
      <c r="H580">
        <v>2E+20</v>
      </c>
      <c r="I580">
        <v>0</v>
      </c>
      <c r="J580">
        <v>0</v>
      </c>
      <c r="K580">
        <v>3</v>
      </c>
      <c r="L580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17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3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17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67</v>
      </c>
      <c r="B581" t="s">
        <v>69</v>
      </c>
      <c r="C581">
        <v>15</v>
      </c>
      <c r="D581" t="s">
        <v>127</v>
      </c>
      <c r="E581" t="s">
        <v>74</v>
      </c>
      <c r="F581" t="s">
        <v>72</v>
      </c>
      <c r="G581">
        <v>0</v>
      </c>
      <c r="H581">
        <v>2E+20</v>
      </c>
      <c r="I581">
        <v>0</v>
      </c>
      <c r="J581">
        <v>0</v>
      </c>
      <c r="K581">
        <v>3</v>
      </c>
      <c r="L581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17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0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0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0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0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3</v>
      </c>
      <c r="W581" s="5">
        <f>IF((DiscreteStatsTable[[#This Row],[RepsRequested]]&gt;1),DiscreteStatsTable[[#This Row],[HalfWidth]],DiscreteStatsTable[[#This Row],[BatchMeansHalfWidth]])</f>
        <v>0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17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67</v>
      </c>
      <c r="B582" t="s">
        <v>69</v>
      </c>
      <c r="C582">
        <v>15</v>
      </c>
      <c r="D582" t="s">
        <v>127</v>
      </c>
      <c r="E582" t="s">
        <v>75</v>
      </c>
      <c r="F582" t="s">
        <v>72</v>
      </c>
      <c r="G582">
        <v>0</v>
      </c>
      <c r="H582">
        <v>2E+20</v>
      </c>
      <c r="I582">
        <v>0</v>
      </c>
      <c r="J582">
        <v>0</v>
      </c>
      <c r="K582">
        <v>3</v>
      </c>
      <c r="L582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17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0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0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0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0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0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0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3</v>
      </c>
      <c r="W582" s="5">
        <f>IF((DiscreteStatsTable[[#This Row],[RepsRequested]]&gt;1),DiscreteStatsTable[[#This Row],[HalfWidth]],DiscreteStatsTable[[#This Row],[BatchMeansHalfWidth]])</f>
        <v>0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17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67</v>
      </c>
      <c r="B583" t="s">
        <v>69</v>
      </c>
      <c r="C583">
        <v>15</v>
      </c>
      <c r="D583" t="s">
        <v>127</v>
      </c>
      <c r="E583" t="s">
        <v>76</v>
      </c>
      <c r="F583" t="s">
        <v>72</v>
      </c>
      <c r="G583">
        <v>0</v>
      </c>
      <c r="H583">
        <v>2E+20</v>
      </c>
      <c r="I583">
        <v>0</v>
      </c>
      <c r="J583">
        <v>0</v>
      </c>
      <c r="K583">
        <v>3</v>
      </c>
      <c r="L583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17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0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0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0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0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0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3</v>
      </c>
      <c r="W583" s="5">
        <f>IF((DiscreteStatsTable[[#This Row],[RepsRequested]]&gt;1),DiscreteStatsTable[[#This Row],[HalfWidth]],DiscreteStatsTable[[#This Row],[BatchMeansHalfWidth]])</f>
        <v>0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17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67</v>
      </c>
      <c r="B584" t="s">
        <v>69</v>
      </c>
      <c r="C584">
        <v>15</v>
      </c>
      <c r="D584" t="s">
        <v>127</v>
      </c>
      <c r="E584" t="s">
        <v>77</v>
      </c>
      <c r="F584" t="s">
        <v>72</v>
      </c>
      <c r="G584">
        <v>0</v>
      </c>
      <c r="H584">
        <v>2E+20</v>
      </c>
      <c r="I584">
        <v>0</v>
      </c>
      <c r="J584">
        <v>0</v>
      </c>
      <c r="K584">
        <v>3</v>
      </c>
      <c r="L584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17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0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0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0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0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0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0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3</v>
      </c>
      <c r="W584" s="5">
        <f>IF((DiscreteStatsTable[[#This Row],[RepsRequested]]&gt;1),DiscreteStatsTable[[#This Row],[HalfWidth]],DiscreteStatsTable[[#This Row],[BatchMeansHalfWidth]])</f>
        <v>0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17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67</v>
      </c>
      <c r="B585" t="s">
        <v>69</v>
      </c>
      <c r="C585">
        <v>16</v>
      </c>
      <c r="D585" t="s">
        <v>127</v>
      </c>
      <c r="E585" t="s">
        <v>71</v>
      </c>
      <c r="F585" t="s">
        <v>72</v>
      </c>
      <c r="G585">
        <v>0</v>
      </c>
      <c r="H585">
        <v>2E+20</v>
      </c>
      <c r="I585">
        <v>0</v>
      </c>
      <c r="J585">
        <v>0</v>
      </c>
      <c r="K585">
        <v>3</v>
      </c>
      <c r="L585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17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0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0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0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0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0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3</v>
      </c>
      <c r="W585" s="5">
        <f>IF((DiscreteStatsTable[[#This Row],[RepsRequested]]&gt;1),DiscreteStatsTable[[#This Row],[HalfWidth]],DiscreteStatsTable[[#This Row],[BatchMeansHalfWidth]])</f>
        <v>0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17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67</v>
      </c>
      <c r="B586" t="s">
        <v>69</v>
      </c>
      <c r="C586">
        <v>16</v>
      </c>
      <c r="D586" t="s">
        <v>127</v>
      </c>
      <c r="E586" t="s">
        <v>73</v>
      </c>
      <c r="F586" t="s">
        <v>72</v>
      </c>
      <c r="G586">
        <v>0</v>
      </c>
      <c r="H586">
        <v>2E+20</v>
      </c>
      <c r="I586">
        <v>0</v>
      </c>
      <c r="J586">
        <v>0</v>
      </c>
      <c r="K586">
        <v>3</v>
      </c>
      <c r="L586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17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3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17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67</v>
      </c>
      <c r="B587" t="s">
        <v>69</v>
      </c>
      <c r="C587">
        <v>16</v>
      </c>
      <c r="D587" t="s">
        <v>127</v>
      </c>
      <c r="E587" t="s">
        <v>74</v>
      </c>
      <c r="F587" t="s">
        <v>72</v>
      </c>
      <c r="G587">
        <v>0</v>
      </c>
      <c r="H587">
        <v>2E+20</v>
      </c>
      <c r="I587">
        <v>0</v>
      </c>
      <c r="J587">
        <v>0</v>
      </c>
      <c r="K587">
        <v>3</v>
      </c>
      <c r="L587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17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0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0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0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0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3</v>
      </c>
      <c r="W587" s="5">
        <f>IF((DiscreteStatsTable[[#This Row],[RepsRequested]]&gt;1),DiscreteStatsTable[[#This Row],[HalfWidth]],DiscreteStatsTable[[#This Row],[BatchMeansHalfWidth]])</f>
        <v>0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17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67</v>
      </c>
      <c r="B588" t="s">
        <v>69</v>
      </c>
      <c r="C588">
        <v>16</v>
      </c>
      <c r="D588" t="s">
        <v>127</v>
      </c>
      <c r="E588" t="s">
        <v>75</v>
      </c>
      <c r="F588" t="s">
        <v>72</v>
      </c>
      <c r="G588">
        <v>0</v>
      </c>
      <c r="H588">
        <v>2E+20</v>
      </c>
      <c r="I588">
        <v>0</v>
      </c>
      <c r="J588">
        <v>0</v>
      </c>
      <c r="K588">
        <v>3</v>
      </c>
      <c r="L588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17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0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0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0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0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0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0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3</v>
      </c>
      <c r="W588" s="5">
        <f>IF((DiscreteStatsTable[[#This Row],[RepsRequested]]&gt;1),DiscreteStatsTable[[#This Row],[HalfWidth]],DiscreteStatsTable[[#This Row],[BatchMeansHalfWidth]])</f>
        <v>0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17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67</v>
      </c>
      <c r="B589" t="s">
        <v>69</v>
      </c>
      <c r="C589">
        <v>16</v>
      </c>
      <c r="D589" t="s">
        <v>127</v>
      </c>
      <c r="E589" t="s">
        <v>76</v>
      </c>
      <c r="F589" t="s">
        <v>72</v>
      </c>
      <c r="G589">
        <v>0</v>
      </c>
      <c r="H589">
        <v>2E+20</v>
      </c>
      <c r="I589">
        <v>0</v>
      </c>
      <c r="J589">
        <v>0</v>
      </c>
      <c r="K589">
        <v>3</v>
      </c>
      <c r="L589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17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0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0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0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0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0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3</v>
      </c>
      <c r="W589" s="5">
        <f>IF((DiscreteStatsTable[[#This Row],[RepsRequested]]&gt;1),DiscreteStatsTable[[#This Row],[HalfWidth]],DiscreteStatsTable[[#This Row],[BatchMeansHalfWidth]])</f>
        <v>0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17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67</v>
      </c>
      <c r="B590" t="s">
        <v>69</v>
      </c>
      <c r="C590">
        <v>16</v>
      </c>
      <c r="D590" t="s">
        <v>127</v>
      </c>
      <c r="E590" t="s">
        <v>77</v>
      </c>
      <c r="F590" t="s">
        <v>72</v>
      </c>
      <c r="G590">
        <v>0</v>
      </c>
      <c r="H590">
        <v>2E+20</v>
      </c>
      <c r="I590">
        <v>0</v>
      </c>
      <c r="J590">
        <v>0</v>
      </c>
      <c r="K590">
        <v>3</v>
      </c>
      <c r="L590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17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0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0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0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0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0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0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3</v>
      </c>
      <c r="W590" s="5">
        <f>IF((DiscreteStatsTable[[#This Row],[RepsRequested]]&gt;1),DiscreteStatsTable[[#This Row],[HalfWidth]],DiscreteStatsTable[[#This Row],[BatchMeansHalfWidth]])</f>
        <v>0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17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67</v>
      </c>
      <c r="B591" t="s">
        <v>69</v>
      </c>
      <c r="C591">
        <v>17</v>
      </c>
      <c r="D591" t="s">
        <v>127</v>
      </c>
      <c r="E591" t="s">
        <v>71</v>
      </c>
      <c r="F591" t="s">
        <v>72</v>
      </c>
      <c r="G591">
        <v>0</v>
      </c>
      <c r="H591">
        <v>2E+20</v>
      </c>
      <c r="I591">
        <v>0</v>
      </c>
      <c r="J591">
        <v>0</v>
      </c>
      <c r="K591">
        <v>3</v>
      </c>
      <c r="L591" s="5" t="str">
        <f>DiscreteStatsTable[[#This Row],[ProjectName]]&amp;DiscreteStatsTable[[#This Row],[Name]]&amp;DiscreteStatsTable[[#This Row],[Type]]&amp;DiscreteStatsTable[[#This Row],[Source]]</f>
        <v>Weekend (base)relojNVA TimeEntity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17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0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0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0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0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0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3</v>
      </c>
      <c r="W591" s="5">
        <f>IF((DiscreteStatsTable[[#This Row],[RepsRequested]]&gt;1),DiscreteStatsTable[[#This Row],[HalfWidth]],DiscreteStatsTable[[#This Row],[BatchMeansHalfWidth]])</f>
        <v>0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17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67</v>
      </c>
      <c r="B592" t="s">
        <v>69</v>
      </c>
      <c r="C592">
        <v>17</v>
      </c>
      <c r="D592" t="s">
        <v>127</v>
      </c>
      <c r="E592" t="s">
        <v>73</v>
      </c>
      <c r="F592" t="s">
        <v>72</v>
      </c>
      <c r="G592">
        <v>0</v>
      </c>
      <c r="H592">
        <v>2E+20</v>
      </c>
      <c r="I592">
        <v>0</v>
      </c>
      <c r="J592">
        <v>0</v>
      </c>
      <c r="K592">
        <v>3</v>
      </c>
      <c r="L592" s="5" t="str">
        <f>DiscreteStatsTable[[#This Row],[ProjectName]]&amp;DiscreteStatsTable[[#This Row],[Name]]&amp;DiscreteStatsTable[[#This Row],[Type]]&amp;DiscreteStatsTable[[#This Row],[Source]]</f>
        <v>Weekend (base)relojOther TimeEntity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17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3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17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67</v>
      </c>
      <c r="B593" t="s">
        <v>69</v>
      </c>
      <c r="C593">
        <v>17</v>
      </c>
      <c r="D593" t="s">
        <v>127</v>
      </c>
      <c r="E593" t="s">
        <v>74</v>
      </c>
      <c r="F593" t="s">
        <v>72</v>
      </c>
      <c r="G593">
        <v>0</v>
      </c>
      <c r="H593">
        <v>2E+20</v>
      </c>
      <c r="I593">
        <v>0</v>
      </c>
      <c r="J593">
        <v>0</v>
      </c>
      <c r="K593">
        <v>3</v>
      </c>
      <c r="L593" s="5" t="str">
        <f>DiscreteStatsTable[[#This Row],[ProjectName]]&amp;DiscreteStatsTable[[#This Row],[Name]]&amp;DiscreteStatsTable[[#This Row],[Type]]&amp;DiscreteStatsTable[[#This Row],[Source]]</f>
        <v>Weekend (base)relojTotal TimeEntity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17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0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0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0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0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3</v>
      </c>
      <c r="W593" s="5">
        <f>IF((DiscreteStatsTable[[#This Row],[RepsRequested]]&gt;1),DiscreteStatsTable[[#This Row],[HalfWidth]],DiscreteStatsTable[[#This Row],[BatchMeansHalfWidth]])</f>
        <v>0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17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67</v>
      </c>
      <c r="B594" t="s">
        <v>69</v>
      </c>
      <c r="C594">
        <v>17</v>
      </c>
      <c r="D594" t="s">
        <v>127</v>
      </c>
      <c r="E594" t="s">
        <v>75</v>
      </c>
      <c r="F594" t="s">
        <v>72</v>
      </c>
      <c r="G594">
        <v>0</v>
      </c>
      <c r="H594">
        <v>2E+20</v>
      </c>
      <c r="I594">
        <v>0</v>
      </c>
      <c r="J594">
        <v>0</v>
      </c>
      <c r="K594">
        <v>3</v>
      </c>
      <c r="L594" s="5" t="str">
        <f>DiscreteStatsTable[[#This Row],[ProjectName]]&amp;DiscreteStatsTable[[#This Row],[Name]]&amp;DiscreteStatsTable[[#This Row],[Type]]&amp;DiscreteStatsTable[[#This Row],[Source]]</f>
        <v>Weekend (base)relojTransfer TimeEntity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17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0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0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0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0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0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0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3</v>
      </c>
      <c r="W594" s="5">
        <f>IF((DiscreteStatsTable[[#This Row],[RepsRequested]]&gt;1),DiscreteStatsTable[[#This Row],[HalfWidth]],DiscreteStatsTable[[#This Row],[BatchMeansHalfWidth]])</f>
        <v>0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17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67</v>
      </c>
      <c r="B595" t="s">
        <v>69</v>
      </c>
      <c r="C595">
        <v>17</v>
      </c>
      <c r="D595" t="s">
        <v>127</v>
      </c>
      <c r="E595" t="s">
        <v>76</v>
      </c>
      <c r="F595" t="s">
        <v>72</v>
      </c>
      <c r="G595">
        <v>0</v>
      </c>
      <c r="H595">
        <v>2E+20</v>
      </c>
      <c r="I595">
        <v>0</v>
      </c>
      <c r="J595">
        <v>0</v>
      </c>
      <c r="K595">
        <v>3</v>
      </c>
      <c r="L595" s="5" t="str">
        <f>DiscreteStatsTable[[#This Row],[ProjectName]]&amp;DiscreteStatsTable[[#This Row],[Name]]&amp;DiscreteStatsTable[[#This Row],[Type]]&amp;DiscreteStatsTable[[#This Row],[Source]]</f>
        <v>Weekend (base)relojVA TimeEntity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17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0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0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0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0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0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3</v>
      </c>
      <c r="W595" s="5">
        <f>IF((DiscreteStatsTable[[#This Row],[RepsRequested]]&gt;1),DiscreteStatsTable[[#This Row],[HalfWidth]],DiscreteStatsTable[[#This Row],[BatchMeansHalfWidth]])</f>
        <v>0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17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67</v>
      </c>
      <c r="B596" t="s">
        <v>69</v>
      </c>
      <c r="C596">
        <v>17</v>
      </c>
      <c r="D596" t="s">
        <v>127</v>
      </c>
      <c r="E596" t="s">
        <v>77</v>
      </c>
      <c r="F596" t="s">
        <v>72</v>
      </c>
      <c r="G596">
        <v>0</v>
      </c>
      <c r="H596">
        <v>2E+20</v>
      </c>
      <c r="I596">
        <v>0</v>
      </c>
      <c r="J596">
        <v>0</v>
      </c>
      <c r="K596">
        <v>3</v>
      </c>
      <c r="L596" s="5" t="str">
        <f>DiscreteStatsTable[[#This Row],[ProjectName]]&amp;DiscreteStatsTable[[#This Row],[Name]]&amp;DiscreteStatsTable[[#This Row],[Type]]&amp;DiscreteStatsTable[[#This Row],[Source]]</f>
        <v>Weekend (base)relojWait TimeEntity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17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0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0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0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0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0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0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3</v>
      </c>
      <c r="W596" s="5">
        <f>IF((DiscreteStatsTable[[#This Row],[RepsRequested]]&gt;1),DiscreteStatsTable[[#This Row],[HalfWidth]],DiscreteStatsTable[[#This Row],[BatchMeansHalfWidth]])</f>
        <v>0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17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67</v>
      </c>
      <c r="B597" t="s">
        <v>69</v>
      </c>
      <c r="C597">
        <v>1</v>
      </c>
      <c r="D597" t="s">
        <v>105</v>
      </c>
      <c r="E597" t="s">
        <v>79</v>
      </c>
      <c r="F597" t="s">
        <v>80</v>
      </c>
      <c r="G597">
        <v>18.2593992105048</v>
      </c>
      <c r="H597">
        <v>2E+20</v>
      </c>
      <c r="I597">
        <v>2.2955081499061101</v>
      </c>
      <c r="J597">
        <v>33.534938461929002</v>
      </c>
      <c r="K597">
        <v>18</v>
      </c>
      <c r="L597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17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18.34562442381192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2.1575919398341346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15.010749008421101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22.816713775859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44.433668276207797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597" s="5">
        <f>IF((DiscreteStatsTable[[#This Row],[RepsRequested]]&gt;1),DiscreteStatsTable[[#This Row],[HalfWidth]],DiscreteStatsTable[[#This Row],[BatchMeansHalfWidth]])</f>
        <v>1.1093314123201146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17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67</v>
      </c>
      <c r="B598" t="s">
        <v>69</v>
      </c>
      <c r="C598">
        <v>2</v>
      </c>
      <c r="D598" t="s">
        <v>105</v>
      </c>
      <c r="E598" t="s">
        <v>79</v>
      </c>
      <c r="F598" t="s">
        <v>80</v>
      </c>
      <c r="G598">
        <v>17.2685153930776</v>
      </c>
      <c r="H598">
        <v>2E+20</v>
      </c>
      <c r="I598">
        <v>4.2869157497203396</v>
      </c>
      <c r="J598">
        <v>27.243425483403701</v>
      </c>
      <c r="K598">
        <v>15</v>
      </c>
      <c r="L598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17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18.34562442381192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2.1575919398341346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15.010749008421101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22.816713775859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44.433668276207797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598" s="5">
        <f>IF((DiscreteStatsTable[[#This Row],[RepsRequested]]&gt;1),DiscreteStatsTable[[#This Row],[HalfWidth]],DiscreteStatsTable[[#This Row],[BatchMeansHalfWidth]])</f>
        <v>1.1093314123201146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17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67</v>
      </c>
      <c r="B599" t="s">
        <v>69</v>
      </c>
      <c r="C599">
        <v>3</v>
      </c>
      <c r="D599" t="s">
        <v>105</v>
      </c>
      <c r="E599" t="s">
        <v>79</v>
      </c>
      <c r="F599" t="s">
        <v>80</v>
      </c>
      <c r="G599">
        <v>16.711136995459501</v>
      </c>
      <c r="H599">
        <v>2E+20</v>
      </c>
      <c r="I599">
        <v>1.4247963853516701</v>
      </c>
      <c r="J599">
        <v>35.423370240477297</v>
      </c>
      <c r="K599">
        <v>18</v>
      </c>
      <c r="L599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17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18.34562442381192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2.1575919398341346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15.010749008421101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22.816713775859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44.433668276207797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599" s="5">
        <f>IF((DiscreteStatsTable[[#This Row],[RepsRequested]]&gt;1),DiscreteStatsTable[[#This Row],[HalfWidth]],DiscreteStatsTable[[#This Row],[BatchMeansHalfWidth]])</f>
        <v>1.1093314123201146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17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67</v>
      </c>
      <c r="B600" t="s">
        <v>69</v>
      </c>
      <c r="C600">
        <v>4</v>
      </c>
      <c r="D600" t="s">
        <v>105</v>
      </c>
      <c r="E600" t="s">
        <v>79</v>
      </c>
      <c r="F600" t="s">
        <v>80</v>
      </c>
      <c r="G600">
        <v>18.264009130516001</v>
      </c>
      <c r="H600">
        <v>2E+20</v>
      </c>
      <c r="I600">
        <v>0</v>
      </c>
      <c r="J600">
        <v>31.627733362812201</v>
      </c>
      <c r="K600">
        <v>16</v>
      </c>
      <c r="L600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17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18.34562442381192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15.010749008421101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22.816713775859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0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44.433668276207797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0" s="5">
        <f>IF((DiscreteStatsTable[[#This Row],[RepsRequested]]&gt;1),DiscreteStatsTable[[#This Row],[HalfWidth]],DiscreteStatsTable[[#This Row],[BatchMeansHalfWidth]])</f>
        <v>1.1093314123201146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17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67</v>
      </c>
      <c r="B601" t="s">
        <v>69</v>
      </c>
      <c r="C601">
        <v>5</v>
      </c>
      <c r="D601" t="s">
        <v>105</v>
      </c>
      <c r="E601" t="s">
        <v>79</v>
      </c>
      <c r="F601" t="s">
        <v>80</v>
      </c>
      <c r="G601">
        <v>18.720907483545201</v>
      </c>
      <c r="H601">
        <v>2E+20</v>
      </c>
      <c r="I601">
        <v>3.1328990905535599E-2</v>
      </c>
      <c r="J601">
        <v>43.471801567160703</v>
      </c>
      <c r="K601">
        <v>20</v>
      </c>
      <c r="L601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17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18.34562442381192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15.010749008421101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22.816713775859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44.433668276207797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1" s="5">
        <f>IF((DiscreteStatsTable[[#This Row],[RepsRequested]]&gt;1),DiscreteStatsTable[[#This Row],[HalfWidth]],DiscreteStatsTable[[#This Row],[BatchMeansHalfWidth]])</f>
        <v>1.1093314123201146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17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67</v>
      </c>
      <c r="B602" t="s">
        <v>69</v>
      </c>
      <c r="C602">
        <v>6</v>
      </c>
      <c r="D602" t="s">
        <v>105</v>
      </c>
      <c r="E602" t="s">
        <v>79</v>
      </c>
      <c r="F602" t="s">
        <v>80</v>
      </c>
      <c r="G602">
        <v>18.845963572607101</v>
      </c>
      <c r="H602">
        <v>2E+20</v>
      </c>
      <c r="I602">
        <v>0</v>
      </c>
      <c r="J602">
        <v>35.583084453429798</v>
      </c>
      <c r="K602">
        <v>16</v>
      </c>
      <c r="L602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17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18.34562442381192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15.010749008421101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22.816713775859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0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44.433668276207797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2" s="5">
        <f>IF((DiscreteStatsTable[[#This Row],[RepsRequested]]&gt;1),DiscreteStatsTable[[#This Row],[HalfWidth]],DiscreteStatsTable[[#This Row],[BatchMeansHalfWidth]])</f>
        <v>1.1093314123201146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17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67</v>
      </c>
      <c r="B603" t="s">
        <v>69</v>
      </c>
      <c r="C603">
        <v>7</v>
      </c>
      <c r="D603" t="s">
        <v>105</v>
      </c>
      <c r="E603" t="s">
        <v>79</v>
      </c>
      <c r="F603" t="s">
        <v>80</v>
      </c>
      <c r="G603">
        <v>20.9021083047334</v>
      </c>
      <c r="H603">
        <v>2E+20</v>
      </c>
      <c r="I603">
        <v>4.7836091019057703</v>
      </c>
      <c r="J603">
        <v>37.510579447555301</v>
      </c>
      <c r="K603">
        <v>16</v>
      </c>
      <c r="L603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17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18.34562442381192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15.010749008421101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22.816713775859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44.433668276207797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3" s="5">
        <f>IF((DiscreteStatsTable[[#This Row],[RepsRequested]]&gt;1),DiscreteStatsTable[[#This Row],[HalfWidth]],DiscreteStatsTable[[#This Row],[BatchMeansHalfWidth]])</f>
        <v>1.1093314123201146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17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67</v>
      </c>
      <c r="B604" t="s">
        <v>69</v>
      </c>
      <c r="C604">
        <v>8</v>
      </c>
      <c r="D604" t="s">
        <v>105</v>
      </c>
      <c r="E604" t="s">
        <v>79</v>
      </c>
      <c r="F604" t="s">
        <v>80</v>
      </c>
      <c r="G604">
        <v>18.6809013452324</v>
      </c>
      <c r="H604">
        <v>2E+20</v>
      </c>
      <c r="I604">
        <v>0</v>
      </c>
      <c r="J604">
        <v>36.821357145884903</v>
      </c>
      <c r="K604">
        <v>18</v>
      </c>
      <c r="L604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17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18.34562442381192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15.010749008421101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22.816713775859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44.433668276207797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4" s="5">
        <f>IF((DiscreteStatsTable[[#This Row],[RepsRequested]]&gt;1),DiscreteStatsTable[[#This Row],[HalfWidth]],DiscreteStatsTable[[#This Row],[BatchMeansHalfWidth]])</f>
        <v>1.1093314123201146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17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67</v>
      </c>
      <c r="B605" t="s">
        <v>69</v>
      </c>
      <c r="C605">
        <v>9</v>
      </c>
      <c r="D605" t="s">
        <v>105</v>
      </c>
      <c r="E605" t="s">
        <v>79</v>
      </c>
      <c r="F605" t="s">
        <v>80</v>
      </c>
      <c r="G605">
        <v>15.4431685816695</v>
      </c>
      <c r="H605">
        <v>2E+20</v>
      </c>
      <c r="I605">
        <v>3.4456120685755698</v>
      </c>
      <c r="J605">
        <v>28.4927510845794</v>
      </c>
      <c r="K605">
        <v>15</v>
      </c>
      <c r="L605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17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18.34562442381192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15.010749008421101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22.816713775859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44.433668276207797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5" s="5">
        <f>IF((DiscreteStatsTable[[#This Row],[RepsRequested]]&gt;1),DiscreteStatsTable[[#This Row],[HalfWidth]],DiscreteStatsTable[[#This Row],[BatchMeansHalfWidth]])</f>
        <v>1.1093314123201146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17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67</v>
      </c>
      <c r="B606" t="s">
        <v>69</v>
      </c>
      <c r="C606">
        <v>10</v>
      </c>
      <c r="D606" t="s">
        <v>105</v>
      </c>
      <c r="E606" t="s">
        <v>79</v>
      </c>
      <c r="F606" t="s">
        <v>80</v>
      </c>
      <c r="G606">
        <v>22.816713775859</v>
      </c>
      <c r="H606">
        <v>2E+20</v>
      </c>
      <c r="I606">
        <v>9.2131462587443202</v>
      </c>
      <c r="J606">
        <v>36.440722923259202</v>
      </c>
      <c r="K606">
        <v>20</v>
      </c>
      <c r="L606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17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18.34562442381192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15.010749008421101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22.816713775859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0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44.433668276207797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6" s="5">
        <f>IF((DiscreteStatsTable[[#This Row],[RepsRequested]]&gt;1),DiscreteStatsTable[[#This Row],[HalfWidth]],DiscreteStatsTable[[#This Row],[BatchMeansHalfWidth]])</f>
        <v>1.1093314123201146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17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67</v>
      </c>
      <c r="B607" t="s">
        <v>69</v>
      </c>
      <c r="C607">
        <v>11</v>
      </c>
      <c r="D607" t="s">
        <v>105</v>
      </c>
      <c r="E607" t="s">
        <v>79</v>
      </c>
      <c r="F607" t="s">
        <v>80</v>
      </c>
      <c r="G607">
        <v>18.537174772151499</v>
      </c>
      <c r="H607">
        <v>2E+20</v>
      </c>
      <c r="I607">
        <v>0</v>
      </c>
      <c r="J607">
        <v>37.749583513244502</v>
      </c>
      <c r="K607">
        <v>16</v>
      </c>
      <c r="L607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17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18.34562442381192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15.010749008421101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22.816713775859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44.433668276207797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7" s="5">
        <f>IF((DiscreteStatsTable[[#This Row],[RepsRequested]]&gt;1),DiscreteStatsTable[[#This Row],[HalfWidth]],DiscreteStatsTable[[#This Row],[BatchMeansHalfWidth]])</f>
        <v>1.1093314123201146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17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67</v>
      </c>
      <c r="B608" t="s">
        <v>69</v>
      </c>
      <c r="C608">
        <v>12</v>
      </c>
      <c r="D608" t="s">
        <v>105</v>
      </c>
      <c r="E608" t="s">
        <v>79</v>
      </c>
      <c r="F608" t="s">
        <v>80</v>
      </c>
      <c r="G608">
        <v>15.010749008421101</v>
      </c>
      <c r="H608">
        <v>2E+20</v>
      </c>
      <c r="I608">
        <v>0</v>
      </c>
      <c r="J608">
        <v>30.952675896527399</v>
      </c>
      <c r="K608">
        <v>15</v>
      </c>
      <c r="L608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17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18.34562442381192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15.010749008421101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22.816713775859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0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44.433668276207797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8" s="5">
        <f>IF((DiscreteStatsTable[[#This Row],[RepsRequested]]&gt;1),DiscreteStatsTable[[#This Row],[HalfWidth]],DiscreteStatsTable[[#This Row],[BatchMeansHalfWidth]])</f>
        <v>1.1093314123201146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17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67</v>
      </c>
      <c r="B609" t="s">
        <v>69</v>
      </c>
      <c r="C609">
        <v>13</v>
      </c>
      <c r="D609" t="s">
        <v>105</v>
      </c>
      <c r="E609" t="s">
        <v>79</v>
      </c>
      <c r="F609" t="s">
        <v>80</v>
      </c>
      <c r="G609">
        <v>18.408362143555799</v>
      </c>
      <c r="H609">
        <v>2E+20</v>
      </c>
      <c r="I609">
        <v>1.0534864575693601</v>
      </c>
      <c r="J609">
        <v>33.270339262695899</v>
      </c>
      <c r="K609">
        <v>17</v>
      </c>
      <c r="L609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17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18.34562442381192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2.1575919398341346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15.010749008421101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22.816713775859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44.433668276207797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09" s="5">
        <f>IF((DiscreteStatsTable[[#This Row],[RepsRequested]]&gt;1),DiscreteStatsTable[[#This Row],[HalfWidth]],DiscreteStatsTable[[#This Row],[BatchMeansHalfWidth]])</f>
        <v>1.1093314123201146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17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67</v>
      </c>
      <c r="B610" t="s">
        <v>69</v>
      </c>
      <c r="C610">
        <v>14</v>
      </c>
      <c r="D610" t="s">
        <v>105</v>
      </c>
      <c r="E610" t="s">
        <v>79</v>
      </c>
      <c r="F610" t="s">
        <v>80</v>
      </c>
      <c r="G610">
        <v>18.1420160768544</v>
      </c>
      <c r="H610">
        <v>2E+20</v>
      </c>
      <c r="I610">
        <v>1.1644373686646601</v>
      </c>
      <c r="J610">
        <v>29.557702364787001</v>
      </c>
      <c r="K610">
        <v>13</v>
      </c>
      <c r="L610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17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18.34562442381192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2.1575919398341346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15.010749008421101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22.816713775859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44.433668276207797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0" s="5">
        <f>IF((DiscreteStatsTable[[#This Row],[RepsRequested]]&gt;1),DiscreteStatsTable[[#This Row],[HalfWidth]],DiscreteStatsTable[[#This Row],[BatchMeansHalfWidth]])</f>
        <v>1.1093314123201146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17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67</v>
      </c>
      <c r="B611" t="s">
        <v>69</v>
      </c>
      <c r="C611">
        <v>15</v>
      </c>
      <c r="D611" t="s">
        <v>105</v>
      </c>
      <c r="E611" t="s">
        <v>79</v>
      </c>
      <c r="F611" t="s">
        <v>80</v>
      </c>
      <c r="G611">
        <v>22.3239887839127</v>
      </c>
      <c r="H611">
        <v>2E+20</v>
      </c>
      <c r="I611">
        <v>11.4783811708635</v>
      </c>
      <c r="J611">
        <v>44.433668276207797</v>
      </c>
      <c r="K611">
        <v>16</v>
      </c>
      <c r="L611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17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18.34562442381192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2.1575919398341346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15.010749008421101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22.816713775859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44.433668276207797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1" s="5">
        <f>IF((DiscreteStatsTable[[#This Row],[RepsRequested]]&gt;1),DiscreteStatsTable[[#This Row],[HalfWidth]],DiscreteStatsTable[[#This Row],[BatchMeansHalfWidth]])</f>
        <v>1.1093314123201146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17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67</v>
      </c>
      <c r="B612" t="s">
        <v>69</v>
      </c>
      <c r="C612">
        <v>16</v>
      </c>
      <c r="D612" t="s">
        <v>105</v>
      </c>
      <c r="E612" t="s">
        <v>79</v>
      </c>
      <c r="F612" t="s">
        <v>80</v>
      </c>
      <c r="G612">
        <v>15.507538213446001</v>
      </c>
      <c r="H612">
        <v>2E+20</v>
      </c>
      <c r="I612">
        <v>0</v>
      </c>
      <c r="J612">
        <v>34.2162059751467</v>
      </c>
      <c r="K612">
        <v>18</v>
      </c>
      <c r="L612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17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18.34562442381192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2.1575919398341346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15.010749008421101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22.816713775859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0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44.433668276207797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2" s="5">
        <f>IF((DiscreteStatsTable[[#This Row],[RepsRequested]]&gt;1),DiscreteStatsTable[[#This Row],[HalfWidth]],DiscreteStatsTable[[#This Row],[BatchMeansHalfWidth]])</f>
        <v>1.1093314123201146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17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67</v>
      </c>
      <c r="B613" t="s">
        <v>69</v>
      </c>
      <c r="C613">
        <v>17</v>
      </c>
      <c r="D613" t="s">
        <v>105</v>
      </c>
      <c r="E613" t="s">
        <v>79</v>
      </c>
      <c r="F613" t="s">
        <v>80</v>
      </c>
      <c r="G613">
        <v>18.032962413256602</v>
      </c>
      <c r="H613">
        <v>2E+20</v>
      </c>
      <c r="I613">
        <v>3.9138028399751299</v>
      </c>
      <c r="J613">
        <v>39.318468668477401</v>
      </c>
      <c r="K613">
        <v>18</v>
      </c>
      <c r="L613" s="5" t="str">
        <f>DiscreteStatsTable[[#This Row],[ProjectName]]&amp;DiscreteStatsTable[[#This Row],[Name]]&amp;DiscreteStatsTable[[#This Row],[Type]]&amp;DiscreteStatsTable[[#This Row],[Source]]</f>
        <v>Weekend (base)TiempoEnMesaExpressionUser Specified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17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18.34562442381192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2.1575919398341346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1.1093314123201146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15.010749008421101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22.816713775859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44.433668276207797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3" s="5">
        <f>IF((DiscreteStatsTable[[#This Row],[RepsRequested]]&gt;1),DiscreteStatsTable[[#This Row],[HalfWidth]],DiscreteStatsTable[[#This Row],[BatchMeansHalfWidth]])</f>
        <v>1.1093314123201146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17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67</v>
      </c>
      <c r="B614" t="s">
        <v>69</v>
      </c>
      <c r="C614">
        <v>1</v>
      </c>
      <c r="D614" t="s">
        <v>106</v>
      </c>
      <c r="E614" t="s">
        <v>107</v>
      </c>
      <c r="F614" t="s">
        <v>80</v>
      </c>
      <c r="G614">
        <v>24.530026391636799</v>
      </c>
      <c r="H614">
        <v>2E+20</v>
      </c>
      <c r="I614">
        <v>5.4657031183762701</v>
      </c>
      <c r="J614">
        <v>43.382707587991497</v>
      </c>
      <c r="K614">
        <v>18</v>
      </c>
      <c r="L614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17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24.241469292582472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2.8536514740210155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20.4127209261279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30.794162534515099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1.4828571817912699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58.985521363316899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4" s="5">
        <f>IF((DiscreteStatsTable[[#This Row],[RepsRequested]]&gt;1),DiscreteStatsTable[[#This Row],[HalfWidth]],DiscreteStatsTable[[#This Row],[BatchMeansHalfWidth]])</f>
        <v>1.4672122014825797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17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67</v>
      </c>
      <c r="B615" t="s">
        <v>69</v>
      </c>
      <c r="C615">
        <v>2</v>
      </c>
      <c r="D615" t="s">
        <v>106</v>
      </c>
      <c r="E615" t="s">
        <v>107</v>
      </c>
      <c r="F615" t="s">
        <v>80</v>
      </c>
      <c r="G615">
        <v>22.490582968310001</v>
      </c>
      <c r="H615">
        <v>2E+20</v>
      </c>
      <c r="I615">
        <v>5.15009252995472</v>
      </c>
      <c r="J615">
        <v>38.653882813178598</v>
      </c>
      <c r="K615">
        <v>15</v>
      </c>
      <c r="L615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17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24.241469292582472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2.8536514740210155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20.4127209261279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30.794162534515099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1.4828571817912699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58.985521363316899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5" s="5">
        <f>IF((DiscreteStatsTable[[#This Row],[RepsRequested]]&gt;1),DiscreteStatsTable[[#This Row],[HalfWidth]],DiscreteStatsTable[[#This Row],[BatchMeansHalfWidth]])</f>
        <v>1.4672122014825797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17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67</v>
      </c>
      <c r="B616" t="s">
        <v>69</v>
      </c>
      <c r="C616">
        <v>3</v>
      </c>
      <c r="D616" t="s">
        <v>106</v>
      </c>
      <c r="E616" t="s">
        <v>107</v>
      </c>
      <c r="F616" t="s">
        <v>80</v>
      </c>
      <c r="G616">
        <v>25.3115671594839</v>
      </c>
      <c r="H616">
        <v>2E+20</v>
      </c>
      <c r="I616">
        <v>4.6044699313706001</v>
      </c>
      <c r="J616">
        <v>40.402294072363702</v>
      </c>
      <c r="K616">
        <v>18</v>
      </c>
      <c r="L616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17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24.241469292582472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2.8536514740210155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20.4127209261279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30.794162534515099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1.4828571817912699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58.985521363316899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6" s="5">
        <f>IF((DiscreteStatsTable[[#This Row],[RepsRequested]]&gt;1),DiscreteStatsTable[[#This Row],[HalfWidth]],DiscreteStatsTable[[#This Row],[BatchMeansHalfWidth]])</f>
        <v>1.4672122014825797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17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67</v>
      </c>
      <c r="B617" t="s">
        <v>69</v>
      </c>
      <c r="C617">
        <v>4</v>
      </c>
      <c r="D617" t="s">
        <v>106</v>
      </c>
      <c r="E617" t="s">
        <v>107</v>
      </c>
      <c r="F617" t="s">
        <v>80</v>
      </c>
      <c r="G617">
        <v>23.279526771006399</v>
      </c>
      <c r="H617">
        <v>2E+20</v>
      </c>
      <c r="I617">
        <v>1.74560784835606</v>
      </c>
      <c r="J617">
        <v>38.937592081096902</v>
      </c>
      <c r="K617">
        <v>16</v>
      </c>
      <c r="L617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17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24.241469292582472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2.8536514740210155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20.4127209261279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30.794162534515099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1.4828571817912699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58.985521363316899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7" s="5">
        <f>IF((DiscreteStatsTable[[#This Row],[RepsRequested]]&gt;1),DiscreteStatsTable[[#This Row],[HalfWidth]],DiscreteStatsTable[[#This Row],[BatchMeansHalfWidth]])</f>
        <v>1.4672122014825797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17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67</v>
      </c>
      <c r="B618" t="s">
        <v>69</v>
      </c>
      <c r="C618">
        <v>5</v>
      </c>
      <c r="D618" t="s">
        <v>106</v>
      </c>
      <c r="E618" t="s">
        <v>107</v>
      </c>
      <c r="F618" t="s">
        <v>80</v>
      </c>
      <c r="G618">
        <v>23.9305410527083</v>
      </c>
      <c r="H618">
        <v>2E+20</v>
      </c>
      <c r="I618">
        <v>2.76521724629941</v>
      </c>
      <c r="J618">
        <v>43.997311526106401</v>
      </c>
      <c r="K618">
        <v>20</v>
      </c>
      <c r="L618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17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24.241469292582472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2.8536514740210155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20.4127209261279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30.794162534515099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1.4828571817912699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58.985521363316899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8" s="5">
        <f>IF((DiscreteStatsTable[[#This Row],[RepsRequested]]&gt;1),DiscreteStatsTable[[#This Row],[HalfWidth]],DiscreteStatsTable[[#This Row],[BatchMeansHalfWidth]])</f>
        <v>1.4672122014825797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17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67</v>
      </c>
      <c r="B619" t="s">
        <v>69</v>
      </c>
      <c r="C619">
        <v>6</v>
      </c>
      <c r="D619" t="s">
        <v>106</v>
      </c>
      <c r="E619" t="s">
        <v>107</v>
      </c>
      <c r="F619" t="s">
        <v>80</v>
      </c>
      <c r="G619">
        <v>23.970092939314199</v>
      </c>
      <c r="H619">
        <v>2E+20</v>
      </c>
      <c r="I619">
        <v>2.6539537162159701</v>
      </c>
      <c r="J619">
        <v>41.503434856715799</v>
      </c>
      <c r="K619">
        <v>16</v>
      </c>
      <c r="L619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17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24.241469292582472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2.8536514740210155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20.4127209261279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30.794162534515099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1.4828571817912699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58.985521363316899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19" s="5">
        <f>IF((DiscreteStatsTable[[#This Row],[RepsRequested]]&gt;1),DiscreteStatsTable[[#This Row],[HalfWidth]],DiscreteStatsTable[[#This Row],[BatchMeansHalfWidth]])</f>
        <v>1.4672122014825797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17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67</v>
      </c>
      <c r="B620" t="s">
        <v>69</v>
      </c>
      <c r="C620">
        <v>7</v>
      </c>
      <c r="D620" t="s">
        <v>106</v>
      </c>
      <c r="E620" t="s">
        <v>107</v>
      </c>
      <c r="F620" t="s">
        <v>80</v>
      </c>
      <c r="G620">
        <v>26.9641147774046</v>
      </c>
      <c r="H620">
        <v>2E+20</v>
      </c>
      <c r="I620">
        <v>9.7081463626401501</v>
      </c>
      <c r="J620">
        <v>46.424691353587903</v>
      </c>
      <c r="K620">
        <v>16</v>
      </c>
      <c r="L620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17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24.241469292582472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20.4127209261279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30.794162534515099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1.4828571817912699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58.985521363316899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0" s="5">
        <f>IF((DiscreteStatsTable[[#This Row],[RepsRequested]]&gt;1),DiscreteStatsTable[[#This Row],[HalfWidth]],DiscreteStatsTable[[#This Row],[BatchMeansHalfWidth]])</f>
        <v>1.4672122014825797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17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67</v>
      </c>
      <c r="B621" t="s">
        <v>69</v>
      </c>
      <c r="C621">
        <v>8</v>
      </c>
      <c r="D621" t="s">
        <v>106</v>
      </c>
      <c r="E621" t="s">
        <v>107</v>
      </c>
      <c r="F621" t="s">
        <v>80</v>
      </c>
      <c r="G621">
        <v>30.794162534515099</v>
      </c>
      <c r="H621">
        <v>2E+20</v>
      </c>
      <c r="I621">
        <v>9.2544216899444507</v>
      </c>
      <c r="J621">
        <v>57.966088079601803</v>
      </c>
      <c r="K621">
        <v>18</v>
      </c>
      <c r="L621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17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24.241469292582472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20.4127209261279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30.794162534515099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1.4828571817912699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58.985521363316899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1" s="5">
        <f>IF((DiscreteStatsTable[[#This Row],[RepsRequested]]&gt;1),DiscreteStatsTable[[#This Row],[HalfWidth]],DiscreteStatsTable[[#This Row],[BatchMeansHalfWidth]])</f>
        <v>1.4672122014825797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17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67</v>
      </c>
      <c r="B622" t="s">
        <v>69</v>
      </c>
      <c r="C622">
        <v>9</v>
      </c>
      <c r="D622" t="s">
        <v>106</v>
      </c>
      <c r="E622" t="s">
        <v>107</v>
      </c>
      <c r="F622" t="s">
        <v>80</v>
      </c>
      <c r="G622">
        <v>21.283907434484799</v>
      </c>
      <c r="H622">
        <v>2E+20</v>
      </c>
      <c r="I622">
        <v>4.9551816681147303</v>
      </c>
      <c r="J622">
        <v>38.009040799142603</v>
      </c>
      <c r="K622">
        <v>15</v>
      </c>
      <c r="L622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17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24.241469292582472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20.4127209261279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30.794162534515099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1.4828571817912699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58.985521363316899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2" s="5">
        <f>IF((DiscreteStatsTable[[#This Row],[RepsRequested]]&gt;1),DiscreteStatsTable[[#This Row],[HalfWidth]],DiscreteStatsTable[[#This Row],[BatchMeansHalfWidth]])</f>
        <v>1.4672122014825797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17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67</v>
      </c>
      <c r="B623" t="s">
        <v>69</v>
      </c>
      <c r="C623">
        <v>10</v>
      </c>
      <c r="D623" t="s">
        <v>106</v>
      </c>
      <c r="E623" t="s">
        <v>107</v>
      </c>
      <c r="F623" t="s">
        <v>80</v>
      </c>
      <c r="G623">
        <v>28.151008054653101</v>
      </c>
      <c r="H623">
        <v>2E+20</v>
      </c>
      <c r="I623">
        <v>9.8976346038438301</v>
      </c>
      <c r="J623">
        <v>45.957207216092598</v>
      </c>
      <c r="K623">
        <v>20</v>
      </c>
      <c r="L623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17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24.241469292582472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20.4127209261279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30.794162534515099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1.4828571817912699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58.985521363316899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3" s="5">
        <f>IF((DiscreteStatsTable[[#This Row],[RepsRequested]]&gt;1),DiscreteStatsTable[[#This Row],[HalfWidth]],DiscreteStatsTable[[#This Row],[BatchMeansHalfWidth]])</f>
        <v>1.4672122014825797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17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67</v>
      </c>
      <c r="B624" t="s">
        <v>69</v>
      </c>
      <c r="C624">
        <v>11</v>
      </c>
      <c r="D624" t="s">
        <v>106</v>
      </c>
      <c r="E624" t="s">
        <v>107</v>
      </c>
      <c r="F624" t="s">
        <v>80</v>
      </c>
      <c r="G624">
        <v>22.106485402592199</v>
      </c>
      <c r="H624">
        <v>2E+20</v>
      </c>
      <c r="I624">
        <v>1.4828571817912699</v>
      </c>
      <c r="J624">
        <v>41.076282925138798</v>
      </c>
      <c r="K624">
        <v>16</v>
      </c>
      <c r="L624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17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24.241469292582472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20.4127209261279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30.794162534515099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1.4828571817912699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58.985521363316899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4" s="5">
        <f>IF((DiscreteStatsTable[[#This Row],[RepsRequested]]&gt;1),DiscreteStatsTable[[#This Row],[HalfWidth]],DiscreteStatsTable[[#This Row],[BatchMeansHalfWidth]])</f>
        <v>1.4672122014825797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17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67</v>
      </c>
      <c r="B625" t="s">
        <v>69</v>
      </c>
      <c r="C625">
        <v>12</v>
      </c>
      <c r="D625" t="s">
        <v>106</v>
      </c>
      <c r="E625" t="s">
        <v>107</v>
      </c>
      <c r="F625" t="s">
        <v>80</v>
      </c>
      <c r="G625">
        <v>22.243884186044799</v>
      </c>
      <c r="H625">
        <v>2E+20</v>
      </c>
      <c r="I625">
        <v>1.89145001299062</v>
      </c>
      <c r="J625">
        <v>39.510021573855703</v>
      </c>
      <c r="K625">
        <v>15</v>
      </c>
      <c r="L625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17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24.241469292582472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20.4127209261279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30.794162534515099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1.4828571817912699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58.985521363316899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5" s="5">
        <f>IF((DiscreteStatsTable[[#This Row],[RepsRequested]]&gt;1),DiscreteStatsTable[[#This Row],[HalfWidth]],DiscreteStatsTable[[#This Row],[BatchMeansHalfWidth]])</f>
        <v>1.4672122014825797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17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67</v>
      </c>
      <c r="B626" t="s">
        <v>69</v>
      </c>
      <c r="C626">
        <v>13</v>
      </c>
      <c r="D626" t="s">
        <v>106</v>
      </c>
      <c r="E626" t="s">
        <v>107</v>
      </c>
      <c r="F626" t="s">
        <v>80</v>
      </c>
      <c r="G626">
        <v>22.796830767057799</v>
      </c>
      <c r="H626">
        <v>2E+20</v>
      </c>
      <c r="I626">
        <v>5.8121754986673402</v>
      </c>
      <c r="J626">
        <v>35.833985573996003</v>
      </c>
      <c r="K626">
        <v>17</v>
      </c>
      <c r="L626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17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24.241469292582472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20.4127209261279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30.794162534515099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1.4828571817912699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58.985521363316899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6" s="5">
        <f>IF((DiscreteStatsTable[[#This Row],[RepsRequested]]&gt;1),DiscreteStatsTable[[#This Row],[HalfWidth]],DiscreteStatsTable[[#This Row],[BatchMeansHalfWidth]])</f>
        <v>1.4672122014825797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17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67</v>
      </c>
      <c r="B627" t="s">
        <v>69</v>
      </c>
      <c r="C627">
        <v>14</v>
      </c>
      <c r="D627" t="s">
        <v>106</v>
      </c>
      <c r="E627" t="s">
        <v>107</v>
      </c>
      <c r="F627" t="s">
        <v>80</v>
      </c>
      <c r="G627">
        <v>22.932097932425901</v>
      </c>
      <c r="H627">
        <v>2E+20</v>
      </c>
      <c r="I627">
        <v>6.0394868095291896</v>
      </c>
      <c r="J627">
        <v>42.648421141095703</v>
      </c>
      <c r="K627">
        <v>13</v>
      </c>
      <c r="L627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17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24.241469292582472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20.4127209261279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30.794162534515099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1.4828571817912699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58.985521363316899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7" s="5">
        <f>IF((DiscreteStatsTable[[#This Row],[RepsRequested]]&gt;1),DiscreteStatsTable[[#This Row],[HalfWidth]],DiscreteStatsTable[[#This Row],[BatchMeansHalfWidth]])</f>
        <v>1.4672122014825797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17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67</v>
      </c>
      <c r="B628" t="s">
        <v>69</v>
      </c>
      <c r="C628">
        <v>15</v>
      </c>
      <c r="D628" t="s">
        <v>106</v>
      </c>
      <c r="E628" t="s">
        <v>107</v>
      </c>
      <c r="F628" t="s">
        <v>80</v>
      </c>
      <c r="G628">
        <v>28.660972996300199</v>
      </c>
      <c r="H628">
        <v>2E+20</v>
      </c>
      <c r="I628">
        <v>15.3625064828483</v>
      </c>
      <c r="J628">
        <v>58.985521363316899</v>
      </c>
      <c r="K628">
        <v>16</v>
      </c>
      <c r="L628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17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24.241469292582472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20.4127209261279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30.794162534515099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1.4828571817912699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58.985521363316899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8" s="5">
        <f>IF((DiscreteStatsTable[[#This Row],[RepsRequested]]&gt;1),DiscreteStatsTable[[#This Row],[HalfWidth]],DiscreteStatsTable[[#This Row],[BatchMeansHalfWidth]])</f>
        <v>1.4672122014825797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17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67</v>
      </c>
      <c r="B629" t="s">
        <v>69</v>
      </c>
      <c r="C629">
        <v>16</v>
      </c>
      <c r="D629" t="s">
        <v>106</v>
      </c>
      <c r="E629" t="s">
        <v>107</v>
      </c>
      <c r="F629" t="s">
        <v>80</v>
      </c>
      <c r="G629">
        <v>20.4127209261279</v>
      </c>
      <c r="H629">
        <v>2E+20</v>
      </c>
      <c r="I629">
        <v>10.4691312124431</v>
      </c>
      <c r="J629">
        <v>38.099836253345998</v>
      </c>
      <c r="K629">
        <v>18</v>
      </c>
      <c r="L629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17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24.241469292582472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2.8536514740210155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20.4127209261279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30.794162534515099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1.4828571817912699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58.985521363316899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29" s="5">
        <f>IF((DiscreteStatsTable[[#This Row],[RepsRequested]]&gt;1),DiscreteStatsTable[[#This Row],[HalfWidth]],DiscreteStatsTable[[#This Row],[BatchMeansHalfWidth]])</f>
        <v>1.4672122014825797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17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67</v>
      </c>
      <c r="B630" t="s">
        <v>69</v>
      </c>
      <c r="C630">
        <v>17</v>
      </c>
      <c r="D630" t="s">
        <v>106</v>
      </c>
      <c r="E630" t="s">
        <v>107</v>
      </c>
      <c r="F630" t="s">
        <v>80</v>
      </c>
      <c r="G630">
        <v>22.246455679836</v>
      </c>
      <c r="H630">
        <v>2E+20</v>
      </c>
      <c r="I630">
        <v>8.3701432026834901</v>
      </c>
      <c r="J630">
        <v>51.572027284814098</v>
      </c>
      <c r="K630">
        <v>18</v>
      </c>
      <c r="L630" s="5" t="str">
        <f>DiscreteStatsTable[[#This Row],[ProjectName]]&amp;DiscreteStatsTable[[#This Row],[Name]]&amp;DiscreteStatsTable[[#This Row],[Type]]&amp;DiscreteStatsTable[[#This Row],[Source]]</f>
        <v>Weekend (base)TiempoEnSistemaMesaIntervalUser Specified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17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24.241469292582472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2.8536514740210155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1.4672122014825797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20.4127209261279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30.794162534515099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1.4828571817912699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58.985521363316899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16.764705882352942</v>
      </c>
      <c r="W630" s="5">
        <f>IF((DiscreteStatsTable[[#This Row],[RepsRequested]]&gt;1),DiscreteStatsTable[[#This Row],[HalfWidth]],DiscreteStatsTable[[#This Row],[BatchMeansHalfWidth]])</f>
        <v>1.4672122014825797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17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67</v>
      </c>
      <c r="B631" t="s">
        <v>69</v>
      </c>
      <c r="C631">
        <v>1</v>
      </c>
      <c r="D631" t="s">
        <v>108</v>
      </c>
      <c r="E631" t="s">
        <v>107</v>
      </c>
      <c r="F631" t="s">
        <v>80</v>
      </c>
      <c r="G631">
        <v>5.6529500483776598</v>
      </c>
      <c r="H631">
        <v>2E+20</v>
      </c>
      <c r="I631">
        <v>0.77583451299318495</v>
      </c>
      <c r="J631">
        <v>25.382770849462698</v>
      </c>
      <c r="K631">
        <v>107</v>
      </c>
      <c r="L631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17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5.7761033051297623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3.4887446735180001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9.0012419964087407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0.41570428400530102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25.382770849462698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102</v>
      </c>
      <c r="W631" s="5">
        <f>IF((DiscreteStatsTable[[#This Row],[RepsRequested]]&gt;1),DiscreteStatsTable[[#This Row],[HalfWidth]],DiscreteStatsTable[[#This Row],[BatchMeansHalfWidth]])</f>
        <v>0.80342640448186076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17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67</v>
      </c>
      <c r="B632" t="s">
        <v>69</v>
      </c>
      <c r="C632">
        <v>2</v>
      </c>
      <c r="D632" t="s">
        <v>108</v>
      </c>
      <c r="E632" t="s">
        <v>107</v>
      </c>
      <c r="F632" t="s">
        <v>80</v>
      </c>
      <c r="G632">
        <v>6.1336529804132001</v>
      </c>
      <c r="H632">
        <v>2E+20</v>
      </c>
      <c r="I632">
        <v>0.62339488587194603</v>
      </c>
      <c r="J632">
        <v>16.734530035523999</v>
      </c>
      <c r="K632">
        <v>102</v>
      </c>
      <c r="L632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17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5.7761033051297623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3.4887446735180001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9.0012419964087407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0.41570428400530102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25.382770849462698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102</v>
      </c>
      <c r="W632" s="5">
        <f>IF((DiscreteStatsTable[[#This Row],[RepsRequested]]&gt;1),DiscreteStatsTable[[#This Row],[HalfWidth]],DiscreteStatsTable[[#This Row],[BatchMeansHalfWidth]])</f>
        <v>0.80342640448186076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17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67</v>
      </c>
      <c r="B633" t="s">
        <v>69</v>
      </c>
      <c r="C633">
        <v>3</v>
      </c>
      <c r="D633" t="s">
        <v>108</v>
      </c>
      <c r="E633" t="s">
        <v>107</v>
      </c>
      <c r="F633" t="s">
        <v>80</v>
      </c>
      <c r="G633">
        <v>8.26271752077459</v>
      </c>
      <c r="H633">
        <v>2E+20</v>
      </c>
      <c r="I633">
        <v>0.51017461107767303</v>
      </c>
      <c r="J633">
        <v>18.462782442901801</v>
      </c>
      <c r="K633">
        <v>108</v>
      </c>
      <c r="L633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17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5.7761033051297623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3.4887446735180001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9.0012419964087407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0.41570428400530102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25.382770849462698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102</v>
      </c>
      <c r="W633" s="5">
        <f>IF((DiscreteStatsTable[[#This Row],[RepsRequested]]&gt;1),DiscreteStatsTable[[#This Row],[HalfWidth]],DiscreteStatsTable[[#This Row],[BatchMeansHalfWidth]])</f>
        <v>0.80342640448186076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17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67</v>
      </c>
      <c r="B634" t="s">
        <v>69</v>
      </c>
      <c r="C634">
        <v>4</v>
      </c>
      <c r="D634" t="s">
        <v>108</v>
      </c>
      <c r="E634" t="s">
        <v>107</v>
      </c>
      <c r="F634" t="s">
        <v>80</v>
      </c>
      <c r="G634">
        <v>5.5260744400715298</v>
      </c>
      <c r="H634">
        <v>2E+20</v>
      </c>
      <c r="I634">
        <v>0.60716047394780104</v>
      </c>
      <c r="J634">
        <v>12.7051443816689</v>
      </c>
      <c r="K634">
        <v>114</v>
      </c>
      <c r="L634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17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5.7761033051297623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3.4887446735180001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9.0012419964087407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0.41570428400530102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25.382770849462698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102</v>
      </c>
      <c r="W634" s="5">
        <f>IF((DiscreteStatsTable[[#This Row],[RepsRequested]]&gt;1),DiscreteStatsTable[[#This Row],[HalfWidth]],DiscreteStatsTable[[#This Row],[BatchMeansHalfWidth]])</f>
        <v>0.80342640448186076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17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67</v>
      </c>
      <c r="B635" t="s">
        <v>69</v>
      </c>
      <c r="C635">
        <v>5</v>
      </c>
      <c r="D635" t="s">
        <v>108</v>
      </c>
      <c r="E635" t="s">
        <v>107</v>
      </c>
      <c r="F635" t="s">
        <v>80</v>
      </c>
      <c r="G635">
        <v>5.2705775170787801</v>
      </c>
      <c r="H635">
        <v>2E+20</v>
      </c>
      <c r="I635">
        <v>0.41570428400530102</v>
      </c>
      <c r="J635">
        <v>14.755753260412799</v>
      </c>
      <c r="K635">
        <v>110</v>
      </c>
      <c r="L635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17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5.7761033051297623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3.4887446735180001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9.0012419964087407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0.41570428400530102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25.382770849462698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102</v>
      </c>
      <c r="W635" s="5">
        <f>IF((DiscreteStatsTable[[#This Row],[RepsRequested]]&gt;1),DiscreteStatsTable[[#This Row],[HalfWidth]],DiscreteStatsTable[[#This Row],[BatchMeansHalfWidth]])</f>
        <v>0.80342640448186076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17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67</v>
      </c>
      <c r="B636" t="s">
        <v>69</v>
      </c>
      <c r="C636">
        <v>6</v>
      </c>
      <c r="D636" t="s">
        <v>108</v>
      </c>
      <c r="E636" t="s">
        <v>107</v>
      </c>
      <c r="F636" t="s">
        <v>80</v>
      </c>
      <c r="G636">
        <v>3.4887446735180001</v>
      </c>
      <c r="H636">
        <v>2E+20</v>
      </c>
      <c r="I636">
        <v>0.61996963103203495</v>
      </c>
      <c r="J636">
        <v>15.581697491499501</v>
      </c>
      <c r="K636">
        <v>104</v>
      </c>
      <c r="L636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17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5.7761033051297623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3.4887446735180001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9.0012419964087407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0.41570428400530102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25.382770849462698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102</v>
      </c>
      <c r="W636" s="5">
        <f>IF((DiscreteStatsTable[[#This Row],[RepsRequested]]&gt;1),DiscreteStatsTable[[#This Row],[HalfWidth]],DiscreteStatsTable[[#This Row],[BatchMeansHalfWidth]])</f>
        <v>0.80342640448186076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17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67</v>
      </c>
      <c r="B637" t="s">
        <v>69</v>
      </c>
      <c r="C637">
        <v>7</v>
      </c>
      <c r="D637" t="s">
        <v>108</v>
      </c>
      <c r="E637" t="s">
        <v>107</v>
      </c>
      <c r="F637" t="s">
        <v>80</v>
      </c>
      <c r="G637">
        <v>4.5991304469049004</v>
      </c>
      <c r="H637">
        <v>2E+20</v>
      </c>
      <c r="I637">
        <v>0.48541948783446298</v>
      </c>
      <c r="J637">
        <v>13.8024308594422</v>
      </c>
      <c r="K637">
        <v>91</v>
      </c>
      <c r="L637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17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5.7761033051297623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3.4887446735180001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9.0012419964087407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0.41570428400530102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25.382770849462698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102</v>
      </c>
      <c r="W637" s="5">
        <f>IF((DiscreteStatsTable[[#This Row],[RepsRequested]]&gt;1),DiscreteStatsTable[[#This Row],[HalfWidth]],DiscreteStatsTable[[#This Row],[BatchMeansHalfWidth]])</f>
        <v>0.80342640448186076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17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67</v>
      </c>
      <c r="B638" t="s">
        <v>69</v>
      </c>
      <c r="C638">
        <v>8</v>
      </c>
      <c r="D638" t="s">
        <v>108</v>
      </c>
      <c r="E638" t="s">
        <v>107</v>
      </c>
      <c r="F638" t="s">
        <v>80</v>
      </c>
      <c r="G638">
        <v>9.0012419964087407</v>
      </c>
      <c r="H638">
        <v>2E+20</v>
      </c>
      <c r="I638">
        <v>0.81098822481243404</v>
      </c>
      <c r="J638">
        <v>22.9456279665315</v>
      </c>
      <c r="K638">
        <v>101</v>
      </c>
      <c r="L638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17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5.7761033051297623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3.4887446735180001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9.0012419964087407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0.41570428400530102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25.382770849462698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102</v>
      </c>
      <c r="W638" s="5">
        <f>IF((DiscreteStatsTable[[#This Row],[RepsRequested]]&gt;1),DiscreteStatsTable[[#This Row],[HalfWidth]],DiscreteStatsTable[[#This Row],[BatchMeansHalfWidth]])</f>
        <v>0.80342640448186076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17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67</v>
      </c>
      <c r="B639" t="s">
        <v>69</v>
      </c>
      <c r="C639">
        <v>9</v>
      </c>
      <c r="D639" t="s">
        <v>108</v>
      </c>
      <c r="E639" t="s">
        <v>107</v>
      </c>
      <c r="F639" t="s">
        <v>80</v>
      </c>
      <c r="G639">
        <v>5.7015260310977203</v>
      </c>
      <c r="H639">
        <v>2E+20</v>
      </c>
      <c r="I639">
        <v>0.47101491173600601</v>
      </c>
      <c r="J639">
        <v>16.278536201465499</v>
      </c>
      <c r="K639">
        <v>105</v>
      </c>
      <c r="L639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17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5.7761033051297623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1.5626225988990237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3.4887446735180001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9.0012419964087407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0.41570428400530102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25.382770849462698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102</v>
      </c>
      <c r="W639" s="5">
        <f>IF((DiscreteStatsTable[[#This Row],[RepsRequested]]&gt;1),DiscreteStatsTable[[#This Row],[HalfWidth]],DiscreteStatsTable[[#This Row],[BatchMeansHalfWidth]])</f>
        <v>0.80342640448186076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17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67</v>
      </c>
      <c r="B640" t="s">
        <v>69</v>
      </c>
      <c r="C640">
        <v>10</v>
      </c>
      <c r="D640" t="s">
        <v>108</v>
      </c>
      <c r="E640" t="s">
        <v>107</v>
      </c>
      <c r="F640" t="s">
        <v>80</v>
      </c>
      <c r="G640">
        <v>6.3468566619118096</v>
      </c>
      <c r="H640">
        <v>2E+20</v>
      </c>
      <c r="I640">
        <v>0.65072740572017596</v>
      </c>
      <c r="J640">
        <v>14.5429428603983</v>
      </c>
      <c r="K640">
        <v>104</v>
      </c>
      <c r="L640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17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5.7761033051297623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1.5626225988990237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3.4887446735180001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9.0012419964087407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0.41570428400530102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25.382770849462698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102</v>
      </c>
      <c r="W640" s="5">
        <f>IF((DiscreteStatsTable[[#This Row],[RepsRequested]]&gt;1),DiscreteStatsTable[[#This Row],[HalfWidth]],DiscreteStatsTable[[#This Row],[BatchMeansHalfWidth]])</f>
        <v>0.80342640448186076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17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67</v>
      </c>
      <c r="B641" t="s">
        <v>69</v>
      </c>
      <c r="C641">
        <v>11</v>
      </c>
      <c r="D641" t="s">
        <v>108</v>
      </c>
      <c r="E641" t="s">
        <v>107</v>
      </c>
      <c r="F641" t="s">
        <v>80</v>
      </c>
      <c r="G641">
        <v>4.5962379185176596</v>
      </c>
      <c r="H641">
        <v>2E+20</v>
      </c>
      <c r="I641">
        <v>0.58285678706268096</v>
      </c>
      <c r="J641">
        <v>11.0786928739853</v>
      </c>
      <c r="K641">
        <v>99</v>
      </c>
      <c r="L641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17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5.7761033051297623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1.5626225988990237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3.4887446735180001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9.0012419964087407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0.41570428400530102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25.382770849462698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102</v>
      </c>
      <c r="W641" s="5">
        <f>IF((DiscreteStatsTable[[#This Row],[RepsRequested]]&gt;1),DiscreteStatsTable[[#This Row],[HalfWidth]],DiscreteStatsTable[[#This Row],[BatchMeansHalfWidth]])</f>
        <v>0.80342640448186076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17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67</v>
      </c>
      <c r="B642" t="s">
        <v>69</v>
      </c>
      <c r="C642">
        <v>12</v>
      </c>
      <c r="D642" t="s">
        <v>108</v>
      </c>
      <c r="E642" t="s">
        <v>107</v>
      </c>
      <c r="F642" t="s">
        <v>80</v>
      </c>
      <c r="G642">
        <v>7.1148813971631704</v>
      </c>
      <c r="H642">
        <v>2E+20</v>
      </c>
      <c r="I642">
        <v>0.68720563038672799</v>
      </c>
      <c r="J642">
        <v>21.2117727055752</v>
      </c>
      <c r="K642">
        <v>107</v>
      </c>
      <c r="L642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17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5.7761033051297623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1.5626225988990237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3.4887446735180001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9.0012419964087407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0.41570428400530102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25.382770849462698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102</v>
      </c>
      <c r="W642" s="5">
        <f>IF((DiscreteStatsTable[[#This Row],[RepsRequested]]&gt;1),DiscreteStatsTable[[#This Row],[HalfWidth]],DiscreteStatsTable[[#This Row],[BatchMeansHalfWidth]])</f>
        <v>0.80342640448186076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17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67</v>
      </c>
      <c r="B643" t="s">
        <v>69</v>
      </c>
      <c r="C643">
        <v>13</v>
      </c>
      <c r="D643" t="s">
        <v>108</v>
      </c>
      <c r="E643" t="s">
        <v>107</v>
      </c>
      <c r="F643" t="s">
        <v>80</v>
      </c>
      <c r="G643">
        <v>4.2824496861848997</v>
      </c>
      <c r="H643">
        <v>2E+20</v>
      </c>
      <c r="I643">
        <v>0.663742718075639</v>
      </c>
      <c r="J643">
        <v>11.6717603113043</v>
      </c>
      <c r="K643">
        <v>94</v>
      </c>
      <c r="L643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17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5.7761033051297623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1.5626225988990237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3.4887446735180001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9.0012419964087407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0.41570428400530102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25.382770849462698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102</v>
      </c>
      <c r="W643" s="5">
        <f>IF((DiscreteStatsTable[[#This Row],[RepsRequested]]&gt;1),DiscreteStatsTable[[#This Row],[HalfWidth]],DiscreteStatsTable[[#This Row],[BatchMeansHalfWidth]])</f>
        <v>0.80342640448186076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17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67</v>
      </c>
      <c r="B644" t="s">
        <v>69</v>
      </c>
      <c r="C644">
        <v>14</v>
      </c>
      <c r="D644" t="s">
        <v>108</v>
      </c>
      <c r="E644" t="s">
        <v>107</v>
      </c>
      <c r="F644" t="s">
        <v>80</v>
      </c>
      <c r="G644">
        <v>5.4373063723097896</v>
      </c>
      <c r="H644">
        <v>2E+20</v>
      </c>
      <c r="I644">
        <v>0.67180961156986996</v>
      </c>
      <c r="J644">
        <v>14.134901963976599</v>
      </c>
      <c r="K644">
        <v>95</v>
      </c>
      <c r="L644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17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5.7761033051297623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1.5626225988990237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3.4887446735180001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9.0012419964087407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0.41570428400530102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25.382770849462698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102</v>
      </c>
      <c r="W644" s="5">
        <f>IF((DiscreteStatsTable[[#This Row],[RepsRequested]]&gt;1),DiscreteStatsTable[[#This Row],[HalfWidth]],DiscreteStatsTable[[#This Row],[BatchMeansHalfWidth]])</f>
        <v>0.80342640448186076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17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67</v>
      </c>
      <c r="B645" t="s">
        <v>69</v>
      </c>
      <c r="C645">
        <v>15</v>
      </c>
      <c r="D645" t="s">
        <v>108</v>
      </c>
      <c r="E645" t="s">
        <v>107</v>
      </c>
      <c r="F645" t="s">
        <v>80</v>
      </c>
      <c r="G645">
        <v>4.6975968798024503</v>
      </c>
      <c r="H645">
        <v>2E+20</v>
      </c>
      <c r="I645">
        <v>0.62377547708905501</v>
      </c>
      <c r="J645">
        <v>18.840349330144299</v>
      </c>
      <c r="K645">
        <v>102</v>
      </c>
      <c r="L645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17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5.7761033051297623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1.5626225988990237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3.4887446735180001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9.0012419964087407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0.41570428400530102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25.382770849462698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102</v>
      </c>
      <c r="W645" s="5">
        <f>IF((DiscreteStatsTable[[#This Row],[RepsRequested]]&gt;1),DiscreteStatsTable[[#This Row],[HalfWidth]],DiscreteStatsTable[[#This Row],[BatchMeansHalfWidth]])</f>
        <v>0.80342640448186076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17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67</v>
      </c>
      <c r="B646" t="s">
        <v>69</v>
      </c>
      <c r="C646">
        <v>16</v>
      </c>
      <c r="D646" t="s">
        <v>108</v>
      </c>
      <c r="E646" t="s">
        <v>107</v>
      </c>
      <c r="F646" t="s">
        <v>80</v>
      </c>
      <c r="G646">
        <v>4.0110566919675099</v>
      </c>
      <c r="H646">
        <v>2E+20</v>
      </c>
      <c r="I646">
        <v>0.54993314047078501</v>
      </c>
      <c r="J646">
        <v>11.4421049243178</v>
      </c>
      <c r="K646">
        <v>92</v>
      </c>
      <c r="L646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17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5.7761033051297623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1.5626225988990237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3.4887446735180001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9.0012419964087407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0.41570428400530102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25.382770849462698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102</v>
      </c>
      <c r="W646" s="5">
        <f>IF((DiscreteStatsTable[[#This Row],[RepsRequested]]&gt;1),DiscreteStatsTable[[#This Row],[HalfWidth]],DiscreteStatsTable[[#This Row],[BatchMeansHalfWidth]])</f>
        <v>0.80342640448186076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17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67</v>
      </c>
      <c r="B647" t="s">
        <v>69</v>
      </c>
      <c r="C647">
        <v>17</v>
      </c>
      <c r="D647" t="s">
        <v>108</v>
      </c>
      <c r="E647" t="s">
        <v>107</v>
      </c>
      <c r="F647" t="s">
        <v>80</v>
      </c>
      <c r="G647">
        <v>8.0707549247035502</v>
      </c>
      <c r="H647">
        <v>2E+20</v>
      </c>
      <c r="I647">
        <v>0.95593906500113202</v>
      </c>
      <c r="J647">
        <v>23.168166097434302</v>
      </c>
      <c r="K647">
        <v>99</v>
      </c>
      <c r="L647" s="5" t="str">
        <f>DiscreteStatsTable[[#This Row],[ProjectName]]&amp;DiscreteStatsTable[[#This Row],[Name]]&amp;DiscreteStatsTable[[#This Row],[Type]]&amp;DiscreteStatsTable[[#This Row],[Source]]</f>
        <v>Weekend (base)TiempoEnSistemaNoMesaIntervalUser Specified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17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5.7761033051297623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1.5626225988990237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0.80342640448186076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3.4887446735180001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9.0012419964087407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0.41570428400530102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25.382770849462698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102</v>
      </c>
      <c r="W647" s="5">
        <f>IF((DiscreteStatsTable[[#This Row],[RepsRequested]]&gt;1),DiscreteStatsTable[[#This Row],[HalfWidth]],DiscreteStatsTable[[#This Row],[BatchMeansHalfWidth]])</f>
        <v>0.80342640448186076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17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67</v>
      </c>
      <c r="B648" t="s">
        <v>69</v>
      </c>
      <c r="C648">
        <v>1</v>
      </c>
      <c r="D648" t="s">
        <v>109</v>
      </c>
      <c r="E648" t="s">
        <v>107</v>
      </c>
      <c r="F648" t="s">
        <v>80</v>
      </c>
      <c r="G648">
        <v>5.3226692443939996</v>
      </c>
      <c r="H648">
        <v>2E+20</v>
      </c>
      <c r="I648">
        <v>0.77583451299318495</v>
      </c>
      <c r="J648">
        <v>25.382770849462698</v>
      </c>
      <c r="K648">
        <v>72</v>
      </c>
      <c r="L648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17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5.1729399806801215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1.5492311018878344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3.0847238028681798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8.6324770448662207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0.41570428400530102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25.382770849462698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48" s="5">
        <f>IF((DiscreteStatsTable[[#This Row],[RepsRequested]]&gt;1),DiscreteStatsTable[[#This Row],[HalfWidth]],DiscreteStatsTable[[#This Row],[BatchMeansHalfWidth]])</f>
        <v>0.79654113205465416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17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67</v>
      </c>
      <c r="B649" t="s">
        <v>69</v>
      </c>
      <c r="C649">
        <v>2</v>
      </c>
      <c r="D649" t="s">
        <v>109</v>
      </c>
      <c r="E649" t="s">
        <v>107</v>
      </c>
      <c r="F649" t="s">
        <v>80</v>
      </c>
      <c r="G649">
        <v>5.0482123665221703</v>
      </c>
      <c r="H649">
        <v>2E+20</v>
      </c>
      <c r="I649">
        <v>0.62339488587194603</v>
      </c>
      <c r="J649">
        <v>11.675342503088601</v>
      </c>
      <c r="K649">
        <v>64</v>
      </c>
      <c r="L649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17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5.1729399806801215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1.5492311018878344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3.0847238028681798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8.6324770448662207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0.41570428400530102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25.382770849462698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49" s="5">
        <f>IF((DiscreteStatsTable[[#This Row],[RepsRequested]]&gt;1),DiscreteStatsTable[[#This Row],[HalfWidth]],DiscreteStatsTable[[#This Row],[BatchMeansHalfWidth]])</f>
        <v>0.79654113205465416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17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67</v>
      </c>
      <c r="B650" t="s">
        <v>69</v>
      </c>
      <c r="C650">
        <v>3</v>
      </c>
      <c r="D650" t="s">
        <v>109</v>
      </c>
      <c r="E650" t="s">
        <v>107</v>
      </c>
      <c r="F650" t="s">
        <v>80</v>
      </c>
      <c r="G650">
        <v>7.5166486275509099</v>
      </c>
      <c r="H650">
        <v>2E+20</v>
      </c>
      <c r="I650">
        <v>0.51017461107767303</v>
      </c>
      <c r="J650">
        <v>17.410251384879299</v>
      </c>
      <c r="K650">
        <v>71</v>
      </c>
      <c r="L650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17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5.1729399806801215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3.0847238028681798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8.6324770448662207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0.41570428400530102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25.382770849462698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0" s="5">
        <f>IF((DiscreteStatsTable[[#This Row],[RepsRequested]]&gt;1),DiscreteStatsTable[[#This Row],[HalfWidth]],DiscreteStatsTable[[#This Row],[BatchMeansHalfWidth]])</f>
        <v>0.79654113205465416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17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67</v>
      </c>
      <c r="B651" t="s">
        <v>69</v>
      </c>
      <c r="C651">
        <v>4</v>
      </c>
      <c r="D651" t="s">
        <v>109</v>
      </c>
      <c r="E651" t="s">
        <v>107</v>
      </c>
      <c r="F651" t="s">
        <v>80</v>
      </c>
      <c r="G651">
        <v>4.7865177314442198</v>
      </c>
      <c r="H651">
        <v>2E+20</v>
      </c>
      <c r="I651">
        <v>0.60716047394780104</v>
      </c>
      <c r="J651">
        <v>10.831702938496299</v>
      </c>
      <c r="K651">
        <v>70</v>
      </c>
      <c r="L651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17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5.1729399806801215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3.0847238028681798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8.6324770448662207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0.41570428400530102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25.382770849462698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1" s="5">
        <f>IF((DiscreteStatsTable[[#This Row],[RepsRequested]]&gt;1),DiscreteStatsTable[[#This Row],[HalfWidth]],DiscreteStatsTable[[#This Row],[BatchMeansHalfWidth]])</f>
        <v>0.79654113205465416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17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67</v>
      </c>
      <c r="B652" t="s">
        <v>69</v>
      </c>
      <c r="C652">
        <v>5</v>
      </c>
      <c r="D652" t="s">
        <v>109</v>
      </c>
      <c r="E652" t="s">
        <v>107</v>
      </c>
      <c r="F652" t="s">
        <v>80</v>
      </c>
      <c r="G652">
        <v>4.81487807932964</v>
      </c>
      <c r="H652">
        <v>2E+20</v>
      </c>
      <c r="I652">
        <v>0.41570428400530102</v>
      </c>
      <c r="J652">
        <v>12.400703303022</v>
      </c>
      <c r="K652">
        <v>66</v>
      </c>
      <c r="L652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17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5.1729399806801215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3.0847238028681798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8.6324770448662207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0.41570428400530102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25.382770849462698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2" s="5">
        <f>IF((DiscreteStatsTable[[#This Row],[RepsRequested]]&gt;1),DiscreteStatsTable[[#This Row],[HalfWidth]],DiscreteStatsTable[[#This Row],[BatchMeansHalfWidth]])</f>
        <v>0.79654113205465416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17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67</v>
      </c>
      <c r="B653" t="s">
        <v>69</v>
      </c>
      <c r="C653">
        <v>6</v>
      </c>
      <c r="D653" t="s">
        <v>109</v>
      </c>
      <c r="E653" t="s">
        <v>107</v>
      </c>
      <c r="F653" t="s">
        <v>80</v>
      </c>
      <c r="G653">
        <v>3.0847238028681798</v>
      </c>
      <c r="H653">
        <v>2E+20</v>
      </c>
      <c r="I653">
        <v>0.61996963103203495</v>
      </c>
      <c r="J653">
        <v>9.5240095595267196</v>
      </c>
      <c r="K653">
        <v>74</v>
      </c>
      <c r="L653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17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5.1729399806801215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3.0847238028681798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8.6324770448662207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0.41570428400530102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25.382770849462698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3" s="5">
        <f>IF((DiscreteStatsTable[[#This Row],[RepsRequested]]&gt;1),DiscreteStatsTable[[#This Row],[HalfWidth]],DiscreteStatsTable[[#This Row],[BatchMeansHalfWidth]])</f>
        <v>0.79654113205465416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17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67</v>
      </c>
      <c r="B654" t="s">
        <v>69</v>
      </c>
      <c r="C654">
        <v>7</v>
      </c>
      <c r="D654" t="s">
        <v>109</v>
      </c>
      <c r="E654" t="s">
        <v>107</v>
      </c>
      <c r="F654" t="s">
        <v>80</v>
      </c>
      <c r="G654">
        <v>4.1464375509722098</v>
      </c>
      <c r="H654">
        <v>2E+20</v>
      </c>
      <c r="I654">
        <v>0.48541948783446298</v>
      </c>
      <c r="J654">
        <v>13.0623805119828</v>
      </c>
      <c r="K654">
        <v>57</v>
      </c>
      <c r="L654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17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5.1729399806801215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3.0847238028681798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8.6324770448662207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0.41570428400530102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25.382770849462698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4" s="5">
        <f>IF((DiscreteStatsTable[[#This Row],[RepsRequested]]&gt;1),DiscreteStatsTable[[#This Row],[HalfWidth]],DiscreteStatsTable[[#This Row],[BatchMeansHalfWidth]])</f>
        <v>0.79654113205465416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17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67</v>
      </c>
      <c r="B655" t="s">
        <v>69</v>
      </c>
      <c r="C655">
        <v>8</v>
      </c>
      <c r="D655" t="s">
        <v>109</v>
      </c>
      <c r="E655" t="s">
        <v>107</v>
      </c>
      <c r="F655" t="s">
        <v>80</v>
      </c>
      <c r="G655">
        <v>8.6324770448662207</v>
      </c>
      <c r="H655">
        <v>2E+20</v>
      </c>
      <c r="I655">
        <v>0.81098822481243404</v>
      </c>
      <c r="J655">
        <v>22.9456279665315</v>
      </c>
      <c r="K655">
        <v>56</v>
      </c>
      <c r="L655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17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5.1729399806801215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3.0847238028681798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8.6324770448662207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0.41570428400530102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25.382770849462698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5" s="5">
        <f>IF((DiscreteStatsTable[[#This Row],[RepsRequested]]&gt;1),DiscreteStatsTable[[#This Row],[HalfWidth]],DiscreteStatsTable[[#This Row],[BatchMeansHalfWidth]])</f>
        <v>0.79654113205465416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17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67</v>
      </c>
      <c r="B656" t="s">
        <v>69</v>
      </c>
      <c r="C656">
        <v>9</v>
      </c>
      <c r="D656" t="s">
        <v>109</v>
      </c>
      <c r="E656" t="s">
        <v>107</v>
      </c>
      <c r="F656" t="s">
        <v>80</v>
      </c>
      <c r="G656">
        <v>4.88331635305574</v>
      </c>
      <c r="H656">
        <v>2E+20</v>
      </c>
      <c r="I656">
        <v>0.47101491173600601</v>
      </c>
      <c r="J656">
        <v>14.1773947821227</v>
      </c>
      <c r="K656">
        <v>69</v>
      </c>
      <c r="L656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17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5.1729399806801215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3.0847238028681798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8.6324770448662207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0.41570428400530102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25.382770849462698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6" s="5">
        <f>IF((DiscreteStatsTable[[#This Row],[RepsRequested]]&gt;1),DiscreteStatsTable[[#This Row],[HalfWidth]],DiscreteStatsTable[[#This Row],[BatchMeansHalfWidth]])</f>
        <v>0.79654113205465416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17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67</v>
      </c>
      <c r="B657" t="s">
        <v>69</v>
      </c>
      <c r="C657">
        <v>10</v>
      </c>
      <c r="D657" t="s">
        <v>109</v>
      </c>
      <c r="E657" t="s">
        <v>107</v>
      </c>
      <c r="F657" t="s">
        <v>80</v>
      </c>
      <c r="G657">
        <v>5.8900224697412602</v>
      </c>
      <c r="H657">
        <v>2E+20</v>
      </c>
      <c r="I657">
        <v>0.65072740572017596</v>
      </c>
      <c r="J657">
        <v>13.785480671028401</v>
      </c>
      <c r="K657">
        <v>60</v>
      </c>
      <c r="L657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17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5.1729399806801215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3.0847238028681798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8.6324770448662207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0.41570428400530102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25.382770849462698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7" s="5">
        <f>IF((DiscreteStatsTable[[#This Row],[RepsRequested]]&gt;1),DiscreteStatsTable[[#This Row],[HalfWidth]],DiscreteStatsTable[[#This Row],[BatchMeansHalfWidth]])</f>
        <v>0.79654113205465416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17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67</v>
      </c>
      <c r="B658" t="s">
        <v>69</v>
      </c>
      <c r="C658">
        <v>11</v>
      </c>
      <c r="D658" t="s">
        <v>109</v>
      </c>
      <c r="E658" t="s">
        <v>107</v>
      </c>
      <c r="F658" t="s">
        <v>80</v>
      </c>
      <c r="G658">
        <v>3.7196428469755398</v>
      </c>
      <c r="H658">
        <v>2E+20</v>
      </c>
      <c r="I658">
        <v>0.58285678706268096</v>
      </c>
      <c r="J658">
        <v>8.5913884246508605</v>
      </c>
      <c r="K658">
        <v>63</v>
      </c>
      <c r="L658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17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5.1729399806801215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3.0847238028681798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8.6324770448662207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0.41570428400530102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25.382770849462698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8" s="5">
        <f>IF((DiscreteStatsTable[[#This Row],[RepsRequested]]&gt;1),DiscreteStatsTable[[#This Row],[HalfWidth]],DiscreteStatsTable[[#This Row],[BatchMeansHalfWidth]])</f>
        <v>0.79654113205465416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17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67</v>
      </c>
      <c r="B659" t="s">
        <v>69</v>
      </c>
      <c r="C659">
        <v>12</v>
      </c>
      <c r="D659" t="s">
        <v>109</v>
      </c>
      <c r="E659" t="s">
        <v>107</v>
      </c>
      <c r="F659" t="s">
        <v>80</v>
      </c>
      <c r="G659">
        <v>6.7949345996181796</v>
      </c>
      <c r="H659">
        <v>2E+20</v>
      </c>
      <c r="I659">
        <v>0.68720563038672799</v>
      </c>
      <c r="J659">
        <v>18.829898641878302</v>
      </c>
      <c r="K659">
        <v>69</v>
      </c>
      <c r="L659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17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5.1729399806801215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1.5492311018878344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3.0847238028681798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8.6324770448662207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0.41570428400530102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25.382770849462698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59" s="5">
        <f>IF((DiscreteStatsTable[[#This Row],[RepsRequested]]&gt;1),DiscreteStatsTable[[#This Row],[HalfWidth]],DiscreteStatsTable[[#This Row],[BatchMeansHalfWidth]])</f>
        <v>0.79654113205465416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17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67</v>
      </c>
      <c r="B660" t="s">
        <v>69</v>
      </c>
      <c r="C660">
        <v>13</v>
      </c>
      <c r="D660" t="s">
        <v>109</v>
      </c>
      <c r="E660" t="s">
        <v>107</v>
      </c>
      <c r="F660" t="s">
        <v>80</v>
      </c>
      <c r="G660">
        <v>3.6402844513864601</v>
      </c>
      <c r="H660">
        <v>2E+20</v>
      </c>
      <c r="I660">
        <v>0.663742718075639</v>
      </c>
      <c r="J660">
        <v>10.092880613537</v>
      </c>
      <c r="K660">
        <v>52</v>
      </c>
      <c r="L660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17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5.1729399806801215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1.5492311018878344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3.0847238028681798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8.6324770448662207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0.41570428400530102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25.382770849462698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60" s="5">
        <f>IF((DiscreteStatsTable[[#This Row],[RepsRequested]]&gt;1),DiscreteStatsTable[[#This Row],[HalfWidth]],DiscreteStatsTable[[#This Row],[BatchMeansHalfWidth]])</f>
        <v>0.79654113205465416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17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67</v>
      </c>
      <c r="B661" t="s">
        <v>69</v>
      </c>
      <c r="C661">
        <v>14</v>
      </c>
      <c r="D661" t="s">
        <v>109</v>
      </c>
      <c r="E661" t="s">
        <v>107</v>
      </c>
      <c r="F661" t="s">
        <v>80</v>
      </c>
      <c r="G661">
        <v>4.7529472529766901</v>
      </c>
      <c r="H661">
        <v>2E+20</v>
      </c>
      <c r="I661">
        <v>0.67180961156986996</v>
      </c>
      <c r="J661">
        <v>11.187601694472001</v>
      </c>
      <c r="K661">
        <v>55</v>
      </c>
      <c r="L661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17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5.1729399806801215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1.5492311018878344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3.0847238028681798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8.6324770448662207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0.41570428400530102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25.382770849462698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61" s="5">
        <f>IF((DiscreteStatsTable[[#This Row],[RepsRequested]]&gt;1),DiscreteStatsTable[[#This Row],[HalfWidth]],DiscreteStatsTable[[#This Row],[BatchMeansHalfWidth]])</f>
        <v>0.79654113205465416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17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67</v>
      </c>
      <c r="B662" t="s">
        <v>69</v>
      </c>
      <c r="C662">
        <v>15</v>
      </c>
      <c r="D662" t="s">
        <v>109</v>
      </c>
      <c r="E662" t="s">
        <v>107</v>
      </c>
      <c r="F662" t="s">
        <v>80</v>
      </c>
      <c r="G662">
        <v>3.8744920447776798</v>
      </c>
      <c r="H662">
        <v>2E+20</v>
      </c>
      <c r="I662">
        <v>0.62377547708905501</v>
      </c>
      <c r="J662">
        <v>13.9605774307985</v>
      </c>
      <c r="K662">
        <v>62</v>
      </c>
      <c r="L662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17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5.1729399806801215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1.5492311018878344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3.0847238028681798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8.6324770448662207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0.41570428400530102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25.382770849462698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62" s="5">
        <f>IF((DiscreteStatsTable[[#This Row],[RepsRequested]]&gt;1),DiscreteStatsTable[[#This Row],[HalfWidth]],DiscreteStatsTable[[#This Row],[BatchMeansHalfWidth]])</f>
        <v>0.79654113205465416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17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67</v>
      </c>
      <c r="B663" t="s">
        <v>69</v>
      </c>
      <c r="C663">
        <v>16</v>
      </c>
      <c r="D663" t="s">
        <v>109</v>
      </c>
      <c r="E663" t="s">
        <v>107</v>
      </c>
      <c r="F663" t="s">
        <v>80</v>
      </c>
      <c r="G663">
        <v>3.86922483389881</v>
      </c>
      <c r="H663">
        <v>2E+20</v>
      </c>
      <c r="I663">
        <v>0.54993314047078501</v>
      </c>
      <c r="J663">
        <v>11.4421049243178</v>
      </c>
      <c r="K663">
        <v>54</v>
      </c>
      <c r="L663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17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5.1729399806801215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1.5492311018878344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3.0847238028681798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8.6324770448662207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0.41570428400530102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25.382770849462698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63" s="5">
        <f>IF((DiscreteStatsTable[[#This Row],[RepsRequested]]&gt;1),DiscreteStatsTable[[#This Row],[HalfWidth]],DiscreteStatsTable[[#This Row],[BatchMeansHalfWidth]])</f>
        <v>0.79654113205465416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17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67</v>
      </c>
      <c r="B664" t="s">
        <v>69</v>
      </c>
      <c r="C664">
        <v>17</v>
      </c>
      <c r="D664" t="s">
        <v>109</v>
      </c>
      <c r="E664" t="s">
        <v>107</v>
      </c>
      <c r="F664" t="s">
        <v>80</v>
      </c>
      <c r="G664">
        <v>7.1625503711841496</v>
      </c>
      <c r="H664">
        <v>2E+20</v>
      </c>
      <c r="I664">
        <v>0.95593906500113202</v>
      </c>
      <c r="J664">
        <v>22.371333144300198</v>
      </c>
      <c r="K664">
        <v>59</v>
      </c>
      <c r="L664" s="5" t="str">
        <f>DiscreteStatsTable[[#This Row],[ProjectName]]&amp;DiscreteStatsTable[[#This Row],[Name]]&amp;DiscreteStatsTable[[#This Row],[Type]]&amp;DiscreteStatsTable[[#This Row],[Source]]</f>
        <v>Weekend (base)TiempoEnSistemaNoMesaCantProd1IntervalUser Specified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17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5.1729399806801215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1.5492311018878344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0.79654113205465416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3.0847238028681798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8.6324770448662207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0.41570428400530102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25.382770849462698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63.117647058823529</v>
      </c>
      <c r="W664" s="5">
        <f>IF((DiscreteStatsTable[[#This Row],[RepsRequested]]&gt;1),DiscreteStatsTable[[#This Row],[HalfWidth]],DiscreteStatsTable[[#This Row],[BatchMeansHalfWidth]])</f>
        <v>0.79654113205465416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17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67</v>
      </c>
      <c r="B665" t="s">
        <v>69</v>
      </c>
      <c r="C665">
        <v>1</v>
      </c>
      <c r="D665" t="s">
        <v>110</v>
      </c>
      <c r="E665" t="s">
        <v>107</v>
      </c>
      <c r="F665" t="s">
        <v>80</v>
      </c>
      <c r="G665">
        <v>6.4110130882203196</v>
      </c>
      <c r="H665">
        <v>2E+20</v>
      </c>
      <c r="I665">
        <v>1.6500068951251601</v>
      </c>
      <c r="J665">
        <v>14.3471264453194</v>
      </c>
      <c r="K665">
        <v>22</v>
      </c>
      <c r="L665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17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6.1949912689249045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1.6389866541119029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3.3181766515664401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8.9372165029935093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0.83887633278111196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23.168166097434302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65" s="5">
        <f>IF((DiscreteStatsTable[[#This Row],[RepsRequested]]&gt;1),DiscreteStatsTable[[#This Row],[HalfWidth]],DiscreteStatsTable[[#This Row],[BatchMeansHalfWidth]])</f>
        <v>0.84268917871446514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17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67</v>
      </c>
      <c r="B666" t="s">
        <v>69</v>
      </c>
      <c r="C666">
        <v>2</v>
      </c>
      <c r="D666" t="s">
        <v>110</v>
      </c>
      <c r="E666" t="s">
        <v>107</v>
      </c>
      <c r="F666" t="s">
        <v>80</v>
      </c>
      <c r="G666">
        <v>7.1251933830734302</v>
      </c>
      <c r="H666">
        <v>2E+20</v>
      </c>
      <c r="I666">
        <v>1.4111713259712499</v>
      </c>
      <c r="J666">
        <v>13.782223115346</v>
      </c>
      <c r="K666">
        <v>21</v>
      </c>
      <c r="L666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17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6.1949912689249045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1.6389866541119029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3.3181766515664401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8.9372165029935093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0.83887633278111196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23.168166097434302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66" s="5">
        <f>IF((DiscreteStatsTable[[#This Row],[RepsRequested]]&gt;1),DiscreteStatsTable[[#This Row],[HalfWidth]],DiscreteStatsTable[[#This Row],[BatchMeansHalfWidth]])</f>
        <v>0.84268917871446514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17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67</v>
      </c>
      <c r="B667" t="s">
        <v>69</v>
      </c>
      <c r="C667">
        <v>3</v>
      </c>
      <c r="D667" t="s">
        <v>110</v>
      </c>
      <c r="E667" t="s">
        <v>107</v>
      </c>
      <c r="F667" t="s">
        <v>80</v>
      </c>
      <c r="G667">
        <v>8.9372165029935093</v>
      </c>
      <c r="H667">
        <v>2E+20</v>
      </c>
      <c r="I667">
        <v>2.5632495802155999</v>
      </c>
      <c r="J667">
        <v>18.462782442901801</v>
      </c>
      <c r="K667">
        <v>26</v>
      </c>
      <c r="L667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17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6.1949912689249045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1.6389866541119029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3.3181766515664401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8.9372165029935093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0.83887633278111196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23.168166097434302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67" s="5">
        <f>IF((DiscreteStatsTable[[#This Row],[RepsRequested]]&gt;1),DiscreteStatsTable[[#This Row],[HalfWidth]],DiscreteStatsTable[[#This Row],[BatchMeansHalfWidth]])</f>
        <v>0.84268917871446514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17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67</v>
      </c>
      <c r="B668" t="s">
        <v>69</v>
      </c>
      <c r="C668">
        <v>4</v>
      </c>
      <c r="D668" t="s">
        <v>110</v>
      </c>
      <c r="E668" t="s">
        <v>107</v>
      </c>
      <c r="F668" t="s">
        <v>80</v>
      </c>
      <c r="G668">
        <v>6.9086998590526498</v>
      </c>
      <c r="H668">
        <v>2E+20</v>
      </c>
      <c r="I668">
        <v>1.1056947229898</v>
      </c>
      <c r="J668">
        <v>12.7051443816689</v>
      </c>
      <c r="K668">
        <v>26</v>
      </c>
      <c r="L668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17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6.1949912689249045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1.6389866541119029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3.3181766515664401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8.9372165029935093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0.83887633278111196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23.168166097434302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68" s="5">
        <f>IF((DiscreteStatsTable[[#This Row],[RepsRequested]]&gt;1),DiscreteStatsTable[[#This Row],[HalfWidth]],DiscreteStatsTable[[#This Row],[BatchMeansHalfWidth]])</f>
        <v>0.84268917871446514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17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67</v>
      </c>
      <c r="B669" t="s">
        <v>69</v>
      </c>
      <c r="C669">
        <v>5</v>
      </c>
      <c r="D669" t="s">
        <v>110</v>
      </c>
      <c r="E669" t="s">
        <v>107</v>
      </c>
      <c r="F669" t="s">
        <v>80</v>
      </c>
      <c r="G669">
        <v>5.2190518165529598</v>
      </c>
      <c r="H669">
        <v>2E+20</v>
      </c>
      <c r="I669">
        <v>1.1960647364811501</v>
      </c>
      <c r="J669">
        <v>11.325097842376</v>
      </c>
      <c r="K669">
        <v>35</v>
      </c>
      <c r="L669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17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6.1949912689249045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1.6389866541119029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3.3181766515664401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8.9372165029935093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0.83887633278111196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23.168166097434302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69" s="5">
        <f>IF((DiscreteStatsTable[[#This Row],[RepsRequested]]&gt;1),DiscreteStatsTable[[#This Row],[HalfWidth]],DiscreteStatsTable[[#This Row],[BatchMeansHalfWidth]])</f>
        <v>0.84268917871446514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17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67</v>
      </c>
      <c r="B670" t="s">
        <v>69</v>
      </c>
      <c r="C670">
        <v>6</v>
      </c>
      <c r="D670" t="s">
        <v>110</v>
      </c>
      <c r="E670" t="s">
        <v>107</v>
      </c>
      <c r="F670" t="s">
        <v>80</v>
      </c>
      <c r="G670">
        <v>3.3181766515664401</v>
      </c>
      <c r="H670">
        <v>2E+20</v>
      </c>
      <c r="I670">
        <v>1.0232258867613699</v>
      </c>
      <c r="J670">
        <v>8.4784047234998408</v>
      </c>
      <c r="K670">
        <v>23</v>
      </c>
      <c r="L670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17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6.1949912689249045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3.3181766515664401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8.9372165029935093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0.83887633278111196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23.168166097434302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0" s="5">
        <f>IF((DiscreteStatsTable[[#This Row],[RepsRequested]]&gt;1),DiscreteStatsTable[[#This Row],[HalfWidth]],DiscreteStatsTable[[#This Row],[BatchMeansHalfWidth]])</f>
        <v>0.84268917871446514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17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67</v>
      </c>
      <c r="B671" t="s">
        <v>69</v>
      </c>
      <c r="C671">
        <v>7</v>
      </c>
      <c r="D671" t="s">
        <v>110</v>
      </c>
      <c r="E671" t="s">
        <v>107</v>
      </c>
      <c r="F671" t="s">
        <v>80</v>
      </c>
      <c r="G671">
        <v>4.7922697776278698</v>
      </c>
      <c r="H671">
        <v>2E+20</v>
      </c>
      <c r="I671">
        <v>1.4949064356805799</v>
      </c>
      <c r="J671">
        <v>12.021832260622199</v>
      </c>
      <c r="K671">
        <v>20</v>
      </c>
      <c r="L671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17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6.1949912689249045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3.3181766515664401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8.9372165029935093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0.83887633278111196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23.168166097434302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1" s="5">
        <f>IF((DiscreteStatsTable[[#This Row],[RepsRequested]]&gt;1),DiscreteStatsTable[[#This Row],[HalfWidth]],DiscreteStatsTable[[#This Row],[BatchMeansHalfWidth]])</f>
        <v>0.84268917871446514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17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67</v>
      </c>
      <c r="B672" t="s">
        <v>69</v>
      </c>
      <c r="C672">
        <v>8</v>
      </c>
      <c r="D672" t="s">
        <v>110</v>
      </c>
      <c r="E672" t="s">
        <v>107</v>
      </c>
      <c r="F672" t="s">
        <v>80</v>
      </c>
      <c r="G672">
        <v>8.56403267613765</v>
      </c>
      <c r="H672">
        <v>2E+20</v>
      </c>
      <c r="I672">
        <v>0.93098808188179305</v>
      </c>
      <c r="J672">
        <v>19.554538024347199</v>
      </c>
      <c r="K672">
        <v>29</v>
      </c>
      <c r="L672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17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6.1949912689249045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3.3181766515664401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8.9372165029935093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0.83887633278111196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23.168166097434302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2" s="5">
        <f>IF((DiscreteStatsTable[[#This Row],[RepsRequested]]&gt;1),DiscreteStatsTable[[#This Row],[HalfWidth]],DiscreteStatsTable[[#This Row],[BatchMeansHalfWidth]])</f>
        <v>0.84268917871446514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17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67</v>
      </c>
      <c r="B673" t="s">
        <v>69</v>
      </c>
      <c r="C673">
        <v>9</v>
      </c>
      <c r="D673" t="s">
        <v>110</v>
      </c>
      <c r="E673" t="s">
        <v>107</v>
      </c>
      <c r="F673" t="s">
        <v>80</v>
      </c>
      <c r="G673">
        <v>5.9246226937978204</v>
      </c>
      <c r="H673">
        <v>2E+20</v>
      </c>
      <c r="I673">
        <v>1.1283731898736</v>
      </c>
      <c r="J673">
        <v>14.1390621051808</v>
      </c>
      <c r="K673">
        <v>23</v>
      </c>
      <c r="L673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17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6.1949912689249045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3.3181766515664401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8.9372165029935093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0.83887633278111196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23.168166097434302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3" s="5">
        <f>IF((DiscreteStatsTable[[#This Row],[RepsRequested]]&gt;1),DiscreteStatsTable[[#This Row],[HalfWidth]],DiscreteStatsTable[[#This Row],[BatchMeansHalfWidth]])</f>
        <v>0.84268917871446514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17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67</v>
      </c>
      <c r="B674" t="s">
        <v>69</v>
      </c>
      <c r="C674">
        <v>10</v>
      </c>
      <c r="D674" t="s">
        <v>110</v>
      </c>
      <c r="E674" t="s">
        <v>107</v>
      </c>
      <c r="F674" t="s">
        <v>80</v>
      </c>
      <c r="G674">
        <v>6.3243222299299902</v>
      </c>
      <c r="H674">
        <v>2E+20</v>
      </c>
      <c r="I674">
        <v>0.83887633278111196</v>
      </c>
      <c r="J674">
        <v>13.344947578537701</v>
      </c>
      <c r="K674">
        <v>32</v>
      </c>
      <c r="L674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17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6.1949912689249045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3.3181766515664401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8.9372165029935093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0.83887633278111196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23.168166097434302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4" s="5">
        <f>IF((DiscreteStatsTable[[#This Row],[RepsRequested]]&gt;1),DiscreteStatsTable[[#This Row],[HalfWidth]],DiscreteStatsTable[[#This Row],[BatchMeansHalfWidth]])</f>
        <v>0.84268917871446514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17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67</v>
      </c>
      <c r="B675" t="s">
        <v>69</v>
      </c>
      <c r="C675">
        <v>11</v>
      </c>
      <c r="D675" t="s">
        <v>110</v>
      </c>
      <c r="E675" t="s">
        <v>107</v>
      </c>
      <c r="F675" t="s">
        <v>80</v>
      </c>
      <c r="G675">
        <v>5.9553657031557998</v>
      </c>
      <c r="H675">
        <v>2E+20</v>
      </c>
      <c r="I675">
        <v>1.2698149888032899</v>
      </c>
      <c r="J675">
        <v>10.651927654479</v>
      </c>
      <c r="K675">
        <v>24</v>
      </c>
      <c r="L675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17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6.1949912689249045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3.3181766515664401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8.9372165029935093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0.83887633278111196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23.168166097434302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5" s="5">
        <f>IF((DiscreteStatsTable[[#This Row],[RepsRequested]]&gt;1),DiscreteStatsTable[[#This Row],[HalfWidth]],DiscreteStatsTable[[#This Row],[BatchMeansHalfWidth]])</f>
        <v>0.84268917871446514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17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67</v>
      </c>
      <c r="B676" t="s">
        <v>69</v>
      </c>
      <c r="C676">
        <v>12</v>
      </c>
      <c r="D676" t="s">
        <v>110</v>
      </c>
      <c r="E676" t="s">
        <v>107</v>
      </c>
      <c r="F676" t="s">
        <v>80</v>
      </c>
      <c r="G676">
        <v>7.9451379707042999</v>
      </c>
      <c r="H676">
        <v>2E+20</v>
      </c>
      <c r="I676">
        <v>1.45170999084721</v>
      </c>
      <c r="J676">
        <v>21.2117727055752</v>
      </c>
      <c r="K676">
        <v>26</v>
      </c>
      <c r="L676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17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6.1949912689249045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3.3181766515664401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8.9372165029935093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0.83887633278111196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23.168166097434302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6" s="5">
        <f>IF((DiscreteStatsTable[[#This Row],[RepsRequested]]&gt;1),DiscreteStatsTable[[#This Row],[HalfWidth]],DiscreteStatsTable[[#This Row],[BatchMeansHalfWidth]])</f>
        <v>0.84268917871446514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17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67</v>
      </c>
      <c r="B677" t="s">
        <v>69</v>
      </c>
      <c r="C677">
        <v>13</v>
      </c>
      <c r="D677" t="s">
        <v>110</v>
      </c>
      <c r="E677" t="s">
        <v>107</v>
      </c>
      <c r="F677" t="s">
        <v>80</v>
      </c>
      <c r="G677">
        <v>4.6614907202545304</v>
      </c>
      <c r="H677">
        <v>2E+20</v>
      </c>
      <c r="I677">
        <v>1.0927043133389001</v>
      </c>
      <c r="J677">
        <v>8.9378158517299404</v>
      </c>
      <c r="K677">
        <v>32</v>
      </c>
      <c r="L677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17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6.1949912689249045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3.3181766515664401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8.9372165029935093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0.83887633278111196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23.168166097434302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7" s="5">
        <f>IF((DiscreteStatsTable[[#This Row],[RepsRequested]]&gt;1),DiscreteStatsTable[[#This Row],[HalfWidth]],DiscreteStatsTable[[#This Row],[BatchMeansHalfWidth]])</f>
        <v>0.84268917871446514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17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67</v>
      </c>
      <c r="B678" t="s">
        <v>69</v>
      </c>
      <c r="C678">
        <v>14</v>
      </c>
      <c r="D678" t="s">
        <v>110</v>
      </c>
      <c r="E678" t="s">
        <v>107</v>
      </c>
      <c r="F678" t="s">
        <v>80</v>
      </c>
      <c r="G678">
        <v>5.6431498419078503</v>
      </c>
      <c r="H678">
        <v>2E+20</v>
      </c>
      <c r="I678">
        <v>1.2528518362226699</v>
      </c>
      <c r="J678">
        <v>14.134901963976599</v>
      </c>
      <c r="K678">
        <v>27</v>
      </c>
      <c r="L678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17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6.1949912689249045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3.3181766515664401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8.9372165029935093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0.83887633278111196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23.168166097434302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8" s="5">
        <f>IF((DiscreteStatsTable[[#This Row],[RepsRequested]]&gt;1),DiscreteStatsTable[[#This Row],[HalfWidth]],DiscreteStatsTable[[#This Row],[BatchMeansHalfWidth]])</f>
        <v>0.84268917871446514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17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67</v>
      </c>
      <c r="B679" t="s">
        <v>69</v>
      </c>
      <c r="C679">
        <v>15</v>
      </c>
      <c r="D679" t="s">
        <v>110</v>
      </c>
      <c r="E679" t="s">
        <v>107</v>
      </c>
      <c r="F679" t="s">
        <v>80</v>
      </c>
      <c r="G679">
        <v>4.7551822600057498</v>
      </c>
      <c r="H679">
        <v>2E+20</v>
      </c>
      <c r="I679">
        <v>1.25027471604619</v>
      </c>
      <c r="J679">
        <v>10.4586288976841</v>
      </c>
      <c r="K679">
        <v>26</v>
      </c>
      <c r="L679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17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6.1949912689249045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1.6389866541119029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3.3181766515664401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8.9372165029935093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0.83887633278111196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23.168166097434302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79" s="5">
        <f>IF((DiscreteStatsTable[[#This Row],[RepsRequested]]&gt;1),DiscreteStatsTable[[#This Row],[HalfWidth]],DiscreteStatsTable[[#This Row],[BatchMeansHalfWidth]])</f>
        <v>0.84268917871446514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17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67</v>
      </c>
      <c r="B680" t="s">
        <v>69</v>
      </c>
      <c r="C680">
        <v>16</v>
      </c>
      <c r="D680" t="s">
        <v>110</v>
      </c>
      <c r="E680" t="s">
        <v>107</v>
      </c>
      <c r="F680" t="s">
        <v>80</v>
      </c>
      <c r="G680">
        <v>4.2708348445685402</v>
      </c>
      <c r="H680">
        <v>2E+20</v>
      </c>
      <c r="I680">
        <v>1.0296639129757099</v>
      </c>
      <c r="J680">
        <v>10.2821861601115</v>
      </c>
      <c r="K680">
        <v>28</v>
      </c>
      <c r="L680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17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6.1949912689249045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1.6389866541119029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3.3181766515664401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8.9372165029935093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0.83887633278111196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23.168166097434302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80" s="5">
        <f>IF((DiscreteStatsTable[[#This Row],[RepsRequested]]&gt;1),DiscreteStatsTable[[#This Row],[HalfWidth]],DiscreteStatsTable[[#This Row],[BatchMeansHalfWidth]])</f>
        <v>0.84268917871446514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17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67</v>
      </c>
      <c r="B681" t="s">
        <v>69</v>
      </c>
      <c r="C681">
        <v>17</v>
      </c>
      <c r="D681" t="s">
        <v>110</v>
      </c>
      <c r="E681" t="s">
        <v>107</v>
      </c>
      <c r="F681" t="s">
        <v>80</v>
      </c>
      <c r="G681">
        <v>8.5590915521739603</v>
      </c>
      <c r="H681">
        <v>2E+20</v>
      </c>
      <c r="I681">
        <v>1.0100543780848701</v>
      </c>
      <c r="J681">
        <v>23.168166097434302</v>
      </c>
      <c r="K681">
        <v>23</v>
      </c>
      <c r="L681" s="5" t="str">
        <f>DiscreteStatsTable[[#This Row],[ProjectName]]&amp;DiscreteStatsTable[[#This Row],[Name]]&amp;DiscreteStatsTable[[#This Row],[Type]]&amp;DiscreteStatsTable[[#This Row],[Source]]</f>
        <v>Weekend (base)TiempoEnSistemaNoMesaCantProd2IntervalUser Specified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17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6.1949912689249045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1.6389866541119029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0.84268917871446514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3.3181766515664401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8.9372165029935093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0.83887633278111196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23.168166097434302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26.058823529411764</v>
      </c>
      <c r="W681" s="5">
        <f>IF((DiscreteStatsTable[[#This Row],[RepsRequested]]&gt;1),DiscreteStatsTable[[#This Row],[HalfWidth]],DiscreteStatsTable[[#This Row],[BatchMeansHalfWidth]])</f>
        <v>0.84268917871446514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17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67</v>
      </c>
      <c r="B682" t="s">
        <v>69</v>
      </c>
      <c r="C682">
        <v>1</v>
      </c>
      <c r="D682" t="s">
        <v>111</v>
      </c>
      <c r="E682" t="s">
        <v>107</v>
      </c>
      <c r="F682" t="s">
        <v>80</v>
      </c>
      <c r="G682">
        <v>7.3222600963333599</v>
      </c>
      <c r="H682">
        <v>2E+20</v>
      </c>
      <c r="I682">
        <v>1.78480297687801</v>
      </c>
      <c r="J682">
        <v>14.599412513571099</v>
      </c>
      <c r="K682">
        <v>7</v>
      </c>
      <c r="L682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17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7.5336534227855738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2.3151615172060418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2.9825808036794701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11.706880649765999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1.36932320487489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22.5301784793722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82" s="5">
        <f>IF((DiscreteStatsTable[[#This Row],[RepsRequested]]&gt;1),DiscreteStatsTable[[#This Row],[HalfWidth]],DiscreteStatsTable[[#This Row],[BatchMeansHalfWidth]])</f>
        <v>1.1903462133941762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17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67</v>
      </c>
      <c r="B683" t="s">
        <v>69</v>
      </c>
      <c r="C683">
        <v>2</v>
      </c>
      <c r="D683" t="s">
        <v>111</v>
      </c>
      <c r="E683" t="s">
        <v>107</v>
      </c>
      <c r="F683" t="s">
        <v>80</v>
      </c>
      <c r="G683">
        <v>8.8778970897113698</v>
      </c>
      <c r="H683">
        <v>2E+20</v>
      </c>
      <c r="I683">
        <v>2.3719203211542199</v>
      </c>
      <c r="J683">
        <v>13.1683581656578</v>
      </c>
      <c r="K683">
        <v>10</v>
      </c>
      <c r="L683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17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7.5336534227855738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2.3151615172060418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2.9825808036794701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11.706880649765999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1.36932320487489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22.5301784793722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83" s="5">
        <f>IF((DiscreteStatsTable[[#This Row],[RepsRequested]]&gt;1),DiscreteStatsTable[[#This Row],[HalfWidth]],DiscreteStatsTable[[#This Row],[BatchMeansHalfWidth]])</f>
        <v>1.1903462133941762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17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67</v>
      </c>
      <c r="B684" t="s">
        <v>69</v>
      </c>
      <c r="C684">
        <v>3</v>
      </c>
      <c r="D684" t="s">
        <v>111</v>
      </c>
      <c r="E684" t="s">
        <v>107</v>
      </c>
      <c r="F684" t="s">
        <v>80</v>
      </c>
      <c r="G684">
        <v>11.706880649765999</v>
      </c>
      <c r="H684">
        <v>2E+20</v>
      </c>
      <c r="I684">
        <v>3.9858090843315499</v>
      </c>
      <c r="J684">
        <v>15.8421568346551</v>
      </c>
      <c r="K684">
        <v>7</v>
      </c>
      <c r="L684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17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7.5336534227855738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2.3151615172060418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2.9825808036794701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11.706880649765999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1.36932320487489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22.5301784793722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84" s="5">
        <f>IF((DiscreteStatsTable[[#This Row],[RepsRequested]]&gt;1),DiscreteStatsTable[[#This Row],[HalfWidth]],DiscreteStatsTable[[#This Row],[BatchMeansHalfWidth]])</f>
        <v>1.1903462133941762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17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67</v>
      </c>
      <c r="B685" t="s">
        <v>69</v>
      </c>
      <c r="C685">
        <v>4</v>
      </c>
      <c r="D685" t="s">
        <v>111</v>
      </c>
      <c r="E685" t="s">
        <v>107</v>
      </c>
      <c r="F685" t="s">
        <v>80</v>
      </c>
      <c r="G685">
        <v>5.7046196202112496</v>
      </c>
      <c r="H685">
        <v>2E+20</v>
      </c>
      <c r="I685">
        <v>1.73413656938217</v>
      </c>
      <c r="J685">
        <v>10.737514975185301</v>
      </c>
      <c r="K685">
        <v>10</v>
      </c>
      <c r="L685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17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7.5336534227855738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2.3151615172060418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2.9825808036794701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11.706880649765999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1.36932320487489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22.5301784793722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85" s="5">
        <f>IF((DiscreteStatsTable[[#This Row],[RepsRequested]]&gt;1),DiscreteStatsTable[[#This Row],[HalfWidth]],DiscreteStatsTable[[#This Row],[BatchMeansHalfWidth]])</f>
        <v>1.1903462133941762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17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67</v>
      </c>
      <c r="B686" t="s">
        <v>69</v>
      </c>
      <c r="C686">
        <v>5</v>
      </c>
      <c r="D686" t="s">
        <v>111</v>
      </c>
      <c r="E686" t="s">
        <v>107</v>
      </c>
      <c r="F686" t="s">
        <v>80</v>
      </c>
      <c r="G686">
        <v>6.2819928882066396</v>
      </c>
      <c r="H686">
        <v>2E+20</v>
      </c>
      <c r="I686">
        <v>3.56745467295478</v>
      </c>
      <c r="J686">
        <v>9.0329890608601104</v>
      </c>
      <c r="K686">
        <v>5</v>
      </c>
      <c r="L686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17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7.5336534227855738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2.3151615172060418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2.9825808036794701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11.706880649765999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1.36932320487489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22.5301784793722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86" s="5">
        <f>IF((DiscreteStatsTable[[#This Row],[RepsRequested]]&gt;1),DiscreteStatsTable[[#This Row],[HalfWidth]],DiscreteStatsTable[[#This Row],[BatchMeansHalfWidth]])</f>
        <v>1.1903462133941762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17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67</v>
      </c>
      <c r="B687" t="s">
        <v>69</v>
      </c>
      <c r="C687">
        <v>6</v>
      </c>
      <c r="D687" t="s">
        <v>111</v>
      </c>
      <c r="E687" t="s">
        <v>107</v>
      </c>
      <c r="F687" t="s">
        <v>80</v>
      </c>
      <c r="G687">
        <v>7.4818190050681901</v>
      </c>
      <c r="H687">
        <v>2E+20</v>
      </c>
      <c r="I687">
        <v>2.78627348488914</v>
      </c>
      <c r="J687">
        <v>15.581697491499501</v>
      </c>
      <c r="K687">
        <v>5</v>
      </c>
      <c r="L687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17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7.5336534227855738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2.3151615172060418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2.9825808036794701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11.706880649765999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1.36932320487489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22.5301784793722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87" s="5">
        <f>IF((DiscreteStatsTable[[#This Row],[RepsRequested]]&gt;1),DiscreteStatsTable[[#This Row],[HalfWidth]],DiscreteStatsTable[[#This Row],[BatchMeansHalfWidth]])</f>
        <v>1.1903462133941762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17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67</v>
      </c>
      <c r="B688" t="s">
        <v>69</v>
      </c>
      <c r="C688">
        <v>7</v>
      </c>
      <c r="D688" t="s">
        <v>111</v>
      </c>
      <c r="E688" t="s">
        <v>107</v>
      </c>
      <c r="F688" t="s">
        <v>80</v>
      </c>
      <c r="G688">
        <v>4.5045952050830902</v>
      </c>
      <c r="H688">
        <v>2E+20</v>
      </c>
      <c r="I688">
        <v>2.6655923967248598</v>
      </c>
      <c r="J688">
        <v>5.9229371529808104</v>
      </c>
      <c r="K688">
        <v>7</v>
      </c>
      <c r="L688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17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7.5336534227855738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2.3151615172060418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2.9825808036794701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11.706880649765999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1.36932320487489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22.5301784793722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88" s="5">
        <f>IF((DiscreteStatsTable[[#This Row],[RepsRequested]]&gt;1),DiscreteStatsTable[[#This Row],[HalfWidth]],DiscreteStatsTable[[#This Row],[BatchMeansHalfWidth]])</f>
        <v>1.1903462133941762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17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67</v>
      </c>
      <c r="B689" t="s">
        <v>69</v>
      </c>
      <c r="C689">
        <v>8</v>
      </c>
      <c r="D689" t="s">
        <v>111</v>
      </c>
      <c r="E689" t="s">
        <v>107</v>
      </c>
      <c r="F689" t="s">
        <v>80</v>
      </c>
      <c r="G689">
        <v>10.310270667316001</v>
      </c>
      <c r="H689">
        <v>2E+20</v>
      </c>
      <c r="I689">
        <v>2.1156655218354401</v>
      </c>
      <c r="J689">
        <v>22.5301784793722</v>
      </c>
      <c r="K689">
        <v>11</v>
      </c>
      <c r="L689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17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7.5336534227855738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2.3151615172060418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2.9825808036794701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11.706880649765999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1.36932320487489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22.5301784793722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89" s="5">
        <f>IF((DiscreteStatsTable[[#This Row],[RepsRequested]]&gt;1),DiscreteStatsTable[[#This Row],[HalfWidth]],DiscreteStatsTable[[#This Row],[BatchMeansHalfWidth]])</f>
        <v>1.1903462133941762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17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67</v>
      </c>
      <c r="B690" t="s">
        <v>69</v>
      </c>
      <c r="C690">
        <v>9</v>
      </c>
      <c r="D690" t="s">
        <v>111</v>
      </c>
      <c r="E690" t="s">
        <v>107</v>
      </c>
      <c r="F690" t="s">
        <v>80</v>
      </c>
      <c r="G690">
        <v>9.3595335620797098</v>
      </c>
      <c r="H690">
        <v>2E+20</v>
      </c>
      <c r="I690">
        <v>2.0003569879033298</v>
      </c>
      <c r="J690">
        <v>15.2217147623436</v>
      </c>
      <c r="K690">
        <v>10</v>
      </c>
      <c r="L690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17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7.5336534227855738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2.9825808036794701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11.706880649765999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1.36932320487489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22.5301784793722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0" s="5">
        <f>IF((DiscreteStatsTable[[#This Row],[RepsRequested]]&gt;1),DiscreteStatsTable[[#This Row],[HalfWidth]],DiscreteStatsTable[[#This Row],[BatchMeansHalfWidth]])</f>
        <v>1.1903462133941762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17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67</v>
      </c>
      <c r="B691" t="s">
        <v>69</v>
      </c>
      <c r="C691">
        <v>10</v>
      </c>
      <c r="D691" t="s">
        <v>111</v>
      </c>
      <c r="E691" t="s">
        <v>107</v>
      </c>
      <c r="F691" t="s">
        <v>80</v>
      </c>
      <c r="G691">
        <v>8.4785190637990695</v>
      </c>
      <c r="H691">
        <v>2E+20</v>
      </c>
      <c r="I691">
        <v>2.7895913622071999</v>
      </c>
      <c r="J691">
        <v>14.5429428603983</v>
      </c>
      <c r="K691">
        <v>9</v>
      </c>
      <c r="L691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17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7.5336534227855738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2.9825808036794701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11.706880649765999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1.36932320487489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22.5301784793722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1" s="5">
        <f>IF((DiscreteStatsTable[[#This Row],[RepsRequested]]&gt;1),DiscreteStatsTable[[#This Row],[HalfWidth]],DiscreteStatsTable[[#This Row],[BatchMeansHalfWidth]])</f>
        <v>1.1903462133941762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17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67</v>
      </c>
      <c r="B692" t="s">
        <v>69</v>
      </c>
      <c r="C692">
        <v>11</v>
      </c>
      <c r="D692" t="s">
        <v>111</v>
      </c>
      <c r="E692" t="s">
        <v>107</v>
      </c>
      <c r="F692" t="s">
        <v>80</v>
      </c>
      <c r="G692">
        <v>6.07333671553969</v>
      </c>
      <c r="H692">
        <v>2E+20</v>
      </c>
      <c r="I692">
        <v>1.7032034106631799</v>
      </c>
      <c r="J692">
        <v>11.0786928739853</v>
      </c>
      <c r="K692">
        <v>7</v>
      </c>
      <c r="L692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17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7.5336534227855738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2.9825808036794701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11.706880649765999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1.36932320487489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22.5301784793722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2" s="5">
        <f>IF((DiscreteStatsTable[[#This Row],[RepsRequested]]&gt;1),DiscreteStatsTable[[#This Row],[HalfWidth]],DiscreteStatsTable[[#This Row],[BatchMeansHalfWidth]])</f>
        <v>1.1903462133941762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17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67</v>
      </c>
      <c r="B693" t="s">
        <v>69</v>
      </c>
      <c r="C693">
        <v>12</v>
      </c>
      <c r="D693" t="s">
        <v>111</v>
      </c>
      <c r="E693" t="s">
        <v>107</v>
      </c>
      <c r="F693" t="s">
        <v>80</v>
      </c>
      <c r="G693">
        <v>7.4623178427394503</v>
      </c>
      <c r="H693">
        <v>2E+20</v>
      </c>
      <c r="I693">
        <v>2.89001662832408</v>
      </c>
      <c r="J693">
        <v>11.517484972707599</v>
      </c>
      <c r="K693">
        <v>7</v>
      </c>
      <c r="L693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17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7.5336534227855738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2.9825808036794701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11.706880649765999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1.36932320487489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22.5301784793722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3" s="5">
        <f>IF((DiscreteStatsTable[[#This Row],[RepsRequested]]&gt;1),DiscreteStatsTable[[#This Row],[HalfWidth]],DiscreteStatsTable[[#This Row],[BatchMeansHalfWidth]])</f>
        <v>1.1903462133941762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17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67</v>
      </c>
      <c r="B694" t="s">
        <v>69</v>
      </c>
      <c r="C694">
        <v>13</v>
      </c>
      <c r="D694" t="s">
        <v>111</v>
      </c>
      <c r="E694" t="s">
        <v>107</v>
      </c>
      <c r="F694" t="s">
        <v>80</v>
      </c>
      <c r="G694">
        <v>6.09987893284611</v>
      </c>
      <c r="H694">
        <v>2E+20</v>
      </c>
      <c r="I694">
        <v>2.8275337413348498</v>
      </c>
      <c r="J694">
        <v>11.6717603113043</v>
      </c>
      <c r="K694">
        <v>8</v>
      </c>
      <c r="L694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17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7.5336534227855738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2.9825808036794701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11.706880649765999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1.36932320487489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22.5301784793722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4" s="5">
        <f>IF((DiscreteStatsTable[[#This Row],[RepsRequested]]&gt;1),DiscreteStatsTable[[#This Row],[HalfWidth]],DiscreteStatsTable[[#This Row],[BatchMeansHalfWidth]])</f>
        <v>1.1903462133941762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17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67</v>
      </c>
      <c r="B695" t="s">
        <v>69</v>
      </c>
      <c r="C695">
        <v>14</v>
      </c>
      <c r="D695" t="s">
        <v>111</v>
      </c>
      <c r="E695" t="s">
        <v>107</v>
      </c>
      <c r="F695" t="s">
        <v>80</v>
      </c>
      <c r="G695">
        <v>6.9475960756504103</v>
      </c>
      <c r="H695">
        <v>2E+20</v>
      </c>
      <c r="I695">
        <v>1.36932320487489</v>
      </c>
      <c r="J695">
        <v>11.186299077141999</v>
      </c>
      <c r="K695">
        <v>6</v>
      </c>
      <c r="L695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17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7.5336534227855738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2.9825808036794701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11.706880649765999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1.36932320487489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22.5301784793722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5" s="5">
        <f>IF((DiscreteStatsTable[[#This Row],[RepsRequested]]&gt;1),DiscreteStatsTable[[#This Row],[HalfWidth]],DiscreteStatsTable[[#This Row],[BatchMeansHalfWidth]])</f>
        <v>1.1903462133941762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17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67</v>
      </c>
      <c r="B696" t="s">
        <v>69</v>
      </c>
      <c r="C696">
        <v>15</v>
      </c>
      <c r="D696" t="s">
        <v>111</v>
      </c>
      <c r="E696" t="s">
        <v>107</v>
      </c>
      <c r="F696" t="s">
        <v>80</v>
      </c>
      <c r="G696">
        <v>7.0710042939104403</v>
      </c>
      <c r="H696">
        <v>2E+20</v>
      </c>
      <c r="I696">
        <v>2.47237668669732</v>
      </c>
      <c r="J696">
        <v>13.267985401788801</v>
      </c>
      <c r="K696">
        <v>9</v>
      </c>
      <c r="L696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17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7.5336534227855738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2.9825808036794701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11.706880649765999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1.36932320487489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22.5301784793722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6" s="5">
        <f>IF((DiscreteStatsTable[[#This Row],[RepsRequested]]&gt;1),DiscreteStatsTable[[#This Row],[HalfWidth]],DiscreteStatsTable[[#This Row],[BatchMeansHalfWidth]])</f>
        <v>1.1903462133941762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17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67</v>
      </c>
      <c r="B697" t="s">
        <v>69</v>
      </c>
      <c r="C697">
        <v>16</v>
      </c>
      <c r="D697" t="s">
        <v>111</v>
      </c>
      <c r="E697" t="s">
        <v>107</v>
      </c>
      <c r="F697" t="s">
        <v>80</v>
      </c>
      <c r="G697">
        <v>2.9825808036794701</v>
      </c>
      <c r="H697">
        <v>2E+20</v>
      </c>
      <c r="I697">
        <v>2.37159177795861</v>
      </c>
      <c r="J697">
        <v>4.1587625112621804</v>
      </c>
      <c r="K697">
        <v>3</v>
      </c>
      <c r="L697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17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7.5336534227855738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2.9825808036794701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11.706880649765999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1.36932320487489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22.5301784793722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7" s="5">
        <f>IF((DiscreteStatsTable[[#This Row],[RepsRequested]]&gt;1),DiscreteStatsTable[[#This Row],[HalfWidth]],DiscreteStatsTable[[#This Row],[BatchMeansHalfWidth]])</f>
        <v>1.1903462133941762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17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67</v>
      </c>
      <c r="B698" t="s">
        <v>69</v>
      </c>
      <c r="C698">
        <v>17</v>
      </c>
      <c r="D698" t="s">
        <v>111</v>
      </c>
      <c r="E698" t="s">
        <v>107</v>
      </c>
      <c r="F698" t="s">
        <v>80</v>
      </c>
      <c r="G698">
        <v>11.407005675414499</v>
      </c>
      <c r="H698">
        <v>2E+20</v>
      </c>
      <c r="I698">
        <v>4.3207017580270399</v>
      </c>
      <c r="J698">
        <v>18.776321530423601</v>
      </c>
      <c r="K698">
        <v>7</v>
      </c>
      <c r="L698" s="5" t="str">
        <f>DiscreteStatsTable[[#This Row],[ProjectName]]&amp;DiscreteStatsTable[[#This Row],[Name]]&amp;DiscreteStatsTable[[#This Row],[Type]]&amp;DiscreteStatsTable[[#This Row],[Source]]</f>
        <v>Weekend (base)TiempoEnSistemaNoMesaCantProd3IntervalUser Specified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17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7.5336534227855738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2.3151615172060418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1.1903462133941762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2.9825808036794701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11.706880649765999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1.36932320487489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22.5301784793722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7.5294117647058822</v>
      </c>
      <c r="W698" s="5">
        <f>IF((DiscreteStatsTable[[#This Row],[RepsRequested]]&gt;1),DiscreteStatsTable[[#This Row],[HalfWidth]],DiscreteStatsTable[[#This Row],[BatchMeansHalfWidth]])</f>
        <v>1.1903462133941762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17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67</v>
      </c>
      <c r="B699" t="s">
        <v>69</v>
      </c>
      <c r="C699">
        <v>1</v>
      </c>
      <c r="D699" t="s">
        <v>112</v>
      </c>
      <c r="E699" t="s">
        <v>107</v>
      </c>
      <c r="F699" t="s">
        <v>80</v>
      </c>
      <c r="G699">
        <v>4.75123716713055</v>
      </c>
      <c r="H699">
        <v>2E+20</v>
      </c>
      <c r="I699">
        <v>1.71161498974072</v>
      </c>
      <c r="J699">
        <v>10.2530857334812</v>
      </c>
      <c r="K699">
        <v>5</v>
      </c>
      <c r="L699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17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8.3658295616101128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2.7990671517052195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4.5501121552987103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13.9857659300144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1.71161498974072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19.669924731540899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699" s="5">
        <f>IF((DiscreteStatsTable[[#This Row],[RepsRequested]]&gt;1),DiscreteStatsTable[[#This Row],[HalfWidth]],DiscreteStatsTable[[#This Row],[BatchMeansHalfWidth]])</f>
        <v>1.4391475326046577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17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67</v>
      </c>
      <c r="B700" t="s">
        <v>69</v>
      </c>
      <c r="C700">
        <v>2</v>
      </c>
      <c r="D700" t="s">
        <v>112</v>
      </c>
      <c r="E700" t="s">
        <v>107</v>
      </c>
      <c r="F700" t="s">
        <v>80</v>
      </c>
      <c r="G700">
        <v>7.9007417612579598</v>
      </c>
      <c r="H700">
        <v>2E+20</v>
      </c>
      <c r="I700">
        <v>5.5727836415606502</v>
      </c>
      <c r="J700">
        <v>10.733678223474699</v>
      </c>
      <c r="K700">
        <v>6</v>
      </c>
      <c r="L700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17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8.3658295616101128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4.5501121552987103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13.9857659300144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1.71161498974072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19.669924731540899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0" s="5">
        <f>IF((DiscreteStatsTable[[#This Row],[RepsRequested]]&gt;1),DiscreteStatsTable[[#This Row],[HalfWidth]],DiscreteStatsTable[[#This Row],[BatchMeansHalfWidth]])</f>
        <v>1.4391475326046577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17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67</v>
      </c>
      <c r="B701" t="s">
        <v>69</v>
      </c>
      <c r="C701">
        <v>3</v>
      </c>
      <c r="D701" t="s">
        <v>112</v>
      </c>
      <c r="E701" t="s">
        <v>107</v>
      </c>
      <c r="F701" t="s">
        <v>80</v>
      </c>
      <c r="G701">
        <v>13.9857659300144</v>
      </c>
      <c r="H701">
        <v>2E+20</v>
      </c>
      <c r="I701">
        <v>13.9857659300144</v>
      </c>
      <c r="J701">
        <v>13.9857659300144</v>
      </c>
      <c r="K701">
        <v>1</v>
      </c>
      <c r="L701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17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8.3658295616101128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4.5501121552987103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13.9857659300144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1.71161498974072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19.669924731540899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1" s="5">
        <f>IF((DiscreteStatsTable[[#This Row],[RepsRequested]]&gt;1),DiscreteStatsTable[[#This Row],[HalfWidth]],DiscreteStatsTable[[#This Row],[BatchMeansHalfWidth]])</f>
        <v>1.4391475326046577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17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67</v>
      </c>
      <c r="B702" t="s">
        <v>69</v>
      </c>
      <c r="C702">
        <v>4</v>
      </c>
      <c r="D702" t="s">
        <v>112</v>
      </c>
      <c r="E702" t="s">
        <v>107</v>
      </c>
      <c r="F702" t="s">
        <v>80</v>
      </c>
      <c r="G702">
        <v>6.9069052827232804</v>
      </c>
      <c r="H702">
        <v>2E+20</v>
      </c>
      <c r="I702">
        <v>4.8076452708229498</v>
      </c>
      <c r="J702">
        <v>9.4154104316601206</v>
      </c>
      <c r="K702">
        <v>7</v>
      </c>
      <c r="L702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17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8.3658295616101128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4.5501121552987103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13.9857659300144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1.71161498974072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19.669924731540899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2" s="5">
        <f>IF((DiscreteStatsTable[[#This Row],[RepsRequested]]&gt;1),DiscreteStatsTable[[#This Row],[HalfWidth]],DiscreteStatsTable[[#This Row],[BatchMeansHalfWidth]])</f>
        <v>1.4391475326046577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17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67</v>
      </c>
      <c r="B703" t="s">
        <v>69</v>
      </c>
      <c r="C703">
        <v>5</v>
      </c>
      <c r="D703" t="s">
        <v>112</v>
      </c>
      <c r="E703" t="s">
        <v>107</v>
      </c>
      <c r="F703" t="s">
        <v>80</v>
      </c>
      <c r="G703">
        <v>13.7501194375483</v>
      </c>
      <c r="H703">
        <v>2E+20</v>
      </c>
      <c r="I703">
        <v>12.7444856146838</v>
      </c>
      <c r="J703">
        <v>14.755753260412799</v>
      </c>
      <c r="K703">
        <v>2</v>
      </c>
      <c r="L703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17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8.3658295616101128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4.5501121552987103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13.9857659300144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1.71161498974072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19.669924731540899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3" s="5">
        <f>IF((DiscreteStatsTable[[#This Row],[RepsRequested]]&gt;1),DiscreteStatsTable[[#This Row],[HalfWidth]],DiscreteStatsTable[[#This Row],[BatchMeansHalfWidth]])</f>
        <v>1.4391475326046577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17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67</v>
      </c>
      <c r="B704" t="s">
        <v>69</v>
      </c>
      <c r="C704">
        <v>6</v>
      </c>
      <c r="D704" t="s">
        <v>112</v>
      </c>
      <c r="E704" t="s">
        <v>107</v>
      </c>
      <c r="F704" t="s">
        <v>80</v>
      </c>
      <c r="G704">
        <v>9.0214847305420598</v>
      </c>
      <c r="H704">
        <v>2E+20</v>
      </c>
      <c r="I704">
        <v>9.0214847305420598</v>
      </c>
      <c r="J704">
        <v>9.0214847305420598</v>
      </c>
      <c r="K704">
        <v>1</v>
      </c>
      <c r="L704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17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8.3658295616101128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4.5501121552987103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13.9857659300144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1.71161498974072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19.669924731540899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4" s="5">
        <f>IF((DiscreteStatsTable[[#This Row],[RepsRequested]]&gt;1),DiscreteStatsTable[[#This Row],[HalfWidth]],DiscreteStatsTable[[#This Row],[BatchMeansHalfWidth]])</f>
        <v>1.4391475326046577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17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67</v>
      </c>
      <c r="B705" t="s">
        <v>69</v>
      </c>
      <c r="C705">
        <v>7</v>
      </c>
      <c r="D705" t="s">
        <v>112</v>
      </c>
      <c r="E705" t="s">
        <v>107</v>
      </c>
      <c r="F705" t="s">
        <v>80</v>
      </c>
      <c r="G705">
        <v>6.0351043054591402</v>
      </c>
      <c r="H705">
        <v>2E+20</v>
      </c>
      <c r="I705">
        <v>2.9790395539868402</v>
      </c>
      <c r="J705">
        <v>9.7226277293896999</v>
      </c>
      <c r="K705">
        <v>4</v>
      </c>
      <c r="L705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17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8.3658295616101128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4.5501121552987103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13.9857659300144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1.71161498974072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19.669924731540899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5" s="5">
        <f>IF((DiscreteStatsTable[[#This Row],[RepsRequested]]&gt;1),DiscreteStatsTable[[#This Row],[HalfWidth]],DiscreteStatsTable[[#This Row],[BatchMeansHalfWidth]])</f>
        <v>1.4391475326046577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17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67</v>
      </c>
      <c r="B706" t="s">
        <v>69</v>
      </c>
      <c r="C706">
        <v>8</v>
      </c>
      <c r="D706" t="s">
        <v>112</v>
      </c>
      <c r="E706" t="s">
        <v>107</v>
      </c>
      <c r="F706" t="s">
        <v>80</v>
      </c>
      <c r="G706">
        <v>9.8813012051709794</v>
      </c>
      <c r="H706">
        <v>2E+20</v>
      </c>
      <c r="I706">
        <v>7.4167989261245602</v>
      </c>
      <c r="J706">
        <v>13.6508140802065</v>
      </c>
      <c r="K706">
        <v>3</v>
      </c>
      <c r="L706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17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8.3658295616101128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4.5501121552987103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13.9857659300144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1.71161498974072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19.669924731540899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6" s="5">
        <f>IF((DiscreteStatsTable[[#This Row],[RepsRequested]]&gt;1),DiscreteStatsTable[[#This Row],[HalfWidth]],DiscreteStatsTable[[#This Row],[BatchMeansHalfWidth]])</f>
        <v>1.4391475326046577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17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67</v>
      </c>
      <c r="B707" t="s">
        <v>69</v>
      </c>
      <c r="C707">
        <v>9</v>
      </c>
      <c r="D707" t="s">
        <v>112</v>
      </c>
      <c r="E707" t="s">
        <v>107</v>
      </c>
      <c r="F707" t="s">
        <v>80</v>
      </c>
      <c r="G707">
        <v>10.6165824420892</v>
      </c>
      <c r="H707">
        <v>2E+20</v>
      </c>
      <c r="I707">
        <v>2.9507245804783802</v>
      </c>
      <c r="J707">
        <v>16.278536201465499</v>
      </c>
      <c r="K707">
        <v>3</v>
      </c>
      <c r="L707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17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8.3658295616101128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4.5501121552987103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13.9857659300144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1.71161498974072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19.669924731540899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7" s="5">
        <f>IF((DiscreteStatsTable[[#This Row],[RepsRequested]]&gt;1),DiscreteStatsTable[[#This Row],[HalfWidth]],DiscreteStatsTable[[#This Row],[BatchMeansHalfWidth]])</f>
        <v>1.4391475326046577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17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67</v>
      </c>
      <c r="B708" t="s">
        <v>69</v>
      </c>
      <c r="C708">
        <v>10</v>
      </c>
      <c r="D708" t="s">
        <v>112</v>
      </c>
      <c r="E708" t="s">
        <v>107</v>
      </c>
      <c r="F708" t="s">
        <v>80</v>
      </c>
      <c r="G708">
        <v>9.3289205741336705</v>
      </c>
      <c r="H708">
        <v>2E+20</v>
      </c>
      <c r="I708">
        <v>4.9659464853404502</v>
      </c>
      <c r="J708">
        <v>13.5622712037891</v>
      </c>
      <c r="K708">
        <v>3</v>
      </c>
      <c r="L708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17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8.3658295616101128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4.5501121552987103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13.9857659300144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1.71161498974072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19.669924731540899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8" s="5">
        <f>IF((DiscreteStatsTable[[#This Row],[RepsRequested]]&gt;1),DiscreteStatsTable[[#This Row],[HalfWidth]],DiscreteStatsTable[[#This Row],[BatchMeansHalfWidth]])</f>
        <v>1.4391475326046577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17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67</v>
      </c>
      <c r="B709" t="s">
        <v>69</v>
      </c>
      <c r="C709">
        <v>11</v>
      </c>
      <c r="D709" t="s">
        <v>112</v>
      </c>
      <c r="E709" t="s">
        <v>107</v>
      </c>
      <c r="F709" t="s">
        <v>80</v>
      </c>
      <c r="G709">
        <v>6.0263681312676001</v>
      </c>
      <c r="H709">
        <v>2E+20</v>
      </c>
      <c r="I709">
        <v>3.6782553689440398</v>
      </c>
      <c r="J709">
        <v>8.6965134780865299</v>
      </c>
      <c r="K709">
        <v>3</v>
      </c>
      <c r="L709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17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8.3658295616101128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2.7990671517052195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4.5501121552987103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13.9857659300144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1.71161498974072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19.669924731540899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09" s="5">
        <f>IF((DiscreteStatsTable[[#This Row],[RepsRequested]]&gt;1),DiscreteStatsTable[[#This Row],[HalfWidth]],DiscreteStatsTable[[#This Row],[BatchMeansHalfWidth]])</f>
        <v>1.4391475326046577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17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67</v>
      </c>
      <c r="B710" t="s">
        <v>69</v>
      </c>
      <c r="C710">
        <v>12</v>
      </c>
      <c r="D710" t="s">
        <v>112</v>
      </c>
      <c r="E710" t="s">
        <v>107</v>
      </c>
      <c r="F710" t="s">
        <v>80</v>
      </c>
      <c r="G710">
        <v>7.0729340374662799</v>
      </c>
      <c r="H710">
        <v>2E+20</v>
      </c>
      <c r="I710">
        <v>4.5627994004083199</v>
      </c>
      <c r="J710">
        <v>10.920490480664</v>
      </c>
      <c r="K710">
        <v>4</v>
      </c>
      <c r="L710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17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8.3658295616101128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2.7990671517052195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4.5501121552987103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13.9857659300144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1.71161498974072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19.669924731540899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10" s="5">
        <f>IF((DiscreteStatsTable[[#This Row],[RepsRequested]]&gt;1),DiscreteStatsTable[[#This Row],[HalfWidth]],DiscreteStatsTable[[#This Row],[BatchMeansHalfWidth]])</f>
        <v>1.4391475326046577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17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67</v>
      </c>
      <c r="B711" t="s">
        <v>69</v>
      </c>
      <c r="C711">
        <v>13</v>
      </c>
      <c r="D711" t="s">
        <v>112</v>
      </c>
      <c r="E711" t="s">
        <v>107</v>
      </c>
      <c r="F711" t="s">
        <v>80</v>
      </c>
      <c r="G711">
        <v>7.6443722591852499</v>
      </c>
      <c r="H711">
        <v>2E+20</v>
      </c>
      <c r="I711">
        <v>5.7784107733841097</v>
      </c>
      <c r="J711">
        <v>9.5103337449864007</v>
      </c>
      <c r="K711">
        <v>2</v>
      </c>
      <c r="L711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17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8.3658295616101128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2.7990671517052195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4.5501121552987103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13.9857659300144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1.71161498974072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19.669924731540899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11" s="5">
        <f>IF((DiscreteStatsTable[[#This Row],[RepsRequested]]&gt;1),DiscreteStatsTable[[#This Row],[HalfWidth]],DiscreteStatsTable[[#This Row],[BatchMeansHalfWidth]])</f>
        <v>1.4391475326046577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17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67</v>
      </c>
      <c r="B712" t="s">
        <v>69</v>
      </c>
      <c r="C712">
        <v>14</v>
      </c>
      <c r="D712" t="s">
        <v>112</v>
      </c>
      <c r="E712" t="s">
        <v>107</v>
      </c>
      <c r="F712" t="s">
        <v>80</v>
      </c>
      <c r="G712">
        <v>8.4803776773394297</v>
      </c>
      <c r="H712">
        <v>2E+20</v>
      </c>
      <c r="I712">
        <v>5.5456084540916502</v>
      </c>
      <c r="J712">
        <v>11.547817809537101</v>
      </c>
      <c r="K712">
        <v>6</v>
      </c>
      <c r="L712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17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8.3658295616101128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2.7990671517052195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4.5501121552987103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13.9857659300144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1.71161498974072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19.669924731540899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12" s="5">
        <f>IF((DiscreteStatsTable[[#This Row],[RepsRequested]]&gt;1),DiscreteStatsTable[[#This Row],[HalfWidth]],DiscreteStatsTable[[#This Row],[BatchMeansHalfWidth]])</f>
        <v>1.4391475326046577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17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67</v>
      </c>
      <c r="B713" t="s">
        <v>69</v>
      </c>
      <c r="C713">
        <v>15</v>
      </c>
      <c r="D713" t="s">
        <v>112</v>
      </c>
      <c r="E713" t="s">
        <v>107</v>
      </c>
      <c r="F713" t="s">
        <v>80</v>
      </c>
      <c r="G713">
        <v>5.5962797013154999</v>
      </c>
      <c r="H713">
        <v>2E+20</v>
      </c>
      <c r="I713">
        <v>4.2781607462117996</v>
      </c>
      <c r="J713">
        <v>6.9143986564192002</v>
      </c>
      <c r="K713">
        <v>2</v>
      </c>
      <c r="L713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17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8.3658295616101128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2.7990671517052195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4.5501121552987103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13.9857659300144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1.71161498974072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19.669924731540899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13" s="5">
        <f>IF((DiscreteStatsTable[[#This Row],[RepsRequested]]&gt;1),DiscreteStatsTable[[#This Row],[HalfWidth]],DiscreteStatsTable[[#This Row],[BatchMeansHalfWidth]])</f>
        <v>1.4391475326046577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17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67</v>
      </c>
      <c r="B714" t="s">
        <v>69</v>
      </c>
      <c r="C714">
        <v>16</v>
      </c>
      <c r="D714" t="s">
        <v>112</v>
      </c>
      <c r="E714" t="s">
        <v>107</v>
      </c>
      <c r="F714" t="s">
        <v>80</v>
      </c>
      <c r="G714">
        <v>4.5501121552987103</v>
      </c>
      <c r="H714">
        <v>2E+20</v>
      </c>
      <c r="I714">
        <v>2.0567411441408598</v>
      </c>
      <c r="J714">
        <v>6.1299703011417099</v>
      </c>
      <c r="K714">
        <v>5</v>
      </c>
      <c r="L714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17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8.3658295616101128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2.7990671517052195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4.5501121552987103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13.9857659300144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1.71161498974072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19.669924731540899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14" s="5">
        <f>IF((DiscreteStatsTable[[#This Row],[RepsRequested]]&gt;1),DiscreteStatsTable[[#This Row],[HalfWidth]],DiscreteStatsTable[[#This Row],[BatchMeansHalfWidth]])</f>
        <v>1.4391475326046577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17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67</v>
      </c>
      <c r="B715" t="s">
        <v>69</v>
      </c>
      <c r="C715">
        <v>17</v>
      </c>
      <c r="D715" t="s">
        <v>112</v>
      </c>
      <c r="E715" t="s">
        <v>107</v>
      </c>
      <c r="F715" t="s">
        <v>80</v>
      </c>
      <c r="G715">
        <v>10.6704957494296</v>
      </c>
      <c r="H715">
        <v>2E+20</v>
      </c>
      <c r="I715">
        <v>3.35138217421783</v>
      </c>
      <c r="J715">
        <v>19.669924731540899</v>
      </c>
      <c r="K715">
        <v>5</v>
      </c>
      <c r="L715" s="5" t="str">
        <f>DiscreteStatsTable[[#This Row],[ProjectName]]&amp;DiscreteStatsTable[[#This Row],[Name]]&amp;DiscreteStatsTable[[#This Row],[Type]]&amp;DiscreteStatsTable[[#This Row],[Source]]</f>
        <v>Weekend (base)TiempoEnSistemaNoMesaCantProd4IntervalUser Specified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17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8.3658295616101128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2.7990671517052195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1.4391475326046577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4.5501121552987103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13.9857659300144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1.71161498974072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19.669924731540899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3.6470588235294117</v>
      </c>
      <c r="W715" s="5">
        <f>IF((DiscreteStatsTable[[#This Row],[RepsRequested]]&gt;1),DiscreteStatsTable[[#This Row],[HalfWidth]],DiscreteStatsTable[[#This Row],[BatchMeansHalfWidth]])</f>
        <v>1.4391475326046577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17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67</v>
      </c>
      <c r="B716" t="s">
        <v>69</v>
      </c>
      <c r="C716">
        <v>2</v>
      </c>
      <c r="D716" t="s">
        <v>128</v>
      </c>
      <c r="E716" t="s">
        <v>107</v>
      </c>
      <c r="F716" t="s">
        <v>80</v>
      </c>
      <c r="G716">
        <v>16.734530035523999</v>
      </c>
      <c r="H716">
        <v>2E+20</v>
      </c>
      <c r="I716">
        <v>16.734530035523999</v>
      </c>
      <c r="J716">
        <v>16.734530035523999</v>
      </c>
      <c r="K716">
        <v>1</v>
      </c>
      <c r="L716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17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10.573223748696392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3.6945954807904307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4.3986978975121502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16.734530035523999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3.7027506622532398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18.840349330144299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16" s="5">
        <f>IF((DiscreteStatsTable[[#This Row],[RepsRequested]]&gt;1),DiscreteStatsTable[[#This Row],[HalfWidth]],DiscreteStatsTable[[#This Row],[BatchMeansHalfWidth]])</f>
        <v>2.2326217044135195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13</v>
      </c>
      <c r="Y716" s="5">
        <f>IF(DiscreteStatsTable[[#This Row],[RepsRequested]]=DiscreteStatsTable[[#This Row],[RepsWithStatObserved]],1,0)</f>
        <v>0</v>
      </c>
    </row>
    <row r="717" spans="1:25" x14ac:dyDescent="0.25">
      <c r="A717" t="s">
        <v>67</v>
      </c>
      <c r="B717" t="s">
        <v>69</v>
      </c>
      <c r="C717">
        <v>3</v>
      </c>
      <c r="D717" t="s">
        <v>128</v>
      </c>
      <c r="E717" t="s">
        <v>107</v>
      </c>
      <c r="F717" t="s">
        <v>80</v>
      </c>
      <c r="G717">
        <v>12.312080109501199</v>
      </c>
      <c r="H717">
        <v>2E+20</v>
      </c>
      <c r="I717">
        <v>6.3850672146907401</v>
      </c>
      <c r="J717">
        <v>18.239093004311702</v>
      </c>
      <c r="K717">
        <v>2</v>
      </c>
      <c r="L717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17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10.573223748696392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3.6945954807904307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4.3986978975121502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16.734530035523999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3.7027506622532398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18.840349330144299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17" s="5">
        <f>IF((DiscreteStatsTable[[#This Row],[RepsRequested]]&gt;1),DiscreteStatsTable[[#This Row],[HalfWidth]],DiscreteStatsTable[[#This Row],[BatchMeansHalfWidth]])</f>
        <v>2.2326217044135195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13</v>
      </c>
      <c r="Y717" s="5">
        <f>IF(DiscreteStatsTable[[#This Row],[RepsRequested]]=DiscreteStatsTable[[#This Row],[RepsWithStatObserved]],1,0)</f>
        <v>0</v>
      </c>
    </row>
    <row r="718" spans="1:25" x14ac:dyDescent="0.25">
      <c r="A718" t="s">
        <v>67</v>
      </c>
      <c r="B718" t="s">
        <v>69</v>
      </c>
      <c r="C718">
        <v>4</v>
      </c>
      <c r="D718" t="s">
        <v>128</v>
      </c>
      <c r="E718" t="s">
        <v>107</v>
      </c>
      <c r="F718" t="s">
        <v>80</v>
      </c>
      <c r="G718">
        <v>9.8955154505148393</v>
      </c>
      <c r="H718">
        <v>2E+20</v>
      </c>
      <c r="I718">
        <v>9.8955154505148393</v>
      </c>
      <c r="J718">
        <v>9.8955154505148393</v>
      </c>
      <c r="K718">
        <v>1</v>
      </c>
      <c r="L718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17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10.573223748696392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3.6945954807904307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4.3986978975121502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16.734530035523999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3.7027506622532398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18.840349330144299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18" s="5">
        <f>IF((DiscreteStatsTable[[#This Row],[RepsRequested]]&gt;1),DiscreteStatsTable[[#This Row],[HalfWidth]],DiscreteStatsTable[[#This Row],[BatchMeansHalfWidth]])</f>
        <v>2.2326217044135195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13</v>
      </c>
      <c r="Y718" s="5">
        <f>IF(DiscreteStatsTable[[#This Row],[RepsRequested]]=DiscreteStatsTable[[#This Row],[RepsWithStatObserved]],1,0)</f>
        <v>0</v>
      </c>
    </row>
    <row r="719" spans="1:25" x14ac:dyDescent="0.25">
      <c r="A719" t="s">
        <v>67</v>
      </c>
      <c r="B719" t="s">
        <v>69</v>
      </c>
      <c r="C719">
        <v>5</v>
      </c>
      <c r="D719" t="s">
        <v>128</v>
      </c>
      <c r="E719" t="s">
        <v>107</v>
      </c>
      <c r="F719" t="s">
        <v>80</v>
      </c>
      <c r="G719">
        <v>7.6246325674747197</v>
      </c>
      <c r="H719">
        <v>2E+20</v>
      </c>
      <c r="I719">
        <v>7.6246325674747197</v>
      </c>
      <c r="J719">
        <v>7.6246325674747197</v>
      </c>
      <c r="K719">
        <v>1</v>
      </c>
      <c r="L719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17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10.573223748696392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3.6945954807904307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4.3986978975121502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16.734530035523999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3.7027506622532398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18.840349330144299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19" s="5">
        <f>IF((DiscreteStatsTable[[#This Row],[RepsRequested]]&gt;1),DiscreteStatsTable[[#This Row],[HalfWidth]],DiscreteStatsTable[[#This Row],[BatchMeansHalfWidth]])</f>
        <v>2.2326217044135195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13</v>
      </c>
      <c r="Y719" s="5">
        <f>IF(DiscreteStatsTable[[#This Row],[RepsRequested]]=DiscreteStatsTable[[#This Row],[RepsWithStatObserved]],1,0)</f>
        <v>0</v>
      </c>
    </row>
    <row r="720" spans="1:25" x14ac:dyDescent="0.25">
      <c r="A720" t="s">
        <v>67</v>
      </c>
      <c r="B720" t="s">
        <v>69</v>
      </c>
      <c r="C720">
        <v>6</v>
      </c>
      <c r="D720" t="s">
        <v>128</v>
      </c>
      <c r="E720" t="s">
        <v>107</v>
      </c>
      <c r="F720" t="s">
        <v>80</v>
      </c>
      <c r="G720">
        <v>11.8112418917162</v>
      </c>
      <c r="H720">
        <v>2E+20</v>
      </c>
      <c r="I720">
        <v>11.8112418917162</v>
      </c>
      <c r="J720">
        <v>11.8112418917162</v>
      </c>
      <c r="K720">
        <v>1</v>
      </c>
      <c r="L720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17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10.573223748696392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4.3986978975121502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16.734530035523999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3.7027506622532398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18.840349330144299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0" s="5">
        <f>IF((DiscreteStatsTable[[#This Row],[RepsRequested]]&gt;1),DiscreteStatsTable[[#This Row],[HalfWidth]],DiscreteStatsTable[[#This Row],[BatchMeansHalfWidth]])</f>
        <v>2.2326217044135195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13</v>
      </c>
      <c r="Y720" s="5">
        <f>IF(DiscreteStatsTable[[#This Row],[RepsRequested]]=DiscreteStatsTable[[#This Row],[RepsWithStatObserved]],1,0)</f>
        <v>0</v>
      </c>
    </row>
    <row r="721" spans="1:25" x14ac:dyDescent="0.25">
      <c r="A721" t="s">
        <v>67</v>
      </c>
      <c r="B721" t="s">
        <v>69</v>
      </c>
      <c r="C721">
        <v>7</v>
      </c>
      <c r="D721" t="s">
        <v>128</v>
      </c>
      <c r="E721" t="s">
        <v>107</v>
      </c>
      <c r="F721" t="s">
        <v>80</v>
      </c>
      <c r="G721">
        <v>11.5181116514037</v>
      </c>
      <c r="H721">
        <v>2E+20</v>
      </c>
      <c r="I721">
        <v>9.2337924433652496</v>
      </c>
      <c r="J721">
        <v>13.8024308594422</v>
      </c>
      <c r="K721">
        <v>2</v>
      </c>
      <c r="L721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17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10.573223748696392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4.3986978975121502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16.734530035523999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3.7027506622532398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18.840349330144299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1" s="5">
        <f>IF((DiscreteStatsTable[[#This Row],[RepsRequested]]&gt;1),DiscreteStatsTable[[#This Row],[HalfWidth]],DiscreteStatsTable[[#This Row],[BatchMeansHalfWidth]])</f>
        <v>2.2326217044135195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13</v>
      </c>
      <c r="Y721" s="5">
        <f>IF(DiscreteStatsTable[[#This Row],[RepsRequested]]=DiscreteStatsTable[[#This Row],[RepsWithStatObserved]],1,0)</f>
        <v>0</v>
      </c>
    </row>
    <row r="722" spans="1:25" x14ac:dyDescent="0.25">
      <c r="A722" t="s">
        <v>67</v>
      </c>
      <c r="B722" t="s">
        <v>69</v>
      </c>
      <c r="C722">
        <v>8</v>
      </c>
      <c r="D722" t="s">
        <v>128</v>
      </c>
      <c r="E722" t="s">
        <v>107</v>
      </c>
      <c r="F722" t="s">
        <v>80</v>
      </c>
      <c r="G722">
        <v>16.101643720435401</v>
      </c>
      <c r="H722">
        <v>2E+20</v>
      </c>
      <c r="I722">
        <v>16.101643720435401</v>
      </c>
      <c r="J722">
        <v>16.101643720435401</v>
      </c>
      <c r="K722">
        <v>1</v>
      </c>
      <c r="L722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17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10.573223748696392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4.3986978975121502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16.734530035523999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3.7027506622532398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18.840349330144299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2" s="5">
        <f>IF((DiscreteStatsTable[[#This Row],[RepsRequested]]&gt;1),DiscreteStatsTable[[#This Row],[HalfWidth]],DiscreteStatsTable[[#This Row],[BatchMeansHalfWidth]])</f>
        <v>2.2326217044135195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13</v>
      </c>
      <c r="Y722" s="5">
        <f>IF(DiscreteStatsTable[[#This Row],[RepsRequested]]=DiscreteStatsTable[[#This Row],[RepsWithStatObserved]],1,0)</f>
        <v>0</v>
      </c>
    </row>
    <row r="723" spans="1:25" x14ac:dyDescent="0.25">
      <c r="A723" t="s">
        <v>67</v>
      </c>
      <c r="B723" t="s">
        <v>69</v>
      </c>
      <c r="C723">
        <v>11</v>
      </c>
      <c r="D723" t="s">
        <v>128</v>
      </c>
      <c r="E723" t="s">
        <v>107</v>
      </c>
      <c r="F723" t="s">
        <v>80</v>
      </c>
      <c r="G723">
        <v>8.6003725448319397</v>
      </c>
      <c r="H723">
        <v>2E+20</v>
      </c>
      <c r="I723">
        <v>8.6003725448319397</v>
      </c>
      <c r="J723">
        <v>8.6003725448319397</v>
      </c>
      <c r="K723">
        <v>1</v>
      </c>
      <c r="L723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17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10.573223748696392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4.3986978975121502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16.734530035523999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3.7027506622532398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18.840349330144299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3" s="5">
        <f>IF((DiscreteStatsTable[[#This Row],[RepsRequested]]&gt;1),DiscreteStatsTable[[#This Row],[HalfWidth]],DiscreteStatsTable[[#This Row],[BatchMeansHalfWidth]])</f>
        <v>2.2326217044135195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13</v>
      </c>
      <c r="Y723" s="5">
        <f>IF(DiscreteStatsTable[[#This Row],[RepsRequested]]=DiscreteStatsTable[[#This Row],[RepsWithStatObserved]],1,0)</f>
        <v>0</v>
      </c>
    </row>
    <row r="724" spans="1:25" x14ac:dyDescent="0.25">
      <c r="A724" t="s">
        <v>67</v>
      </c>
      <c r="B724" t="s">
        <v>69</v>
      </c>
      <c r="C724">
        <v>12</v>
      </c>
      <c r="D724" t="s">
        <v>128</v>
      </c>
      <c r="E724" t="s">
        <v>107</v>
      </c>
      <c r="F724" t="s">
        <v>80</v>
      </c>
      <c r="G724">
        <v>5.3402738354516304</v>
      </c>
      <c r="H724">
        <v>2E+20</v>
      </c>
      <c r="I724">
        <v>5.3402738354516304</v>
      </c>
      <c r="J724">
        <v>5.3402738354516304</v>
      </c>
      <c r="K724">
        <v>1</v>
      </c>
      <c r="L724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17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10.573223748696392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4.3986978975121502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16.734530035523999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3.7027506622532398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18.840349330144299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4" s="5">
        <f>IF((DiscreteStatsTable[[#This Row],[RepsRequested]]&gt;1),DiscreteStatsTable[[#This Row],[HalfWidth]],DiscreteStatsTable[[#This Row],[BatchMeansHalfWidth]])</f>
        <v>2.2326217044135195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13</v>
      </c>
      <c r="Y724" s="5">
        <f>IF(DiscreteStatsTable[[#This Row],[RepsRequested]]=DiscreteStatsTable[[#This Row],[RepsWithStatObserved]],1,0)</f>
        <v>0</v>
      </c>
    </row>
    <row r="725" spans="1:25" x14ac:dyDescent="0.25">
      <c r="A725" t="s">
        <v>67</v>
      </c>
      <c r="B725" t="s">
        <v>69</v>
      </c>
      <c r="C725">
        <v>14</v>
      </c>
      <c r="D725" t="s">
        <v>128</v>
      </c>
      <c r="E725" t="s">
        <v>107</v>
      </c>
      <c r="F725" t="s">
        <v>80</v>
      </c>
      <c r="G725">
        <v>10.1991182062606</v>
      </c>
      <c r="H725">
        <v>2E+20</v>
      </c>
      <c r="I725">
        <v>10.1991182062606</v>
      </c>
      <c r="J725">
        <v>10.1991182062606</v>
      </c>
      <c r="K725">
        <v>1</v>
      </c>
      <c r="L725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17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10.573223748696392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4.3986978975121502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16.734530035523999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3.7027506622532398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18.840349330144299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5" s="5">
        <f>IF((DiscreteStatsTable[[#This Row],[RepsRequested]]&gt;1),DiscreteStatsTable[[#This Row],[HalfWidth]],DiscreteStatsTable[[#This Row],[BatchMeansHalfWidth]])</f>
        <v>2.2326217044135195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13</v>
      </c>
      <c r="Y725" s="5">
        <f>IF(DiscreteStatsTable[[#This Row],[RepsRequested]]=DiscreteStatsTable[[#This Row],[RepsWithStatObserved]],1,0)</f>
        <v>0</v>
      </c>
    </row>
    <row r="726" spans="1:25" x14ac:dyDescent="0.25">
      <c r="A726" t="s">
        <v>67</v>
      </c>
      <c r="B726" t="s">
        <v>69</v>
      </c>
      <c r="C726">
        <v>15</v>
      </c>
      <c r="D726" t="s">
        <v>128</v>
      </c>
      <c r="E726" t="s">
        <v>107</v>
      </c>
      <c r="F726" t="s">
        <v>80</v>
      </c>
      <c r="G726">
        <v>13.644962528279599</v>
      </c>
      <c r="H726">
        <v>2E+20</v>
      </c>
      <c r="I726">
        <v>8.4495757264149596</v>
      </c>
      <c r="J726">
        <v>18.840349330144299</v>
      </c>
      <c r="K726">
        <v>2</v>
      </c>
      <c r="L726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17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10.573223748696392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4.3986978975121502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16.734530035523999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3.7027506622532398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18.840349330144299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6" s="5">
        <f>IF((DiscreteStatsTable[[#This Row],[RepsRequested]]&gt;1),DiscreteStatsTable[[#This Row],[HalfWidth]],DiscreteStatsTable[[#This Row],[BatchMeansHalfWidth]])</f>
        <v>2.2326217044135195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13</v>
      </c>
      <c r="Y726" s="5">
        <f>IF(DiscreteStatsTable[[#This Row],[RepsRequested]]=DiscreteStatsTable[[#This Row],[RepsWithStatObserved]],1,0)</f>
        <v>0</v>
      </c>
    </row>
    <row r="727" spans="1:25" x14ac:dyDescent="0.25">
      <c r="A727" t="s">
        <v>67</v>
      </c>
      <c r="B727" t="s">
        <v>69</v>
      </c>
      <c r="C727">
        <v>16</v>
      </c>
      <c r="D727" t="s">
        <v>128</v>
      </c>
      <c r="E727" t="s">
        <v>107</v>
      </c>
      <c r="F727" t="s">
        <v>80</v>
      </c>
      <c r="G727">
        <v>4.3986978975121502</v>
      </c>
      <c r="H727">
        <v>2E+20</v>
      </c>
      <c r="I727">
        <v>4.1412426090453804</v>
      </c>
      <c r="J727">
        <v>4.65615318597892</v>
      </c>
      <c r="K727">
        <v>2</v>
      </c>
      <c r="L727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17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10.573223748696392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4.3986978975121502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16.734530035523999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3.7027506622532398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18.840349330144299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7" s="5">
        <f>IF((DiscreteStatsTable[[#This Row],[RepsRequested]]&gt;1),DiscreteStatsTable[[#This Row],[HalfWidth]],DiscreteStatsTable[[#This Row],[BatchMeansHalfWidth]])</f>
        <v>2.2326217044135195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13</v>
      </c>
      <c r="Y727" s="5">
        <f>IF(DiscreteStatsTable[[#This Row],[RepsRequested]]=DiscreteStatsTable[[#This Row],[RepsWithStatObserved]],1,0)</f>
        <v>0</v>
      </c>
    </row>
    <row r="728" spans="1:25" x14ac:dyDescent="0.25">
      <c r="A728" t="s">
        <v>67</v>
      </c>
      <c r="B728" t="s">
        <v>69</v>
      </c>
      <c r="C728">
        <v>17</v>
      </c>
      <c r="D728" t="s">
        <v>128</v>
      </c>
      <c r="E728" t="s">
        <v>107</v>
      </c>
      <c r="F728" t="s">
        <v>80</v>
      </c>
      <c r="G728">
        <v>9.2707282941471103</v>
      </c>
      <c r="H728">
        <v>2E+20</v>
      </c>
      <c r="I728">
        <v>3.7027506622532398</v>
      </c>
      <c r="J728">
        <v>16.804081892617202</v>
      </c>
      <c r="K728">
        <v>5</v>
      </c>
      <c r="L728" s="5" t="str">
        <f>DiscreteStatsTable[[#This Row],[ProjectName]]&amp;DiscreteStatsTable[[#This Row],[Name]]&amp;DiscreteStatsTable[[#This Row],[Type]]&amp;DiscreteStatsTable[[#This Row],[Source]]</f>
        <v>Weekend (base)TiempoEnSistemaNoMesaCantProd5IntervalUser Specified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17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10.573223748696392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3.6945954807904307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2.2326217044135195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4.3986978975121502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16.734530035523999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3.7027506622532398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18.840349330144299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1.6153846153846154</v>
      </c>
      <c r="W728" s="5">
        <f>IF((DiscreteStatsTable[[#This Row],[RepsRequested]]&gt;1),DiscreteStatsTable[[#This Row],[HalfWidth]],DiscreteStatsTable[[#This Row],[BatchMeansHalfWidth]])</f>
        <v>2.2326217044135195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13</v>
      </c>
      <c r="Y728" s="5">
        <f>IF(DiscreteStatsTable[[#This Row],[RepsRequested]]=DiscreteStatsTable[[#This Row],[RepsWithStatObserved]],1,0)</f>
        <v>0</v>
      </c>
    </row>
    <row r="729" spans="1:25" x14ac:dyDescent="0.25">
      <c r="A729" t="s">
        <v>67</v>
      </c>
      <c r="B729" t="s">
        <v>69</v>
      </c>
      <c r="C729">
        <v>1</v>
      </c>
      <c r="D729" t="s">
        <v>113</v>
      </c>
      <c r="E729" t="s">
        <v>107</v>
      </c>
      <c r="F729" t="s">
        <v>80</v>
      </c>
      <c r="G729">
        <v>5.5791751292079299</v>
      </c>
      <c r="H729">
        <v>2E+20</v>
      </c>
      <c r="I729">
        <v>5.5791751292079299</v>
      </c>
      <c r="J729">
        <v>5.5791751292079299</v>
      </c>
      <c r="K729">
        <v>1</v>
      </c>
      <c r="L729" s="5" t="str">
        <f>DiscreteStatsTable[[#This Row],[ProjectName]]&amp;DiscreteStatsTable[[#This Row],[Name]]&amp;DiscreteStatsTable[[#This Row],[Type]]&amp;DiscreteStatsTable[[#This Row],[Source]]</f>
        <v>Weekend (base)TiempoEnSistemaNoMesaCantProd7IntervalUser Specified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17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10.24062266596184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4.6497370612929947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4.3002895519336475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5.5791751292079299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18.191254840358098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5.5791751292079299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18.191254840358098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1</v>
      </c>
      <c r="W729" s="5">
        <f>IF((DiscreteStatsTable[[#This Row],[RepsRequested]]&gt;1),DiscreteStatsTable[[#This Row],[HalfWidth]],DiscreteStatsTable[[#This Row],[BatchMeansHalfWidth]])</f>
        <v>4.3002895519336475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7</v>
      </c>
      <c r="Y729" s="5">
        <f>IF(DiscreteStatsTable[[#This Row],[RepsRequested]]=DiscreteStatsTable[[#This Row],[RepsWithStatObserved]],1,0)</f>
        <v>0</v>
      </c>
    </row>
    <row r="730" spans="1:25" x14ac:dyDescent="0.25">
      <c r="A730" t="s">
        <v>67</v>
      </c>
      <c r="B730" t="s">
        <v>69</v>
      </c>
      <c r="C730">
        <v>3</v>
      </c>
      <c r="D730" t="s">
        <v>113</v>
      </c>
      <c r="E730" t="s">
        <v>107</v>
      </c>
      <c r="F730" t="s">
        <v>80</v>
      </c>
      <c r="G730">
        <v>5.7657199123307796</v>
      </c>
      <c r="H730">
        <v>2E+20</v>
      </c>
      <c r="I730">
        <v>5.7657199123307796</v>
      </c>
      <c r="J730">
        <v>5.7657199123307796</v>
      </c>
      <c r="K730">
        <v>1</v>
      </c>
      <c r="L730" s="5" t="str">
        <f>DiscreteStatsTable[[#This Row],[ProjectName]]&amp;DiscreteStatsTable[[#This Row],[Name]]&amp;DiscreteStatsTable[[#This Row],[Type]]&amp;DiscreteStatsTable[[#This Row],[Source]]</f>
        <v>Weekend (base)TiempoEnSistemaNoMesaCantProd7IntervalUser Specified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17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10.24062266596184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4.6497370612929947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4.3002895519336475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5.5791751292079299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18.191254840358098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5.5791751292079299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18.191254840358098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1</v>
      </c>
      <c r="W730" s="5">
        <f>IF((DiscreteStatsTable[[#This Row],[RepsRequested]]&gt;1),DiscreteStatsTable[[#This Row],[HalfWidth]],DiscreteStatsTable[[#This Row],[BatchMeansHalfWidth]])</f>
        <v>4.3002895519336475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7</v>
      </c>
      <c r="Y730" s="5">
        <f>IF(DiscreteStatsTable[[#This Row],[RepsRequested]]=DiscreteStatsTable[[#This Row],[RepsWithStatObserved]],1,0)</f>
        <v>0</v>
      </c>
    </row>
    <row r="731" spans="1:25" x14ac:dyDescent="0.25">
      <c r="A731" t="s">
        <v>67</v>
      </c>
      <c r="B731" t="s">
        <v>69</v>
      </c>
      <c r="C731">
        <v>5</v>
      </c>
      <c r="D731" t="s">
        <v>113</v>
      </c>
      <c r="E731" t="s">
        <v>107</v>
      </c>
      <c r="F731" t="s">
        <v>80</v>
      </c>
      <c r="G731">
        <v>12.7799241799518</v>
      </c>
      <c r="H731">
        <v>2E+20</v>
      </c>
      <c r="I731">
        <v>12.7799241799518</v>
      </c>
      <c r="J731">
        <v>12.7799241799518</v>
      </c>
      <c r="K731">
        <v>1</v>
      </c>
      <c r="L731" s="5" t="str">
        <f>DiscreteStatsTable[[#This Row],[ProjectName]]&amp;DiscreteStatsTable[[#This Row],[Name]]&amp;DiscreteStatsTable[[#This Row],[Type]]&amp;DiscreteStatsTable[[#This Row],[Source]]</f>
        <v>Weekend (base)TiempoEnSistemaNoMesaCantProd7IntervalUser Specified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17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10.24062266596184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4.6497370612929947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4.3002895519336475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5.5791751292079299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18.191254840358098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5.5791751292079299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18.191254840358098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1</v>
      </c>
      <c r="W731" s="5">
        <f>IF((DiscreteStatsTable[[#This Row],[RepsRequested]]&gt;1),DiscreteStatsTable[[#This Row],[HalfWidth]],DiscreteStatsTable[[#This Row],[BatchMeansHalfWidth]])</f>
        <v>4.3002895519336475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7</v>
      </c>
      <c r="Y731" s="5">
        <f>IF(DiscreteStatsTable[[#This Row],[RepsRequested]]=DiscreteStatsTable[[#This Row],[RepsWithStatObserved]],1,0)</f>
        <v>0</v>
      </c>
    </row>
    <row r="732" spans="1:25" x14ac:dyDescent="0.25">
      <c r="A732" t="s">
        <v>67</v>
      </c>
      <c r="B732" t="s">
        <v>69</v>
      </c>
      <c r="C732">
        <v>7</v>
      </c>
      <c r="D732" t="s">
        <v>113</v>
      </c>
      <c r="E732" t="s">
        <v>107</v>
      </c>
      <c r="F732" t="s">
        <v>80</v>
      </c>
      <c r="G732">
        <v>7.61972775014695</v>
      </c>
      <c r="H732">
        <v>2E+20</v>
      </c>
      <c r="I732">
        <v>7.61972775014695</v>
      </c>
      <c r="J732">
        <v>7.61972775014695</v>
      </c>
      <c r="K732">
        <v>1</v>
      </c>
      <c r="L732" s="5" t="str">
        <f>DiscreteStatsTable[[#This Row],[ProjectName]]&amp;DiscreteStatsTable[[#This Row],[Name]]&amp;DiscreteStatsTable[[#This Row],[Type]]&amp;DiscreteStatsTable[[#This Row],[Source]]</f>
        <v>Weekend (base)TiempoEnSistemaNoMesaCantProd7IntervalUser Specified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17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10.24062266596184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4.6497370612929947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4.3002895519336475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5.5791751292079299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18.191254840358098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5.5791751292079299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18.191254840358098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1</v>
      </c>
      <c r="W732" s="5">
        <f>IF((DiscreteStatsTable[[#This Row],[RepsRequested]]&gt;1),DiscreteStatsTable[[#This Row],[HalfWidth]],DiscreteStatsTable[[#This Row],[BatchMeansHalfWidth]])</f>
        <v>4.3002895519336475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7</v>
      </c>
      <c r="Y732" s="5">
        <f>IF(DiscreteStatsTable[[#This Row],[RepsRequested]]=DiscreteStatsTable[[#This Row],[RepsWithStatObserved]],1,0)</f>
        <v>0</v>
      </c>
    </row>
    <row r="733" spans="1:25" x14ac:dyDescent="0.25">
      <c r="A733" t="s">
        <v>67</v>
      </c>
      <c r="B733" t="s">
        <v>69</v>
      </c>
      <c r="C733">
        <v>8</v>
      </c>
      <c r="D733" t="s">
        <v>113</v>
      </c>
      <c r="E733" t="s">
        <v>107</v>
      </c>
      <c r="F733" t="s">
        <v>80</v>
      </c>
      <c r="G733">
        <v>18.191254840358098</v>
      </c>
      <c r="H733">
        <v>2E+20</v>
      </c>
      <c r="I733">
        <v>18.191254840358098</v>
      </c>
      <c r="J733">
        <v>18.191254840358098</v>
      </c>
      <c r="K733">
        <v>1</v>
      </c>
      <c r="L733" s="5" t="str">
        <f>DiscreteStatsTable[[#This Row],[ProjectName]]&amp;DiscreteStatsTable[[#This Row],[Name]]&amp;DiscreteStatsTable[[#This Row],[Type]]&amp;DiscreteStatsTable[[#This Row],[Source]]</f>
        <v>Weekend (base)TiempoEnSistemaNoMesaCantProd7IntervalUser Specified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17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10.24062266596184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4.6497370612929947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4.3002895519336475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5.5791751292079299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18.191254840358098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5.5791751292079299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18.191254840358098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1</v>
      </c>
      <c r="W733" s="5">
        <f>IF((DiscreteStatsTable[[#This Row],[RepsRequested]]&gt;1),DiscreteStatsTable[[#This Row],[HalfWidth]],DiscreteStatsTable[[#This Row],[BatchMeansHalfWidth]])</f>
        <v>4.3002895519336475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7</v>
      </c>
      <c r="Y733" s="5">
        <f>IF(DiscreteStatsTable[[#This Row],[RepsRequested]]=DiscreteStatsTable[[#This Row],[RepsWithStatObserved]],1,0)</f>
        <v>0</v>
      </c>
    </row>
    <row r="734" spans="1:25" x14ac:dyDescent="0.25">
      <c r="A734" t="s">
        <v>67</v>
      </c>
      <c r="B734" t="s">
        <v>69</v>
      </c>
      <c r="C734">
        <v>11</v>
      </c>
      <c r="D734" t="s">
        <v>113</v>
      </c>
      <c r="E734" t="s">
        <v>107</v>
      </c>
      <c r="F734" t="s">
        <v>80</v>
      </c>
      <c r="G734">
        <v>8.5684437506375293</v>
      </c>
      <c r="H734">
        <v>2E+20</v>
      </c>
      <c r="I734">
        <v>8.5684437506375293</v>
      </c>
      <c r="J734">
        <v>8.5684437506375293</v>
      </c>
      <c r="K734">
        <v>1</v>
      </c>
      <c r="L734" s="5" t="str">
        <f>DiscreteStatsTable[[#This Row],[ProjectName]]&amp;DiscreteStatsTable[[#This Row],[Name]]&amp;DiscreteStatsTable[[#This Row],[Type]]&amp;DiscreteStatsTable[[#This Row],[Source]]</f>
        <v>Weekend (base)TiempoEnSistemaNoMesaCantProd7IntervalUser Specified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17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10.24062266596184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4.6497370612929947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4.3002895519336475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5.5791751292079299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18.191254840358098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5.5791751292079299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18.191254840358098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1</v>
      </c>
      <c r="W734" s="5">
        <f>IF((DiscreteStatsTable[[#This Row],[RepsRequested]]&gt;1),DiscreteStatsTable[[#This Row],[HalfWidth]],DiscreteStatsTable[[#This Row],[BatchMeansHalfWidth]])</f>
        <v>4.3002895519336475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7</v>
      </c>
      <c r="Y734" s="5">
        <f>IF(DiscreteStatsTable[[#This Row],[RepsRequested]]=DiscreteStatsTable[[#This Row],[RepsWithStatObserved]],1,0)</f>
        <v>0</v>
      </c>
    </row>
    <row r="735" spans="1:25" x14ac:dyDescent="0.25">
      <c r="A735" t="s">
        <v>67</v>
      </c>
      <c r="B735" t="s">
        <v>69</v>
      </c>
      <c r="C735">
        <v>15</v>
      </c>
      <c r="D735" t="s">
        <v>113</v>
      </c>
      <c r="E735" t="s">
        <v>107</v>
      </c>
      <c r="F735" t="s">
        <v>80</v>
      </c>
      <c r="G735">
        <v>13.180113099099801</v>
      </c>
      <c r="H735">
        <v>2E+20</v>
      </c>
      <c r="I735">
        <v>13.180113099099801</v>
      </c>
      <c r="J735">
        <v>13.180113099099801</v>
      </c>
      <c r="K735">
        <v>1</v>
      </c>
      <c r="L735" s="5" t="str">
        <f>DiscreteStatsTable[[#This Row],[ProjectName]]&amp;DiscreteStatsTable[[#This Row],[Name]]&amp;DiscreteStatsTable[[#This Row],[Type]]&amp;DiscreteStatsTable[[#This Row],[Source]]</f>
        <v>Weekend (base)TiempoEnSistemaNoMesaCantProd7IntervalUser Specified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17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10.24062266596184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4.6497370612929947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4.3002895519336475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5.5791751292079299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18.191254840358098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5.5791751292079299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18.191254840358098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1</v>
      </c>
      <c r="W735" s="5">
        <f>IF((DiscreteStatsTable[[#This Row],[RepsRequested]]&gt;1),DiscreteStatsTable[[#This Row],[HalfWidth]],DiscreteStatsTable[[#This Row],[BatchMeansHalfWidth]])</f>
        <v>4.3002895519336475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7</v>
      </c>
      <c r="Y735" s="5">
        <f>IF(DiscreteStatsTable[[#This Row],[RepsRequested]]=DiscreteStatsTable[[#This Row],[RepsWithStatObserved]],1,0)</f>
        <v>0</v>
      </c>
    </row>
    <row r="736" spans="1:25" x14ac:dyDescent="0.25">
      <c r="A736" t="s">
        <v>67</v>
      </c>
      <c r="B736" t="s">
        <v>69</v>
      </c>
      <c r="C736">
        <v>1</v>
      </c>
      <c r="D736" t="s">
        <v>114</v>
      </c>
      <c r="E736" t="s">
        <v>107</v>
      </c>
      <c r="F736" t="s">
        <v>80</v>
      </c>
      <c r="G736">
        <v>8.4545823751403208</v>
      </c>
      <c r="H736">
        <v>2E+20</v>
      </c>
      <c r="I736">
        <v>0.85916784632652798</v>
      </c>
      <c r="J736">
        <v>43.466040921324797</v>
      </c>
      <c r="K736">
        <v>125</v>
      </c>
      <c r="L736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17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8.476767334896584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1.5778141287777554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6.3029244422908404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12.3809834783632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0.49903761733864399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59.068854696650199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36" s="5">
        <f>IF((DiscreteStatsTable[[#This Row],[RepsRequested]]&gt;1),DiscreteStatsTable[[#This Row],[HalfWidth]],DiscreteStatsTable[[#This Row],[BatchMeansHalfWidth]])</f>
        <v>0.81123716841017435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17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67</v>
      </c>
      <c r="B737" t="s">
        <v>69</v>
      </c>
      <c r="C737">
        <v>2</v>
      </c>
      <c r="D737" t="s">
        <v>114</v>
      </c>
      <c r="E737" t="s">
        <v>107</v>
      </c>
      <c r="F737" t="s">
        <v>80</v>
      </c>
      <c r="G737">
        <v>8.31402861988715</v>
      </c>
      <c r="H737">
        <v>2E+20</v>
      </c>
      <c r="I737">
        <v>0.70672821920527396</v>
      </c>
      <c r="J737">
        <v>38.737216146511997</v>
      </c>
      <c r="K737">
        <v>117</v>
      </c>
      <c r="L737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17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8.476767334896584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1.5778141287777554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6.3029244422908404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12.3809834783632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0.49903761733864399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59.068854696650199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37" s="5">
        <f>IF((DiscreteStatsTable[[#This Row],[RepsRequested]]&gt;1),DiscreteStatsTable[[#This Row],[HalfWidth]],DiscreteStatsTable[[#This Row],[BatchMeansHalfWidth]])</f>
        <v>0.81123716841017435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17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67</v>
      </c>
      <c r="B738" t="s">
        <v>69</v>
      </c>
      <c r="C738">
        <v>3</v>
      </c>
      <c r="D738" t="s">
        <v>114</v>
      </c>
      <c r="E738" t="s">
        <v>107</v>
      </c>
      <c r="F738" t="s">
        <v>80</v>
      </c>
      <c r="G738">
        <v>10.781600802494999</v>
      </c>
      <c r="H738">
        <v>2E+20</v>
      </c>
      <c r="I738">
        <v>0.59350794441101595</v>
      </c>
      <c r="J738">
        <v>40.485627405697102</v>
      </c>
      <c r="K738">
        <v>126</v>
      </c>
      <c r="L738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17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8.476767334896584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1.5778141287777554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6.3029244422908404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12.3809834783632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0.49903761733864399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59.068854696650199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38" s="5">
        <f>IF((DiscreteStatsTable[[#This Row],[RepsRequested]]&gt;1),DiscreteStatsTable[[#This Row],[HalfWidth]],DiscreteStatsTable[[#This Row],[BatchMeansHalfWidth]])</f>
        <v>0.81123716841017435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17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67</v>
      </c>
      <c r="B739" t="s">
        <v>69</v>
      </c>
      <c r="C739">
        <v>4</v>
      </c>
      <c r="D739" t="s">
        <v>114</v>
      </c>
      <c r="E739" t="s">
        <v>107</v>
      </c>
      <c r="F739" t="s">
        <v>80</v>
      </c>
      <c r="G739">
        <v>7.7944480602891604</v>
      </c>
      <c r="H739">
        <v>2E+20</v>
      </c>
      <c r="I739">
        <v>0.69049380728114296</v>
      </c>
      <c r="J739">
        <v>39.020925414430302</v>
      </c>
      <c r="K739">
        <v>130</v>
      </c>
      <c r="L739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17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8.476767334896584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1.5778141287777554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6.3029244422908404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12.3809834783632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0.49903761733864399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59.068854696650199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39" s="5">
        <f>IF((DiscreteStatsTable[[#This Row],[RepsRequested]]&gt;1),DiscreteStatsTable[[#This Row],[HalfWidth]],DiscreteStatsTable[[#This Row],[BatchMeansHalfWidth]])</f>
        <v>0.81123716841017435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17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67</v>
      </c>
      <c r="B740" t="s">
        <v>69</v>
      </c>
      <c r="C740">
        <v>5</v>
      </c>
      <c r="D740" t="s">
        <v>114</v>
      </c>
      <c r="E740" t="s">
        <v>107</v>
      </c>
      <c r="F740" t="s">
        <v>80</v>
      </c>
      <c r="G740">
        <v>8.2246744712782096</v>
      </c>
      <c r="H740">
        <v>2E+20</v>
      </c>
      <c r="I740">
        <v>0.49903761733864399</v>
      </c>
      <c r="J740">
        <v>44.080644859439801</v>
      </c>
      <c r="K740">
        <v>130</v>
      </c>
      <c r="L740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17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8.476767334896584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6.3029244422908404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12.3809834783632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0.49903761733864399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59.068854696650199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0" s="5">
        <f>IF((DiscreteStatsTable[[#This Row],[RepsRequested]]&gt;1),DiscreteStatsTable[[#This Row],[HalfWidth]],DiscreteStatsTable[[#This Row],[BatchMeansHalfWidth]])</f>
        <v>0.81123716841017435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17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67</v>
      </c>
      <c r="B741" t="s">
        <v>69</v>
      </c>
      <c r="C741">
        <v>6</v>
      </c>
      <c r="D741" t="s">
        <v>114</v>
      </c>
      <c r="E741" t="s">
        <v>107</v>
      </c>
      <c r="F741" t="s">
        <v>80</v>
      </c>
      <c r="G741">
        <v>6.3029244422908404</v>
      </c>
      <c r="H741">
        <v>2E+20</v>
      </c>
      <c r="I741">
        <v>0.70330296436537798</v>
      </c>
      <c r="J741">
        <v>41.586768190049099</v>
      </c>
      <c r="K741">
        <v>120</v>
      </c>
      <c r="L741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17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8.476767334896584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6.3029244422908404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12.3809834783632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0.49903761733864399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59.068854696650199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1" s="5">
        <f>IF((DiscreteStatsTable[[#This Row],[RepsRequested]]&gt;1),DiscreteStatsTable[[#This Row],[HalfWidth]],DiscreteStatsTable[[#This Row],[BatchMeansHalfWidth]])</f>
        <v>0.81123716841017435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17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67</v>
      </c>
      <c r="B742" t="s">
        <v>69</v>
      </c>
      <c r="C742">
        <v>7</v>
      </c>
      <c r="D742" t="s">
        <v>114</v>
      </c>
      <c r="E742" t="s">
        <v>107</v>
      </c>
      <c r="F742" t="s">
        <v>80</v>
      </c>
      <c r="G742">
        <v>8.0267605025559501</v>
      </c>
      <c r="H742">
        <v>2E+20</v>
      </c>
      <c r="I742">
        <v>0.56875282116780601</v>
      </c>
      <c r="J742">
        <v>46.508024686921303</v>
      </c>
      <c r="K742">
        <v>107</v>
      </c>
      <c r="L742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17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8.476767334896584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6.3029244422908404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12.3809834783632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0.49903761733864399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59.068854696650199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2" s="5">
        <f>IF((DiscreteStatsTable[[#This Row],[RepsRequested]]&gt;1),DiscreteStatsTable[[#This Row],[HalfWidth]],DiscreteStatsTable[[#This Row],[BatchMeansHalfWidth]])</f>
        <v>0.81123716841017435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17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67</v>
      </c>
      <c r="B743" t="s">
        <v>69</v>
      </c>
      <c r="C743">
        <v>8</v>
      </c>
      <c r="D743" t="s">
        <v>114</v>
      </c>
      <c r="E743" t="s">
        <v>107</v>
      </c>
      <c r="F743" t="s">
        <v>80</v>
      </c>
      <c r="G743">
        <v>12.3809834783632</v>
      </c>
      <c r="H743">
        <v>2E+20</v>
      </c>
      <c r="I743">
        <v>0.89432155814576197</v>
      </c>
      <c r="J743">
        <v>58.049421412935096</v>
      </c>
      <c r="K743">
        <v>119</v>
      </c>
      <c r="L743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17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8.476767334896584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6.3029244422908404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12.3809834783632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0.49903761733864399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59.068854696650199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3" s="5">
        <f>IF((DiscreteStatsTable[[#This Row],[RepsRequested]]&gt;1),DiscreteStatsTable[[#This Row],[HalfWidth]],DiscreteStatsTable[[#This Row],[BatchMeansHalfWidth]])</f>
        <v>0.81123716841017435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17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67</v>
      </c>
      <c r="B744" t="s">
        <v>69</v>
      </c>
      <c r="C744">
        <v>9</v>
      </c>
      <c r="D744" t="s">
        <v>114</v>
      </c>
      <c r="E744" t="s">
        <v>107</v>
      </c>
      <c r="F744" t="s">
        <v>80</v>
      </c>
      <c r="G744">
        <v>7.7326570398544501</v>
      </c>
      <c r="H744">
        <v>2E+20</v>
      </c>
      <c r="I744">
        <v>0.55434824506934899</v>
      </c>
      <c r="J744">
        <v>38.092374132475904</v>
      </c>
      <c r="K744">
        <v>120</v>
      </c>
      <c r="L744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17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8.476767334896584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6.3029244422908404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12.3809834783632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0.49903761733864399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59.068854696650199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4" s="5">
        <f>IF((DiscreteStatsTable[[#This Row],[RepsRequested]]&gt;1),DiscreteStatsTable[[#This Row],[HalfWidth]],DiscreteStatsTable[[#This Row],[BatchMeansHalfWidth]])</f>
        <v>0.81123716841017435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17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67</v>
      </c>
      <c r="B745" t="s">
        <v>69</v>
      </c>
      <c r="C745">
        <v>10</v>
      </c>
      <c r="D745" t="s">
        <v>114</v>
      </c>
      <c r="E745" t="s">
        <v>107</v>
      </c>
      <c r="F745" t="s">
        <v>80</v>
      </c>
      <c r="G745">
        <v>9.9469886069776194</v>
      </c>
      <c r="H745">
        <v>2E+20</v>
      </c>
      <c r="I745">
        <v>0.734060739053504</v>
      </c>
      <c r="J745">
        <v>46.040540549425899</v>
      </c>
      <c r="K745">
        <v>124</v>
      </c>
      <c r="L745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17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8.476767334896584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6.3029244422908404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12.3809834783632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0.49903761733864399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59.068854696650199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5" s="5">
        <f>IF((DiscreteStatsTable[[#This Row],[RepsRequested]]&gt;1),DiscreteStatsTable[[#This Row],[HalfWidth]],DiscreteStatsTable[[#This Row],[BatchMeansHalfWidth]])</f>
        <v>0.81123716841017435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17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67</v>
      </c>
      <c r="B746" t="s">
        <v>69</v>
      </c>
      <c r="C746">
        <v>11</v>
      </c>
      <c r="D746" t="s">
        <v>114</v>
      </c>
      <c r="E746" t="s">
        <v>107</v>
      </c>
      <c r="F746" t="s">
        <v>80</v>
      </c>
      <c r="G746">
        <v>7.11577959746137</v>
      </c>
      <c r="H746">
        <v>2E+20</v>
      </c>
      <c r="I746">
        <v>0.66619012039601</v>
      </c>
      <c r="J746">
        <v>41.159616258472099</v>
      </c>
      <c r="K746">
        <v>115</v>
      </c>
      <c r="L746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17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8.476767334896584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6.3029244422908404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12.3809834783632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0.49903761733864399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59.068854696650199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6" s="5">
        <f>IF((DiscreteStatsTable[[#This Row],[RepsRequested]]&gt;1),DiscreteStatsTable[[#This Row],[HalfWidth]],DiscreteStatsTable[[#This Row],[BatchMeansHalfWidth]])</f>
        <v>0.81123716841017435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17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67</v>
      </c>
      <c r="B747" t="s">
        <v>69</v>
      </c>
      <c r="C747">
        <v>12</v>
      </c>
      <c r="D747" t="s">
        <v>114</v>
      </c>
      <c r="E747" t="s">
        <v>107</v>
      </c>
      <c r="F747" t="s">
        <v>80</v>
      </c>
      <c r="G747">
        <v>9.0583380242114693</v>
      </c>
      <c r="H747">
        <v>2E+20</v>
      </c>
      <c r="I747">
        <v>0.77053896372007102</v>
      </c>
      <c r="J747">
        <v>39.593354907189003</v>
      </c>
      <c r="K747">
        <v>122</v>
      </c>
      <c r="L747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17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8.476767334896584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6.3029244422908404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12.3809834783632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0.49903761733864399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59.068854696650199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7" s="5">
        <f>IF((DiscreteStatsTable[[#This Row],[RepsRequested]]&gt;1),DiscreteStatsTable[[#This Row],[HalfWidth]],DiscreteStatsTable[[#This Row],[BatchMeansHalfWidth]])</f>
        <v>0.81123716841017435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17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67</v>
      </c>
      <c r="B748" t="s">
        <v>69</v>
      </c>
      <c r="C748">
        <v>13</v>
      </c>
      <c r="D748" t="s">
        <v>114</v>
      </c>
      <c r="E748" t="s">
        <v>107</v>
      </c>
      <c r="F748" t="s">
        <v>80</v>
      </c>
      <c r="G748">
        <v>7.2013188607330099</v>
      </c>
      <c r="H748">
        <v>2E+20</v>
      </c>
      <c r="I748">
        <v>0.74707605140898203</v>
      </c>
      <c r="J748">
        <v>35.917318907329303</v>
      </c>
      <c r="K748">
        <v>111</v>
      </c>
      <c r="L748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17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8.476767334896584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6.3029244422908404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12.3809834783632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0.49903761733864399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59.068854696650199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8" s="5">
        <f>IF((DiscreteStatsTable[[#This Row],[RepsRequested]]&gt;1),DiscreteStatsTable[[#This Row],[HalfWidth]],DiscreteStatsTable[[#This Row],[BatchMeansHalfWidth]])</f>
        <v>0.81123716841017435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17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67</v>
      </c>
      <c r="B749" t="s">
        <v>69</v>
      </c>
      <c r="C749">
        <v>14</v>
      </c>
      <c r="D749" t="s">
        <v>114</v>
      </c>
      <c r="E749" t="s">
        <v>107</v>
      </c>
      <c r="F749" t="s">
        <v>80</v>
      </c>
      <c r="G749">
        <v>7.6264942452867297</v>
      </c>
      <c r="H749">
        <v>2E+20</v>
      </c>
      <c r="I749">
        <v>0.75514294490321299</v>
      </c>
      <c r="J749">
        <v>42.731754474429003</v>
      </c>
      <c r="K749">
        <v>108</v>
      </c>
      <c r="L749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17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8.476767334896584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1.5778141287777554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6.3029244422908404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12.3809834783632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0.49903761733864399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59.068854696650199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49" s="5">
        <f>IF((DiscreteStatsTable[[#This Row],[RepsRequested]]&gt;1),DiscreteStatsTable[[#This Row],[HalfWidth]],DiscreteStatsTable[[#This Row],[BatchMeansHalfWidth]])</f>
        <v>0.81123716841017435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17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67</v>
      </c>
      <c r="B750" t="s">
        <v>69</v>
      </c>
      <c r="C750">
        <v>15</v>
      </c>
      <c r="D750" t="s">
        <v>114</v>
      </c>
      <c r="E750" t="s">
        <v>107</v>
      </c>
      <c r="F750" t="s">
        <v>80</v>
      </c>
      <c r="G750">
        <v>8.0302015509659892</v>
      </c>
      <c r="H750">
        <v>2E+20</v>
      </c>
      <c r="I750">
        <v>0.70710881042238305</v>
      </c>
      <c r="J750">
        <v>59.068854696650199</v>
      </c>
      <c r="K750">
        <v>118</v>
      </c>
      <c r="L750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17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8.476767334896584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1.5778141287777554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6.3029244422908404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12.3809834783632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0.49903761733864399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59.068854696650199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0" s="5">
        <f>IF((DiscreteStatsTable[[#This Row],[RepsRequested]]&gt;1),DiscreteStatsTable[[#This Row],[HalfWidth]],DiscreteStatsTable[[#This Row],[BatchMeansHalfWidth]])</f>
        <v>0.81123716841017435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17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67</v>
      </c>
      <c r="B751" t="s">
        <v>69</v>
      </c>
      <c r="C751">
        <v>16</v>
      </c>
      <c r="D751" t="s">
        <v>114</v>
      </c>
      <c r="E751" t="s">
        <v>107</v>
      </c>
      <c r="F751" t="s">
        <v>80</v>
      </c>
      <c r="G751">
        <v>6.7782987181634597</v>
      </c>
      <c r="H751">
        <v>2E+20</v>
      </c>
      <c r="I751">
        <v>0.63326647380412704</v>
      </c>
      <c r="J751">
        <v>38.183169586679398</v>
      </c>
      <c r="K751">
        <v>110</v>
      </c>
      <c r="L751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17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8.476767334896584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1.5778141287777554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6.3029244422908404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12.3809834783632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0.49903761733864399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59.068854696650199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1" s="5">
        <f>IF((DiscreteStatsTable[[#This Row],[RepsRequested]]&gt;1),DiscreteStatsTable[[#This Row],[HalfWidth]],DiscreteStatsTable[[#This Row],[BatchMeansHalfWidth]])</f>
        <v>0.81123716841017435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17</v>
      </c>
      <c r="Y751" s="5">
        <f>IF(DiscreteStatsTable[[#This Row],[RepsRequested]]=DiscreteStatsTable[[#This Row],[RepsWithStatObserved]],1,0)</f>
        <v>1</v>
      </c>
    </row>
    <row r="752" spans="1:25" x14ac:dyDescent="0.25">
      <c r="A752" t="s">
        <v>67</v>
      </c>
      <c r="B752" t="s">
        <v>69</v>
      </c>
      <c r="C752">
        <v>17</v>
      </c>
      <c r="D752" t="s">
        <v>114</v>
      </c>
      <c r="E752" t="s">
        <v>107</v>
      </c>
      <c r="F752" t="s">
        <v>80</v>
      </c>
      <c r="G752">
        <v>10.334965297288001</v>
      </c>
      <c r="H752">
        <v>2E+20</v>
      </c>
      <c r="I752">
        <v>1.0392723983344601</v>
      </c>
      <c r="J752">
        <v>51.655360618147398</v>
      </c>
      <c r="K752">
        <v>117</v>
      </c>
      <c r="L752" s="5" t="str">
        <f>DiscreteStatsTable[[#This Row],[ProjectName]]&amp;DiscreteStatsTable[[#This Row],[Name]]&amp;DiscreteStatsTable[[#This Row],[Type]]&amp;DiscreteStatsTable[[#This Row],[Source]]</f>
        <v>Weekend (base)TiempoEnSistemaTodosIntervalUser Specified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17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8.476767334896584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1.5778141287777554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6.3029244422908404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12.3809834783632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0.49903761733864399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59.068854696650199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2" s="5">
        <f>IF((DiscreteStatsTable[[#This Row],[RepsRequested]]&gt;1),DiscreteStatsTable[[#This Row],[HalfWidth]],DiscreteStatsTable[[#This Row],[BatchMeansHalfWidth]])</f>
        <v>0.81123716841017435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17</v>
      </c>
      <c r="Y752" s="5">
        <f>IF(DiscreteStatsTable[[#This Row],[RepsRequested]]=DiscreteStatsTable[[#This Row],[RepsWithStatObserved]],1,0)</f>
        <v>1</v>
      </c>
    </row>
    <row r="753" spans="1:25" x14ac:dyDescent="0.25">
      <c r="A753" t="s">
        <v>67</v>
      </c>
      <c r="B753" t="s">
        <v>69</v>
      </c>
      <c r="C753">
        <v>1</v>
      </c>
      <c r="D753" t="s">
        <v>115</v>
      </c>
      <c r="E753" t="s">
        <v>79</v>
      </c>
      <c r="F753" t="s">
        <v>80</v>
      </c>
      <c r="G753">
        <v>0.35325995084212097</v>
      </c>
      <c r="H753">
        <v>2E+20</v>
      </c>
      <c r="I753">
        <v>5.1271351512070899E-2</v>
      </c>
      <c r="J753">
        <v>2.1860372267269699</v>
      </c>
      <c r="K753">
        <v>125</v>
      </c>
      <c r="L753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17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0.32744849250211205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0.282977199494648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0.37907847273247702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3.1900428696474102E-3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2.3863487431003101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3" s="5">
        <f>IF((DiscreteStatsTable[[#This Row],[RepsRequested]]&gt;1),DiscreteStatsTable[[#This Row],[HalfWidth]],DiscreteStatsTable[[#This Row],[BatchMeansHalfWidth]])</f>
        <v>1.5031504870299871E-2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17</v>
      </c>
      <c r="Y753" s="5">
        <f>IF(DiscreteStatsTable[[#This Row],[RepsRequested]]=DiscreteStatsTable[[#This Row],[RepsWithStatObserved]],1,0)</f>
        <v>1</v>
      </c>
    </row>
    <row r="754" spans="1:25" x14ac:dyDescent="0.25">
      <c r="A754" t="s">
        <v>67</v>
      </c>
      <c r="B754" t="s">
        <v>69</v>
      </c>
      <c r="C754">
        <v>2</v>
      </c>
      <c r="D754" t="s">
        <v>115</v>
      </c>
      <c r="E754" t="s">
        <v>79</v>
      </c>
      <c r="F754" t="s">
        <v>80</v>
      </c>
      <c r="G754">
        <v>0.29854501162108499</v>
      </c>
      <c r="H754">
        <v>2E+20</v>
      </c>
      <c r="I754">
        <v>3.1900428696474102E-3</v>
      </c>
      <c r="J754">
        <v>0.95916170816246904</v>
      </c>
      <c r="K754">
        <v>117</v>
      </c>
      <c r="L754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17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0.32744849250211205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0.282977199494648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0.37907847273247702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3.1900428696474102E-3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2.3863487431003101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4" s="5">
        <f>IF((DiscreteStatsTable[[#This Row],[RepsRequested]]&gt;1),DiscreteStatsTable[[#This Row],[HalfWidth]],DiscreteStatsTable[[#This Row],[BatchMeansHalfWidth]])</f>
        <v>1.5031504870299871E-2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17</v>
      </c>
      <c r="Y754" s="5">
        <f>IF(DiscreteStatsTable[[#This Row],[RepsRequested]]=DiscreteStatsTable[[#This Row],[RepsWithStatObserved]],1,0)</f>
        <v>1</v>
      </c>
    </row>
    <row r="755" spans="1:25" x14ac:dyDescent="0.25">
      <c r="A755" t="s">
        <v>67</v>
      </c>
      <c r="B755" t="s">
        <v>69</v>
      </c>
      <c r="C755">
        <v>3</v>
      </c>
      <c r="D755" t="s">
        <v>115</v>
      </c>
      <c r="E755" t="s">
        <v>79</v>
      </c>
      <c r="F755" t="s">
        <v>80</v>
      </c>
      <c r="G755">
        <v>0.36260084441518398</v>
      </c>
      <c r="H755">
        <v>2E+20</v>
      </c>
      <c r="I755">
        <v>2.31255553534595E-2</v>
      </c>
      <c r="J755">
        <v>2.17470396677541</v>
      </c>
      <c r="K755">
        <v>126</v>
      </c>
      <c r="L755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17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0.32744849250211205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0.282977199494648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0.37907847273247702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3.1900428696474102E-3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2.3863487431003101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5" s="5">
        <f>IF((DiscreteStatsTable[[#This Row],[RepsRequested]]&gt;1),DiscreteStatsTable[[#This Row],[HalfWidth]],DiscreteStatsTable[[#This Row],[BatchMeansHalfWidth]])</f>
        <v>1.5031504870299871E-2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17</v>
      </c>
      <c r="Y755" s="5">
        <f>IF(DiscreteStatsTable[[#This Row],[RepsRequested]]=DiscreteStatsTable[[#This Row],[RepsWithStatObserved]],1,0)</f>
        <v>1</v>
      </c>
    </row>
    <row r="756" spans="1:25" x14ac:dyDescent="0.25">
      <c r="A756" t="s">
        <v>67</v>
      </c>
      <c r="B756" t="s">
        <v>69</v>
      </c>
      <c r="C756">
        <v>4</v>
      </c>
      <c r="D756" t="s">
        <v>115</v>
      </c>
      <c r="E756" t="s">
        <v>79</v>
      </c>
      <c r="F756" t="s">
        <v>80</v>
      </c>
      <c r="G756">
        <v>0.35085379355209201</v>
      </c>
      <c r="H756">
        <v>2E+20</v>
      </c>
      <c r="I756">
        <v>2.1639011382191601E-2</v>
      </c>
      <c r="J756">
        <v>2.1856814350840201</v>
      </c>
      <c r="K756">
        <v>130</v>
      </c>
      <c r="L756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17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0.32744849250211205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0.282977199494648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0.37907847273247702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3.1900428696474102E-3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2.3863487431003101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6" s="5">
        <f>IF((DiscreteStatsTable[[#This Row],[RepsRequested]]&gt;1),DiscreteStatsTable[[#This Row],[HalfWidth]],DiscreteStatsTable[[#This Row],[BatchMeansHalfWidth]])</f>
        <v>1.5031504870299871E-2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17</v>
      </c>
      <c r="Y756" s="5">
        <f>IF(DiscreteStatsTable[[#This Row],[RepsRequested]]=DiscreteStatsTable[[#This Row],[RepsWithStatObserved]],1,0)</f>
        <v>1</v>
      </c>
    </row>
    <row r="757" spans="1:25" x14ac:dyDescent="0.25">
      <c r="A757" t="s">
        <v>67</v>
      </c>
      <c r="B757" t="s">
        <v>69</v>
      </c>
      <c r="C757">
        <v>5</v>
      </c>
      <c r="D757" t="s">
        <v>115</v>
      </c>
      <c r="E757" t="s">
        <v>79</v>
      </c>
      <c r="F757" t="s">
        <v>80</v>
      </c>
      <c r="G757">
        <v>0.29272625819624598</v>
      </c>
      <c r="H757">
        <v>2E+20</v>
      </c>
      <c r="I757">
        <v>1.8577749214244901E-2</v>
      </c>
      <c r="J757">
        <v>2.3759277185802401</v>
      </c>
      <c r="K757">
        <v>130</v>
      </c>
      <c r="L757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17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0.32744849250211205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0.282977199494648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0.37907847273247702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3.1900428696474102E-3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2.3863487431003101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7" s="5">
        <f>IF((DiscreteStatsTable[[#This Row],[RepsRequested]]&gt;1),DiscreteStatsTable[[#This Row],[HalfWidth]],DiscreteStatsTable[[#This Row],[BatchMeansHalfWidth]])</f>
        <v>1.5031504870299871E-2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17</v>
      </c>
      <c r="Y757" s="5">
        <f>IF(DiscreteStatsTable[[#This Row],[RepsRequested]]=DiscreteStatsTable[[#This Row],[RepsWithStatObserved]],1,0)</f>
        <v>1</v>
      </c>
    </row>
    <row r="758" spans="1:25" x14ac:dyDescent="0.25">
      <c r="A758" t="s">
        <v>67</v>
      </c>
      <c r="B758" t="s">
        <v>69</v>
      </c>
      <c r="C758">
        <v>6</v>
      </c>
      <c r="D758" t="s">
        <v>115</v>
      </c>
      <c r="E758" t="s">
        <v>79</v>
      </c>
      <c r="F758" t="s">
        <v>80</v>
      </c>
      <c r="G758">
        <v>0.31265973898670701</v>
      </c>
      <c r="H758">
        <v>2E+20</v>
      </c>
      <c r="I758">
        <v>5.7829984261843501E-3</v>
      </c>
      <c r="J758">
        <v>1.98570086391808</v>
      </c>
      <c r="K758">
        <v>120</v>
      </c>
      <c r="L758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17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0.32744849250211205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0.282977199494648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0.37907847273247702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3.1900428696474102E-3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2.3863487431003101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8" s="5">
        <f>IF((DiscreteStatsTable[[#This Row],[RepsRequested]]&gt;1),DiscreteStatsTable[[#This Row],[HalfWidth]],DiscreteStatsTable[[#This Row],[BatchMeansHalfWidth]])</f>
        <v>1.5031504870299871E-2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17</v>
      </c>
      <c r="Y758" s="5">
        <f>IF(DiscreteStatsTable[[#This Row],[RepsRequested]]=DiscreteStatsTable[[#This Row],[RepsWithStatObserved]],1,0)</f>
        <v>1</v>
      </c>
    </row>
    <row r="759" spans="1:25" x14ac:dyDescent="0.25">
      <c r="A759" t="s">
        <v>67</v>
      </c>
      <c r="B759" t="s">
        <v>69</v>
      </c>
      <c r="C759">
        <v>7</v>
      </c>
      <c r="D759" t="s">
        <v>115</v>
      </c>
      <c r="E759" t="s">
        <v>79</v>
      </c>
      <c r="F759" t="s">
        <v>80</v>
      </c>
      <c r="G759">
        <v>0.37907847273247702</v>
      </c>
      <c r="H759">
        <v>2E+20</v>
      </c>
      <c r="I759">
        <v>1.07621456128442E-2</v>
      </c>
      <c r="J759">
        <v>2.3863487431003101</v>
      </c>
      <c r="K759">
        <v>107</v>
      </c>
      <c r="L759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17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0.32744849250211205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0.282977199494648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0.37907847273247702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3.1900428696474102E-3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2.3863487431003101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59" s="5">
        <f>IF((DiscreteStatsTable[[#This Row],[RepsRequested]]&gt;1),DiscreteStatsTable[[#This Row],[HalfWidth]],DiscreteStatsTable[[#This Row],[BatchMeansHalfWidth]])</f>
        <v>1.5031504870299871E-2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17</v>
      </c>
      <c r="Y759" s="5">
        <f>IF(DiscreteStatsTable[[#This Row],[RepsRequested]]=DiscreteStatsTable[[#This Row],[RepsWithStatObserved]],1,0)</f>
        <v>1</v>
      </c>
    </row>
    <row r="760" spans="1:25" x14ac:dyDescent="0.25">
      <c r="A760" t="s">
        <v>67</v>
      </c>
      <c r="B760" t="s">
        <v>69</v>
      </c>
      <c r="C760">
        <v>8</v>
      </c>
      <c r="D760" t="s">
        <v>115</v>
      </c>
      <c r="E760" t="s">
        <v>79</v>
      </c>
      <c r="F760" t="s">
        <v>80</v>
      </c>
      <c r="G760">
        <v>0.336649657428506</v>
      </c>
      <c r="H760">
        <v>2E+20</v>
      </c>
      <c r="I760">
        <v>2.9749809229116402E-2</v>
      </c>
      <c r="J760">
        <v>2.38038027612768</v>
      </c>
      <c r="K760">
        <v>119</v>
      </c>
      <c r="L760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17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0.32744849250211205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0.282977199494648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0.37907847273247702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3.1900428696474102E-3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2.3863487431003101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0" s="5">
        <f>IF((DiscreteStatsTable[[#This Row],[RepsRequested]]&gt;1),DiscreteStatsTable[[#This Row],[HalfWidth]],DiscreteStatsTable[[#This Row],[BatchMeansHalfWidth]])</f>
        <v>1.5031504870299871E-2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17</v>
      </c>
      <c r="Y760" s="5">
        <f>IF(DiscreteStatsTable[[#This Row],[RepsRequested]]=DiscreteStatsTable[[#This Row],[RepsWithStatObserved]],1,0)</f>
        <v>1</v>
      </c>
    </row>
    <row r="761" spans="1:25" x14ac:dyDescent="0.25">
      <c r="A761" t="s">
        <v>67</v>
      </c>
      <c r="B761" t="s">
        <v>69</v>
      </c>
      <c r="C761">
        <v>9</v>
      </c>
      <c r="D761" t="s">
        <v>115</v>
      </c>
      <c r="E761" t="s">
        <v>79</v>
      </c>
      <c r="F761" t="s">
        <v>80</v>
      </c>
      <c r="G761">
        <v>0.35056949679787502</v>
      </c>
      <c r="H761">
        <v>2E+20</v>
      </c>
      <c r="I761">
        <v>3.7276331415767999E-2</v>
      </c>
      <c r="J761">
        <v>1.96004961599564</v>
      </c>
      <c r="K761">
        <v>120</v>
      </c>
      <c r="L761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17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0.32744849250211205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0.282977199494648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0.37907847273247702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3.1900428696474102E-3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2.3863487431003101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1" s="5">
        <f>IF((DiscreteStatsTable[[#This Row],[RepsRequested]]&gt;1),DiscreteStatsTable[[#This Row],[HalfWidth]],DiscreteStatsTable[[#This Row],[BatchMeansHalfWidth]])</f>
        <v>1.5031504870299871E-2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17</v>
      </c>
      <c r="Y761" s="5">
        <f>IF(DiscreteStatsTable[[#This Row],[RepsRequested]]=DiscreteStatsTable[[#This Row],[RepsWithStatObserved]],1,0)</f>
        <v>1</v>
      </c>
    </row>
    <row r="762" spans="1:25" x14ac:dyDescent="0.25">
      <c r="A762" t="s">
        <v>67</v>
      </c>
      <c r="B762" t="s">
        <v>69</v>
      </c>
      <c r="C762">
        <v>10</v>
      </c>
      <c r="D762" t="s">
        <v>115</v>
      </c>
      <c r="E762" t="s">
        <v>79</v>
      </c>
      <c r="F762" t="s">
        <v>80</v>
      </c>
      <c r="G762">
        <v>0.343783206160657</v>
      </c>
      <c r="H762">
        <v>2E+20</v>
      </c>
      <c r="I762">
        <v>1.2394548481111701E-2</v>
      </c>
      <c r="J762">
        <v>2.3436405583945299</v>
      </c>
      <c r="K762">
        <v>124</v>
      </c>
      <c r="L762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17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0.32744849250211205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0.282977199494648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0.37907847273247702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3.1900428696474102E-3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2.3863487431003101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2" s="5">
        <f>IF((DiscreteStatsTable[[#This Row],[RepsRequested]]&gt;1),DiscreteStatsTable[[#This Row],[HalfWidth]],DiscreteStatsTable[[#This Row],[BatchMeansHalfWidth]])</f>
        <v>1.5031504870299871E-2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17</v>
      </c>
      <c r="Y762" s="5">
        <f>IF(DiscreteStatsTable[[#This Row],[RepsRequested]]=DiscreteStatsTable[[#This Row],[RepsWithStatObserved]],1,0)</f>
        <v>1</v>
      </c>
    </row>
    <row r="763" spans="1:25" x14ac:dyDescent="0.25">
      <c r="A763" t="s">
        <v>67</v>
      </c>
      <c r="B763" t="s">
        <v>69</v>
      </c>
      <c r="C763">
        <v>11</v>
      </c>
      <c r="D763" t="s">
        <v>115</v>
      </c>
      <c r="E763" t="s">
        <v>79</v>
      </c>
      <c r="F763" t="s">
        <v>80</v>
      </c>
      <c r="G763">
        <v>0.35458020800623102</v>
      </c>
      <c r="H763">
        <v>2E+20</v>
      </c>
      <c r="I763">
        <v>9.5335730247398907E-3</v>
      </c>
      <c r="J763">
        <v>2.1885767061903598</v>
      </c>
      <c r="K763">
        <v>115</v>
      </c>
      <c r="L763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17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0.32744849250211205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0.282977199494648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0.37907847273247702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3.1900428696474102E-3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2.3863487431003101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3" s="5">
        <f>IF((DiscreteStatsTable[[#This Row],[RepsRequested]]&gt;1),DiscreteStatsTable[[#This Row],[HalfWidth]],DiscreteStatsTable[[#This Row],[BatchMeansHalfWidth]])</f>
        <v>1.5031504870299871E-2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17</v>
      </c>
      <c r="Y763" s="5">
        <f>IF(DiscreteStatsTable[[#This Row],[RepsRequested]]=DiscreteStatsTable[[#This Row],[RepsWithStatObserved]],1,0)</f>
        <v>1</v>
      </c>
    </row>
    <row r="764" spans="1:25" x14ac:dyDescent="0.25">
      <c r="A764" t="s">
        <v>67</v>
      </c>
      <c r="B764" t="s">
        <v>69</v>
      </c>
      <c r="C764">
        <v>12</v>
      </c>
      <c r="D764" t="s">
        <v>115</v>
      </c>
      <c r="E764" t="s">
        <v>79</v>
      </c>
      <c r="F764" t="s">
        <v>80</v>
      </c>
      <c r="G764">
        <v>0.32773093873909298</v>
      </c>
      <c r="H764">
        <v>2E+20</v>
      </c>
      <c r="I764">
        <v>1.2844393367743101E-2</v>
      </c>
      <c r="J764">
        <v>0.95637084003988104</v>
      </c>
      <c r="K764">
        <v>122</v>
      </c>
      <c r="L764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17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0.32744849250211205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0.282977199494648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0.37907847273247702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3.1900428696474102E-3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2.3863487431003101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4" s="5">
        <f>IF((DiscreteStatsTable[[#This Row],[RepsRequested]]&gt;1),DiscreteStatsTable[[#This Row],[HalfWidth]],DiscreteStatsTable[[#This Row],[BatchMeansHalfWidth]])</f>
        <v>1.5031504870299871E-2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17</v>
      </c>
      <c r="Y764" s="5">
        <f>IF(DiscreteStatsTable[[#This Row],[RepsRequested]]=DiscreteStatsTable[[#This Row],[RepsWithStatObserved]],1,0)</f>
        <v>1</v>
      </c>
    </row>
    <row r="765" spans="1:25" x14ac:dyDescent="0.25">
      <c r="A765" t="s">
        <v>67</v>
      </c>
      <c r="B765" t="s">
        <v>69</v>
      </c>
      <c r="C765">
        <v>13</v>
      </c>
      <c r="D765" t="s">
        <v>115</v>
      </c>
      <c r="E765" t="s">
        <v>79</v>
      </c>
      <c r="F765" t="s">
        <v>80</v>
      </c>
      <c r="G765">
        <v>0.31953120802714702</v>
      </c>
      <c r="H765">
        <v>2E+20</v>
      </c>
      <c r="I765">
        <v>1.40230702180872E-2</v>
      </c>
      <c r="J765">
        <v>1.9296610534535099</v>
      </c>
      <c r="K765">
        <v>111</v>
      </c>
      <c r="L765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17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0.32744849250211205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0.282977199494648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0.37907847273247702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3.1900428696474102E-3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2.3863487431003101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5" s="5">
        <f>IF((DiscreteStatsTable[[#This Row],[RepsRequested]]&gt;1),DiscreteStatsTable[[#This Row],[HalfWidth]],DiscreteStatsTable[[#This Row],[BatchMeansHalfWidth]])</f>
        <v>1.5031504870299871E-2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17</v>
      </c>
      <c r="Y765" s="5">
        <f>IF(DiscreteStatsTable[[#This Row],[RepsRequested]]=DiscreteStatsTable[[#This Row],[RepsWithStatObserved]],1,0)</f>
        <v>1</v>
      </c>
    </row>
    <row r="766" spans="1:25" x14ac:dyDescent="0.25">
      <c r="A766" t="s">
        <v>67</v>
      </c>
      <c r="B766" t="s">
        <v>69</v>
      </c>
      <c r="C766">
        <v>14</v>
      </c>
      <c r="D766" t="s">
        <v>115</v>
      </c>
      <c r="E766" t="s">
        <v>79</v>
      </c>
      <c r="F766" t="s">
        <v>80</v>
      </c>
      <c r="G766">
        <v>0.30973860115902901</v>
      </c>
      <c r="H766">
        <v>2E+20</v>
      </c>
      <c r="I766">
        <v>2.9120982472079501E-2</v>
      </c>
      <c r="J766">
        <v>1.59256260753847</v>
      </c>
      <c r="K766">
        <v>108</v>
      </c>
      <c r="L766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17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0.32744849250211205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0.282977199494648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0.37907847273247702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3.1900428696474102E-3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2.3863487431003101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6" s="5">
        <f>IF((DiscreteStatsTable[[#This Row],[RepsRequested]]&gt;1),DiscreteStatsTable[[#This Row],[HalfWidth]],DiscreteStatsTable[[#This Row],[BatchMeansHalfWidth]])</f>
        <v>1.5031504870299871E-2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17</v>
      </c>
      <c r="Y766" s="5">
        <f>IF(DiscreteStatsTable[[#This Row],[RepsRequested]]=DiscreteStatsTable[[#This Row],[RepsWithStatObserved]],1,0)</f>
        <v>1</v>
      </c>
    </row>
    <row r="767" spans="1:25" x14ac:dyDescent="0.25">
      <c r="A767" t="s">
        <v>67</v>
      </c>
      <c r="B767" t="s">
        <v>69</v>
      </c>
      <c r="C767">
        <v>15</v>
      </c>
      <c r="D767" t="s">
        <v>115</v>
      </c>
      <c r="E767" t="s">
        <v>79</v>
      </c>
      <c r="F767" t="s">
        <v>80</v>
      </c>
      <c r="G767">
        <v>0.30800358600419397</v>
      </c>
      <c r="H767">
        <v>2E+20</v>
      </c>
      <c r="I767">
        <v>2.6253382237996399E-2</v>
      </c>
      <c r="J767">
        <v>1.8455015333939599</v>
      </c>
      <c r="K767">
        <v>118</v>
      </c>
      <c r="L767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17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0.32744849250211205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0.282977199494648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0.37907847273247702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3.1900428696474102E-3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2.3863487431003101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7" s="5">
        <f>IF((DiscreteStatsTable[[#This Row],[RepsRequested]]&gt;1),DiscreteStatsTable[[#This Row],[HalfWidth]],DiscreteStatsTable[[#This Row],[BatchMeansHalfWidth]])</f>
        <v>1.5031504870299871E-2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17</v>
      </c>
      <c r="Y767" s="5">
        <f>IF(DiscreteStatsTable[[#This Row],[RepsRequested]]=DiscreteStatsTable[[#This Row],[RepsWithStatObserved]],1,0)</f>
        <v>1</v>
      </c>
    </row>
    <row r="768" spans="1:25" x14ac:dyDescent="0.25">
      <c r="A768" t="s">
        <v>67</v>
      </c>
      <c r="B768" t="s">
        <v>69</v>
      </c>
      <c r="C768">
        <v>16</v>
      </c>
      <c r="D768" t="s">
        <v>115</v>
      </c>
      <c r="E768" t="s">
        <v>79</v>
      </c>
      <c r="F768" t="s">
        <v>80</v>
      </c>
      <c r="G768">
        <v>0.282977199494648</v>
      </c>
      <c r="H768">
        <v>2E+20</v>
      </c>
      <c r="I768">
        <v>1.11786954876436E-2</v>
      </c>
      <c r="J768">
        <v>0.76107873414667904</v>
      </c>
      <c r="K768">
        <v>110</v>
      </c>
      <c r="L768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17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0.32744849250211205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0.282977199494648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0.37907847273247702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3.1900428696474102E-3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2.3863487431003101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8" s="5">
        <f>IF((DiscreteStatsTable[[#This Row],[RepsRequested]]&gt;1),DiscreteStatsTable[[#This Row],[HalfWidth]],DiscreteStatsTable[[#This Row],[BatchMeansHalfWidth]])</f>
        <v>1.5031504870299871E-2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17</v>
      </c>
      <c r="Y768" s="5">
        <f>IF(DiscreteStatsTable[[#This Row],[RepsRequested]]=DiscreteStatsTable[[#This Row],[RepsWithStatObserved]],1,0)</f>
        <v>1</v>
      </c>
    </row>
    <row r="769" spans="1:25" x14ac:dyDescent="0.25">
      <c r="A769" t="s">
        <v>67</v>
      </c>
      <c r="B769" t="s">
        <v>69</v>
      </c>
      <c r="C769">
        <v>17</v>
      </c>
      <c r="D769" t="s">
        <v>115</v>
      </c>
      <c r="E769" t="s">
        <v>79</v>
      </c>
      <c r="F769" t="s">
        <v>80</v>
      </c>
      <c r="G769">
        <v>0.28333620037261298</v>
      </c>
      <c r="H769">
        <v>2E+20</v>
      </c>
      <c r="I769">
        <v>1.25171935620614E-2</v>
      </c>
      <c r="J769">
        <v>0.79814313127462799</v>
      </c>
      <c r="K769">
        <v>117</v>
      </c>
      <c r="L769" s="5" t="str">
        <f>DiscreteStatsTable[[#This Row],[ProjectName]]&amp;DiscreteStatsTable[[#This Row],[Name]]&amp;DiscreteStatsTable[[#This Row],[Type]]&amp;DiscreteStatsTable[[#This Row],[Source]]</f>
        <v>Weekend (base)TiempoPagoExpressionUser Specified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17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0.32744849250211205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2.9235495715303723E-2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1.5031504870299871E-2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0.282977199494648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0.37907847273247702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3.1900428696474102E-3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2.3863487431003101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69" s="5">
        <f>IF((DiscreteStatsTable[[#This Row],[RepsRequested]]&gt;1),DiscreteStatsTable[[#This Row],[HalfWidth]],DiscreteStatsTable[[#This Row],[BatchMeansHalfWidth]])</f>
        <v>1.5031504870299871E-2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17</v>
      </c>
      <c r="Y769" s="5">
        <f>IF(DiscreteStatsTable[[#This Row],[RepsRequested]]=DiscreteStatsTable[[#This Row],[RepsWithStatObserved]],1,0)</f>
        <v>1</v>
      </c>
    </row>
    <row r="770" spans="1:25" x14ac:dyDescent="0.25">
      <c r="A770" t="s">
        <v>67</v>
      </c>
      <c r="B770" t="s">
        <v>69</v>
      </c>
      <c r="C770">
        <v>1</v>
      </c>
      <c r="D770" t="s">
        <v>116</v>
      </c>
      <c r="E770" t="s">
        <v>79</v>
      </c>
      <c r="F770" t="s">
        <v>80</v>
      </c>
      <c r="G770">
        <v>0.35222640757045898</v>
      </c>
      <c r="H770">
        <v>2E+20</v>
      </c>
      <c r="I770">
        <v>3.6332865054561098E-2</v>
      </c>
      <c r="J770">
        <v>1.1254827335592399</v>
      </c>
      <c r="K770">
        <v>125</v>
      </c>
      <c r="L770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17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0.31261073531401484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0.28620902532745701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0.35222640757045898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2.7295964517620099E-2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1.3578592622225301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0" s="5">
        <f>IF((DiscreteStatsTable[[#This Row],[RepsRequested]]&gt;1),DiscreteStatsTable[[#This Row],[HalfWidth]],DiscreteStatsTable[[#This Row],[BatchMeansHalfWidth]])</f>
        <v>1.047930457487032E-2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17</v>
      </c>
      <c r="Y770" s="5">
        <f>IF(DiscreteStatsTable[[#This Row],[RepsRequested]]=DiscreteStatsTable[[#This Row],[RepsWithStatObserved]],1,0)</f>
        <v>1</v>
      </c>
    </row>
    <row r="771" spans="1:25" x14ac:dyDescent="0.25">
      <c r="A771" t="s">
        <v>67</v>
      </c>
      <c r="B771" t="s">
        <v>69</v>
      </c>
      <c r="C771">
        <v>2</v>
      </c>
      <c r="D771" t="s">
        <v>116</v>
      </c>
      <c r="E771" t="s">
        <v>79</v>
      </c>
      <c r="F771" t="s">
        <v>80</v>
      </c>
      <c r="G771">
        <v>0.30366037237413201</v>
      </c>
      <c r="H771">
        <v>2E+20</v>
      </c>
      <c r="I771">
        <v>3.2691388069679299E-2</v>
      </c>
      <c r="J771">
        <v>1.30125691063139</v>
      </c>
      <c r="K771">
        <v>117</v>
      </c>
      <c r="L771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17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0.31261073531401484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0.28620902532745701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0.35222640757045898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2.7295964517620099E-2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1.3578592622225301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1" s="5">
        <f>IF((DiscreteStatsTable[[#This Row],[RepsRequested]]&gt;1),DiscreteStatsTable[[#This Row],[HalfWidth]],DiscreteStatsTable[[#This Row],[BatchMeansHalfWidth]])</f>
        <v>1.047930457487032E-2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17</v>
      </c>
      <c r="Y771" s="5">
        <f>IF(DiscreteStatsTable[[#This Row],[RepsRequested]]=DiscreteStatsTable[[#This Row],[RepsWithStatObserved]],1,0)</f>
        <v>1</v>
      </c>
    </row>
    <row r="772" spans="1:25" x14ac:dyDescent="0.25">
      <c r="A772" t="s">
        <v>67</v>
      </c>
      <c r="B772" t="s">
        <v>69</v>
      </c>
      <c r="C772">
        <v>3</v>
      </c>
      <c r="D772" t="s">
        <v>116</v>
      </c>
      <c r="E772" t="s">
        <v>79</v>
      </c>
      <c r="F772" t="s">
        <v>80</v>
      </c>
      <c r="G772">
        <v>0.32830712881975399</v>
      </c>
      <c r="H772">
        <v>2E+20</v>
      </c>
      <c r="I772">
        <v>5.3475730445683198E-2</v>
      </c>
      <c r="J772">
        <v>1.3578592622225301</v>
      </c>
      <c r="K772">
        <v>126</v>
      </c>
      <c r="L772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17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0.31261073531401484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0.28620902532745701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0.35222640757045898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2.7295964517620099E-2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1.3578592622225301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2" s="5">
        <f>IF((DiscreteStatsTable[[#This Row],[RepsRequested]]&gt;1),DiscreteStatsTable[[#This Row],[HalfWidth]],DiscreteStatsTable[[#This Row],[BatchMeansHalfWidth]])</f>
        <v>1.047930457487032E-2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17</v>
      </c>
      <c r="Y772" s="5">
        <f>IF(DiscreteStatsTable[[#This Row],[RepsRequested]]=DiscreteStatsTable[[#This Row],[RepsWithStatObserved]],1,0)</f>
        <v>1</v>
      </c>
    </row>
    <row r="773" spans="1:25" x14ac:dyDescent="0.25">
      <c r="A773" t="s">
        <v>67</v>
      </c>
      <c r="B773" t="s">
        <v>69</v>
      </c>
      <c r="C773">
        <v>4</v>
      </c>
      <c r="D773" t="s">
        <v>116</v>
      </c>
      <c r="E773" t="s">
        <v>79</v>
      </c>
      <c r="F773" t="s">
        <v>80</v>
      </c>
      <c r="G773">
        <v>0.31617842673062901</v>
      </c>
      <c r="H773">
        <v>2E+20</v>
      </c>
      <c r="I773">
        <v>3.4985691403335302E-2</v>
      </c>
      <c r="J773">
        <v>0.97320538721399397</v>
      </c>
      <c r="K773">
        <v>130</v>
      </c>
      <c r="L773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17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0.31261073531401484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0.28620902532745701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0.35222640757045898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2.7295964517620099E-2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1.3578592622225301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3" s="5">
        <f>IF((DiscreteStatsTable[[#This Row],[RepsRequested]]&gt;1),DiscreteStatsTable[[#This Row],[HalfWidth]],DiscreteStatsTable[[#This Row],[BatchMeansHalfWidth]])</f>
        <v>1.047930457487032E-2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17</v>
      </c>
      <c r="Y773" s="5">
        <f>IF(DiscreteStatsTable[[#This Row],[RepsRequested]]=DiscreteStatsTable[[#This Row],[RepsWithStatObserved]],1,0)</f>
        <v>1</v>
      </c>
    </row>
    <row r="774" spans="1:25" x14ac:dyDescent="0.25">
      <c r="A774" t="s">
        <v>67</v>
      </c>
      <c r="B774" t="s">
        <v>69</v>
      </c>
      <c r="C774">
        <v>5</v>
      </c>
      <c r="D774" t="s">
        <v>116</v>
      </c>
      <c r="E774" t="s">
        <v>79</v>
      </c>
      <c r="F774" t="s">
        <v>80</v>
      </c>
      <c r="G774">
        <v>0.29473537777535802</v>
      </c>
      <c r="H774">
        <v>2E+20</v>
      </c>
      <c r="I774">
        <v>2.7295964517620099E-2</v>
      </c>
      <c r="J774">
        <v>1.0232158211595399</v>
      </c>
      <c r="K774">
        <v>130</v>
      </c>
      <c r="L774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17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0.31261073531401484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0.28620902532745701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0.35222640757045898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2.7295964517620099E-2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1.3578592622225301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4" s="5">
        <f>IF((DiscreteStatsTable[[#This Row],[RepsRequested]]&gt;1),DiscreteStatsTable[[#This Row],[HalfWidth]],DiscreteStatsTable[[#This Row],[BatchMeansHalfWidth]])</f>
        <v>1.047930457487032E-2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17</v>
      </c>
      <c r="Y774" s="5">
        <f>IF(DiscreteStatsTable[[#This Row],[RepsRequested]]=DiscreteStatsTable[[#This Row],[RepsWithStatObserved]],1,0)</f>
        <v>1</v>
      </c>
    </row>
    <row r="775" spans="1:25" x14ac:dyDescent="0.25">
      <c r="A775" t="s">
        <v>67</v>
      </c>
      <c r="B775" t="s">
        <v>69</v>
      </c>
      <c r="C775">
        <v>6</v>
      </c>
      <c r="D775" t="s">
        <v>116</v>
      </c>
      <c r="E775" t="s">
        <v>79</v>
      </c>
      <c r="F775" t="s">
        <v>80</v>
      </c>
      <c r="G775">
        <v>0.32415934453930201</v>
      </c>
      <c r="H775">
        <v>2E+20</v>
      </c>
      <c r="I775">
        <v>3.3565205325928098E-2</v>
      </c>
      <c r="J775">
        <v>1.2035509078425</v>
      </c>
      <c r="K775">
        <v>120</v>
      </c>
      <c r="L775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17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0.31261073531401484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0.28620902532745701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0.35222640757045898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2.7295964517620099E-2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1.3578592622225301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5" s="5">
        <f>IF((DiscreteStatsTable[[#This Row],[RepsRequested]]&gt;1),DiscreteStatsTable[[#This Row],[HalfWidth]],DiscreteStatsTable[[#This Row],[BatchMeansHalfWidth]])</f>
        <v>1.047930457487032E-2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17</v>
      </c>
      <c r="Y775" s="5">
        <f>IF(DiscreteStatsTable[[#This Row],[RepsRequested]]=DiscreteStatsTable[[#This Row],[RepsWithStatObserved]],1,0)</f>
        <v>1</v>
      </c>
    </row>
    <row r="776" spans="1:25" x14ac:dyDescent="0.25">
      <c r="A776" t="s">
        <v>67</v>
      </c>
      <c r="B776" t="s">
        <v>69</v>
      </c>
      <c r="C776">
        <v>7</v>
      </c>
      <c r="D776" t="s">
        <v>116</v>
      </c>
      <c r="E776" t="s">
        <v>79</v>
      </c>
      <c r="F776" t="s">
        <v>80</v>
      </c>
      <c r="G776">
        <v>0.33983773506926501</v>
      </c>
      <c r="H776">
        <v>2E+20</v>
      </c>
      <c r="I776">
        <v>2.9708481357886299E-2</v>
      </c>
      <c r="J776">
        <v>0.83105375343288301</v>
      </c>
      <c r="K776">
        <v>107</v>
      </c>
      <c r="L776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17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0.31261073531401484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0.28620902532745701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0.35222640757045898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2.7295964517620099E-2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1.3578592622225301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6" s="5">
        <f>IF((DiscreteStatsTable[[#This Row],[RepsRequested]]&gt;1),DiscreteStatsTable[[#This Row],[HalfWidth]],DiscreteStatsTable[[#This Row],[BatchMeansHalfWidth]])</f>
        <v>1.047930457487032E-2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17</v>
      </c>
      <c r="Y776" s="5">
        <f>IF(DiscreteStatsTable[[#This Row],[RepsRequested]]=DiscreteStatsTable[[#This Row],[RepsWithStatObserved]],1,0)</f>
        <v>1</v>
      </c>
    </row>
    <row r="777" spans="1:25" x14ac:dyDescent="0.25">
      <c r="A777" t="s">
        <v>67</v>
      </c>
      <c r="B777" t="s">
        <v>69</v>
      </c>
      <c r="C777">
        <v>8</v>
      </c>
      <c r="D777" t="s">
        <v>116</v>
      </c>
      <c r="E777" t="s">
        <v>79</v>
      </c>
      <c r="F777" t="s">
        <v>80</v>
      </c>
      <c r="G777">
        <v>0.30837584325929501</v>
      </c>
      <c r="H777">
        <v>2E+20</v>
      </c>
      <c r="I777">
        <v>3.15929628477747E-2</v>
      </c>
      <c r="J777">
        <v>1.1916587921259401</v>
      </c>
      <c r="K777">
        <v>119</v>
      </c>
      <c r="L777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17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0.31261073531401484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0.28620902532745701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0.35222640757045898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2.7295964517620099E-2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1.3578592622225301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7" s="5">
        <f>IF((DiscreteStatsTable[[#This Row],[RepsRequested]]&gt;1),DiscreteStatsTable[[#This Row],[HalfWidth]],DiscreteStatsTable[[#This Row],[BatchMeansHalfWidth]])</f>
        <v>1.047930457487032E-2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17</v>
      </c>
      <c r="Y777" s="5">
        <f>IF(DiscreteStatsTable[[#This Row],[RepsRequested]]=DiscreteStatsTable[[#This Row],[RepsWithStatObserved]],1,0)</f>
        <v>1</v>
      </c>
    </row>
    <row r="778" spans="1:25" x14ac:dyDescent="0.25">
      <c r="A778" t="s">
        <v>67</v>
      </c>
      <c r="B778" t="s">
        <v>69</v>
      </c>
      <c r="C778">
        <v>9</v>
      </c>
      <c r="D778" t="s">
        <v>116</v>
      </c>
      <c r="E778" t="s">
        <v>79</v>
      </c>
      <c r="F778" t="s">
        <v>80</v>
      </c>
      <c r="G778">
        <v>0.31879478522672899</v>
      </c>
      <c r="H778">
        <v>2E+20</v>
      </c>
      <c r="I778">
        <v>3.7208010601062803E-2</v>
      </c>
      <c r="J778">
        <v>1.0494109444083199</v>
      </c>
      <c r="K778">
        <v>120</v>
      </c>
      <c r="L778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17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0.31261073531401484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0.28620902532745701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0.35222640757045898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2.7295964517620099E-2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1.3578592622225301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8" s="5">
        <f>IF((DiscreteStatsTable[[#This Row],[RepsRequested]]&gt;1),DiscreteStatsTable[[#This Row],[HalfWidth]],DiscreteStatsTable[[#This Row],[BatchMeansHalfWidth]])</f>
        <v>1.047930457487032E-2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17</v>
      </c>
      <c r="Y778" s="5">
        <f>IF(DiscreteStatsTable[[#This Row],[RepsRequested]]=DiscreteStatsTable[[#This Row],[RepsWithStatObserved]],1,0)</f>
        <v>1</v>
      </c>
    </row>
    <row r="779" spans="1:25" x14ac:dyDescent="0.25">
      <c r="A779" t="s">
        <v>67</v>
      </c>
      <c r="B779" t="s">
        <v>69</v>
      </c>
      <c r="C779">
        <v>10</v>
      </c>
      <c r="D779" t="s">
        <v>116</v>
      </c>
      <c r="E779" t="s">
        <v>79</v>
      </c>
      <c r="F779" t="s">
        <v>80</v>
      </c>
      <c r="G779">
        <v>0.34769510631390699</v>
      </c>
      <c r="H779">
        <v>2E+20</v>
      </c>
      <c r="I779">
        <v>4.4039780477021402E-2</v>
      </c>
      <c r="J779">
        <v>1.2124289806024799</v>
      </c>
      <c r="K779">
        <v>124</v>
      </c>
      <c r="L779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17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0.31261073531401484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0.28620902532745701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0.35222640757045898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2.7295964517620099E-2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1.3578592622225301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79" s="5">
        <f>IF((DiscreteStatsTable[[#This Row],[RepsRequested]]&gt;1),DiscreteStatsTable[[#This Row],[HalfWidth]],DiscreteStatsTable[[#This Row],[BatchMeansHalfWidth]])</f>
        <v>1.047930457487032E-2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17</v>
      </c>
      <c r="Y779" s="5">
        <f>IF(DiscreteStatsTable[[#This Row],[RepsRequested]]=DiscreteStatsTable[[#This Row],[RepsWithStatObserved]],1,0)</f>
        <v>1</v>
      </c>
    </row>
    <row r="780" spans="1:25" x14ac:dyDescent="0.25">
      <c r="A780" t="s">
        <v>67</v>
      </c>
      <c r="B780" t="s">
        <v>69</v>
      </c>
      <c r="C780">
        <v>11</v>
      </c>
      <c r="D780" t="s">
        <v>116</v>
      </c>
      <c r="E780" t="s">
        <v>79</v>
      </c>
      <c r="F780" t="s">
        <v>80</v>
      </c>
      <c r="G780">
        <v>0.28677205977255599</v>
      </c>
      <c r="H780">
        <v>2E+20</v>
      </c>
      <c r="I780">
        <v>3.6342852181689998E-2</v>
      </c>
      <c r="J780">
        <v>0.84178935787227305</v>
      </c>
      <c r="K780">
        <v>115</v>
      </c>
      <c r="L780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17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0.31261073531401484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0.28620902532745701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0.35222640757045898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2.7295964517620099E-2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1.3578592622225301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0" s="5">
        <f>IF((DiscreteStatsTable[[#This Row],[RepsRequested]]&gt;1),DiscreteStatsTable[[#This Row],[HalfWidth]],DiscreteStatsTable[[#This Row],[BatchMeansHalfWidth]])</f>
        <v>1.047930457487032E-2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17</v>
      </c>
      <c r="Y780" s="5">
        <f>IF(DiscreteStatsTable[[#This Row],[RepsRequested]]=DiscreteStatsTable[[#This Row],[RepsWithStatObserved]],1,0)</f>
        <v>1</v>
      </c>
    </row>
    <row r="781" spans="1:25" x14ac:dyDescent="0.25">
      <c r="A781" t="s">
        <v>67</v>
      </c>
      <c r="B781" t="s">
        <v>69</v>
      </c>
      <c r="C781">
        <v>12</v>
      </c>
      <c r="D781" t="s">
        <v>116</v>
      </c>
      <c r="E781" t="s">
        <v>79</v>
      </c>
      <c r="F781" t="s">
        <v>80</v>
      </c>
      <c r="G781">
        <v>0.30626991127616399</v>
      </c>
      <c r="H781">
        <v>2E+20</v>
      </c>
      <c r="I781">
        <v>3.10299731586667E-2</v>
      </c>
      <c r="J781">
        <v>1.1991209544629</v>
      </c>
      <c r="K781">
        <v>122</v>
      </c>
      <c r="L781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17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0.31261073531401484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0.28620902532745701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0.35222640757045898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2.7295964517620099E-2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1.3578592622225301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1" s="5">
        <f>IF((DiscreteStatsTable[[#This Row],[RepsRequested]]&gt;1),DiscreteStatsTable[[#This Row],[HalfWidth]],DiscreteStatsTable[[#This Row],[BatchMeansHalfWidth]])</f>
        <v>1.047930457487032E-2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17</v>
      </c>
      <c r="Y781" s="5">
        <f>IF(DiscreteStatsTable[[#This Row],[RepsRequested]]=DiscreteStatsTable[[#This Row],[RepsWithStatObserved]],1,0)</f>
        <v>1</v>
      </c>
    </row>
    <row r="782" spans="1:25" x14ac:dyDescent="0.25">
      <c r="A782" t="s">
        <v>67</v>
      </c>
      <c r="B782" t="s">
        <v>69</v>
      </c>
      <c r="C782">
        <v>13</v>
      </c>
      <c r="D782" t="s">
        <v>116</v>
      </c>
      <c r="E782" t="s">
        <v>79</v>
      </c>
      <c r="F782" t="s">
        <v>80</v>
      </c>
      <c r="G782">
        <v>0.30879826037416702</v>
      </c>
      <c r="H782">
        <v>2E+20</v>
      </c>
      <c r="I782">
        <v>2.88072724200958E-2</v>
      </c>
      <c r="J782">
        <v>1.2429000873761</v>
      </c>
      <c r="K782">
        <v>111</v>
      </c>
      <c r="L782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17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0.31261073531401484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0.28620902532745701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0.35222640757045898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2.7295964517620099E-2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1.3578592622225301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2" s="5">
        <f>IF((DiscreteStatsTable[[#This Row],[RepsRequested]]&gt;1),DiscreteStatsTable[[#This Row],[HalfWidth]],DiscreteStatsTable[[#This Row],[BatchMeansHalfWidth]])</f>
        <v>1.047930457487032E-2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17</v>
      </c>
      <c r="Y782" s="5">
        <f>IF(DiscreteStatsTable[[#This Row],[RepsRequested]]=DiscreteStatsTable[[#This Row],[RepsWithStatObserved]],1,0)</f>
        <v>1</v>
      </c>
    </row>
    <row r="783" spans="1:25" x14ac:dyDescent="0.25">
      <c r="A783" t="s">
        <v>67</v>
      </c>
      <c r="B783" t="s">
        <v>69</v>
      </c>
      <c r="C783">
        <v>14</v>
      </c>
      <c r="D783" t="s">
        <v>116</v>
      </c>
      <c r="E783" t="s">
        <v>79</v>
      </c>
      <c r="F783" t="s">
        <v>80</v>
      </c>
      <c r="G783">
        <v>0.28752217448673101</v>
      </c>
      <c r="H783">
        <v>2E+20</v>
      </c>
      <c r="I783">
        <v>3.3918669767985E-2</v>
      </c>
      <c r="J783">
        <v>0.87043292760920099</v>
      </c>
      <c r="K783">
        <v>108</v>
      </c>
      <c r="L783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17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0.31261073531401484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0.28620902532745701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0.35222640757045898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2.7295964517620099E-2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1.3578592622225301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3" s="5">
        <f>IF((DiscreteStatsTable[[#This Row],[RepsRequested]]&gt;1),DiscreteStatsTable[[#This Row],[HalfWidth]],DiscreteStatsTable[[#This Row],[BatchMeansHalfWidth]])</f>
        <v>1.047930457487032E-2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17</v>
      </c>
      <c r="Y783" s="5">
        <f>IF(DiscreteStatsTable[[#This Row],[RepsRequested]]=DiscreteStatsTable[[#This Row],[RepsWithStatObserved]],1,0)</f>
        <v>1</v>
      </c>
    </row>
    <row r="784" spans="1:25" x14ac:dyDescent="0.25">
      <c r="A784" t="s">
        <v>67</v>
      </c>
      <c r="B784" t="s">
        <v>69</v>
      </c>
      <c r="C784">
        <v>15</v>
      </c>
      <c r="D784" t="s">
        <v>116</v>
      </c>
      <c r="E784" t="s">
        <v>79</v>
      </c>
      <c r="F784" t="s">
        <v>80</v>
      </c>
      <c r="G784">
        <v>0.302695568713024</v>
      </c>
      <c r="H784">
        <v>2E+20</v>
      </c>
      <c r="I784">
        <v>3.3346523162805397E-2</v>
      </c>
      <c r="J784">
        <v>0.80052104397313395</v>
      </c>
      <c r="K784">
        <v>118</v>
      </c>
      <c r="L784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17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0.31261073531401484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0.28620902532745701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0.35222640757045898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2.7295964517620099E-2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1.3578592622225301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4" s="5">
        <f>IF((DiscreteStatsTable[[#This Row],[RepsRequested]]&gt;1),DiscreteStatsTable[[#This Row],[HalfWidth]],DiscreteStatsTable[[#This Row],[BatchMeansHalfWidth]])</f>
        <v>1.047930457487032E-2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17</v>
      </c>
      <c r="Y784" s="5">
        <f>IF(DiscreteStatsTable[[#This Row],[RepsRequested]]=DiscreteStatsTable[[#This Row],[RepsWithStatObserved]],1,0)</f>
        <v>1</v>
      </c>
    </row>
    <row r="785" spans="1:25" x14ac:dyDescent="0.25">
      <c r="A785" t="s">
        <v>67</v>
      </c>
      <c r="B785" t="s">
        <v>69</v>
      </c>
      <c r="C785">
        <v>16</v>
      </c>
      <c r="D785" t="s">
        <v>116</v>
      </c>
      <c r="E785" t="s">
        <v>79</v>
      </c>
      <c r="F785" t="s">
        <v>80</v>
      </c>
      <c r="G785">
        <v>0.302144972709324</v>
      </c>
      <c r="H785">
        <v>2E+20</v>
      </c>
      <c r="I785">
        <v>5.1668077727015302E-2</v>
      </c>
      <c r="J785">
        <v>0.87582311737162399</v>
      </c>
      <c r="K785">
        <v>110</v>
      </c>
      <c r="L785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17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0.31261073531401484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0.28620902532745701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0.35222640757045898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2.7295964517620099E-2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1.3578592622225301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5" s="5">
        <f>IF((DiscreteStatsTable[[#This Row],[RepsRequested]]&gt;1),DiscreteStatsTable[[#This Row],[HalfWidth]],DiscreteStatsTable[[#This Row],[BatchMeansHalfWidth]])</f>
        <v>1.047930457487032E-2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17</v>
      </c>
      <c r="Y785" s="5">
        <f>IF(DiscreteStatsTable[[#This Row],[RepsRequested]]=DiscreteStatsTable[[#This Row],[RepsWithStatObserved]],1,0)</f>
        <v>1</v>
      </c>
    </row>
    <row r="786" spans="1:25" x14ac:dyDescent="0.25">
      <c r="A786" t="s">
        <v>67</v>
      </c>
      <c r="B786" t="s">
        <v>69</v>
      </c>
      <c r="C786">
        <v>17</v>
      </c>
      <c r="D786" t="s">
        <v>116</v>
      </c>
      <c r="E786" t="s">
        <v>79</v>
      </c>
      <c r="F786" t="s">
        <v>80</v>
      </c>
      <c r="G786">
        <v>0.28620902532745701</v>
      </c>
      <c r="H786">
        <v>2E+20</v>
      </c>
      <c r="I786">
        <v>3.1975835765393902E-2</v>
      </c>
      <c r="J786">
        <v>1.0744399206973601</v>
      </c>
      <c r="K786">
        <v>117</v>
      </c>
      <c r="L786" s="5" t="str">
        <f>DiscreteStatsTable[[#This Row],[ProjectName]]&amp;DiscreteStatsTable[[#This Row],[Name]]&amp;DiscreteStatsTable[[#This Row],[Type]]&amp;DiscreteStatsTable[[#This Row],[Source]]</f>
        <v>Weekend (base)TiempoPedidoExpressionUser Specified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17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0.31261073531401484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2.0381702739778445E-2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1.047930457487032E-2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0.28620902532745701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0.35222640757045898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2.7295964517620099E-2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1.3578592622225301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6" s="5">
        <f>IF((DiscreteStatsTable[[#This Row],[RepsRequested]]&gt;1),DiscreteStatsTable[[#This Row],[HalfWidth]],DiscreteStatsTable[[#This Row],[BatchMeansHalfWidth]])</f>
        <v>1.047930457487032E-2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17</v>
      </c>
      <c r="Y786" s="5">
        <f>IF(DiscreteStatsTable[[#This Row],[RepsRequested]]=DiscreteStatsTable[[#This Row],[RepsWithStatObserved]],1,0)</f>
        <v>1</v>
      </c>
    </row>
    <row r="787" spans="1:25" x14ac:dyDescent="0.25">
      <c r="A787" t="s">
        <v>67</v>
      </c>
      <c r="B787" t="s">
        <v>69</v>
      </c>
      <c r="C787">
        <v>1</v>
      </c>
      <c r="D787" t="s">
        <v>117</v>
      </c>
      <c r="E787" t="s">
        <v>79</v>
      </c>
      <c r="F787" t="s">
        <v>80</v>
      </c>
      <c r="G787">
        <v>17.577161377541501</v>
      </c>
      <c r="H787">
        <v>2E+20</v>
      </c>
      <c r="I787">
        <v>0</v>
      </c>
      <c r="J787">
        <v>21.095926501019701</v>
      </c>
      <c r="K787">
        <v>125</v>
      </c>
      <c r="L787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17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17.070129614099912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2.5920614894700362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13.482385434320999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22.917358741694599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44.433668276207797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7" s="5">
        <f>IF((DiscreteStatsTable[[#This Row],[RepsRequested]]&gt;1),DiscreteStatsTable[[#This Row],[HalfWidth]],DiscreteStatsTable[[#This Row],[BatchMeansHalfWidth]])</f>
        <v>1.3327150421017175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17</v>
      </c>
      <c r="Y787" s="5">
        <f>IF(DiscreteStatsTable[[#This Row],[RepsRequested]]=DiscreteStatsTable[[#This Row],[RepsWithStatObserved]],1,0)</f>
        <v>1</v>
      </c>
    </row>
    <row r="788" spans="1:25" x14ac:dyDescent="0.25">
      <c r="A788" t="s">
        <v>67</v>
      </c>
      <c r="B788" t="s">
        <v>69</v>
      </c>
      <c r="C788">
        <v>2</v>
      </c>
      <c r="D788" t="s">
        <v>117</v>
      </c>
      <c r="E788" t="s">
        <v>79</v>
      </c>
      <c r="F788" t="s">
        <v>80</v>
      </c>
      <c r="G788">
        <v>16.022045199779299</v>
      </c>
      <c r="H788">
        <v>2E+20</v>
      </c>
      <c r="I788">
        <v>0</v>
      </c>
      <c r="J788">
        <v>22.445090283073299</v>
      </c>
      <c r="K788">
        <v>117</v>
      </c>
      <c r="L788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17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17.070129614099912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2.5920614894700362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13.482385434320999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22.917358741694599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44.433668276207797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8" s="5">
        <f>IF((DiscreteStatsTable[[#This Row],[RepsRequested]]&gt;1),DiscreteStatsTable[[#This Row],[HalfWidth]],DiscreteStatsTable[[#This Row],[BatchMeansHalfWidth]])</f>
        <v>1.3327150421017175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17</v>
      </c>
      <c r="Y788" s="5">
        <f>IF(DiscreteStatsTable[[#This Row],[RepsRequested]]=DiscreteStatsTable[[#This Row],[RepsWithStatObserved]],1,0)</f>
        <v>1</v>
      </c>
    </row>
    <row r="789" spans="1:25" x14ac:dyDescent="0.25">
      <c r="A789" t="s">
        <v>67</v>
      </c>
      <c r="B789" t="s">
        <v>69</v>
      </c>
      <c r="C789">
        <v>3</v>
      </c>
      <c r="D789" t="s">
        <v>117</v>
      </c>
      <c r="E789" t="s">
        <v>79</v>
      </c>
      <c r="F789" t="s">
        <v>80</v>
      </c>
      <c r="G789">
        <v>17.9577780479955</v>
      </c>
      <c r="H789">
        <v>2E+20</v>
      </c>
      <c r="I789">
        <v>0</v>
      </c>
      <c r="J789">
        <v>29.243643990731801</v>
      </c>
      <c r="K789">
        <v>126</v>
      </c>
      <c r="L789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17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17.070129614099912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2.5920614894700362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13.482385434320999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22.917358741694599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44.433668276207797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89" s="5">
        <f>IF((DiscreteStatsTable[[#This Row],[RepsRequested]]&gt;1),DiscreteStatsTable[[#This Row],[HalfWidth]],DiscreteStatsTable[[#This Row],[BatchMeansHalfWidth]])</f>
        <v>1.3327150421017175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17</v>
      </c>
      <c r="Y789" s="5">
        <f>IF(DiscreteStatsTable[[#This Row],[RepsRequested]]=DiscreteStatsTable[[#This Row],[RepsWithStatObserved]],1,0)</f>
        <v>1</v>
      </c>
    </row>
    <row r="790" spans="1:25" x14ac:dyDescent="0.25">
      <c r="A790" t="s">
        <v>67</v>
      </c>
      <c r="B790" t="s">
        <v>69</v>
      </c>
      <c r="C790">
        <v>4</v>
      </c>
      <c r="D790" t="s">
        <v>117</v>
      </c>
      <c r="E790" t="s">
        <v>79</v>
      </c>
      <c r="F790" t="s">
        <v>80</v>
      </c>
      <c r="G790">
        <v>17.221721467046699</v>
      </c>
      <c r="H790">
        <v>2E+20</v>
      </c>
      <c r="I790">
        <v>0</v>
      </c>
      <c r="J790">
        <v>20.551408669903498</v>
      </c>
      <c r="K790">
        <v>130</v>
      </c>
      <c r="L790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17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17.070129614099912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13.482385434320999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22.917358741694599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44.433668276207797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0" s="5">
        <f>IF((DiscreteStatsTable[[#This Row],[RepsRequested]]&gt;1),DiscreteStatsTable[[#This Row],[HalfWidth]],DiscreteStatsTable[[#This Row],[BatchMeansHalfWidth]])</f>
        <v>1.3327150421017175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17</v>
      </c>
      <c r="Y790" s="5">
        <f>IF(DiscreteStatsTable[[#This Row],[RepsRequested]]=DiscreteStatsTable[[#This Row],[RepsWithStatObserved]],1,0)</f>
        <v>1</v>
      </c>
    </row>
    <row r="791" spans="1:25" x14ac:dyDescent="0.25">
      <c r="A791" t="s">
        <v>67</v>
      </c>
      <c r="B791" t="s">
        <v>69</v>
      </c>
      <c r="C791">
        <v>5</v>
      </c>
      <c r="D791" t="s">
        <v>117</v>
      </c>
      <c r="E791" t="s">
        <v>79</v>
      </c>
      <c r="F791" t="s">
        <v>80</v>
      </c>
      <c r="G791">
        <v>15.6486797599871</v>
      </c>
      <c r="H791">
        <v>2E+20</v>
      </c>
      <c r="I791">
        <v>0</v>
      </c>
      <c r="J791">
        <v>22.586752082400402</v>
      </c>
      <c r="K791">
        <v>130</v>
      </c>
      <c r="L791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17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17.070129614099912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13.482385434320999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22.917358741694599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44.433668276207797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1" s="5">
        <f>IF((DiscreteStatsTable[[#This Row],[RepsRequested]]&gt;1),DiscreteStatsTable[[#This Row],[HalfWidth]],DiscreteStatsTable[[#This Row],[BatchMeansHalfWidth]])</f>
        <v>1.3327150421017175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17</v>
      </c>
      <c r="Y791" s="5">
        <f>IF(DiscreteStatsTable[[#This Row],[RepsRequested]]=DiscreteStatsTable[[#This Row],[RepsWithStatObserved]],1,0)</f>
        <v>1</v>
      </c>
    </row>
    <row r="792" spans="1:25" x14ac:dyDescent="0.25">
      <c r="A792" t="s">
        <v>67</v>
      </c>
      <c r="B792" t="s">
        <v>69</v>
      </c>
      <c r="C792">
        <v>6</v>
      </c>
      <c r="D792" t="s">
        <v>117</v>
      </c>
      <c r="E792" t="s">
        <v>79</v>
      </c>
      <c r="F792" t="s">
        <v>80</v>
      </c>
      <c r="G792">
        <v>15.9134365743051</v>
      </c>
      <c r="H792">
        <v>2E+20</v>
      </c>
      <c r="I792">
        <v>0</v>
      </c>
      <c r="J792">
        <v>20.186854709545599</v>
      </c>
      <c r="K792">
        <v>120</v>
      </c>
      <c r="L792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17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17.070129614099912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13.482385434320999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22.917358741694599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44.433668276207797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2" s="5">
        <f>IF((DiscreteStatsTable[[#This Row],[RepsRequested]]&gt;1),DiscreteStatsTable[[#This Row],[HalfWidth]],DiscreteStatsTable[[#This Row],[BatchMeansHalfWidth]])</f>
        <v>1.3327150421017175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17</v>
      </c>
      <c r="Y792" s="5">
        <f>IF(DiscreteStatsTable[[#This Row],[RepsRequested]]=DiscreteStatsTable[[#This Row],[RepsWithStatObserved]],1,0)</f>
        <v>1</v>
      </c>
    </row>
    <row r="793" spans="1:25" x14ac:dyDescent="0.25">
      <c r="A793" t="s">
        <v>67</v>
      </c>
      <c r="B793" t="s">
        <v>69</v>
      </c>
      <c r="C793">
        <v>7</v>
      </c>
      <c r="D793" t="s">
        <v>117</v>
      </c>
      <c r="E793" t="s">
        <v>79</v>
      </c>
      <c r="F793" t="s">
        <v>80</v>
      </c>
      <c r="G793">
        <v>20.800216259302399</v>
      </c>
      <c r="H793">
        <v>2E+20</v>
      </c>
      <c r="I793">
        <v>0</v>
      </c>
      <c r="J793">
        <v>36.882621210074099</v>
      </c>
      <c r="K793">
        <v>107</v>
      </c>
      <c r="L793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17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17.070129614099912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13.482385434320999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22.917358741694599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44.433668276207797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3" s="5">
        <f>IF((DiscreteStatsTable[[#This Row],[RepsRequested]]&gt;1),DiscreteStatsTable[[#This Row],[HalfWidth]],DiscreteStatsTable[[#This Row],[BatchMeansHalfWidth]])</f>
        <v>1.3327150421017175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17</v>
      </c>
      <c r="Y793" s="5">
        <f>IF(DiscreteStatsTable[[#This Row],[RepsRequested]]=DiscreteStatsTable[[#This Row],[RepsWithStatObserved]],1,0)</f>
        <v>1</v>
      </c>
    </row>
    <row r="794" spans="1:25" x14ac:dyDescent="0.25">
      <c r="A794" t="s">
        <v>67</v>
      </c>
      <c r="B794" t="s">
        <v>69</v>
      </c>
      <c r="C794">
        <v>8</v>
      </c>
      <c r="D794" t="s">
        <v>117</v>
      </c>
      <c r="E794" t="s">
        <v>79</v>
      </c>
      <c r="F794" t="s">
        <v>80</v>
      </c>
      <c r="G794">
        <v>19.321040136380699</v>
      </c>
      <c r="H794">
        <v>2E+20</v>
      </c>
      <c r="I794">
        <v>0</v>
      </c>
      <c r="J794">
        <v>28.9562676747477</v>
      </c>
      <c r="K794">
        <v>119</v>
      </c>
      <c r="L794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17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17.070129614099912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13.482385434320999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22.917358741694599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44.433668276207797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4" s="5">
        <f>IF((DiscreteStatsTable[[#This Row],[RepsRequested]]&gt;1),DiscreteStatsTable[[#This Row],[HalfWidth]],DiscreteStatsTable[[#This Row],[BatchMeansHalfWidth]])</f>
        <v>1.3327150421017175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17</v>
      </c>
      <c r="Y794" s="5">
        <f>IF(DiscreteStatsTable[[#This Row],[RepsRequested]]=DiscreteStatsTable[[#This Row],[RepsWithStatObserved]],1,0)</f>
        <v>1</v>
      </c>
    </row>
    <row r="795" spans="1:25" x14ac:dyDescent="0.25">
      <c r="A795" t="s">
        <v>67</v>
      </c>
      <c r="B795" t="s">
        <v>69</v>
      </c>
      <c r="C795">
        <v>9</v>
      </c>
      <c r="D795" t="s">
        <v>117</v>
      </c>
      <c r="E795" t="s">
        <v>79</v>
      </c>
      <c r="F795" t="s">
        <v>80</v>
      </c>
      <c r="G795">
        <v>16.1969280969648</v>
      </c>
      <c r="H795">
        <v>2E+20</v>
      </c>
      <c r="I795">
        <v>0</v>
      </c>
      <c r="J795">
        <v>21.716931005201602</v>
      </c>
      <c r="K795">
        <v>120</v>
      </c>
      <c r="L795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17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17.070129614099912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13.482385434320999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22.917358741694599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44.433668276207797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5" s="5">
        <f>IF((DiscreteStatsTable[[#This Row],[RepsRequested]]&gt;1),DiscreteStatsTable[[#This Row],[HalfWidth]],DiscreteStatsTable[[#This Row],[BatchMeansHalfWidth]])</f>
        <v>1.3327150421017175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17</v>
      </c>
      <c r="Y795" s="5">
        <f>IF(DiscreteStatsTable[[#This Row],[RepsRequested]]=DiscreteStatsTable[[#This Row],[RepsWithStatObserved]],1,0)</f>
        <v>1</v>
      </c>
    </row>
    <row r="796" spans="1:25" x14ac:dyDescent="0.25">
      <c r="A796" t="s">
        <v>67</v>
      </c>
      <c r="B796" t="s">
        <v>69</v>
      </c>
      <c r="C796">
        <v>10</v>
      </c>
      <c r="D796" t="s">
        <v>117</v>
      </c>
      <c r="E796" t="s">
        <v>79</v>
      </c>
      <c r="F796" t="s">
        <v>80</v>
      </c>
      <c r="G796">
        <v>21.0676136422863</v>
      </c>
      <c r="H796">
        <v>2E+20</v>
      </c>
      <c r="I796">
        <v>0</v>
      </c>
      <c r="J796">
        <v>24.592641542026499</v>
      </c>
      <c r="K796">
        <v>124</v>
      </c>
      <c r="L796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17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17.070129614099912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13.482385434320999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22.917358741694599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44.433668276207797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6" s="5">
        <f>IF((DiscreteStatsTable[[#This Row],[RepsRequested]]&gt;1),DiscreteStatsTable[[#This Row],[HalfWidth]],DiscreteStatsTable[[#This Row],[BatchMeansHalfWidth]])</f>
        <v>1.3327150421017175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17</v>
      </c>
      <c r="Y796" s="5">
        <f>IF(DiscreteStatsTable[[#This Row],[RepsRequested]]=DiscreteStatsTable[[#This Row],[RepsWithStatObserved]],1,0)</f>
        <v>1</v>
      </c>
    </row>
    <row r="797" spans="1:25" x14ac:dyDescent="0.25">
      <c r="A797" t="s">
        <v>67</v>
      </c>
      <c r="B797" t="s">
        <v>69</v>
      </c>
      <c r="C797">
        <v>11</v>
      </c>
      <c r="D797" t="s">
        <v>117</v>
      </c>
      <c r="E797" t="s">
        <v>79</v>
      </c>
      <c r="F797" t="s">
        <v>80</v>
      </c>
      <c r="G797">
        <v>15.8138987366622</v>
      </c>
      <c r="H797">
        <v>2E+20</v>
      </c>
      <c r="I797">
        <v>0</v>
      </c>
      <c r="J797">
        <v>21.518685316955199</v>
      </c>
      <c r="K797">
        <v>115</v>
      </c>
      <c r="L797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17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17.070129614099912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13.482385434320999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22.917358741694599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44.433668276207797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7" s="5">
        <f>IF((DiscreteStatsTable[[#This Row],[RepsRequested]]&gt;1),DiscreteStatsTable[[#This Row],[HalfWidth]],DiscreteStatsTable[[#This Row],[BatchMeansHalfWidth]])</f>
        <v>1.3327150421017175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17</v>
      </c>
      <c r="Y797" s="5">
        <f>IF(DiscreteStatsTable[[#This Row],[RepsRequested]]=DiscreteStatsTable[[#This Row],[RepsWithStatObserved]],1,0)</f>
        <v>1</v>
      </c>
    </row>
    <row r="798" spans="1:25" x14ac:dyDescent="0.25">
      <c r="A798" t="s">
        <v>67</v>
      </c>
      <c r="B798" t="s">
        <v>69</v>
      </c>
      <c r="C798">
        <v>12</v>
      </c>
      <c r="D798" t="s">
        <v>117</v>
      </c>
      <c r="E798" t="s">
        <v>79</v>
      </c>
      <c r="F798" t="s">
        <v>80</v>
      </c>
      <c r="G798">
        <v>15.5259897349213</v>
      </c>
      <c r="H798">
        <v>2E+20</v>
      </c>
      <c r="I798">
        <v>0</v>
      </c>
      <c r="J798">
        <v>25.755153014234502</v>
      </c>
      <c r="K798">
        <v>122</v>
      </c>
      <c r="L798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17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17.070129614099912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13.482385434320999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22.917358741694599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44.433668276207797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8" s="5">
        <f>IF((DiscreteStatsTable[[#This Row],[RepsRequested]]&gt;1),DiscreteStatsTable[[#This Row],[HalfWidth]],DiscreteStatsTable[[#This Row],[BatchMeansHalfWidth]])</f>
        <v>1.3327150421017175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17</v>
      </c>
      <c r="Y798" s="5">
        <f>IF(DiscreteStatsTable[[#This Row],[RepsRequested]]=DiscreteStatsTable[[#This Row],[RepsWithStatObserved]],1,0)</f>
        <v>1</v>
      </c>
    </row>
    <row r="799" spans="1:25" x14ac:dyDescent="0.25">
      <c r="A799" t="s">
        <v>67</v>
      </c>
      <c r="B799" t="s">
        <v>69</v>
      </c>
      <c r="C799">
        <v>13</v>
      </c>
      <c r="D799" t="s">
        <v>117</v>
      </c>
      <c r="E799" t="s">
        <v>79</v>
      </c>
      <c r="F799" t="s">
        <v>80</v>
      </c>
      <c r="G799">
        <v>15.784431545655501</v>
      </c>
      <c r="H799">
        <v>2E+20</v>
      </c>
      <c r="I799">
        <v>0</v>
      </c>
      <c r="J799">
        <v>20.4187273415784</v>
      </c>
      <c r="K799">
        <v>111</v>
      </c>
      <c r="L799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17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17.070129614099912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2.5920614894700362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13.482385434320999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22.917358741694599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44.433668276207797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799" s="5">
        <f>IF((DiscreteStatsTable[[#This Row],[RepsRequested]]&gt;1),DiscreteStatsTable[[#This Row],[HalfWidth]],DiscreteStatsTable[[#This Row],[BatchMeansHalfWidth]])</f>
        <v>1.3327150421017175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17</v>
      </c>
      <c r="Y799" s="5">
        <f>IF(DiscreteStatsTable[[#This Row],[RepsRequested]]=DiscreteStatsTable[[#This Row],[RepsWithStatObserved]],1,0)</f>
        <v>1</v>
      </c>
    </row>
    <row r="800" spans="1:25" x14ac:dyDescent="0.25">
      <c r="A800" t="s">
        <v>67</v>
      </c>
      <c r="B800" t="s">
        <v>69</v>
      </c>
      <c r="C800">
        <v>14</v>
      </c>
      <c r="D800" t="s">
        <v>117</v>
      </c>
      <c r="E800" t="s">
        <v>79</v>
      </c>
      <c r="F800" t="s">
        <v>80</v>
      </c>
      <c r="G800">
        <v>14.6470373690884</v>
      </c>
      <c r="H800">
        <v>2E+20</v>
      </c>
      <c r="I800">
        <v>0</v>
      </c>
      <c r="J800">
        <v>20.3110803774223</v>
      </c>
      <c r="K800">
        <v>108</v>
      </c>
      <c r="L800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17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17.070129614099912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2.5920614894700362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13.482385434320999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22.917358741694599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44.433668276207797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00" s="5">
        <f>IF((DiscreteStatsTable[[#This Row],[RepsRequested]]&gt;1),DiscreteStatsTable[[#This Row],[HalfWidth]],DiscreteStatsTable[[#This Row],[BatchMeansHalfWidth]])</f>
        <v>1.3327150421017175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17</v>
      </c>
      <c r="Y800" s="5">
        <f>IF(DiscreteStatsTable[[#This Row],[RepsRequested]]=DiscreteStatsTable[[#This Row],[RepsWithStatObserved]],1,0)</f>
        <v>1</v>
      </c>
    </row>
    <row r="801" spans="1:25" x14ac:dyDescent="0.25">
      <c r="A801" t="s">
        <v>67</v>
      </c>
      <c r="B801" t="s">
        <v>69</v>
      </c>
      <c r="C801">
        <v>15</v>
      </c>
      <c r="D801" t="s">
        <v>117</v>
      </c>
      <c r="E801" t="s">
        <v>79</v>
      </c>
      <c r="F801" t="s">
        <v>80</v>
      </c>
      <c r="G801">
        <v>22.917358741694599</v>
      </c>
      <c r="H801">
        <v>2E+20</v>
      </c>
      <c r="I801">
        <v>0</v>
      </c>
      <c r="J801">
        <v>44.433668276207797</v>
      </c>
      <c r="K801">
        <v>118</v>
      </c>
      <c r="L801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17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17.070129614099912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2.5920614894700362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13.482385434320999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22.917358741694599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44.433668276207797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01" s="5">
        <f>IF((DiscreteStatsTable[[#This Row],[RepsRequested]]&gt;1),DiscreteStatsTable[[#This Row],[HalfWidth]],DiscreteStatsTable[[#This Row],[BatchMeansHalfWidth]])</f>
        <v>1.3327150421017175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17</v>
      </c>
      <c r="Y801" s="5">
        <f>IF(DiscreteStatsTable[[#This Row],[RepsRequested]]=DiscreteStatsTable[[#This Row],[RepsWithStatObserved]],1,0)</f>
        <v>1</v>
      </c>
    </row>
    <row r="802" spans="1:25" x14ac:dyDescent="0.25">
      <c r="A802" t="s">
        <v>67</v>
      </c>
      <c r="B802" t="s">
        <v>69</v>
      </c>
      <c r="C802">
        <v>16</v>
      </c>
      <c r="D802" t="s">
        <v>117</v>
      </c>
      <c r="E802" t="s">
        <v>79</v>
      </c>
      <c r="F802" t="s">
        <v>80</v>
      </c>
      <c r="G802">
        <v>14.2944813157662</v>
      </c>
      <c r="H802">
        <v>2E+20</v>
      </c>
      <c r="I802">
        <v>12.8247387807306</v>
      </c>
      <c r="J802">
        <v>16.1257050657176</v>
      </c>
      <c r="K802">
        <v>110</v>
      </c>
      <c r="L802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17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17.070129614099912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2.5920614894700362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13.482385434320999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22.917358741694599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44.433668276207797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02" s="5">
        <f>IF((DiscreteStatsTable[[#This Row],[RepsRequested]]&gt;1),DiscreteStatsTable[[#This Row],[HalfWidth]],DiscreteStatsTable[[#This Row],[BatchMeansHalfWidth]])</f>
        <v>1.3327150421017175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17</v>
      </c>
      <c r="Y802" s="5">
        <f>IF(DiscreteStatsTable[[#This Row],[RepsRequested]]=DiscreteStatsTable[[#This Row],[RepsWithStatObserved]],1,0)</f>
        <v>1</v>
      </c>
    </row>
    <row r="803" spans="1:25" x14ac:dyDescent="0.25">
      <c r="A803" t="s">
        <v>67</v>
      </c>
      <c r="B803" t="s">
        <v>69</v>
      </c>
      <c r="C803">
        <v>17</v>
      </c>
      <c r="D803" t="s">
        <v>117</v>
      </c>
      <c r="E803" t="s">
        <v>79</v>
      </c>
      <c r="F803" t="s">
        <v>80</v>
      </c>
      <c r="G803">
        <v>13.482385434320999</v>
      </c>
      <c r="H803">
        <v>2E+20</v>
      </c>
      <c r="I803">
        <v>0</v>
      </c>
      <c r="J803">
        <v>18.1121826779044</v>
      </c>
      <c r="K803">
        <v>117</v>
      </c>
      <c r="L803" s="5" t="str">
        <f>DiscreteStatsTable[[#This Row],[ProjectName]]&amp;DiscreteStatsTable[[#This Row],[Name]]&amp;DiscreteStatsTable[[#This Row],[Type]]&amp;DiscreteStatsTable[[#This Row],[Source]]</f>
        <v>Weekend (base)TiempoPromEnMesaExpressionUser Specified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17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17.070129614099912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2.5920614894700362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1.3327150421017175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13.482385434320999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22.917358741694599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44.433668276207797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118.76470588235294</v>
      </c>
      <c r="W803" s="5">
        <f>IF((DiscreteStatsTable[[#This Row],[RepsRequested]]&gt;1),DiscreteStatsTable[[#This Row],[HalfWidth]],DiscreteStatsTable[[#This Row],[BatchMeansHalfWidth]])</f>
        <v>1.3327150421017175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17</v>
      </c>
      <c r="Y803" s="5">
        <f>IF(DiscreteStatsTable[[#This Row],[RepsRequested]]=DiscreteStatsTable[[#This Row],[RepsWithStatObserved]],1,0)</f>
        <v>1</v>
      </c>
    </row>
    <row r="804" spans="1:25" x14ac:dyDescent="0.25">
      <c r="A804" t="s">
        <v>67</v>
      </c>
      <c r="B804" t="s">
        <v>69</v>
      </c>
      <c r="C804">
        <v>1</v>
      </c>
      <c r="D804" t="s">
        <v>118</v>
      </c>
      <c r="E804" t="s">
        <v>79</v>
      </c>
      <c r="F804" t="s">
        <v>80</v>
      </c>
      <c r="G804">
        <v>11.347486563673501</v>
      </c>
      <c r="H804">
        <v>2E+20</v>
      </c>
      <c r="I804">
        <v>11.347486563673501</v>
      </c>
      <c r="J804">
        <v>11.347486563673501</v>
      </c>
      <c r="K804">
        <v>1</v>
      </c>
      <c r="L804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17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8.7208139600551107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2.855433911459559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4.1973972240350799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15.7564955839941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4.1973972240350799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15.7564955839941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1</v>
      </c>
      <c r="W804" s="5">
        <f>IF((DiscreteStatsTable[[#This Row],[RepsRequested]]&gt;1),DiscreteStatsTable[[#This Row],[HalfWidth]],DiscreteStatsTable[[#This Row],[BatchMeansHalfWidth]])</f>
        <v>1.4681286462488794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17</v>
      </c>
      <c r="Y804" s="5">
        <f>IF(DiscreteStatsTable[[#This Row],[RepsRequested]]=DiscreteStatsTable[[#This Row],[RepsWithStatObserved]],1,0)</f>
        <v>1</v>
      </c>
    </row>
    <row r="805" spans="1:25" x14ac:dyDescent="0.25">
      <c r="A805" t="s">
        <v>67</v>
      </c>
      <c r="B805" t="s">
        <v>69</v>
      </c>
      <c r="C805">
        <v>2</v>
      </c>
      <c r="D805" t="s">
        <v>118</v>
      </c>
      <c r="E805" t="s">
        <v>79</v>
      </c>
      <c r="F805" t="s">
        <v>80</v>
      </c>
      <c r="G805">
        <v>8.8444668056446805</v>
      </c>
      <c r="H805">
        <v>2E+20</v>
      </c>
      <c r="I805">
        <v>8.8444668056446805</v>
      </c>
      <c r="J805">
        <v>8.8444668056446805</v>
      </c>
      <c r="K805">
        <v>1</v>
      </c>
      <c r="L805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17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8.7208139600551107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2.855433911459559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4.1973972240350799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15.7564955839941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4.1973972240350799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15.7564955839941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1</v>
      </c>
      <c r="W805" s="5">
        <f>IF((DiscreteStatsTable[[#This Row],[RepsRequested]]&gt;1),DiscreteStatsTable[[#This Row],[HalfWidth]],DiscreteStatsTable[[#This Row],[BatchMeansHalfWidth]])</f>
        <v>1.4681286462488794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17</v>
      </c>
      <c r="Y805" s="5">
        <f>IF(DiscreteStatsTable[[#This Row],[RepsRequested]]=DiscreteStatsTable[[#This Row],[RepsWithStatObserved]],1,0)</f>
        <v>1</v>
      </c>
    </row>
    <row r="806" spans="1:25" x14ac:dyDescent="0.25">
      <c r="A806" t="s">
        <v>67</v>
      </c>
      <c r="B806" t="s">
        <v>69</v>
      </c>
      <c r="C806">
        <v>3</v>
      </c>
      <c r="D806" t="s">
        <v>118</v>
      </c>
      <c r="E806" t="s">
        <v>79</v>
      </c>
      <c r="F806" t="s">
        <v>80</v>
      </c>
      <c r="G806">
        <v>15.7564955839941</v>
      </c>
      <c r="H806">
        <v>2E+20</v>
      </c>
      <c r="I806">
        <v>15.7564955839941</v>
      </c>
      <c r="J806">
        <v>15.7564955839941</v>
      </c>
      <c r="K806">
        <v>1</v>
      </c>
      <c r="L806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17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8.7208139600551107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2.855433911459559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4.1973972240350799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15.7564955839941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4.1973972240350799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15.7564955839941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1</v>
      </c>
      <c r="W806" s="5">
        <f>IF((DiscreteStatsTable[[#This Row],[RepsRequested]]&gt;1),DiscreteStatsTable[[#This Row],[HalfWidth]],DiscreteStatsTable[[#This Row],[BatchMeansHalfWidth]])</f>
        <v>1.4681286462488794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17</v>
      </c>
      <c r="Y806" s="5">
        <f>IF(DiscreteStatsTable[[#This Row],[RepsRequested]]=DiscreteStatsTable[[#This Row],[RepsWithStatObserved]],1,0)</f>
        <v>1</v>
      </c>
    </row>
    <row r="807" spans="1:25" x14ac:dyDescent="0.25">
      <c r="A807" t="s">
        <v>67</v>
      </c>
      <c r="B807" t="s">
        <v>69</v>
      </c>
      <c r="C807">
        <v>4</v>
      </c>
      <c r="D807" t="s">
        <v>118</v>
      </c>
      <c r="E807" t="s">
        <v>79</v>
      </c>
      <c r="F807" t="s">
        <v>80</v>
      </c>
      <c r="G807">
        <v>6.3960326171165498</v>
      </c>
      <c r="H807">
        <v>2E+20</v>
      </c>
      <c r="I807">
        <v>6.3960326171165498</v>
      </c>
      <c r="J807">
        <v>6.3960326171165498</v>
      </c>
      <c r="K807">
        <v>1</v>
      </c>
      <c r="L807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17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8.7208139600551107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2.855433911459559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4.1973972240350799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15.7564955839941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4.1973972240350799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15.7564955839941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1</v>
      </c>
      <c r="W807" s="5">
        <f>IF((DiscreteStatsTable[[#This Row],[RepsRequested]]&gt;1),DiscreteStatsTable[[#This Row],[HalfWidth]],DiscreteStatsTable[[#This Row],[BatchMeansHalfWidth]])</f>
        <v>1.4681286462488794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17</v>
      </c>
      <c r="Y807" s="5">
        <f>IF(DiscreteStatsTable[[#This Row],[RepsRequested]]=DiscreteStatsTable[[#This Row],[RepsWithStatObserved]],1,0)</f>
        <v>1</v>
      </c>
    </row>
    <row r="808" spans="1:25" x14ac:dyDescent="0.25">
      <c r="A808" t="s">
        <v>67</v>
      </c>
      <c r="B808" t="s">
        <v>69</v>
      </c>
      <c r="C808">
        <v>5</v>
      </c>
      <c r="D808" t="s">
        <v>118</v>
      </c>
      <c r="E808" t="s">
        <v>79</v>
      </c>
      <c r="F808" t="s">
        <v>80</v>
      </c>
      <c r="G808">
        <v>6.2613277570755699</v>
      </c>
      <c r="H808">
        <v>2E+20</v>
      </c>
      <c r="I808">
        <v>6.2613277570755699</v>
      </c>
      <c r="J808">
        <v>6.2613277570755699</v>
      </c>
      <c r="K808">
        <v>1</v>
      </c>
      <c r="L808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17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8.7208139600551107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2.855433911459559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4.1973972240350799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15.7564955839941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4.1973972240350799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15.7564955839941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1</v>
      </c>
      <c r="W808" s="5">
        <f>IF((DiscreteStatsTable[[#This Row],[RepsRequested]]&gt;1),DiscreteStatsTable[[#This Row],[HalfWidth]],DiscreteStatsTable[[#This Row],[BatchMeansHalfWidth]])</f>
        <v>1.4681286462488794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17</v>
      </c>
      <c r="Y808" s="5">
        <f>IF(DiscreteStatsTable[[#This Row],[RepsRequested]]=DiscreteStatsTable[[#This Row],[RepsWithStatObserved]],1,0)</f>
        <v>1</v>
      </c>
    </row>
    <row r="809" spans="1:25" x14ac:dyDescent="0.25">
      <c r="A809" t="s">
        <v>67</v>
      </c>
      <c r="B809" t="s">
        <v>69</v>
      </c>
      <c r="C809">
        <v>6</v>
      </c>
      <c r="D809" t="s">
        <v>118</v>
      </c>
      <c r="E809" t="s">
        <v>79</v>
      </c>
      <c r="F809" t="s">
        <v>80</v>
      </c>
      <c r="G809">
        <v>7.6018177653873398</v>
      </c>
      <c r="H809">
        <v>2E+20</v>
      </c>
      <c r="I809">
        <v>7.6018177653873398</v>
      </c>
      <c r="J809">
        <v>7.6018177653873398</v>
      </c>
      <c r="K809">
        <v>1</v>
      </c>
      <c r="L809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17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8.7208139600551107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2.855433911459559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4.1973972240350799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15.7564955839941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4.1973972240350799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15.7564955839941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1</v>
      </c>
      <c r="W809" s="5">
        <f>IF((DiscreteStatsTable[[#This Row],[RepsRequested]]&gt;1),DiscreteStatsTable[[#This Row],[HalfWidth]],DiscreteStatsTable[[#This Row],[BatchMeansHalfWidth]])</f>
        <v>1.4681286462488794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17</v>
      </c>
      <c r="Y809" s="5">
        <f>IF(DiscreteStatsTable[[#This Row],[RepsRequested]]=DiscreteStatsTable[[#This Row],[RepsWithStatObserved]],1,0)</f>
        <v>1</v>
      </c>
    </row>
    <row r="810" spans="1:25" x14ac:dyDescent="0.25">
      <c r="A810" t="s">
        <v>67</v>
      </c>
      <c r="B810" t="s">
        <v>69</v>
      </c>
      <c r="C810">
        <v>7</v>
      </c>
      <c r="D810" t="s">
        <v>118</v>
      </c>
      <c r="E810" t="s">
        <v>79</v>
      </c>
      <c r="F810" t="s">
        <v>80</v>
      </c>
      <c r="G810">
        <v>6.7170456858193699</v>
      </c>
      <c r="H810">
        <v>2E+20</v>
      </c>
      <c r="I810">
        <v>6.7170456858193699</v>
      </c>
      <c r="J810">
        <v>6.7170456858193699</v>
      </c>
      <c r="K810">
        <v>1</v>
      </c>
      <c r="L810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17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8.7208139600551107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2.855433911459559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4.1973972240350799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15.7564955839941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4.1973972240350799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15.7564955839941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1</v>
      </c>
      <c r="W810" s="5">
        <f>IF((DiscreteStatsTable[[#This Row],[RepsRequested]]&gt;1),DiscreteStatsTable[[#This Row],[HalfWidth]],DiscreteStatsTable[[#This Row],[BatchMeansHalfWidth]])</f>
        <v>1.4681286462488794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17</v>
      </c>
      <c r="Y810" s="5">
        <f>IF(DiscreteStatsTable[[#This Row],[RepsRequested]]=DiscreteStatsTable[[#This Row],[RepsWithStatObserved]],1,0)</f>
        <v>1</v>
      </c>
    </row>
    <row r="811" spans="1:25" x14ac:dyDescent="0.25">
      <c r="A811" t="s">
        <v>67</v>
      </c>
      <c r="B811" t="s">
        <v>69</v>
      </c>
      <c r="C811">
        <v>8</v>
      </c>
      <c r="D811" t="s">
        <v>118</v>
      </c>
      <c r="E811" t="s">
        <v>79</v>
      </c>
      <c r="F811" t="s">
        <v>80</v>
      </c>
      <c r="G811">
        <v>8.0816507246327394</v>
      </c>
      <c r="H811">
        <v>2E+20</v>
      </c>
      <c r="I811">
        <v>8.0816507246327394</v>
      </c>
      <c r="J811">
        <v>8.0816507246327394</v>
      </c>
      <c r="K811">
        <v>1</v>
      </c>
      <c r="L811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17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8.7208139600551107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2.855433911459559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4.1973972240350799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15.7564955839941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4.1973972240350799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15.7564955839941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1</v>
      </c>
      <c r="W811" s="5">
        <f>IF((DiscreteStatsTable[[#This Row],[RepsRequested]]&gt;1),DiscreteStatsTable[[#This Row],[HalfWidth]],DiscreteStatsTable[[#This Row],[BatchMeansHalfWidth]])</f>
        <v>1.4681286462488794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17</v>
      </c>
      <c r="Y811" s="5">
        <f>IF(DiscreteStatsTable[[#This Row],[RepsRequested]]=DiscreteStatsTable[[#This Row],[RepsWithStatObserved]],1,0)</f>
        <v>1</v>
      </c>
    </row>
    <row r="812" spans="1:25" x14ac:dyDescent="0.25">
      <c r="A812" t="s">
        <v>67</v>
      </c>
      <c r="B812" t="s">
        <v>69</v>
      </c>
      <c r="C812">
        <v>9</v>
      </c>
      <c r="D812" t="s">
        <v>118</v>
      </c>
      <c r="E812" t="s">
        <v>79</v>
      </c>
      <c r="F812" t="s">
        <v>80</v>
      </c>
      <c r="G812">
        <v>12.450143246343</v>
      </c>
      <c r="H812">
        <v>2E+20</v>
      </c>
      <c r="I812">
        <v>12.450143246343</v>
      </c>
      <c r="J812">
        <v>12.450143246343</v>
      </c>
      <c r="K812">
        <v>1</v>
      </c>
      <c r="L812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17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8.7208139600551107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2.855433911459559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4.1973972240350799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15.7564955839941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4.1973972240350799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15.7564955839941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1</v>
      </c>
      <c r="W812" s="5">
        <f>IF((DiscreteStatsTable[[#This Row],[RepsRequested]]&gt;1),DiscreteStatsTable[[#This Row],[HalfWidth]],DiscreteStatsTable[[#This Row],[BatchMeansHalfWidth]])</f>
        <v>1.4681286462488794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17</v>
      </c>
      <c r="Y812" s="5">
        <f>IF(DiscreteStatsTable[[#This Row],[RepsRequested]]=DiscreteStatsTable[[#This Row],[RepsWithStatObserved]],1,0)</f>
        <v>1</v>
      </c>
    </row>
    <row r="813" spans="1:25" x14ac:dyDescent="0.25">
      <c r="A813" t="s">
        <v>67</v>
      </c>
      <c r="B813" t="s">
        <v>69</v>
      </c>
      <c r="C813">
        <v>10</v>
      </c>
      <c r="D813" t="s">
        <v>118</v>
      </c>
      <c r="E813" t="s">
        <v>79</v>
      </c>
      <c r="F813" t="s">
        <v>80</v>
      </c>
      <c r="G813">
        <v>7.9361583217308604</v>
      </c>
      <c r="H813">
        <v>2E+20</v>
      </c>
      <c r="I813">
        <v>7.9361583217308604</v>
      </c>
      <c r="J813">
        <v>7.9361583217308604</v>
      </c>
      <c r="K813">
        <v>1</v>
      </c>
      <c r="L813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17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8.7208139600551107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2.855433911459559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4.1973972240350799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15.7564955839941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4.1973972240350799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15.7564955839941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1</v>
      </c>
      <c r="W813" s="5">
        <f>IF((DiscreteStatsTable[[#This Row],[RepsRequested]]&gt;1),DiscreteStatsTable[[#This Row],[HalfWidth]],DiscreteStatsTable[[#This Row],[BatchMeansHalfWidth]])</f>
        <v>1.4681286462488794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17</v>
      </c>
      <c r="Y813" s="5">
        <f>IF(DiscreteStatsTable[[#This Row],[RepsRequested]]=DiscreteStatsTable[[#This Row],[RepsWithStatObserved]],1,0)</f>
        <v>1</v>
      </c>
    </row>
    <row r="814" spans="1:25" x14ac:dyDescent="0.25">
      <c r="A814" t="s">
        <v>67</v>
      </c>
      <c r="B814" t="s">
        <v>69</v>
      </c>
      <c r="C814">
        <v>11</v>
      </c>
      <c r="D814" t="s">
        <v>118</v>
      </c>
      <c r="E814" t="s">
        <v>79</v>
      </c>
      <c r="F814" t="s">
        <v>80</v>
      </c>
      <c r="G814">
        <v>6.6766834859913802</v>
      </c>
      <c r="H814">
        <v>2E+20</v>
      </c>
      <c r="I814">
        <v>6.6766834859913802</v>
      </c>
      <c r="J814">
        <v>6.6766834859913802</v>
      </c>
      <c r="K814">
        <v>1</v>
      </c>
      <c r="L814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17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8.7208139600551107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2.855433911459559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4.1973972240350799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15.7564955839941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4.1973972240350799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15.7564955839941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1</v>
      </c>
      <c r="W814" s="5">
        <f>IF((DiscreteStatsTable[[#This Row],[RepsRequested]]&gt;1),DiscreteStatsTable[[#This Row],[HalfWidth]],DiscreteStatsTable[[#This Row],[BatchMeansHalfWidth]])</f>
        <v>1.4681286462488794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17</v>
      </c>
      <c r="Y814" s="5">
        <f>IF(DiscreteStatsTable[[#This Row],[RepsRequested]]=DiscreteStatsTable[[#This Row],[RepsWithStatObserved]],1,0)</f>
        <v>1</v>
      </c>
    </row>
    <row r="815" spans="1:25" x14ac:dyDescent="0.25">
      <c r="A815" t="s">
        <v>67</v>
      </c>
      <c r="B815" t="s">
        <v>69</v>
      </c>
      <c r="C815">
        <v>12</v>
      </c>
      <c r="D815" t="s">
        <v>118</v>
      </c>
      <c r="E815" t="s">
        <v>79</v>
      </c>
      <c r="F815" t="s">
        <v>80</v>
      </c>
      <c r="G815">
        <v>12.230665555047599</v>
      </c>
      <c r="H815">
        <v>2E+20</v>
      </c>
      <c r="I815">
        <v>12.230665555047599</v>
      </c>
      <c r="J815">
        <v>12.230665555047599</v>
      </c>
      <c r="K815">
        <v>1</v>
      </c>
      <c r="L815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17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8.7208139600551107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2.855433911459559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4.1973972240350799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15.7564955839941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4.1973972240350799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15.7564955839941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1</v>
      </c>
      <c r="W815" s="5">
        <f>IF((DiscreteStatsTable[[#This Row],[RepsRequested]]&gt;1),DiscreteStatsTable[[#This Row],[HalfWidth]],DiscreteStatsTable[[#This Row],[BatchMeansHalfWidth]])</f>
        <v>1.4681286462488794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17</v>
      </c>
      <c r="Y815" s="5">
        <f>IF(DiscreteStatsTable[[#This Row],[RepsRequested]]=DiscreteStatsTable[[#This Row],[RepsWithStatObserved]],1,0)</f>
        <v>1</v>
      </c>
    </row>
    <row r="816" spans="1:25" x14ac:dyDescent="0.25">
      <c r="A816" t="s">
        <v>67</v>
      </c>
      <c r="B816" t="s">
        <v>69</v>
      </c>
      <c r="C816">
        <v>13</v>
      </c>
      <c r="D816" t="s">
        <v>118</v>
      </c>
      <c r="E816" t="s">
        <v>79</v>
      </c>
      <c r="F816" t="s">
        <v>80</v>
      </c>
      <c r="G816">
        <v>4.1973972240350799</v>
      </c>
      <c r="H816">
        <v>2E+20</v>
      </c>
      <c r="I816">
        <v>4.1973972240350799</v>
      </c>
      <c r="J816">
        <v>4.1973972240350799</v>
      </c>
      <c r="K816">
        <v>1</v>
      </c>
      <c r="L816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17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8.7208139600551107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2.855433911459559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4.1973972240350799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15.7564955839941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4.1973972240350799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15.7564955839941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1</v>
      </c>
      <c r="W816" s="5">
        <f>IF((DiscreteStatsTable[[#This Row],[RepsRequested]]&gt;1),DiscreteStatsTable[[#This Row],[HalfWidth]],DiscreteStatsTable[[#This Row],[BatchMeansHalfWidth]])</f>
        <v>1.4681286462488794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17</v>
      </c>
      <c r="Y816" s="5">
        <f>IF(DiscreteStatsTable[[#This Row],[RepsRequested]]=DiscreteStatsTable[[#This Row],[RepsWithStatObserved]],1,0)</f>
        <v>1</v>
      </c>
    </row>
    <row r="817" spans="1:25" x14ac:dyDescent="0.25">
      <c r="A817" t="s">
        <v>67</v>
      </c>
      <c r="B817" t="s">
        <v>69</v>
      </c>
      <c r="C817">
        <v>14</v>
      </c>
      <c r="D817" t="s">
        <v>118</v>
      </c>
      <c r="E817" t="s">
        <v>79</v>
      </c>
      <c r="F817" t="s">
        <v>80</v>
      </c>
      <c r="G817">
        <v>7.17820148517914</v>
      </c>
      <c r="H817">
        <v>2E+20</v>
      </c>
      <c r="I817">
        <v>7.17820148517914</v>
      </c>
      <c r="J817">
        <v>7.17820148517914</v>
      </c>
      <c r="K817">
        <v>1</v>
      </c>
      <c r="L817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17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8.7208139600551107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2.855433911459559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4.1973972240350799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15.7564955839941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4.1973972240350799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15.7564955839941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1</v>
      </c>
      <c r="W817" s="5">
        <f>IF((DiscreteStatsTable[[#This Row],[RepsRequested]]&gt;1),DiscreteStatsTable[[#This Row],[HalfWidth]],DiscreteStatsTable[[#This Row],[BatchMeansHalfWidth]])</f>
        <v>1.4681286462488794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17</v>
      </c>
      <c r="Y817" s="5">
        <f>IF(DiscreteStatsTable[[#This Row],[RepsRequested]]=DiscreteStatsTable[[#This Row],[RepsWithStatObserved]],1,0)</f>
        <v>1</v>
      </c>
    </row>
    <row r="818" spans="1:25" x14ac:dyDescent="0.25">
      <c r="A818" t="s">
        <v>67</v>
      </c>
      <c r="B818" t="s">
        <v>69</v>
      </c>
      <c r="C818">
        <v>15</v>
      </c>
      <c r="D818" t="s">
        <v>118</v>
      </c>
      <c r="E818" t="s">
        <v>79</v>
      </c>
      <c r="F818" t="s">
        <v>80</v>
      </c>
      <c r="G818">
        <v>10.1974679965444</v>
      </c>
      <c r="H818">
        <v>2E+20</v>
      </c>
      <c r="I818">
        <v>10.1974679965444</v>
      </c>
      <c r="J818">
        <v>10.1974679965444</v>
      </c>
      <c r="K818">
        <v>1</v>
      </c>
      <c r="L818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17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8.7208139600551107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2.855433911459559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4.1973972240350799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15.7564955839941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4.1973972240350799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15.7564955839941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1</v>
      </c>
      <c r="W818" s="5">
        <f>IF((DiscreteStatsTable[[#This Row],[RepsRequested]]&gt;1),DiscreteStatsTable[[#This Row],[HalfWidth]],DiscreteStatsTable[[#This Row],[BatchMeansHalfWidth]])</f>
        <v>1.4681286462488794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17</v>
      </c>
      <c r="Y818" s="5">
        <f>IF(DiscreteStatsTable[[#This Row],[RepsRequested]]=DiscreteStatsTable[[#This Row],[RepsWithStatObserved]],1,0)</f>
        <v>1</v>
      </c>
    </row>
    <row r="819" spans="1:25" x14ac:dyDescent="0.25">
      <c r="A819" t="s">
        <v>67</v>
      </c>
      <c r="B819" t="s">
        <v>69</v>
      </c>
      <c r="C819">
        <v>16</v>
      </c>
      <c r="D819" t="s">
        <v>118</v>
      </c>
      <c r="E819" t="s">
        <v>79</v>
      </c>
      <c r="F819" t="s">
        <v>80</v>
      </c>
      <c r="G819">
        <v>8.5814418185822703</v>
      </c>
      <c r="H819">
        <v>2E+20</v>
      </c>
      <c r="I819">
        <v>8.5814418185822703</v>
      </c>
      <c r="J819">
        <v>8.5814418185822703</v>
      </c>
      <c r="K819">
        <v>1</v>
      </c>
      <c r="L819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17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8.7208139600551107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2.855433911459559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4.1973972240350799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15.7564955839941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4.1973972240350799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15.7564955839941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1</v>
      </c>
      <c r="W819" s="5">
        <f>IF((DiscreteStatsTable[[#This Row],[RepsRequested]]&gt;1),DiscreteStatsTable[[#This Row],[HalfWidth]],DiscreteStatsTable[[#This Row],[BatchMeansHalfWidth]])</f>
        <v>1.4681286462488794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17</v>
      </c>
      <c r="Y819" s="5">
        <f>IF(DiscreteStatsTable[[#This Row],[RepsRequested]]=DiscreteStatsTable[[#This Row],[RepsWithStatObserved]],1,0)</f>
        <v>1</v>
      </c>
    </row>
    <row r="820" spans="1:25" x14ac:dyDescent="0.25">
      <c r="A820" t="s">
        <v>67</v>
      </c>
      <c r="B820" t="s">
        <v>69</v>
      </c>
      <c r="C820">
        <v>17</v>
      </c>
      <c r="D820" t="s">
        <v>118</v>
      </c>
      <c r="E820" t="s">
        <v>79</v>
      </c>
      <c r="F820" t="s">
        <v>80</v>
      </c>
      <c r="G820">
        <v>7.7993546841392796</v>
      </c>
      <c r="H820">
        <v>2E+20</v>
      </c>
      <c r="I820">
        <v>7.7993546841392796</v>
      </c>
      <c r="J820">
        <v>7.7993546841392796</v>
      </c>
      <c r="K820">
        <v>1</v>
      </c>
      <c r="L820" s="5" t="str">
        <f>DiscreteStatsTable[[#This Row],[ProjectName]]&amp;DiscreteStatsTable[[#This Row],[Name]]&amp;DiscreteStatsTable[[#This Row],[Type]]&amp;DiscreteStatsTable[[#This Row],[Source]]</f>
        <v>Weekend (base)TiempoSistemaTodosH1ExpressionUser Specified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17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8.7208139600551107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2.855433911459559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1.4681286462488794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4.1973972240350799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15.7564955839941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4.1973972240350799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15.7564955839941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1</v>
      </c>
      <c r="W820" s="5">
        <f>IF((DiscreteStatsTable[[#This Row],[RepsRequested]]&gt;1),DiscreteStatsTable[[#This Row],[HalfWidth]],DiscreteStatsTable[[#This Row],[BatchMeansHalfWidth]])</f>
        <v>1.4681286462488794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17</v>
      </c>
      <c r="Y820" s="5">
        <f>IF(DiscreteStatsTable[[#This Row],[RepsRequested]]=DiscreteStatsTable[[#This Row],[RepsWithStatObserved]],1,0)</f>
        <v>1</v>
      </c>
    </row>
    <row r="821" spans="1:25" x14ac:dyDescent="0.25">
      <c r="A821" t="s">
        <v>67</v>
      </c>
      <c r="B821" t="s">
        <v>69</v>
      </c>
      <c r="C821">
        <v>1</v>
      </c>
      <c r="D821" t="s">
        <v>119</v>
      </c>
      <c r="E821" t="s">
        <v>79</v>
      </c>
      <c r="F821" t="s">
        <v>80</v>
      </c>
      <c r="G821">
        <v>9.3230282350180094</v>
      </c>
      <c r="H821">
        <v>2E+20</v>
      </c>
      <c r="I821">
        <v>9.3230282350180094</v>
      </c>
      <c r="J821">
        <v>9.3230282350180094</v>
      </c>
      <c r="K821">
        <v>1</v>
      </c>
      <c r="L821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17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8.6031889508027444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6.3741941897433199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12.798658986762799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6.3741941897433199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12.798658986762799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1</v>
      </c>
      <c r="W821" s="5">
        <f>IF((DiscreteStatsTable[[#This Row],[RepsRequested]]&gt;1),DiscreteStatsTable[[#This Row],[HalfWidth]],DiscreteStatsTable[[#This Row],[BatchMeansHalfWidth]])</f>
        <v>0.99731266768281568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17</v>
      </c>
      <c r="Y821" s="5">
        <f>IF(DiscreteStatsTable[[#This Row],[RepsRequested]]=DiscreteStatsTable[[#This Row],[RepsWithStatObserved]],1,0)</f>
        <v>1</v>
      </c>
    </row>
    <row r="822" spans="1:25" x14ac:dyDescent="0.25">
      <c r="A822" t="s">
        <v>67</v>
      </c>
      <c r="B822" t="s">
        <v>69</v>
      </c>
      <c r="C822">
        <v>2</v>
      </c>
      <c r="D822" t="s">
        <v>119</v>
      </c>
      <c r="E822" t="s">
        <v>79</v>
      </c>
      <c r="F822" t="s">
        <v>80</v>
      </c>
      <c r="G822">
        <v>8.0073470024180402</v>
      </c>
      <c r="H822">
        <v>2E+20</v>
      </c>
      <c r="I822">
        <v>8.0073470024180402</v>
      </c>
      <c r="J822">
        <v>8.0073470024180402</v>
      </c>
      <c r="K822">
        <v>1</v>
      </c>
      <c r="L822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17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8.6031889508027444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6.3741941897433199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12.798658986762799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6.3741941897433199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12.798658986762799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1</v>
      </c>
      <c r="W822" s="5">
        <f>IF((DiscreteStatsTable[[#This Row],[RepsRequested]]&gt;1),DiscreteStatsTable[[#This Row],[HalfWidth]],DiscreteStatsTable[[#This Row],[BatchMeansHalfWidth]])</f>
        <v>0.99731266768281568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17</v>
      </c>
      <c r="Y822" s="5">
        <f>IF(DiscreteStatsTable[[#This Row],[RepsRequested]]=DiscreteStatsTable[[#This Row],[RepsWithStatObserved]],1,0)</f>
        <v>1</v>
      </c>
    </row>
    <row r="823" spans="1:25" x14ac:dyDescent="0.25">
      <c r="A823" t="s">
        <v>67</v>
      </c>
      <c r="B823" t="s">
        <v>69</v>
      </c>
      <c r="C823">
        <v>3</v>
      </c>
      <c r="D823" t="s">
        <v>119</v>
      </c>
      <c r="E823" t="s">
        <v>79</v>
      </c>
      <c r="F823" t="s">
        <v>80</v>
      </c>
      <c r="G823">
        <v>12.798658986762799</v>
      </c>
      <c r="H823">
        <v>2E+20</v>
      </c>
      <c r="I823">
        <v>12.798658986762799</v>
      </c>
      <c r="J823">
        <v>12.798658986762799</v>
      </c>
      <c r="K823">
        <v>1</v>
      </c>
      <c r="L823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17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8.6031889508027444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6.3741941897433199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12.798658986762799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6.3741941897433199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12.798658986762799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1</v>
      </c>
      <c r="W823" s="5">
        <f>IF((DiscreteStatsTable[[#This Row],[RepsRequested]]&gt;1),DiscreteStatsTable[[#This Row],[HalfWidth]],DiscreteStatsTable[[#This Row],[BatchMeansHalfWidth]])</f>
        <v>0.99731266768281568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17</v>
      </c>
      <c r="Y823" s="5">
        <f>IF(DiscreteStatsTable[[#This Row],[RepsRequested]]=DiscreteStatsTable[[#This Row],[RepsWithStatObserved]],1,0)</f>
        <v>1</v>
      </c>
    </row>
    <row r="824" spans="1:25" x14ac:dyDescent="0.25">
      <c r="A824" t="s">
        <v>67</v>
      </c>
      <c r="B824" t="s">
        <v>69</v>
      </c>
      <c r="C824">
        <v>4</v>
      </c>
      <c r="D824" t="s">
        <v>119</v>
      </c>
      <c r="E824" t="s">
        <v>79</v>
      </c>
      <c r="F824" t="s">
        <v>80</v>
      </c>
      <c r="G824">
        <v>8.6167266526855197</v>
      </c>
      <c r="H824">
        <v>2E+20</v>
      </c>
      <c r="I824">
        <v>8.6167266526855197</v>
      </c>
      <c r="J824">
        <v>8.6167266526855197</v>
      </c>
      <c r="K824">
        <v>1</v>
      </c>
      <c r="L824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17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8.6031889508027444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6.3741941897433199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12.798658986762799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6.3741941897433199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12.798658986762799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1</v>
      </c>
      <c r="W824" s="5">
        <f>IF((DiscreteStatsTable[[#This Row],[RepsRequested]]&gt;1),DiscreteStatsTable[[#This Row],[HalfWidth]],DiscreteStatsTable[[#This Row],[BatchMeansHalfWidth]])</f>
        <v>0.99731266768281568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17</v>
      </c>
      <c r="Y824" s="5">
        <f>IF(DiscreteStatsTable[[#This Row],[RepsRequested]]=DiscreteStatsTable[[#This Row],[RepsWithStatObserved]],1,0)</f>
        <v>1</v>
      </c>
    </row>
    <row r="825" spans="1:25" x14ac:dyDescent="0.25">
      <c r="A825" t="s">
        <v>67</v>
      </c>
      <c r="B825" t="s">
        <v>69</v>
      </c>
      <c r="C825">
        <v>5</v>
      </c>
      <c r="D825" t="s">
        <v>119</v>
      </c>
      <c r="E825" t="s">
        <v>79</v>
      </c>
      <c r="F825" t="s">
        <v>80</v>
      </c>
      <c r="G825">
        <v>6.5396432951408796</v>
      </c>
      <c r="H825">
        <v>2E+20</v>
      </c>
      <c r="I825">
        <v>6.5396432951408796</v>
      </c>
      <c r="J825">
        <v>6.5396432951408796</v>
      </c>
      <c r="K825">
        <v>1</v>
      </c>
      <c r="L825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17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8.6031889508027444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6.3741941897433199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12.798658986762799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6.3741941897433199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12.798658986762799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1</v>
      </c>
      <c r="W825" s="5">
        <f>IF((DiscreteStatsTable[[#This Row],[RepsRequested]]&gt;1),DiscreteStatsTable[[#This Row],[HalfWidth]],DiscreteStatsTable[[#This Row],[BatchMeansHalfWidth]])</f>
        <v>0.99731266768281568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17</v>
      </c>
      <c r="Y825" s="5">
        <f>IF(DiscreteStatsTable[[#This Row],[RepsRequested]]=DiscreteStatsTable[[#This Row],[RepsWithStatObserved]],1,0)</f>
        <v>1</v>
      </c>
    </row>
    <row r="826" spans="1:25" x14ac:dyDescent="0.25">
      <c r="A826" t="s">
        <v>67</v>
      </c>
      <c r="B826" t="s">
        <v>69</v>
      </c>
      <c r="C826">
        <v>6</v>
      </c>
      <c r="D826" t="s">
        <v>119</v>
      </c>
      <c r="E826" t="s">
        <v>79</v>
      </c>
      <c r="F826" t="s">
        <v>80</v>
      </c>
      <c r="G826">
        <v>6.4127567352937103</v>
      </c>
      <c r="H826">
        <v>2E+20</v>
      </c>
      <c r="I826">
        <v>6.4127567352937103</v>
      </c>
      <c r="J826">
        <v>6.4127567352937103</v>
      </c>
      <c r="K826">
        <v>1</v>
      </c>
      <c r="L826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17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8.6031889508027444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6.3741941897433199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12.798658986762799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6.3741941897433199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12.798658986762799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1</v>
      </c>
      <c r="W826" s="5">
        <f>IF((DiscreteStatsTable[[#This Row],[RepsRequested]]&gt;1),DiscreteStatsTable[[#This Row],[HalfWidth]],DiscreteStatsTable[[#This Row],[BatchMeansHalfWidth]])</f>
        <v>0.99731266768281568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17</v>
      </c>
      <c r="Y826" s="5">
        <f>IF(DiscreteStatsTable[[#This Row],[RepsRequested]]=DiscreteStatsTable[[#This Row],[RepsWithStatObserved]],1,0)</f>
        <v>1</v>
      </c>
    </row>
    <row r="827" spans="1:25" x14ac:dyDescent="0.25">
      <c r="A827" t="s">
        <v>67</v>
      </c>
      <c r="B827" t="s">
        <v>69</v>
      </c>
      <c r="C827">
        <v>7</v>
      </c>
      <c r="D827" t="s">
        <v>119</v>
      </c>
      <c r="E827" t="s">
        <v>79</v>
      </c>
      <c r="F827" t="s">
        <v>80</v>
      </c>
      <c r="G827">
        <v>8.0081069854668492</v>
      </c>
      <c r="H827">
        <v>2E+20</v>
      </c>
      <c r="I827">
        <v>8.0081069854668492</v>
      </c>
      <c r="J827">
        <v>8.0081069854668492</v>
      </c>
      <c r="K827">
        <v>1</v>
      </c>
      <c r="L827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17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8.6031889508027444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6.3741941897433199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12.798658986762799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6.3741941897433199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12.798658986762799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1</v>
      </c>
      <c r="W827" s="5">
        <f>IF((DiscreteStatsTable[[#This Row],[RepsRequested]]&gt;1),DiscreteStatsTable[[#This Row],[HalfWidth]],DiscreteStatsTable[[#This Row],[BatchMeansHalfWidth]])</f>
        <v>0.99731266768281568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17</v>
      </c>
      <c r="Y827" s="5">
        <f>IF(DiscreteStatsTable[[#This Row],[RepsRequested]]=DiscreteStatsTable[[#This Row],[RepsWithStatObserved]],1,0)</f>
        <v>1</v>
      </c>
    </row>
    <row r="828" spans="1:25" x14ac:dyDescent="0.25">
      <c r="A828" t="s">
        <v>67</v>
      </c>
      <c r="B828" t="s">
        <v>69</v>
      </c>
      <c r="C828">
        <v>8</v>
      </c>
      <c r="D828" t="s">
        <v>119</v>
      </c>
      <c r="E828" t="s">
        <v>79</v>
      </c>
      <c r="F828" t="s">
        <v>80</v>
      </c>
      <c r="G828">
        <v>12.6568126410413</v>
      </c>
      <c r="H828">
        <v>2E+20</v>
      </c>
      <c r="I828">
        <v>12.6568126410413</v>
      </c>
      <c r="J828">
        <v>12.6568126410413</v>
      </c>
      <c r="K828">
        <v>1</v>
      </c>
      <c r="L828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17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8.6031889508027444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6.3741941897433199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12.798658986762799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6.3741941897433199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12.798658986762799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1</v>
      </c>
      <c r="W828" s="5">
        <f>IF((DiscreteStatsTable[[#This Row],[RepsRequested]]&gt;1),DiscreteStatsTable[[#This Row],[HalfWidth]],DiscreteStatsTable[[#This Row],[BatchMeansHalfWidth]])</f>
        <v>0.99731266768281568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17</v>
      </c>
      <c r="Y828" s="5">
        <f>IF(DiscreteStatsTable[[#This Row],[RepsRequested]]=DiscreteStatsTable[[#This Row],[RepsWithStatObserved]],1,0)</f>
        <v>1</v>
      </c>
    </row>
    <row r="829" spans="1:25" x14ac:dyDescent="0.25">
      <c r="A829" t="s">
        <v>67</v>
      </c>
      <c r="B829" t="s">
        <v>69</v>
      </c>
      <c r="C829">
        <v>9</v>
      </c>
      <c r="D829" t="s">
        <v>119</v>
      </c>
      <c r="E829" t="s">
        <v>79</v>
      </c>
      <c r="F829" t="s">
        <v>80</v>
      </c>
      <c r="G829">
        <v>8.6443350672711006</v>
      </c>
      <c r="H829">
        <v>2E+20</v>
      </c>
      <c r="I829">
        <v>8.6443350672711006</v>
      </c>
      <c r="J829">
        <v>8.6443350672711006</v>
      </c>
      <c r="K829">
        <v>1</v>
      </c>
      <c r="L829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17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8.6031889508027444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1.9397213036513103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6.3741941897433199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12.798658986762799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6.3741941897433199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12.798658986762799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1</v>
      </c>
      <c r="W829" s="5">
        <f>IF((DiscreteStatsTable[[#This Row],[RepsRequested]]&gt;1),DiscreteStatsTable[[#This Row],[HalfWidth]],DiscreteStatsTable[[#This Row],[BatchMeansHalfWidth]])</f>
        <v>0.99731266768281568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17</v>
      </c>
      <c r="Y829" s="5">
        <f>IF(DiscreteStatsTable[[#This Row],[RepsRequested]]=DiscreteStatsTable[[#This Row],[RepsWithStatObserved]],1,0)</f>
        <v>1</v>
      </c>
    </row>
    <row r="830" spans="1:25" x14ac:dyDescent="0.25">
      <c r="A830" t="s">
        <v>67</v>
      </c>
      <c r="B830" t="s">
        <v>69</v>
      </c>
      <c r="C830">
        <v>10</v>
      </c>
      <c r="D830" t="s">
        <v>119</v>
      </c>
      <c r="E830" t="s">
        <v>79</v>
      </c>
      <c r="F830" t="s">
        <v>80</v>
      </c>
      <c r="G830">
        <v>9.7855118650011104</v>
      </c>
      <c r="H830">
        <v>2E+20</v>
      </c>
      <c r="I830">
        <v>9.7855118650011104</v>
      </c>
      <c r="J830">
        <v>9.7855118650011104</v>
      </c>
      <c r="K830">
        <v>1</v>
      </c>
      <c r="L830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17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8.6031889508027444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1.9397213036513103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6.3741941897433199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12.798658986762799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6.3741941897433199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12.798658986762799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1</v>
      </c>
      <c r="W830" s="5">
        <f>IF((DiscreteStatsTable[[#This Row],[RepsRequested]]&gt;1),DiscreteStatsTable[[#This Row],[HalfWidth]],DiscreteStatsTable[[#This Row],[BatchMeansHalfWidth]])</f>
        <v>0.99731266768281568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17</v>
      </c>
      <c r="Y830" s="5">
        <f>IF(DiscreteStatsTable[[#This Row],[RepsRequested]]=DiscreteStatsTable[[#This Row],[RepsWithStatObserved]],1,0)</f>
        <v>1</v>
      </c>
    </row>
    <row r="831" spans="1:25" x14ac:dyDescent="0.25">
      <c r="A831" t="s">
        <v>67</v>
      </c>
      <c r="B831" t="s">
        <v>69</v>
      </c>
      <c r="C831">
        <v>11</v>
      </c>
      <c r="D831" t="s">
        <v>119</v>
      </c>
      <c r="E831" t="s">
        <v>79</v>
      </c>
      <c r="F831" t="s">
        <v>80</v>
      </c>
      <c r="G831">
        <v>6.3741941897433199</v>
      </c>
      <c r="H831">
        <v>2E+20</v>
      </c>
      <c r="I831">
        <v>6.3741941897433199</v>
      </c>
      <c r="J831">
        <v>6.3741941897433199</v>
      </c>
      <c r="K831">
        <v>1</v>
      </c>
      <c r="L831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17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8.6031889508027444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1.9397213036513103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6.3741941897433199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12.798658986762799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6.3741941897433199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12.798658986762799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1</v>
      </c>
      <c r="W831" s="5">
        <f>IF((DiscreteStatsTable[[#This Row],[RepsRequested]]&gt;1),DiscreteStatsTable[[#This Row],[HalfWidth]],DiscreteStatsTable[[#This Row],[BatchMeansHalfWidth]])</f>
        <v>0.99731266768281568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17</v>
      </c>
      <c r="Y831" s="5">
        <f>IF(DiscreteStatsTable[[#This Row],[RepsRequested]]=DiscreteStatsTable[[#This Row],[RepsWithStatObserved]],1,0)</f>
        <v>1</v>
      </c>
    </row>
    <row r="832" spans="1:25" x14ac:dyDescent="0.25">
      <c r="A832" t="s">
        <v>67</v>
      </c>
      <c r="B832" t="s">
        <v>69</v>
      </c>
      <c r="C832">
        <v>12</v>
      </c>
      <c r="D832" t="s">
        <v>119</v>
      </c>
      <c r="E832" t="s">
        <v>79</v>
      </c>
      <c r="F832" t="s">
        <v>80</v>
      </c>
      <c r="G832">
        <v>10.254203204204201</v>
      </c>
      <c r="H832">
        <v>2E+20</v>
      </c>
      <c r="I832">
        <v>10.254203204204201</v>
      </c>
      <c r="J832">
        <v>10.254203204204201</v>
      </c>
      <c r="K832">
        <v>1</v>
      </c>
      <c r="L832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17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8.6031889508027444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1.9397213036513103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6.3741941897433199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12.798658986762799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6.3741941897433199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12.798658986762799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1</v>
      </c>
      <c r="W832" s="5">
        <f>IF((DiscreteStatsTable[[#This Row],[RepsRequested]]&gt;1),DiscreteStatsTable[[#This Row],[HalfWidth]],DiscreteStatsTable[[#This Row],[BatchMeansHalfWidth]])</f>
        <v>0.99731266768281568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17</v>
      </c>
      <c r="Y832" s="5">
        <f>IF(DiscreteStatsTable[[#This Row],[RepsRequested]]=DiscreteStatsTable[[#This Row],[RepsWithStatObserved]],1,0)</f>
        <v>1</v>
      </c>
    </row>
    <row r="833" spans="1:25" x14ac:dyDescent="0.25">
      <c r="A833" t="s">
        <v>67</v>
      </c>
      <c r="B833" t="s">
        <v>69</v>
      </c>
      <c r="C833">
        <v>13</v>
      </c>
      <c r="D833" t="s">
        <v>119</v>
      </c>
      <c r="E833" t="s">
        <v>79</v>
      </c>
      <c r="F833" t="s">
        <v>80</v>
      </c>
      <c r="G833">
        <v>6.8651122779543901</v>
      </c>
      <c r="H833">
        <v>2E+20</v>
      </c>
      <c r="I833">
        <v>6.8651122779543901</v>
      </c>
      <c r="J833">
        <v>6.8651122779543901</v>
      </c>
      <c r="K833">
        <v>1</v>
      </c>
      <c r="L833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17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8.6031889508027444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1.9397213036513103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6.3741941897433199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12.798658986762799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6.3741941897433199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12.798658986762799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1</v>
      </c>
      <c r="W833" s="5">
        <f>IF((DiscreteStatsTable[[#This Row],[RepsRequested]]&gt;1),DiscreteStatsTable[[#This Row],[HalfWidth]],DiscreteStatsTable[[#This Row],[BatchMeansHalfWidth]])</f>
        <v>0.99731266768281568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17</v>
      </c>
      <c r="Y833" s="5">
        <f>IF(DiscreteStatsTable[[#This Row],[RepsRequested]]=DiscreteStatsTable[[#This Row],[RepsWithStatObserved]],1,0)</f>
        <v>1</v>
      </c>
    </row>
    <row r="834" spans="1:25" x14ac:dyDescent="0.25">
      <c r="A834" t="s">
        <v>67</v>
      </c>
      <c r="B834" t="s">
        <v>69</v>
      </c>
      <c r="C834">
        <v>14</v>
      </c>
      <c r="D834" t="s">
        <v>119</v>
      </c>
      <c r="E834" t="s">
        <v>79</v>
      </c>
      <c r="F834" t="s">
        <v>80</v>
      </c>
      <c r="G834">
        <v>7.3935629538215402</v>
      </c>
      <c r="H834">
        <v>2E+20</v>
      </c>
      <c r="I834">
        <v>7.3935629538215402</v>
      </c>
      <c r="J834">
        <v>7.3935629538215402</v>
      </c>
      <c r="K834">
        <v>1</v>
      </c>
      <c r="L834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17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8.6031889508027444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1.9397213036513103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6.3741941897433199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12.798658986762799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6.3741941897433199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12.798658986762799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1</v>
      </c>
      <c r="W834" s="5">
        <f>IF((DiscreteStatsTable[[#This Row],[RepsRequested]]&gt;1),DiscreteStatsTable[[#This Row],[HalfWidth]],DiscreteStatsTable[[#This Row],[BatchMeansHalfWidth]])</f>
        <v>0.99731266768281568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17</v>
      </c>
      <c r="Y834" s="5">
        <f>IF(DiscreteStatsTable[[#This Row],[RepsRequested]]=DiscreteStatsTable[[#This Row],[RepsWithStatObserved]],1,0)</f>
        <v>1</v>
      </c>
    </row>
    <row r="835" spans="1:25" x14ac:dyDescent="0.25">
      <c r="A835" t="s">
        <v>67</v>
      </c>
      <c r="B835" t="s">
        <v>69</v>
      </c>
      <c r="C835">
        <v>15</v>
      </c>
      <c r="D835" t="s">
        <v>119</v>
      </c>
      <c r="E835" t="s">
        <v>79</v>
      </c>
      <c r="F835" t="s">
        <v>80</v>
      </c>
      <c r="G835">
        <v>9.2829580893347305</v>
      </c>
      <c r="H835">
        <v>2E+20</v>
      </c>
      <c r="I835">
        <v>9.2829580893347305</v>
      </c>
      <c r="J835">
        <v>9.2829580893347305</v>
      </c>
      <c r="K835">
        <v>1</v>
      </c>
      <c r="L835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17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8.6031889508027444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1.9397213036513103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6.3741941897433199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12.798658986762799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6.3741941897433199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12.798658986762799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1</v>
      </c>
      <c r="W835" s="5">
        <f>IF((DiscreteStatsTable[[#This Row],[RepsRequested]]&gt;1),DiscreteStatsTable[[#This Row],[HalfWidth]],DiscreteStatsTable[[#This Row],[BatchMeansHalfWidth]])</f>
        <v>0.99731266768281568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17</v>
      </c>
      <c r="Y835" s="5">
        <f>IF(DiscreteStatsTable[[#This Row],[RepsRequested]]=DiscreteStatsTable[[#This Row],[RepsWithStatObserved]],1,0)</f>
        <v>1</v>
      </c>
    </row>
    <row r="836" spans="1:25" x14ac:dyDescent="0.25">
      <c r="A836" t="s">
        <v>67</v>
      </c>
      <c r="B836" t="s">
        <v>69</v>
      </c>
      <c r="C836">
        <v>16</v>
      </c>
      <c r="D836" t="s">
        <v>119</v>
      </c>
      <c r="E836" t="s">
        <v>79</v>
      </c>
      <c r="F836" t="s">
        <v>80</v>
      </c>
      <c r="G836">
        <v>7.5790602062844297</v>
      </c>
      <c r="H836">
        <v>2E+20</v>
      </c>
      <c r="I836">
        <v>7.5790602062844297</v>
      </c>
      <c r="J836">
        <v>7.5790602062844297</v>
      </c>
      <c r="K836">
        <v>1</v>
      </c>
      <c r="L836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17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8.6031889508027444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1.9397213036513103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6.3741941897433199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12.798658986762799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6.3741941897433199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12.798658986762799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1</v>
      </c>
      <c r="W836" s="5">
        <f>IF((DiscreteStatsTable[[#This Row],[RepsRequested]]&gt;1),DiscreteStatsTable[[#This Row],[HalfWidth]],DiscreteStatsTable[[#This Row],[BatchMeansHalfWidth]])</f>
        <v>0.99731266768281568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17</v>
      </c>
      <c r="Y836" s="5">
        <f>IF(DiscreteStatsTable[[#This Row],[RepsRequested]]=DiscreteStatsTable[[#This Row],[RepsWithStatObserved]],1,0)</f>
        <v>1</v>
      </c>
    </row>
    <row r="837" spans="1:25" x14ac:dyDescent="0.25">
      <c r="A837" t="s">
        <v>67</v>
      </c>
      <c r="B837" t="s">
        <v>69</v>
      </c>
      <c r="C837">
        <v>17</v>
      </c>
      <c r="D837" t="s">
        <v>119</v>
      </c>
      <c r="E837" t="s">
        <v>79</v>
      </c>
      <c r="F837" t="s">
        <v>80</v>
      </c>
      <c r="G837">
        <v>7.7121937762047201</v>
      </c>
      <c r="H837">
        <v>2E+20</v>
      </c>
      <c r="I837">
        <v>7.7121937762047201</v>
      </c>
      <c r="J837">
        <v>7.7121937762047201</v>
      </c>
      <c r="K837">
        <v>1</v>
      </c>
      <c r="L837" s="5" t="str">
        <f>DiscreteStatsTable[[#This Row],[ProjectName]]&amp;DiscreteStatsTable[[#This Row],[Name]]&amp;DiscreteStatsTable[[#This Row],[Type]]&amp;DiscreteStatsTable[[#This Row],[Source]]</f>
        <v>Weekend (base)TiempoSistemaTodosH2ExpressionUser Specified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17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8.6031889508027444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1.9397213036513103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0.99731266768281568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6.3741941897433199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12.798658986762799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6.3741941897433199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12.798658986762799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1</v>
      </c>
      <c r="W837" s="5">
        <f>IF((DiscreteStatsTable[[#This Row],[RepsRequested]]&gt;1),DiscreteStatsTable[[#This Row],[HalfWidth]],DiscreteStatsTable[[#This Row],[BatchMeansHalfWidth]])</f>
        <v>0.99731266768281568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17</v>
      </c>
      <c r="Y837" s="5">
        <f>IF(DiscreteStatsTable[[#This Row],[RepsRequested]]=DiscreteStatsTable[[#This Row],[RepsWithStatObserved]],1,0)</f>
        <v>1</v>
      </c>
    </row>
    <row r="838" spans="1:25" x14ac:dyDescent="0.25">
      <c r="A838" t="s">
        <v>67</v>
      </c>
      <c r="B838" t="s">
        <v>69</v>
      </c>
      <c r="C838">
        <v>1</v>
      </c>
      <c r="D838" t="s">
        <v>120</v>
      </c>
      <c r="E838" t="s">
        <v>79</v>
      </c>
      <c r="F838" t="s">
        <v>80</v>
      </c>
      <c r="G838">
        <v>8.4545823751403208</v>
      </c>
      <c r="H838">
        <v>2E+20</v>
      </c>
      <c r="I838">
        <v>8.4545823751403208</v>
      </c>
      <c r="J838">
        <v>8.4545823751403208</v>
      </c>
      <c r="K838">
        <v>1</v>
      </c>
      <c r="L838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17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8.476767334896584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1.5778141287777554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6.3029244422908404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12.3809834783632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6.3029244422908404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12.3809834783632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1</v>
      </c>
      <c r="W838" s="5">
        <f>IF((DiscreteStatsTable[[#This Row],[RepsRequested]]&gt;1),DiscreteStatsTable[[#This Row],[HalfWidth]],DiscreteStatsTable[[#This Row],[BatchMeansHalfWidth]])</f>
        <v>0.81123716841017435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17</v>
      </c>
      <c r="Y838" s="5">
        <f>IF(DiscreteStatsTable[[#This Row],[RepsRequested]]=DiscreteStatsTable[[#This Row],[RepsWithStatObserved]],1,0)</f>
        <v>1</v>
      </c>
    </row>
    <row r="839" spans="1:25" x14ac:dyDescent="0.25">
      <c r="A839" t="s">
        <v>67</v>
      </c>
      <c r="B839" t="s">
        <v>69</v>
      </c>
      <c r="C839">
        <v>2</v>
      </c>
      <c r="D839" t="s">
        <v>120</v>
      </c>
      <c r="E839" t="s">
        <v>79</v>
      </c>
      <c r="F839" t="s">
        <v>80</v>
      </c>
      <c r="G839">
        <v>8.31402861988715</v>
      </c>
      <c r="H839">
        <v>2E+20</v>
      </c>
      <c r="I839">
        <v>8.31402861988715</v>
      </c>
      <c r="J839">
        <v>8.31402861988715</v>
      </c>
      <c r="K839">
        <v>1</v>
      </c>
      <c r="L839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17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8.476767334896584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1.5778141287777554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6.3029244422908404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12.3809834783632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6.3029244422908404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12.3809834783632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1</v>
      </c>
      <c r="W839" s="5">
        <f>IF((DiscreteStatsTable[[#This Row],[RepsRequested]]&gt;1),DiscreteStatsTable[[#This Row],[HalfWidth]],DiscreteStatsTable[[#This Row],[BatchMeansHalfWidth]])</f>
        <v>0.81123716841017435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17</v>
      </c>
      <c r="Y839" s="5">
        <f>IF(DiscreteStatsTable[[#This Row],[RepsRequested]]=DiscreteStatsTable[[#This Row],[RepsWithStatObserved]],1,0)</f>
        <v>1</v>
      </c>
    </row>
    <row r="840" spans="1:25" x14ac:dyDescent="0.25">
      <c r="A840" t="s">
        <v>67</v>
      </c>
      <c r="B840" t="s">
        <v>69</v>
      </c>
      <c r="C840">
        <v>3</v>
      </c>
      <c r="D840" t="s">
        <v>120</v>
      </c>
      <c r="E840" t="s">
        <v>79</v>
      </c>
      <c r="F840" t="s">
        <v>80</v>
      </c>
      <c r="G840">
        <v>10.781600802494999</v>
      </c>
      <c r="H840">
        <v>2E+20</v>
      </c>
      <c r="I840">
        <v>10.781600802494999</v>
      </c>
      <c r="J840">
        <v>10.781600802494999</v>
      </c>
      <c r="K840">
        <v>1</v>
      </c>
      <c r="L840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17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8.476767334896584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6.3029244422908404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12.3809834783632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6.3029244422908404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12.3809834783632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1</v>
      </c>
      <c r="W840" s="5">
        <f>IF((DiscreteStatsTable[[#This Row],[RepsRequested]]&gt;1),DiscreteStatsTable[[#This Row],[HalfWidth]],DiscreteStatsTable[[#This Row],[BatchMeansHalfWidth]])</f>
        <v>0.81123716841017435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17</v>
      </c>
      <c r="Y840" s="5">
        <f>IF(DiscreteStatsTable[[#This Row],[RepsRequested]]=DiscreteStatsTable[[#This Row],[RepsWithStatObserved]],1,0)</f>
        <v>1</v>
      </c>
    </row>
    <row r="841" spans="1:25" x14ac:dyDescent="0.25">
      <c r="A841" t="s">
        <v>67</v>
      </c>
      <c r="B841" t="s">
        <v>69</v>
      </c>
      <c r="C841">
        <v>4</v>
      </c>
      <c r="D841" t="s">
        <v>120</v>
      </c>
      <c r="E841" t="s">
        <v>79</v>
      </c>
      <c r="F841" t="s">
        <v>80</v>
      </c>
      <c r="G841">
        <v>7.7944480602891604</v>
      </c>
      <c r="H841">
        <v>2E+20</v>
      </c>
      <c r="I841">
        <v>7.7944480602891604</v>
      </c>
      <c r="J841">
        <v>7.7944480602891604</v>
      </c>
      <c r="K841">
        <v>1</v>
      </c>
      <c r="L841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17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8.476767334896584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6.3029244422908404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12.3809834783632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6.3029244422908404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12.3809834783632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1</v>
      </c>
      <c r="W841" s="5">
        <f>IF((DiscreteStatsTable[[#This Row],[RepsRequested]]&gt;1),DiscreteStatsTable[[#This Row],[HalfWidth]],DiscreteStatsTable[[#This Row],[BatchMeansHalfWidth]])</f>
        <v>0.81123716841017435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17</v>
      </c>
      <c r="Y841" s="5">
        <f>IF(DiscreteStatsTable[[#This Row],[RepsRequested]]=DiscreteStatsTable[[#This Row],[RepsWithStatObserved]],1,0)</f>
        <v>1</v>
      </c>
    </row>
    <row r="842" spans="1:25" x14ac:dyDescent="0.25">
      <c r="A842" t="s">
        <v>67</v>
      </c>
      <c r="B842" t="s">
        <v>69</v>
      </c>
      <c r="C842">
        <v>5</v>
      </c>
      <c r="D842" t="s">
        <v>120</v>
      </c>
      <c r="E842" t="s">
        <v>79</v>
      </c>
      <c r="F842" t="s">
        <v>80</v>
      </c>
      <c r="G842">
        <v>8.2246744712782096</v>
      </c>
      <c r="H842">
        <v>2E+20</v>
      </c>
      <c r="I842">
        <v>8.2246744712782096</v>
      </c>
      <c r="J842">
        <v>8.2246744712782096</v>
      </c>
      <c r="K842">
        <v>1</v>
      </c>
      <c r="L842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17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8.476767334896584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6.3029244422908404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12.3809834783632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6.3029244422908404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12.3809834783632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1</v>
      </c>
      <c r="W842" s="5">
        <f>IF((DiscreteStatsTable[[#This Row],[RepsRequested]]&gt;1),DiscreteStatsTable[[#This Row],[HalfWidth]],DiscreteStatsTable[[#This Row],[BatchMeansHalfWidth]])</f>
        <v>0.81123716841017435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17</v>
      </c>
      <c r="Y842" s="5">
        <f>IF(DiscreteStatsTable[[#This Row],[RepsRequested]]=DiscreteStatsTable[[#This Row],[RepsWithStatObserved]],1,0)</f>
        <v>1</v>
      </c>
    </row>
    <row r="843" spans="1:25" x14ac:dyDescent="0.25">
      <c r="A843" t="s">
        <v>67</v>
      </c>
      <c r="B843" t="s">
        <v>69</v>
      </c>
      <c r="C843">
        <v>6</v>
      </c>
      <c r="D843" t="s">
        <v>120</v>
      </c>
      <c r="E843" t="s">
        <v>79</v>
      </c>
      <c r="F843" t="s">
        <v>80</v>
      </c>
      <c r="G843">
        <v>6.3029244422908404</v>
      </c>
      <c r="H843">
        <v>2E+20</v>
      </c>
      <c r="I843">
        <v>6.3029244422908404</v>
      </c>
      <c r="J843">
        <v>6.3029244422908404</v>
      </c>
      <c r="K843">
        <v>1</v>
      </c>
      <c r="L843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17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8.476767334896584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6.3029244422908404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12.3809834783632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6.3029244422908404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12.3809834783632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1</v>
      </c>
      <c r="W843" s="5">
        <f>IF((DiscreteStatsTable[[#This Row],[RepsRequested]]&gt;1),DiscreteStatsTable[[#This Row],[HalfWidth]],DiscreteStatsTable[[#This Row],[BatchMeansHalfWidth]])</f>
        <v>0.81123716841017435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17</v>
      </c>
      <c r="Y843" s="5">
        <f>IF(DiscreteStatsTable[[#This Row],[RepsRequested]]=DiscreteStatsTable[[#This Row],[RepsWithStatObserved]],1,0)</f>
        <v>1</v>
      </c>
    </row>
    <row r="844" spans="1:25" x14ac:dyDescent="0.25">
      <c r="A844" t="s">
        <v>67</v>
      </c>
      <c r="B844" t="s">
        <v>69</v>
      </c>
      <c r="C844">
        <v>7</v>
      </c>
      <c r="D844" t="s">
        <v>120</v>
      </c>
      <c r="E844" t="s">
        <v>79</v>
      </c>
      <c r="F844" t="s">
        <v>80</v>
      </c>
      <c r="G844">
        <v>8.0267605025559501</v>
      </c>
      <c r="H844">
        <v>2E+20</v>
      </c>
      <c r="I844">
        <v>8.0267605025559501</v>
      </c>
      <c r="J844">
        <v>8.0267605025559501</v>
      </c>
      <c r="K844">
        <v>1</v>
      </c>
      <c r="L844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17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8.476767334896584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6.3029244422908404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12.3809834783632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6.3029244422908404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12.3809834783632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1</v>
      </c>
      <c r="W844" s="5">
        <f>IF((DiscreteStatsTable[[#This Row],[RepsRequested]]&gt;1),DiscreteStatsTable[[#This Row],[HalfWidth]],DiscreteStatsTable[[#This Row],[BatchMeansHalfWidth]])</f>
        <v>0.81123716841017435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17</v>
      </c>
      <c r="Y844" s="5">
        <f>IF(DiscreteStatsTable[[#This Row],[RepsRequested]]=DiscreteStatsTable[[#This Row],[RepsWithStatObserved]],1,0)</f>
        <v>1</v>
      </c>
    </row>
    <row r="845" spans="1:25" x14ac:dyDescent="0.25">
      <c r="A845" t="s">
        <v>67</v>
      </c>
      <c r="B845" t="s">
        <v>69</v>
      </c>
      <c r="C845">
        <v>8</v>
      </c>
      <c r="D845" t="s">
        <v>120</v>
      </c>
      <c r="E845" t="s">
        <v>79</v>
      </c>
      <c r="F845" t="s">
        <v>80</v>
      </c>
      <c r="G845">
        <v>12.3809834783632</v>
      </c>
      <c r="H845">
        <v>2E+20</v>
      </c>
      <c r="I845">
        <v>12.3809834783632</v>
      </c>
      <c r="J845">
        <v>12.3809834783632</v>
      </c>
      <c r="K845">
        <v>1</v>
      </c>
      <c r="L845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17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8.476767334896584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6.3029244422908404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12.3809834783632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6.3029244422908404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12.3809834783632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1</v>
      </c>
      <c r="W845" s="5">
        <f>IF((DiscreteStatsTable[[#This Row],[RepsRequested]]&gt;1),DiscreteStatsTable[[#This Row],[HalfWidth]],DiscreteStatsTable[[#This Row],[BatchMeansHalfWidth]])</f>
        <v>0.81123716841017435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17</v>
      </c>
      <c r="Y845" s="5">
        <f>IF(DiscreteStatsTable[[#This Row],[RepsRequested]]=DiscreteStatsTable[[#This Row],[RepsWithStatObserved]],1,0)</f>
        <v>1</v>
      </c>
    </row>
    <row r="846" spans="1:25" x14ac:dyDescent="0.25">
      <c r="A846" t="s">
        <v>67</v>
      </c>
      <c r="B846" t="s">
        <v>69</v>
      </c>
      <c r="C846">
        <v>9</v>
      </c>
      <c r="D846" t="s">
        <v>120</v>
      </c>
      <c r="E846" t="s">
        <v>79</v>
      </c>
      <c r="F846" t="s">
        <v>80</v>
      </c>
      <c r="G846">
        <v>7.7326570398544501</v>
      </c>
      <c r="H846">
        <v>2E+20</v>
      </c>
      <c r="I846">
        <v>7.7326570398544501</v>
      </c>
      <c r="J846">
        <v>7.7326570398544501</v>
      </c>
      <c r="K846">
        <v>1</v>
      </c>
      <c r="L846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17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8.476767334896584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6.3029244422908404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12.3809834783632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6.3029244422908404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12.3809834783632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1</v>
      </c>
      <c r="W846" s="5">
        <f>IF((DiscreteStatsTable[[#This Row],[RepsRequested]]&gt;1),DiscreteStatsTable[[#This Row],[HalfWidth]],DiscreteStatsTable[[#This Row],[BatchMeansHalfWidth]])</f>
        <v>0.81123716841017435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17</v>
      </c>
      <c r="Y846" s="5">
        <f>IF(DiscreteStatsTable[[#This Row],[RepsRequested]]=DiscreteStatsTable[[#This Row],[RepsWithStatObserved]],1,0)</f>
        <v>1</v>
      </c>
    </row>
    <row r="847" spans="1:25" x14ac:dyDescent="0.25">
      <c r="A847" t="s">
        <v>67</v>
      </c>
      <c r="B847" t="s">
        <v>69</v>
      </c>
      <c r="C847">
        <v>10</v>
      </c>
      <c r="D847" t="s">
        <v>120</v>
      </c>
      <c r="E847" t="s">
        <v>79</v>
      </c>
      <c r="F847" t="s">
        <v>80</v>
      </c>
      <c r="G847">
        <v>9.9469886069776194</v>
      </c>
      <c r="H847">
        <v>2E+20</v>
      </c>
      <c r="I847">
        <v>9.9469886069776194</v>
      </c>
      <c r="J847">
        <v>9.9469886069776194</v>
      </c>
      <c r="K847">
        <v>1</v>
      </c>
      <c r="L847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17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8.476767334896584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6.3029244422908404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12.3809834783632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6.3029244422908404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12.3809834783632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1</v>
      </c>
      <c r="W847" s="5">
        <f>IF((DiscreteStatsTable[[#This Row],[RepsRequested]]&gt;1),DiscreteStatsTable[[#This Row],[HalfWidth]],DiscreteStatsTable[[#This Row],[BatchMeansHalfWidth]])</f>
        <v>0.81123716841017435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17</v>
      </c>
      <c r="Y847" s="5">
        <f>IF(DiscreteStatsTable[[#This Row],[RepsRequested]]=DiscreteStatsTable[[#This Row],[RepsWithStatObserved]],1,0)</f>
        <v>1</v>
      </c>
    </row>
    <row r="848" spans="1:25" x14ac:dyDescent="0.25">
      <c r="A848" t="s">
        <v>67</v>
      </c>
      <c r="B848" t="s">
        <v>69</v>
      </c>
      <c r="C848">
        <v>11</v>
      </c>
      <c r="D848" t="s">
        <v>120</v>
      </c>
      <c r="E848" t="s">
        <v>79</v>
      </c>
      <c r="F848" t="s">
        <v>80</v>
      </c>
      <c r="G848">
        <v>7.11577959746137</v>
      </c>
      <c r="H848">
        <v>2E+20</v>
      </c>
      <c r="I848">
        <v>7.11577959746137</v>
      </c>
      <c r="J848">
        <v>7.11577959746137</v>
      </c>
      <c r="K848">
        <v>1</v>
      </c>
      <c r="L848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17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8.476767334896584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6.3029244422908404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12.3809834783632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6.3029244422908404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12.3809834783632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1</v>
      </c>
      <c r="W848" s="5">
        <f>IF((DiscreteStatsTable[[#This Row],[RepsRequested]]&gt;1),DiscreteStatsTable[[#This Row],[HalfWidth]],DiscreteStatsTable[[#This Row],[BatchMeansHalfWidth]])</f>
        <v>0.81123716841017435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17</v>
      </c>
      <c r="Y848" s="5">
        <f>IF(DiscreteStatsTable[[#This Row],[RepsRequested]]=DiscreteStatsTable[[#This Row],[RepsWithStatObserved]],1,0)</f>
        <v>1</v>
      </c>
    </row>
    <row r="849" spans="1:25" x14ac:dyDescent="0.25">
      <c r="A849" t="s">
        <v>67</v>
      </c>
      <c r="B849" t="s">
        <v>69</v>
      </c>
      <c r="C849">
        <v>12</v>
      </c>
      <c r="D849" t="s">
        <v>120</v>
      </c>
      <c r="E849" t="s">
        <v>79</v>
      </c>
      <c r="F849" t="s">
        <v>80</v>
      </c>
      <c r="G849">
        <v>9.0583380242114693</v>
      </c>
      <c r="H849">
        <v>2E+20</v>
      </c>
      <c r="I849">
        <v>9.0583380242114693</v>
      </c>
      <c r="J849">
        <v>9.0583380242114693</v>
      </c>
      <c r="K849">
        <v>1</v>
      </c>
      <c r="L849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17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8.476767334896584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1.5778141287777554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6.3029244422908404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12.3809834783632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6.3029244422908404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12.3809834783632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1</v>
      </c>
      <c r="W849" s="5">
        <f>IF((DiscreteStatsTable[[#This Row],[RepsRequested]]&gt;1),DiscreteStatsTable[[#This Row],[HalfWidth]],DiscreteStatsTable[[#This Row],[BatchMeansHalfWidth]])</f>
        <v>0.81123716841017435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17</v>
      </c>
      <c r="Y849" s="5">
        <f>IF(DiscreteStatsTable[[#This Row],[RepsRequested]]=DiscreteStatsTable[[#This Row],[RepsWithStatObserved]],1,0)</f>
        <v>1</v>
      </c>
    </row>
    <row r="850" spans="1:25" x14ac:dyDescent="0.25">
      <c r="A850" t="s">
        <v>67</v>
      </c>
      <c r="B850" t="s">
        <v>69</v>
      </c>
      <c r="C850">
        <v>13</v>
      </c>
      <c r="D850" t="s">
        <v>120</v>
      </c>
      <c r="E850" t="s">
        <v>79</v>
      </c>
      <c r="F850" t="s">
        <v>80</v>
      </c>
      <c r="G850">
        <v>7.2013188607330099</v>
      </c>
      <c r="H850">
        <v>2E+20</v>
      </c>
      <c r="I850">
        <v>7.2013188607330099</v>
      </c>
      <c r="J850">
        <v>7.2013188607330099</v>
      </c>
      <c r="K850">
        <v>1</v>
      </c>
      <c r="L850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17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8.476767334896584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1.5778141287777554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6.3029244422908404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12.3809834783632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6.3029244422908404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12.3809834783632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1</v>
      </c>
      <c r="W850" s="5">
        <f>IF((DiscreteStatsTable[[#This Row],[RepsRequested]]&gt;1),DiscreteStatsTable[[#This Row],[HalfWidth]],DiscreteStatsTable[[#This Row],[BatchMeansHalfWidth]])</f>
        <v>0.81123716841017435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17</v>
      </c>
      <c r="Y850" s="5">
        <f>IF(DiscreteStatsTable[[#This Row],[RepsRequested]]=DiscreteStatsTable[[#This Row],[RepsWithStatObserved]],1,0)</f>
        <v>1</v>
      </c>
    </row>
    <row r="851" spans="1:25" x14ac:dyDescent="0.25">
      <c r="A851" t="s">
        <v>67</v>
      </c>
      <c r="B851" t="s">
        <v>69</v>
      </c>
      <c r="C851">
        <v>14</v>
      </c>
      <c r="D851" t="s">
        <v>120</v>
      </c>
      <c r="E851" t="s">
        <v>79</v>
      </c>
      <c r="F851" t="s">
        <v>80</v>
      </c>
      <c r="G851">
        <v>7.6264942452867297</v>
      </c>
      <c r="H851">
        <v>2E+20</v>
      </c>
      <c r="I851">
        <v>7.6264942452867297</v>
      </c>
      <c r="J851">
        <v>7.6264942452867297</v>
      </c>
      <c r="K851">
        <v>1</v>
      </c>
      <c r="L851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17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8.476767334896584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1.5778141287777554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6.3029244422908404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12.3809834783632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6.3029244422908404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12.3809834783632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1</v>
      </c>
      <c r="W851" s="5">
        <f>IF((DiscreteStatsTable[[#This Row],[RepsRequested]]&gt;1),DiscreteStatsTable[[#This Row],[HalfWidth]],DiscreteStatsTable[[#This Row],[BatchMeansHalfWidth]])</f>
        <v>0.81123716841017435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17</v>
      </c>
      <c r="Y851" s="5">
        <f>IF(DiscreteStatsTable[[#This Row],[RepsRequested]]=DiscreteStatsTable[[#This Row],[RepsWithStatObserved]],1,0)</f>
        <v>1</v>
      </c>
    </row>
    <row r="852" spans="1:25" x14ac:dyDescent="0.25">
      <c r="A852" t="s">
        <v>67</v>
      </c>
      <c r="B852" t="s">
        <v>69</v>
      </c>
      <c r="C852">
        <v>15</v>
      </c>
      <c r="D852" t="s">
        <v>120</v>
      </c>
      <c r="E852" t="s">
        <v>79</v>
      </c>
      <c r="F852" t="s">
        <v>80</v>
      </c>
      <c r="G852">
        <v>8.0302015509659892</v>
      </c>
      <c r="H852">
        <v>2E+20</v>
      </c>
      <c r="I852">
        <v>8.0302015509659892</v>
      </c>
      <c r="J852">
        <v>8.0302015509659892</v>
      </c>
      <c r="K852">
        <v>1</v>
      </c>
      <c r="L852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17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8.476767334896584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1.5778141287777554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6.3029244422908404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12.3809834783632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6.3029244422908404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12.3809834783632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1</v>
      </c>
      <c r="W852" s="5">
        <f>IF((DiscreteStatsTable[[#This Row],[RepsRequested]]&gt;1),DiscreteStatsTable[[#This Row],[HalfWidth]],DiscreteStatsTable[[#This Row],[BatchMeansHalfWidth]])</f>
        <v>0.81123716841017435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17</v>
      </c>
      <c r="Y852" s="5">
        <f>IF(DiscreteStatsTable[[#This Row],[RepsRequested]]=DiscreteStatsTable[[#This Row],[RepsWithStatObserved]],1,0)</f>
        <v>1</v>
      </c>
    </row>
    <row r="853" spans="1:25" x14ac:dyDescent="0.25">
      <c r="A853" t="s">
        <v>67</v>
      </c>
      <c r="B853" t="s">
        <v>69</v>
      </c>
      <c r="C853">
        <v>16</v>
      </c>
      <c r="D853" t="s">
        <v>120</v>
      </c>
      <c r="E853" t="s">
        <v>79</v>
      </c>
      <c r="F853" t="s">
        <v>80</v>
      </c>
      <c r="G853">
        <v>6.7782987181634597</v>
      </c>
      <c r="H853">
        <v>2E+20</v>
      </c>
      <c r="I853">
        <v>6.7782987181634597</v>
      </c>
      <c r="J853">
        <v>6.7782987181634597</v>
      </c>
      <c r="K853">
        <v>1</v>
      </c>
      <c r="L853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17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8.476767334896584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1.5778141287777554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6.3029244422908404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12.3809834783632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6.3029244422908404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12.3809834783632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1</v>
      </c>
      <c r="W853" s="5">
        <f>IF((DiscreteStatsTable[[#This Row],[RepsRequested]]&gt;1),DiscreteStatsTable[[#This Row],[HalfWidth]],DiscreteStatsTable[[#This Row],[BatchMeansHalfWidth]])</f>
        <v>0.81123716841017435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17</v>
      </c>
      <c r="Y853" s="5">
        <f>IF(DiscreteStatsTable[[#This Row],[RepsRequested]]=DiscreteStatsTable[[#This Row],[RepsWithStatObserved]],1,0)</f>
        <v>1</v>
      </c>
    </row>
    <row r="854" spans="1:25" x14ac:dyDescent="0.25">
      <c r="A854" t="s">
        <v>67</v>
      </c>
      <c r="B854" t="s">
        <v>69</v>
      </c>
      <c r="C854">
        <v>17</v>
      </c>
      <c r="D854" t="s">
        <v>120</v>
      </c>
      <c r="E854" t="s">
        <v>79</v>
      </c>
      <c r="F854" t="s">
        <v>80</v>
      </c>
      <c r="G854">
        <v>10.334965297288001</v>
      </c>
      <c r="H854">
        <v>2E+20</v>
      </c>
      <c r="I854">
        <v>10.334965297288001</v>
      </c>
      <c r="J854">
        <v>10.334965297288001</v>
      </c>
      <c r="K854">
        <v>1</v>
      </c>
      <c r="L854" s="5" t="str">
        <f>DiscreteStatsTable[[#This Row],[ProjectName]]&amp;DiscreteStatsTable[[#This Row],[Name]]&amp;DiscreteStatsTable[[#This Row],[Type]]&amp;DiscreteStatsTable[[#This Row],[Source]]</f>
        <v>Weekend (base)TiempoSistemaTodosH3ExpressionUser Specified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17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8.476767334896584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1.5778141287777554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0.81123716841017435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6.3029244422908404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12.3809834783632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6.3029244422908404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12.3809834783632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1</v>
      </c>
      <c r="W854" s="5">
        <f>IF((DiscreteStatsTable[[#This Row],[RepsRequested]]&gt;1),DiscreteStatsTable[[#This Row],[HalfWidth]],DiscreteStatsTable[[#This Row],[BatchMeansHalfWidth]])</f>
        <v>0.81123716841017435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17</v>
      </c>
      <c r="Y854" s="5">
        <f>IF(DiscreteStatsTable[[#This Row],[RepsRequested]]=DiscreteStatsTable[[#This Row],[RepsWithStatObserved]],1,0)</f>
        <v>1</v>
      </c>
    </row>
    <row r="855" spans="1:25" x14ac:dyDescent="0.25">
      <c r="A855" t="s">
        <v>67</v>
      </c>
      <c r="B855" t="s">
        <v>69</v>
      </c>
      <c r="C855">
        <v>1</v>
      </c>
      <c r="D855" t="s">
        <v>121</v>
      </c>
      <c r="E855" t="s">
        <v>79</v>
      </c>
      <c r="F855" t="s">
        <v>80</v>
      </c>
      <c r="G855">
        <v>1</v>
      </c>
      <c r="H855">
        <v>2E+20</v>
      </c>
      <c r="I855">
        <v>1</v>
      </c>
      <c r="J855">
        <v>1</v>
      </c>
      <c r="K855">
        <v>1</v>
      </c>
      <c r="L855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17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0.94117647058823528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0.242535625036333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0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1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1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1</v>
      </c>
      <c r="W855" s="5">
        <f>IF((DiscreteStatsTable[[#This Row],[RepsRequested]]&gt;1),DiscreteStatsTable[[#This Row],[HalfWidth]],DiscreteStatsTable[[#This Row],[BatchMeansHalfWidth]])</f>
        <v>0.12470031171889735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17</v>
      </c>
      <c r="Y855" s="5">
        <f>IF(DiscreteStatsTable[[#This Row],[RepsRequested]]=DiscreteStatsTable[[#This Row],[RepsWithStatObserved]],1,0)</f>
        <v>1</v>
      </c>
    </row>
    <row r="856" spans="1:25" x14ac:dyDescent="0.25">
      <c r="A856" t="s">
        <v>67</v>
      </c>
      <c r="B856" t="s">
        <v>69</v>
      </c>
      <c r="C856">
        <v>2</v>
      </c>
      <c r="D856" t="s">
        <v>121</v>
      </c>
      <c r="E856" t="s">
        <v>79</v>
      </c>
      <c r="F856" t="s">
        <v>80</v>
      </c>
      <c r="G856">
        <v>1</v>
      </c>
      <c r="H856">
        <v>2E+20</v>
      </c>
      <c r="I856">
        <v>1</v>
      </c>
      <c r="J856">
        <v>1</v>
      </c>
      <c r="K856">
        <v>1</v>
      </c>
      <c r="L856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17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0.94117647058823528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0.242535625036333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1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1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1</v>
      </c>
      <c r="W856" s="5">
        <f>IF((DiscreteStatsTable[[#This Row],[RepsRequested]]&gt;1),DiscreteStatsTable[[#This Row],[HalfWidth]],DiscreteStatsTable[[#This Row],[BatchMeansHalfWidth]])</f>
        <v>0.12470031171889735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17</v>
      </c>
      <c r="Y856" s="5">
        <f>IF(DiscreteStatsTable[[#This Row],[RepsRequested]]=DiscreteStatsTable[[#This Row],[RepsWithStatObserved]],1,0)</f>
        <v>1</v>
      </c>
    </row>
    <row r="857" spans="1:25" x14ac:dyDescent="0.25">
      <c r="A857" t="s">
        <v>67</v>
      </c>
      <c r="B857" t="s">
        <v>69</v>
      </c>
      <c r="C857">
        <v>3</v>
      </c>
      <c r="D857" t="s">
        <v>121</v>
      </c>
      <c r="E857" t="s">
        <v>79</v>
      </c>
      <c r="F857" t="s">
        <v>80</v>
      </c>
      <c r="G857">
        <v>1</v>
      </c>
      <c r="H857">
        <v>2E+20</v>
      </c>
      <c r="I857">
        <v>1</v>
      </c>
      <c r="J857">
        <v>1</v>
      </c>
      <c r="K857">
        <v>1</v>
      </c>
      <c r="L857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17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0.94117647058823528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0.242535625036333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1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1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1</v>
      </c>
      <c r="W857" s="5">
        <f>IF((DiscreteStatsTable[[#This Row],[RepsRequested]]&gt;1),DiscreteStatsTable[[#This Row],[HalfWidth]],DiscreteStatsTable[[#This Row],[BatchMeansHalfWidth]])</f>
        <v>0.12470031171889735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17</v>
      </c>
      <c r="Y857" s="5">
        <f>IF(DiscreteStatsTable[[#This Row],[RepsRequested]]=DiscreteStatsTable[[#This Row],[RepsWithStatObserved]],1,0)</f>
        <v>1</v>
      </c>
    </row>
    <row r="858" spans="1:25" x14ac:dyDescent="0.25">
      <c r="A858" t="s">
        <v>67</v>
      </c>
      <c r="B858" t="s">
        <v>69</v>
      </c>
      <c r="C858">
        <v>4</v>
      </c>
      <c r="D858" t="s">
        <v>121</v>
      </c>
      <c r="E858" t="s">
        <v>79</v>
      </c>
      <c r="F858" t="s">
        <v>80</v>
      </c>
      <c r="G858">
        <v>1</v>
      </c>
      <c r="H858">
        <v>2E+20</v>
      </c>
      <c r="I858">
        <v>1</v>
      </c>
      <c r="J858">
        <v>1</v>
      </c>
      <c r="K858">
        <v>1</v>
      </c>
      <c r="L858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17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0.94117647058823528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0.242535625036333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1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0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1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1</v>
      </c>
      <c r="W858" s="5">
        <f>IF((DiscreteStatsTable[[#This Row],[RepsRequested]]&gt;1),DiscreteStatsTable[[#This Row],[HalfWidth]],DiscreteStatsTable[[#This Row],[BatchMeansHalfWidth]])</f>
        <v>0.12470031171889735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17</v>
      </c>
      <c r="Y858" s="5">
        <f>IF(DiscreteStatsTable[[#This Row],[RepsRequested]]=DiscreteStatsTable[[#This Row],[RepsWithStatObserved]],1,0)</f>
        <v>1</v>
      </c>
    </row>
    <row r="859" spans="1:25" x14ac:dyDescent="0.25">
      <c r="A859" t="s">
        <v>67</v>
      </c>
      <c r="B859" t="s">
        <v>69</v>
      </c>
      <c r="C859">
        <v>5</v>
      </c>
      <c r="D859" t="s">
        <v>121</v>
      </c>
      <c r="E859" t="s">
        <v>79</v>
      </c>
      <c r="F859" t="s">
        <v>80</v>
      </c>
      <c r="G859">
        <v>1</v>
      </c>
      <c r="H859">
        <v>2E+20</v>
      </c>
      <c r="I859">
        <v>1</v>
      </c>
      <c r="J859">
        <v>1</v>
      </c>
      <c r="K859">
        <v>1</v>
      </c>
      <c r="L859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17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0.94117647058823528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0.242535625036333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0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1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0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1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1</v>
      </c>
      <c r="W859" s="5">
        <f>IF((DiscreteStatsTable[[#This Row],[RepsRequested]]&gt;1),DiscreteStatsTable[[#This Row],[HalfWidth]],DiscreteStatsTable[[#This Row],[BatchMeansHalfWidth]])</f>
        <v>0.12470031171889735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17</v>
      </c>
      <c r="Y859" s="5">
        <f>IF(DiscreteStatsTable[[#This Row],[RepsRequested]]=DiscreteStatsTable[[#This Row],[RepsWithStatObserved]],1,0)</f>
        <v>1</v>
      </c>
    </row>
    <row r="860" spans="1:25" x14ac:dyDescent="0.25">
      <c r="A860" t="s">
        <v>67</v>
      </c>
      <c r="B860" t="s">
        <v>69</v>
      </c>
      <c r="C860">
        <v>6</v>
      </c>
      <c r="D860" t="s">
        <v>121</v>
      </c>
      <c r="E860" t="s">
        <v>79</v>
      </c>
      <c r="F860" t="s">
        <v>80</v>
      </c>
      <c r="G860">
        <v>0</v>
      </c>
      <c r="H860">
        <v>2E+20</v>
      </c>
      <c r="I860">
        <v>0</v>
      </c>
      <c r="J860">
        <v>0</v>
      </c>
      <c r="K860">
        <v>1</v>
      </c>
      <c r="L860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17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0.94117647058823528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0.242535625036333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1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1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1</v>
      </c>
      <c r="W860" s="5">
        <f>IF((DiscreteStatsTable[[#This Row],[RepsRequested]]&gt;1),DiscreteStatsTable[[#This Row],[HalfWidth]],DiscreteStatsTable[[#This Row],[BatchMeansHalfWidth]])</f>
        <v>0.12470031171889735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17</v>
      </c>
      <c r="Y860" s="5">
        <f>IF(DiscreteStatsTable[[#This Row],[RepsRequested]]=DiscreteStatsTable[[#This Row],[RepsWithStatObserved]],1,0)</f>
        <v>1</v>
      </c>
    </row>
    <row r="861" spans="1:25" x14ac:dyDescent="0.25">
      <c r="A861" t="s">
        <v>67</v>
      </c>
      <c r="B861" t="s">
        <v>69</v>
      </c>
      <c r="C861">
        <v>7</v>
      </c>
      <c r="D861" t="s">
        <v>121</v>
      </c>
      <c r="E861" t="s">
        <v>79</v>
      </c>
      <c r="F861" t="s">
        <v>80</v>
      </c>
      <c r="G861">
        <v>1</v>
      </c>
      <c r="H861">
        <v>2E+20</v>
      </c>
      <c r="I861">
        <v>1</v>
      </c>
      <c r="J861">
        <v>1</v>
      </c>
      <c r="K861">
        <v>1</v>
      </c>
      <c r="L861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17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0.94117647058823528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0.242535625036333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0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1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1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1</v>
      </c>
      <c r="W861" s="5">
        <f>IF((DiscreteStatsTable[[#This Row],[RepsRequested]]&gt;1),DiscreteStatsTable[[#This Row],[HalfWidth]],DiscreteStatsTable[[#This Row],[BatchMeansHalfWidth]])</f>
        <v>0.12470031171889735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17</v>
      </c>
      <c r="Y861" s="5">
        <f>IF(DiscreteStatsTable[[#This Row],[RepsRequested]]=DiscreteStatsTable[[#This Row],[RepsWithStatObserved]],1,0)</f>
        <v>1</v>
      </c>
    </row>
    <row r="862" spans="1:25" x14ac:dyDescent="0.25">
      <c r="A862" t="s">
        <v>67</v>
      </c>
      <c r="B862" t="s">
        <v>69</v>
      </c>
      <c r="C862">
        <v>8</v>
      </c>
      <c r="D862" t="s">
        <v>121</v>
      </c>
      <c r="E862" t="s">
        <v>79</v>
      </c>
      <c r="F862" t="s">
        <v>80</v>
      </c>
      <c r="G862">
        <v>1</v>
      </c>
      <c r="H862">
        <v>2E+20</v>
      </c>
      <c r="I862">
        <v>1</v>
      </c>
      <c r="J862">
        <v>1</v>
      </c>
      <c r="K862">
        <v>1</v>
      </c>
      <c r="L862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17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0.94117647058823528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0.242535625036333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1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1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1</v>
      </c>
      <c r="W862" s="5">
        <f>IF((DiscreteStatsTable[[#This Row],[RepsRequested]]&gt;1),DiscreteStatsTable[[#This Row],[HalfWidth]],DiscreteStatsTable[[#This Row],[BatchMeansHalfWidth]])</f>
        <v>0.12470031171889735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17</v>
      </c>
      <c r="Y862" s="5">
        <f>IF(DiscreteStatsTable[[#This Row],[RepsRequested]]=DiscreteStatsTable[[#This Row],[RepsWithStatObserved]],1,0)</f>
        <v>1</v>
      </c>
    </row>
    <row r="863" spans="1:25" x14ac:dyDescent="0.25">
      <c r="A863" t="s">
        <v>67</v>
      </c>
      <c r="B863" t="s">
        <v>69</v>
      </c>
      <c r="C863">
        <v>9</v>
      </c>
      <c r="D863" t="s">
        <v>121</v>
      </c>
      <c r="E863" t="s">
        <v>79</v>
      </c>
      <c r="F863" t="s">
        <v>80</v>
      </c>
      <c r="G863">
        <v>1</v>
      </c>
      <c r="H863">
        <v>2E+20</v>
      </c>
      <c r="I863">
        <v>1</v>
      </c>
      <c r="J863">
        <v>1</v>
      </c>
      <c r="K863">
        <v>1</v>
      </c>
      <c r="L863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17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0.94117647058823528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0.242535625036333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1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1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1</v>
      </c>
      <c r="W863" s="5">
        <f>IF((DiscreteStatsTable[[#This Row],[RepsRequested]]&gt;1),DiscreteStatsTable[[#This Row],[HalfWidth]],DiscreteStatsTable[[#This Row],[BatchMeansHalfWidth]])</f>
        <v>0.12470031171889735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17</v>
      </c>
      <c r="Y863" s="5">
        <f>IF(DiscreteStatsTable[[#This Row],[RepsRequested]]=DiscreteStatsTable[[#This Row],[RepsWithStatObserved]],1,0)</f>
        <v>1</v>
      </c>
    </row>
    <row r="864" spans="1:25" x14ac:dyDescent="0.25">
      <c r="A864" t="s">
        <v>67</v>
      </c>
      <c r="B864" t="s">
        <v>69</v>
      </c>
      <c r="C864">
        <v>10</v>
      </c>
      <c r="D864" t="s">
        <v>121</v>
      </c>
      <c r="E864" t="s">
        <v>79</v>
      </c>
      <c r="F864" t="s">
        <v>80</v>
      </c>
      <c r="G864">
        <v>1</v>
      </c>
      <c r="H864">
        <v>2E+20</v>
      </c>
      <c r="I864">
        <v>1</v>
      </c>
      <c r="J864">
        <v>1</v>
      </c>
      <c r="K864">
        <v>1</v>
      </c>
      <c r="L864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17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0.94117647058823528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0.242535625036333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1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1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1</v>
      </c>
      <c r="W864" s="5">
        <f>IF((DiscreteStatsTable[[#This Row],[RepsRequested]]&gt;1),DiscreteStatsTable[[#This Row],[HalfWidth]],DiscreteStatsTable[[#This Row],[BatchMeansHalfWidth]])</f>
        <v>0.12470031171889735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17</v>
      </c>
      <c r="Y864" s="5">
        <f>IF(DiscreteStatsTable[[#This Row],[RepsRequested]]=DiscreteStatsTable[[#This Row],[RepsWithStatObserved]],1,0)</f>
        <v>1</v>
      </c>
    </row>
    <row r="865" spans="1:25" x14ac:dyDescent="0.25">
      <c r="A865" t="s">
        <v>67</v>
      </c>
      <c r="B865" t="s">
        <v>69</v>
      </c>
      <c r="C865">
        <v>11</v>
      </c>
      <c r="D865" t="s">
        <v>121</v>
      </c>
      <c r="E865" t="s">
        <v>79</v>
      </c>
      <c r="F865" t="s">
        <v>80</v>
      </c>
      <c r="G865">
        <v>1</v>
      </c>
      <c r="H865">
        <v>2E+20</v>
      </c>
      <c r="I865">
        <v>1</v>
      </c>
      <c r="J865">
        <v>1</v>
      </c>
      <c r="K865">
        <v>1</v>
      </c>
      <c r="L865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17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0.94117647058823528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0.242535625036333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1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1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1</v>
      </c>
      <c r="W865" s="5">
        <f>IF((DiscreteStatsTable[[#This Row],[RepsRequested]]&gt;1),DiscreteStatsTable[[#This Row],[HalfWidth]],DiscreteStatsTable[[#This Row],[BatchMeansHalfWidth]])</f>
        <v>0.12470031171889735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17</v>
      </c>
      <c r="Y865" s="5">
        <f>IF(DiscreteStatsTable[[#This Row],[RepsRequested]]=DiscreteStatsTable[[#This Row],[RepsWithStatObserved]],1,0)</f>
        <v>1</v>
      </c>
    </row>
    <row r="866" spans="1:25" x14ac:dyDescent="0.25">
      <c r="A866" t="s">
        <v>67</v>
      </c>
      <c r="B866" t="s">
        <v>69</v>
      </c>
      <c r="C866">
        <v>12</v>
      </c>
      <c r="D866" t="s">
        <v>121</v>
      </c>
      <c r="E866" t="s">
        <v>79</v>
      </c>
      <c r="F866" t="s">
        <v>80</v>
      </c>
      <c r="G866">
        <v>1</v>
      </c>
      <c r="H866">
        <v>2E+20</v>
      </c>
      <c r="I866">
        <v>1</v>
      </c>
      <c r="J866">
        <v>1</v>
      </c>
      <c r="K866">
        <v>1</v>
      </c>
      <c r="L866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17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0.94117647058823528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0.242535625036333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0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1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0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1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1</v>
      </c>
      <c r="W866" s="5">
        <f>IF((DiscreteStatsTable[[#This Row],[RepsRequested]]&gt;1),DiscreteStatsTable[[#This Row],[HalfWidth]],DiscreteStatsTable[[#This Row],[BatchMeansHalfWidth]])</f>
        <v>0.12470031171889735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17</v>
      </c>
      <c r="Y866" s="5">
        <f>IF(DiscreteStatsTable[[#This Row],[RepsRequested]]=DiscreteStatsTable[[#This Row],[RepsWithStatObserved]],1,0)</f>
        <v>1</v>
      </c>
    </row>
    <row r="867" spans="1:25" x14ac:dyDescent="0.25">
      <c r="A867" t="s">
        <v>67</v>
      </c>
      <c r="B867" t="s">
        <v>69</v>
      </c>
      <c r="C867">
        <v>13</v>
      </c>
      <c r="D867" t="s">
        <v>121</v>
      </c>
      <c r="E867" t="s">
        <v>79</v>
      </c>
      <c r="F867" t="s">
        <v>80</v>
      </c>
      <c r="G867">
        <v>1</v>
      </c>
      <c r="H867">
        <v>2E+20</v>
      </c>
      <c r="I867">
        <v>1</v>
      </c>
      <c r="J867">
        <v>1</v>
      </c>
      <c r="K867">
        <v>1</v>
      </c>
      <c r="L867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17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0.94117647058823528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0.242535625036333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0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1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1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1</v>
      </c>
      <c r="W867" s="5">
        <f>IF((DiscreteStatsTable[[#This Row],[RepsRequested]]&gt;1),DiscreteStatsTable[[#This Row],[HalfWidth]],DiscreteStatsTable[[#This Row],[BatchMeansHalfWidth]])</f>
        <v>0.12470031171889735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17</v>
      </c>
      <c r="Y867" s="5">
        <f>IF(DiscreteStatsTable[[#This Row],[RepsRequested]]=DiscreteStatsTable[[#This Row],[RepsWithStatObserved]],1,0)</f>
        <v>1</v>
      </c>
    </row>
    <row r="868" spans="1:25" x14ac:dyDescent="0.25">
      <c r="A868" t="s">
        <v>67</v>
      </c>
      <c r="B868" t="s">
        <v>69</v>
      </c>
      <c r="C868">
        <v>14</v>
      </c>
      <c r="D868" t="s">
        <v>121</v>
      </c>
      <c r="E868" t="s">
        <v>79</v>
      </c>
      <c r="F868" t="s">
        <v>80</v>
      </c>
      <c r="G868">
        <v>1</v>
      </c>
      <c r="H868">
        <v>2E+20</v>
      </c>
      <c r="I868">
        <v>1</v>
      </c>
      <c r="J868">
        <v>1</v>
      </c>
      <c r="K868">
        <v>1</v>
      </c>
      <c r="L868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17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0.94117647058823528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0.242535625036333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1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1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1</v>
      </c>
      <c r="W868" s="5">
        <f>IF((DiscreteStatsTable[[#This Row],[RepsRequested]]&gt;1),DiscreteStatsTable[[#This Row],[HalfWidth]],DiscreteStatsTable[[#This Row],[BatchMeansHalfWidth]])</f>
        <v>0.12470031171889735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17</v>
      </c>
      <c r="Y868" s="5">
        <f>IF(DiscreteStatsTable[[#This Row],[RepsRequested]]=DiscreteStatsTable[[#This Row],[RepsWithStatObserved]],1,0)</f>
        <v>1</v>
      </c>
    </row>
    <row r="869" spans="1:25" x14ac:dyDescent="0.25">
      <c r="A869" t="s">
        <v>67</v>
      </c>
      <c r="B869" t="s">
        <v>69</v>
      </c>
      <c r="C869">
        <v>15</v>
      </c>
      <c r="D869" t="s">
        <v>121</v>
      </c>
      <c r="E869" t="s">
        <v>79</v>
      </c>
      <c r="F869" t="s">
        <v>80</v>
      </c>
      <c r="G869">
        <v>1</v>
      </c>
      <c r="H869">
        <v>2E+20</v>
      </c>
      <c r="I869">
        <v>1</v>
      </c>
      <c r="J869">
        <v>1</v>
      </c>
      <c r="K869">
        <v>1</v>
      </c>
      <c r="L869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17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0.94117647058823528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0.242535625036333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1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1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1</v>
      </c>
      <c r="W869" s="5">
        <f>IF((DiscreteStatsTable[[#This Row],[RepsRequested]]&gt;1),DiscreteStatsTable[[#This Row],[HalfWidth]],DiscreteStatsTable[[#This Row],[BatchMeansHalfWidth]])</f>
        <v>0.12470031171889735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17</v>
      </c>
      <c r="Y869" s="5">
        <f>IF(DiscreteStatsTable[[#This Row],[RepsRequested]]=DiscreteStatsTable[[#This Row],[RepsWithStatObserved]],1,0)</f>
        <v>1</v>
      </c>
    </row>
    <row r="870" spans="1:25" x14ac:dyDescent="0.25">
      <c r="A870" t="s">
        <v>67</v>
      </c>
      <c r="B870" t="s">
        <v>69</v>
      </c>
      <c r="C870">
        <v>16</v>
      </c>
      <c r="D870" t="s">
        <v>121</v>
      </c>
      <c r="E870" t="s">
        <v>79</v>
      </c>
      <c r="F870" t="s">
        <v>80</v>
      </c>
      <c r="G870">
        <v>1</v>
      </c>
      <c r="H870">
        <v>2E+20</v>
      </c>
      <c r="I870">
        <v>1</v>
      </c>
      <c r="J870">
        <v>1</v>
      </c>
      <c r="K870">
        <v>1</v>
      </c>
      <c r="L870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17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0.94117647058823528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0.242535625036333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1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0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1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1</v>
      </c>
      <c r="W870" s="5">
        <f>IF((DiscreteStatsTable[[#This Row],[RepsRequested]]&gt;1),DiscreteStatsTable[[#This Row],[HalfWidth]],DiscreteStatsTable[[#This Row],[BatchMeansHalfWidth]])</f>
        <v>0.12470031171889735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17</v>
      </c>
      <c r="Y870" s="5">
        <f>IF(DiscreteStatsTable[[#This Row],[RepsRequested]]=DiscreteStatsTable[[#This Row],[RepsWithStatObserved]],1,0)</f>
        <v>1</v>
      </c>
    </row>
    <row r="871" spans="1:25" x14ac:dyDescent="0.25">
      <c r="A871" t="s">
        <v>67</v>
      </c>
      <c r="B871" t="s">
        <v>69</v>
      </c>
      <c r="C871">
        <v>17</v>
      </c>
      <c r="D871" t="s">
        <v>121</v>
      </c>
      <c r="E871" t="s">
        <v>79</v>
      </c>
      <c r="F871" t="s">
        <v>80</v>
      </c>
      <c r="G871">
        <v>1</v>
      </c>
      <c r="H871">
        <v>2E+20</v>
      </c>
      <c r="I871">
        <v>1</v>
      </c>
      <c r="J871">
        <v>1</v>
      </c>
      <c r="K871">
        <v>1</v>
      </c>
      <c r="L871" s="5" t="str">
        <f>DiscreteStatsTable[[#This Row],[ProjectName]]&amp;DiscreteStatsTable[[#This Row],[Name]]&amp;DiscreteStatsTable[[#This Row],[Type]]&amp;DiscreteStatsTable[[#This Row],[Source]]</f>
        <v>Weekend (base)UtilizacionCajeroH1ExpressionUser Specified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17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0.94117647058823528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0.242535625036333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0.12470031171889735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0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1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1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1</v>
      </c>
      <c r="W871" s="5">
        <f>IF((DiscreteStatsTable[[#This Row],[RepsRequested]]&gt;1),DiscreteStatsTable[[#This Row],[HalfWidth]],DiscreteStatsTable[[#This Row],[BatchMeansHalfWidth]])</f>
        <v>0.12470031171889735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17</v>
      </c>
      <c r="Y871" s="5">
        <f>IF(DiscreteStatsTable[[#This Row],[RepsRequested]]=DiscreteStatsTable[[#This Row],[RepsWithStatObserved]],1,0)</f>
        <v>1</v>
      </c>
    </row>
    <row r="872" spans="1:25" x14ac:dyDescent="0.25">
      <c r="A872" t="s">
        <v>67</v>
      </c>
      <c r="B872" t="s">
        <v>69</v>
      </c>
      <c r="C872">
        <v>1</v>
      </c>
      <c r="D872" t="s">
        <v>122</v>
      </c>
      <c r="E872" t="s">
        <v>79</v>
      </c>
      <c r="F872" t="s">
        <v>80</v>
      </c>
      <c r="G872">
        <v>1</v>
      </c>
      <c r="H872">
        <v>2E+20</v>
      </c>
      <c r="I872">
        <v>1</v>
      </c>
      <c r="J872">
        <v>1</v>
      </c>
      <c r="K872">
        <v>1</v>
      </c>
      <c r="L872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17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0.82352941176470584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0.3929526239966879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1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1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1</v>
      </c>
      <c r="W872" s="5">
        <f>IF((DiscreteStatsTable[[#This Row],[RepsRequested]]&gt;1),DiscreteStatsTable[[#This Row],[HalfWidth]],DiscreteStatsTable[[#This Row],[BatchMeansHalfWidth]])</f>
        <v>0.20203759631520121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17</v>
      </c>
      <c r="Y872" s="5">
        <f>IF(DiscreteStatsTable[[#This Row],[RepsRequested]]=DiscreteStatsTable[[#This Row],[RepsWithStatObserved]],1,0)</f>
        <v>1</v>
      </c>
    </row>
    <row r="873" spans="1:25" x14ac:dyDescent="0.25">
      <c r="A873" t="s">
        <v>67</v>
      </c>
      <c r="B873" t="s">
        <v>69</v>
      </c>
      <c r="C873">
        <v>2</v>
      </c>
      <c r="D873" t="s">
        <v>122</v>
      </c>
      <c r="E873" t="s">
        <v>79</v>
      </c>
      <c r="F873" t="s">
        <v>80</v>
      </c>
      <c r="G873">
        <v>0</v>
      </c>
      <c r="H873">
        <v>2E+20</v>
      </c>
      <c r="I873">
        <v>0</v>
      </c>
      <c r="J873">
        <v>0</v>
      </c>
      <c r="K873">
        <v>1</v>
      </c>
      <c r="L873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17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0.82352941176470584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0.3929526239966879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0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1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1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1</v>
      </c>
      <c r="W873" s="5">
        <f>IF((DiscreteStatsTable[[#This Row],[RepsRequested]]&gt;1),DiscreteStatsTable[[#This Row],[HalfWidth]],DiscreteStatsTable[[#This Row],[BatchMeansHalfWidth]])</f>
        <v>0.20203759631520121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17</v>
      </c>
      <c r="Y873" s="5">
        <f>IF(DiscreteStatsTable[[#This Row],[RepsRequested]]=DiscreteStatsTable[[#This Row],[RepsWithStatObserved]],1,0)</f>
        <v>1</v>
      </c>
    </row>
    <row r="874" spans="1:25" x14ac:dyDescent="0.25">
      <c r="A874" t="s">
        <v>67</v>
      </c>
      <c r="B874" t="s">
        <v>69</v>
      </c>
      <c r="C874">
        <v>3</v>
      </c>
      <c r="D874" t="s">
        <v>122</v>
      </c>
      <c r="E874" t="s">
        <v>79</v>
      </c>
      <c r="F874" t="s">
        <v>80</v>
      </c>
      <c r="G874">
        <v>1</v>
      </c>
      <c r="H874">
        <v>2E+20</v>
      </c>
      <c r="I874">
        <v>1</v>
      </c>
      <c r="J874">
        <v>1</v>
      </c>
      <c r="K874">
        <v>1</v>
      </c>
      <c r="L874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17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0.82352941176470584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0.3929526239966879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1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1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1</v>
      </c>
      <c r="W874" s="5">
        <f>IF((DiscreteStatsTable[[#This Row],[RepsRequested]]&gt;1),DiscreteStatsTable[[#This Row],[HalfWidth]],DiscreteStatsTable[[#This Row],[BatchMeansHalfWidth]])</f>
        <v>0.20203759631520121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17</v>
      </c>
      <c r="Y874" s="5">
        <f>IF(DiscreteStatsTable[[#This Row],[RepsRequested]]=DiscreteStatsTable[[#This Row],[RepsWithStatObserved]],1,0)</f>
        <v>1</v>
      </c>
    </row>
    <row r="875" spans="1:25" x14ac:dyDescent="0.25">
      <c r="A875" t="s">
        <v>67</v>
      </c>
      <c r="B875" t="s">
        <v>69</v>
      </c>
      <c r="C875">
        <v>4</v>
      </c>
      <c r="D875" t="s">
        <v>122</v>
      </c>
      <c r="E875" t="s">
        <v>79</v>
      </c>
      <c r="F875" t="s">
        <v>80</v>
      </c>
      <c r="G875">
        <v>1</v>
      </c>
      <c r="H875">
        <v>2E+20</v>
      </c>
      <c r="I875">
        <v>1</v>
      </c>
      <c r="J875">
        <v>1</v>
      </c>
      <c r="K875">
        <v>1</v>
      </c>
      <c r="L875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17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0.82352941176470584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0.3929526239966879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1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1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1</v>
      </c>
      <c r="W875" s="5">
        <f>IF((DiscreteStatsTable[[#This Row],[RepsRequested]]&gt;1),DiscreteStatsTable[[#This Row],[HalfWidth]],DiscreteStatsTable[[#This Row],[BatchMeansHalfWidth]])</f>
        <v>0.20203759631520121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17</v>
      </c>
      <c r="Y875" s="5">
        <f>IF(DiscreteStatsTable[[#This Row],[RepsRequested]]=DiscreteStatsTable[[#This Row],[RepsWithStatObserved]],1,0)</f>
        <v>1</v>
      </c>
    </row>
    <row r="876" spans="1:25" x14ac:dyDescent="0.25">
      <c r="A876" t="s">
        <v>67</v>
      </c>
      <c r="B876" t="s">
        <v>69</v>
      </c>
      <c r="C876">
        <v>5</v>
      </c>
      <c r="D876" t="s">
        <v>122</v>
      </c>
      <c r="E876" t="s">
        <v>79</v>
      </c>
      <c r="F876" t="s">
        <v>80</v>
      </c>
      <c r="G876">
        <v>1</v>
      </c>
      <c r="H876">
        <v>2E+20</v>
      </c>
      <c r="I876">
        <v>1</v>
      </c>
      <c r="J876">
        <v>1</v>
      </c>
      <c r="K876">
        <v>1</v>
      </c>
      <c r="L876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17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0.82352941176470584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0.3929526239966879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1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1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1</v>
      </c>
      <c r="W876" s="5">
        <f>IF((DiscreteStatsTable[[#This Row],[RepsRequested]]&gt;1),DiscreteStatsTable[[#This Row],[HalfWidth]],DiscreteStatsTable[[#This Row],[BatchMeansHalfWidth]])</f>
        <v>0.20203759631520121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17</v>
      </c>
      <c r="Y876" s="5">
        <f>IF(DiscreteStatsTable[[#This Row],[RepsRequested]]=DiscreteStatsTable[[#This Row],[RepsWithStatObserved]],1,0)</f>
        <v>1</v>
      </c>
    </row>
    <row r="877" spans="1:25" x14ac:dyDescent="0.25">
      <c r="A877" t="s">
        <v>67</v>
      </c>
      <c r="B877" t="s">
        <v>69</v>
      </c>
      <c r="C877">
        <v>6</v>
      </c>
      <c r="D877" t="s">
        <v>122</v>
      </c>
      <c r="E877" t="s">
        <v>79</v>
      </c>
      <c r="F877" t="s">
        <v>80</v>
      </c>
      <c r="G877">
        <v>0</v>
      </c>
      <c r="H877">
        <v>2E+20</v>
      </c>
      <c r="I877">
        <v>0</v>
      </c>
      <c r="J877">
        <v>0</v>
      </c>
      <c r="K877">
        <v>1</v>
      </c>
      <c r="L877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17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0.82352941176470584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0.3929526239966879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1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1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1</v>
      </c>
      <c r="W877" s="5">
        <f>IF((DiscreteStatsTable[[#This Row],[RepsRequested]]&gt;1),DiscreteStatsTable[[#This Row],[HalfWidth]],DiscreteStatsTable[[#This Row],[BatchMeansHalfWidth]])</f>
        <v>0.20203759631520121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17</v>
      </c>
      <c r="Y877" s="5">
        <f>IF(DiscreteStatsTable[[#This Row],[RepsRequested]]=DiscreteStatsTable[[#This Row],[RepsWithStatObserved]],1,0)</f>
        <v>1</v>
      </c>
    </row>
    <row r="878" spans="1:25" x14ac:dyDescent="0.25">
      <c r="A878" t="s">
        <v>67</v>
      </c>
      <c r="B878" t="s">
        <v>69</v>
      </c>
      <c r="C878">
        <v>7</v>
      </c>
      <c r="D878" t="s">
        <v>122</v>
      </c>
      <c r="E878" t="s">
        <v>79</v>
      </c>
      <c r="F878" t="s">
        <v>80</v>
      </c>
      <c r="G878">
        <v>1</v>
      </c>
      <c r="H878">
        <v>2E+20</v>
      </c>
      <c r="I878">
        <v>1</v>
      </c>
      <c r="J878">
        <v>1</v>
      </c>
      <c r="K878">
        <v>1</v>
      </c>
      <c r="L878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17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0.82352941176470584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0.3929526239966879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0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1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0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1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1</v>
      </c>
      <c r="W878" s="5">
        <f>IF((DiscreteStatsTable[[#This Row],[RepsRequested]]&gt;1),DiscreteStatsTable[[#This Row],[HalfWidth]],DiscreteStatsTable[[#This Row],[BatchMeansHalfWidth]])</f>
        <v>0.20203759631520121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17</v>
      </c>
      <c r="Y878" s="5">
        <f>IF(DiscreteStatsTable[[#This Row],[RepsRequested]]=DiscreteStatsTable[[#This Row],[RepsWithStatObserved]],1,0)</f>
        <v>1</v>
      </c>
    </row>
    <row r="879" spans="1:25" x14ac:dyDescent="0.25">
      <c r="A879" t="s">
        <v>67</v>
      </c>
      <c r="B879" t="s">
        <v>69</v>
      </c>
      <c r="C879">
        <v>8</v>
      </c>
      <c r="D879" t="s">
        <v>122</v>
      </c>
      <c r="E879" t="s">
        <v>79</v>
      </c>
      <c r="F879" t="s">
        <v>80</v>
      </c>
      <c r="G879">
        <v>1</v>
      </c>
      <c r="H879">
        <v>2E+20</v>
      </c>
      <c r="I879">
        <v>1</v>
      </c>
      <c r="J879">
        <v>1</v>
      </c>
      <c r="K879">
        <v>1</v>
      </c>
      <c r="L879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17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0.82352941176470584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0.3929526239966879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0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1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1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1</v>
      </c>
      <c r="W879" s="5">
        <f>IF((DiscreteStatsTable[[#This Row],[RepsRequested]]&gt;1),DiscreteStatsTable[[#This Row],[HalfWidth]],DiscreteStatsTable[[#This Row],[BatchMeansHalfWidth]])</f>
        <v>0.20203759631520121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17</v>
      </c>
      <c r="Y879" s="5">
        <f>IF(DiscreteStatsTable[[#This Row],[RepsRequested]]=DiscreteStatsTable[[#This Row],[RepsWithStatObserved]],1,0)</f>
        <v>1</v>
      </c>
    </row>
    <row r="880" spans="1:25" x14ac:dyDescent="0.25">
      <c r="A880" t="s">
        <v>67</v>
      </c>
      <c r="B880" t="s">
        <v>69</v>
      </c>
      <c r="C880">
        <v>9</v>
      </c>
      <c r="D880" t="s">
        <v>122</v>
      </c>
      <c r="E880" t="s">
        <v>79</v>
      </c>
      <c r="F880" t="s">
        <v>80</v>
      </c>
      <c r="G880">
        <v>1</v>
      </c>
      <c r="H880">
        <v>2E+20</v>
      </c>
      <c r="I880">
        <v>1</v>
      </c>
      <c r="J880">
        <v>1</v>
      </c>
      <c r="K880">
        <v>1</v>
      </c>
      <c r="L880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17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0.82352941176470584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1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1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1</v>
      </c>
      <c r="W880" s="5">
        <f>IF((DiscreteStatsTable[[#This Row],[RepsRequested]]&gt;1),DiscreteStatsTable[[#This Row],[HalfWidth]],DiscreteStatsTable[[#This Row],[BatchMeansHalfWidth]])</f>
        <v>0.20203759631520121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17</v>
      </c>
      <c r="Y880" s="5">
        <f>IF(DiscreteStatsTable[[#This Row],[RepsRequested]]=DiscreteStatsTable[[#This Row],[RepsWithStatObserved]],1,0)</f>
        <v>1</v>
      </c>
    </row>
    <row r="881" spans="1:25" x14ac:dyDescent="0.25">
      <c r="A881" t="s">
        <v>67</v>
      </c>
      <c r="B881" t="s">
        <v>69</v>
      </c>
      <c r="C881">
        <v>10</v>
      </c>
      <c r="D881" t="s">
        <v>122</v>
      </c>
      <c r="E881" t="s">
        <v>79</v>
      </c>
      <c r="F881" t="s">
        <v>80</v>
      </c>
      <c r="G881">
        <v>1</v>
      </c>
      <c r="H881">
        <v>2E+20</v>
      </c>
      <c r="I881">
        <v>1</v>
      </c>
      <c r="J881">
        <v>1</v>
      </c>
      <c r="K881">
        <v>1</v>
      </c>
      <c r="L881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17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0.82352941176470584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1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1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1</v>
      </c>
      <c r="W881" s="5">
        <f>IF((DiscreteStatsTable[[#This Row],[RepsRequested]]&gt;1),DiscreteStatsTable[[#This Row],[HalfWidth]],DiscreteStatsTable[[#This Row],[BatchMeansHalfWidth]])</f>
        <v>0.20203759631520121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17</v>
      </c>
      <c r="Y881" s="5">
        <f>IF(DiscreteStatsTable[[#This Row],[RepsRequested]]=DiscreteStatsTable[[#This Row],[RepsWithStatObserved]],1,0)</f>
        <v>1</v>
      </c>
    </row>
    <row r="882" spans="1:25" x14ac:dyDescent="0.25">
      <c r="A882" t="s">
        <v>67</v>
      </c>
      <c r="B882" t="s">
        <v>69</v>
      </c>
      <c r="C882">
        <v>11</v>
      </c>
      <c r="D882" t="s">
        <v>122</v>
      </c>
      <c r="E882" t="s">
        <v>79</v>
      </c>
      <c r="F882" t="s">
        <v>80</v>
      </c>
      <c r="G882">
        <v>1</v>
      </c>
      <c r="H882">
        <v>2E+20</v>
      </c>
      <c r="I882">
        <v>1</v>
      </c>
      <c r="J882">
        <v>1</v>
      </c>
      <c r="K882">
        <v>1</v>
      </c>
      <c r="L882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17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0.82352941176470584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0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1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0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1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1</v>
      </c>
      <c r="W882" s="5">
        <f>IF((DiscreteStatsTable[[#This Row],[RepsRequested]]&gt;1),DiscreteStatsTable[[#This Row],[HalfWidth]],DiscreteStatsTable[[#This Row],[BatchMeansHalfWidth]])</f>
        <v>0.20203759631520121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17</v>
      </c>
      <c r="Y882" s="5">
        <f>IF(DiscreteStatsTable[[#This Row],[RepsRequested]]=DiscreteStatsTable[[#This Row],[RepsWithStatObserved]],1,0)</f>
        <v>1</v>
      </c>
    </row>
    <row r="883" spans="1:25" x14ac:dyDescent="0.25">
      <c r="A883" t="s">
        <v>67</v>
      </c>
      <c r="B883" t="s">
        <v>69</v>
      </c>
      <c r="C883">
        <v>12</v>
      </c>
      <c r="D883" t="s">
        <v>122</v>
      </c>
      <c r="E883" t="s">
        <v>79</v>
      </c>
      <c r="F883" t="s">
        <v>80</v>
      </c>
      <c r="G883">
        <v>1</v>
      </c>
      <c r="H883">
        <v>2E+20</v>
      </c>
      <c r="I883">
        <v>1</v>
      </c>
      <c r="J883">
        <v>1</v>
      </c>
      <c r="K883">
        <v>1</v>
      </c>
      <c r="L883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17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0.82352941176470584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0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1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0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1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1</v>
      </c>
      <c r="W883" s="5">
        <f>IF((DiscreteStatsTable[[#This Row],[RepsRequested]]&gt;1),DiscreteStatsTable[[#This Row],[HalfWidth]],DiscreteStatsTable[[#This Row],[BatchMeansHalfWidth]])</f>
        <v>0.20203759631520121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17</v>
      </c>
      <c r="Y883" s="5">
        <f>IF(DiscreteStatsTable[[#This Row],[RepsRequested]]=DiscreteStatsTable[[#This Row],[RepsWithStatObserved]],1,0)</f>
        <v>1</v>
      </c>
    </row>
    <row r="884" spans="1:25" x14ac:dyDescent="0.25">
      <c r="A884" t="s">
        <v>67</v>
      </c>
      <c r="B884" t="s">
        <v>69</v>
      </c>
      <c r="C884">
        <v>13</v>
      </c>
      <c r="D884" t="s">
        <v>122</v>
      </c>
      <c r="E884" t="s">
        <v>79</v>
      </c>
      <c r="F884" t="s">
        <v>80</v>
      </c>
      <c r="G884">
        <v>0</v>
      </c>
      <c r="H884">
        <v>2E+20</v>
      </c>
      <c r="I884">
        <v>0</v>
      </c>
      <c r="J884">
        <v>0</v>
      </c>
      <c r="K884">
        <v>1</v>
      </c>
      <c r="L884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17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0.82352941176470584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1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1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1</v>
      </c>
      <c r="W884" s="5">
        <f>IF((DiscreteStatsTable[[#This Row],[RepsRequested]]&gt;1),DiscreteStatsTable[[#This Row],[HalfWidth]],DiscreteStatsTable[[#This Row],[BatchMeansHalfWidth]])</f>
        <v>0.20203759631520121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17</v>
      </c>
      <c r="Y884" s="5">
        <f>IF(DiscreteStatsTable[[#This Row],[RepsRequested]]=DiscreteStatsTable[[#This Row],[RepsWithStatObserved]],1,0)</f>
        <v>1</v>
      </c>
    </row>
    <row r="885" spans="1:25" x14ac:dyDescent="0.25">
      <c r="A885" t="s">
        <v>67</v>
      </c>
      <c r="B885" t="s">
        <v>69</v>
      </c>
      <c r="C885">
        <v>14</v>
      </c>
      <c r="D885" t="s">
        <v>122</v>
      </c>
      <c r="E885" t="s">
        <v>79</v>
      </c>
      <c r="F885" t="s">
        <v>80</v>
      </c>
      <c r="G885">
        <v>1</v>
      </c>
      <c r="H885">
        <v>2E+20</v>
      </c>
      <c r="I885">
        <v>1</v>
      </c>
      <c r="J885">
        <v>1</v>
      </c>
      <c r="K885">
        <v>1</v>
      </c>
      <c r="L885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17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0.82352941176470584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0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1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1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1</v>
      </c>
      <c r="W885" s="5">
        <f>IF((DiscreteStatsTable[[#This Row],[RepsRequested]]&gt;1),DiscreteStatsTable[[#This Row],[HalfWidth]],DiscreteStatsTable[[#This Row],[BatchMeansHalfWidth]])</f>
        <v>0.20203759631520121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17</v>
      </c>
      <c r="Y885" s="5">
        <f>IF(DiscreteStatsTable[[#This Row],[RepsRequested]]=DiscreteStatsTable[[#This Row],[RepsWithStatObserved]],1,0)</f>
        <v>1</v>
      </c>
    </row>
    <row r="886" spans="1:25" x14ac:dyDescent="0.25">
      <c r="A886" t="s">
        <v>67</v>
      </c>
      <c r="B886" t="s">
        <v>69</v>
      </c>
      <c r="C886">
        <v>15</v>
      </c>
      <c r="D886" t="s">
        <v>122</v>
      </c>
      <c r="E886" t="s">
        <v>79</v>
      </c>
      <c r="F886" t="s">
        <v>80</v>
      </c>
      <c r="G886">
        <v>1</v>
      </c>
      <c r="H886">
        <v>2E+20</v>
      </c>
      <c r="I886">
        <v>1</v>
      </c>
      <c r="J886">
        <v>1</v>
      </c>
      <c r="K886">
        <v>1</v>
      </c>
      <c r="L886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17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0.82352941176470584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1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1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1</v>
      </c>
      <c r="W886" s="5">
        <f>IF((DiscreteStatsTable[[#This Row],[RepsRequested]]&gt;1),DiscreteStatsTable[[#This Row],[HalfWidth]],DiscreteStatsTable[[#This Row],[BatchMeansHalfWidth]])</f>
        <v>0.20203759631520121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17</v>
      </c>
      <c r="Y886" s="5">
        <f>IF(DiscreteStatsTable[[#This Row],[RepsRequested]]=DiscreteStatsTable[[#This Row],[RepsWithStatObserved]],1,0)</f>
        <v>1</v>
      </c>
    </row>
    <row r="887" spans="1:25" x14ac:dyDescent="0.25">
      <c r="A887" t="s">
        <v>67</v>
      </c>
      <c r="B887" t="s">
        <v>69</v>
      </c>
      <c r="C887">
        <v>16</v>
      </c>
      <c r="D887" t="s">
        <v>122</v>
      </c>
      <c r="E887" t="s">
        <v>79</v>
      </c>
      <c r="F887" t="s">
        <v>80</v>
      </c>
      <c r="G887">
        <v>1</v>
      </c>
      <c r="H887">
        <v>2E+20</v>
      </c>
      <c r="I887">
        <v>1</v>
      </c>
      <c r="J887">
        <v>1</v>
      </c>
      <c r="K887">
        <v>1</v>
      </c>
      <c r="L887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17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0.82352941176470584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1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1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1</v>
      </c>
      <c r="W887" s="5">
        <f>IF((DiscreteStatsTable[[#This Row],[RepsRequested]]&gt;1),DiscreteStatsTable[[#This Row],[HalfWidth]],DiscreteStatsTable[[#This Row],[BatchMeansHalfWidth]])</f>
        <v>0.20203759631520121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17</v>
      </c>
      <c r="Y887" s="5">
        <f>IF(DiscreteStatsTable[[#This Row],[RepsRequested]]=DiscreteStatsTable[[#This Row],[RepsWithStatObserved]],1,0)</f>
        <v>1</v>
      </c>
    </row>
    <row r="888" spans="1:25" x14ac:dyDescent="0.25">
      <c r="A888" t="s">
        <v>67</v>
      </c>
      <c r="B888" t="s">
        <v>69</v>
      </c>
      <c r="C888">
        <v>17</v>
      </c>
      <c r="D888" t="s">
        <v>122</v>
      </c>
      <c r="E888" t="s">
        <v>79</v>
      </c>
      <c r="F888" t="s">
        <v>80</v>
      </c>
      <c r="G888">
        <v>1</v>
      </c>
      <c r="H888">
        <v>2E+20</v>
      </c>
      <c r="I888">
        <v>1</v>
      </c>
      <c r="J888">
        <v>1</v>
      </c>
      <c r="K888">
        <v>1</v>
      </c>
      <c r="L888" s="5" t="str">
        <f>DiscreteStatsTable[[#This Row],[ProjectName]]&amp;DiscreteStatsTable[[#This Row],[Name]]&amp;DiscreteStatsTable[[#This Row],[Type]]&amp;DiscreteStatsTable[[#This Row],[Source]]</f>
        <v>Weekend (base)UtilizacionCajeroH2ExpressionUser Specified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17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0.82352941176470584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0.3929526239966879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0.20203759631520121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1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1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1</v>
      </c>
      <c r="W888" s="5">
        <f>IF((DiscreteStatsTable[[#This Row],[RepsRequested]]&gt;1),DiscreteStatsTable[[#This Row],[HalfWidth]],DiscreteStatsTable[[#This Row],[BatchMeansHalfWidth]])</f>
        <v>0.20203759631520121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17</v>
      </c>
      <c r="Y888" s="5">
        <f>IF(DiscreteStatsTable[[#This Row],[RepsRequested]]=DiscreteStatsTable[[#This Row],[RepsWithStatObserved]],1,0)</f>
        <v>1</v>
      </c>
    </row>
    <row r="889" spans="1:25" x14ac:dyDescent="0.25">
      <c r="A889" t="s">
        <v>67</v>
      </c>
      <c r="B889" t="s">
        <v>69</v>
      </c>
      <c r="C889">
        <v>1</v>
      </c>
      <c r="D889" t="s">
        <v>123</v>
      </c>
      <c r="E889" t="s">
        <v>79</v>
      </c>
      <c r="F889" t="s">
        <v>80</v>
      </c>
      <c r="G889">
        <v>1</v>
      </c>
      <c r="H889">
        <v>2E+20</v>
      </c>
      <c r="I889">
        <v>1</v>
      </c>
      <c r="J889">
        <v>1</v>
      </c>
      <c r="K889">
        <v>1</v>
      </c>
      <c r="L889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17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0.70588235294117652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1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1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1</v>
      </c>
      <c r="W889" s="5">
        <f>IF((DiscreteStatsTable[[#This Row],[RepsRequested]]&gt;1),DiscreteStatsTable[[#This Row],[HalfWidth]],DiscreteStatsTable[[#This Row],[BatchMeansHalfWidth]])</f>
        <v>0.24148111527708152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17</v>
      </c>
      <c r="Y889" s="5">
        <f>IF(DiscreteStatsTable[[#This Row],[RepsRequested]]=DiscreteStatsTable[[#This Row],[RepsWithStatObserved]],1,0)</f>
        <v>1</v>
      </c>
    </row>
    <row r="890" spans="1:25" x14ac:dyDescent="0.25">
      <c r="A890" t="s">
        <v>67</v>
      </c>
      <c r="B890" t="s">
        <v>69</v>
      </c>
      <c r="C890">
        <v>2</v>
      </c>
      <c r="D890" t="s">
        <v>123</v>
      </c>
      <c r="E890" t="s">
        <v>79</v>
      </c>
      <c r="F890" t="s">
        <v>80</v>
      </c>
      <c r="G890">
        <v>1</v>
      </c>
      <c r="H890">
        <v>2E+20</v>
      </c>
      <c r="I890">
        <v>1</v>
      </c>
      <c r="J890">
        <v>1</v>
      </c>
      <c r="K890">
        <v>1</v>
      </c>
      <c r="L890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17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0.70588235294117652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0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1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0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1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1</v>
      </c>
      <c r="W890" s="5">
        <f>IF((DiscreteStatsTable[[#This Row],[RepsRequested]]&gt;1),DiscreteStatsTable[[#This Row],[HalfWidth]],DiscreteStatsTable[[#This Row],[BatchMeansHalfWidth]])</f>
        <v>0.24148111527708152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17</v>
      </c>
      <c r="Y890" s="5">
        <f>IF(DiscreteStatsTable[[#This Row],[RepsRequested]]=DiscreteStatsTable[[#This Row],[RepsWithStatObserved]],1,0)</f>
        <v>1</v>
      </c>
    </row>
    <row r="891" spans="1:25" x14ac:dyDescent="0.25">
      <c r="A891" t="s">
        <v>67</v>
      </c>
      <c r="B891" t="s">
        <v>69</v>
      </c>
      <c r="C891">
        <v>3</v>
      </c>
      <c r="D891" t="s">
        <v>123</v>
      </c>
      <c r="E891" t="s">
        <v>79</v>
      </c>
      <c r="F891" t="s">
        <v>80</v>
      </c>
      <c r="G891">
        <v>1</v>
      </c>
      <c r="H891">
        <v>2E+20</v>
      </c>
      <c r="I891">
        <v>1</v>
      </c>
      <c r="J891">
        <v>1</v>
      </c>
      <c r="K891">
        <v>1</v>
      </c>
      <c r="L891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17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0.70588235294117652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0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1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0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1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1</v>
      </c>
      <c r="W891" s="5">
        <f>IF((DiscreteStatsTable[[#This Row],[RepsRequested]]&gt;1),DiscreteStatsTable[[#This Row],[HalfWidth]],DiscreteStatsTable[[#This Row],[BatchMeansHalfWidth]])</f>
        <v>0.24148111527708152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17</v>
      </c>
      <c r="Y891" s="5">
        <f>IF(DiscreteStatsTable[[#This Row],[RepsRequested]]=DiscreteStatsTable[[#This Row],[RepsWithStatObserved]],1,0)</f>
        <v>1</v>
      </c>
    </row>
    <row r="892" spans="1:25" x14ac:dyDescent="0.25">
      <c r="A892" t="s">
        <v>67</v>
      </c>
      <c r="B892" t="s">
        <v>69</v>
      </c>
      <c r="C892">
        <v>4</v>
      </c>
      <c r="D892" t="s">
        <v>123</v>
      </c>
      <c r="E892" t="s">
        <v>79</v>
      </c>
      <c r="F892" t="s">
        <v>80</v>
      </c>
      <c r="G892">
        <v>0</v>
      </c>
      <c r="H892">
        <v>2E+20</v>
      </c>
      <c r="I892">
        <v>0</v>
      </c>
      <c r="J892">
        <v>0</v>
      </c>
      <c r="K892">
        <v>1</v>
      </c>
      <c r="L892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17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0.70588235294117652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1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1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1</v>
      </c>
      <c r="W892" s="5">
        <f>IF((DiscreteStatsTable[[#This Row],[RepsRequested]]&gt;1),DiscreteStatsTable[[#This Row],[HalfWidth]],DiscreteStatsTable[[#This Row],[BatchMeansHalfWidth]])</f>
        <v>0.24148111527708152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17</v>
      </c>
      <c r="Y892" s="5">
        <f>IF(DiscreteStatsTable[[#This Row],[RepsRequested]]=DiscreteStatsTable[[#This Row],[RepsWithStatObserved]],1,0)</f>
        <v>1</v>
      </c>
    </row>
    <row r="893" spans="1:25" x14ac:dyDescent="0.25">
      <c r="A893" t="s">
        <v>67</v>
      </c>
      <c r="B893" t="s">
        <v>69</v>
      </c>
      <c r="C893">
        <v>5</v>
      </c>
      <c r="D893" t="s">
        <v>123</v>
      </c>
      <c r="E893" t="s">
        <v>79</v>
      </c>
      <c r="F893" t="s">
        <v>80</v>
      </c>
      <c r="G893">
        <v>1</v>
      </c>
      <c r="H893">
        <v>2E+20</v>
      </c>
      <c r="I893">
        <v>1</v>
      </c>
      <c r="J893">
        <v>1</v>
      </c>
      <c r="K893">
        <v>1</v>
      </c>
      <c r="L893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17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0.70588235294117652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1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1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1</v>
      </c>
      <c r="W893" s="5">
        <f>IF((DiscreteStatsTable[[#This Row],[RepsRequested]]&gt;1),DiscreteStatsTable[[#This Row],[HalfWidth]],DiscreteStatsTable[[#This Row],[BatchMeansHalfWidth]])</f>
        <v>0.24148111527708152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17</v>
      </c>
      <c r="Y893" s="5">
        <f>IF(DiscreteStatsTable[[#This Row],[RepsRequested]]=DiscreteStatsTable[[#This Row],[RepsWithStatObserved]],1,0)</f>
        <v>1</v>
      </c>
    </row>
    <row r="894" spans="1:25" x14ac:dyDescent="0.25">
      <c r="A894" t="s">
        <v>67</v>
      </c>
      <c r="B894" t="s">
        <v>69</v>
      </c>
      <c r="C894">
        <v>6</v>
      </c>
      <c r="D894" t="s">
        <v>123</v>
      </c>
      <c r="E894" t="s">
        <v>79</v>
      </c>
      <c r="F894" t="s">
        <v>80</v>
      </c>
      <c r="G894">
        <v>1</v>
      </c>
      <c r="H894">
        <v>2E+20</v>
      </c>
      <c r="I894">
        <v>1</v>
      </c>
      <c r="J894">
        <v>1</v>
      </c>
      <c r="K894">
        <v>1</v>
      </c>
      <c r="L894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17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0.70588235294117652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0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1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0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1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1</v>
      </c>
      <c r="W894" s="5">
        <f>IF((DiscreteStatsTable[[#This Row],[RepsRequested]]&gt;1),DiscreteStatsTable[[#This Row],[HalfWidth]],DiscreteStatsTable[[#This Row],[BatchMeansHalfWidth]])</f>
        <v>0.24148111527708152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17</v>
      </c>
      <c r="Y894" s="5">
        <f>IF(DiscreteStatsTable[[#This Row],[RepsRequested]]=DiscreteStatsTable[[#This Row],[RepsWithStatObserved]],1,0)</f>
        <v>1</v>
      </c>
    </row>
    <row r="895" spans="1:25" x14ac:dyDescent="0.25">
      <c r="A895" t="s">
        <v>67</v>
      </c>
      <c r="B895" t="s">
        <v>69</v>
      </c>
      <c r="C895">
        <v>7</v>
      </c>
      <c r="D895" t="s">
        <v>123</v>
      </c>
      <c r="E895" t="s">
        <v>79</v>
      </c>
      <c r="F895" t="s">
        <v>80</v>
      </c>
      <c r="G895">
        <v>0</v>
      </c>
      <c r="H895">
        <v>2E+20</v>
      </c>
      <c r="I895">
        <v>0</v>
      </c>
      <c r="J895">
        <v>0</v>
      </c>
      <c r="K895">
        <v>1</v>
      </c>
      <c r="L895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17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0.70588235294117652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0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1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0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1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1</v>
      </c>
      <c r="W895" s="5">
        <f>IF((DiscreteStatsTable[[#This Row],[RepsRequested]]&gt;1),DiscreteStatsTable[[#This Row],[HalfWidth]],DiscreteStatsTable[[#This Row],[BatchMeansHalfWidth]])</f>
        <v>0.24148111527708152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17</v>
      </c>
      <c r="Y895" s="5">
        <f>IF(DiscreteStatsTable[[#This Row],[RepsRequested]]=DiscreteStatsTable[[#This Row],[RepsWithStatObserved]],1,0)</f>
        <v>1</v>
      </c>
    </row>
    <row r="896" spans="1:25" x14ac:dyDescent="0.25">
      <c r="A896" t="s">
        <v>67</v>
      </c>
      <c r="B896" t="s">
        <v>69</v>
      </c>
      <c r="C896">
        <v>8</v>
      </c>
      <c r="D896" t="s">
        <v>123</v>
      </c>
      <c r="E896" t="s">
        <v>79</v>
      </c>
      <c r="F896" t="s">
        <v>80</v>
      </c>
      <c r="G896">
        <v>1</v>
      </c>
      <c r="H896">
        <v>2E+20</v>
      </c>
      <c r="I896">
        <v>1</v>
      </c>
      <c r="J896">
        <v>1</v>
      </c>
      <c r="K896">
        <v>1</v>
      </c>
      <c r="L896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17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0.70588235294117652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1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1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1</v>
      </c>
      <c r="W896" s="5">
        <f>IF((DiscreteStatsTable[[#This Row],[RepsRequested]]&gt;1),DiscreteStatsTable[[#This Row],[HalfWidth]],DiscreteStatsTable[[#This Row],[BatchMeansHalfWidth]])</f>
        <v>0.24148111527708152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17</v>
      </c>
      <c r="Y896" s="5">
        <f>IF(DiscreteStatsTable[[#This Row],[RepsRequested]]=DiscreteStatsTable[[#This Row],[RepsWithStatObserved]],1,0)</f>
        <v>1</v>
      </c>
    </row>
    <row r="897" spans="1:25" x14ac:dyDescent="0.25">
      <c r="A897" t="s">
        <v>67</v>
      </c>
      <c r="B897" t="s">
        <v>69</v>
      </c>
      <c r="C897">
        <v>9</v>
      </c>
      <c r="D897" t="s">
        <v>123</v>
      </c>
      <c r="E897" t="s">
        <v>79</v>
      </c>
      <c r="F897" t="s">
        <v>80</v>
      </c>
      <c r="G897">
        <v>1</v>
      </c>
      <c r="H897">
        <v>2E+20</v>
      </c>
      <c r="I897">
        <v>1</v>
      </c>
      <c r="J897">
        <v>1</v>
      </c>
      <c r="K897">
        <v>1</v>
      </c>
      <c r="L897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17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0.70588235294117652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0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1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1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1</v>
      </c>
      <c r="W897" s="5">
        <f>IF((DiscreteStatsTable[[#This Row],[RepsRequested]]&gt;1),DiscreteStatsTable[[#This Row],[HalfWidth]],DiscreteStatsTable[[#This Row],[BatchMeansHalfWidth]])</f>
        <v>0.24148111527708152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17</v>
      </c>
      <c r="Y897" s="5">
        <f>IF(DiscreteStatsTable[[#This Row],[RepsRequested]]=DiscreteStatsTable[[#This Row],[RepsWithStatObserved]],1,0)</f>
        <v>1</v>
      </c>
    </row>
    <row r="898" spans="1:25" x14ac:dyDescent="0.25">
      <c r="A898" t="s">
        <v>67</v>
      </c>
      <c r="B898" t="s">
        <v>69</v>
      </c>
      <c r="C898">
        <v>10</v>
      </c>
      <c r="D898" t="s">
        <v>123</v>
      </c>
      <c r="E898" t="s">
        <v>79</v>
      </c>
      <c r="F898" t="s">
        <v>80</v>
      </c>
      <c r="G898">
        <v>1</v>
      </c>
      <c r="H898">
        <v>2E+20</v>
      </c>
      <c r="I898">
        <v>1</v>
      </c>
      <c r="J898">
        <v>1</v>
      </c>
      <c r="K898">
        <v>1</v>
      </c>
      <c r="L898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17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0.70588235294117652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1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1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1</v>
      </c>
      <c r="W898" s="5">
        <f>IF((DiscreteStatsTable[[#This Row],[RepsRequested]]&gt;1),DiscreteStatsTable[[#This Row],[HalfWidth]],DiscreteStatsTable[[#This Row],[BatchMeansHalfWidth]])</f>
        <v>0.24148111527708152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17</v>
      </c>
      <c r="Y898" s="5">
        <f>IF(DiscreteStatsTable[[#This Row],[RepsRequested]]=DiscreteStatsTable[[#This Row],[RepsWithStatObserved]],1,0)</f>
        <v>1</v>
      </c>
    </row>
    <row r="899" spans="1:25" x14ac:dyDescent="0.25">
      <c r="A899" t="s">
        <v>67</v>
      </c>
      <c r="B899" t="s">
        <v>69</v>
      </c>
      <c r="C899">
        <v>11</v>
      </c>
      <c r="D899" t="s">
        <v>123</v>
      </c>
      <c r="E899" t="s">
        <v>79</v>
      </c>
      <c r="F899" t="s">
        <v>80</v>
      </c>
      <c r="G899">
        <v>0</v>
      </c>
      <c r="H899">
        <v>2E+20</v>
      </c>
      <c r="I899">
        <v>0</v>
      </c>
      <c r="J899">
        <v>0</v>
      </c>
      <c r="K899">
        <v>1</v>
      </c>
      <c r="L899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17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0.70588235294117652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0.46966821831386213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1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1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1</v>
      </c>
      <c r="W899" s="5">
        <f>IF((DiscreteStatsTable[[#This Row],[RepsRequested]]&gt;1),DiscreteStatsTable[[#This Row],[HalfWidth]],DiscreteStatsTable[[#This Row],[BatchMeansHalfWidth]])</f>
        <v>0.24148111527708152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17</v>
      </c>
      <c r="Y899" s="5">
        <f>IF(DiscreteStatsTable[[#This Row],[RepsRequested]]=DiscreteStatsTable[[#This Row],[RepsWithStatObserved]],1,0)</f>
        <v>1</v>
      </c>
    </row>
    <row r="900" spans="1:25" x14ac:dyDescent="0.25">
      <c r="A900" t="s">
        <v>67</v>
      </c>
      <c r="B900" t="s">
        <v>69</v>
      </c>
      <c r="C900">
        <v>12</v>
      </c>
      <c r="D900" t="s">
        <v>123</v>
      </c>
      <c r="E900" t="s">
        <v>79</v>
      </c>
      <c r="F900" t="s">
        <v>80</v>
      </c>
      <c r="G900">
        <v>0</v>
      </c>
      <c r="H900">
        <v>2E+20</v>
      </c>
      <c r="I900">
        <v>0</v>
      </c>
      <c r="J900">
        <v>0</v>
      </c>
      <c r="K900">
        <v>1</v>
      </c>
      <c r="L900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17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0.70588235294117652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0.46966821831386213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1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1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1</v>
      </c>
      <c r="W900" s="5">
        <f>IF((DiscreteStatsTable[[#This Row],[RepsRequested]]&gt;1),DiscreteStatsTable[[#This Row],[HalfWidth]],DiscreteStatsTable[[#This Row],[BatchMeansHalfWidth]])</f>
        <v>0.24148111527708152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17</v>
      </c>
      <c r="Y900" s="5">
        <f>IF(DiscreteStatsTable[[#This Row],[RepsRequested]]=DiscreteStatsTable[[#This Row],[RepsWithStatObserved]],1,0)</f>
        <v>1</v>
      </c>
    </row>
    <row r="901" spans="1:25" x14ac:dyDescent="0.25">
      <c r="A901" t="s">
        <v>67</v>
      </c>
      <c r="B901" t="s">
        <v>69</v>
      </c>
      <c r="C901">
        <v>13</v>
      </c>
      <c r="D901" t="s">
        <v>123</v>
      </c>
      <c r="E901" t="s">
        <v>79</v>
      </c>
      <c r="F901" t="s">
        <v>80</v>
      </c>
      <c r="G901">
        <v>1</v>
      </c>
      <c r="H901">
        <v>2E+20</v>
      </c>
      <c r="I901">
        <v>1</v>
      </c>
      <c r="J901">
        <v>1</v>
      </c>
      <c r="K901">
        <v>1</v>
      </c>
      <c r="L901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17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0.70588235294117652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0.46966821831386213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1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1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1</v>
      </c>
      <c r="W901" s="5">
        <f>IF((DiscreteStatsTable[[#This Row],[RepsRequested]]&gt;1),DiscreteStatsTable[[#This Row],[HalfWidth]],DiscreteStatsTable[[#This Row],[BatchMeansHalfWidth]])</f>
        <v>0.24148111527708152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17</v>
      </c>
      <c r="Y901" s="5">
        <f>IF(DiscreteStatsTable[[#This Row],[RepsRequested]]=DiscreteStatsTable[[#This Row],[RepsWithStatObserved]],1,0)</f>
        <v>1</v>
      </c>
    </row>
    <row r="902" spans="1:25" x14ac:dyDescent="0.25">
      <c r="A902" t="s">
        <v>67</v>
      </c>
      <c r="B902" t="s">
        <v>69</v>
      </c>
      <c r="C902">
        <v>14</v>
      </c>
      <c r="D902" t="s">
        <v>123</v>
      </c>
      <c r="E902" t="s">
        <v>79</v>
      </c>
      <c r="F902" t="s">
        <v>80</v>
      </c>
      <c r="G902">
        <v>1</v>
      </c>
      <c r="H902">
        <v>2E+20</v>
      </c>
      <c r="I902">
        <v>1</v>
      </c>
      <c r="J902">
        <v>1</v>
      </c>
      <c r="K902">
        <v>1</v>
      </c>
      <c r="L902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17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0.70588235294117652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0.46966821831386213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0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1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0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1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1</v>
      </c>
      <c r="W902" s="5">
        <f>IF((DiscreteStatsTable[[#This Row],[RepsRequested]]&gt;1),DiscreteStatsTable[[#This Row],[HalfWidth]],DiscreteStatsTable[[#This Row],[BatchMeansHalfWidth]])</f>
        <v>0.24148111527708152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17</v>
      </c>
      <c r="Y902" s="5">
        <f>IF(DiscreteStatsTable[[#This Row],[RepsRequested]]=DiscreteStatsTable[[#This Row],[RepsWithStatObserved]],1,0)</f>
        <v>1</v>
      </c>
    </row>
    <row r="903" spans="1:25" x14ac:dyDescent="0.25">
      <c r="A903" t="s">
        <v>67</v>
      </c>
      <c r="B903" t="s">
        <v>69</v>
      </c>
      <c r="C903">
        <v>15</v>
      </c>
      <c r="D903" t="s">
        <v>123</v>
      </c>
      <c r="E903" t="s">
        <v>79</v>
      </c>
      <c r="F903" t="s">
        <v>80</v>
      </c>
      <c r="G903">
        <v>1</v>
      </c>
      <c r="H903">
        <v>2E+20</v>
      </c>
      <c r="I903">
        <v>1</v>
      </c>
      <c r="J903">
        <v>1</v>
      </c>
      <c r="K903">
        <v>1</v>
      </c>
      <c r="L903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17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0.70588235294117652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0.46966821831386213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0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1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0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1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1</v>
      </c>
      <c r="W903" s="5">
        <f>IF((DiscreteStatsTable[[#This Row],[RepsRequested]]&gt;1),DiscreteStatsTable[[#This Row],[HalfWidth]],DiscreteStatsTable[[#This Row],[BatchMeansHalfWidth]])</f>
        <v>0.24148111527708152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17</v>
      </c>
      <c r="Y903" s="5">
        <f>IF(DiscreteStatsTable[[#This Row],[RepsRequested]]=DiscreteStatsTable[[#This Row],[RepsWithStatObserved]],1,0)</f>
        <v>1</v>
      </c>
    </row>
    <row r="904" spans="1:25" x14ac:dyDescent="0.25">
      <c r="A904" t="s">
        <v>67</v>
      </c>
      <c r="B904" t="s">
        <v>69</v>
      </c>
      <c r="C904">
        <v>16</v>
      </c>
      <c r="D904" t="s">
        <v>123</v>
      </c>
      <c r="E904" t="s">
        <v>79</v>
      </c>
      <c r="F904" t="s">
        <v>80</v>
      </c>
      <c r="G904">
        <v>0</v>
      </c>
      <c r="H904">
        <v>2E+20</v>
      </c>
      <c r="I904">
        <v>0</v>
      </c>
      <c r="J904">
        <v>0</v>
      </c>
      <c r="K904">
        <v>1</v>
      </c>
      <c r="L904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17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0.70588235294117652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0.46966821831386213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1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1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1</v>
      </c>
      <c r="W904" s="5">
        <f>IF((DiscreteStatsTable[[#This Row],[RepsRequested]]&gt;1),DiscreteStatsTable[[#This Row],[HalfWidth]],DiscreteStatsTable[[#This Row],[BatchMeansHalfWidth]])</f>
        <v>0.24148111527708152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17</v>
      </c>
      <c r="Y904" s="5">
        <f>IF(DiscreteStatsTable[[#This Row],[RepsRequested]]=DiscreteStatsTable[[#This Row],[RepsWithStatObserved]],1,0)</f>
        <v>1</v>
      </c>
    </row>
    <row r="905" spans="1:25" x14ac:dyDescent="0.25">
      <c r="A905" t="s">
        <v>67</v>
      </c>
      <c r="B905" t="s">
        <v>69</v>
      </c>
      <c r="C905">
        <v>17</v>
      </c>
      <c r="D905" t="s">
        <v>123</v>
      </c>
      <c r="E905" t="s">
        <v>79</v>
      </c>
      <c r="F905" t="s">
        <v>80</v>
      </c>
      <c r="G905">
        <v>1</v>
      </c>
      <c r="H905">
        <v>2E+20</v>
      </c>
      <c r="I905">
        <v>1</v>
      </c>
      <c r="J905">
        <v>1</v>
      </c>
      <c r="K905">
        <v>1</v>
      </c>
      <c r="L905" s="5" t="str">
        <f>DiscreteStatsTable[[#This Row],[ProjectName]]&amp;DiscreteStatsTable[[#This Row],[Name]]&amp;DiscreteStatsTable[[#This Row],[Type]]&amp;DiscreteStatsTable[[#This Row],[Source]]</f>
        <v>Weekend (base)UtilizacionCajeroH3ExpressionUser Specified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17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0.70588235294117652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0.46966821831386213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0.24148111527708152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1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1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1</v>
      </c>
      <c r="W905" s="5">
        <f>IF((DiscreteStatsTable[[#This Row],[RepsRequested]]&gt;1),DiscreteStatsTable[[#This Row],[HalfWidth]],DiscreteStatsTable[[#This Row],[BatchMeansHalfWidth]])</f>
        <v>0.24148111527708152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17</v>
      </c>
      <c r="Y905" s="5">
        <f>IF(DiscreteStatsTable[[#This Row],[RepsRequested]]=DiscreteStatsTable[[#This Row],[RepsWithStatObserved]],1,0)</f>
        <v>1</v>
      </c>
    </row>
    <row r="906" spans="1:25" x14ac:dyDescent="0.25">
      <c r="A906" t="s">
        <v>67</v>
      </c>
      <c r="B906" t="s">
        <v>69</v>
      </c>
      <c r="C906">
        <v>1</v>
      </c>
      <c r="D906" t="s">
        <v>124</v>
      </c>
      <c r="E906" t="s">
        <v>79</v>
      </c>
      <c r="F906" t="s">
        <v>80</v>
      </c>
      <c r="G906">
        <v>0.97077340745767904</v>
      </c>
      <c r="H906">
        <v>2E+20</v>
      </c>
      <c r="I906">
        <v>0.97077340745767904</v>
      </c>
      <c r="J906">
        <v>0.97077340745767904</v>
      </c>
      <c r="K906">
        <v>1</v>
      </c>
      <c r="L906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17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0.84205960461850793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0.51184062690283305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1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0.51184062690283305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1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1</v>
      </c>
      <c r="W906" s="5">
        <f>IF((DiscreteStatsTable[[#This Row],[RepsRequested]]&gt;1),DiscreteStatsTable[[#This Row],[HalfWidth]],DiscreteStatsTable[[#This Row],[BatchMeansHalfWidth]])</f>
        <v>7.1953433013555584E-2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17</v>
      </c>
      <c r="Y906" s="5">
        <f>IF(DiscreteStatsTable[[#This Row],[RepsRequested]]=DiscreteStatsTable[[#This Row],[RepsWithStatObserved]],1,0)</f>
        <v>1</v>
      </c>
    </row>
    <row r="907" spans="1:25" x14ac:dyDescent="0.25">
      <c r="A907" t="s">
        <v>67</v>
      </c>
      <c r="B907" t="s">
        <v>69</v>
      </c>
      <c r="C907">
        <v>2</v>
      </c>
      <c r="D907" t="s">
        <v>124</v>
      </c>
      <c r="E907" t="s">
        <v>79</v>
      </c>
      <c r="F907" t="s">
        <v>80</v>
      </c>
      <c r="G907">
        <v>0.88366185659627206</v>
      </c>
      <c r="H907">
        <v>2E+20</v>
      </c>
      <c r="I907">
        <v>0.88366185659627206</v>
      </c>
      <c r="J907">
        <v>0.88366185659627206</v>
      </c>
      <c r="K907">
        <v>1</v>
      </c>
      <c r="L907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17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0.84205960461850793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0.51184062690283305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1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0.51184062690283305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1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1</v>
      </c>
      <c r="W907" s="5">
        <f>IF((DiscreteStatsTable[[#This Row],[RepsRequested]]&gt;1),DiscreteStatsTable[[#This Row],[HalfWidth]],DiscreteStatsTable[[#This Row],[BatchMeansHalfWidth]])</f>
        <v>7.1953433013555584E-2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17</v>
      </c>
      <c r="Y907" s="5">
        <f>IF(DiscreteStatsTable[[#This Row],[RepsRequested]]=DiscreteStatsTable[[#This Row],[RepsWithStatObserved]],1,0)</f>
        <v>1</v>
      </c>
    </row>
    <row r="908" spans="1:25" x14ac:dyDescent="0.25">
      <c r="A908" t="s">
        <v>67</v>
      </c>
      <c r="B908" t="s">
        <v>69</v>
      </c>
      <c r="C908">
        <v>3</v>
      </c>
      <c r="D908" t="s">
        <v>124</v>
      </c>
      <c r="E908" t="s">
        <v>79</v>
      </c>
      <c r="F908" t="s">
        <v>80</v>
      </c>
      <c r="G908">
        <v>1</v>
      </c>
      <c r="H908">
        <v>2E+20</v>
      </c>
      <c r="I908">
        <v>1</v>
      </c>
      <c r="J908">
        <v>1</v>
      </c>
      <c r="K908">
        <v>1</v>
      </c>
      <c r="L908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17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0.84205960461850793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0.51184062690283305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1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0.51184062690283305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1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1</v>
      </c>
      <c r="W908" s="5">
        <f>IF((DiscreteStatsTable[[#This Row],[RepsRequested]]&gt;1),DiscreteStatsTable[[#This Row],[HalfWidth]],DiscreteStatsTable[[#This Row],[BatchMeansHalfWidth]])</f>
        <v>7.1953433013555584E-2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17</v>
      </c>
      <c r="Y908" s="5">
        <f>IF(DiscreteStatsTable[[#This Row],[RepsRequested]]=DiscreteStatsTable[[#This Row],[RepsWithStatObserved]],1,0)</f>
        <v>1</v>
      </c>
    </row>
    <row r="909" spans="1:25" x14ac:dyDescent="0.25">
      <c r="A909" t="s">
        <v>67</v>
      </c>
      <c r="B909" t="s">
        <v>69</v>
      </c>
      <c r="C909">
        <v>4</v>
      </c>
      <c r="D909" t="s">
        <v>124</v>
      </c>
      <c r="E909" t="s">
        <v>79</v>
      </c>
      <c r="F909" t="s">
        <v>80</v>
      </c>
      <c r="G909">
        <v>0.97947294169838395</v>
      </c>
      <c r="H909">
        <v>2E+20</v>
      </c>
      <c r="I909">
        <v>0.97947294169838395</v>
      </c>
      <c r="J909">
        <v>0.97947294169838395</v>
      </c>
      <c r="K909">
        <v>1</v>
      </c>
      <c r="L909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17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0.84205960461850793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0.51184062690283305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1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0.51184062690283305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1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1</v>
      </c>
      <c r="W909" s="5">
        <f>IF((DiscreteStatsTable[[#This Row],[RepsRequested]]&gt;1),DiscreteStatsTable[[#This Row],[HalfWidth]],DiscreteStatsTable[[#This Row],[BatchMeansHalfWidth]])</f>
        <v>7.1953433013555584E-2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17</v>
      </c>
      <c r="Y909" s="5">
        <f>IF(DiscreteStatsTable[[#This Row],[RepsRequested]]=DiscreteStatsTable[[#This Row],[RepsWithStatObserved]],1,0)</f>
        <v>1</v>
      </c>
    </row>
    <row r="910" spans="1:25" x14ac:dyDescent="0.25">
      <c r="A910" t="s">
        <v>67</v>
      </c>
      <c r="B910" t="s">
        <v>69</v>
      </c>
      <c r="C910">
        <v>5</v>
      </c>
      <c r="D910" t="s">
        <v>124</v>
      </c>
      <c r="E910" t="s">
        <v>79</v>
      </c>
      <c r="F910" t="s">
        <v>80</v>
      </c>
      <c r="G910">
        <v>0.51184062690283305</v>
      </c>
      <c r="H910">
        <v>2E+20</v>
      </c>
      <c r="I910">
        <v>0.51184062690283305</v>
      </c>
      <c r="J910">
        <v>0.51184062690283305</v>
      </c>
      <c r="K910">
        <v>1</v>
      </c>
      <c r="L910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17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0.84205960461850793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0.51184062690283305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1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0.51184062690283305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1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1</v>
      </c>
      <c r="W910" s="5">
        <f>IF((DiscreteStatsTable[[#This Row],[RepsRequested]]&gt;1),DiscreteStatsTable[[#This Row],[HalfWidth]],DiscreteStatsTable[[#This Row],[BatchMeansHalfWidth]])</f>
        <v>7.1953433013555584E-2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17</v>
      </c>
      <c r="Y910" s="5">
        <f>IF(DiscreteStatsTable[[#This Row],[RepsRequested]]=DiscreteStatsTable[[#This Row],[RepsWithStatObserved]],1,0)</f>
        <v>1</v>
      </c>
    </row>
    <row r="911" spans="1:25" x14ac:dyDescent="0.25">
      <c r="A911" t="s">
        <v>67</v>
      </c>
      <c r="B911" t="s">
        <v>69</v>
      </c>
      <c r="C911">
        <v>6</v>
      </c>
      <c r="D911" t="s">
        <v>124</v>
      </c>
      <c r="E911" t="s">
        <v>79</v>
      </c>
      <c r="F911" t="s">
        <v>80</v>
      </c>
      <c r="G911">
        <v>0.83999762370757902</v>
      </c>
      <c r="H911">
        <v>2E+20</v>
      </c>
      <c r="I911">
        <v>0.83999762370757902</v>
      </c>
      <c r="J911">
        <v>0.83999762370757902</v>
      </c>
      <c r="K911">
        <v>1</v>
      </c>
      <c r="L911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17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0.84205960461850793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0.51184062690283305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1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0.51184062690283305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1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1</v>
      </c>
      <c r="W911" s="5">
        <f>IF((DiscreteStatsTable[[#This Row],[RepsRequested]]&gt;1),DiscreteStatsTable[[#This Row],[HalfWidth]],DiscreteStatsTable[[#This Row],[BatchMeansHalfWidth]])</f>
        <v>7.1953433013555584E-2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17</v>
      </c>
      <c r="Y911" s="5">
        <f>IF(DiscreteStatsTable[[#This Row],[RepsRequested]]=DiscreteStatsTable[[#This Row],[RepsWithStatObserved]],1,0)</f>
        <v>1</v>
      </c>
    </row>
    <row r="912" spans="1:25" x14ac:dyDescent="0.25">
      <c r="A912" t="s">
        <v>67</v>
      </c>
      <c r="B912" t="s">
        <v>69</v>
      </c>
      <c r="C912">
        <v>7</v>
      </c>
      <c r="D912" t="s">
        <v>124</v>
      </c>
      <c r="E912" t="s">
        <v>79</v>
      </c>
      <c r="F912" t="s">
        <v>80</v>
      </c>
      <c r="G912">
        <v>0.72412549874768295</v>
      </c>
      <c r="H912">
        <v>2E+20</v>
      </c>
      <c r="I912">
        <v>0.72412549874768295</v>
      </c>
      <c r="J912">
        <v>0.72412549874768295</v>
      </c>
      <c r="K912">
        <v>1</v>
      </c>
      <c r="L912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17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0.84205960461850793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0.51184062690283305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1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0.51184062690283305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1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1</v>
      </c>
      <c r="W912" s="5">
        <f>IF((DiscreteStatsTable[[#This Row],[RepsRequested]]&gt;1),DiscreteStatsTable[[#This Row],[HalfWidth]],DiscreteStatsTable[[#This Row],[BatchMeansHalfWidth]])</f>
        <v>7.1953433013555584E-2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17</v>
      </c>
      <c r="Y912" s="5">
        <f>IF(DiscreteStatsTable[[#This Row],[RepsRequested]]=DiscreteStatsTable[[#This Row],[RepsWithStatObserved]],1,0)</f>
        <v>1</v>
      </c>
    </row>
    <row r="913" spans="1:25" x14ac:dyDescent="0.25">
      <c r="A913" t="s">
        <v>67</v>
      </c>
      <c r="B913" t="s">
        <v>69</v>
      </c>
      <c r="C913">
        <v>8</v>
      </c>
      <c r="D913" t="s">
        <v>124</v>
      </c>
      <c r="E913" t="s">
        <v>79</v>
      </c>
      <c r="F913" t="s">
        <v>80</v>
      </c>
      <c r="G913">
        <v>0.76334016108663205</v>
      </c>
      <c r="H913">
        <v>2E+20</v>
      </c>
      <c r="I913">
        <v>0.76334016108663205</v>
      </c>
      <c r="J913">
        <v>0.76334016108663205</v>
      </c>
      <c r="K913">
        <v>1</v>
      </c>
      <c r="L913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17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0.84205960461850793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0.51184062690283305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1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0.51184062690283305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1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1</v>
      </c>
      <c r="W913" s="5">
        <f>IF((DiscreteStatsTable[[#This Row],[RepsRequested]]&gt;1),DiscreteStatsTable[[#This Row],[HalfWidth]],DiscreteStatsTable[[#This Row],[BatchMeansHalfWidth]])</f>
        <v>7.1953433013555584E-2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17</v>
      </c>
      <c r="Y913" s="5">
        <f>IF(DiscreteStatsTable[[#This Row],[RepsRequested]]=DiscreteStatsTable[[#This Row],[RepsWithStatObserved]],1,0)</f>
        <v>1</v>
      </c>
    </row>
    <row r="914" spans="1:25" x14ac:dyDescent="0.25">
      <c r="A914" t="s">
        <v>67</v>
      </c>
      <c r="B914" t="s">
        <v>69</v>
      </c>
      <c r="C914">
        <v>9</v>
      </c>
      <c r="D914" t="s">
        <v>124</v>
      </c>
      <c r="E914" t="s">
        <v>79</v>
      </c>
      <c r="F914" t="s">
        <v>80</v>
      </c>
      <c r="G914">
        <v>0.994931793798839</v>
      </c>
      <c r="H914">
        <v>2E+20</v>
      </c>
      <c r="I914">
        <v>0.994931793798839</v>
      </c>
      <c r="J914">
        <v>0.994931793798839</v>
      </c>
      <c r="K914">
        <v>1</v>
      </c>
      <c r="L914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17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0.84205960461850793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0.51184062690283305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1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0.51184062690283305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1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1</v>
      </c>
      <c r="W914" s="5">
        <f>IF((DiscreteStatsTable[[#This Row],[RepsRequested]]&gt;1),DiscreteStatsTable[[#This Row],[HalfWidth]],DiscreteStatsTable[[#This Row],[BatchMeansHalfWidth]])</f>
        <v>7.1953433013555584E-2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17</v>
      </c>
      <c r="Y914" s="5">
        <f>IF(DiscreteStatsTable[[#This Row],[RepsRequested]]=DiscreteStatsTable[[#This Row],[RepsWithStatObserved]],1,0)</f>
        <v>1</v>
      </c>
    </row>
    <row r="915" spans="1:25" x14ac:dyDescent="0.25">
      <c r="A915" t="s">
        <v>67</v>
      </c>
      <c r="B915" t="s">
        <v>69</v>
      </c>
      <c r="C915">
        <v>10</v>
      </c>
      <c r="D915" t="s">
        <v>124</v>
      </c>
      <c r="E915" t="s">
        <v>79</v>
      </c>
      <c r="F915" t="s">
        <v>80</v>
      </c>
      <c r="G915">
        <v>0.84784187734205496</v>
      </c>
      <c r="H915">
        <v>2E+20</v>
      </c>
      <c r="I915">
        <v>0.84784187734205496</v>
      </c>
      <c r="J915">
        <v>0.84784187734205496</v>
      </c>
      <c r="K915">
        <v>1</v>
      </c>
      <c r="L915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17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0.84205960461850793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0.51184062690283305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1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0.51184062690283305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1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1</v>
      </c>
      <c r="W915" s="5">
        <f>IF((DiscreteStatsTable[[#This Row],[RepsRequested]]&gt;1),DiscreteStatsTable[[#This Row],[HalfWidth]],DiscreteStatsTable[[#This Row],[BatchMeansHalfWidth]])</f>
        <v>7.1953433013555584E-2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17</v>
      </c>
      <c r="Y915" s="5">
        <f>IF(DiscreteStatsTable[[#This Row],[RepsRequested]]=DiscreteStatsTable[[#This Row],[RepsWithStatObserved]],1,0)</f>
        <v>1</v>
      </c>
    </row>
    <row r="916" spans="1:25" x14ac:dyDescent="0.25">
      <c r="A916" t="s">
        <v>67</v>
      </c>
      <c r="B916" t="s">
        <v>69</v>
      </c>
      <c r="C916">
        <v>11</v>
      </c>
      <c r="D916" t="s">
        <v>124</v>
      </c>
      <c r="E916" t="s">
        <v>79</v>
      </c>
      <c r="F916" t="s">
        <v>80</v>
      </c>
      <c r="G916">
        <v>0.678702873564072</v>
      </c>
      <c r="H916">
        <v>2E+20</v>
      </c>
      <c r="I916">
        <v>0.678702873564072</v>
      </c>
      <c r="J916">
        <v>0.678702873564072</v>
      </c>
      <c r="K916">
        <v>1</v>
      </c>
      <c r="L916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17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0.84205960461850793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0.51184062690283305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1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0.51184062690283305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1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1</v>
      </c>
      <c r="W916" s="5">
        <f>IF((DiscreteStatsTable[[#This Row],[RepsRequested]]&gt;1),DiscreteStatsTable[[#This Row],[HalfWidth]],DiscreteStatsTable[[#This Row],[BatchMeansHalfWidth]])</f>
        <v>7.1953433013555584E-2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17</v>
      </c>
      <c r="Y916" s="5">
        <f>IF(DiscreteStatsTable[[#This Row],[RepsRequested]]=DiscreteStatsTable[[#This Row],[RepsWithStatObserved]],1,0)</f>
        <v>1</v>
      </c>
    </row>
    <row r="917" spans="1:25" x14ac:dyDescent="0.25">
      <c r="A917" t="s">
        <v>67</v>
      </c>
      <c r="B917" t="s">
        <v>69</v>
      </c>
      <c r="C917">
        <v>12</v>
      </c>
      <c r="D917" t="s">
        <v>124</v>
      </c>
      <c r="E917" t="s">
        <v>79</v>
      </c>
      <c r="F917" t="s">
        <v>80</v>
      </c>
      <c r="G917">
        <v>1</v>
      </c>
      <c r="H917">
        <v>2E+20</v>
      </c>
      <c r="I917">
        <v>1</v>
      </c>
      <c r="J917">
        <v>1</v>
      </c>
      <c r="K917">
        <v>1</v>
      </c>
      <c r="L917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17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0.84205960461850793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0.51184062690283305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1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0.51184062690283305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1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1</v>
      </c>
      <c r="W917" s="5">
        <f>IF((DiscreteStatsTable[[#This Row],[RepsRequested]]&gt;1),DiscreteStatsTable[[#This Row],[HalfWidth]],DiscreteStatsTable[[#This Row],[BatchMeansHalfWidth]])</f>
        <v>7.1953433013555584E-2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17</v>
      </c>
      <c r="Y917" s="5">
        <f>IF(DiscreteStatsTable[[#This Row],[RepsRequested]]=DiscreteStatsTable[[#This Row],[RepsWithStatObserved]],1,0)</f>
        <v>1</v>
      </c>
    </row>
    <row r="918" spans="1:25" x14ac:dyDescent="0.25">
      <c r="A918" t="s">
        <v>67</v>
      </c>
      <c r="B918" t="s">
        <v>69</v>
      </c>
      <c r="C918">
        <v>13</v>
      </c>
      <c r="D918" t="s">
        <v>124</v>
      </c>
      <c r="E918" t="s">
        <v>79</v>
      </c>
      <c r="F918" t="s">
        <v>80</v>
      </c>
      <c r="G918">
        <v>0.64198644881952704</v>
      </c>
      <c r="H918">
        <v>2E+20</v>
      </c>
      <c r="I918">
        <v>0.64198644881952704</v>
      </c>
      <c r="J918">
        <v>0.64198644881952704</v>
      </c>
      <c r="K918">
        <v>1</v>
      </c>
      <c r="L918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17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0.84205960461850793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0.51184062690283305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1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0.51184062690283305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1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1</v>
      </c>
      <c r="W918" s="5">
        <f>IF((DiscreteStatsTable[[#This Row],[RepsRequested]]&gt;1),DiscreteStatsTable[[#This Row],[HalfWidth]],DiscreteStatsTable[[#This Row],[BatchMeansHalfWidth]])</f>
        <v>7.1953433013555584E-2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17</v>
      </c>
      <c r="Y918" s="5">
        <f>IF(DiscreteStatsTable[[#This Row],[RepsRequested]]=DiscreteStatsTable[[#This Row],[RepsWithStatObserved]],1,0)</f>
        <v>1</v>
      </c>
    </row>
    <row r="919" spans="1:25" x14ac:dyDescent="0.25">
      <c r="A919" t="s">
        <v>67</v>
      </c>
      <c r="B919" t="s">
        <v>69</v>
      </c>
      <c r="C919">
        <v>14</v>
      </c>
      <c r="D919" t="s">
        <v>124</v>
      </c>
      <c r="E919" t="s">
        <v>79</v>
      </c>
      <c r="F919" t="s">
        <v>80</v>
      </c>
      <c r="G919">
        <v>0.90131701938268205</v>
      </c>
      <c r="H919">
        <v>2E+20</v>
      </c>
      <c r="I919">
        <v>0.90131701938268205</v>
      </c>
      <c r="J919">
        <v>0.90131701938268205</v>
      </c>
      <c r="K919">
        <v>1</v>
      </c>
      <c r="L919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17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0.84205960461850793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0.51184062690283305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1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0.51184062690283305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1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1</v>
      </c>
      <c r="W919" s="5">
        <f>IF((DiscreteStatsTable[[#This Row],[RepsRequested]]&gt;1),DiscreteStatsTable[[#This Row],[HalfWidth]],DiscreteStatsTable[[#This Row],[BatchMeansHalfWidth]])</f>
        <v>7.1953433013555584E-2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17</v>
      </c>
      <c r="Y919" s="5">
        <f>IF(DiscreteStatsTable[[#This Row],[RepsRequested]]=DiscreteStatsTable[[#This Row],[RepsWithStatObserved]],1,0)</f>
        <v>1</v>
      </c>
    </row>
    <row r="920" spans="1:25" x14ac:dyDescent="0.25">
      <c r="A920" t="s">
        <v>67</v>
      </c>
      <c r="B920" t="s">
        <v>69</v>
      </c>
      <c r="C920">
        <v>15</v>
      </c>
      <c r="D920" t="s">
        <v>124</v>
      </c>
      <c r="E920" t="s">
        <v>79</v>
      </c>
      <c r="F920" t="s">
        <v>80</v>
      </c>
      <c r="G920">
        <v>0.85592764730396897</v>
      </c>
      <c r="H920">
        <v>2E+20</v>
      </c>
      <c r="I920">
        <v>0.85592764730396897</v>
      </c>
      <c r="J920">
        <v>0.85592764730396897</v>
      </c>
      <c r="K920">
        <v>1</v>
      </c>
      <c r="L920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17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0.84205960461850793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0.51184062690283305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1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0.51184062690283305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1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1</v>
      </c>
      <c r="W920" s="5">
        <f>IF((DiscreteStatsTable[[#This Row],[RepsRequested]]&gt;1),DiscreteStatsTable[[#This Row],[HalfWidth]],DiscreteStatsTable[[#This Row],[BatchMeansHalfWidth]])</f>
        <v>7.1953433013555584E-2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17</v>
      </c>
      <c r="Y920" s="5">
        <f>IF(DiscreteStatsTable[[#This Row],[RepsRequested]]=DiscreteStatsTable[[#This Row],[RepsWithStatObserved]],1,0)</f>
        <v>1</v>
      </c>
    </row>
    <row r="921" spans="1:25" x14ac:dyDescent="0.25">
      <c r="A921" t="s">
        <v>67</v>
      </c>
      <c r="B921" t="s">
        <v>69</v>
      </c>
      <c r="C921">
        <v>16</v>
      </c>
      <c r="D921" t="s">
        <v>124</v>
      </c>
      <c r="E921" t="s">
        <v>79</v>
      </c>
      <c r="F921" t="s">
        <v>80</v>
      </c>
      <c r="G921">
        <v>0.89678624701043097</v>
      </c>
      <c r="H921">
        <v>2E+20</v>
      </c>
      <c r="I921">
        <v>0.89678624701043097</v>
      </c>
      <c r="J921">
        <v>0.89678624701043097</v>
      </c>
      <c r="K921">
        <v>1</v>
      </c>
      <c r="L921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17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0.84205960461850793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0.51184062690283305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1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0.51184062690283305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1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1</v>
      </c>
      <c r="W921" s="5">
        <f>IF((DiscreteStatsTable[[#This Row],[RepsRequested]]&gt;1),DiscreteStatsTable[[#This Row],[HalfWidth]],DiscreteStatsTable[[#This Row],[BatchMeansHalfWidth]])</f>
        <v>7.1953433013555584E-2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17</v>
      </c>
      <c r="Y921" s="5">
        <f>IF(DiscreteStatsTable[[#This Row],[RepsRequested]]=DiscreteStatsTable[[#This Row],[RepsWithStatObserved]],1,0)</f>
        <v>1</v>
      </c>
    </row>
    <row r="922" spans="1:25" x14ac:dyDescent="0.25">
      <c r="A922" t="s">
        <v>67</v>
      </c>
      <c r="B922" t="s">
        <v>69</v>
      </c>
      <c r="C922">
        <v>17</v>
      </c>
      <c r="D922" t="s">
        <v>124</v>
      </c>
      <c r="E922" t="s">
        <v>79</v>
      </c>
      <c r="F922" t="s">
        <v>80</v>
      </c>
      <c r="G922">
        <v>0.82430725509599601</v>
      </c>
      <c r="H922">
        <v>2E+20</v>
      </c>
      <c r="I922">
        <v>0.82430725509599601</v>
      </c>
      <c r="J922">
        <v>0.82430725509599601</v>
      </c>
      <c r="K922">
        <v>1</v>
      </c>
      <c r="L922" s="5" t="str">
        <f>DiscreteStatsTable[[#This Row],[ProjectName]]&amp;DiscreteStatsTable[[#This Row],[Name]]&amp;DiscreteStatsTable[[#This Row],[Type]]&amp;DiscreteStatsTable[[#This Row],[Source]]</f>
        <v>Weekend (base)UtilizacionCocinaH1ExpressionUser Specified</v>
      </c>
      <c r="M922" s="5" cm="1">
        <f t="array" ref="M922">MAX(IF((ProjectInfoTable[ProjectName]=DiscreteStatsTable[[#This Row],[ProjectName]]),(ProjectInfoTable[ProjectName]=DiscreteStatsTable[[#This Row],[ProjectName]])*ProjectInfoTable[NumberOfReplications]))</f>
        <v>17</v>
      </c>
      <c r="N922" s="5" cm="1">
        <f t="array" ref="N922">IFERROR(AVERAGE(IF((DiscreteStatsTable[GroupByKey]=DiscreteStatsTable[[#This Row],[GroupByKey]]),(DiscreteStatsTable[GroupByKey]=DiscreteStatsTable[[#This Row],[GroupByKey]])*DiscreteStatsTable[Average])),0)</f>
        <v>0.84205960461850793</v>
      </c>
      <c r="O922" s="5" cm="1">
        <f t="array" ref="O922">IFERROR(_xlfn.STDEV.S(IF((DiscreteStatsTable[GroupByKey]=DiscreteStatsTable[[#This Row],[GroupByKey]]),(DiscreteStatsTable[GroupByKey]=DiscreteStatsTable[[#This Row],[GroupByKey]])*DiscreteStatsTable[Average])),0)</f>
        <v>0.13994568745579178</v>
      </c>
      <c r="P922" s="5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 s="5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7.1953433013555584E-2</v>
      </c>
      <c r="R922" s="5" cm="1">
        <f t="array" ref="R922">MIN(IF((DiscreteStatsTable[GroupByKey]=DiscreteStatsTable[[#This Row],[GroupByKey]]),(DiscreteStatsTable[GroupByKey]=DiscreteStatsTable[[#This Row],[GroupByKey]])*DiscreteStatsTable[Average]))</f>
        <v>0.51184062690283305</v>
      </c>
      <c r="S922" s="5" cm="1">
        <f t="array" ref="S922">MAX(IF((DiscreteStatsTable[GroupByKey]=DiscreteStatsTable[[#This Row],[GroupByKey]]),(DiscreteStatsTable[GroupByKey]=DiscreteStatsTable[[#This Row],[GroupByKey]])*DiscreteStatsTable[Average]))</f>
        <v>1</v>
      </c>
      <c r="T922" s="5" cm="1">
        <f t="array" ref="T922">MIN(IF((DiscreteStatsTable[GroupByKey]=DiscreteStatsTable[[#This Row],[GroupByKey]]),(DiscreteStatsTable[GroupByKey]=DiscreteStatsTable[[#This Row],[GroupByKey]])*DiscreteStatsTable[Minimum]))</f>
        <v>0.51184062690283305</v>
      </c>
      <c r="U922" s="5" cm="1">
        <f t="array" ref="U922">MAX(IF((DiscreteStatsTable[GroupByKey]=DiscreteStatsTable[[#This Row],[GroupByKey]]),(DiscreteStatsTable[GroupByKey]=DiscreteStatsTable[[#This Row],[GroupByKey]])*DiscreteStatsTable[Maximum]))</f>
        <v>1</v>
      </c>
      <c r="V922" s="5" cm="1">
        <f t="array" ref="V922">IFERROR(AVERAGE(IF((DiscreteStatsTable[GroupByKey]=DiscreteStatsTable[[#This Row],[GroupByKey]]),(DiscreteStatsTable[GroupByKey]=DiscreteStatsTable[[#This Row],[GroupByKey]])*DiscreteStatsTable[NumberObservations])),0)</f>
        <v>1</v>
      </c>
      <c r="W922" s="5">
        <f>IF((DiscreteStatsTable[[#This Row],[RepsRequested]]&gt;1),DiscreteStatsTable[[#This Row],[HalfWidth]],DiscreteStatsTable[[#This Row],[BatchMeansHalfWidth]])</f>
        <v>7.1953433013555584E-2</v>
      </c>
      <c r="X922" s="5" cm="1">
        <f t="array" ref="X922">COUNT(IF((DiscreteStatsTable[GroupByKey]=DiscreteStatsTable[[#This Row],[GroupByKey]]),(DiscreteStatsTable[GroupByKey]=DiscreteStatsTable[[#This Row],[GroupByKey]])*DiscreteStatsTable[Replication]))</f>
        <v>17</v>
      </c>
      <c r="Y922" s="5">
        <f>IF(DiscreteStatsTable[[#This Row],[RepsRequested]]=DiscreteStatsTable[[#This Row],[RepsWithStatObserved]],1,0)</f>
        <v>1</v>
      </c>
    </row>
    <row r="923" spans="1:25" x14ac:dyDescent="0.25">
      <c r="A923" t="s">
        <v>67</v>
      </c>
      <c r="B923" t="s">
        <v>69</v>
      </c>
      <c r="C923">
        <v>1</v>
      </c>
      <c r="D923" t="s">
        <v>125</v>
      </c>
      <c r="E923" t="s">
        <v>79</v>
      </c>
      <c r="F923" t="s">
        <v>80</v>
      </c>
      <c r="G923">
        <v>0.85293978788318203</v>
      </c>
      <c r="H923">
        <v>2E+20</v>
      </c>
      <c r="I923">
        <v>0.85293978788318203</v>
      </c>
      <c r="J923">
        <v>0.85293978788318203</v>
      </c>
      <c r="K923">
        <v>1</v>
      </c>
      <c r="L923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23" s="5" cm="1">
        <f t="array" ref="M923">MAX(IF((ProjectInfoTable[ProjectName]=DiscreteStatsTable[[#This Row],[ProjectName]]),(ProjectInfoTable[ProjectName]=DiscreteStatsTable[[#This Row],[ProjectName]])*ProjectInfoTable[NumberOfReplications]))</f>
        <v>17</v>
      </c>
      <c r="N923" s="5" cm="1">
        <f t="array" ref="N923">IFERROR(AVERAGE(IF((DiscreteStatsTable[GroupByKey]=DiscreteStatsTable[[#This Row],[GroupByKey]]),(DiscreteStatsTable[GroupByKey]=DiscreteStatsTable[[#This Row],[GroupByKey]])*DiscreteStatsTable[Average])),0)</f>
        <v>0.82690040692096956</v>
      </c>
      <c r="O923" s="5" cm="1">
        <f t="array" ref="O923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23" s="5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 s="5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23" s="5" cm="1">
        <f t="array" ref="R923">MIN(IF((DiscreteStatsTable[GroupByKey]=DiscreteStatsTable[[#This Row],[GroupByKey]]),(DiscreteStatsTable[GroupByKey]=DiscreteStatsTable[[#This Row],[GroupByKey]])*DiscreteStatsTable[Average]))</f>
        <v>0.67389585758374404</v>
      </c>
      <c r="S923" s="5" cm="1">
        <f t="array" ref="S923">MAX(IF((DiscreteStatsTable[GroupByKey]=DiscreteStatsTable[[#This Row],[GroupByKey]]),(DiscreteStatsTable[GroupByKey]=DiscreteStatsTable[[#This Row],[GroupByKey]])*DiscreteStatsTable[Average]))</f>
        <v>0.98352716210802005</v>
      </c>
      <c r="T923" s="5" cm="1">
        <f t="array" ref="T923">MIN(IF((DiscreteStatsTable[GroupByKey]=DiscreteStatsTable[[#This Row],[GroupByKey]]),(DiscreteStatsTable[GroupByKey]=DiscreteStatsTable[[#This Row],[GroupByKey]])*DiscreteStatsTable[Minimum]))</f>
        <v>0.67389585758374404</v>
      </c>
      <c r="U923" s="5" cm="1">
        <f t="array" ref="U923">MAX(IF((DiscreteStatsTable[GroupByKey]=DiscreteStatsTable[[#This Row],[GroupByKey]]),(DiscreteStatsTable[GroupByKey]=DiscreteStatsTable[[#This Row],[GroupByKey]])*DiscreteStatsTable[Maximum]))</f>
        <v>0.98352716210802005</v>
      </c>
      <c r="V923" s="5" cm="1">
        <f t="array" ref="V923">IFERROR(AVERAGE(IF((DiscreteStatsTable[GroupByKey]=DiscreteStatsTable[[#This Row],[GroupByKey]]),(DiscreteStatsTable[GroupByKey]=DiscreteStatsTable[[#This Row],[GroupByKey]])*DiscreteStatsTable[NumberObservations])),0)</f>
        <v>1</v>
      </c>
      <c r="W923" s="5">
        <f>IF((DiscreteStatsTable[[#This Row],[RepsRequested]]&gt;1),DiscreteStatsTable[[#This Row],[HalfWidth]],DiscreteStatsTable[[#This Row],[BatchMeansHalfWidth]])</f>
        <v>5.041222060568018E-2</v>
      </c>
      <c r="X923" s="5" cm="1">
        <f t="array" ref="X923">COUNT(IF((DiscreteStatsTable[GroupByKey]=DiscreteStatsTable[[#This Row],[GroupByKey]]),(DiscreteStatsTable[GroupByKey]=DiscreteStatsTable[[#This Row],[GroupByKey]])*DiscreteStatsTable[Replication]))</f>
        <v>17</v>
      </c>
      <c r="Y923" s="5">
        <f>IF(DiscreteStatsTable[[#This Row],[RepsRequested]]=DiscreteStatsTable[[#This Row],[RepsWithStatObserved]],1,0)</f>
        <v>1</v>
      </c>
    </row>
    <row r="924" spans="1:25" x14ac:dyDescent="0.25">
      <c r="A924" t="s">
        <v>67</v>
      </c>
      <c r="B924" t="s">
        <v>69</v>
      </c>
      <c r="C924">
        <v>2</v>
      </c>
      <c r="D924" t="s">
        <v>125</v>
      </c>
      <c r="E924" t="s">
        <v>79</v>
      </c>
      <c r="F924" t="s">
        <v>80</v>
      </c>
      <c r="G924">
        <v>0.68159295243940798</v>
      </c>
      <c r="H924">
        <v>2E+20</v>
      </c>
      <c r="I924">
        <v>0.68159295243940798</v>
      </c>
      <c r="J924">
        <v>0.68159295243940798</v>
      </c>
      <c r="K924">
        <v>1</v>
      </c>
      <c r="L924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24" s="5" cm="1">
        <f t="array" ref="M924">MAX(IF((ProjectInfoTable[ProjectName]=DiscreteStatsTable[[#This Row],[ProjectName]]),(ProjectInfoTable[ProjectName]=DiscreteStatsTable[[#This Row],[ProjectName]])*ProjectInfoTable[NumberOfReplications]))</f>
        <v>17</v>
      </c>
      <c r="N924" s="5" cm="1">
        <f t="array" ref="N924">IFERROR(AVERAGE(IF((DiscreteStatsTable[GroupByKey]=DiscreteStatsTable[[#This Row],[GroupByKey]]),(DiscreteStatsTable[GroupByKey]=DiscreteStatsTable[[#This Row],[GroupByKey]])*DiscreteStatsTable[Average])),0)</f>
        <v>0.82690040692096956</v>
      </c>
      <c r="O924" s="5" cm="1">
        <f t="array" ref="O924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24" s="5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 s="5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24" s="5" cm="1">
        <f t="array" ref="R924">MIN(IF((DiscreteStatsTable[GroupByKey]=DiscreteStatsTable[[#This Row],[GroupByKey]]),(DiscreteStatsTable[GroupByKey]=DiscreteStatsTable[[#This Row],[GroupByKey]])*DiscreteStatsTable[Average]))</f>
        <v>0.67389585758374404</v>
      </c>
      <c r="S924" s="5" cm="1">
        <f t="array" ref="S924">MAX(IF((DiscreteStatsTable[GroupByKey]=DiscreteStatsTable[[#This Row],[GroupByKey]]),(DiscreteStatsTable[GroupByKey]=DiscreteStatsTable[[#This Row],[GroupByKey]])*DiscreteStatsTable[Average]))</f>
        <v>0.98352716210802005</v>
      </c>
      <c r="T924" s="5" cm="1">
        <f t="array" ref="T924">MIN(IF((DiscreteStatsTable[GroupByKey]=DiscreteStatsTable[[#This Row],[GroupByKey]]),(DiscreteStatsTable[GroupByKey]=DiscreteStatsTable[[#This Row],[GroupByKey]])*DiscreteStatsTable[Minimum]))</f>
        <v>0.67389585758374404</v>
      </c>
      <c r="U924" s="5" cm="1">
        <f t="array" ref="U924">MAX(IF((DiscreteStatsTable[GroupByKey]=DiscreteStatsTable[[#This Row],[GroupByKey]]),(DiscreteStatsTable[GroupByKey]=DiscreteStatsTable[[#This Row],[GroupByKey]])*DiscreteStatsTable[Maximum]))</f>
        <v>0.98352716210802005</v>
      </c>
      <c r="V924" s="5" cm="1">
        <f t="array" ref="V924">IFERROR(AVERAGE(IF((DiscreteStatsTable[GroupByKey]=DiscreteStatsTable[[#This Row],[GroupByKey]]),(DiscreteStatsTable[GroupByKey]=DiscreteStatsTable[[#This Row],[GroupByKey]])*DiscreteStatsTable[NumberObservations])),0)</f>
        <v>1</v>
      </c>
      <c r="W924" s="5">
        <f>IF((DiscreteStatsTable[[#This Row],[RepsRequested]]&gt;1),DiscreteStatsTable[[#This Row],[HalfWidth]],DiscreteStatsTable[[#This Row],[BatchMeansHalfWidth]])</f>
        <v>5.041222060568018E-2</v>
      </c>
      <c r="X924" s="5" cm="1">
        <f t="array" ref="X924">COUNT(IF((DiscreteStatsTable[GroupByKey]=DiscreteStatsTable[[#This Row],[GroupByKey]]),(DiscreteStatsTable[GroupByKey]=DiscreteStatsTable[[#This Row],[GroupByKey]])*DiscreteStatsTable[Replication]))</f>
        <v>17</v>
      </c>
      <c r="Y924" s="5">
        <f>IF(DiscreteStatsTable[[#This Row],[RepsRequested]]=DiscreteStatsTable[[#This Row],[RepsWithStatObserved]],1,0)</f>
        <v>1</v>
      </c>
    </row>
    <row r="925" spans="1:25" x14ac:dyDescent="0.25">
      <c r="A925" t="s">
        <v>67</v>
      </c>
      <c r="B925" t="s">
        <v>69</v>
      </c>
      <c r="C925">
        <v>3</v>
      </c>
      <c r="D925" t="s">
        <v>125</v>
      </c>
      <c r="E925" t="s">
        <v>79</v>
      </c>
      <c r="F925" t="s">
        <v>80</v>
      </c>
      <c r="G925">
        <v>0.96057590888513</v>
      </c>
      <c r="H925">
        <v>2E+20</v>
      </c>
      <c r="I925">
        <v>0.96057590888513</v>
      </c>
      <c r="J925">
        <v>0.96057590888513</v>
      </c>
      <c r="K925">
        <v>1</v>
      </c>
      <c r="L925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25" s="5" cm="1">
        <f t="array" ref="M925">MAX(IF((ProjectInfoTable[ProjectName]=DiscreteStatsTable[[#This Row],[ProjectName]]),(ProjectInfoTable[ProjectName]=DiscreteStatsTable[[#This Row],[ProjectName]])*ProjectInfoTable[NumberOfReplications]))</f>
        <v>17</v>
      </c>
      <c r="N925" s="5" cm="1">
        <f t="array" ref="N925">IFERROR(AVERAGE(IF((DiscreteStatsTable[GroupByKey]=DiscreteStatsTable[[#This Row],[GroupByKey]]),(DiscreteStatsTable[GroupByKey]=DiscreteStatsTable[[#This Row],[GroupByKey]])*DiscreteStatsTable[Average])),0)</f>
        <v>0.82690040692096956</v>
      </c>
      <c r="O925" s="5" cm="1">
        <f t="array" ref="O925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25" s="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 s="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25" s="5" cm="1">
        <f t="array" ref="R925">MIN(IF((DiscreteStatsTable[GroupByKey]=DiscreteStatsTable[[#This Row],[GroupByKey]]),(DiscreteStatsTable[GroupByKey]=DiscreteStatsTable[[#This Row],[GroupByKey]])*DiscreteStatsTable[Average]))</f>
        <v>0.67389585758374404</v>
      </c>
      <c r="S925" s="5" cm="1">
        <f t="array" ref="S925">MAX(IF((DiscreteStatsTable[GroupByKey]=DiscreteStatsTable[[#This Row],[GroupByKey]]),(DiscreteStatsTable[GroupByKey]=DiscreteStatsTable[[#This Row],[GroupByKey]])*DiscreteStatsTable[Average]))</f>
        <v>0.98352716210802005</v>
      </c>
      <c r="T925" s="5" cm="1">
        <f t="array" ref="T925">MIN(IF((DiscreteStatsTable[GroupByKey]=DiscreteStatsTable[[#This Row],[GroupByKey]]),(DiscreteStatsTable[GroupByKey]=DiscreteStatsTable[[#This Row],[GroupByKey]])*DiscreteStatsTable[Minimum]))</f>
        <v>0.67389585758374404</v>
      </c>
      <c r="U925" s="5" cm="1">
        <f t="array" ref="U925">MAX(IF((DiscreteStatsTable[GroupByKey]=DiscreteStatsTable[[#This Row],[GroupByKey]]),(DiscreteStatsTable[GroupByKey]=DiscreteStatsTable[[#This Row],[GroupByKey]])*DiscreteStatsTable[Maximum]))</f>
        <v>0.98352716210802005</v>
      </c>
      <c r="V925" s="5" cm="1">
        <f t="array" ref="V925">IFERROR(AVERAGE(IF((DiscreteStatsTable[GroupByKey]=DiscreteStatsTable[[#This Row],[GroupByKey]]),(DiscreteStatsTable[GroupByKey]=DiscreteStatsTable[[#This Row],[GroupByKey]])*DiscreteStatsTable[NumberObservations])),0)</f>
        <v>1</v>
      </c>
      <c r="W925" s="5">
        <f>IF((DiscreteStatsTable[[#This Row],[RepsRequested]]&gt;1),DiscreteStatsTable[[#This Row],[HalfWidth]],DiscreteStatsTable[[#This Row],[BatchMeansHalfWidth]])</f>
        <v>5.041222060568018E-2</v>
      </c>
      <c r="X925" s="5" cm="1">
        <f t="array" ref="X925">COUNT(IF((DiscreteStatsTable[GroupByKey]=DiscreteStatsTable[[#This Row],[GroupByKey]]),(DiscreteStatsTable[GroupByKey]=DiscreteStatsTable[[#This Row],[GroupByKey]])*DiscreteStatsTable[Replication]))</f>
        <v>17</v>
      </c>
      <c r="Y925" s="5">
        <f>IF(DiscreteStatsTable[[#This Row],[RepsRequested]]=DiscreteStatsTable[[#This Row],[RepsWithStatObserved]],1,0)</f>
        <v>1</v>
      </c>
    </row>
    <row r="926" spans="1:25" x14ac:dyDescent="0.25">
      <c r="A926" t="s">
        <v>67</v>
      </c>
      <c r="B926" t="s">
        <v>69</v>
      </c>
      <c r="C926">
        <v>4</v>
      </c>
      <c r="D926" t="s">
        <v>125</v>
      </c>
      <c r="E926" t="s">
        <v>79</v>
      </c>
      <c r="F926" t="s">
        <v>80</v>
      </c>
      <c r="G926">
        <v>0.98352716210802005</v>
      </c>
      <c r="H926">
        <v>2E+20</v>
      </c>
      <c r="I926">
        <v>0.98352716210802005</v>
      </c>
      <c r="J926">
        <v>0.98352716210802005</v>
      </c>
      <c r="K926">
        <v>1</v>
      </c>
      <c r="L926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26" s="5" cm="1">
        <f t="array" ref="M926">MAX(IF((ProjectInfoTable[ProjectName]=DiscreteStatsTable[[#This Row],[ProjectName]]),(ProjectInfoTable[ProjectName]=DiscreteStatsTable[[#This Row],[ProjectName]])*ProjectInfoTable[NumberOfReplications]))</f>
        <v>17</v>
      </c>
      <c r="N926" s="5" cm="1">
        <f t="array" ref="N926">IFERROR(AVERAGE(IF((DiscreteStatsTable[GroupByKey]=DiscreteStatsTable[[#This Row],[GroupByKey]]),(DiscreteStatsTable[GroupByKey]=DiscreteStatsTable[[#This Row],[GroupByKey]])*DiscreteStatsTable[Average])),0)</f>
        <v>0.82690040692096956</v>
      </c>
      <c r="O926" s="5" cm="1">
        <f t="array" ref="O926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26" s="5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 s="5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26" s="5" cm="1">
        <f t="array" ref="R926">MIN(IF((DiscreteStatsTable[GroupByKey]=DiscreteStatsTable[[#This Row],[GroupByKey]]),(DiscreteStatsTable[GroupByKey]=DiscreteStatsTable[[#This Row],[GroupByKey]])*DiscreteStatsTable[Average]))</f>
        <v>0.67389585758374404</v>
      </c>
      <c r="S926" s="5" cm="1">
        <f t="array" ref="S926">MAX(IF((DiscreteStatsTable[GroupByKey]=DiscreteStatsTable[[#This Row],[GroupByKey]]),(DiscreteStatsTable[GroupByKey]=DiscreteStatsTable[[#This Row],[GroupByKey]])*DiscreteStatsTable[Average]))</f>
        <v>0.98352716210802005</v>
      </c>
      <c r="T926" s="5" cm="1">
        <f t="array" ref="T926">MIN(IF((DiscreteStatsTable[GroupByKey]=DiscreteStatsTable[[#This Row],[GroupByKey]]),(DiscreteStatsTable[GroupByKey]=DiscreteStatsTable[[#This Row],[GroupByKey]])*DiscreteStatsTable[Minimum]))</f>
        <v>0.67389585758374404</v>
      </c>
      <c r="U926" s="5" cm="1">
        <f t="array" ref="U926">MAX(IF((DiscreteStatsTable[GroupByKey]=DiscreteStatsTable[[#This Row],[GroupByKey]]),(DiscreteStatsTable[GroupByKey]=DiscreteStatsTable[[#This Row],[GroupByKey]])*DiscreteStatsTable[Maximum]))</f>
        <v>0.98352716210802005</v>
      </c>
      <c r="V926" s="5" cm="1">
        <f t="array" ref="V926">IFERROR(AVERAGE(IF((DiscreteStatsTable[GroupByKey]=DiscreteStatsTable[[#This Row],[GroupByKey]]),(DiscreteStatsTable[GroupByKey]=DiscreteStatsTable[[#This Row],[GroupByKey]])*DiscreteStatsTable[NumberObservations])),0)</f>
        <v>1</v>
      </c>
      <c r="W926" s="5">
        <f>IF((DiscreteStatsTable[[#This Row],[RepsRequested]]&gt;1),DiscreteStatsTable[[#This Row],[HalfWidth]],DiscreteStatsTable[[#This Row],[BatchMeansHalfWidth]])</f>
        <v>5.041222060568018E-2</v>
      </c>
      <c r="X926" s="5" cm="1">
        <f t="array" ref="X926">COUNT(IF((DiscreteStatsTable[GroupByKey]=DiscreteStatsTable[[#This Row],[GroupByKey]]),(DiscreteStatsTable[GroupByKey]=DiscreteStatsTable[[#This Row],[GroupByKey]])*DiscreteStatsTable[Replication]))</f>
        <v>17</v>
      </c>
      <c r="Y926" s="5">
        <f>IF(DiscreteStatsTable[[#This Row],[RepsRequested]]=DiscreteStatsTable[[#This Row],[RepsWithStatObserved]],1,0)</f>
        <v>1</v>
      </c>
    </row>
    <row r="927" spans="1:25" x14ac:dyDescent="0.25">
      <c r="A927" t="s">
        <v>67</v>
      </c>
      <c r="B927" t="s">
        <v>69</v>
      </c>
      <c r="C927">
        <v>5</v>
      </c>
      <c r="D927" t="s">
        <v>125</v>
      </c>
      <c r="E927" t="s">
        <v>79</v>
      </c>
      <c r="F927" t="s">
        <v>80</v>
      </c>
      <c r="G927">
        <v>0.67389585758374404</v>
      </c>
      <c r="H927">
        <v>2E+20</v>
      </c>
      <c r="I927">
        <v>0.67389585758374404</v>
      </c>
      <c r="J927">
        <v>0.67389585758374404</v>
      </c>
      <c r="K927">
        <v>1</v>
      </c>
      <c r="L927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27" s="5" cm="1">
        <f t="array" ref="M927">MAX(IF((ProjectInfoTable[ProjectName]=DiscreteStatsTable[[#This Row],[ProjectName]]),(ProjectInfoTable[ProjectName]=DiscreteStatsTable[[#This Row],[ProjectName]])*ProjectInfoTable[NumberOfReplications]))</f>
        <v>17</v>
      </c>
      <c r="N927" s="5" cm="1">
        <f t="array" ref="N927">IFERROR(AVERAGE(IF((DiscreteStatsTable[GroupByKey]=DiscreteStatsTable[[#This Row],[GroupByKey]]),(DiscreteStatsTable[GroupByKey]=DiscreteStatsTable[[#This Row],[GroupByKey]])*DiscreteStatsTable[Average])),0)</f>
        <v>0.82690040692096956</v>
      </c>
      <c r="O927" s="5" cm="1">
        <f t="array" ref="O927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27" s="5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 s="5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27" s="5" cm="1">
        <f t="array" ref="R927">MIN(IF((DiscreteStatsTable[GroupByKey]=DiscreteStatsTable[[#This Row],[GroupByKey]]),(DiscreteStatsTable[GroupByKey]=DiscreteStatsTable[[#This Row],[GroupByKey]])*DiscreteStatsTable[Average]))</f>
        <v>0.67389585758374404</v>
      </c>
      <c r="S927" s="5" cm="1">
        <f t="array" ref="S927">MAX(IF((DiscreteStatsTable[GroupByKey]=DiscreteStatsTable[[#This Row],[GroupByKey]]),(DiscreteStatsTable[GroupByKey]=DiscreteStatsTable[[#This Row],[GroupByKey]])*DiscreteStatsTable[Average]))</f>
        <v>0.98352716210802005</v>
      </c>
      <c r="T927" s="5" cm="1">
        <f t="array" ref="T927">MIN(IF((DiscreteStatsTable[GroupByKey]=DiscreteStatsTable[[#This Row],[GroupByKey]]),(DiscreteStatsTable[GroupByKey]=DiscreteStatsTable[[#This Row],[GroupByKey]])*DiscreteStatsTable[Minimum]))</f>
        <v>0.67389585758374404</v>
      </c>
      <c r="U927" s="5" cm="1">
        <f t="array" ref="U927">MAX(IF((DiscreteStatsTable[GroupByKey]=DiscreteStatsTable[[#This Row],[GroupByKey]]),(DiscreteStatsTable[GroupByKey]=DiscreteStatsTable[[#This Row],[GroupByKey]])*DiscreteStatsTable[Maximum]))</f>
        <v>0.98352716210802005</v>
      </c>
      <c r="V927" s="5" cm="1">
        <f t="array" ref="V927">IFERROR(AVERAGE(IF((DiscreteStatsTable[GroupByKey]=DiscreteStatsTable[[#This Row],[GroupByKey]]),(DiscreteStatsTable[GroupByKey]=DiscreteStatsTable[[#This Row],[GroupByKey]])*DiscreteStatsTable[NumberObservations])),0)</f>
        <v>1</v>
      </c>
      <c r="W927" s="5">
        <f>IF((DiscreteStatsTable[[#This Row],[RepsRequested]]&gt;1),DiscreteStatsTable[[#This Row],[HalfWidth]],DiscreteStatsTable[[#This Row],[BatchMeansHalfWidth]])</f>
        <v>5.041222060568018E-2</v>
      </c>
      <c r="X927" s="5" cm="1">
        <f t="array" ref="X927">COUNT(IF((DiscreteStatsTable[GroupByKey]=DiscreteStatsTable[[#This Row],[GroupByKey]]),(DiscreteStatsTable[GroupByKey]=DiscreteStatsTable[[#This Row],[GroupByKey]])*DiscreteStatsTable[Replication]))</f>
        <v>17</v>
      </c>
      <c r="Y927" s="5">
        <f>IF(DiscreteStatsTable[[#This Row],[RepsRequested]]=DiscreteStatsTable[[#This Row],[RepsWithStatObserved]],1,0)</f>
        <v>1</v>
      </c>
    </row>
    <row r="928" spans="1:25" x14ac:dyDescent="0.25">
      <c r="A928" t="s">
        <v>67</v>
      </c>
      <c r="B928" t="s">
        <v>69</v>
      </c>
      <c r="C928">
        <v>6</v>
      </c>
      <c r="D928" t="s">
        <v>125</v>
      </c>
      <c r="E928" t="s">
        <v>79</v>
      </c>
      <c r="F928" t="s">
        <v>80</v>
      </c>
      <c r="G928">
        <v>0.79853810938103598</v>
      </c>
      <c r="H928">
        <v>2E+20</v>
      </c>
      <c r="I928">
        <v>0.79853810938103598</v>
      </c>
      <c r="J928">
        <v>0.79853810938103598</v>
      </c>
      <c r="K928">
        <v>1</v>
      </c>
      <c r="L928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28" s="5" cm="1">
        <f t="array" ref="M928">MAX(IF((ProjectInfoTable[ProjectName]=DiscreteStatsTable[[#This Row],[ProjectName]]),(ProjectInfoTable[ProjectName]=DiscreteStatsTable[[#This Row],[ProjectName]])*ProjectInfoTable[NumberOfReplications]))</f>
        <v>17</v>
      </c>
      <c r="N928" s="5" cm="1">
        <f t="array" ref="N928">IFERROR(AVERAGE(IF((DiscreteStatsTable[GroupByKey]=DiscreteStatsTable[[#This Row],[GroupByKey]]),(DiscreteStatsTable[GroupByKey]=DiscreteStatsTable[[#This Row],[GroupByKey]])*DiscreteStatsTable[Average])),0)</f>
        <v>0.82690040692096956</v>
      </c>
      <c r="O928" s="5" cm="1">
        <f t="array" ref="O928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28" s="5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 s="5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28" s="5" cm="1">
        <f t="array" ref="R928">MIN(IF((DiscreteStatsTable[GroupByKey]=DiscreteStatsTable[[#This Row],[GroupByKey]]),(DiscreteStatsTable[GroupByKey]=DiscreteStatsTable[[#This Row],[GroupByKey]])*DiscreteStatsTable[Average]))</f>
        <v>0.67389585758374404</v>
      </c>
      <c r="S928" s="5" cm="1">
        <f t="array" ref="S928">MAX(IF((DiscreteStatsTable[GroupByKey]=DiscreteStatsTable[[#This Row],[GroupByKey]]),(DiscreteStatsTable[GroupByKey]=DiscreteStatsTable[[#This Row],[GroupByKey]])*DiscreteStatsTable[Average]))</f>
        <v>0.98352716210802005</v>
      </c>
      <c r="T928" s="5" cm="1">
        <f t="array" ref="T928">MIN(IF((DiscreteStatsTable[GroupByKey]=DiscreteStatsTable[[#This Row],[GroupByKey]]),(DiscreteStatsTable[GroupByKey]=DiscreteStatsTable[[#This Row],[GroupByKey]])*DiscreteStatsTable[Minimum]))</f>
        <v>0.67389585758374404</v>
      </c>
      <c r="U928" s="5" cm="1">
        <f t="array" ref="U928">MAX(IF((DiscreteStatsTable[GroupByKey]=DiscreteStatsTable[[#This Row],[GroupByKey]]),(DiscreteStatsTable[GroupByKey]=DiscreteStatsTable[[#This Row],[GroupByKey]])*DiscreteStatsTable[Maximum]))</f>
        <v>0.98352716210802005</v>
      </c>
      <c r="V928" s="5" cm="1">
        <f t="array" ref="V928">IFERROR(AVERAGE(IF((DiscreteStatsTable[GroupByKey]=DiscreteStatsTable[[#This Row],[GroupByKey]]),(DiscreteStatsTable[GroupByKey]=DiscreteStatsTable[[#This Row],[GroupByKey]])*DiscreteStatsTable[NumberObservations])),0)</f>
        <v>1</v>
      </c>
      <c r="W928" s="5">
        <f>IF((DiscreteStatsTable[[#This Row],[RepsRequested]]&gt;1),DiscreteStatsTable[[#This Row],[HalfWidth]],DiscreteStatsTable[[#This Row],[BatchMeansHalfWidth]])</f>
        <v>5.041222060568018E-2</v>
      </c>
      <c r="X928" s="5" cm="1">
        <f t="array" ref="X928">COUNT(IF((DiscreteStatsTable[GroupByKey]=DiscreteStatsTable[[#This Row],[GroupByKey]]),(DiscreteStatsTable[GroupByKey]=DiscreteStatsTable[[#This Row],[GroupByKey]])*DiscreteStatsTable[Replication]))</f>
        <v>17</v>
      </c>
      <c r="Y928" s="5">
        <f>IF(DiscreteStatsTable[[#This Row],[RepsRequested]]=DiscreteStatsTable[[#This Row],[RepsWithStatObserved]],1,0)</f>
        <v>1</v>
      </c>
    </row>
    <row r="929" spans="1:25" x14ac:dyDescent="0.25">
      <c r="A929" t="s">
        <v>67</v>
      </c>
      <c r="B929" t="s">
        <v>69</v>
      </c>
      <c r="C929">
        <v>7</v>
      </c>
      <c r="D929" t="s">
        <v>125</v>
      </c>
      <c r="E929" t="s">
        <v>79</v>
      </c>
      <c r="F929" t="s">
        <v>80</v>
      </c>
      <c r="G929">
        <v>0.81947700361693498</v>
      </c>
      <c r="H929">
        <v>2E+20</v>
      </c>
      <c r="I929">
        <v>0.81947700361693498</v>
      </c>
      <c r="J929">
        <v>0.81947700361693498</v>
      </c>
      <c r="K929">
        <v>1</v>
      </c>
      <c r="L929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29" s="5" cm="1">
        <f t="array" ref="M929">MAX(IF((ProjectInfoTable[ProjectName]=DiscreteStatsTable[[#This Row],[ProjectName]]),(ProjectInfoTable[ProjectName]=DiscreteStatsTable[[#This Row],[ProjectName]])*ProjectInfoTable[NumberOfReplications]))</f>
        <v>17</v>
      </c>
      <c r="N929" s="5" cm="1">
        <f t="array" ref="N929">IFERROR(AVERAGE(IF((DiscreteStatsTable[GroupByKey]=DiscreteStatsTable[[#This Row],[GroupByKey]]),(DiscreteStatsTable[GroupByKey]=DiscreteStatsTable[[#This Row],[GroupByKey]])*DiscreteStatsTable[Average])),0)</f>
        <v>0.82690040692096956</v>
      </c>
      <c r="O929" s="5" cm="1">
        <f t="array" ref="O929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29" s="5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 s="5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29" s="5" cm="1">
        <f t="array" ref="R929">MIN(IF((DiscreteStatsTable[GroupByKey]=DiscreteStatsTable[[#This Row],[GroupByKey]]),(DiscreteStatsTable[GroupByKey]=DiscreteStatsTable[[#This Row],[GroupByKey]])*DiscreteStatsTable[Average]))</f>
        <v>0.67389585758374404</v>
      </c>
      <c r="S929" s="5" cm="1">
        <f t="array" ref="S929">MAX(IF((DiscreteStatsTable[GroupByKey]=DiscreteStatsTable[[#This Row],[GroupByKey]]),(DiscreteStatsTable[GroupByKey]=DiscreteStatsTable[[#This Row],[GroupByKey]])*DiscreteStatsTable[Average]))</f>
        <v>0.98352716210802005</v>
      </c>
      <c r="T929" s="5" cm="1">
        <f t="array" ref="T929">MIN(IF((DiscreteStatsTable[GroupByKey]=DiscreteStatsTable[[#This Row],[GroupByKey]]),(DiscreteStatsTable[GroupByKey]=DiscreteStatsTable[[#This Row],[GroupByKey]])*DiscreteStatsTable[Minimum]))</f>
        <v>0.67389585758374404</v>
      </c>
      <c r="U929" s="5" cm="1">
        <f t="array" ref="U929">MAX(IF((DiscreteStatsTable[GroupByKey]=DiscreteStatsTable[[#This Row],[GroupByKey]]),(DiscreteStatsTable[GroupByKey]=DiscreteStatsTable[[#This Row],[GroupByKey]])*DiscreteStatsTable[Maximum]))</f>
        <v>0.98352716210802005</v>
      </c>
      <c r="V929" s="5" cm="1">
        <f t="array" ref="V929">IFERROR(AVERAGE(IF((DiscreteStatsTable[GroupByKey]=DiscreteStatsTable[[#This Row],[GroupByKey]]),(DiscreteStatsTable[GroupByKey]=DiscreteStatsTable[[#This Row],[GroupByKey]])*DiscreteStatsTable[NumberObservations])),0)</f>
        <v>1</v>
      </c>
      <c r="W929" s="5">
        <f>IF((DiscreteStatsTable[[#This Row],[RepsRequested]]&gt;1),DiscreteStatsTable[[#This Row],[HalfWidth]],DiscreteStatsTable[[#This Row],[BatchMeansHalfWidth]])</f>
        <v>5.041222060568018E-2</v>
      </c>
      <c r="X929" s="5" cm="1">
        <f t="array" ref="X929">COUNT(IF((DiscreteStatsTable[GroupByKey]=DiscreteStatsTable[[#This Row],[GroupByKey]]),(DiscreteStatsTable[GroupByKey]=DiscreteStatsTable[[#This Row],[GroupByKey]])*DiscreteStatsTable[Replication]))</f>
        <v>17</v>
      </c>
      <c r="Y929" s="5">
        <f>IF(DiscreteStatsTable[[#This Row],[RepsRequested]]=DiscreteStatsTable[[#This Row],[RepsWithStatObserved]],1,0)</f>
        <v>1</v>
      </c>
    </row>
    <row r="930" spans="1:25" x14ac:dyDescent="0.25">
      <c r="A930" t="s">
        <v>67</v>
      </c>
      <c r="B930" t="s">
        <v>69</v>
      </c>
      <c r="C930">
        <v>8</v>
      </c>
      <c r="D930" t="s">
        <v>125</v>
      </c>
      <c r="E930" t="s">
        <v>79</v>
      </c>
      <c r="F930" t="s">
        <v>80</v>
      </c>
      <c r="G930">
        <v>0.88167008054331597</v>
      </c>
      <c r="H930">
        <v>2E+20</v>
      </c>
      <c r="I930">
        <v>0.88167008054331597</v>
      </c>
      <c r="J930">
        <v>0.88167008054331597</v>
      </c>
      <c r="K930">
        <v>1</v>
      </c>
      <c r="L930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0" s="5" cm="1">
        <f t="array" ref="M930">MAX(IF((ProjectInfoTable[ProjectName]=DiscreteStatsTable[[#This Row],[ProjectName]]),(ProjectInfoTable[ProjectName]=DiscreteStatsTable[[#This Row],[ProjectName]])*ProjectInfoTable[NumberOfReplications]))</f>
        <v>17</v>
      </c>
      <c r="N930" s="5" cm="1">
        <f t="array" ref="N930">IFERROR(AVERAGE(IF((DiscreteStatsTable[GroupByKey]=DiscreteStatsTable[[#This Row],[GroupByKey]]),(DiscreteStatsTable[GroupByKey]=DiscreteStatsTable[[#This Row],[GroupByKey]])*DiscreteStatsTable[Average])),0)</f>
        <v>0.82690040692096956</v>
      </c>
      <c r="O930" s="5" cm="1">
        <f t="array" ref="O930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0" s="5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 s="5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0" s="5" cm="1">
        <f t="array" ref="R930">MIN(IF((DiscreteStatsTable[GroupByKey]=DiscreteStatsTable[[#This Row],[GroupByKey]]),(DiscreteStatsTable[GroupByKey]=DiscreteStatsTable[[#This Row],[GroupByKey]])*DiscreteStatsTable[Average]))</f>
        <v>0.67389585758374404</v>
      </c>
      <c r="S930" s="5" cm="1">
        <f t="array" ref="S930">MAX(IF((DiscreteStatsTable[GroupByKey]=DiscreteStatsTable[[#This Row],[GroupByKey]]),(DiscreteStatsTable[GroupByKey]=DiscreteStatsTable[[#This Row],[GroupByKey]])*DiscreteStatsTable[Average]))</f>
        <v>0.98352716210802005</v>
      </c>
      <c r="T930" s="5" cm="1">
        <f t="array" ref="T930">MIN(IF((DiscreteStatsTable[GroupByKey]=DiscreteStatsTable[[#This Row],[GroupByKey]]),(DiscreteStatsTable[GroupByKey]=DiscreteStatsTable[[#This Row],[GroupByKey]])*DiscreteStatsTable[Minimum]))</f>
        <v>0.67389585758374404</v>
      </c>
      <c r="U930" s="5" cm="1">
        <f t="array" ref="U930">MAX(IF((DiscreteStatsTable[GroupByKey]=DiscreteStatsTable[[#This Row],[GroupByKey]]),(DiscreteStatsTable[GroupByKey]=DiscreteStatsTable[[#This Row],[GroupByKey]])*DiscreteStatsTable[Maximum]))</f>
        <v>0.98352716210802005</v>
      </c>
      <c r="V930" s="5" cm="1">
        <f t="array" ref="V930">IFERROR(AVERAGE(IF((DiscreteStatsTable[GroupByKey]=DiscreteStatsTable[[#This Row],[GroupByKey]]),(DiscreteStatsTable[GroupByKey]=DiscreteStatsTable[[#This Row],[GroupByKey]])*DiscreteStatsTable[NumberObservations])),0)</f>
        <v>1</v>
      </c>
      <c r="W930" s="5">
        <f>IF((DiscreteStatsTable[[#This Row],[RepsRequested]]&gt;1),DiscreteStatsTable[[#This Row],[HalfWidth]],DiscreteStatsTable[[#This Row],[BatchMeansHalfWidth]])</f>
        <v>5.041222060568018E-2</v>
      </c>
      <c r="X930" s="5" cm="1">
        <f t="array" ref="X930">COUNT(IF((DiscreteStatsTable[GroupByKey]=DiscreteStatsTable[[#This Row],[GroupByKey]]),(DiscreteStatsTable[GroupByKey]=DiscreteStatsTable[[#This Row],[GroupByKey]])*DiscreteStatsTable[Replication]))</f>
        <v>17</v>
      </c>
      <c r="Y930" s="5">
        <f>IF(DiscreteStatsTable[[#This Row],[RepsRequested]]=DiscreteStatsTable[[#This Row],[RepsWithStatObserved]],1,0)</f>
        <v>1</v>
      </c>
    </row>
    <row r="931" spans="1:25" x14ac:dyDescent="0.25">
      <c r="A931" t="s">
        <v>67</v>
      </c>
      <c r="B931" t="s">
        <v>69</v>
      </c>
      <c r="C931">
        <v>9</v>
      </c>
      <c r="D931" t="s">
        <v>125</v>
      </c>
      <c r="E931" t="s">
        <v>79</v>
      </c>
      <c r="F931" t="s">
        <v>80</v>
      </c>
      <c r="G931">
        <v>0.89886869307275197</v>
      </c>
      <c r="H931">
        <v>2E+20</v>
      </c>
      <c r="I931">
        <v>0.89886869307275197</v>
      </c>
      <c r="J931">
        <v>0.89886869307275197</v>
      </c>
      <c r="K931">
        <v>1</v>
      </c>
      <c r="L931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1" s="5" cm="1">
        <f t="array" ref="M931">MAX(IF((ProjectInfoTable[ProjectName]=DiscreteStatsTable[[#This Row],[ProjectName]]),(ProjectInfoTable[ProjectName]=DiscreteStatsTable[[#This Row],[ProjectName]])*ProjectInfoTable[NumberOfReplications]))</f>
        <v>17</v>
      </c>
      <c r="N931" s="5" cm="1">
        <f t="array" ref="N931">IFERROR(AVERAGE(IF((DiscreteStatsTable[GroupByKey]=DiscreteStatsTable[[#This Row],[GroupByKey]]),(DiscreteStatsTable[GroupByKey]=DiscreteStatsTable[[#This Row],[GroupByKey]])*DiscreteStatsTable[Average])),0)</f>
        <v>0.82690040692096956</v>
      </c>
      <c r="O931" s="5" cm="1">
        <f t="array" ref="O931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1" s="5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 s="5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1" s="5" cm="1">
        <f t="array" ref="R931">MIN(IF((DiscreteStatsTable[GroupByKey]=DiscreteStatsTable[[#This Row],[GroupByKey]]),(DiscreteStatsTable[GroupByKey]=DiscreteStatsTable[[#This Row],[GroupByKey]])*DiscreteStatsTable[Average]))</f>
        <v>0.67389585758374404</v>
      </c>
      <c r="S931" s="5" cm="1">
        <f t="array" ref="S931">MAX(IF((DiscreteStatsTable[GroupByKey]=DiscreteStatsTable[[#This Row],[GroupByKey]]),(DiscreteStatsTable[GroupByKey]=DiscreteStatsTable[[#This Row],[GroupByKey]])*DiscreteStatsTable[Average]))</f>
        <v>0.98352716210802005</v>
      </c>
      <c r="T931" s="5" cm="1">
        <f t="array" ref="T931">MIN(IF((DiscreteStatsTable[GroupByKey]=DiscreteStatsTable[[#This Row],[GroupByKey]]),(DiscreteStatsTable[GroupByKey]=DiscreteStatsTable[[#This Row],[GroupByKey]])*DiscreteStatsTable[Minimum]))</f>
        <v>0.67389585758374404</v>
      </c>
      <c r="U931" s="5" cm="1">
        <f t="array" ref="U931">MAX(IF((DiscreteStatsTable[GroupByKey]=DiscreteStatsTable[[#This Row],[GroupByKey]]),(DiscreteStatsTable[GroupByKey]=DiscreteStatsTable[[#This Row],[GroupByKey]])*DiscreteStatsTable[Maximum]))</f>
        <v>0.98352716210802005</v>
      </c>
      <c r="V931" s="5" cm="1">
        <f t="array" ref="V931">IFERROR(AVERAGE(IF((DiscreteStatsTable[GroupByKey]=DiscreteStatsTable[[#This Row],[GroupByKey]]),(DiscreteStatsTable[GroupByKey]=DiscreteStatsTable[[#This Row],[GroupByKey]])*DiscreteStatsTable[NumberObservations])),0)</f>
        <v>1</v>
      </c>
      <c r="W931" s="5">
        <f>IF((DiscreteStatsTable[[#This Row],[RepsRequested]]&gt;1),DiscreteStatsTable[[#This Row],[HalfWidth]],DiscreteStatsTable[[#This Row],[BatchMeansHalfWidth]])</f>
        <v>5.041222060568018E-2</v>
      </c>
      <c r="X931" s="5" cm="1">
        <f t="array" ref="X931">COUNT(IF((DiscreteStatsTable[GroupByKey]=DiscreteStatsTable[[#This Row],[GroupByKey]]),(DiscreteStatsTable[GroupByKey]=DiscreteStatsTable[[#This Row],[GroupByKey]])*DiscreteStatsTable[Replication]))</f>
        <v>17</v>
      </c>
      <c r="Y931" s="5">
        <f>IF(DiscreteStatsTable[[#This Row],[RepsRequested]]=DiscreteStatsTable[[#This Row],[RepsWithStatObserved]],1,0)</f>
        <v>1</v>
      </c>
    </row>
    <row r="932" spans="1:25" x14ac:dyDescent="0.25">
      <c r="A932" t="s">
        <v>67</v>
      </c>
      <c r="B932" t="s">
        <v>69</v>
      </c>
      <c r="C932">
        <v>10</v>
      </c>
      <c r="D932" t="s">
        <v>125</v>
      </c>
      <c r="E932" t="s">
        <v>79</v>
      </c>
      <c r="F932" t="s">
        <v>80</v>
      </c>
      <c r="G932">
        <v>0.86420407665391197</v>
      </c>
      <c r="H932">
        <v>2E+20</v>
      </c>
      <c r="I932">
        <v>0.86420407665391197</v>
      </c>
      <c r="J932">
        <v>0.86420407665391197</v>
      </c>
      <c r="K932">
        <v>1</v>
      </c>
      <c r="L932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2" s="5" cm="1">
        <f t="array" ref="M932">MAX(IF((ProjectInfoTable[ProjectName]=DiscreteStatsTable[[#This Row],[ProjectName]]),(ProjectInfoTable[ProjectName]=DiscreteStatsTable[[#This Row],[ProjectName]])*ProjectInfoTable[NumberOfReplications]))</f>
        <v>17</v>
      </c>
      <c r="N932" s="5" cm="1">
        <f t="array" ref="N932">IFERROR(AVERAGE(IF((DiscreteStatsTable[GroupByKey]=DiscreteStatsTable[[#This Row],[GroupByKey]]),(DiscreteStatsTable[GroupByKey]=DiscreteStatsTable[[#This Row],[GroupByKey]])*DiscreteStatsTable[Average])),0)</f>
        <v>0.82690040692096956</v>
      </c>
      <c r="O932" s="5" cm="1">
        <f t="array" ref="O932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2" s="5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 s="5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2" s="5" cm="1">
        <f t="array" ref="R932">MIN(IF((DiscreteStatsTable[GroupByKey]=DiscreteStatsTable[[#This Row],[GroupByKey]]),(DiscreteStatsTable[GroupByKey]=DiscreteStatsTable[[#This Row],[GroupByKey]])*DiscreteStatsTable[Average]))</f>
        <v>0.67389585758374404</v>
      </c>
      <c r="S932" s="5" cm="1">
        <f t="array" ref="S932">MAX(IF((DiscreteStatsTable[GroupByKey]=DiscreteStatsTable[[#This Row],[GroupByKey]]),(DiscreteStatsTable[GroupByKey]=DiscreteStatsTable[[#This Row],[GroupByKey]])*DiscreteStatsTable[Average]))</f>
        <v>0.98352716210802005</v>
      </c>
      <c r="T932" s="5" cm="1">
        <f t="array" ref="T932">MIN(IF((DiscreteStatsTable[GroupByKey]=DiscreteStatsTable[[#This Row],[GroupByKey]]),(DiscreteStatsTable[GroupByKey]=DiscreteStatsTable[[#This Row],[GroupByKey]])*DiscreteStatsTable[Minimum]))</f>
        <v>0.67389585758374404</v>
      </c>
      <c r="U932" s="5" cm="1">
        <f t="array" ref="U932">MAX(IF((DiscreteStatsTable[GroupByKey]=DiscreteStatsTable[[#This Row],[GroupByKey]]),(DiscreteStatsTable[GroupByKey]=DiscreteStatsTable[[#This Row],[GroupByKey]])*DiscreteStatsTable[Maximum]))</f>
        <v>0.98352716210802005</v>
      </c>
      <c r="V932" s="5" cm="1">
        <f t="array" ref="V932">IFERROR(AVERAGE(IF((DiscreteStatsTable[GroupByKey]=DiscreteStatsTable[[#This Row],[GroupByKey]]),(DiscreteStatsTable[GroupByKey]=DiscreteStatsTable[[#This Row],[GroupByKey]])*DiscreteStatsTable[NumberObservations])),0)</f>
        <v>1</v>
      </c>
      <c r="W932" s="5">
        <f>IF((DiscreteStatsTable[[#This Row],[RepsRequested]]&gt;1),DiscreteStatsTable[[#This Row],[HalfWidth]],DiscreteStatsTable[[#This Row],[BatchMeansHalfWidth]])</f>
        <v>5.041222060568018E-2</v>
      </c>
      <c r="X932" s="5" cm="1">
        <f t="array" ref="X932">COUNT(IF((DiscreteStatsTable[GroupByKey]=DiscreteStatsTable[[#This Row],[GroupByKey]]),(DiscreteStatsTable[GroupByKey]=DiscreteStatsTable[[#This Row],[GroupByKey]])*DiscreteStatsTable[Replication]))</f>
        <v>17</v>
      </c>
      <c r="Y932" s="5">
        <f>IF(DiscreteStatsTable[[#This Row],[RepsRequested]]=DiscreteStatsTable[[#This Row],[RepsWithStatObserved]],1,0)</f>
        <v>1</v>
      </c>
    </row>
    <row r="933" spans="1:25" x14ac:dyDescent="0.25">
      <c r="A933" t="s">
        <v>67</v>
      </c>
      <c r="B933" t="s">
        <v>69</v>
      </c>
      <c r="C933">
        <v>11</v>
      </c>
      <c r="D933" t="s">
        <v>125</v>
      </c>
      <c r="E933" t="s">
        <v>79</v>
      </c>
      <c r="F933" t="s">
        <v>80</v>
      </c>
      <c r="G933">
        <v>0.69295080047523405</v>
      </c>
      <c r="H933">
        <v>2E+20</v>
      </c>
      <c r="I933">
        <v>0.69295080047523405</v>
      </c>
      <c r="J933">
        <v>0.69295080047523405</v>
      </c>
      <c r="K933">
        <v>1</v>
      </c>
      <c r="L933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3" s="5" cm="1">
        <f t="array" ref="M933">MAX(IF((ProjectInfoTable[ProjectName]=DiscreteStatsTable[[#This Row],[ProjectName]]),(ProjectInfoTable[ProjectName]=DiscreteStatsTable[[#This Row],[ProjectName]])*ProjectInfoTable[NumberOfReplications]))</f>
        <v>17</v>
      </c>
      <c r="N933" s="5" cm="1">
        <f t="array" ref="N933">IFERROR(AVERAGE(IF((DiscreteStatsTable[GroupByKey]=DiscreteStatsTable[[#This Row],[GroupByKey]]),(DiscreteStatsTable[GroupByKey]=DiscreteStatsTable[[#This Row],[GroupByKey]])*DiscreteStatsTable[Average])),0)</f>
        <v>0.82690040692096956</v>
      </c>
      <c r="O933" s="5" cm="1">
        <f t="array" ref="O933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3" s="5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 s="5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3" s="5" cm="1">
        <f t="array" ref="R933">MIN(IF((DiscreteStatsTable[GroupByKey]=DiscreteStatsTable[[#This Row],[GroupByKey]]),(DiscreteStatsTable[GroupByKey]=DiscreteStatsTable[[#This Row],[GroupByKey]])*DiscreteStatsTable[Average]))</f>
        <v>0.67389585758374404</v>
      </c>
      <c r="S933" s="5" cm="1">
        <f t="array" ref="S933">MAX(IF((DiscreteStatsTable[GroupByKey]=DiscreteStatsTable[[#This Row],[GroupByKey]]),(DiscreteStatsTable[GroupByKey]=DiscreteStatsTable[[#This Row],[GroupByKey]])*DiscreteStatsTable[Average]))</f>
        <v>0.98352716210802005</v>
      </c>
      <c r="T933" s="5" cm="1">
        <f t="array" ref="T933">MIN(IF((DiscreteStatsTable[GroupByKey]=DiscreteStatsTable[[#This Row],[GroupByKey]]),(DiscreteStatsTable[GroupByKey]=DiscreteStatsTable[[#This Row],[GroupByKey]])*DiscreteStatsTable[Minimum]))</f>
        <v>0.67389585758374404</v>
      </c>
      <c r="U933" s="5" cm="1">
        <f t="array" ref="U933">MAX(IF((DiscreteStatsTable[GroupByKey]=DiscreteStatsTable[[#This Row],[GroupByKey]]),(DiscreteStatsTable[GroupByKey]=DiscreteStatsTable[[#This Row],[GroupByKey]])*DiscreteStatsTable[Maximum]))</f>
        <v>0.98352716210802005</v>
      </c>
      <c r="V933" s="5" cm="1">
        <f t="array" ref="V933">IFERROR(AVERAGE(IF((DiscreteStatsTable[GroupByKey]=DiscreteStatsTable[[#This Row],[GroupByKey]]),(DiscreteStatsTable[GroupByKey]=DiscreteStatsTable[[#This Row],[GroupByKey]])*DiscreteStatsTable[NumberObservations])),0)</f>
        <v>1</v>
      </c>
      <c r="W933" s="5">
        <f>IF((DiscreteStatsTable[[#This Row],[RepsRequested]]&gt;1),DiscreteStatsTable[[#This Row],[HalfWidth]],DiscreteStatsTable[[#This Row],[BatchMeansHalfWidth]])</f>
        <v>5.041222060568018E-2</v>
      </c>
      <c r="X933" s="5" cm="1">
        <f t="array" ref="X933">COUNT(IF((DiscreteStatsTable[GroupByKey]=DiscreteStatsTable[[#This Row],[GroupByKey]]),(DiscreteStatsTable[GroupByKey]=DiscreteStatsTable[[#This Row],[GroupByKey]])*DiscreteStatsTable[Replication]))</f>
        <v>17</v>
      </c>
      <c r="Y933" s="5">
        <f>IF(DiscreteStatsTable[[#This Row],[RepsRequested]]=DiscreteStatsTable[[#This Row],[RepsWithStatObserved]],1,0)</f>
        <v>1</v>
      </c>
    </row>
    <row r="934" spans="1:25" x14ac:dyDescent="0.25">
      <c r="A934" t="s">
        <v>67</v>
      </c>
      <c r="B934" t="s">
        <v>69</v>
      </c>
      <c r="C934">
        <v>12</v>
      </c>
      <c r="D934" t="s">
        <v>125</v>
      </c>
      <c r="E934" t="s">
        <v>79</v>
      </c>
      <c r="F934" t="s">
        <v>80</v>
      </c>
      <c r="G934">
        <v>0.97654910299961895</v>
      </c>
      <c r="H934">
        <v>2E+20</v>
      </c>
      <c r="I934">
        <v>0.97654910299961895</v>
      </c>
      <c r="J934">
        <v>0.97654910299961895</v>
      </c>
      <c r="K934">
        <v>1</v>
      </c>
      <c r="L934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4" s="5" cm="1">
        <f t="array" ref="M934">MAX(IF((ProjectInfoTable[ProjectName]=DiscreteStatsTable[[#This Row],[ProjectName]]),(ProjectInfoTable[ProjectName]=DiscreteStatsTable[[#This Row],[ProjectName]])*ProjectInfoTable[NumberOfReplications]))</f>
        <v>17</v>
      </c>
      <c r="N934" s="5" cm="1">
        <f t="array" ref="N934">IFERROR(AVERAGE(IF((DiscreteStatsTable[GroupByKey]=DiscreteStatsTable[[#This Row],[GroupByKey]]),(DiscreteStatsTable[GroupByKey]=DiscreteStatsTable[[#This Row],[GroupByKey]])*DiscreteStatsTable[Average])),0)</f>
        <v>0.82690040692096956</v>
      </c>
      <c r="O934" s="5" cm="1">
        <f t="array" ref="O934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4" s="5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 s="5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4" s="5" cm="1">
        <f t="array" ref="R934">MIN(IF((DiscreteStatsTable[GroupByKey]=DiscreteStatsTable[[#This Row],[GroupByKey]]),(DiscreteStatsTable[GroupByKey]=DiscreteStatsTable[[#This Row],[GroupByKey]])*DiscreteStatsTable[Average]))</f>
        <v>0.67389585758374404</v>
      </c>
      <c r="S934" s="5" cm="1">
        <f t="array" ref="S934">MAX(IF((DiscreteStatsTable[GroupByKey]=DiscreteStatsTable[[#This Row],[GroupByKey]]),(DiscreteStatsTable[GroupByKey]=DiscreteStatsTable[[#This Row],[GroupByKey]])*DiscreteStatsTable[Average]))</f>
        <v>0.98352716210802005</v>
      </c>
      <c r="T934" s="5" cm="1">
        <f t="array" ref="T934">MIN(IF((DiscreteStatsTable[GroupByKey]=DiscreteStatsTable[[#This Row],[GroupByKey]]),(DiscreteStatsTable[GroupByKey]=DiscreteStatsTable[[#This Row],[GroupByKey]])*DiscreteStatsTable[Minimum]))</f>
        <v>0.67389585758374404</v>
      </c>
      <c r="U934" s="5" cm="1">
        <f t="array" ref="U934">MAX(IF((DiscreteStatsTable[GroupByKey]=DiscreteStatsTable[[#This Row],[GroupByKey]]),(DiscreteStatsTable[GroupByKey]=DiscreteStatsTable[[#This Row],[GroupByKey]])*DiscreteStatsTable[Maximum]))</f>
        <v>0.98352716210802005</v>
      </c>
      <c r="V934" s="5" cm="1">
        <f t="array" ref="V934">IFERROR(AVERAGE(IF((DiscreteStatsTable[GroupByKey]=DiscreteStatsTable[[#This Row],[GroupByKey]]),(DiscreteStatsTable[GroupByKey]=DiscreteStatsTable[[#This Row],[GroupByKey]])*DiscreteStatsTable[NumberObservations])),0)</f>
        <v>1</v>
      </c>
      <c r="W934" s="5">
        <f>IF((DiscreteStatsTable[[#This Row],[RepsRequested]]&gt;1),DiscreteStatsTable[[#This Row],[HalfWidth]],DiscreteStatsTable[[#This Row],[BatchMeansHalfWidth]])</f>
        <v>5.041222060568018E-2</v>
      </c>
      <c r="X934" s="5" cm="1">
        <f t="array" ref="X934">COUNT(IF((DiscreteStatsTable[GroupByKey]=DiscreteStatsTable[[#This Row],[GroupByKey]]),(DiscreteStatsTable[GroupByKey]=DiscreteStatsTable[[#This Row],[GroupByKey]])*DiscreteStatsTable[Replication]))</f>
        <v>17</v>
      </c>
      <c r="Y934" s="5">
        <f>IF(DiscreteStatsTable[[#This Row],[RepsRequested]]=DiscreteStatsTable[[#This Row],[RepsWithStatObserved]],1,0)</f>
        <v>1</v>
      </c>
    </row>
    <row r="935" spans="1:25" x14ac:dyDescent="0.25">
      <c r="A935" t="s">
        <v>67</v>
      </c>
      <c r="B935" t="s">
        <v>69</v>
      </c>
      <c r="C935">
        <v>13</v>
      </c>
      <c r="D935" t="s">
        <v>125</v>
      </c>
      <c r="E935" t="s">
        <v>79</v>
      </c>
      <c r="F935" t="s">
        <v>80</v>
      </c>
      <c r="G935">
        <v>0.71644059627504297</v>
      </c>
      <c r="H935">
        <v>2E+20</v>
      </c>
      <c r="I935">
        <v>0.71644059627504297</v>
      </c>
      <c r="J935">
        <v>0.71644059627504297</v>
      </c>
      <c r="K935">
        <v>1</v>
      </c>
      <c r="L935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5" s="5" cm="1">
        <f t="array" ref="M935">MAX(IF((ProjectInfoTable[ProjectName]=DiscreteStatsTable[[#This Row],[ProjectName]]),(ProjectInfoTable[ProjectName]=DiscreteStatsTable[[#This Row],[ProjectName]])*ProjectInfoTable[NumberOfReplications]))</f>
        <v>17</v>
      </c>
      <c r="N935" s="5" cm="1">
        <f t="array" ref="N935">IFERROR(AVERAGE(IF((DiscreteStatsTable[GroupByKey]=DiscreteStatsTable[[#This Row],[GroupByKey]]),(DiscreteStatsTable[GroupByKey]=DiscreteStatsTable[[#This Row],[GroupByKey]])*DiscreteStatsTable[Average])),0)</f>
        <v>0.82690040692096956</v>
      </c>
      <c r="O935" s="5" cm="1">
        <f t="array" ref="O935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5" s="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 s="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5" s="5" cm="1">
        <f t="array" ref="R935">MIN(IF((DiscreteStatsTable[GroupByKey]=DiscreteStatsTable[[#This Row],[GroupByKey]]),(DiscreteStatsTable[GroupByKey]=DiscreteStatsTable[[#This Row],[GroupByKey]])*DiscreteStatsTable[Average]))</f>
        <v>0.67389585758374404</v>
      </c>
      <c r="S935" s="5" cm="1">
        <f t="array" ref="S935">MAX(IF((DiscreteStatsTable[GroupByKey]=DiscreteStatsTable[[#This Row],[GroupByKey]]),(DiscreteStatsTable[GroupByKey]=DiscreteStatsTable[[#This Row],[GroupByKey]])*DiscreteStatsTable[Average]))</f>
        <v>0.98352716210802005</v>
      </c>
      <c r="T935" s="5" cm="1">
        <f t="array" ref="T935">MIN(IF((DiscreteStatsTable[GroupByKey]=DiscreteStatsTable[[#This Row],[GroupByKey]]),(DiscreteStatsTable[GroupByKey]=DiscreteStatsTable[[#This Row],[GroupByKey]])*DiscreteStatsTable[Minimum]))</f>
        <v>0.67389585758374404</v>
      </c>
      <c r="U935" s="5" cm="1">
        <f t="array" ref="U935">MAX(IF((DiscreteStatsTable[GroupByKey]=DiscreteStatsTable[[#This Row],[GroupByKey]]),(DiscreteStatsTable[GroupByKey]=DiscreteStatsTable[[#This Row],[GroupByKey]])*DiscreteStatsTable[Maximum]))</f>
        <v>0.98352716210802005</v>
      </c>
      <c r="V935" s="5" cm="1">
        <f t="array" ref="V935">IFERROR(AVERAGE(IF((DiscreteStatsTable[GroupByKey]=DiscreteStatsTable[[#This Row],[GroupByKey]]),(DiscreteStatsTable[GroupByKey]=DiscreteStatsTable[[#This Row],[GroupByKey]])*DiscreteStatsTable[NumberObservations])),0)</f>
        <v>1</v>
      </c>
      <c r="W935" s="5">
        <f>IF((DiscreteStatsTable[[#This Row],[RepsRequested]]&gt;1),DiscreteStatsTable[[#This Row],[HalfWidth]],DiscreteStatsTable[[#This Row],[BatchMeansHalfWidth]])</f>
        <v>5.041222060568018E-2</v>
      </c>
      <c r="X935" s="5" cm="1">
        <f t="array" ref="X935">COUNT(IF((DiscreteStatsTable[GroupByKey]=DiscreteStatsTable[[#This Row],[GroupByKey]]),(DiscreteStatsTable[GroupByKey]=DiscreteStatsTable[[#This Row],[GroupByKey]])*DiscreteStatsTable[Replication]))</f>
        <v>17</v>
      </c>
      <c r="Y935" s="5">
        <f>IF(DiscreteStatsTable[[#This Row],[RepsRequested]]=DiscreteStatsTable[[#This Row],[RepsWithStatObserved]],1,0)</f>
        <v>1</v>
      </c>
    </row>
    <row r="936" spans="1:25" x14ac:dyDescent="0.25">
      <c r="A936" t="s">
        <v>67</v>
      </c>
      <c r="B936" t="s">
        <v>69</v>
      </c>
      <c r="C936">
        <v>14</v>
      </c>
      <c r="D936" t="s">
        <v>125</v>
      </c>
      <c r="E936" t="s">
        <v>79</v>
      </c>
      <c r="F936" t="s">
        <v>80</v>
      </c>
      <c r="G936">
        <v>0.82348785335061403</v>
      </c>
      <c r="H936">
        <v>2E+20</v>
      </c>
      <c r="I936">
        <v>0.82348785335061403</v>
      </c>
      <c r="J936">
        <v>0.82348785335061403</v>
      </c>
      <c r="K936">
        <v>1</v>
      </c>
      <c r="L936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6" s="5" cm="1">
        <f t="array" ref="M936">MAX(IF((ProjectInfoTable[ProjectName]=DiscreteStatsTable[[#This Row],[ProjectName]]),(ProjectInfoTable[ProjectName]=DiscreteStatsTable[[#This Row],[ProjectName]])*ProjectInfoTable[NumberOfReplications]))</f>
        <v>17</v>
      </c>
      <c r="N936" s="5" cm="1">
        <f t="array" ref="N936">IFERROR(AVERAGE(IF((DiscreteStatsTable[GroupByKey]=DiscreteStatsTable[[#This Row],[GroupByKey]]),(DiscreteStatsTable[GroupByKey]=DiscreteStatsTable[[#This Row],[GroupByKey]])*DiscreteStatsTable[Average])),0)</f>
        <v>0.82690040692096956</v>
      </c>
      <c r="O936" s="5" cm="1">
        <f t="array" ref="O936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6" s="5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 s="5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6" s="5" cm="1">
        <f t="array" ref="R936">MIN(IF((DiscreteStatsTable[GroupByKey]=DiscreteStatsTable[[#This Row],[GroupByKey]]),(DiscreteStatsTable[GroupByKey]=DiscreteStatsTable[[#This Row],[GroupByKey]])*DiscreteStatsTable[Average]))</f>
        <v>0.67389585758374404</v>
      </c>
      <c r="S936" s="5" cm="1">
        <f t="array" ref="S936">MAX(IF((DiscreteStatsTable[GroupByKey]=DiscreteStatsTable[[#This Row],[GroupByKey]]),(DiscreteStatsTable[GroupByKey]=DiscreteStatsTable[[#This Row],[GroupByKey]])*DiscreteStatsTable[Average]))</f>
        <v>0.98352716210802005</v>
      </c>
      <c r="T936" s="5" cm="1">
        <f t="array" ref="T936">MIN(IF((DiscreteStatsTable[GroupByKey]=DiscreteStatsTable[[#This Row],[GroupByKey]]),(DiscreteStatsTable[GroupByKey]=DiscreteStatsTable[[#This Row],[GroupByKey]])*DiscreteStatsTable[Minimum]))</f>
        <v>0.67389585758374404</v>
      </c>
      <c r="U936" s="5" cm="1">
        <f t="array" ref="U936">MAX(IF((DiscreteStatsTable[GroupByKey]=DiscreteStatsTable[[#This Row],[GroupByKey]]),(DiscreteStatsTable[GroupByKey]=DiscreteStatsTable[[#This Row],[GroupByKey]])*DiscreteStatsTable[Maximum]))</f>
        <v>0.98352716210802005</v>
      </c>
      <c r="V936" s="5" cm="1">
        <f t="array" ref="V936">IFERROR(AVERAGE(IF((DiscreteStatsTable[GroupByKey]=DiscreteStatsTable[[#This Row],[GroupByKey]]),(DiscreteStatsTable[GroupByKey]=DiscreteStatsTable[[#This Row],[GroupByKey]])*DiscreteStatsTable[NumberObservations])),0)</f>
        <v>1</v>
      </c>
      <c r="W936" s="5">
        <f>IF((DiscreteStatsTable[[#This Row],[RepsRequested]]&gt;1),DiscreteStatsTable[[#This Row],[HalfWidth]],DiscreteStatsTable[[#This Row],[BatchMeansHalfWidth]])</f>
        <v>5.041222060568018E-2</v>
      </c>
      <c r="X936" s="5" cm="1">
        <f t="array" ref="X936">COUNT(IF((DiscreteStatsTable[GroupByKey]=DiscreteStatsTable[[#This Row],[GroupByKey]]),(DiscreteStatsTable[GroupByKey]=DiscreteStatsTable[[#This Row],[GroupByKey]])*DiscreteStatsTable[Replication]))</f>
        <v>17</v>
      </c>
      <c r="Y936" s="5">
        <f>IF(DiscreteStatsTable[[#This Row],[RepsRequested]]=DiscreteStatsTable[[#This Row],[RepsWithStatObserved]],1,0)</f>
        <v>1</v>
      </c>
    </row>
    <row r="937" spans="1:25" x14ac:dyDescent="0.25">
      <c r="A937" t="s">
        <v>67</v>
      </c>
      <c r="B937" t="s">
        <v>69</v>
      </c>
      <c r="C937">
        <v>15</v>
      </c>
      <c r="D937" t="s">
        <v>125</v>
      </c>
      <c r="E937" t="s">
        <v>79</v>
      </c>
      <c r="F937" t="s">
        <v>80</v>
      </c>
      <c r="G937">
        <v>0.84209939804980605</v>
      </c>
      <c r="H937">
        <v>2E+20</v>
      </c>
      <c r="I937">
        <v>0.84209939804980605</v>
      </c>
      <c r="J937">
        <v>0.84209939804980605</v>
      </c>
      <c r="K937">
        <v>1</v>
      </c>
      <c r="L937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7" s="5" cm="1">
        <f t="array" ref="M937">MAX(IF((ProjectInfoTable[ProjectName]=DiscreteStatsTable[[#This Row],[ProjectName]]),(ProjectInfoTable[ProjectName]=DiscreteStatsTable[[#This Row],[ProjectName]])*ProjectInfoTable[NumberOfReplications]))</f>
        <v>17</v>
      </c>
      <c r="N937" s="5" cm="1">
        <f t="array" ref="N937">IFERROR(AVERAGE(IF((DiscreteStatsTable[GroupByKey]=DiscreteStatsTable[[#This Row],[GroupByKey]]),(DiscreteStatsTable[GroupByKey]=DiscreteStatsTable[[#This Row],[GroupByKey]])*DiscreteStatsTable[Average])),0)</f>
        <v>0.82690040692096956</v>
      </c>
      <c r="O937" s="5" cm="1">
        <f t="array" ref="O937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7" s="5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 s="5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7" s="5" cm="1">
        <f t="array" ref="R937">MIN(IF((DiscreteStatsTable[GroupByKey]=DiscreteStatsTable[[#This Row],[GroupByKey]]),(DiscreteStatsTable[GroupByKey]=DiscreteStatsTable[[#This Row],[GroupByKey]])*DiscreteStatsTable[Average]))</f>
        <v>0.67389585758374404</v>
      </c>
      <c r="S937" s="5" cm="1">
        <f t="array" ref="S937">MAX(IF((DiscreteStatsTable[GroupByKey]=DiscreteStatsTable[[#This Row],[GroupByKey]]),(DiscreteStatsTable[GroupByKey]=DiscreteStatsTable[[#This Row],[GroupByKey]])*DiscreteStatsTable[Average]))</f>
        <v>0.98352716210802005</v>
      </c>
      <c r="T937" s="5" cm="1">
        <f t="array" ref="T937">MIN(IF((DiscreteStatsTable[GroupByKey]=DiscreteStatsTable[[#This Row],[GroupByKey]]),(DiscreteStatsTable[GroupByKey]=DiscreteStatsTable[[#This Row],[GroupByKey]])*DiscreteStatsTable[Minimum]))</f>
        <v>0.67389585758374404</v>
      </c>
      <c r="U937" s="5" cm="1">
        <f t="array" ref="U937">MAX(IF((DiscreteStatsTable[GroupByKey]=DiscreteStatsTable[[#This Row],[GroupByKey]]),(DiscreteStatsTable[GroupByKey]=DiscreteStatsTable[[#This Row],[GroupByKey]])*DiscreteStatsTable[Maximum]))</f>
        <v>0.98352716210802005</v>
      </c>
      <c r="V937" s="5" cm="1">
        <f t="array" ref="V937">IFERROR(AVERAGE(IF((DiscreteStatsTable[GroupByKey]=DiscreteStatsTable[[#This Row],[GroupByKey]]),(DiscreteStatsTable[GroupByKey]=DiscreteStatsTable[[#This Row],[GroupByKey]])*DiscreteStatsTable[NumberObservations])),0)</f>
        <v>1</v>
      </c>
      <c r="W937" s="5">
        <f>IF((DiscreteStatsTable[[#This Row],[RepsRequested]]&gt;1),DiscreteStatsTable[[#This Row],[HalfWidth]],DiscreteStatsTable[[#This Row],[BatchMeansHalfWidth]])</f>
        <v>5.041222060568018E-2</v>
      </c>
      <c r="X937" s="5" cm="1">
        <f t="array" ref="X937">COUNT(IF((DiscreteStatsTable[GroupByKey]=DiscreteStatsTable[[#This Row],[GroupByKey]]),(DiscreteStatsTable[GroupByKey]=DiscreteStatsTable[[#This Row],[GroupByKey]])*DiscreteStatsTable[Replication]))</f>
        <v>17</v>
      </c>
      <c r="Y937" s="5">
        <f>IF(DiscreteStatsTable[[#This Row],[RepsRequested]]=DiscreteStatsTable[[#This Row],[RepsWithStatObserved]],1,0)</f>
        <v>1</v>
      </c>
    </row>
    <row r="938" spans="1:25" x14ac:dyDescent="0.25">
      <c r="A938" t="s">
        <v>67</v>
      </c>
      <c r="B938" t="s">
        <v>69</v>
      </c>
      <c r="C938">
        <v>16</v>
      </c>
      <c r="D938" t="s">
        <v>125</v>
      </c>
      <c r="E938" t="s">
        <v>79</v>
      </c>
      <c r="F938" t="s">
        <v>80</v>
      </c>
      <c r="G938">
        <v>0.772898216728236</v>
      </c>
      <c r="H938">
        <v>2E+20</v>
      </c>
      <c r="I938">
        <v>0.772898216728236</v>
      </c>
      <c r="J938">
        <v>0.772898216728236</v>
      </c>
      <c r="K938">
        <v>1</v>
      </c>
      <c r="L938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8" s="5" cm="1">
        <f t="array" ref="M938">MAX(IF((ProjectInfoTable[ProjectName]=DiscreteStatsTable[[#This Row],[ProjectName]]),(ProjectInfoTable[ProjectName]=DiscreteStatsTable[[#This Row],[ProjectName]])*ProjectInfoTable[NumberOfReplications]))</f>
        <v>17</v>
      </c>
      <c r="N938" s="5" cm="1">
        <f t="array" ref="N938">IFERROR(AVERAGE(IF((DiscreteStatsTable[GroupByKey]=DiscreteStatsTable[[#This Row],[GroupByKey]]),(DiscreteStatsTable[GroupByKey]=DiscreteStatsTable[[#This Row],[GroupByKey]])*DiscreteStatsTable[Average])),0)</f>
        <v>0.82690040692096956</v>
      </c>
      <c r="O938" s="5" cm="1">
        <f t="array" ref="O938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8" s="5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 s="5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8" s="5" cm="1">
        <f t="array" ref="R938">MIN(IF((DiscreteStatsTable[GroupByKey]=DiscreteStatsTable[[#This Row],[GroupByKey]]),(DiscreteStatsTable[GroupByKey]=DiscreteStatsTable[[#This Row],[GroupByKey]])*DiscreteStatsTable[Average]))</f>
        <v>0.67389585758374404</v>
      </c>
      <c r="S938" s="5" cm="1">
        <f t="array" ref="S938">MAX(IF((DiscreteStatsTable[GroupByKey]=DiscreteStatsTable[[#This Row],[GroupByKey]]),(DiscreteStatsTable[GroupByKey]=DiscreteStatsTable[[#This Row],[GroupByKey]])*DiscreteStatsTable[Average]))</f>
        <v>0.98352716210802005</v>
      </c>
      <c r="T938" s="5" cm="1">
        <f t="array" ref="T938">MIN(IF((DiscreteStatsTable[GroupByKey]=DiscreteStatsTable[[#This Row],[GroupByKey]]),(DiscreteStatsTable[GroupByKey]=DiscreteStatsTable[[#This Row],[GroupByKey]])*DiscreteStatsTable[Minimum]))</f>
        <v>0.67389585758374404</v>
      </c>
      <c r="U938" s="5" cm="1">
        <f t="array" ref="U938">MAX(IF((DiscreteStatsTable[GroupByKey]=DiscreteStatsTable[[#This Row],[GroupByKey]]),(DiscreteStatsTable[GroupByKey]=DiscreteStatsTable[[#This Row],[GroupByKey]])*DiscreteStatsTable[Maximum]))</f>
        <v>0.98352716210802005</v>
      </c>
      <c r="V938" s="5" cm="1">
        <f t="array" ref="V938">IFERROR(AVERAGE(IF((DiscreteStatsTable[GroupByKey]=DiscreteStatsTable[[#This Row],[GroupByKey]]),(DiscreteStatsTable[GroupByKey]=DiscreteStatsTable[[#This Row],[GroupByKey]])*DiscreteStatsTable[NumberObservations])),0)</f>
        <v>1</v>
      </c>
      <c r="W938" s="5">
        <f>IF((DiscreteStatsTable[[#This Row],[RepsRequested]]&gt;1),DiscreteStatsTable[[#This Row],[HalfWidth]],DiscreteStatsTable[[#This Row],[BatchMeansHalfWidth]])</f>
        <v>5.041222060568018E-2</v>
      </c>
      <c r="X938" s="5" cm="1">
        <f t="array" ref="X938">COUNT(IF((DiscreteStatsTable[GroupByKey]=DiscreteStatsTable[[#This Row],[GroupByKey]]),(DiscreteStatsTable[GroupByKey]=DiscreteStatsTable[[#This Row],[GroupByKey]])*DiscreteStatsTable[Replication]))</f>
        <v>17</v>
      </c>
      <c r="Y938" s="5">
        <f>IF(DiscreteStatsTable[[#This Row],[RepsRequested]]=DiscreteStatsTable[[#This Row],[RepsWithStatObserved]],1,0)</f>
        <v>1</v>
      </c>
    </row>
    <row r="939" spans="1:25" x14ac:dyDescent="0.25">
      <c r="A939" t="s">
        <v>67</v>
      </c>
      <c r="B939" t="s">
        <v>69</v>
      </c>
      <c r="C939">
        <v>17</v>
      </c>
      <c r="D939" t="s">
        <v>125</v>
      </c>
      <c r="E939" t="s">
        <v>79</v>
      </c>
      <c r="F939" t="s">
        <v>80</v>
      </c>
      <c r="G939">
        <v>0.81759131761049897</v>
      </c>
      <c r="H939">
        <v>2E+20</v>
      </c>
      <c r="I939">
        <v>0.81759131761049897</v>
      </c>
      <c r="J939">
        <v>0.81759131761049897</v>
      </c>
      <c r="K939">
        <v>1</v>
      </c>
      <c r="L939" s="5" t="str">
        <f>DiscreteStatsTable[[#This Row],[ProjectName]]&amp;DiscreteStatsTable[[#This Row],[Name]]&amp;DiscreteStatsTable[[#This Row],[Type]]&amp;DiscreteStatsTable[[#This Row],[Source]]</f>
        <v>Weekend (base)UtilizacionCocinaH2ExpressionUser Specified</v>
      </c>
      <c r="M939" s="5" cm="1">
        <f t="array" ref="M939">MAX(IF((ProjectInfoTable[ProjectName]=DiscreteStatsTable[[#This Row],[ProjectName]]),(ProjectInfoTable[ProjectName]=DiscreteStatsTable[[#This Row],[ProjectName]])*ProjectInfoTable[NumberOfReplications]))</f>
        <v>17</v>
      </c>
      <c r="N939" s="5" cm="1">
        <f t="array" ref="N939">IFERROR(AVERAGE(IF((DiscreteStatsTable[GroupByKey]=DiscreteStatsTable[[#This Row],[GroupByKey]]),(DiscreteStatsTable[GroupByKey]=DiscreteStatsTable[[#This Row],[GroupByKey]])*DiscreteStatsTable[Average])),0)</f>
        <v>0.82690040692096956</v>
      </c>
      <c r="O939" s="5" cm="1">
        <f t="array" ref="O939">IFERROR(_xlfn.STDEV.S(IF((DiscreteStatsTable[GroupByKey]=DiscreteStatsTable[[#This Row],[GroupByKey]]),(DiscreteStatsTable[GroupByKey]=DiscreteStatsTable[[#This Row],[GroupByKey]])*DiscreteStatsTable[Average])),0)</f>
        <v>9.8049148919771928E-2</v>
      </c>
      <c r="P939" s="5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 s="5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5.041222060568018E-2</v>
      </c>
      <c r="R939" s="5" cm="1">
        <f t="array" ref="R939">MIN(IF((DiscreteStatsTable[GroupByKey]=DiscreteStatsTable[[#This Row],[GroupByKey]]),(DiscreteStatsTable[GroupByKey]=DiscreteStatsTable[[#This Row],[GroupByKey]])*DiscreteStatsTable[Average]))</f>
        <v>0.67389585758374404</v>
      </c>
      <c r="S939" s="5" cm="1">
        <f t="array" ref="S939">MAX(IF((DiscreteStatsTable[GroupByKey]=DiscreteStatsTable[[#This Row],[GroupByKey]]),(DiscreteStatsTable[GroupByKey]=DiscreteStatsTable[[#This Row],[GroupByKey]])*DiscreteStatsTable[Average]))</f>
        <v>0.98352716210802005</v>
      </c>
      <c r="T939" s="5" cm="1">
        <f t="array" ref="T939">MIN(IF((DiscreteStatsTable[GroupByKey]=DiscreteStatsTable[[#This Row],[GroupByKey]]),(DiscreteStatsTable[GroupByKey]=DiscreteStatsTable[[#This Row],[GroupByKey]])*DiscreteStatsTable[Minimum]))</f>
        <v>0.67389585758374404</v>
      </c>
      <c r="U939" s="5" cm="1">
        <f t="array" ref="U939">MAX(IF((DiscreteStatsTable[GroupByKey]=DiscreteStatsTable[[#This Row],[GroupByKey]]),(DiscreteStatsTable[GroupByKey]=DiscreteStatsTable[[#This Row],[GroupByKey]])*DiscreteStatsTable[Maximum]))</f>
        <v>0.98352716210802005</v>
      </c>
      <c r="V939" s="5" cm="1">
        <f t="array" ref="V939">IFERROR(AVERAGE(IF((DiscreteStatsTable[GroupByKey]=DiscreteStatsTable[[#This Row],[GroupByKey]]),(DiscreteStatsTable[GroupByKey]=DiscreteStatsTable[[#This Row],[GroupByKey]])*DiscreteStatsTable[NumberObservations])),0)</f>
        <v>1</v>
      </c>
      <c r="W939" s="5">
        <f>IF((DiscreteStatsTable[[#This Row],[RepsRequested]]&gt;1),DiscreteStatsTable[[#This Row],[HalfWidth]],DiscreteStatsTable[[#This Row],[BatchMeansHalfWidth]])</f>
        <v>5.041222060568018E-2</v>
      </c>
      <c r="X939" s="5" cm="1">
        <f t="array" ref="X939">COUNT(IF((DiscreteStatsTable[GroupByKey]=DiscreteStatsTable[[#This Row],[GroupByKey]]),(DiscreteStatsTable[GroupByKey]=DiscreteStatsTable[[#This Row],[GroupByKey]])*DiscreteStatsTable[Replication]))</f>
        <v>17</v>
      </c>
      <c r="Y939" s="5">
        <f>IF(DiscreteStatsTable[[#This Row],[RepsRequested]]=DiscreteStatsTable[[#This Row],[RepsWithStatObserved]],1,0)</f>
        <v>1</v>
      </c>
    </row>
    <row r="940" spans="1:25" x14ac:dyDescent="0.25">
      <c r="A940" t="s">
        <v>67</v>
      </c>
      <c r="B940" t="s">
        <v>69</v>
      </c>
      <c r="C940">
        <v>1</v>
      </c>
      <c r="D940" t="s">
        <v>126</v>
      </c>
      <c r="E940" t="s">
        <v>79</v>
      </c>
      <c r="F940" t="s">
        <v>80</v>
      </c>
      <c r="G940">
        <v>0.83444472024726102</v>
      </c>
      <c r="H940">
        <v>2E+20</v>
      </c>
      <c r="I940">
        <v>0.83444472024726102</v>
      </c>
      <c r="J940">
        <v>0.83444472024726102</v>
      </c>
      <c r="K940">
        <v>1</v>
      </c>
      <c r="L940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0" s="5" cm="1">
        <f t="array" ref="M940">MAX(IF((ProjectInfoTable[ProjectName]=DiscreteStatsTable[[#This Row],[ProjectName]]),(ProjectInfoTable[ProjectName]=DiscreteStatsTable[[#This Row],[ProjectName]])*ProjectInfoTable[NumberOfReplications]))</f>
        <v>17</v>
      </c>
      <c r="N940" s="5" cm="1">
        <f t="array" ref="N940">IFERROR(AVERAGE(IF((DiscreteStatsTable[GroupByKey]=DiscreteStatsTable[[#This Row],[GroupByKey]]),(DiscreteStatsTable[GroupByKey]=DiscreteStatsTable[[#This Row],[GroupByKey]])*DiscreteStatsTable[Average])),0)</f>
        <v>0.82034721885470152</v>
      </c>
      <c r="O940" s="5" cm="1">
        <f t="array" ref="O940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0" s="5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 s="5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0" s="5" cm="1">
        <f t="array" ref="R940">MIN(IF((DiscreteStatsTable[GroupByKey]=DiscreteStatsTable[[#This Row],[GroupByKey]]),(DiscreteStatsTable[GroupByKey]=DiscreteStatsTable[[#This Row],[GroupByKey]])*DiscreteStatsTable[Average]))</f>
        <v>0.73534383204610498</v>
      </c>
      <c r="S940" s="5" cm="1">
        <f t="array" ref="S940">MAX(IF((DiscreteStatsTable[GroupByKey]=DiscreteStatsTable[[#This Row],[GroupByKey]]),(DiscreteStatsTable[GroupByKey]=DiscreteStatsTable[[#This Row],[GroupByKey]])*DiscreteStatsTable[Average]))</f>
        <v>0.95888680213271504</v>
      </c>
      <c r="T940" s="5" cm="1">
        <f t="array" ref="T940">MIN(IF((DiscreteStatsTable[GroupByKey]=DiscreteStatsTable[[#This Row],[GroupByKey]]),(DiscreteStatsTable[GroupByKey]=DiscreteStatsTable[[#This Row],[GroupByKey]])*DiscreteStatsTable[Minimum]))</f>
        <v>0.73534383204610498</v>
      </c>
      <c r="U940" s="5" cm="1">
        <f t="array" ref="U940">MAX(IF((DiscreteStatsTable[GroupByKey]=DiscreteStatsTable[[#This Row],[GroupByKey]]),(DiscreteStatsTable[GroupByKey]=DiscreteStatsTable[[#This Row],[GroupByKey]])*DiscreteStatsTable[Maximum]))</f>
        <v>0.95888680213271504</v>
      </c>
      <c r="V940" s="5" cm="1">
        <f t="array" ref="V940">IFERROR(AVERAGE(IF((DiscreteStatsTable[GroupByKey]=DiscreteStatsTable[[#This Row],[GroupByKey]]),(DiscreteStatsTable[GroupByKey]=DiscreteStatsTable[[#This Row],[GroupByKey]])*DiscreteStatsTable[NumberObservations])),0)</f>
        <v>1</v>
      </c>
      <c r="W940" s="5">
        <f>IF((DiscreteStatsTable[[#This Row],[RepsRequested]]&gt;1),DiscreteStatsTable[[#This Row],[HalfWidth]],DiscreteStatsTable[[#This Row],[BatchMeansHalfWidth]])</f>
        <v>3.3674816741294945E-2</v>
      </c>
      <c r="X940" s="5" cm="1">
        <f t="array" ref="X940">COUNT(IF((DiscreteStatsTable[GroupByKey]=DiscreteStatsTable[[#This Row],[GroupByKey]]),(DiscreteStatsTable[GroupByKey]=DiscreteStatsTable[[#This Row],[GroupByKey]])*DiscreteStatsTable[Replication]))</f>
        <v>17</v>
      </c>
      <c r="Y940" s="5">
        <f>IF(DiscreteStatsTable[[#This Row],[RepsRequested]]=DiscreteStatsTable[[#This Row],[RepsWithStatObserved]],1,0)</f>
        <v>1</v>
      </c>
    </row>
    <row r="941" spans="1:25" x14ac:dyDescent="0.25">
      <c r="A941" t="s">
        <v>67</v>
      </c>
      <c r="B941" t="s">
        <v>69</v>
      </c>
      <c r="C941">
        <v>2</v>
      </c>
      <c r="D941" t="s">
        <v>126</v>
      </c>
      <c r="E941" t="s">
        <v>79</v>
      </c>
      <c r="F941" t="s">
        <v>80</v>
      </c>
      <c r="G941">
        <v>0.73534383204610498</v>
      </c>
      <c r="H941">
        <v>2E+20</v>
      </c>
      <c r="I941">
        <v>0.73534383204610498</v>
      </c>
      <c r="J941">
        <v>0.73534383204610498</v>
      </c>
      <c r="K941">
        <v>1</v>
      </c>
      <c r="L941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1" s="5" cm="1">
        <f t="array" ref="M941">MAX(IF((ProjectInfoTable[ProjectName]=DiscreteStatsTable[[#This Row],[ProjectName]]),(ProjectInfoTable[ProjectName]=DiscreteStatsTable[[#This Row],[ProjectName]])*ProjectInfoTable[NumberOfReplications]))</f>
        <v>17</v>
      </c>
      <c r="N941" s="5" cm="1">
        <f t="array" ref="N941">IFERROR(AVERAGE(IF((DiscreteStatsTable[GroupByKey]=DiscreteStatsTable[[#This Row],[GroupByKey]]),(DiscreteStatsTable[GroupByKey]=DiscreteStatsTable[[#This Row],[GroupByKey]])*DiscreteStatsTable[Average])),0)</f>
        <v>0.82034721885470152</v>
      </c>
      <c r="O941" s="5" cm="1">
        <f t="array" ref="O941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1" s="5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 s="5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1" s="5" cm="1">
        <f t="array" ref="R941">MIN(IF((DiscreteStatsTable[GroupByKey]=DiscreteStatsTable[[#This Row],[GroupByKey]]),(DiscreteStatsTable[GroupByKey]=DiscreteStatsTable[[#This Row],[GroupByKey]])*DiscreteStatsTable[Average]))</f>
        <v>0.73534383204610498</v>
      </c>
      <c r="S941" s="5" cm="1">
        <f t="array" ref="S941">MAX(IF((DiscreteStatsTable[GroupByKey]=DiscreteStatsTable[[#This Row],[GroupByKey]]),(DiscreteStatsTable[GroupByKey]=DiscreteStatsTable[[#This Row],[GroupByKey]])*DiscreteStatsTable[Average]))</f>
        <v>0.95888680213271504</v>
      </c>
      <c r="T941" s="5" cm="1">
        <f t="array" ref="T941">MIN(IF((DiscreteStatsTable[GroupByKey]=DiscreteStatsTable[[#This Row],[GroupByKey]]),(DiscreteStatsTable[GroupByKey]=DiscreteStatsTable[[#This Row],[GroupByKey]])*DiscreteStatsTable[Minimum]))</f>
        <v>0.73534383204610498</v>
      </c>
      <c r="U941" s="5" cm="1">
        <f t="array" ref="U941">MAX(IF((DiscreteStatsTable[GroupByKey]=DiscreteStatsTable[[#This Row],[GroupByKey]]),(DiscreteStatsTable[GroupByKey]=DiscreteStatsTable[[#This Row],[GroupByKey]])*DiscreteStatsTable[Maximum]))</f>
        <v>0.95888680213271504</v>
      </c>
      <c r="V941" s="5" cm="1">
        <f t="array" ref="V941">IFERROR(AVERAGE(IF((DiscreteStatsTable[GroupByKey]=DiscreteStatsTable[[#This Row],[GroupByKey]]),(DiscreteStatsTable[GroupByKey]=DiscreteStatsTable[[#This Row],[GroupByKey]])*DiscreteStatsTable[NumberObservations])),0)</f>
        <v>1</v>
      </c>
      <c r="W941" s="5">
        <f>IF((DiscreteStatsTable[[#This Row],[RepsRequested]]&gt;1),DiscreteStatsTable[[#This Row],[HalfWidth]],DiscreteStatsTable[[#This Row],[BatchMeansHalfWidth]])</f>
        <v>3.3674816741294945E-2</v>
      </c>
      <c r="X941" s="5" cm="1">
        <f t="array" ref="X941">COUNT(IF((DiscreteStatsTable[GroupByKey]=DiscreteStatsTable[[#This Row],[GroupByKey]]),(DiscreteStatsTable[GroupByKey]=DiscreteStatsTable[[#This Row],[GroupByKey]])*DiscreteStatsTable[Replication]))</f>
        <v>17</v>
      </c>
      <c r="Y941" s="5">
        <f>IF(DiscreteStatsTable[[#This Row],[RepsRequested]]=DiscreteStatsTable[[#This Row],[RepsWithStatObserved]],1,0)</f>
        <v>1</v>
      </c>
    </row>
    <row r="942" spans="1:25" x14ac:dyDescent="0.25">
      <c r="A942" t="s">
        <v>67</v>
      </c>
      <c r="B942" t="s">
        <v>69</v>
      </c>
      <c r="C942">
        <v>3</v>
      </c>
      <c r="D942" t="s">
        <v>126</v>
      </c>
      <c r="E942" t="s">
        <v>79</v>
      </c>
      <c r="F942" t="s">
        <v>80</v>
      </c>
      <c r="G942">
        <v>0.95888680213271504</v>
      </c>
      <c r="H942">
        <v>2E+20</v>
      </c>
      <c r="I942">
        <v>0.95888680213271504</v>
      </c>
      <c r="J942">
        <v>0.95888680213271504</v>
      </c>
      <c r="K942">
        <v>1</v>
      </c>
      <c r="L942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2" s="5" cm="1">
        <f t="array" ref="M942">MAX(IF((ProjectInfoTable[ProjectName]=DiscreteStatsTable[[#This Row],[ProjectName]]),(ProjectInfoTable[ProjectName]=DiscreteStatsTable[[#This Row],[ProjectName]])*ProjectInfoTable[NumberOfReplications]))</f>
        <v>17</v>
      </c>
      <c r="N942" s="5" cm="1">
        <f t="array" ref="N942">IFERROR(AVERAGE(IF((DiscreteStatsTable[GroupByKey]=DiscreteStatsTable[[#This Row],[GroupByKey]]),(DiscreteStatsTable[GroupByKey]=DiscreteStatsTable[[#This Row],[GroupByKey]])*DiscreteStatsTable[Average])),0)</f>
        <v>0.82034721885470152</v>
      </c>
      <c r="O942" s="5" cm="1">
        <f t="array" ref="O942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2" s="5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 s="5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2" s="5" cm="1">
        <f t="array" ref="R942">MIN(IF((DiscreteStatsTable[GroupByKey]=DiscreteStatsTable[[#This Row],[GroupByKey]]),(DiscreteStatsTable[GroupByKey]=DiscreteStatsTable[[#This Row],[GroupByKey]])*DiscreteStatsTable[Average]))</f>
        <v>0.73534383204610498</v>
      </c>
      <c r="S942" s="5" cm="1">
        <f t="array" ref="S942">MAX(IF((DiscreteStatsTable[GroupByKey]=DiscreteStatsTable[[#This Row],[GroupByKey]]),(DiscreteStatsTable[GroupByKey]=DiscreteStatsTable[[#This Row],[GroupByKey]])*DiscreteStatsTable[Average]))</f>
        <v>0.95888680213271504</v>
      </c>
      <c r="T942" s="5" cm="1">
        <f t="array" ref="T942">MIN(IF((DiscreteStatsTable[GroupByKey]=DiscreteStatsTable[[#This Row],[GroupByKey]]),(DiscreteStatsTable[GroupByKey]=DiscreteStatsTable[[#This Row],[GroupByKey]])*DiscreteStatsTable[Minimum]))</f>
        <v>0.73534383204610498</v>
      </c>
      <c r="U942" s="5" cm="1">
        <f t="array" ref="U942">MAX(IF((DiscreteStatsTable[GroupByKey]=DiscreteStatsTable[[#This Row],[GroupByKey]]),(DiscreteStatsTable[GroupByKey]=DiscreteStatsTable[[#This Row],[GroupByKey]])*DiscreteStatsTable[Maximum]))</f>
        <v>0.95888680213271504</v>
      </c>
      <c r="V942" s="5" cm="1">
        <f t="array" ref="V942">IFERROR(AVERAGE(IF((DiscreteStatsTable[GroupByKey]=DiscreteStatsTable[[#This Row],[GroupByKey]]),(DiscreteStatsTable[GroupByKey]=DiscreteStatsTable[[#This Row],[GroupByKey]])*DiscreteStatsTable[NumberObservations])),0)</f>
        <v>1</v>
      </c>
      <c r="W942" s="5">
        <f>IF((DiscreteStatsTable[[#This Row],[RepsRequested]]&gt;1),DiscreteStatsTable[[#This Row],[HalfWidth]],DiscreteStatsTable[[#This Row],[BatchMeansHalfWidth]])</f>
        <v>3.3674816741294945E-2</v>
      </c>
      <c r="X942" s="5" cm="1">
        <f t="array" ref="X942">COUNT(IF((DiscreteStatsTable[GroupByKey]=DiscreteStatsTable[[#This Row],[GroupByKey]]),(DiscreteStatsTable[GroupByKey]=DiscreteStatsTable[[#This Row],[GroupByKey]])*DiscreteStatsTable[Replication]))</f>
        <v>17</v>
      </c>
      <c r="Y942" s="5">
        <f>IF(DiscreteStatsTable[[#This Row],[RepsRequested]]=DiscreteStatsTable[[#This Row],[RepsWithStatObserved]],1,0)</f>
        <v>1</v>
      </c>
    </row>
    <row r="943" spans="1:25" x14ac:dyDescent="0.25">
      <c r="A943" t="s">
        <v>67</v>
      </c>
      <c r="B943" t="s">
        <v>69</v>
      </c>
      <c r="C943">
        <v>4</v>
      </c>
      <c r="D943" t="s">
        <v>126</v>
      </c>
      <c r="E943" t="s">
        <v>79</v>
      </c>
      <c r="F943" t="s">
        <v>80</v>
      </c>
      <c r="G943">
        <v>0.91240023943169402</v>
      </c>
      <c r="H943">
        <v>2E+20</v>
      </c>
      <c r="I943">
        <v>0.91240023943169402</v>
      </c>
      <c r="J943">
        <v>0.91240023943169402</v>
      </c>
      <c r="K943">
        <v>1</v>
      </c>
      <c r="L943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3" s="5" cm="1">
        <f t="array" ref="M943">MAX(IF((ProjectInfoTable[ProjectName]=DiscreteStatsTable[[#This Row],[ProjectName]]),(ProjectInfoTable[ProjectName]=DiscreteStatsTable[[#This Row],[ProjectName]])*ProjectInfoTable[NumberOfReplications]))</f>
        <v>17</v>
      </c>
      <c r="N943" s="5" cm="1">
        <f t="array" ref="N943">IFERROR(AVERAGE(IF((DiscreteStatsTable[GroupByKey]=DiscreteStatsTable[[#This Row],[GroupByKey]]),(DiscreteStatsTable[GroupByKey]=DiscreteStatsTable[[#This Row],[GroupByKey]])*DiscreteStatsTable[Average])),0)</f>
        <v>0.82034721885470152</v>
      </c>
      <c r="O943" s="5" cm="1">
        <f t="array" ref="O943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3" s="5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 s="5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3" s="5" cm="1">
        <f t="array" ref="R943">MIN(IF((DiscreteStatsTable[GroupByKey]=DiscreteStatsTable[[#This Row],[GroupByKey]]),(DiscreteStatsTable[GroupByKey]=DiscreteStatsTable[[#This Row],[GroupByKey]])*DiscreteStatsTable[Average]))</f>
        <v>0.73534383204610498</v>
      </c>
      <c r="S943" s="5" cm="1">
        <f t="array" ref="S943">MAX(IF((DiscreteStatsTable[GroupByKey]=DiscreteStatsTable[[#This Row],[GroupByKey]]),(DiscreteStatsTable[GroupByKey]=DiscreteStatsTable[[#This Row],[GroupByKey]])*DiscreteStatsTable[Average]))</f>
        <v>0.95888680213271504</v>
      </c>
      <c r="T943" s="5" cm="1">
        <f t="array" ref="T943">MIN(IF((DiscreteStatsTable[GroupByKey]=DiscreteStatsTable[[#This Row],[GroupByKey]]),(DiscreteStatsTable[GroupByKey]=DiscreteStatsTable[[#This Row],[GroupByKey]])*DiscreteStatsTable[Minimum]))</f>
        <v>0.73534383204610498</v>
      </c>
      <c r="U943" s="5" cm="1">
        <f t="array" ref="U943">MAX(IF((DiscreteStatsTable[GroupByKey]=DiscreteStatsTable[[#This Row],[GroupByKey]]),(DiscreteStatsTable[GroupByKey]=DiscreteStatsTable[[#This Row],[GroupByKey]])*DiscreteStatsTable[Maximum]))</f>
        <v>0.95888680213271504</v>
      </c>
      <c r="V943" s="5" cm="1">
        <f t="array" ref="V943">IFERROR(AVERAGE(IF((DiscreteStatsTable[GroupByKey]=DiscreteStatsTable[[#This Row],[GroupByKey]]),(DiscreteStatsTable[GroupByKey]=DiscreteStatsTable[[#This Row],[GroupByKey]])*DiscreteStatsTable[NumberObservations])),0)</f>
        <v>1</v>
      </c>
      <c r="W943" s="5">
        <f>IF((DiscreteStatsTable[[#This Row],[RepsRequested]]&gt;1),DiscreteStatsTable[[#This Row],[HalfWidth]],DiscreteStatsTable[[#This Row],[BatchMeansHalfWidth]])</f>
        <v>3.3674816741294945E-2</v>
      </c>
      <c r="X943" s="5" cm="1">
        <f t="array" ref="X943">COUNT(IF((DiscreteStatsTable[GroupByKey]=DiscreteStatsTable[[#This Row],[GroupByKey]]),(DiscreteStatsTable[GroupByKey]=DiscreteStatsTable[[#This Row],[GroupByKey]])*DiscreteStatsTable[Replication]))</f>
        <v>17</v>
      </c>
      <c r="Y943" s="5">
        <f>IF(DiscreteStatsTable[[#This Row],[RepsRequested]]=DiscreteStatsTable[[#This Row],[RepsWithStatObserved]],1,0)</f>
        <v>1</v>
      </c>
    </row>
    <row r="944" spans="1:25" x14ac:dyDescent="0.25">
      <c r="A944" t="s">
        <v>67</v>
      </c>
      <c r="B944" t="s">
        <v>69</v>
      </c>
      <c r="C944">
        <v>5</v>
      </c>
      <c r="D944" t="s">
        <v>126</v>
      </c>
      <c r="E944" t="s">
        <v>79</v>
      </c>
      <c r="F944" t="s">
        <v>80</v>
      </c>
      <c r="G944">
        <v>0.76736570138686699</v>
      </c>
      <c r="H944">
        <v>2E+20</v>
      </c>
      <c r="I944">
        <v>0.76736570138686699</v>
      </c>
      <c r="J944">
        <v>0.76736570138686699</v>
      </c>
      <c r="K944">
        <v>1</v>
      </c>
      <c r="L944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4" s="5" cm="1">
        <f t="array" ref="M944">MAX(IF((ProjectInfoTable[ProjectName]=DiscreteStatsTable[[#This Row],[ProjectName]]),(ProjectInfoTable[ProjectName]=DiscreteStatsTable[[#This Row],[ProjectName]])*ProjectInfoTable[NumberOfReplications]))</f>
        <v>17</v>
      </c>
      <c r="N944" s="5" cm="1">
        <f t="array" ref="N944">IFERROR(AVERAGE(IF((DiscreteStatsTable[GroupByKey]=DiscreteStatsTable[[#This Row],[GroupByKey]]),(DiscreteStatsTable[GroupByKey]=DiscreteStatsTable[[#This Row],[GroupByKey]])*DiscreteStatsTable[Average])),0)</f>
        <v>0.82034721885470152</v>
      </c>
      <c r="O944" s="5" cm="1">
        <f t="array" ref="O944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4" s="5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 s="5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4" s="5" cm="1">
        <f t="array" ref="R944">MIN(IF((DiscreteStatsTable[GroupByKey]=DiscreteStatsTable[[#This Row],[GroupByKey]]),(DiscreteStatsTable[GroupByKey]=DiscreteStatsTable[[#This Row],[GroupByKey]])*DiscreteStatsTable[Average]))</f>
        <v>0.73534383204610498</v>
      </c>
      <c r="S944" s="5" cm="1">
        <f t="array" ref="S944">MAX(IF((DiscreteStatsTable[GroupByKey]=DiscreteStatsTable[[#This Row],[GroupByKey]]),(DiscreteStatsTable[GroupByKey]=DiscreteStatsTable[[#This Row],[GroupByKey]])*DiscreteStatsTable[Average]))</f>
        <v>0.95888680213271504</v>
      </c>
      <c r="T944" s="5" cm="1">
        <f t="array" ref="T944">MIN(IF((DiscreteStatsTable[GroupByKey]=DiscreteStatsTable[[#This Row],[GroupByKey]]),(DiscreteStatsTable[GroupByKey]=DiscreteStatsTable[[#This Row],[GroupByKey]])*DiscreteStatsTable[Minimum]))</f>
        <v>0.73534383204610498</v>
      </c>
      <c r="U944" s="5" cm="1">
        <f t="array" ref="U944">MAX(IF((DiscreteStatsTable[GroupByKey]=DiscreteStatsTable[[#This Row],[GroupByKey]]),(DiscreteStatsTable[GroupByKey]=DiscreteStatsTable[[#This Row],[GroupByKey]])*DiscreteStatsTable[Maximum]))</f>
        <v>0.95888680213271504</v>
      </c>
      <c r="V944" s="5" cm="1">
        <f t="array" ref="V944">IFERROR(AVERAGE(IF((DiscreteStatsTable[GroupByKey]=DiscreteStatsTable[[#This Row],[GroupByKey]]),(DiscreteStatsTable[GroupByKey]=DiscreteStatsTable[[#This Row],[GroupByKey]])*DiscreteStatsTable[NumberObservations])),0)</f>
        <v>1</v>
      </c>
      <c r="W944" s="5">
        <f>IF((DiscreteStatsTable[[#This Row],[RepsRequested]]&gt;1),DiscreteStatsTable[[#This Row],[HalfWidth]],DiscreteStatsTable[[#This Row],[BatchMeansHalfWidth]])</f>
        <v>3.3674816741294945E-2</v>
      </c>
      <c r="X944" s="5" cm="1">
        <f t="array" ref="X944">COUNT(IF((DiscreteStatsTable[GroupByKey]=DiscreteStatsTable[[#This Row],[GroupByKey]]),(DiscreteStatsTable[GroupByKey]=DiscreteStatsTable[[#This Row],[GroupByKey]])*DiscreteStatsTable[Replication]))</f>
        <v>17</v>
      </c>
      <c r="Y944" s="5">
        <f>IF(DiscreteStatsTable[[#This Row],[RepsRequested]]=DiscreteStatsTable[[#This Row],[RepsWithStatObserved]],1,0)</f>
        <v>1</v>
      </c>
    </row>
    <row r="945" spans="1:25" x14ac:dyDescent="0.25">
      <c r="A945" t="s">
        <v>67</v>
      </c>
      <c r="B945" t="s">
        <v>69</v>
      </c>
      <c r="C945">
        <v>6</v>
      </c>
      <c r="D945" t="s">
        <v>126</v>
      </c>
      <c r="E945" t="s">
        <v>79</v>
      </c>
      <c r="F945" t="s">
        <v>80</v>
      </c>
      <c r="G945">
        <v>0.73707365264835401</v>
      </c>
      <c r="H945">
        <v>2E+20</v>
      </c>
      <c r="I945">
        <v>0.73707365264835401</v>
      </c>
      <c r="J945">
        <v>0.73707365264835401</v>
      </c>
      <c r="K945">
        <v>1</v>
      </c>
      <c r="L945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5" s="5" cm="1">
        <f t="array" ref="M945">MAX(IF((ProjectInfoTable[ProjectName]=DiscreteStatsTable[[#This Row],[ProjectName]]),(ProjectInfoTable[ProjectName]=DiscreteStatsTable[[#This Row],[ProjectName]])*ProjectInfoTable[NumberOfReplications]))</f>
        <v>17</v>
      </c>
      <c r="N945" s="5" cm="1">
        <f t="array" ref="N945">IFERROR(AVERAGE(IF((DiscreteStatsTable[GroupByKey]=DiscreteStatsTable[[#This Row],[GroupByKey]]),(DiscreteStatsTable[GroupByKey]=DiscreteStatsTable[[#This Row],[GroupByKey]])*DiscreteStatsTable[Average])),0)</f>
        <v>0.82034721885470152</v>
      </c>
      <c r="O945" s="5" cm="1">
        <f t="array" ref="O945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5" s="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 s="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5" s="5" cm="1">
        <f t="array" ref="R945">MIN(IF((DiscreteStatsTable[GroupByKey]=DiscreteStatsTable[[#This Row],[GroupByKey]]),(DiscreteStatsTable[GroupByKey]=DiscreteStatsTable[[#This Row],[GroupByKey]])*DiscreteStatsTable[Average]))</f>
        <v>0.73534383204610498</v>
      </c>
      <c r="S945" s="5" cm="1">
        <f t="array" ref="S945">MAX(IF((DiscreteStatsTable[GroupByKey]=DiscreteStatsTable[[#This Row],[GroupByKey]]),(DiscreteStatsTable[GroupByKey]=DiscreteStatsTable[[#This Row],[GroupByKey]])*DiscreteStatsTable[Average]))</f>
        <v>0.95888680213271504</v>
      </c>
      <c r="T945" s="5" cm="1">
        <f t="array" ref="T945">MIN(IF((DiscreteStatsTable[GroupByKey]=DiscreteStatsTable[[#This Row],[GroupByKey]]),(DiscreteStatsTable[GroupByKey]=DiscreteStatsTable[[#This Row],[GroupByKey]])*DiscreteStatsTable[Minimum]))</f>
        <v>0.73534383204610498</v>
      </c>
      <c r="U945" s="5" cm="1">
        <f t="array" ref="U945">MAX(IF((DiscreteStatsTable[GroupByKey]=DiscreteStatsTable[[#This Row],[GroupByKey]]),(DiscreteStatsTable[GroupByKey]=DiscreteStatsTable[[#This Row],[GroupByKey]])*DiscreteStatsTable[Maximum]))</f>
        <v>0.95888680213271504</v>
      </c>
      <c r="V945" s="5" cm="1">
        <f t="array" ref="V945">IFERROR(AVERAGE(IF((DiscreteStatsTable[GroupByKey]=DiscreteStatsTable[[#This Row],[GroupByKey]]),(DiscreteStatsTable[GroupByKey]=DiscreteStatsTable[[#This Row],[GroupByKey]])*DiscreteStatsTable[NumberObservations])),0)</f>
        <v>1</v>
      </c>
      <c r="W945" s="5">
        <f>IF((DiscreteStatsTable[[#This Row],[RepsRequested]]&gt;1),DiscreteStatsTable[[#This Row],[HalfWidth]],DiscreteStatsTable[[#This Row],[BatchMeansHalfWidth]])</f>
        <v>3.3674816741294945E-2</v>
      </c>
      <c r="X945" s="5" cm="1">
        <f t="array" ref="X945">COUNT(IF((DiscreteStatsTable[GroupByKey]=DiscreteStatsTable[[#This Row],[GroupByKey]]),(DiscreteStatsTable[GroupByKey]=DiscreteStatsTable[[#This Row],[GroupByKey]])*DiscreteStatsTable[Replication]))</f>
        <v>17</v>
      </c>
      <c r="Y945" s="5">
        <f>IF(DiscreteStatsTable[[#This Row],[RepsRequested]]=DiscreteStatsTable[[#This Row],[RepsWithStatObserved]],1,0)</f>
        <v>1</v>
      </c>
    </row>
    <row r="946" spans="1:25" x14ac:dyDescent="0.25">
      <c r="A946" t="s">
        <v>67</v>
      </c>
      <c r="B946" t="s">
        <v>69</v>
      </c>
      <c r="C946">
        <v>7</v>
      </c>
      <c r="D946" t="s">
        <v>126</v>
      </c>
      <c r="E946" t="s">
        <v>79</v>
      </c>
      <c r="F946" t="s">
        <v>80</v>
      </c>
      <c r="G946">
        <v>0.788535692973937</v>
      </c>
      <c r="H946">
        <v>2E+20</v>
      </c>
      <c r="I946">
        <v>0.788535692973937</v>
      </c>
      <c r="J946">
        <v>0.788535692973937</v>
      </c>
      <c r="K946">
        <v>1</v>
      </c>
      <c r="L946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6" s="5" cm="1">
        <f t="array" ref="M946">MAX(IF((ProjectInfoTable[ProjectName]=DiscreteStatsTable[[#This Row],[ProjectName]]),(ProjectInfoTable[ProjectName]=DiscreteStatsTable[[#This Row],[ProjectName]])*ProjectInfoTable[NumberOfReplications]))</f>
        <v>17</v>
      </c>
      <c r="N946" s="5" cm="1">
        <f t="array" ref="N946">IFERROR(AVERAGE(IF((DiscreteStatsTable[GroupByKey]=DiscreteStatsTable[[#This Row],[GroupByKey]]),(DiscreteStatsTable[GroupByKey]=DiscreteStatsTable[[#This Row],[GroupByKey]])*DiscreteStatsTable[Average])),0)</f>
        <v>0.82034721885470152</v>
      </c>
      <c r="O946" s="5" cm="1">
        <f t="array" ref="O946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6" s="5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 s="5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6" s="5" cm="1">
        <f t="array" ref="R946">MIN(IF((DiscreteStatsTable[GroupByKey]=DiscreteStatsTable[[#This Row],[GroupByKey]]),(DiscreteStatsTable[GroupByKey]=DiscreteStatsTable[[#This Row],[GroupByKey]])*DiscreteStatsTable[Average]))</f>
        <v>0.73534383204610498</v>
      </c>
      <c r="S946" s="5" cm="1">
        <f t="array" ref="S946">MAX(IF((DiscreteStatsTable[GroupByKey]=DiscreteStatsTable[[#This Row],[GroupByKey]]),(DiscreteStatsTable[GroupByKey]=DiscreteStatsTable[[#This Row],[GroupByKey]])*DiscreteStatsTable[Average]))</f>
        <v>0.95888680213271504</v>
      </c>
      <c r="T946" s="5" cm="1">
        <f t="array" ref="T946">MIN(IF((DiscreteStatsTable[GroupByKey]=DiscreteStatsTable[[#This Row],[GroupByKey]]),(DiscreteStatsTable[GroupByKey]=DiscreteStatsTable[[#This Row],[GroupByKey]])*DiscreteStatsTable[Minimum]))</f>
        <v>0.73534383204610498</v>
      </c>
      <c r="U946" s="5" cm="1">
        <f t="array" ref="U946">MAX(IF((DiscreteStatsTable[GroupByKey]=DiscreteStatsTable[[#This Row],[GroupByKey]]),(DiscreteStatsTable[GroupByKey]=DiscreteStatsTable[[#This Row],[GroupByKey]])*DiscreteStatsTable[Maximum]))</f>
        <v>0.95888680213271504</v>
      </c>
      <c r="V946" s="5" cm="1">
        <f t="array" ref="V946">IFERROR(AVERAGE(IF((DiscreteStatsTable[GroupByKey]=DiscreteStatsTable[[#This Row],[GroupByKey]]),(DiscreteStatsTable[GroupByKey]=DiscreteStatsTable[[#This Row],[GroupByKey]])*DiscreteStatsTable[NumberObservations])),0)</f>
        <v>1</v>
      </c>
      <c r="W946" s="5">
        <f>IF((DiscreteStatsTable[[#This Row],[RepsRequested]]&gt;1),DiscreteStatsTable[[#This Row],[HalfWidth]],DiscreteStatsTable[[#This Row],[BatchMeansHalfWidth]])</f>
        <v>3.3674816741294945E-2</v>
      </c>
      <c r="X946" s="5" cm="1">
        <f t="array" ref="X946">COUNT(IF((DiscreteStatsTable[GroupByKey]=DiscreteStatsTable[[#This Row],[GroupByKey]]),(DiscreteStatsTable[GroupByKey]=DiscreteStatsTable[[#This Row],[GroupByKey]])*DiscreteStatsTable[Replication]))</f>
        <v>17</v>
      </c>
      <c r="Y946" s="5">
        <f>IF(DiscreteStatsTable[[#This Row],[RepsRequested]]=DiscreteStatsTable[[#This Row],[RepsWithStatObserved]],1,0)</f>
        <v>1</v>
      </c>
    </row>
    <row r="947" spans="1:25" x14ac:dyDescent="0.25">
      <c r="A947" t="s">
        <v>67</v>
      </c>
      <c r="B947" t="s">
        <v>69</v>
      </c>
      <c r="C947">
        <v>8</v>
      </c>
      <c r="D947" t="s">
        <v>126</v>
      </c>
      <c r="E947" t="s">
        <v>79</v>
      </c>
      <c r="F947" t="s">
        <v>80</v>
      </c>
      <c r="G947">
        <v>0.85086953734208004</v>
      </c>
      <c r="H947">
        <v>2E+20</v>
      </c>
      <c r="I947">
        <v>0.85086953734208004</v>
      </c>
      <c r="J947">
        <v>0.85086953734208004</v>
      </c>
      <c r="K947">
        <v>1</v>
      </c>
      <c r="L947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7" s="5" cm="1">
        <f t="array" ref="M947">MAX(IF((ProjectInfoTable[ProjectName]=DiscreteStatsTable[[#This Row],[ProjectName]]),(ProjectInfoTable[ProjectName]=DiscreteStatsTable[[#This Row],[ProjectName]])*ProjectInfoTable[NumberOfReplications]))</f>
        <v>17</v>
      </c>
      <c r="N947" s="5" cm="1">
        <f t="array" ref="N947">IFERROR(AVERAGE(IF((DiscreteStatsTable[GroupByKey]=DiscreteStatsTable[[#This Row],[GroupByKey]]),(DiscreteStatsTable[GroupByKey]=DiscreteStatsTable[[#This Row],[GroupByKey]])*DiscreteStatsTable[Average])),0)</f>
        <v>0.82034721885470152</v>
      </c>
      <c r="O947" s="5" cm="1">
        <f t="array" ref="O947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7" s="5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 s="5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7" s="5" cm="1">
        <f t="array" ref="R947">MIN(IF((DiscreteStatsTable[GroupByKey]=DiscreteStatsTable[[#This Row],[GroupByKey]]),(DiscreteStatsTable[GroupByKey]=DiscreteStatsTable[[#This Row],[GroupByKey]])*DiscreteStatsTable[Average]))</f>
        <v>0.73534383204610498</v>
      </c>
      <c r="S947" s="5" cm="1">
        <f t="array" ref="S947">MAX(IF((DiscreteStatsTable[GroupByKey]=DiscreteStatsTable[[#This Row],[GroupByKey]]),(DiscreteStatsTable[GroupByKey]=DiscreteStatsTable[[#This Row],[GroupByKey]])*DiscreteStatsTable[Average]))</f>
        <v>0.95888680213271504</v>
      </c>
      <c r="T947" s="5" cm="1">
        <f t="array" ref="T947">MIN(IF((DiscreteStatsTable[GroupByKey]=DiscreteStatsTable[[#This Row],[GroupByKey]]),(DiscreteStatsTable[GroupByKey]=DiscreteStatsTable[[#This Row],[GroupByKey]])*DiscreteStatsTable[Minimum]))</f>
        <v>0.73534383204610498</v>
      </c>
      <c r="U947" s="5" cm="1">
        <f t="array" ref="U947">MAX(IF((DiscreteStatsTable[GroupByKey]=DiscreteStatsTable[[#This Row],[GroupByKey]]),(DiscreteStatsTable[GroupByKey]=DiscreteStatsTable[[#This Row],[GroupByKey]])*DiscreteStatsTable[Maximum]))</f>
        <v>0.95888680213271504</v>
      </c>
      <c r="V947" s="5" cm="1">
        <f t="array" ref="V947">IFERROR(AVERAGE(IF((DiscreteStatsTable[GroupByKey]=DiscreteStatsTable[[#This Row],[GroupByKey]]),(DiscreteStatsTable[GroupByKey]=DiscreteStatsTable[[#This Row],[GroupByKey]])*DiscreteStatsTable[NumberObservations])),0)</f>
        <v>1</v>
      </c>
      <c r="W947" s="5">
        <f>IF((DiscreteStatsTable[[#This Row],[RepsRequested]]&gt;1),DiscreteStatsTable[[#This Row],[HalfWidth]],DiscreteStatsTable[[#This Row],[BatchMeansHalfWidth]])</f>
        <v>3.3674816741294945E-2</v>
      </c>
      <c r="X947" s="5" cm="1">
        <f t="array" ref="X947">COUNT(IF((DiscreteStatsTable[GroupByKey]=DiscreteStatsTable[[#This Row],[GroupByKey]]),(DiscreteStatsTable[GroupByKey]=DiscreteStatsTable[[#This Row],[GroupByKey]])*DiscreteStatsTable[Replication]))</f>
        <v>17</v>
      </c>
      <c r="Y947" s="5">
        <f>IF(DiscreteStatsTable[[#This Row],[RepsRequested]]=DiscreteStatsTable[[#This Row],[RepsWithStatObserved]],1,0)</f>
        <v>1</v>
      </c>
    </row>
    <row r="948" spans="1:25" x14ac:dyDescent="0.25">
      <c r="A948" t="s">
        <v>67</v>
      </c>
      <c r="B948" t="s">
        <v>69</v>
      </c>
      <c r="C948">
        <v>9</v>
      </c>
      <c r="D948" t="s">
        <v>126</v>
      </c>
      <c r="E948" t="s">
        <v>79</v>
      </c>
      <c r="F948" t="s">
        <v>80</v>
      </c>
      <c r="G948">
        <v>0.82055692316692297</v>
      </c>
      <c r="H948">
        <v>2E+20</v>
      </c>
      <c r="I948">
        <v>0.82055692316692297</v>
      </c>
      <c r="J948">
        <v>0.82055692316692297</v>
      </c>
      <c r="K948">
        <v>1</v>
      </c>
      <c r="L948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8" s="5" cm="1">
        <f t="array" ref="M948">MAX(IF((ProjectInfoTable[ProjectName]=DiscreteStatsTable[[#This Row],[ProjectName]]),(ProjectInfoTable[ProjectName]=DiscreteStatsTable[[#This Row],[ProjectName]])*ProjectInfoTable[NumberOfReplications]))</f>
        <v>17</v>
      </c>
      <c r="N948" s="5" cm="1">
        <f t="array" ref="N948">IFERROR(AVERAGE(IF((DiscreteStatsTable[GroupByKey]=DiscreteStatsTable[[#This Row],[GroupByKey]]),(DiscreteStatsTable[GroupByKey]=DiscreteStatsTable[[#This Row],[GroupByKey]])*DiscreteStatsTable[Average])),0)</f>
        <v>0.82034721885470152</v>
      </c>
      <c r="O948" s="5" cm="1">
        <f t="array" ref="O948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8" s="5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 s="5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8" s="5" cm="1">
        <f t="array" ref="R948">MIN(IF((DiscreteStatsTable[GroupByKey]=DiscreteStatsTable[[#This Row],[GroupByKey]]),(DiscreteStatsTable[GroupByKey]=DiscreteStatsTable[[#This Row],[GroupByKey]])*DiscreteStatsTable[Average]))</f>
        <v>0.73534383204610498</v>
      </c>
      <c r="S948" s="5" cm="1">
        <f t="array" ref="S948">MAX(IF((DiscreteStatsTable[GroupByKey]=DiscreteStatsTable[[#This Row],[GroupByKey]]),(DiscreteStatsTable[GroupByKey]=DiscreteStatsTable[[#This Row],[GroupByKey]])*DiscreteStatsTable[Average]))</f>
        <v>0.95888680213271504</v>
      </c>
      <c r="T948" s="5" cm="1">
        <f t="array" ref="T948">MIN(IF((DiscreteStatsTable[GroupByKey]=DiscreteStatsTable[[#This Row],[GroupByKey]]),(DiscreteStatsTable[GroupByKey]=DiscreteStatsTable[[#This Row],[GroupByKey]])*DiscreteStatsTable[Minimum]))</f>
        <v>0.73534383204610498</v>
      </c>
      <c r="U948" s="5" cm="1">
        <f t="array" ref="U948">MAX(IF((DiscreteStatsTable[GroupByKey]=DiscreteStatsTable[[#This Row],[GroupByKey]]),(DiscreteStatsTable[GroupByKey]=DiscreteStatsTable[[#This Row],[GroupByKey]])*DiscreteStatsTable[Maximum]))</f>
        <v>0.95888680213271504</v>
      </c>
      <c r="V948" s="5" cm="1">
        <f t="array" ref="V948">IFERROR(AVERAGE(IF((DiscreteStatsTable[GroupByKey]=DiscreteStatsTable[[#This Row],[GroupByKey]]),(DiscreteStatsTable[GroupByKey]=DiscreteStatsTable[[#This Row],[GroupByKey]])*DiscreteStatsTable[NumberObservations])),0)</f>
        <v>1</v>
      </c>
      <c r="W948" s="5">
        <f>IF((DiscreteStatsTable[[#This Row],[RepsRequested]]&gt;1),DiscreteStatsTable[[#This Row],[HalfWidth]],DiscreteStatsTable[[#This Row],[BatchMeansHalfWidth]])</f>
        <v>3.3674816741294945E-2</v>
      </c>
      <c r="X948" s="5" cm="1">
        <f t="array" ref="X948">COUNT(IF((DiscreteStatsTable[GroupByKey]=DiscreteStatsTable[[#This Row],[GroupByKey]]),(DiscreteStatsTable[GroupByKey]=DiscreteStatsTable[[#This Row],[GroupByKey]])*DiscreteStatsTable[Replication]))</f>
        <v>17</v>
      </c>
      <c r="Y948" s="5">
        <f>IF(DiscreteStatsTable[[#This Row],[RepsRequested]]=DiscreteStatsTable[[#This Row],[RepsWithStatObserved]],1,0)</f>
        <v>1</v>
      </c>
    </row>
    <row r="949" spans="1:25" x14ac:dyDescent="0.25">
      <c r="A949" t="s">
        <v>67</v>
      </c>
      <c r="B949" t="s">
        <v>69</v>
      </c>
      <c r="C949">
        <v>10</v>
      </c>
      <c r="D949" t="s">
        <v>126</v>
      </c>
      <c r="E949" t="s">
        <v>79</v>
      </c>
      <c r="F949" t="s">
        <v>80</v>
      </c>
      <c r="G949">
        <v>0.88290459880079397</v>
      </c>
      <c r="H949">
        <v>2E+20</v>
      </c>
      <c r="I949">
        <v>0.88290459880079397</v>
      </c>
      <c r="J949">
        <v>0.88290459880079397</v>
      </c>
      <c r="K949">
        <v>1</v>
      </c>
      <c r="L949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49" s="5" cm="1">
        <f t="array" ref="M949">MAX(IF((ProjectInfoTable[ProjectName]=DiscreteStatsTable[[#This Row],[ProjectName]]),(ProjectInfoTable[ProjectName]=DiscreteStatsTable[[#This Row],[ProjectName]])*ProjectInfoTable[NumberOfReplications]))</f>
        <v>17</v>
      </c>
      <c r="N949" s="5" cm="1">
        <f t="array" ref="N949">IFERROR(AVERAGE(IF((DiscreteStatsTable[GroupByKey]=DiscreteStatsTable[[#This Row],[GroupByKey]]),(DiscreteStatsTable[GroupByKey]=DiscreteStatsTable[[#This Row],[GroupByKey]])*DiscreteStatsTable[Average])),0)</f>
        <v>0.82034721885470152</v>
      </c>
      <c r="O949" s="5" cm="1">
        <f t="array" ref="O949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49" s="5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 s="5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49" s="5" cm="1">
        <f t="array" ref="R949">MIN(IF((DiscreteStatsTable[GroupByKey]=DiscreteStatsTable[[#This Row],[GroupByKey]]),(DiscreteStatsTable[GroupByKey]=DiscreteStatsTable[[#This Row],[GroupByKey]])*DiscreteStatsTable[Average]))</f>
        <v>0.73534383204610498</v>
      </c>
      <c r="S949" s="5" cm="1">
        <f t="array" ref="S949">MAX(IF((DiscreteStatsTable[GroupByKey]=DiscreteStatsTable[[#This Row],[GroupByKey]]),(DiscreteStatsTable[GroupByKey]=DiscreteStatsTable[[#This Row],[GroupByKey]])*DiscreteStatsTable[Average]))</f>
        <v>0.95888680213271504</v>
      </c>
      <c r="T949" s="5" cm="1">
        <f t="array" ref="T949">MIN(IF((DiscreteStatsTable[GroupByKey]=DiscreteStatsTable[[#This Row],[GroupByKey]]),(DiscreteStatsTable[GroupByKey]=DiscreteStatsTable[[#This Row],[GroupByKey]])*DiscreteStatsTable[Minimum]))</f>
        <v>0.73534383204610498</v>
      </c>
      <c r="U949" s="5" cm="1">
        <f t="array" ref="U949">MAX(IF((DiscreteStatsTable[GroupByKey]=DiscreteStatsTable[[#This Row],[GroupByKey]]),(DiscreteStatsTable[GroupByKey]=DiscreteStatsTable[[#This Row],[GroupByKey]])*DiscreteStatsTable[Maximum]))</f>
        <v>0.95888680213271504</v>
      </c>
      <c r="V949" s="5" cm="1">
        <f t="array" ref="V949">IFERROR(AVERAGE(IF((DiscreteStatsTable[GroupByKey]=DiscreteStatsTable[[#This Row],[GroupByKey]]),(DiscreteStatsTable[GroupByKey]=DiscreteStatsTable[[#This Row],[GroupByKey]])*DiscreteStatsTable[NumberObservations])),0)</f>
        <v>1</v>
      </c>
      <c r="W949" s="5">
        <f>IF((DiscreteStatsTable[[#This Row],[RepsRequested]]&gt;1),DiscreteStatsTable[[#This Row],[HalfWidth]],DiscreteStatsTable[[#This Row],[BatchMeansHalfWidth]])</f>
        <v>3.3674816741294945E-2</v>
      </c>
      <c r="X949" s="5" cm="1">
        <f t="array" ref="X949">COUNT(IF((DiscreteStatsTable[GroupByKey]=DiscreteStatsTable[[#This Row],[GroupByKey]]),(DiscreteStatsTable[GroupByKey]=DiscreteStatsTable[[#This Row],[GroupByKey]])*DiscreteStatsTable[Replication]))</f>
        <v>17</v>
      </c>
      <c r="Y949" s="5">
        <f>IF(DiscreteStatsTable[[#This Row],[RepsRequested]]=DiscreteStatsTable[[#This Row],[RepsWithStatObserved]],1,0)</f>
        <v>1</v>
      </c>
    </row>
    <row r="950" spans="1:25" x14ac:dyDescent="0.25">
      <c r="A950" t="s">
        <v>67</v>
      </c>
      <c r="B950" t="s">
        <v>69</v>
      </c>
      <c r="C950">
        <v>11</v>
      </c>
      <c r="D950" t="s">
        <v>126</v>
      </c>
      <c r="E950" t="s">
        <v>79</v>
      </c>
      <c r="F950" t="s">
        <v>80</v>
      </c>
      <c r="G950">
        <v>0.79483347197116505</v>
      </c>
      <c r="H950">
        <v>2E+20</v>
      </c>
      <c r="I950">
        <v>0.79483347197116505</v>
      </c>
      <c r="J950">
        <v>0.79483347197116505</v>
      </c>
      <c r="K950">
        <v>1</v>
      </c>
      <c r="L950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50" s="5" cm="1">
        <f t="array" ref="M950">MAX(IF((ProjectInfoTable[ProjectName]=DiscreteStatsTable[[#This Row],[ProjectName]]),(ProjectInfoTable[ProjectName]=DiscreteStatsTable[[#This Row],[ProjectName]])*ProjectInfoTable[NumberOfReplications]))</f>
        <v>17</v>
      </c>
      <c r="N950" s="5" cm="1">
        <f t="array" ref="N950">IFERROR(AVERAGE(IF((DiscreteStatsTable[GroupByKey]=DiscreteStatsTable[[#This Row],[GroupByKey]]),(DiscreteStatsTable[GroupByKey]=DiscreteStatsTable[[#This Row],[GroupByKey]])*DiscreteStatsTable[Average])),0)</f>
        <v>0.82034721885470152</v>
      </c>
      <c r="O950" s="5" cm="1">
        <f t="array" ref="O950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50" s="5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 s="5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50" s="5" cm="1">
        <f t="array" ref="R950">MIN(IF((DiscreteStatsTable[GroupByKey]=DiscreteStatsTable[[#This Row],[GroupByKey]]),(DiscreteStatsTable[GroupByKey]=DiscreteStatsTable[[#This Row],[GroupByKey]])*DiscreteStatsTable[Average]))</f>
        <v>0.73534383204610498</v>
      </c>
      <c r="S950" s="5" cm="1">
        <f t="array" ref="S950">MAX(IF((DiscreteStatsTable[GroupByKey]=DiscreteStatsTable[[#This Row],[GroupByKey]]),(DiscreteStatsTable[GroupByKey]=DiscreteStatsTable[[#This Row],[GroupByKey]])*DiscreteStatsTable[Average]))</f>
        <v>0.95888680213271504</v>
      </c>
      <c r="T950" s="5" cm="1">
        <f t="array" ref="T950">MIN(IF((DiscreteStatsTable[GroupByKey]=DiscreteStatsTable[[#This Row],[GroupByKey]]),(DiscreteStatsTable[GroupByKey]=DiscreteStatsTable[[#This Row],[GroupByKey]])*DiscreteStatsTable[Minimum]))</f>
        <v>0.73534383204610498</v>
      </c>
      <c r="U950" s="5" cm="1">
        <f t="array" ref="U950">MAX(IF((DiscreteStatsTable[GroupByKey]=DiscreteStatsTable[[#This Row],[GroupByKey]]),(DiscreteStatsTable[GroupByKey]=DiscreteStatsTable[[#This Row],[GroupByKey]])*DiscreteStatsTable[Maximum]))</f>
        <v>0.95888680213271504</v>
      </c>
      <c r="V950" s="5" cm="1">
        <f t="array" ref="V950">IFERROR(AVERAGE(IF((DiscreteStatsTable[GroupByKey]=DiscreteStatsTable[[#This Row],[GroupByKey]]),(DiscreteStatsTable[GroupByKey]=DiscreteStatsTable[[#This Row],[GroupByKey]])*DiscreteStatsTable[NumberObservations])),0)</f>
        <v>1</v>
      </c>
      <c r="W950" s="5">
        <f>IF((DiscreteStatsTable[[#This Row],[RepsRequested]]&gt;1),DiscreteStatsTable[[#This Row],[HalfWidth]],DiscreteStatsTable[[#This Row],[BatchMeansHalfWidth]])</f>
        <v>3.3674816741294945E-2</v>
      </c>
      <c r="X950" s="5" cm="1">
        <f t="array" ref="X950">COUNT(IF((DiscreteStatsTable[GroupByKey]=DiscreteStatsTable[[#This Row],[GroupByKey]]),(DiscreteStatsTable[GroupByKey]=DiscreteStatsTable[[#This Row],[GroupByKey]])*DiscreteStatsTable[Replication]))</f>
        <v>17</v>
      </c>
      <c r="Y950" s="5">
        <f>IF(DiscreteStatsTable[[#This Row],[RepsRequested]]=DiscreteStatsTable[[#This Row],[RepsWithStatObserved]],1,0)</f>
        <v>1</v>
      </c>
    </row>
    <row r="951" spans="1:25" x14ac:dyDescent="0.25">
      <c r="A951" t="s">
        <v>67</v>
      </c>
      <c r="B951" t="s">
        <v>69</v>
      </c>
      <c r="C951">
        <v>12</v>
      </c>
      <c r="D951" t="s">
        <v>126</v>
      </c>
      <c r="E951" t="s">
        <v>79</v>
      </c>
      <c r="F951" t="s">
        <v>80</v>
      </c>
      <c r="G951">
        <v>0.81573225758243195</v>
      </c>
      <c r="H951">
        <v>2E+20</v>
      </c>
      <c r="I951">
        <v>0.81573225758243195</v>
      </c>
      <c r="J951">
        <v>0.81573225758243195</v>
      </c>
      <c r="K951">
        <v>1</v>
      </c>
      <c r="L951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51" s="5" cm="1">
        <f t="array" ref="M951">MAX(IF((ProjectInfoTable[ProjectName]=DiscreteStatsTable[[#This Row],[ProjectName]]),(ProjectInfoTable[ProjectName]=DiscreteStatsTable[[#This Row],[ProjectName]])*ProjectInfoTable[NumberOfReplications]))</f>
        <v>17</v>
      </c>
      <c r="N951" s="5" cm="1">
        <f t="array" ref="N951">IFERROR(AVERAGE(IF((DiscreteStatsTable[GroupByKey]=DiscreteStatsTable[[#This Row],[GroupByKey]]),(DiscreteStatsTable[GroupByKey]=DiscreteStatsTable[[#This Row],[GroupByKey]])*DiscreteStatsTable[Average])),0)</f>
        <v>0.82034721885470152</v>
      </c>
      <c r="O951" s="5" cm="1">
        <f t="array" ref="O951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51" s="5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 s="5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51" s="5" cm="1">
        <f t="array" ref="R951">MIN(IF((DiscreteStatsTable[GroupByKey]=DiscreteStatsTable[[#This Row],[GroupByKey]]),(DiscreteStatsTable[GroupByKey]=DiscreteStatsTable[[#This Row],[GroupByKey]])*DiscreteStatsTable[Average]))</f>
        <v>0.73534383204610498</v>
      </c>
      <c r="S951" s="5" cm="1">
        <f t="array" ref="S951">MAX(IF((DiscreteStatsTable[GroupByKey]=DiscreteStatsTable[[#This Row],[GroupByKey]]),(DiscreteStatsTable[GroupByKey]=DiscreteStatsTable[[#This Row],[GroupByKey]])*DiscreteStatsTable[Average]))</f>
        <v>0.95888680213271504</v>
      </c>
      <c r="T951" s="5" cm="1">
        <f t="array" ref="T951">MIN(IF((DiscreteStatsTable[GroupByKey]=DiscreteStatsTable[[#This Row],[GroupByKey]]),(DiscreteStatsTable[GroupByKey]=DiscreteStatsTable[[#This Row],[GroupByKey]])*DiscreteStatsTable[Minimum]))</f>
        <v>0.73534383204610498</v>
      </c>
      <c r="U951" s="5" cm="1">
        <f t="array" ref="U951">MAX(IF((DiscreteStatsTable[GroupByKey]=DiscreteStatsTable[[#This Row],[GroupByKey]]),(DiscreteStatsTable[GroupByKey]=DiscreteStatsTable[[#This Row],[GroupByKey]])*DiscreteStatsTable[Maximum]))</f>
        <v>0.95888680213271504</v>
      </c>
      <c r="V951" s="5" cm="1">
        <f t="array" ref="V951">IFERROR(AVERAGE(IF((DiscreteStatsTable[GroupByKey]=DiscreteStatsTable[[#This Row],[GroupByKey]]),(DiscreteStatsTable[GroupByKey]=DiscreteStatsTable[[#This Row],[GroupByKey]])*DiscreteStatsTable[NumberObservations])),0)</f>
        <v>1</v>
      </c>
      <c r="W951" s="5">
        <f>IF((DiscreteStatsTable[[#This Row],[RepsRequested]]&gt;1),DiscreteStatsTable[[#This Row],[HalfWidth]],DiscreteStatsTable[[#This Row],[BatchMeansHalfWidth]])</f>
        <v>3.3674816741294945E-2</v>
      </c>
      <c r="X951" s="5" cm="1">
        <f t="array" ref="X951">COUNT(IF((DiscreteStatsTable[GroupByKey]=DiscreteStatsTable[[#This Row],[GroupByKey]]),(DiscreteStatsTable[GroupByKey]=DiscreteStatsTable[[#This Row],[GroupByKey]])*DiscreteStatsTable[Replication]))</f>
        <v>17</v>
      </c>
      <c r="Y951" s="5">
        <f>IF(DiscreteStatsTable[[#This Row],[RepsRequested]]=DiscreteStatsTable[[#This Row],[RepsWithStatObserved]],1,0)</f>
        <v>1</v>
      </c>
    </row>
    <row r="952" spans="1:25" x14ac:dyDescent="0.25">
      <c r="A952" t="s">
        <v>67</v>
      </c>
      <c r="B952" t="s">
        <v>69</v>
      </c>
      <c r="C952">
        <v>13</v>
      </c>
      <c r="D952" t="s">
        <v>126</v>
      </c>
      <c r="E952" t="s">
        <v>79</v>
      </c>
      <c r="F952" t="s">
        <v>80</v>
      </c>
      <c r="G952">
        <v>0.75713038369841801</v>
      </c>
      <c r="H952">
        <v>2E+20</v>
      </c>
      <c r="I952">
        <v>0.75713038369841801</v>
      </c>
      <c r="J952">
        <v>0.75713038369841801</v>
      </c>
      <c r="K952">
        <v>1</v>
      </c>
      <c r="L952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52" s="5" cm="1">
        <f t="array" ref="M952">MAX(IF((ProjectInfoTable[ProjectName]=DiscreteStatsTable[[#This Row],[ProjectName]]),(ProjectInfoTable[ProjectName]=DiscreteStatsTable[[#This Row],[ProjectName]])*ProjectInfoTable[NumberOfReplications]))</f>
        <v>17</v>
      </c>
      <c r="N952" s="5" cm="1">
        <f t="array" ref="N952">IFERROR(AVERAGE(IF((DiscreteStatsTable[GroupByKey]=DiscreteStatsTable[[#This Row],[GroupByKey]]),(DiscreteStatsTable[GroupByKey]=DiscreteStatsTable[[#This Row],[GroupByKey]])*DiscreteStatsTable[Average])),0)</f>
        <v>0.82034721885470152</v>
      </c>
      <c r="O952" s="5" cm="1">
        <f t="array" ref="O952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52" s="5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5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52" s="5" cm="1">
        <f t="array" ref="R952">MIN(IF((DiscreteStatsTable[GroupByKey]=DiscreteStatsTable[[#This Row],[GroupByKey]]),(DiscreteStatsTable[GroupByKey]=DiscreteStatsTable[[#This Row],[GroupByKey]])*DiscreteStatsTable[Average]))</f>
        <v>0.73534383204610498</v>
      </c>
      <c r="S952" s="5" cm="1">
        <f t="array" ref="S952">MAX(IF((DiscreteStatsTable[GroupByKey]=DiscreteStatsTable[[#This Row],[GroupByKey]]),(DiscreteStatsTable[GroupByKey]=DiscreteStatsTable[[#This Row],[GroupByKey]])*DiscreteStatsTable[Average]))</f>
        <v>0.95888680213271504</v>
      </c>
      <c r="T952" s="5" cm="1">
        <f t="array" ref="T952">MIN(IF((DiscreteStatsTable[GroupByKey]=DiscreteStatsTable[[#This Row],[GroupByKey]]),(DiscreteStatsTable[GroupByKey]=DiscreteStatsTable[[#This Row],[GroupByKey]])*DiscreteStatsTable[Minimum]))</f>
        <v>0.73534383204610498</v>
      </c>
      <c r="U952" s="5" cm="1">
        <f t="array" ref="U952">MAX(IF((DiscreteStatsTable[GroupByKey]=DiscreteStatsTable[[#This Row],[GroupByKey]]),(DiscreteStatsTable[GroupByKey]=DiscreteStatsTable[[#This Row],[GroupByKey]])*DiscreteStatsTable[Maximum]))</f>
        <v>0.95888680213271504</v>
      </c>
      <c r="V952" s="5" cm="1">
        <f t="array" ref="V952">IFERROR(AVERAGE(IF((DiscreteStatsTable[GroupByKey]=DiscreteStatsTable[[#This Row],[GroupByKey]]),(DiscreteStatsTable[GroupByKey]=DiscreteStatsTable[[#This Row],[GroupByKey]])*DiscreteStatsTable[NumberObservations])),0)</f>
        <v>1</v>
      </c>
      <c r="W952" s="5">
        <f>IF((DiscreteStatsTable[[#This Row],[RepsRequested]]&gt;1),DiscreteStatsTable[[#This Row],[HalfWidth]],DiscreteStatsTable[[#This Row],[BatchMeansHalfWidth]])</f>
        <v>3.3674816741294945E-2</v>
      </c>
      <c r="X952" s="5" cm="1">
        <f t="array" ref="X952">COUNT(IF((DiscreteStatsTable[GroupByKey]=DiscreteStatsTable[[#This Row],[GroupByKey]]),(DiscreteStatsTable[GroupByKey]=DiscreteStatsTable[[#This Row],[GroupByKey]])*DiscreteStatsTable[Replication]))</f>
        <v>17</v>
      </c>
      <c r="Y952" s="5">
        <f>IF(DiscreteStatsTable[[#This Row],[RepsRequested]]=DiscreteStatsTable[[#This Row],[RepsWithStatObserved]],1,0)</f>
        <v>1</v>
      </c>
    </row>
    <row r="953" spans="1:25" x14ac:dyDescent="0.25">
      <c r="A953" t="s">
        <v>67</v>
      </c>
      <c r="B953" t="s">
        <v>69</v>
      </c>
      <c r="C953">
        <v>14</v>
      </c>
      <c r="D953" t="s">
        <v>126</v>
      </c>
      <c r="E953" t="s">
        <v>79</v>
      </c>
      <c r="F953" t="s">
        <v>80</v>
      </c>
      <c r="G953">
        <v>0.87240837809518301</v>
      </c>
      <c r="H953">
        <v>2E+20</v>
      </c>
      <c r="I953">
        <v>0.87240837809518301</v>
      </c>
      <c r="J953">
        <v>0.87240837809518301</v>
      </c>
      <c r="K953">
        <v>1</v>
      </c>
      <c r="L953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53" s="5" cm="1">
        <f t="array" ref="M953">MAX(IF((ProjectInfoTable[ProjectName]=DiscreteStatsTable[[#This Row],[ProjectName]]),(ProjectInfoTable[ProjectName]=DiscreteStatsTable[[#This Row],[ProjectName]])*ProjectInfoTable[NumberOfReplications]))</f>
        <v>17</v>
      </c>
      <c r="N953" s="5" cm="1">
        <f t="array" ref="N953">IFERROR(AVERAGE(IF((DiscreteStatsTable[GroupByKey]=DiscreteStatsTable[[#This Row],[GroupByKey]]),(DiscreteStatsTable[GroupByKey]=DiscreteStatsTable[[#This Row],[GroupByKey]])*DiscreteStatsTable[Average])),0)</f>
        <v>0.82034721885470152</v>
      </c>
      <c r="O953" s="5" cm="1">
        <f t="array" ref="O953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53" s="5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5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53" s="5" cm="1">
        <f t="array" ref="R953">MIN(IF((DiscreteStatsTable[GroupByKey]=DiscreteStatsTable[[#This Row],[GroupByKey]]),(DiscreteStatsTable[GroupByKey]=DiscreteStatsTable[[#This Row],[GroupByKey]])*DiscreteStatsTable[Average]))</f>
        <v>0.73534383204610498</v>
      </c>
      <c r="S953" s="5" cm="1">
        <f t="array" ref="S953">MAX(IF((DiscreteStatsTable[GroupByKey]=DiscreteStatsTable[[#This Row],[GroupByKey]]),(DiscreteStatsTable[GroupByKey]=DiscreteStatsTable[[#This Row],[GroupByKey]])*DiscreteStatsTable[Average]))</f>
        <v>0.95888680213271504</v>
      </c>
      <c r="T953" s="5" cm="1">
        <f t="array" ref="T953">MIN(IF((DiscreteStatsTable[GroupByKey]=DiscreteStatsTable[[#This Row],[GroupByKey]]),(DiscreteStatsTable[GroupByKey]=DiscreteStatsTable[[#This Row],[GroupByKey]])*DiscreteStatsTable[Minimum]))</f>
        <v>0.73534383204610498</v>
      </c>
      <c r="U953" s="5" cm="1">
        <f t="array" ref="U953">MAX(IF((DiscreteStatsTable[GroupByKey]=DiscreteStatsTable[[#This Row],[GroupByKey]]),(DiscreteStatsTable[GroupByKey]=DiscreteStatsTable[[#This Row],[GroupByKey]])*DiscreteStatsTable[Maximum]))</f>
        <v>0.95888680213271504</v>
      </c>
      <c r="V953" s="5" cm="1">
        <f t="array" ref="V953">IFERROR(AVERAGE(IF((DiscreteStatsTable[GroupByKey]=DiscreteStatsTable[[#This Row],[GroupByKey]]),(DiscreteStatsTable[GroupByKey]=DiscreteStatsTable[[#This Row],[GroupByKey]])*DiscreteStatsTable[NumberObservations])),0)</f>
        <v>1</v>
      </c>
      <c r="W953" s="5">
        <f>IF((DiscreteStatsTable[[#This Row],[RepsRequested]]&gt;1),DiscreteStatsTable[[#This Row],[HalfWidth]],DiscreteStatsTable[[#This Row],[BatchMeansHalfWidth]])</f>
        <v>3.3674816741294945E-2</v>
      </c>
      <c r="X953" s="5" cm="1">
        <f t="array" ref="X953">COUNT(IF((DiscreteStatsTable[GroupByKey]=DiscreteStatsTable[[#This Row],[GroupByKey]]),(DiscreteStatsTable[GroupByKey]=DiscreteStatsTable[[#This Row],[GroupByKey]])*DiscreteStatsTable[Replication]))</f>
        <v>17</v>
      </c>
      <c r="Y953" s="5">
        <f>IF(DiscreteStatsTable[[#This Row],[RepsRequested]]=DiscreteStatsTable[[#This Row],[RepsWithStatObserved]],1,0)</f>
        <v>1</v>
      </c>
    </row>
    <row r="954" spans="1:25" x14ac:dyDescent="0.25">
      <c r="A954" t="s">
        <v>67</v>
      </c>
      <c r="B954" t="s">
        <v>69</v>
      </c>
      <c r="C954">
        <v>15</v>
      </c>
      <c r="D954" t="s">
        <v>126</v>
      </c>
      <c r="E954" t="s">
        <v>79</v>
      </c>
      <c r="F954" t="s">
        <v>80</v>
      </c>
      <c r="G954">
        <v>0.80135619468820696</v>
      </c>
      <c r="H954">
        <v>2E+20</v>
      </c>
      <c r="I954">
        <v>0.80135619468820696</v>
      </c>
      <c r="J954">
        <v>0.80135619468820696</v>
      </c>
      <c r="K954">
        <v>1</v>
      </c>
      <c r="L954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54" s="5" cm="1">
        <f t="array" ref="M954">MAX(IF((ProjectInfoTable[ProjectName]=DiscreteStatsTable[[#This Row],[ProjectName]]),(ProjectInfoTable[ProjectName]=DiscreteStatsTable[[#This Row],[ProjectName]])*ProjectInfoTable[NumberOfReplications]))</f>
        <v>17</v>
      </c>
      <c r="N954" s="5" cm="1">
        <f t="array" ref="N954">IFERROR(AVERAGE(IF((DiscreteStatsTable[GroupByKey]=DiscreteStatsTable[[#This Row],[GroupByKey]]),(DiscreteStatsTable[GroupByKey]=DiscreteStatsTable[[#This Row],[GroupByKey]])*DiscreteStatsTable[Average])),0)</f>
        <v>0.82034721885470152</v>
      </c>
      <c r="O954" s="5" cm="1">
        <f t="array" ref="O954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54" s="5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5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54" s="5" cm="1">
        <f t="array" ref="R954">MIN(IF((DiscreteStatsTable[GroupByKey]=DiscreteStatsTable[[#This Row],[GroupByKey]]),(DiscreteStatsTable[GroupByKey]=DiscreteStatsTable[[#This Row],[GroupByKey]])*DiscreteStatsTable[Average]))</f>
        <v>0.73534383204610498</v>
      </c>
      <c r="S954" s="5" cm="1">
        <f t="array" ref="S954">MAX(IF((DiscreteStatsTable[GroupByKey]=DiscreteStatsTable[[#This Row],[GroupByKey]]),(DiscreteStatsTable[GroupByKey]=DiscreteStatsTable[[#This Row],[GroupByKey]])*DiscreteStatsTable[Average]))</f>
        <v>0.95888680213271504</v>
      </c>
      <c r="T954" s="5" cm="1">
        <f t="array" ref="T954">MIN(IF((DiscreteStatsTable[GroupByKey]=DiscreteStatsTable[[#This Row],[GroupByKey]]),(DiscreteStatsTable[GroupByKey]=DiscreteStatsTable[[#This Row],[GroupByKey]])*DiscreteStatsTable[Minimum]))</f>
        <v>0.73534383204610498</v>
      </c>
      <c r="U954" s="5" cm="1">
        <f t="array" ref="U954">MAX(IF((DiscreteStatsTable[GroupByKey]=DiscreteStatsTable[[#This Row],[GroupByKey]]),(DiscreteStatsTable[GroupByKey]=DiscreteStatsTable[[#This Row],[GroupByKey]])*DiscreteStatsTable[Maximum]))</f>
        <v>0.95888680213271504</v>
      </c>
      <c r="V954" s="5" cm="1">
        <f t="array" ref="V954">IFERROR(AVERAGE(IF((DiscreteStatsTable[GroupByKey]=DiscreteStatsTable[[#This Row],[GroupByKey]]),(DiscreteStatsTable[GroupByKey]=DiscreteStatsTable[[#This Row],[GroupByKey]])*DiscreteStatsTable[NumberObservations])),0)</f>
        <v>1</v>
      </c>
      <c r="W954" s="5">
        <f>IF((DiscreteStatsTable[[#This Row],[RepsRequested]]&gt;1),DiscreteStatsTable[[#This Row],[HalfWidth]],DiscreteStatsTable[[#This Row],[BatchMeansHalfWidth]])</f>
        <v>3.3674816741294945E-2</v>
      </c>
      <c r="X954" s="5" cm="1">
        <f t="array" ref="X954">COUNT(IF((DiscreteStatsTable[GroupByKey]=DiscreteStatsTable[[#This Row],[GroupByKey]]),(DiscreteStatsTable[GroupByKey]=DiscreteStatsTable[[#This Row],[GroupByKey]])*DiscreteStatsTable[Replication]))</f>
        <v>17</v>
      </c>
      <c r="Y954" s="5">
        <f>IF(DiscreteStatsTable[[#This Row],[RepsRequested]]=DiscreteStatsTable[[#This Row],[RepsWithStatObserved]],1,0)</f>
        <v>1</v>
      </c>
    </row>
    <row r="955" spans="1:25" x14ac:dyDescent="0.25">
      <c r="A955" t="s">
        <v>67</v>
      </c>
      <c r="B955" t="s">
        <v>69</v>
      </c>
      <c r="C955">
        <v>16</v>
      </c>
      <c r="D955" t="s">
        <v>126</v>
      </c>
      <c r="E955" t="s">
        <v>79</v>
      </c>
      <c r="F955" t="s">
        <v>80</v>
      </c>
      <c r="G955">
        <v>0.73766612257745801</v>
      </c>
      <c r="H955">
        <v>2E+20</v>
      </c>
      <c r="I955">
        <v>0.73766612257745801</v>
      </c>
      <c r="J955">
        <v>0.73766612257745801</v>
      </c>
      <c r="K955">
        <v>1</v>
      </c>
      <c r="L955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55" s="5" cm="1">
        <f t="array" ref="M955">MAX(IF((ProjectInfoTable[ProjectName]=DiscreteStatsTable[[#This Row],[ProjectName]]),(ProjectInfoTable[ProjectName]=DiscreteStatsTable[[#This Row],[ProjectName]])*ProjectInfoTable[NumberOfReplications]))</f>
        <v>17</v>
      </c>
      <c r="N955" s="5" cm="1">
        <f t="array" ref="N955">IFERROR(AVERAGE(IF((DiscreteStatsTable[GroupByKey]=DiscreteStatsTable[[#This Row],[GroupByKey]]),(DiscreteStatsTable[GroupByKey]=DiscreteStatsTable[[#This Row],[GroupByKey]])*DiscreteStatsTable[Average])),0)</f>
        <v>0.82034721885470152</v>
      </c>
      <c r="O955" s="5" cm="1">
        <f t="array" ref="O955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55" s="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55" s="5" cm="1">
        <f t="array" ref="R955">MIN(IF((DiscreteStatsTable[GroupByKey]=DiscreteStatsTable[[#This Row],[GroupByKey]]),(DiscreteStatsTable[GroupByKey]=DiscreteStatsTable[[#This Row],[GroupByKey]])*DiscreteStatsTable[Average]))</f>
        <v>0.73534383204610498</v>
      </c>
      <c r="S955" s="5" cm="1">
        <f t="array" ref="S955">MAX(IF((DiscreteStatsTable[GroupByKey]=DiscreteStatsTable[[#This Row],[GroupByKey]]),(DiscreteStatsTable[GroupByKey]=DiscreteStatsTable[[#This Row],[GroupByKey]])*DiscreteStatsTable[Average]))</f>
        <v>0.95888680213271504</v>
      </c>
      <c r="T955" s="5" cm="1">
        <f t="array" ref="T955">MIN(IF((DiscreteStatsTable[GroupByKey]=DiscreteStatsTable[[#This Row],[GroupByKey]]),(DiscreteStatsTable[GroupByKey]=DiscreteStatsTable[[#This Row],[GroupByKey]])*DiscreteStatsTable[Minimum]))</f>
        <v>0.73534383204610498</v>
      </c>
      <c r="U955" s="5" cm="1">
        <f t="array" ref="U955">MAX(IF((DiscreteStatsTable[GroupByKey]=DiscreteStatsTable[[#This Row],[GroupByKey]]),(DiscreteStatsTable[GroupByKey]=DiscreteStatsTable[[#This Row],[GroupByKey]])*DiscreteStatsTable[Maximum]))</f>
        <v>0.95888680213271504</v>
      </c>
      <c r="V955" s="5" cm="1">
        <f t="array" ref="V955">IFERROR(AVERAGE(IF((DiscreteStatsTable[GroupByKey]=DiscreteStatsTable[[#This Row],[GroupByKey]]),(DiscreteStatsTable[GroupByKey]=DiscreteStatsTable[[#This Row],[GroupByKey]])*DiscreteStatsTable[NumberObservations])),0)</f>
        <v>1</v>
      </c>
      <c r="W955" s="5">
        <f>IF((DiscreteStatsTable[[#This Row],[RepsRequested]]&gt;1),DiscreteStatsTable[[#This Row],[HalfWidth]],DiscreteStatsTable[[#This Row],[BatchMeansHalfWidth]])</f>
        <v>3.3674816741294945E-2</v>
      </c>
      <c r="X955" s="5" cm="1">
        <f t="array" ref="X955">COUNT(IF((DiscreteStatsTable[GroupByKey]=DiscreteStatsTable[[#This Row],[GroupByKey]]),(DiscreteStatsTable[GroupByKey]=DiscreteStatsTable[[#This Row],[GroupByKey]])*DiscreteStatsTable[Replication]))</f>
        <v>17</v>
      </c>
      <c r="Y955" s="5">
        <f>IF(DiscreteStatsTable[[#This Row],[RepsRequested]]=DiscreteStatsTable[[#This Row],[RepsWithStatObserved]],1,0)</f>
        <v>1</v>
      </c>
    </row>
    <row r="956" spans="1:25" x14ac:dyDescent="0.25">
      <c r="A956" t="s">
        <v>67</v>
      </c>
      <c r="B956" t="s">
        <v>69</v>
      </c>
      <c r="C956">
        <v>17</v>
      </c>
      <c r="D956" t="s">
        <v>126</v>
      </c>
      <c r="E956" t="s">
        <v>79</v>
      </c>
      <c r="F956" t="s">
        <v>80</v>
      </c>
      <c r="G956">
        <v>0.87839421174033205</v>
      </c>
      <c r="H956">
        <v>2E+20</v>
      </c>
      <c r="I956">
        <v>0.87839421174033205</v>
      </c>
      <c r="J956">
        <v>0.87839421174033205</v>
      </c>
      <c r="K956">
        <v>1</v>
      </c>
      <c r="L956" s="5" t="str">
        <f>DiscreteStatsTable[[#This Row],[ProjectName]]&amp;DiscreteStatsTable[[#This Row],[Name]]&amp;DiscreteStatsTable[[#This Row],[Type]]&amp;DiscreteStatsTable[[#This Row],[Source]]</f>
        <v>Weekend (base)UtilizacionCocinaH3ExpressionUser Specified</v>
      </c>
      <c r="M956" s="5" cm="1">
        <f t="array" ref="M956">MAX(IF((ProjectInfoTable[ProjectName]=DiscreteStatsTable[[#This Row],[ProjectName]]),(ProjectInfoTable[ProjectName]=DiscreteStatsTable[[#This Row],[ProjectName]])*ProjectInfoTable[NumberOfReplications]))</f>
        <v>17</v>
      </c>
      <c r="N956" s="5" cm="1">
        <f t="array" ref="N956">IFERROR(AVERAGE(IF((DiscreteStatsTable[GroupByKey]=DiscreteStatsTable[[#This Row],[GroupByKey]]),(DiscreteStatsTable[GroupByKey]=DiscreteStatsTable[[#This Row],[GroupByKey]])*DiscreteStatsTable[Average])),0)</f>
        <v>0.82034721885470152</v>
      </c>
      <c r="O956" s="5" cm="1">
        <f t="array" ref="O956">IFERROR(_xlfn.STDEV.S(IF((DiscreteStatsTable[GroupByKey]=DiscreteStatsTable[[#This Row],[GroupByKey]]),(DiscreteStatsTable[GroupByKey]=DiscreteStatsTable[[#This Row],[GroupByKey]])*DiscreteStatsTable[Average])),0)</f>
        <v>6.5495768324500853E-2</v>
      </c>
      <c r="P956" s="5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5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3.3674816741294945E-2</v>
      </c>
      <c r="R956" s="5" cm="1">
        <f t="array" ref="R956">MIN(IF((DiscreteStatsTable[GroupByKey]=DiscreteStatsTable[[#This Row],[GroupByKey]]),(DiscreteStatsTable[GroupByKey]=DiscreteStatsTable[[#This Row],[GroupByKey]])*DiscreteStatsTable[Average]))</f>
        <v>0.73534383204610498</v>
      </c>
      <c r="S956" s="5" cm="1">
        <f t="array" ref="S956">MAX(IF((DiscreteStatsTable[GroupByKey]=DiscreteStatsTable[[#This Row],[GroupByKey]]),(DiscreteStatsTable[GroupByKey]=DiscreteStatsTable[[#This Row],[GroupByKey]])*DiscreteStatsTable[Average]))</f>
        <v>0.95888680213271504</v>
      </c>
      <c r="T956" s="5" cm="1">
        <f t="array" ref="T956">MIN(IF((DiscreteStatsTable[GroupByKey]=DiscreteStatsTable[[#This Row],[GroupByKey]]),(DiscreteStatsTable[GroupByKey]=DiscreteStatsTable[[#This Row],[GroupByKey]])*DiscreteStatsTable[Minimum]))</f>
        <v>0.73534383204610498</v>
      </c>
      <c r="U956" s="5" cm="1">
        <f t="array" ref="U956">MAX(IF((DiscreteStatsTable[GroupByKey]=DiscreteStatsTable[[#This Row],[GroupByKey]]),(DiscreteStatsTable[GroupByKey]=DiscreteStatsTable[[#This Row],[GroupByKey]])*DiscreteStatsTable[Maximum]))</f>
        <v>0.95888680213271504</v>
      </c>
      <c r="V956" s="5" cm="1">
        <f t="array" ref="V956">IFERROR(AVERAGE(IF((DiscreteStatsTable[GroupByKey]=DiscreteStatsTable[[#This Row],[GroupByKey]]),(DiscreteStatsTable[GroupByKey]=DiscreteStatsTable[[#This Row],[GroupByKey]])*DiscreteStatsTable[NumberObservations])),0)</f>
        <v>1</v>
      </c>
      <c r="W956" s="5">
        <f>IF((DiscreteStatsTable[[#This Row],[RepsRequested]]&gt;1),DiscreteStatsTable[[#This Row],[HalfWidth]],DiscreteStatsTable[[#This Row],[BatchMeansHalfWidth]])</f>
        <v>3.3674816741294945E-2</v>
      </c>
      <c r="X956" s="5" cm="1">
        <f t="array" ref="X956">COUNT(IF((DiscreteStatsTable[GroupByKey]=DiscreteStatsTable[[#This Row],[GroupByKey]]),(DiscreteStatsTable[GroupByKey]=DiscreteStatsTable[[#This Row],[GroupByKey]])*DiscreteStatsTable[Replication]))</f>
        <v>17</v>
      </c>
      <c r="Y956" s="5">
        <f>IF(DiscreteStatsTable[[#This Row],[RepsRequested]]=DiscreteStatsTable[[#This Row],[RepsWithStatObserved]],1,0)</f>
        <v>1</v>
      </c>
    </row>
  </sheetData>
  <phoneticPr fontId="2" type="noConversion"/>
  <conditionalFormatting sqref="H2:H956 Q2:Q956">
    <cfRule type="expression" dxfId="20" priority="23">
      <formula>H2=200000000000000000000</formula>
    </cfRule>
  </conditionalFormatting>
  <conditionalFormatting sqref="H2:H956">
    <cfRule type="expression" dxfId="19" priority="21">
      <formula>H2=300000000000000000000</formula>
    </cfRule>
  </conditionalFormatting>
  <conditionalFormatting sqref="L2:Y956">
    <cfRule type="expression" dxfId="18" priority="19">
      <formula>MOD(ROW(),2)=0</formula>
    </cfRule>
  </conditionalFormatting>
  <conditionalFormatting sqref="Y2:Y956">
    <cfRule type="expression" dxfId="17" priority="14">
      <formula>Y2=0</formula>
    </cfRule>
    <cfRule type="expression" dxfId="16" priority="16">
      <formula>Y2=1</formula>
    </cfRule>
  </conditionalFormatting>
  <conditionalFormatting sqref="Y3:Y956">
    <cfRule type="expression" dxfId="15" priority="15">
      <formula>Y3=1</formula>
    </cfRule>
  </conditionalFormatting>
  <conditionalFormatting sqref="W2:W95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956 W2:W95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24"/>
  <sheetViews>
    <sheetView workbookViewId="0">
      <selection activeCell="A2" sqref="A2:L11"/>
    </sheetView>
  </sheetViews>
  <sheetFormatPr baseColWidth="10" defaultColWidth="9.140625" defaultRowHeight="15" x14ac:dyDescent="0.25"/>
  <cols>
    <col min="1" max="1" width="15.5703125" bestFit="1" customWidth="1"/>
    <col min="2" max="2" width="22.140625" bestFit="1" customWidth="1"/>
    <col min="3" max="3" width="13.28515625" bestFit="1" customWidth="1"/>
    <col min="4" max="4" width="21.5703125" bestFit="1" customWidth="1"/>
    <col min="5" max="5" width="23.42578125" bestFit="1" customWidth="1"/>
    <col min="6" max="6" width="13.7109375" bestFit="1" customWidth="1"/>
    <col min="7" max="7" width="12" bestFit="1" customWidth="1"/>
    <col min="8" max="8" width="23.5703125" bestFit="1" customWidth="1"/>
    <col min="9" max="9" width="12" bestFit="1" customWidth="1"/>
    <col min="10" max="10" width="12.28515625" bestFit="1" customWidth="1"/>
    <col min="11" max="11" width="20.42578125" bestFit="1" customWidth="1"/>
    <col min="12" max="12" width="12" bestFit="1" customWidth="1"/>
    <col min="13" max="13" width="57.7109375" bestFit="1" customWidth="1"/>
    <col min="14" max="14" width="17.140625" bestFit="1" customWidth="1"/>
    <col min="15" max="15" width="20.140625" bestFit="1" customWidth="1"/>
    <col min="16" max="16" width="17.85546875" bestFit="1" customWidth="1"/>
    <col min="17" max="17" width="20.42578125" bestFit="1" customWidth="1"/>
    <col min="18" max="18" width="12.42578125" bestFit="1" customWidth="1"/>
    <col min="19" max="19" width="19.42578125" bestFit="1" customWidth="1"/>
    <col min="20" max="20" width="19.7109375" bestFit="1" customWidth="1"/>
    <col min="21" max="21" width="20.85546875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129</v>
      </c>
      <c r="F2" t="s">
        <v>72</v>
      </c>
      <c r="G2">
        <v>7.26052008580099</v>
      </c>
      <c r="H2">
        <v>3E+20</v>
      </c>
      <c r="I2">
        <v>0</v>
      </c>
      <c r="J2">
        <v>19</v>
      </c>
      <c r="K2">
        <v>7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17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5.4544685782955797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9.9812364527489308</v>
      </c>
      <c r="U2">
        <f>IF((ContinuousStatsTable[[#This Row],[RepsRequested]]&gt;1),ContinuousStatsTable[[#This Row],[HalfWidth]],ContinuousStatsTable[[#This Row],[BatchMeansHalfWidth]])</f>
        <v>0.73494663100688618</v>
      </c>
    </row>
    <row r="3" spans="1:21" x14ac:dyDescent="0.25">
      <c r="A3" t="s">
        <v>67</v>
      </c>
      <c r="B3" t="s">
        <v>69</v>
      </c>
      <c r="C3">
        <v>1</v>
      </c>
      <c r="D3" t="s">
        <v>89</v>
      </c>
      <c r="E3" t="s">
        <v>130</v>
      </c>
      <c r="F3" t="s">
        <v>91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17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25">
      <c r="A4" t="s">
        <v>67</v>
      </c>
      <c r="B4" t="s">
        <v>69</v>
      </c>
      <c r="C4">
        <v>1</v>
      </c>
      <c r="D4" t="s">
        <v>92</v>
      </c>
      <c r="E4" t="s">
        <v>130</v>
      </c>
      <c r="F4" t="s">
        <v>91</v>
      </c>
      <c r="G4">
        <v>1.5802625622411499</v>
      </c>
      <c r="H4">
        <v>2E+20</v>
      </c>
      <c r="I4">
        <v>0</v>
      </c>
      <c r="J4">
        <v>7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17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1.1292470593949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2.9364889703726602</v>
      </c>
      <c r="U4">
        <f>IF((ContinuousStatsTable[[#This Row],[RepsRequested]]&gt;1),ContinuousStatsTable[[#This Row],[HalfWidth]],ContinuousStatsTable[[#This Row],[BatchMeansHalfWidth]])</f>
        <v>0.26472622632728454</v>
      </c>
    </row>
    <row r="5" spans="1:21" x14ac:dyDescent="0.25">
      <c r="A5" t="s">
        <v>67</v>
      </c>
      <c r="B5" t="s">
        <v>69</v>
      </c>
      <c r="C5">
        <v>1</v>
      </c>
      <c r="D5" t="s">
        <v>131</v>
      </c>
      <c r="E5" t="s">
        <v>129</v>
      </c>
      <c r="F5" t="s">
        <v>72</v>
      </c>
      <c r="G5">
        <v>3.6377268277838199</v>
      </c>
      <c r="H5">
        <v>2E+20</v>
      </c>
      <c r="I5">
        <v>0</v>
      </c>
      <c r="J5">
        <v>8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17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2.7429685070299299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4.8837925841766499</v>
      </c>
      <c r="U5">
        <f>IF((ContinuousStatsTable[[#This Row],[RepsRequested]]&gt;1),ContinuousStatsTable[[#This Row],[HalfWidth]],ContinuousStatsTable[[#This Row],[BatchMeansHalfWidth]])</f>
        <v>0.34715563137404881</v>
      </c>
    </row>
    <row r="6" spans="1:21" x14ac:dyDescent="0.25">
      <c r="A6" t="s">
        <v>67</v>
      </c>
      <c r="B6" t="s">
        <v>69</v>
      </c>
      <c r="C6">
        <v>1</v>
      </c>
      <c r="D6" t="s">
        <v>99</v>
      </c>
      <c r="E6" t="s">
        <v>130</v>
      </c>
      <c r="F6" t="s">
        <v>91</v>
      </c>
      <c r="G6">
        <v>1.11073864078917</v>
      </c>
      <c r="H6">
        <v>2E+20</v>
      </c>
      <c r="I6">
        <v>0</v>
      </c>
      <c r="J6">
        <v>9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17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0.64455717508326504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2.69061971266638</v>
      </c>
      <c r="U6">
        <f>IF((ContinuousStatsTable[[#This Row],[RepsRequested]]&gt;1),ContinuousStatsTable[[#This Row],[HalfWidth]],ContinuousStatsTable[[#This Row],[BatchMeansHalfWidth]])</f>
        <v>0.32696662226075207</v>
      </c>
    </row>
    <row r="7" spans="1:21" x14ac:dyDescent="0.25">
      <c r="A7" t="s">
        <v>67</v>
      </c>
      <c r="B7" t="s">
        <v>69</v>
      </c>
      <c r="C7">
        <v>1</v>
      </c>
      <c r="D7" t="s">
        <v>104</v>
      </c>
      <c r="E7" t="s">
        <v>130</v>
      </c>
      <c r="F7" t="s">
        <v>91</v>
      </c>
      <c r="G7">
        <v>0.49797868707661203</v>
      </c>
      <c r="H7">
        <v>2E+20</v>
      </c>
      <c r="I7">
        <v>0</v>
      </c>
      <c r="J7">
        <v>5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17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0.20519043218243799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1.8050950008829001</v>
      </c>
      <c r="U7">
        <f>IF((ContinuousStatsTable[[#This Row],[RepsRequested]]&gt;1),ContinuousStatsTable[[#This Row],[HalfWidth]],ContinuousStatsTable[[#This Row],[BatchMeansHalfWidth]])</f>
        <v>0.22777269441319098</v>
      </c>
    </row>
    <row r="8" spans="1:21" x14ac:dyDescent="0.25">
      <c r="A8" t="s">
        <v>67</v>
      </c>
      <c r="B8" t="s">
        <v>69</v>
      </c>
      <c r="C8">
        <v>1</v>
      </c>
      <c r="D8" t="s">
        <v>132</v>
      </c>
      <c r="E8" t="s">
        <v>133</v>
      </c>
      <c r="F8" t="s">
        <v>80</v>
      </c>
      <c r="G8">
        <v>1.94264945072785</v>
      </c>
      <c r="H8">
        <v>2E+20</v>
      </c>
      <c r="I8">
        <v>0</v>
      </c>
      <c r="J8">
        <v>5</v>
      </c>
      <c r="K8">
        <v>3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17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1.04395220385056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2.6910314688690198</v>
      </c>
      <c r="U8">
        <f>IF((ContinuousStatsTable[[#This Row],[RepsRequested]]&gt;1),ContinuousStatsTable[[#This Row],[HalfWidth]],ContinuousStatsTable[[#This Row],[BatchMeansHalfWidth]])</f>
        <v>0.19531820168707029</v>
      </c>
    </row>
    <row r="9" spans="1:21" x14ac:dyDescent="0.25">
      <c r="A9" t="s">
        <v>67</v>
      </c>
      <c r="B9" t="s">
        <v>69</v>
      </c>
      <c r="C9">
        <v>1</v>
      </c>
      <c r="D9" t="s">
        <v>134</v>
      </c>
      <c r="E9" t="s">
        <v>135</v>
      </c>
      <c r="F9" t="s">
        <v>136</v>
      </c>
      <c r="G9">
        <v>0.83444472024726102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17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0.73534383204610498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0.95888680213271504</v>
      </c>
      <c r="U9">
        <f>IF((ContinuousStatsTable[[#This Row],[RepsRequested]]&gt;1),ContinuousStatsTable[[#This Row],[HalfWidth]],ContinuousStatsTable[[#This Row],[BatchMeansHalfWidth]])</f>
        <v>3.3674816741294945E-2</v>
      </c>
    </row>
    <row r="10" spans="1:21" x14ac:dyDescent="0.25">
      <c r="A10" t="s">
        <v>67</v>
      </c>
      <c r="B10" t="s">
        <v>69</v>
      </c>
      <c r="C10">
        <v>1</v>
      </c>
      <c r="D10" t="s">
        <v>134</v>
      </c>
      <c r="E10" t="s">
        <v>137</v>
      </c>
      <c r="F10" t="s">
        <v>136</v>
      </c>
      <c r="G10">
        <v>0.83444472024726102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17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0.73534383204610498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0.95888680213271504</v>
      </c>
      <c r="U10">
        <f>IF((ContinuousStatsTable[[#This Row],[RepsRequested]]&gt;1),ContinuousStatsTable[[#This Row],[HalfWidth]],ContinuousStatsTable[[#This Row],[BatchMeansHalfWidth]])</f>
        <v>3.3674816741294945E-2</v>
      </c>
    </row>
    <row r="11" spans="1:21" x14ac:dyDescent="0.25">
      <c r="A11" t="s">
        <v>67</v>
      </c>
      <c r="B11" t="s">
        <v>69</v>
      </c>
      <c r="C11">
        <v>1</v>
      </c>
      <c r="D11" t="s">
        <v>134</v>
      </c>
      <c r="E11" t="s">
        <v>138</v>
      </c>
      <c r="F11" t="s">
        <v>136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17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25">
      <c r="A12" t="s">
        <v>67</v>
      </c>
      <c r="B12" t="s">
        <v>69</v>
      </c>
      <c r="C12">
        <v>1</v>
      </c>
      <c r="D12" t="s">
        <v>139</v>
      </c>
      <c r="E12" t="s">
        <v>135</v>
      </c>
      <c r="F12" t="s">
        <v>136</v>
      </c>
      <c r="G12">
        <v>0.72539246956556902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17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0.52223972091576099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0.77852312806092006</v>
      </c>
      <c r="U12" s="5">
        <f>IF((ContinuousStatsTable[[#This Row],[RepsRequested]]&gt;1),ContinuousStatsTable[[#This Row],[HalfWidth]],ContinuousStatsTable[[#This Row],[BatchMeansHalfWidth]])</f>
        <v>3.4022068014651748E-2</v>
      </c>
    </row>
    <row r="13" spans="1:21" x14ac:dyDescent="0.25">
      <c r="A13" t="s">
        <v>67</v>
      </c>
      <c r="B13" t="s">
        <v>69</v>
      </c>
      <c r="C13">
        <v>1</v>
      </c>
      <c r="D13" t="s">
        <v>139</v>
      </c>
      <c r="E13" t="s">
        <v>137</v>
      </c>
      <c r="F13" t="s">
        <v>136</v>
      </c>
      <c r="G13">
        <v>0.72539246956556902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17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0.52223972091576099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0.77852312806092006</v>
      </c>
      <c r="U13" s="5">
        <f>IF((ContinuousStatsTable[[#This Row],[RepsRequested]]&gt;1),ContinuousStatsTable[[#This Row],[HalfWidth]],ContinuousStatsTable[[#This Row],[BatchMeansHalfWidth]])</f>
        <v>3.4022068014651748E-2</v>
      </c>
    </row>
    <row r="14" spans="1:21" x14ac:dyDescent="0.25">
      <c r="A14" t="s">
        <v>67</v>
      </c>
      <c r="B14" t="s">
        <v>69</v>
      </c>
      <c r="C14">
        <v>1</v>
      </c>
      <c r="D14" t="s">
        <v>139</v>
      </c>
      <c r="E14" t="s">
        <v>138</v>
      </c>
      <c r="F14" t="s">
        <v>136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17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69</v>
      </c>
      <c r="C15">
        <v>1</v>
      </c>
      <c r="D15" t="s">
        <v>140</v>
      </c>
      <c r="E15" t="s">
        <v>135</v>
      </c>
      <c r="F15" t="s">
        <v>136</v>
      </c>
      <c r="G15">
        <v>0.38852989014557099</v>
      </c>
      <c r="H15">
        <v>2E+20</v>
      </c>
      <c r="I15">
        <v>0</v>
      </c>
      <c r="J15">
        <v>1</v>
      </c>
      <c r="K15">
        <v>0.6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17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0.20879044077011299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0.53820629377380302</v>
      </c>
      <c r="U15" s="5">
        <f>IF((ContinuousStatsTable[[#This Row],[RepsRequested]]&gt;1),ContinuousStatsTable[[#This Row],[HalfWidth]],ContinuousStatsTable[[#This Row],[BatchMeansHalfWidth]])</f>
        <v>3.9063640337413962E-2</v>
      </c>
    </row>
    <row r="16" spans="1:21" x14ac:dyDescent="0.25">
      <c r="A16" t="s">
        <v>67</v>
      </c>
      <c r="B16" t="s">
        <v>69</v>
      </c>
      <c r="C16">
        <v>1</v>
      </c>
      <c r="D16" t="s">
        <v>140</v>
      </c>
      <c r="E16" t="s">
        <v>137</v>
      </c>
      <c r="F16" t="s">
        <v>136</v>
      </c>
      <c r="G16">
        <v>1.94264945072785</v>
      </c>
      <c r="H16">
        <v>2E+20</v>
      </c>
      <c r="I16">
        <v>0</v>
      </c>
      <c r="J16">
        <v>5</v>
      </c>
      <c r="K16">
        <v>3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17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1.04395220385056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2.6910314688690198</v>
      </c>
      <c r="U16" s="5">
        <f>IF((ContinuousStatsTable[[#This Row],[RepsRequested]]&gt;1),ContinuousStatsTable[[#This Row],[HalfWidth]],ContinuousStatsTable[[#This Row],[BatchMeansHalfWidth]])</f>
        <v>0.19531820168707029</v>
      </c>
    </row>
    <row r="17" spans="1:21" x14ac:dyDescent="0.25">
      <c r="A17" t="s">
        <v>67</v>
      </c>
      <c r="B17" t="s">
        <v>69</v>
      </c>
      <c r="C17">
        <v>1</v>
      </c>
      <c r="D17" t="s">
        <v>140</v>
      </c>
      <c r="E17" t="s">
        <v>138</v>
      </c>
      <c r="F17" t="s">
        <v>136</v>
      </c>
      <c r="G17">
        <v>5</v>
      </c>
      <c r="H17">
        <v>2E+20</v>
      </c>
      <c r="I17">
        <v>5</v>
      </c>
      <c r="J17">
        <v>5</v>
      </c>
      <c r="K17">
        <v>5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17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5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5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5</v>
      </c>
      <c r="U17" s="5">
        <f>IF((ContinuousStatsTable[[#This Row],[RepsRequested]]&gt;1),ContinuousStatsTable[[#This Row],[HalfWidth]],ContinuousStatsTable[[#This Row],[BatchMeansHalfWidth]])</f>
        <v>0</v>
      </c>
    </row>
    <row r="18" spans="1:21" x14ac:dyDescent="0.25">
      <c r="A18" t="s">
        <v>67</v>
      </c>
      <c r="B18" t="s">
        <v>69</v>
      </c>
      <c r="C18">
        <v>1</v>
      </c>
      <c r="D18" t="s">
        <v>127</v>
      </c>
      <c r="E18" t="s">
        <v>129</v>
      </c>
      <c r="F18" t="s">
        <v>72</v>
      </c>
      <c r="G18">
        <v>0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17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67</v>
      </c>
      <c r="B19" t="s">
        <v>69</v>
      </c>
      <c r="C19">
        <v>1</v>
      </c>
      <c r="D19" t="s">
        <v>141</v>
      </c>
      <c r="E19" t="s">
        <v>142</v>
      </c>
      <c r="F19" t="s">
        <v>80</v>
      </c>
      <c r="G19">
        <v>5.2366669313694203</v>
      </c>
      <c r="H19">
        <v>2E+20</v>
      </c>
      <c r="I19">
        <v>0</v>
      </c>
      <c r="J19">
        <v>16</v>
      </c>
      <c r="K19">
        <v>4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17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3.84735462379287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7.9213485690690897</v>
      </c>
      <c r="U19" s="5">
        <f>IF((ContinuousStatsTable[[#This Row],[RepsRequested]]&gt;1),ContinuousStatsTable[[#This Row],[HalfWidth]],ContinuousStatsTable[[#This Row],[BatchMeansHalfWidth]])</f>
        <v>0.63683843534988338</v>
      </c>
    </row>
    <row r="20" spans="1:21" x14ac:dyDescent="0.25">
      <c r="A20" t="s">
        <v>67</v>
      </c>
      <c r="B20" t="s">
        <v>69</v>
      </c>
      <c r="C20">
        <v>1</v>
      </c>
      <c r="D20" t="s">
        <v>143</v>
      </c>
      <c r="E20" t="s">
        <v>142</v>
      </c>
      <c r="F20" t="s">
        <v>80</v>
      </c>
      <c r="G20">
        <v>3.05735054927215</v>
      </c>
      <c r="H20">
        <v>2E+20</v>
      </c>
      <c r="I20">
        <v>0</v>
      </c>
      <c r="J20">
        <v>5</v>
      </c>
      <c r="K20">
        <v>2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17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2.3089685311309802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3.9560477961494298</v>
      </c>
      <c r="U20" s="5">
        <f>IF((ContinuousStatsTable[[#This Row],[RepsRequested]]&gt;1),ContinuousStatsTable[[#This Row],[HalfWidth]],ContinuousStatsTable[[#This Row],[BatchMeansHalfWidth]])</f>
        <v>0.19531820168707212</v>
      </c>
    </row>
    <row r="21" spans="1:21" x14ac:dyDescent="0.25">
      <c r="A21" t="s">
        <v>67</v>
      </c>
      <c r="B21" t="s">
        <v>69</v>
      </c>
      <c r="C21">
        <v>2</v>
      </c>
      <c r="D21" t="s">
        <v>70</v>
      </c>
      <c r="E21" t="s">
        <v>129</v>
      </c>
      <c r="F21" t="s">
        <v>72</v>
      </c>
      <c r="G21">
        <v>6.8158526384736202</v>
      </c>
      <c r="H21">
        <v>3E+20</v>
      </c>
      <c r="I21">
        <v>1</v>
      </c>
      <c r="J21">
        <v>21</v>
      </c>
      <c r="K21">
        <v>10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17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5.4544685782955797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9.9812364527489308</v>
      </c>
      <c r="U21" s="5">
        <f>IF((ContinuousStatsTable[[#This Row],[RepsRequested]]&gt;1),ContinuousStatsTable[[#This Row],[HalfWidth]],ContinuousStatsTable[[#This Row],[BatchMeansHalfWidth]])</f>
        <v>0.73494663100688618</v>
      </c>
    </row>
    <row r="22" spans="1:21" x14ac:dyDescent="0.25">
      <c r="A22" t="s">
        <v>67</v>
      </c>
      <c r="B22" t="s">
        <v>69</v>
      </c>
      <c r="C22">
        <v>2</v>
      </c>
      <c r="D22" t="s">
        <v>89</v>
      </c>
      <c r="E22" t="s">
        <v>130</v>
      </c>
      <c r="F22" t="s">
        <v>91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17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67</v>
      </c>
      <c r="B23" t="s">
        <v>69</v>
      </c>
      <c r="C23">
        <v>2</v>
      </c>
      <c r="D23" t="s">
        <v>92</v>
      </c>
      <c r="E23" t="s">
        <v>130</v>
      </c>
      <c r="F23" t="s">
        <v>91</v>
      </c>
      <c r="G23">
        <v>1.8826577805058999</v>
      </c>
      <c r="H23">
        <v>2E+20</v>
      </c>
      <c r="I23">
        <v>0</v>
      </c>
      <c r="J23">
        <v>8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17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1.1292470593949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2.9364889703726602</v>
      </c>
      <c r="U23" s="5">
        <f>IF((ContinuousStatsTable[[#This Row],[RepsRequested]]&gt;1),ContinuousStatsTable[[#This Row],[HalfWidth]],ContinuousStatsTable[[#This Row],[BatchMeansHalfWidth]])</f>
        <v>0.26472622632728454</v>
      </c>
    </row>
    <row r="24" spans="1:21" x14ac:dyDescent="0.25">
      <c r="A24" t="s">
        <v>67</v>
      </c>
      <c r="B24" t="s">
        <v>69</v>
      </c>
      <c r="C24">
        <v>2</v>
      </c>
      <c r="D24" t="s">
        <v>131</v>
      </c>
      <c r="E24" t="s">
        <v>129</v>
      </c>
      <c r="F24" t="s">
        <v>72</v>
      </c>
      <c r="G24">
        <v>3.4245028194663201</v>
      </c>
      <c r="H24">
        <v>2E+20</v>
      </c>
      <c r="I24">
        <v>1</v>
      </c>
      <c r="J24">
        <v>11</v>
      </c>
      <c r="K24">
        <v>3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17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2.7429685070299299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4.8837925841766499</v>
      </c>
      <c r="U24" s="5">
        <f>IF((ContinuousStatsTable[[#This Row],[RepsRequested]]&gt;1),ContinuousStatsTable[[#This Row],[HalfWidth]],ContinuousStatsTable[[#This Row],[BatchMeansHalfWidth]])</f>
        <v>0.34715563137404881</v>
      </c>
    </row>
    <row r="25" spans="1:21" x14ac:dyDescent="0.25">
      <c r="A25" t="s">
        <v>67</v>
      </c>
      <c r="B25" t="s">
        <v>69</v>
      </c>
      <c r="C25">
        <v>2</v>
      </c>
      <c r="D25" t="s">
        <v>99</v>
      </c>
      <c r="E25" t="s">
        <v>130</v>
      </c>
      <c r="F25" t="s">
        <v>91</v>
      </c>
      <c r="G25">
        <v>1.48268845146207</v>
      </c>
      <c r="H25">
        <v>2E+20</v>
      </c>
      <c r="I25">
        <v>0</v>
      </c>
      <c r="J25">
        <v>7</v>
      </c>
      <c r="K25">
        <v>6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17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0.64455717508326504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2.69061971266638</v>
      </c>
      <c r="U25" s="5">
        <f>IF((ContinuousStatsTable[[#This Row],[RepsRequested]]&gt;1),ContinuousStatsTable[[#This Row],[HalfWidth]],ContinuousStatsTable[[#This Row],[BatchMeansHalfWidth]])</f>
        <v>0.32696662226075207</v>
      </c>
    </row>
    <row r="26" spans="1:21" x14ac:dyDescent="0.25">
      <c r="A26" t="s">
        <v>67</v>
      </c>
      <c r="B26" t="s">
        <v>69</v>
      </c>
      <c r="C26">
        <v>2</v>
      </c>
      <c r="D26" t="s">
        <v>104</v>
      </c>
      <c r="E26" t="s">
        <v>130</v>
      </c>
      <c r="F26" t="s">
        <v>91</v>
      </c>
      <c r="G26">
        <v>0.86970831575708796</v>
      </c>
      <c r="H26">
        <v>2E+20</v>
      </c>
      <c r="I26">
        <v>0</v>
      </c>
      <c r="J26">
        <v>5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17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0.20519043218243799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1.8050950008829001</v>
      </c>
      <c r="U26" s="5">
        <f>IF((ContinuousStatsTable[[#This Row],[RepsRequested]]&gt;1),ContinuousStatsTable[[#This Row],[HalfWidth]],ContinuousStatsTable[[#This Row],[BatchMeansHalfWidth]])</f>
        <v>0.22777269441319098</v>
      </c>
    </row>
    <row r="27" spans="1:21" x14ac:dyDescent="0.25">
      <c r="A27" t="s">
        <v>67</v>
      </c>
      <c r="B27" t="s">
        <v>69</v>
      </c>
      <c r="C27">
        <v>2</v>
      </c>
      <c r="D27" t="s">
        <v>132</v>
      </c>
      <c r="E27" t="s">
        <v>133</v>
      </c>
      <c r="F27" t="s">
        <v>80</v>
      </c>
      <c r="G27">
        <v>1.4349627879095801</v>
      </c>
      <c r="H27">
        <v>2E+20</v>
      </c>
      <c r="I27">
        <v>0</v>
      </c>
      <c r="J27">
        <v>4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17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1.04395220385056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2.6910314688690198</v>
      </c>
      <c r="U27" s="5">
        <f>IF((ContinuousStatsTable[[#This Row],[RepsRequested]]&gt;1),ContinuousStatsTable[[#This Row],[HalfWidth]],ContinuousStatsTable[[#This Row],[BatchMeansHalfWidth]])</f>
        <v>0.19531820168707029</v>
      </c>
    </row>
    <row r="28" spans="1:21" x14ac:dyDescent="0.25">
      <c r="A28" t="s">
        <v>67</v>
      </c>
      <c r="B28" t="s">
        <v>69</v>
      </c>
      <c r="C28">
        <v>2</v>
      </c>
      <c r="D28" t="s">
        <v>134</v>
      </c>
      <c r="E28" t="s">
        <v>135</v>
      </c>
      <c r="F28" t="s">
        <v>136</v>
      </c>
      <c r="G28">
        <v>0.73534383204610498</v>
      </c>
      <c r="H28">
        <v>2E+20</v>
      </c>
      <c r="I28">
        <v>0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17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0.73534383204610498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0.95888680213271504</v>
      </c>
      <c r="U28" s="5">
        <f>IF((ContinuousStatsTable[[#This Row],[RepsRequested]]&gt;1),ContinuousStatsTable[[#This Row],[HalfWidth]],ContinuousStatsTable[[#This Row],[BatchMeansHalfWidth]])</f>
        <v>3.3674816741294945E-2</v>
      </c>
    </row>
    <row r="29" spans="1:21" x14ac:dyDescent="0.25">
      <c r="A29" t="s">
        <v>67</v>
      </c>
      <c r="B29" t="s">
        <v>69</v>
      </c>
      <c r="C29">
        <v>2</v>
      </c>
      <c r="D29" t="s">
        <v>134</v>
      </c>
      <c r="E29" t="s">
        <v>137</v>
      </c>
      <c r="F29" t="s">
        <v>136</v>
      </c>
      <c r="G29">
        <v>0.73534383204610498</v>
      </c>
      <c r="H29">
        <v>2E+20</v>
      </c>
      <c r="I29">
        <v>0</v>
      </c>
      <c r="J29">
        <v>1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17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0.73534383204610498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0.95888680213271504</v>
      </c>
      <c r="U29" s="5">
        <f>IF((ContinuousStatsTable[[#This Row],[RepsRequested]]&gt;1),ContinuousStatsTable[[#This Row],[HalfWidth]],ContinuousStatsTable[[#This Row],[BatchMeansHalfWidth]])</f>
        <v>3.3674816741294945E-2</v>
      </c>
    </row>
    <row r="30" spans="1:21" x14ac:dyDescent="0.25">
      <c r="A30" t="s">
        <v>67</v>
      </c>
      <c r="B30" t="s">
        <v>69</v>
      </c>
      <c r="C30">
        <v>2</v>
      </c>
      <c r="D30" t="s">
        <v>134</v>
      </c>
      <c r="E30" t="s">
        <v>138</v>
      </c>
      <c r="F30" t="s">
        <v>136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17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25">
      <c r="A31" t="s">
        <v>67</v>
      </c>
      <c r="B31" t="s">
        <v>69</v>
      </c>
      <c r="C31">
        <v>2</v>
      </c>
      <c r="D31" t="s">
        <v>139</v>
      </c>
      <c r="E31" t="s">
        <v>135</v>
      </c>
      <c r="F31" t="s">
        <v>136</v>
      </c>
      <c r="G31">
        <v>0.66503831524105395</v>
      </c>
      <c r="H31">
        <v>2E+20</v>
      </c>
      <c r="I31">
        <v>0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17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0.52223972091576099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0.77852312806092006</v>
      </c>
      <c r="U31" s="5">
        <f>IF((ContinuousStatsTable[[#This Row],[RepsRequested]]&gt;1),ContinuousStatsTable[[#This Row],[HalfWidth]],ContinuousStatsTable[[#This Row],[BatchMeansHalfWidth]])</f>
        <v>3.4022068014651748E-2</v>
      </c>
    </row>
    <row r="32" spans="1:21" x14ac:dyDescent="0.25">
      <c r="A32" t="s">
        <v>67</v>
      </c>
      <c r="B32" t="s">
        <v>69</v>
      </c>
      <c r="C32">
        <v>2</v>
      </c>
      <c r="D32" t="s">
        <v>139</v>
      </c>
      <c r="E32" t="s">
        <v>137</v>
      </c>
      <c r="F32" t="s">
        <v>136</v>
      </c>
      <c r="G32">
        <v>0.66503831524105395</v>
      </c>
      <c r="H32">
        <v>2E+20</v>
      </c>
      <c r="I32">
        <v>0</v>
      </c>
      <c r="J32">
        <v>1</v>
      </c>
      <c r="K32">
        <v>1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17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0.52223972091576099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0.77852312806092006</v>
      </c>
      <c r="U32" s="5">
        <f>IF((ContinuousStatsTable[[#This Row],[RepsRequested]]&gt;1),ContinuousStatsTable[[#This Row],[HalfWidth]],ContinuousStatsTable[[#This Row],[BatchMeansHalfWidth]])</f>
        <v>3.4022068014651748E-2</v>
      </c>
    </row>
    <row r="33" spans="1:21" x14ac:dyDescent="0.25">
      <c r="A33" t="s">
        <v>67</v>
      </c>
      <c r="B33" t="s">
        <v>69</v>
      </c>
      <c r="C33">
        <v>2</v>
      </c>
      <c r="D33" t="s">
        <v>139</v>
      </c>
      <c r="E33" t="s">
        <v>138</v>
      </c>
      <c r="F33" t="s">
        <v>136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17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67</v>
      </c>
      <c r="B34" t="s">
        <v>69</v>
      </c>
      <c r="C34">
        <v>2</v>
      </c>
      <c r="D34" t="s">
        <v>140</v>
      </c>
      <c r="E34" t="s">
        <v>135</v>
      </c>
      <c r="F34" t="s">
        <v>136</v>
      </c>
      <c r="G34">
        <v>0.286992557581916</v>
      </c>
      <c r="H34">
        <v>2E+20</v>
      </c>
      <c r="I34">
        <v>0</v>
      </c>
      <c r="J34">
        <v>0.8</v>
      </c>
      <c r="K34">
        <v>0.2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17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0.20879044077011299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0.53820629377380302</v>
      </c>
      <c r="U34" s="5">
        <f>IF((ContinuousStatsTable[[#This Row],[RepsRequested]]&gt;1),ContinuousStatsTable[[#This Row],[HalfWidth]],ContinuousStatsTable[[#This Row],[BatchMeansHalfWidth]])</f>
        <v>3.9063640337413962E-2</v>
      </c>
    </row>
    <row r="35" spans="1:21" x14ac:dyDescent="0.25">
      <c r="A35" t="s">
        <v>67</v>
      </c>
      <c r="B35" t="s">
        <v>69</v>
      </c>
      <c r="C35">
        <v>2</v>
      </c>
      <c r="D35" t="s">
        <v>140</v>
      </c>
      <c r="E35" t="s">
        <v>137</v>
      </c>
      <c r="F35" t="s">
        <v>136</v>
      </c>
      <c r="G35">
        <v>1.4349627879095801</v>
      </c>
      <c r="H35">
        <v>2E+20</v>
      </c>
      <c r="I35">
        <v>0</v>
      </c>
      <c r="J35">
        <v>4</v>
      </c>
      <c r="K35">
        <v>1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17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1.04395220385056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2.6910314688690198</v>
      </c>
      <c r="U35" s="5">
        <f>IF((ContinuousStatsTable[[#This Row],[RepsRequested]]&gt;1),ContinuousStatsTable[[#This Row],[HalfWidth]],ContinuousStatsTable[[#This Row],[BatchMeansHalfWidth]])</f>
        <v>0.19531820168707029</v>
      </c>
    </row>
    <row r="36" spans="1:21" x14ac:dyDescent="0.25">
      <c r="A36" t="s">
        <v>67</v>
      </c>
      <c r="B36" t="s">
        <v>69</v>
      </c>
      <c r="C36">
        <v>2</v>
      </c>
      <c r="D36" t="s">
        <v>140</v>
      </c>
      <c r="E36" t="s">
        <v>138</v>
      </c>
      <c r="F36" t="s">
        <v>136</v>
      </c>
      <c r="G36">
        <v>5</v>
      </c>
      <c r="H36">
        <v>2E+20</v>
      </c>
      <c r="I36">
        <v>5</v>
      </c>
      <c r="J36">
        <v>5</v>
      </c>
      <c r="K36">
        <v>5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17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5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5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5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67</v>
      </c>
      <c r="B37" t="s">
        <v>69</v>
      </c>
      <c r="C37">
        <v>2</v>
      </c>
      <c r="D37" t="s">
        <v>127</v>
      </c>
      <c r="E37" t="s">
        <v>129</v>
      </c>
      <c r="F37" t="s">
        <v>72</v>
      </c>
      <c r="G37">
        <v>0</v>
      </c>
      <c r="H37">
        <v>2E+20</v>
      </c>
      <c r="I37">
        <v>0</v>
      </c>
      <c r="J37">
        <v>1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17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</v>
      </c>
      <c r="U37" s="5">
        <f>IF((ContinuousStatsTable[[#This Row],[RepsRequested]]&gt;1),ContinuousStatsTable[[#This Row],[HalfWidth]],ContinuousStatsTable[[#This Row],[BatchMeansHalfWidth]])</f>
        <v>0</v>
      </c>
    </row>
    <row r="38" spans="1:21" x14ac:dyDescent="0.25">
      <c r="A38" t="s">
        <v>67</v>
      </c>
      <c r="B38" t="s">
        <v>69</v>
      </c>
      <c r="C38">
        <v>2</v>
      </c>
      <c r="D38" t="s">
        <v>141</v>
      </c>
      <c r="E38" t="s">
        <v>142</v>
      </c>
      <c r="F38" t="s">
        <v>80</v>
      </c>
      <c r="G38">
        <v>5.3054268876010804</v>
      </c>
      <c r="H38">
        <v>2E+20</v>
      </c>
      <c r="I38">
        <v>1</v>
      </c>
      <c r="J38">
        <v>16</v>
      </c>
      <c r="K38">
        <v>9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17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3.84735462379287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7.9213485690690897</v>
      </c>
      <c r="U38" s="5">
        <f>IF((ContinuousStatsTable[[#This Row],[RepsRequested]]&gt;1),ContinuousStatsTable[[#This Row],[HalfWidth]],ContinuousStatsTable[[#This Row],[BatchMeansHalfWidth]])</f>
        <v>0.63683843534988338</v>
      </c>
    </row>
    <row r="39" spans="1:21" x14ac:dyDescent="0.25">
      <c r="A39" t="s">
        <v>67</v>
      </c>
      <c r="B39" t="s">
        <v>69</v>
      </c>
      <c r="C39">
        <v>2</v>
      </c>
      <c r="D39" t="s">
        <v>143</v>
      </c>
      <c r="E39" t="s">
        <v>142</v>
      </c>
      <c r="F39" t="s">
        <v>80</v>
      </c>
      <c r="G39">
        <v>3.5650372120904201</v>
      </c>
      <c r="H39">
        <v>2E+20</v>
      </c>
      <c r="I39">
        <v>1</v>
      </c>
      <c r="J39">
        <v>5</v>
      </c>
      <c r="K39">
        <v>4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17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2.3089685311309802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3.9560477961494298</v>
      </c>
      <c r="U39" s="5">
        <f>IF((ContinuousStatsTable[[#This Row],[RepsRequested]]&gt;1),ContinuousStatsTable[[#This Row],[HalfWidth]],ContinuousStatsTable[[#This Row],[BatchMeansHalfWidth]])</f>
        <v>0.19531820168707212</v>
      </c>
    </row>
    <row r="40" spans="1:21" x14ac:dyDescent="0.25">
      <c r="A40" t="s">
        <v>67</v>
      </c>
      <c r="B40" t="s">
        <v>69</v>
      </c>
      <c r="C40">
        <v>3</v>
      </c>
      <c r="D40" t="s">
        <v>70</v>
      </c>
      <c r="E40" t="s">
        <v>129</v>
      </c>
      <c r="F40" t="s">
        <v>72</v>
      </c>
      <c r="G40">
        <v>8.9782330550971992</v>
      </c>
      <c r="H40">
        <v>3E+20</v>
      </c>
      <c r="I40">
        <v>1</v>
      </c>
      <c r="J40">
        <v>21</v>
      </c>
      <c r="K40">
        <v>9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17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5.4544685782955797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9.9812364527489308</v>
      </c>
      <c r="U40" s="5">
        <f>IF((ContinuousStatsTable[[#This Row],[RepsRequested]]&gt;1),ContinuousStatsTable[[#This Row],[HalfWidth]],ContinuousStatsTable[[#This Row],[BatchMeansHalfWidth]])</f>
        <v>0.73494663100688618</v>
      </c>
    </row>
    <row r="41" spans="1:21" x14ac:dyDescent="0.25">
      <c r="A41" t="s">
        <v>67</v>
      </c>
      <c r="B41" t="s">
        <v>69</v>
      </c>
      <c r="C41">
        <v>3</v>
      </c>
      <c r="D41" t="s">
        <v>89</v>
      </c>
      <c r="E41" t="s">
        <v>130</v>
      </c>
      <c r="F41" t="s">
        <v>91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17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</v>
      </c>
      <c r="U41" s="5">
        <f>IF((ContinuousStatsTable[[#This Row],[RepsRequested]]&gt;1),ContinuousStatsTable[[#This Row],[HalfWidth]],ContinuousStatsTable[[#This Row],[BatchMeansHalfWidth]])</f>
        <v>0</v>
      </c>
    </row>
    <row r="42" spans="1:21" x14ac:dyDescent="0.25">
      <c r="A42" t="s">
        <v>67</v>
      </c>
      <c r="B42" t="s">
        <v>69</v>
      </c>
      <c r="C42">
        <v>3</v>
      </c>
      <c r="D42" t="s">
        <v>92</v>
      </c>
      <c r="E42" t="s">
        <v>130</v>
      </c>
      <c r="F42" t="s">
        <v>91</v>
      </c>
      <c r="G42">
        <v>2.6834797020096799</v>
      </c>
      <c r="H42">
        <v>2E+20</v>
      </c>
      <c r="I42">
        <v>0</v>
      </c>
      <c r="J42">
        <v>9</v>
      </c>
      <c r="K42">
        <v>2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17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1.1292470593949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2.9364889703726602</v>
      </c>
      <c r="U42" s="5">
        <f>IF((ContinuousStatsTable[[#This Row],[RepsRequested]]&gt;1),ContinuousStatsTable[[#This Row],[HalfWidth]],ContinuousStatsTable[[#This Row],[BatchMeansHalfWidth]])</f>
        <v>0.26472622632728454</v>
      </c>
    </row>
    <row r="43" spans="1:21" x14ac:dyDescent="0.25">
      <c r="A43" t="s">
        <v>67</v>
      </c>
      <c r="B43" t="s">
        <v>69</v>
      </c>
      <c r="C43">
        <v>3</v>
      </c>
      <c r="D43" t="s">
        <v>131</v>
      </c>
      <c r="E43" t="s">
        <v>129</v>
      </c>
      <c r="F43" t="s">
        <v>72</v>
      </c>
      <c r="G43">
        <v>4.3630159485818103</v>
      </c>
      <c r="H43">
        <v>2E+20</v>
      </c>
      <c r="I43">
        <v>0</v>
      </c>
      <c r="J43">
        <v>11</v>
      </c>
      <c r="K43">
        <v>4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17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2.7429685070299299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4.8837925841766499</v>
      </c>
      <c r="U43" s="5">
        <f>IF((ContinuousStatsTable[[#This Row],[RepsRequested]]&gt;1),ContinuousStatsTable[[#This Row],[HalfWidth]],ContinuousStatsTable[[#This Row],[BatchMeansHalfWidth]])</f>
        <v>0.34715563137404881</v>
      </c>
    </row>
    <row r="44" spans="1:21" x14ac:dyDescent="0.25">
      <c r="A44" t="s">
        <v>67</v>
      </c>
      <c r="B44" t="s">
        <v>69</v>
      </c>
      <c r="C44">
        <v>3</v>
      </c>
      <c r="D44" t="s">
        <v>99</v>
      </c>
      <c r="E44" t="s">
        <v>130</v>
      </c>
      <c r="F44" t="s">
        <v>91</v>
      </c>
      <c r="G44">
        <v>2.4660366954436301</v>
      </c>
      <c r="H44">
        <v>2E+20</v>
      </c>
      <c r="I44">
        <v>0</v>
      </c>
      <c r="J44">
        <v>7</v>
      </c>
      <c r="K44">
        <v>2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17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0.64455717508326504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2.69061971266638</v>
      </c>
      <c r="U44" s="5">
        <f>IF((ContinuousStatsTable[[#This Row],[RepsRequested]]&gt;1),ContinuousStatsTable[[#This Row],[HalfWidth]],ContinuousStatsTable[[#This Row],[BatchMeansHalfWidth]])</f>
        <v>0.32696662226075207</v>
      </c>
    </row>
    <row r="45" spans="1:21" x14ac:dyDescent="0.25">
      <c r="A45" t="s">
        <v>67</v>
      </c>
      <c r="B45" t="s">
        <v>69</v>
      </c>
      <c r="C45">
        <v>3</v>
      </c>
      <c r="D45" t="s">
        <v>104</v>
      </c>
      <c r="E45" t="s">
        <v>130</v>
      </c>
      <c r="F45" t="s">
        <v>91</v>
      </c>
      <c r="G45">
        <v>1.43886208446384</v>
      </c>
      <c r="H45">
        <v>2E+20</v>
      </c>
      <c r="I45">
        <v>0</v>
      </c>
      <c r="J45">
        <v>7</v>
      </c>
      <c r="K45">
        <v>1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17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0.20519043218243799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1.8050950008829001</v>
      </c>
      <c r="U45" s="5">
        <f>IF((ContinuousStatsTable[[#This Row],[RepsRequested]]&gt;1),ContinuousStatsTable[[#This Row],[HalfWidth]],ContinuousStatsTable[[#This Row],[BatchMeansHalfWidth]])</f>
        <v>0.22777269441319098</v>
      </c>
    </row>
    <row r="46" spans="1:21" x14ac:dyDescent="0.25">
      <c r="A46" t="s">
        <v>67</v>
      </c>
      <c r="B46" t="s">
        <v>69</v>
      </c>
      <c r="C46">
        <v>3</v>
      </c>
      <c r="D46" t="s">
        <v>132</v>
      </c>
      <c r="E46" t="s">
        <v>133</v>
      </c>
      <c r="F46" t="s">
        <v>80</v>
      </c>
      <c r="G46">
        <v>1.56268439472027</v>
      </c>
      <c r="H46">
        <v>2E+20</v>
      </c>
      <c r="I46">
        <v>0</v>
      </c>
      <c r="J46">
        <v>4</v>
      </c>
      <c r="K46">
        <v>2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17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1.04395220385056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2.6910314688690198</v>
      </c>
      <c r="U46" s="5">
        <f>IF((ContinuousStatsTable[[#This Row],[RepsRequested]]&gt;1),ContinuousStatsTable[[#This Row],[HalfWidth]],ContinuousStatsTable[[#This Row],[BatchMeansHalfWidth]])</f>
        <v>0.19531820168707029</v>
      </c>
    </row>
    <row r="47" spans="1:21" x14ac:dyDescent="0.25">
      <c r="A47" t="s">
        <v>67</v>
      </c>
      <c r="B47" t="s">
        <v>69</v>
      </c>
      <c r="C47">
        <v>3</v>
      </c>
      <c r="D47" t="s">
        <v>134</v>
      </c>
      <c r="E47" t="s">
        <v>135</v>
      </c>
      <c r="F47" t="s">
        <v>136</v>
      </c>
      <c r="G47">
        <v>0.95888680213271504</v>
      </c>
      <c r="H47">
        <v>2E+20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17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0.73534383204610498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0.95888680213271504</v>
      </c>
      <c r="U47" s="5">
        <f>IF((ContinuousStatsTable[[#This Row],[RepsRequested]]&gt;1),ContinuousStatsTable[[#This Row],[HalfWidth]],ContinuousStatsTable[[#This Row],[BatchMeansHalfWidth]])</f>
        <v>3.3674816741294945E-2</v>
      </c>
    </row>
    <row r="48" spans="1:21" x14ac:dyDescent="0.25">
      <c r="A48" t="s">
        <v>67</v>
      </c>
      <c r="B48" t="s">
        <v>69</v>
      </c>
      <c r="C48">
        <v>3</v>
      </c>
      <c r="D48" t="s">
        <v>134</v>
      </c>
      <c r="E48" t="s">
        <v>137</v>
      </c>
      <c r="F48" t="s">
        <v>136</v>
      </c>
      <c r="G48">
        <v>0.95888680213271504</v>
      </c>
      <c r="H48">
        <v>2E+20</v>
      </c>
      <c r="I48">
        <v>0</v>
      </c>
      <c r="J48">
        <v>1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17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0.73534383204610498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0.95888680213271504</v>
      </c>
      <c r="U48" s="5">
        <f>IF((ContinuousStatsTable[[#This Row],[RepsRequested]]&gt;1),ContinuousStatsTable[[#This Row],[HalfWidth]],ContinuousStatsTable[[#This Row],[BatchMeansHalfWidth]])</f>
        <v>3.3674816741294945E-2</v>
      </c>
    </row>
    <row r="49" spans="1:21" x14ac:dyDescent="0.25">
      <c r="A49" t="s">
        <v>67</v>
      </c>
      <c r="B49" t="s">
        <v>69</v>
      </c>
      <c r="C49">
        <v>3</v>
      </c>
      <c r="D49" t="s">
        <v>134</v>
      </c>
      <c r="E49" t="s">
        <v>138</v>
      </c>
      <c r="F49" t="s">
        <v>136</v>
      </c>
      <c r="G49">
        <v>1</v>
      </c>
      <c r="H49">
        <v>2E+20</v>
      </c>
      <c r="I49">
        <v>1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17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1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1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67</v>
      </c>
      <c r="B50" t="s">
        <v>69</v>
      </c>
      <c r="C50">
        <v>3</v>
      </c>
      <c r="D50" t="s">
        <v>139</v>
      </c>
      <c r="E50" t="s">
        <v>135</v>
      </c>
      <c r="F50" t="s">
        <v>136</v>
      </c>
      <c r="G50">
        <v>0.77852312806092006</v>
      </c>
      <c r="H50">
        <v>2E+20</v>
      </c>
      <c r="I50">
        <v>0</v>
      </c>
      <c r="J50">
        <v>1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17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0.52223972091576099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0.77852312806092006</v>
      </c>
      <c r="U50" s="5">
        <f>IF((ContinuousStatsTable[[#This Row],[RepsRequested]]&gt;1),ContinuousStatsTable[[#This Row],[HalfWidth]],ContinuousStatsTable[[#This Row],[BatchMeansHalfWidth]])</f>
        <v>3.4022068014651748E-2</v>
      </c>
    </row>
    <row r="51" spans="1:21" x14ac:dyDescent="0.25">
      <c r="A51" t="s">
        <v>67</v>
      </c>
      <c r="B51" t="s">
        <v>69</v>
      </c>
      <c r="C51">
        <v>3</v>
      </c>
      <c r="D51" t="s">
        <v>139</v>
      </c>
      <c r="E51" t="s">
        <v>137</v>
      </c>
      <c r="F51" t="s">
        <v>136</v>
      </c>
      <c r="G51">
        <v>0.77852312806092006</v>
      </c>
      <c r="H51">
        <v>2E+20</v>
      </c>
      <c r="I51">
        <v>0</v>
      </c>
      <c r="J51">
        <v>1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17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0.52223972091576099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0.77852312806092006</v>
      </c>
      <c r="U51" s="5">
        <f>IF((ContinuousStatsTable[[#This Row],[RepsRequested]]&gt;1),ContinuousStatsTable[[#This Row],[HalfWidth]],ContinuousStatsTable[[#This Row],[BatchMeansHalfWidth]])</f>
        <v>3.4022068014651748E-2</v>
      </c>
    </row>
    <row r="52" spans="1:21" x14ac:dyDescent="0.25">
      <c r="A52" t="s">
        <v>67</v>
      </c>
      <c r="B52" t="s">
        <v>69</v>
      </c>
      <c r="C52">
        <v>3</v>
      </c>
      <c r="D52" t="s">
        <v>139</v>
      </c>
      <c r="E52" t="s">
        <v>138</v>
      </c>
      <c r="F52" t="s">
        <v>136</v>
      </c>
      <c r="G52">
        <v>1</v>
      </c>
      <c r="H52">
        <v>2E+20</v>
      </c>
      <c r="I52">
        <v>1</v>
      </c>
      <c r="J52">
        <v>1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17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</v>
      </c>
      <c r="U52" s="5">
        <f>IF((ContinuousStatsTable[[#This Row],[RepsRequested]]&gt;1),ContinuousStatsTable[[#This Row],[HalfWidth]],ContinuousStatsTable[[#This Row],[BatchMeansHalfWidth]])</f>
        <v>0</v>
      </c>
    </row>
    <row r="53" spans="1:21" x14ac:dyDescent="0.25">
      <c r="A53" t="s">
        <v>67</v>
      </c>
      <c r="B53" t="s">
        <v>69</v>
      </c>
      <c r="C53">
        <v>3</v>
      </c>
      <c r="D53" t="s">
        <v>140</v>
      </c>
      <c r="E53" t="s">
        <v>135</v>
      </c>
      <c r="F53" t="s">
        <v>136</v>
      </c>
      <c r="G53">
        <v>0.31253687894405402</v>
      </c>
      <c r="H53">
        <v>2E+20</v>
      </c>
      <c r="I53">
        <v>0</v>
      </c>
      <c r="J53">
        <v>0.8</v>
      </c>
      <c r="K53">
        <v>0.4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17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0.20879044077011299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0.53820629377380302</v>
      </c>
      <c r="U53" s="5">
        <f>IF((ContinuousStatsTable[[#This Row],[RepsRequested]]&gt;1),ContinuousStatsTable[[#This Row],[HalfWidth]],ContinuousStatsTable[[#This Row],[BatchMeansHalfWidth]])</f>
        <v>3.9063640337413962E-2</v>
      </c>
    </row>
    <row r="54" spans="1:21" x14ac:dyDescent="0.25">
      <c r="A54" t="s">
        <v>67</v>
      </c>
      <c r="B54" t="s">
        <v>69</v>
      </c>
      <c r="C54">
        <v>3</v>
      </c>
      <c r="D54" t="s">
        <v>140</v>
      </c>
      <c r="E54" t="s">
        <v>137</v>
      </c>
      <c r="F54" t="s">
        <v>136</v>
      </c>
      <c r="G54">
        <v>1.56268439472027</v>
      </c>
      <c r="H54">
        <v>2E+20</v>
      </c>
      <c r="I54">
        <v>0</v>
      </c>
      <c r="J54">
        <v>4</v>
      </c>
      <c r="K54">
        <v>2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17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1.04395220385056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2.6910314688690198</v>
      </c>
      <c r="U54" s="5">
        <f>IF((ContinuousStatsTable[[#This Row],[RepsRequested]]&gt;1),ContinuousStatsTable[[#This Row],[HalfWidth]],ContinuousStatsTable[[#This Row],[BatchMeansHalfWidth]])</f>
        <v>0.19531820168707029</v>
      </c>
    </row>
    <row r="55" spans="1:21" x14ac:dyDescent="0.25">
      <c r="A55" t="s">
        <v>67</v>
      </c>
      <c r="B55" t="s">
        <v>69</v>
      </c>
      <c r="C55">
        <v>3</v>
      </c>
      <c r="D55" t="s">
        <v>140</v>
      </c>
      <c r="E55" t="s">
        <v>138</v>
      </c>
      <c r="F55" t="s">
        <v>136</v>
      </c>
      <c r="G55">
        <v>5</v>
      </c>
      <c r="H55">
        <v>2E+20</v>
      </c>
      <c r="I55">
        <v>5</v>
      </c>
      <c r="J55">
        <v>5</v>
      </c>
      <c r="K55">
        <v>5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17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5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5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5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25">
      <c r="A56" t="s">
        <v>67</v>
      </c>
      <c r="B56" t="s">
        <v>69</v>
      </c>
      <c r="C56">
        <v>3</v>
      </c>
      <c r="D56" t="s">
        <v>127</v>
      </c>
      <c r="E56" t="s">
        <v>129</v>
      </c>
      <c r="F56" t="s">
        <v>72</v>
      </c>
      <c r="G56">
        <v>0</v>
      </c>
      <c r="H56">
        <v>2E+20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17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</v>
      </c>
      <c r="U56" s="5">
        <f>IF((ContinuousStatsTable[[#This Row],[RepsRequested]]&gt;1),ContinuousStatsTable[[#This Row],[HalfWidth]],ContinuousStatsTable[[#This Row],[BatchMeansHalfWidth]])</f>
        <v>0</v>
      </c>
    </row>
    <row r="57" spans="1:21" x14ac:dyDescent="0.25">
      <c r="A57" t="s">
        <v>67</v>
      </c>
      <c r="B57" t="s">
        <v>69</v>
      </c>
      <c r="C57">
        <v>3</v>
      </c>
      <c r="D57" t="s">
        <v>141</v>
      </c>
      <c r="E57" t="s">
        <v>142</v>
      </c>
      <c r="F57" t="s">
        <v>80</v>
      </c>
      <c r="G57">
        <v>7.3336968085250804</v>
      </c>
      <c r="H57">
        <v>2E+20</v>
      </c>
      <c r="I57">
        <v>1</v>
      </c>
      <c r="J57">
        <v>15</v>
      </c>
      <c r="K57">
        <v>7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17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3.84735462379287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7.9213485690690897</v>
      </c>
      <c r="U57" s="5">
        <f>IF((ContinuousStatsTable[[#This Row],[RepsRequested]]&gt;1),ContinuousStatsTable[[#This Row],[HalfWidth]],ContinuousStatsTable[[#This Row],[BatchMeansHalfWidth]])</f>
        <v>0.63683843534988338</v>
      </c>
    </row>
    <row r="58" spans="1:21" x14ac:dyDescent="0.25">
      <c r="A58" t="s">
        <v>67</v>
      </c>
      <c r="B58" t="s">
        <v>69</v>
      </c>
      <c r="C58">
        <v>3</v>
      </c>
      <c r="D58" t="s">
        <v>143</v>
      </c>
      <c r="E58" t="s">
        <v>142</v>
      </c>
      <c r="F58" t="s">
        <v>80</v>
      </c>
      <c r="G58">
        <v>3.4373156052797298</v>
      </c>
      <c r="H58">
        <v>2E+20</v>
      </c>
      <c r="I58">
        <v>1</v>
      </c>
      <c r="J58">
        <v>5</v>
      </c>
      <c r="K58">
        <v>3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17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2.3089685311309802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3.9560477961494298</v>
      </c>
      <c r="U58" s="5">
        <f>IF((ContinuousStatsTable[[#This Row],[RepsRequested]]&gt;1),ContinuousStatsTable[[#This Row],[HalfWidth]],ContinuousStatsTable[[#This Row],[BatchMeansHalfWidth]])</f>
        <v>0.19531820168707212</v>
      </c>
    </row>
    <row r="59" spans="1:21" x14ac:dyDescent="0.25">
      <c r="A59" t="s">
        <v>67</v>
      </c>
      <c r="B59" t="s">
        <v>69</v>
      </c>
      <c r="C59">
        <v>4</v>
      </c>
      <c r="D59" t="s">
        <v>70</v>
      </c>
      <c r="E59" t="s">
        <v>129</v>
      </c>
      <c r="F59" t="s">
        <v>72</v>
      </c>
      <c r="G59">
        <v>7.1408588401054001</v>
      </c>
      <c r="H59">
        <v>3E+20</v>
      </c>
      <c r="I59">
        <v>0</v>
      </c>
      <c r="J59">
        <v>16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17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5.4544685782955797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9.9812364527489308</v>
      </c>
      <c r="U59" s="5">
        <f>IF((ContinuousStatsTable[[#This Row],[RepsRequested]]&gt;1),ContinuousStatsTable[[#This Row],[HalfWidth]],ContinuousStatsTable[[#This Row],[BatchMeansHalfWidth]])</f>
        <v>0.73494663100688618</v>
      </c>
    </row>
    <row r="60" spans="1:21" x14ac:dyDescent="0.25">
      <c r="A60" t="s">
        <v>67</v>
      </c>
      <c r="B60" t="s">
        <v>69</v>
      </c>
      <c r="C60">
        <v>4</v>
      </c>
      <c r="D60" t="s">
        <v>89</v>
      </c>
      <c r="E60" t="s">
        <v>130</v>
      </c>
      <c r="F60" t="s">
        <v>91</v>
      </c>
      <c r="G60">
        <v>0</v>
      </c>
      <c r="H60">
        <v>2E+20</v>
      </c>
      <c r="I60">
        <v>0</v>
      </c>
      <c r="J60">
        <v>0</v>
      </c>
      <c r="K60">
        <v>0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17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</v>
      </c>
      <c r="U60" s="5">
        <f>IF((ContinuousStatsTable[[#This Row],[RepsRequested]]&gt;1),ContinuousStatsTable[[#This Row],[HalfWidth]],ContinuousStatsTable[[#This Row],[BatchMeansHalfWidth]])</f>
        <v>0</v>
      </c>
    </row>
    <row r="61" spans="1:21" x14ac:dyDescent="0.25">
      <c r="A61" t="s">
        <v>67</v>
      </c>
      <c r="B61" t="s">
        <v>69</v>
      </c>
      <c r="C61">
        <v>4</v>
      </c>
      <c r="D61" t="s">
        <v>92</v>
      </c>
      <c r="E61" t="s">
        <v>130</v>
      </c>
      <c r="F61" t="s">
        <v>91</v>
      </c>
      <c r="G61">
        <v>1.7342731690078199</v>
      </c>
      <c r="H61">
        <v>2E+20</v>
      </c>
      <c r="I61">
        <v>0</v>
      </c>
      <c r="J61">
        <v>7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17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1.1292470593949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2.9364889703726602</v>
      </c>
      <c r="U61" s="5">
        <f>IF((ContinuousStatsTable[[#This Row],[RepsRequested]]&gt;1),ContinuousStatsTable[[#This Row],[HalfWidth]],ContinuousStatsTable[[#This Row],[BatchMeansHalfWidth]])</f>
        <v>0.26472622632728454</v>
      </c>
    </row>
    <row r="62" spans="1:21" x14ac:dyDescent="0.25">
      <c r="A62" t="s">
        <v>67</v>
      </c>
      <c r="B62" t="s">
        <v>69</v>
      </c>
      <c r="C62">
        <v>4</v>
      </c>
      <c r="D62" t="s">
        <v>131</v>
      </c>
      <c r="E62" t="s">
        <v>129</v>
      </c>
      <c r="F62" t="s">
        <v>72</v>
      </c>
      <c r="G62">
        <v>3.4102605491564901</v>
      </c>
      <c r="H62">
        <v>2E+20</v>
      </c>
      <c r="I62">
        <v>0</v>
      </c>
      <c r="J62">
        <v>8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17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2.7429685070299299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4.8837925841766499</v>
      </c>
      <c r="U62" s="5">
        <f>IF((ContinuousStatsTable[[#This Row],[RepsRequested]]&gt;1),ContinuousStatsTable[[#This Row],[HalfWidth]],ContinuousStatsTable[[#This Row],[BatchMeansHalfWidth]])</f>
        <v>0.34715563137404881</v>
      </c>
    </row>
    <row r="63" spans="1:21" x14ac:dyDescent="0.25">
      <c r="A63" t="s">
        <v>67</v>
      </c>
      <c r="B63" t="s">
        <v>69</v>
      </c>
      <c r="C63">
        <v>4</v>
      </c>
      <c r="D63" t="s">
        <v>99</v>
      </c>
      <c r="E63" t="s">
        <v>130</v>
      </c>
      <c r="F63" t="s">
        <v>91</v>
      </c>
      <c r="G63">
        <v>1.6008513243153</v>
      </c>
      <c r="H63">
        <v>2E+20</v>
      </c>
      <c r="I63">
        <v>0</v>
      </c>
      <c r="J63">
        <v>6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17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0.64455717508326504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2.69061971266638</v>
      </c>
      <c r="U63" s="5">
        <f>IF((ContinuousStatsTable[[#This Row],[RepsRequested]]&gt;1),ContinuousStatsTable[[#This Row],[HalfWidth]],ContinuousStatsTable[[#This Row],[BatchMeansHalfWidth]])</f>
        <v>0.32696662226075207</v>
      </c>
    </row>
    <row r="64" spans="1:21" x14ac:dyDescent="0.25">
      <c r="A64" t="s">
        <v>67</v>
      </c>
      <c r="B64" t="s">
        <v>69</v>
      </c>
      <c r="C64">
        <v>4</v>
      </c>
      <c r="D64" t="s">
        <v>104</v>
      </c>
      <c r="E64" t="s">
        <v>130</v>
      </c>
      <c r="F64" t="s">
        <v>91</v>
      </c>
      <c r="G64">
        <v>0.63289784490692802</v>
      </c>
      <c r="H64">
        <v>2E+20</v>
      </c>
      <c r="I64">
        <v>0</v>
      </c>
      <c r="J64">
        <v>4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17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0.20519043218243799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1.8050950008829001</v>
      </c>
      <c r="U64" s="5">
        <f>IF((ContinuousStatsTable[[#This Row],[RepsRequested]]&gt;1),ContinuousStatsTable[[#This Row],[HalfWidth]],ContinuousStatsTable[[#This Row],[BatchMeansHalfWidth]])</f>
        <v>0.22777269441319098</v>
      </c>
    </row>
    <row r="65" spans="1:21" x14ac:dyDescent="0.25">
      <c r="A65" t="s">
        <v>67</v>
      </c>
      <c r="B65" t="s">
        <v>69</v>
      </c>
      <c r="C65">
        <v>4</v>
      </c>
      <c r="D65" t="s">
        <v>132</v>
      </c>
      <c r="E65" t="s">
        <v>133</v>
      </c>
      <c r="F65" t="s">
        <v>80</v>
      </c>
      <c r="G65">
        <v>1.5570984912597801</v>
      </c>
      <c r="H65">
        <v>2E+20</v>
      </c>
      <c r="I65">
        <v>0</v>
      </c>
      <c r="J65">
        <v>3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17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1.04395220385056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2.6910314688690198</v>
      </c>
      <c r="U65" s="5">
        <f>IF((ContinuousStatsTable[[#This Row],[RepsRequested]]&gt;1),ContinuousStatsTable[[#This Row],[HalfWidth]],ContinuousStatsTable[[#This Row],[BatchMeansHalfWidth]])</f>
        <v>0.19531820168707029</v>
      </c>
    </row>
    <row r="66" spans="1:21" x14ac:dyDescent="0.25">
      <c r="A66" t="s">
        <v>67</v>
      </c>
      <c r="B66" t="s">
        <v>69</v>
      </c>
      <c r="C66">
        <v>4</v>
      </c>
      <c r="D66" t="s">
        <v>134</v>
      </c>
      <c r="E66" t="s">
        <v>135</v>
      </c>
      <c r="F66" t="s">
        <v>136</v>
      </c>
      <c r="G66">
        <v>0.91240023943169402</v>
      </c>
      <c r="H66">
        <v>2E+20</v>
      </c>
      <c r="I66">
        <v>0</v>
      </c>
      <c r="J66">
        <v>1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17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0.73534383204610498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0.95888680213271504</v>
      </c>
      <c r="U66" s="5">
        <f>IF((ContinuousStatsTable[[#This Row],[RepsRequested]]&gt;1),ContinuousStatsTable[[#This Row],[HalfWidth]],ContinuousStatsTable[[#This Row],[BatchMeansHalfWidth]])</f>
        <v>3.3674816741294945E-2</v>
      </c>
    </row>
    <row r="67" spans="1:21" x14ac:dyDescent="0.25">
      <c r="A67" t="s">
        <v>67</v>
      </c>
      <c r="B67" t="s">
        <v>69</v>
      </c>
      <c r="C67">
        <v>4</v>
      </c>
      <c r="D67" t="s">
        <v>134</v>
      </c>
      <c r="E67" t="s">
        <v>137</v>
      </c>
      <c r="F67" t="s">
        <v>136</v>
      </c>
      <c r="G67">
        <v>0.91240023943169402</v>
      </c>
      <c r="H67">
        <v>2E+20</v>
      </c>
      <c r="I67">
        <v>0</v>
      </c>
      <c r="J67">
        <v>1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17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0.73534383204610498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0.95888680213271504</v>
      </c>
      <c r="U67" s="5">
        <f>IF((ContinuousStatsTable[[#This Row],[RepsRequested]]&gt;1),ContinuousStatsTable[[#This Row],[HalfWidth]],ContinuousStatsTable[[#This Row],[BatchMeansHalfWidth]])</f>
        <v>3.3674816741294945E-2</v>
      </c>
    </row>
    <row r="68" spans="1:21" x14ac:dyDescent="0.25">
      <c r="A68" t="s">
        <v>67</v>
      </c>
      <c r="B68" t="s">
        <v>69</v>
      </c>
      <c r="C68">
        <v>4</v>
      </c>
      <c r="D68" t="s">
        <v>134</v>
      </c>
      <c r="E68" t="s">
        <v>138</v>
      </c>
      <c r="F68" t="s">
        <v>136</v>
      </c>
      <c r="G68">
        <v>1</v>
      </c>
      <c r="H68">
        <v>2E+20</v>
      </c>
      <c r="I68">
        <v>1</v>
      </c>
      <c r="J68">
        <v>1</v>
      </c>
      <c r="K68">
        <v>1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17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1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1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25">
      <c r="A69" t="s">
        <v>67</v>
      </c>
      <c r="B69" t="s">
        <v>69</v>
      </c>
      <c r="C69">
        <v>4</v>
      </c>
      <c r="D69" t="s">
        <v>139</v>
      </c>
      <c r="E69" t="s">
        <v>135</v>
      </c>
      <c r="F69" t="s">
        <v>136</v>
      </c>
      <c r="G69">
        <v>0.66593511338306</v>
      </c>
      <c r="H69">
        <v>2E+20</v>
      </c>
      <c r="I69">
        <v>0</v>
      </c>
      <c r="J69">
        <v>1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17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0.52223972091576099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0.77852312806092006</v>
      </c>
      <c r="U69" s="5">
        <f>IF((ContinuousStatsTable[[#This Row],[RepsRequested]]&gt;1),ContinuousStatsTable[[#This Row],[HalfWidth]],ContinuousStatsTable[[#This Row],[BatchMeansHalfWidth]])</f>
        <v>3.4022068014651748E-2</v>
      </c>
    </row>
    <row r="70" spans="1:21" x14ac:dyDescent="0.25">
      <c r="A70" t="s">
        <v>67</v>
      </c>
      <c r="B70" t="s">
        <v>69</v>
      </c>
      <c r="C70">
        <v>4</v>
      </c>
      <c r="D70" t="s">
        <v>139</v>
      </c>
      <c r="E70" t="s">
        <v>137</v>
      </c>
      <c r="F70" t="s">
        <v>136</v>
      </c>
      <c r="G70">
        <v>0.66593511338306</v>
      </c>
      <c r="H70">
        <v>2E+20</v>
      </c>
      <c r="I70">
        <v>0</v>
      </c>
      <c r="J70">
        <v>1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17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0.52223972091576099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0.77852312806092006</v>
      </c>
      <c r="U70" s="5">
        <f>IF((ContinuousStatsTable[[#This Row],[RepsRequested]]&gt;1),ContinuousStatsTable[[#This Row],[HalfWidth]],ContinuousStatsTable[[#This Row],[BatchMeansHalfWidth]])</f>
        <v>3.4022068014651748E-2</v>
      </c>
    </row>
    <row r="71" spans="1:21" x14ac:dyDescent="0.25">
      <c r="A71" t="s">
        <v>67</v>
      </c>
      <c r="B71" t="s">
        <v>69</v>
      </c>
      <c r="C71">
        <v>4</v>
      </c>
      <c r="D71" t="s">
        <v>139</v>
      </c>
      <c r="E71" t="s">
        <v>138</v>
      </c>
      <c r="F71" t="s">
        <v>136</v>
      </c>
      <c r="G71">
        <v>1</v>
      </c>
      <c r="H71">
        <v>2E+20</v>
      </c>
      <c r="I71">
        <v>1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17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1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1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1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67</v>
      </c>
      <c r="B72" t="s">
        <v>69</v>
      </c>
      <c r="C72">
        <v>4</v>
      </c>
      <c r="D72" t="s">
        <v>140</v>
      </c>
      <c r="E72" t="s">
        <v>135</v>
      </c>
      <c r="F72" t="s">
        <v>136</v>
      </c>
      <c r="G72">
        <v>0.31141969825195598</v>
      </c>
      <c r="H72">
        <v>2E+20</v>
      </c>
      <c r="I72">
        <v>0</v>
      </c>
      <c r="J72">
        <v>0.6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17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0.20879044077011299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0.53820629377380302</v>
      </c>
      <c r="U72" s="5">
        <f>IF((ContinuousStatsTable[[#This Row],[RepsRequested]]&gt;1),ContinuousStatsTable[[#This Row],[HalfWidth]],ContinuousStatsTable[[#This Row],[BatchMeansHalfWidth]])</f>
        <v>3.9063640337413962E-2</v>
      </c>
    </row>
    <row r="73" spans="1:21" x14ac:dyDescent="0.25">
      <c r="A73" t="s">
        <v>67</v>
      </c>
      <c r="B73" t="s">
        <v>69</v>
      </c>
      <c r="C73">
        <v>4</v>
      </c>
      <c r="D73" t="s">
        <v>140</v>
      </c>
      <c r="E73" t="s">
        <v>137</v>
      </c>
      <c r="F73" t="s">
        <v>136</v>
      </c>
      <c r="G73">
        <v>1.5570984912597801</v>
      </c>
      <c r="H73">
        <v>2E+20</v>
      </c>
      <c r="I73">
        <v>0</v>
      </c>
      <c r="J73">
        <v>3</v>
      </c>
      <c r="K73">
        <v>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17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1.04395220385056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2.6910314688690198</v>
      </c>
      <c r="U73" s="5">
        <f>IF((ContinuousStatsTable[[#This Row],[RepsRequested]]&gt;1),ContinuousStatsTable[[#This Row],[HalfWidth]],ContinuousStatsTable[[#This Row],[BatchMeansHalfWidth]])</f>
        <v>0.19531820168707029</v>
      </c>
    </row>
    <row r="74" spans="1:21" x14ac:dyDescent="0.25">
      <c r="A74" t="s">
        <v>67</v>
      </c>
      <c r="B74" t="s">
        <v>69</v>
      </c>
      <c r="C74">
        <v>4</v>
      </c>
      <c r="D74" t="s">
        <v>140</v>
      </c>
      <c r="E74" t="s">
        <v>138</v>
      </c>
      <c r="F74" t="s">
        <v>136</v>
      </c>
      <c r="G74">
        <v>5</v>
      </c>
      <c r="H74">
        <v>2E+20</v>
      </c>
      <c r="I74">
        <v>5</v>
      </c>
      <c r="J74">
        <v>5</v>
      </c>
      <c r="K74">
        <v>5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17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5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5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5</v>
      </c>
      <c r="U74" s="5">
        <f>IF((ContinuousStatsTable[[#This Row],[RepsRequested]]&gt;1),ContinuousStatsTable[[#This Row],[HalfWidth]],ContinuousStatsTable[[#This Row],[BatchMeansHalfWidth]])</f>
        <v>0</v>
      </c>
    </row>
    <row r="75" spans="1:21" x14ac:dyDescent="0.25">
      <c r="A75" t="s">
        <v>67</v>
      </c>
      <c r="B75" t="s">
        <v>69</v>
      </c>
      <c r="C75">
        <v>4</v>
      </c>
      <c r="D75" t="s">
        <v>127</v>
      </c>
      <c r="E75" t="s">
        <v>129</v>
      </c>
      <c r="F75" t="s">
        <v>72</v>
      </c>
      <c r="G75">
        <v>0</v>
      </c>
      <c r="H75">
        <v>2E+20</v>
      </c>
      <c r="I75">
        <v>0</v>
      </c>
      <c r="J75">
        <v>1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17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67</v>
      </c>
      <c r="B76" t="s">
        <v>69</v>
      </c>
      <c r="C76">
        <v>4</v>
      </c>
      <c r="D76" t="s">
        <v>141</v>
      </c>
      <c r="E76" t="s">
        <v>142</v>
      </c>
      <c r="F76" t="s">
        <v>80</v>
      </c>
      <c r="G76">
        <v>5.4998714599567204</v>
      </c>
      <c r="H76">
        <v>2E+20</v>
      </c>
      <c r="I76">
        <v>0</v>
      </c>
      <c r="J76">
        <v>12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17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3.84735462379287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7.9213485690690897</v>
      </c>
      <c r="U76" s="5">
        <f>IF((ContinuousStatsTable[[#This Row],[RepsRequested]]&gt;1),ContinuousStatsTable[[#This Row],[HalfWidth]],ContinuousStatsTable[[#This Row],[BatchMeansHalfWidth]])</f>
        <v>0.63683843534988338</v>
      </c>
    </row>
    <row r="77" spans="1:21" x14ac:dyDescent="0.25">
      <c r="A77" t="s">
        <v>67</v>
      </c>
      <c r="B77" t="s">
        <v>69</v>
      </c>
      <c r="C77">
        <v>4</v>
      </c>
      <c r="D77" t="s">
        <v>143</v>
      </c>
      <c r="E77" t="s">
        <v>142</v>
      </c>
      <c r="F77" t="s">
        <v>80</v>
      </c>
      <c r="G77">
        <v>3.4429015087402202</v>
      </c>
      <c r="H77">
        <v>2E+20</v>
      </c>
      <c r="I77">
        <v>2</v>
      </c>
      <c r="J77">
        <v>5</v>
      </c>
      <c r="K77">
        <v>5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17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2.3089685311309802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3.9560477961494298</v>
      </c>
      <c r="U77" s="5">
        <f>IF((ContinuousStatsTable[[#This Row],[RepsRequested]]&gt;1),ContinuousStatsTable[[#This Row],[HalfWidth]],ContinuousStatsTable[[#This Row],[BatchMeansHalfWidth]])</f>
        <v>0.19531820168707212</v>
      </c>
    </row>
    <row r="78" spans="1:21" x14ac:dyDescent="0.25">
      <c r="A78" t="s">
        <v>67</v>
      </c>
      <c r="B78" t="s">
        <v>69</v>
      </c>
      <c r="C78">
        <v>5</v>
      </c>
      <c r="D78" t="s">
        <v>70</v>
      </c>
      <c r="E78" t="s">
        <v>129</v>
      </c>
      <c r="F78" t="s">
        <v>72</v>
      </c>
      <c r="G78">
        <v>8.2362706405010009</v>
      </c>
      <c r="H78">
        <v>3E+20</v>
      </c>
      <c r="I78">
        <v>0</v>
      </c>
      <c r="J78">
        <v>20</v>
      </c>
      <c r="K78">
        <v>7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17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5.4544685782955797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9.9812364527489308</v>
      </c>
      <c r="U78" s="5">
        <f>IF((ContinuousStatsTable[[#This Row],[RepsRequested]]&gt;1),ContinuousStatsTable[[#This Row],[HalfWidth]],ContinuousStatsTable[[#This Row],[BatchMeansHalfWidth]])</f>
        <v>0.73494663100688618</v>
      </c>
    </row>
    <row r="79" spans="1:21" x14ac:dyDescent="0.25">
      <c r="A79" t="s">
        <v>67</v>
      </c>
      <c r="B79" t="s">
        <v>69</v>
      </c>
      <c r="C79">
        <v>5</v>
      </c>
      <c r="D79" t="s">
        <v>89</v>
      </c>
      <c r="E79" t="s">
        <v>130</v>
      </c>
      <c r="F79" t="s">
        <v>91</v>
      </c>
      <c r="G79">
        <v>0</v>
      </c>
      <c r="H79">
        <v>2E+20</v>
      </c>
      <c r="I79">
        <v>0</v>
      </c>
      <c r="J79">
        <v>0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17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67</v>
      </c>
      <c r="B80" t="s">
        <v>69</v>
      </c>
      <c r="C80">
        <v>5</v>
      </c>
      <c r="D80" t="s">
        <v>92</v>
      </c>
      <c r="E80" t="s">
        <v>130</v>
      </c>
      <c r="F80" t="s">
        <v>91</v>
      </c>
      <c r="G80">
        <v>1.71363361930656</v>
      </c>
      <c r="H80">
        <v>2E+20</v>
      </c>
      <c r="I80">
        <v>0</v>
      </c>
      <c r="J80">
        <v>8</v>
      </c>
      <c r="K80">
        <v>1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17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1.1292470593949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2.9364889703726602</v>
      </c>
      <c r="U80" s="5">
        <f>IF((ContinuousStatsTable[[#This Row],[RepsRequested]]&gt;1),ContinuousStatsTable[[#This Row],[HalfWidth]],ContinuousStatsTable[[#This Row],[BatchMeansHalfWidth]])</f>
        <v>0.26472622632728454</v>
      </c>
    </row>
    <row r="81" spans="1:21" x14ac:dyDescent="0.25">
      <c r="A81" t="s">
        <v>67</v>
      </c>
      <c r="B81" t="s">
        <v>69</v>
      </c>
      <c r="C81">
        <v>5</v>
      </c>
      <c r="D81" t="s">
        <v>131</v>
      </c>
      <c r="E81" t="s">
        <v>129</v>
      </c>
      <c r="F81" t="s">
        <v>72</v>
      </c>
      <c r="G81">
        <v>4.0652137886392197</v>
      </c>
      <c r="H81">
        <v>2E+20</v>
      </c>
      <c r="I81">
        <v>0</v>
      </c>
      <c r="J81">
        <v>10</v>
      </c>
      <c r="K81">
        <v>3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17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2.7429685070299299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4.8837925841766499</v>
      </c>
      <c r="U81" s="5">
        <f>IF((ContinuousStatsTable[[#This Row],[RepsRequested]]&gt;1),ContinuousStatsTable[[#This Row],[HalfWidth]],ContinuousStatsTable[[#This Row],[BatchMeansHalfWidth]])</f>
        <v>0.34715563137404881</v>
      </c>
    </row>
    <row r="82" spans="1:21" x14ac:dyDescent="0.25">
      <c r="A82" t="s">
        <v>67</v>
      </c>
      <c r="B82" t="s">
        <v>69</v>
      </c>
      <c r="C82">
        <v>5</v>
      </c>
      <c r="D82" t="s">
        <v>99</v>
      </c>
      <c r="E82" t="s">
        <v>130</v>
      </c>
      <c r="F82" t="s">
        <v>91</v>
      </c>
      <c r="G82">
        <v>1.40449583025241</v>
      </c>
      <c r="H82">
        <v>2E+20</v>
      </c>
      <c r="I82">
        <v>0</v>
      </c>
      <c r="J82">
        <v>8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17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0.64455717508326504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2.69061971266638</v>
      </c>
      <c r="U82" s="5">
        <f>IF((ContinuousStatsTable[[#This Row],[RepsRequested]]&gt;1),ContinuousStatsTable[[#This Row],[HalfWidth]],ContinuousStatsTable[[#This Row],[BatchMeansHalfWidth]])</f>
        <v>0.32696662226075207</v>
      </c>
    </row>
    <row r="83" spans="1:21" x14ac:dyDescent="0.25">
      <c r="A83" t="s">
        <v>67</v>
      </c>
      <c r="B83" t="s">
        <v>69</v>
      </c>
      <c r="C83">
        <v>5</v>
      </c>
      <c r="D83" t="s">
        <v>104</v>
      </c>
      <c r="E83" t="s">
        <v>130</v>
      </c>
      <c r="F83" t="s">
        <v>91</v>
      </c>
      <c r="G83">
        <v>0.69050423837658004</v>
      </c>
      <c r="H83">
        <v>2E+20</v>
      </c>
      <c r="I83">
        <v>0</v>
      </c>
      <c r="J83">
        <v>6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17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0.20519043218243799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1.8050950008829001</v>
      </c>
      <c r="U83" s="5">
        <f>IF((ContinuousStatsTable[[#This Row],[RepsRequested]]&gt;1),ContinuousStatsTable[[#This Row],[HalfWidth]],ContinuousStatsTable[[#This Row],[BatchMeansHalfWidth]])</f>
        <v>0.22777269441319098</v>
      </c>
    </row>
    <row r="84" spans="1:21" x14ac:dyDescent="0.25">
      <c r="A84" t="s">
        <v>67</v>
      </c>
      <c r="B84" t="s">
        <v>69</v>
      </c>
      <c r="C84">
        <v>5</v>
      </c>
      <c r="D84" t="s">
        <v>132</v>
      </c>
      <c r="E84" t="s">
        <v>133</v>
      </c>
      <c r="F84" t="s">
        <v>80</v>
      </c>
      <c r="G84">
        <v>2.2305616508141299</v>
      </c>
      <c r="H84">
        <v>2E+20</v>
      </c>
      <c r="I84">
        <v>0</v>
      </c>
      <c r="J84">
        <v>5</v>
      </c>
      <c r="K84">
        <v>2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17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1.04395220385056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2.6910314688690198</v>
      </c>
      <c r="U84" s="5">
        <f>IF((ContinuousStatsTable[[#This Row],[RepsRequested]]&gt;1),ContinuousStatsTable[[#This Row],[HalfWidth]],ContinuousStatsTable[[#This Row],[BatchMeansHalfWidth]])</f>
        <v>0.19531820168707029</v>
      </c>
    </row>
    <row r="85" spans="1:21" x14ac:dyDescent="0.25">
      <c r="A85" t="s">
        <v>67</v>
      </c>
      <c r="B85" t="s">
        <v>69</v>
      </c>
      <c r="C85">
        <v>5</v>
      </c>
      <c r="D85" t="s">
        <v>134</v>
      </c>
      <c r="E85" t="s">
        <v>135</v>
      </c>
      <c r="F85" t="s">
        <v>136</v>
      </c>
      <c r="G85">
        <v>0.76736570138686699</v>
      </c>
      <c r="H85">
        <v>2E+20</v>
      </c>
      <c r="I85">
        <v>0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17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0.73534383204610498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0.95888680213271504</v>
      </c>
      <c r="U85" s="5">
        <f>IF((ContinuousStatsTable[[#This Row],[RepsRequested]]&gt;1),ContinuousStatsTable[[#This Row],[HalfWidth]],ContinuousStatsTable[[#This Row],[BatchMeansHalfWidth]])</f>
        <v>3.3674816741294945E-2</v>
      </c>
    </row>
    <row r="86" spans="1:21" x14ac:dyDescent="0.25">
      <c r="A86" t="s">
        <v>67</v>
      </c>
      <c r="B86" t="s">
        <v>69</v>
      </c>
      <c r="C86">
        <v>5</v>
      </c>
      <c r="D86" t="s">
        <v>134</v>
      </c>
      <c r="E86" t="s">
        <v>137</v>
      </c>
      <c r="F86" t="s">
        <v>136</v>
      </c>
      <c r="G86">
        <v>0.76736570138686699</v>
      </c>
      <c r="H86">
        <v>2E+20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17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0.73534383204610498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0.95888680213271504</v>
      </c>
      <c r="U86" s="5">
        <f>IF((ContinuousStatsTable[[#This Row],[RepsRequested]]&gt;1),ContinuousStatsTable[[#This Row],[HalfWidth]],ContinuousStatsTable[[#This Row],[BatchMeansHalfWidth]])</f>
        <v>3.3674816741294945E-2</v>
      </c>
    </row>
    <row r="87" spans="1:21" x14ac:dyDescent="0.25">
      <c r="A87" t="s">
        <v>67</v>
      </c>
      <c r="B87" t="s">
        <v>69</v>
      </c>
      <c r="C87">
        <v>5</v>
      </c>
      <c r="D87" t="s">
        <v>134</v>
      </c>
      <c r="E87" t="s">
        <v>138</v>
      </c>
      <c r="F87" t="s">
        <v>136</v>
      </c>
      <c r="G87">
        <v>1</v>
      </c>
      <c r="H87">
        <v>2E+20</v>
      </c>
      <c r="I87">
        <v>1</v>
      </c>
      <c r="J87">
        <v>1</v>
      </c>
      <c r="K87">
        <v>1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17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1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1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</v>
      </c>
      <c r="U87" s="5">
        <f>IF((ContinuousStatsTable[[#This Row],[RepsRequested]]&gt;1),ContinuousStatsTable[[#This Row],[HalfWidth]],ContinuousStatsTable[[#This Row],[BatchMeansHalfWidth]])</f>
        <v>0</v>
      </c>
    </row>
    <row r="88" spans="1:21" x14ac:dyDescent="0.25">
      <c r="A88" t="s">
        <v>67</v>
      </c>
      <c r="B88" t="s">
        <v>69</v>
      </c>
      <c r="C88">
        <v>5</v>
      </c>
      <c r="D88" t="s">
        <v>139</v>
      </c>
      <c r="E88" t="s">
        <v>135</v>
      </c>
      <c r="F88" t="s">
        <v>136</v>
      </c>
      <c r="G88">
        <v>0.696114902190206</v>
      </c>
      <c r="H88">
        <v>2E+20</v>
      </c>
      <c r="I88">
        <v>0</v>
      </c>
      <c r="J88">
        <v>1</v>
      </c>
      <c r="K88">
        <v>1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17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0.52223972091576099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0.77852312806092006</v>
      </c>
      <c r="U88" s="5">
        <f>IF((ContinuousStatsTable[[#This Row],[RepsRequested]]&gt;1),ContinuousStatsTable[[#This Row],[HalfWidth]],ContinuousStatsTable[[#This Row],[BatchMeansHalfWidth]])</f>
        <v>3.4022068014651748E-2</v>
      </c>
    </row>
    <row r="89" spans="1:21" x14ac:dyDescent="0.25">
      <c r="A89" t="s">
        <v>67</v>
      </c>
      <c r="B89" t="s">
        <v>69</v>
      </c>
      <c r="C89">
        <v>5</v>
      </c>
      <c r="D89" t="s">
        <v>139</v>
      </c>
      <c r="E89" t="s">
        <v>137</v>
      </c>
      <c r="F89" t="s">
        <v>136</v>
      </c>
      <c r="G89">
        <v>0.696114902190206</v>
      </c>
      <c r="H89">
        <v>2E+20</v>
      </c>
      <c r="I89">
        <v>0</v>
      </c>
      <c r="J89">
        <v>1</v>
      </c>
      <c r="K89">
        <v>1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17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0.52223972091576099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0.77852312806092006</v>
      </c>
      <c r="U89" s="5">
        <f>IF((ContinuousStatsTable[[#This Row],[RepsRequested]]&gt;1),ContinuousStatsTable[[#This Row],[HalfWidth]],ContinuousStatsTable[[#This Row],[BatchMeansHalfWidth]])</f>
        <v>3.4022068014651748E-2</v>
      </c>
    </row>
    <row r="90" spans="1:21" x14ac:dyDescent="0.25">
      <c r="A90" t="s">
        <v>67</v>
      </c>
      <c r="B90" t="s">
        <v>69</v>
      </c>
      <c r="C90">
        <v>5</v>
      </c>
      <c r="D90" t="s">
        <v>139</v>
      </c>
      <c r="E90" t="s">
        <v>138</v>
      </c>
      <c r="F90" t="s">
        <v>136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17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25">
      <c r="A91" t="s">
        <v>67</v>
      </c>
      <c r="B91" t="s">
        <v>69</v>
      </c>
      <c r="C91">
        <v>5</v>
      </c>
      <c r="D91" t="s">
        <v>140</v>
      </c>
      <c r="E91" t="s">
        <v>135</v>
      </c>
      <c r="F91" t="s">
        <v>136</v>
      </c>
      <c r="G91">
        <v>0.44611233016282698</v>
      </c>
      <c r="H91">
        <v>2E+20</v>
      </c>
      <c r="I91">
        <v>0</v>
      </c>
      <c r="J91">
        <v>1</v>
      </c>
      <c r="K91">
        <v>0.4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17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0.20879044077011299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0.53820629377380302</v>
      </c>
      <c r="U91" s="5">
        <f>IF((ContinuousStatsTable[[#This Row],[RepsRequested]]&gt;1),ContinuousStatsTable[[#This Row],[HalfWidth]],ContinuousStatsTable[[#This Row],[BatchMeansHalfWidth]])</f>
        <v>3.9063640337413962E-2</v>
      </c>
    </row>
    <row r="92" spans="1:21" x14ac:dyDescent="0.25">
      <c r="A92" t="s">
        <v>67</v>
      </c>
      <c r="B92" t="s">
        <v>69</v>
      </c>
      <c r="C92">
        <v>5</v>
      </c>
      <c r="D92" t="s">
        <v>140</v>
      </c>
      <c r="E92" t="s">
        <v>137</v>
      </c>
      <c r="F92" t="s">
        <v>136</v>
      </c>
      <c r="G92">
        <v>2.2305616508141299</v>
      </c>
      <c r="H92">
        <v>2E+20</v>
      </c>
      <c r="I92">
        <v>0</v>
      </c>
      <c r="J92">
        <v>5</v>
      </c>
      <c r="K92">
        <v>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17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1.04395220385056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2.6910314688690198</v>
      </c>
      <c r="U92" s="5">
        <f>IF((ContinuousStatsTable[[#This Row],[RepsRequested]]&gt;1),ContinuousStatsTable[[#This Row],[HalfWidth]],ContinuousStatsTable[[#This Row],[BatchMeansHalfWidth]])</f>
        <v>0.19531820168707029</v>
      </c>
    </row>
    <row r="93" spans="1:21" x14ac:dyDescent="0.25">
      <c r="A93" t="s">
        <v>67</v>
      </c>
      <c r="B93" t="s">
        <v>69</v>
      </c>
      <c r="C93">
        <v>5</v>
      </c>
      <c r="D93" t="s">
        <v>140</v>
      </c>
      <c r="E93" t="s">
        <v>138</v>
      </c>
      <c r="F93" t="s">
        <v>136</v>
      </c>
      <c r="G93">
        <v>5</v>
      </c>
      <c r="H93">
        <v>2E+20</v>
      </c>
      <c r="I93">
        <v>5</v>
      </c>
      <c r="J93">
        <v>5</v>
      </c>
      <c r="K93">
        <v>5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17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5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5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5</v>
      </c>
      <c r="U93" s="5">
        <f>IF((ContinuousStatsTable[[#This Row],[RepsRequested]]&gt;1),ContinuousStatsTable[[#This Row],[HalfWidth]],ContinuousStatsTable[[#This Row],[BatchMeansHalfWidth]])</f>
        <v>0</v>
      </c>
    </row>
    <row r="94" spans="1:21" x14ac:dyDescent="0.25">
      <c r="A94" t="s">
        <v>67</v>
      </c>
      <c r="B94" t="s">
        <v>69</v>
      </c>
      <c r="C94">
        <v>5</v>
      </c>
      <c r="D94" t="s">
        <v>127</v>
      </c>
      <c r="E94" t="s">
        <v>129</v>
      </c>
      <c r="F94" t="s">
        <v>72</v>
      </c>
      <c r="G94">
        <v>0</v>
      </c>
      <c r="H94">
        <v>2E+20</v>
      </c>
      <c r="I94">
        <v>0</v>
      </c>
      <c r="J94">
        <v>1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17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0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0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</v>
      </c>
      <c r="U94" s="5">
        <f>IF((ContinuousStatsTable[[#This Row],[RepsRequested]]&gt;1),ContinuousStatsTable[[#This Row],[HalfWidth]],ContinuousStatsTable[[#This Row],[BatchMeansHalfWidth]])</f>
        <v>0</v>
      </c>
    </row>
    <row r="95" spans="1:21" x14ac:dyDescent="0.25">
      <c r="A95" t="s">
        <v>67</v>
      </c>
      <c r="B95" t="s">
        <v>69</v>
      </c>
      <c r="C95">
        <v>5</v>
      </c>
      <c r="D95" t="s">
        <v>141</v>
      </c>
      <c r="E95" t="s">
        <v>142</v>
      </c>
      <c r="F95" t="s">
        <v>80</v>
      </c>
      <c r="G95">
        <v>5.9210793600572398</v>
      </c>
      <c r="H95">
        <v>2E+20</v>
      </c>
      <c r="I95">
        <v>0</v>
      </c>
      <c r="J95">
        <v>14</v>
      </c>
      <c r="K95">
        <v>5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17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3.84735462379287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7.9213485690690897</v>
      </c>
      <c r="U95" s="5">
        <f>IF((ContinuousStatsTable[[#This Row],[RepsRequested]]&gt;1),ContinuousStatsTable[[#This Row],[HalfWidth]],ContinuousStatsTable[[#This Row],[BatchMeansHalfWidth]])</f>
        <v>0.63683843534988338</v>
      </c>
    </row>
    <row r="96" spans="1:21" x14ac:dyDescent="0.25">
      <c r="A96" t="s">
        <v>67</v>
      </c>
      <c r="B96" t="s">
        <v>69</v>
      </c>
      <c r="C96">
        <v>5</v>
      </c>
      <c r="D96" t="s">
        <v>143</v>
      </c>
      <c r="E96" t="s">
        <v>142</v>
      </c>
      <c r="F96" t="s">
        <v>80</v>
      </c>
      <c r="G96">
        <v>2.7694383491858701</v>
      </c>
      <c r="H96">
        <v>2E+20</v>
      </c>
      <c r="I96">
        <v>0</v>
      </c>
      <c r="J96">
        <v>5</v>
      </c>
      <c r="K96">
        <v>3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17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2.3089685311309802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3.9560477961494298</v>
      </c>
      <c r="U96" s="5">
        <f>IF((ContinuousStatsTable[[#This Row],[RepsRequested]]&gt;1),ContinuousStatsTable[[#This Row],[HalfWidth]],ContinuousStatsTable[[#This Row],[BatchMeansHalfWidth]])</f>
        <v>0.19531820168707212</v>
      </c>
    </row>
    <row r="97" spans="1:21" x14ac:dyDescent="0.25">
      <c r="A97" t="s">
        <v>67</v>
      </c>
      <c r="B97" t="s">
        <v>69</v>
      </c>
      <c r="C97">
        <v>6</v>
      </c>
      <c r="D97" t="s">
        <v>70</v>
      </c>
      <c r="E97" t="s">
        <v>129</v>
      </c>
      <c r="F97" t="s">
        <v>72</v>
      </c>
      <c r="G97">
        <v>5.4544685782955797</v>
      </c>
      <c r="H97">
        <v>3E+20</v>
      </c>
      <c r="I97">
        <v>0</v>
      </c>
      <c r="J97">
        <v>13</v>
      </c>
      <c r="K97">
        <v>5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17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5.4544685782955797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9.9812364527489308</v>
      </c>
      <c r="U97" s="5">
        <f>IF((ContinuousStatsTable[[#This Row],[RepsRequested]]&gt;1),ContinuousStatsTable[[#This Row],[HalfWidth]],ContinuousStatsTable[[#This Row],[BatchMeansHalfWidth]])</f>
        <v>0.73494663100688618</v>
      </c>
    </row>
    <row r="98" spans="1:21" x14ac:dyDescent="0.25">
      <c r="A98" t="s">
        <v>67</v>
      </c>
      <c r="B98" t="s">
        <v>69</v>
      </c>
      <c r="C98">
        <v>6</v>
      </c>
      <c r="D98" t="s">
        <v>89</v>
      </c>
      <c r="E98" t="s">
        <v>130</v>
      </c>
      <c r="F98" t="s">
        <v>91</v>
      </c>
      <c r="G98">
        <v>0</v>
      </c>
      <c r="H98">
        <v>2E+20</v>
      </c>
      <c r="I98">
        <v>0</v>
      </c>
      <c r="J98">
        <v>0</v>
      </c>
      <c r="K98">
        <v>0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17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0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0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0</v>
      </c>
      <c r="U98" s="5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67</v>
      </c>
      <c r="B99" t="s">
        <v>69</v>
      </c>
      <c r="C99">
        <v>6</v>
      </c>
      <c r="D99" t="s">
        <v>92</v>
      </c>
      <c r="E99" t="s">
        <v>130</v>
      </c>
      <c r="F99" t="s">
        <v>91</v>
      </c>
      <c r="G99">
        <v>1.1292470593949</v>
      </c>
      <c r="H99">
        <v>2E+20</v>
      </c>
      <c r="I99">
        <v>0</v>
      </c>
      <c r="J99">
        <v>6</v>
      </c>
      <c r="K99">
        <v>3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17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1.1292470593949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2.9364889703726602</v>
      </c>
      <c r="U99" s="5">
        <f>IF((ContinuousStatsTable[[#This Row],[RepsRequested]]&gt;1),ContinuousStatsTable[[#This Row],[HalfWidth]],ContinuousStatsTable[[#This Row],[BatchMeansHalfWidth]])</f>
        <v>0.26472622632728454</v>
      </c>
    </row>
    <row r="100" spans="1:21" x14ac:dyDescent="0.25">
      <c r="A100" t="s">
        <v>67</v>
      </c>
      <c r="B100" t="s">
        <v>69</v>
      </c>
      <c r="C100">
        <v>6</v>
      </c>
      <c r="D100" t="s">
        <v>131</v>
      </c>
      <c r="E100" t="s">
        <v>129</v>
      </c>
      <c r="F100" t="s">
        <v>72</v>
      </c>
      <c r="G100">
        <v>2.7683054583420699</v>
      </c>
      <c r="H100">
        <v>2E+20</v>
      </c>
      <c r="I100">
        <v>0</v>
      </c>
      <c r="J100">
        <v>8</v>
      </c>
      <c r="K100">
        <v>3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17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2.7429685070299299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4.8837925841766499</v>
      </c>
      <c r="U100" s="5">
        <f>IF((ContinuousStatsTable[[#This Row],[RepsRequested]]&gt;1),ContinuousStatsTable[[#This Row],[HalfWidth]],ContinuousStatsTable[[#This Row],[BatchMeansHalfWidth]])</f>
        <v>0.34715563137404881</v>
      </c>
    </row>
    <row r="101" spans="1:21" x14ac:dyDescent="0.25">
      <c r="A101" t="s">
        <v>67</v>
      </c>
      <c r="B101" t="s">
        <v>69</v>
      </c>
      <c r="C101">
        <v>6</v>
      </c>
      <c r="D101" t="s">
        <v>99</v>
      </c>
      <c r="E101" t="s">
        <v>130</v>
      </c>
      <c r="F101" t="s">
        <v>91</v>
      </c>
      <c r="G101">
        <v>0.64455717508326504</v>
      </c>
      <c r="H101">
        <v>2E+20</v>
      </c>
      <c r="I101">
        <v>0</v>
      </c>
      <c r="J101">
        <v>6</v>
      </c>
      <c r="K101">
        <v>2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17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0.64455717508326504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2.69061971266638</v>
      </c>
      <c r="U101" s="5">
        <f>IF((ContinuousStatsTable[[#This Row],[RepsRequested]]&gt;1),ContinuousStatsTable[[#This Row],[HalfWidth]],ContinuousStatsTable[[#This Row],[BatchMeansHalfWidth]])</f>
        <v>0.32696662226075207</v>
      </c>
    </row>
    <row r="102" spans="1:21" x14ac:dyDescent="0.25">
      <c r="A102" t="s">
        <v>67</v>
      </c>
      <c r="B102" t="s">
        <v>69</v>
      </c>
      <c r="C102">
        <v>6</v>
      </c>
      <c r="D102" t="s">
        <v>104</v>
      </c>
      <c r="E102" t="s">
        <v>130</v>
      </c>
      <c r="F102" t="s">
        <v>91</v>
      </c>
      <c r="G102">
        <v>0.20519043218243799</v>
      </c>
      <c r="H102">
        <v>2E+20</v>
      </c>
      <c r="I102">
        <v>0</v>
      </c>
      <c r="J102">
        <v>3</v>
      </c>
      <c r="K102">
        <v>1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17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0.20519043218243799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1.8050950008829001</v>
      </c>
      <c r="U102" s="5">
        <f>IF((ContinuousStatsTable[[#This Row],[RepsRequested]]&gt;1),ContinuousStatsTable[[#This Row],[HalfWidth]],ContinuousStatsTable[[#This Row],[BatchMeansHalfWidth]])</f>
        <v>0.22777269441319098</v>
      </c>
    </row>
    <row r="103" spans="1:21" x14ac:dyDescent="0.25">
      <c r="A103" t="s">
        <v>67</v>
      </c>
      <c r="B103" t="s">
        <v>69</v>
      </c>
      <c r="C103">
        <v>6</v>
      </c>
      <c r="D103" t="s">
        <v>132</v>
      </c>
      <c r="E103" t="s">
        <v>133</v>
      </c>
      <c r="F103" t="s">
        <v>80</v>
      </c>
      <c r="G103">
        <v>1.5300769174656801</v>
      </c>
      <c r="H103">
        <v>2E+20</v>
      </c>
      <c r="I103">
        <v>0</v>
      </c>
      <c r="J103">
        <v>4</v>
      </c>
      <c r="K103">
        <v>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17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1.04395220385056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2.6910314688690198</v>
      </c>
      <c r="U103" s="5">
        <f>IF((ContinuousStatsTable[[#This Row],[RepsRequested]]&gt;1),ContinuousStatsTable[[#This Row],[HalfWidth]],ContinuousStatsTable[[#This Row],[BatchMeansHalfWidth]])</f>
        <v>0.19531820168707029</v>
      </c>
    </row>
    <row r="104" spans="1:21" x14ac:dyDescent="0.25">
      <c r="A104" t="s">
        <v>67</v>
      </c>
      <c r="B104" t="s">
        <v>69</v>
      </c>
      <c r="C104">
        <v>6</v>
      </c>
      <c r="D104" t="s">
        <v>134</v>
      </c>
      <c r="E104" t="s">
        <v>135</v>
      </c>
      <c r="F104" t="s">
        <v>136</v>
      </c>
      <c r="G104">
        <v>0.73707365264835401</v>
      </c>
      <c r="H104">
        <v>2E+20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17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0.73534383204610498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0.95888680213271504</v>
      </c>
      <c r="U104" s="5">
        <f>IF((ContinuousStatsTable[[#This Row],[RepsRequested]]&gt;1),ContinuousStatsTable[[#This Row],[HalfWidth]],ContinuousStatsTable[[#This Row],[BatchMeansHalfWidth]])</f>
        <v>3.3674816741294945E-2</v>
      </c>
    </row>
    <row r="105" spans="1:21" x14ac:dyDescent="0.25">
      <c r="A105" t="s">
        <v>67</v>
      </c>
      <c r="B105" t="s">
        <v>69</v>
      </c>
      <c r="C105">
        <v>6</v>
      </c>
      <c r="D105" t="s">
        <v>134</v>
      </c>
      <c r="E105" t="s">
        <v>137</v>
      </c>
      <c r="F105" t="s">
        <v>136</v>
      </c>
      <c r="G105">
        <v>0.73707365264835401</v>
      </c>
      <c r="H105">
        <v>2E+20</v>
      </c>
      <c r="I105">
        <v>0</v>
      </c>
      <c r="J105">
        <v>1</v>
      </c>
      <c r="K105">
        <v>1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17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0.73534383204610498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0.95888680213271504</v>
      </c>
      <c r="U105" s="5">
        <f>IF((ContinuousStatsTable[[#This Row],[RepsRequested]]&gt;1),ContinuousStatsTable[[#This Row],[HalfWidth]],ContinuousStatsTable[[#This Row],[BatchMeansHalfWidth]])</f>
        <v>3.3674816741294945E-2</v>
      </c>
    </row>
    <row r="106" spans="1:21" x14ac:dyDescent="0.25">
      <c r="A106" t="s">
        <v>67</v>
      </c>
      <c r="B106" t="s">
        <v>69</v>
      </c>
      <c r="C106">
        <v>6</v>
      </c>
      <c r="D106" t="s">
        <v>134</v>
      </c>
      <c r="E106" t="s">
        <v>138</v>
      </c>
      <c r="F106" t="s">
        <v>136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17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25">
      <c r="A107" t="s">
        <v>67</v>
      </c>
      <c r="B107" t="s">
        <v>69</v>
      </c>
      <c r="C107">
        <v>6</v>
      </c>
      <c r="D107" t="s">
        <v>139</v>
      </c>
      <c r="E107" t="s">
        <v>135</v>
      </c>
      <c r="F107" t="s">
        <v>136</v>
      </c>
      <c r="G107">
        <v>0.61027126122794995</v>
      </c>
      <c r="H107">
        <v>2E+20</v>
      </c>
      <c r="I107">
        <v>0</v>
      </c>
      <c r="J107">
        <v>1</v>
      </c>
      <c r="K107">
        <v>1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17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0.52223972091576099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0.77852312806092006</v>
      </c>
      <c r="U107" s="5">
        <f>IF((ContinuousStatsTable[[#This Row],[RepsRequested]]&gt;1),ContinuousStatsTable[[#This Row],[HalfWidth]],ContinuousStatsTable[[#This Row],[BatchMeansHalfWidth]])</f>
        <v>3.4022068014651748E-2</v>
      </c>
    </row>
    <row r="108" spans="1:21" x14ac:dyDescent="0.25">
      <c r="A108" t="s">
        <v>67</v>
      </c>
      <c r="B108" t="s">
        <v>69</v>
      </c>
      <c r="C108">
        <v>6</v>
      </c>
      <c r="D108" t="s">
        <v>139</v>
      </c>
      <c r="E108" t="s">
        <v>137</v>
      </c>
      <c r="F108" t="s">
        <v>136</v>
      </c>
      <c r="G108">
        <v>0.61027126122794995</v>
      </c>
      <c r="H108">
        <v>2E+20</v>
      </c>
      <c r="I108">
        <v>0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17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0.52223972091576099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0.77852312806092006</v>
      </c>
      <c r="U108" s="5">
        <f>IF((ContinuousStatsTable[[#This Row],[RepsRequested]]&gt;1),ContinuousStatsTable[[#This Row],[HalfWidth]],ContinuousStatsTable[[#This Row],[BatchMeansHalfWidth]])</f>
        <v>3.4022068014651748E-2</v>
      </c>
    </row>
    <row r="109" spans="1:21" x14ac:dyDescent="0.25">
      <c r="A109" t="s">
        <v>67</v>
      </c>
      <c r="B109" t="s">
        <v>69</v>
      </c>
      <c r="C109">
        <v>6</v>
      </c>
      <c r="D109" t="s">
        <v>139</v>
      </c>
      <c r="E109" t="s">
        <v>138</v>
      </c>
      <c r="F109" t="s">
        <v>136</v>
      </c>
      <c r="G109">
        <v>1</v>
      </c>
      <c r="H109">
        <v>2E+20</v>
      </c>
      <c r="I109">
        <v>1</v>
      </c>
      <c r="J109">
        <v>1</v>
      </c>
      <c r="K109">
        <v>1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17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1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67</v>
      </c>
      <c r="B110" t="s">
        <v>69</v>
      </c>
      <c r="C110">
        <v>6</v>
      </c>
      <c r="D110" t="s">
        <v>140</v>
      </c>
      <c r="E110" t="s">
        <v>135</v>
      </c>
      <c r="F110" t="s">
        <v>136</v>
      </c>
      <c r="G110">
        <v>0.30601538349313501</v>
      </c>
      <c r="H110">
        <v>2E+20</v>
      </c>
      <c r="I110">
        <v>0</v>
      </c>
      <c r="J110">
        <v>0.8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17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0.20879044077011299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0.53820629377380302</v>
      </c>
      <c r="U110" s="5">
        <f>IF((ContinuousStatsTable[[#This Row],[RepsRequested]]&gt;1),ContinuousStatsTable[[#This Row],[HalfWidth]],ContinuousStatsTable[[#This Row],[BatchMeansHalfWidth]])</f>
        <v>3.9063640337413962E-2</v>
      </c>
    </row>
    <row r="111" spans="1:21" x14ac:dyDescent="0.25">
      <c r="A111" t="s">
        <v>67</v>
      </c>
      <c r="B111" t="s">
        <v>69</v>
      </c>
      <c r="C111">
        <v>6</v>
      </c>
      <c r="D111" t="s">
        <v>140</v>
      </c>
      <c r="E111" t="s">
        <v>137</v>
      </c>
      <c r="F111" t="s">
        <v>136</v>
      </c>
      <c r="G111">
        <v>1.5300769174656801</v>
      </c>
      <c r="H111">
        <v>2E+20</v>
      </c>
      <c r="I111">
        <v>0</v>
      </c>
      <c r="J111">
        <v>4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17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1.04395220385056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2.6910314688690198</v>
      </c>
      <c r="U111" s="5">
        <f>IF((ContinuousStatsTable[[#This Row],[RepsRequested]]&gt;1),ContinuousStatsTable[[#This Row],[HalfWidth]],ContinuousStatsTable[[#This Row],[BatchMeansHalfWidth]])</f>
        <v>0.19531820168707029</v>
      </c>
    </row>
    <row r="112" spans="1:21" x14ac:dyDescent="0.25">
      <c r="A112" t="s">
        <v>67</v>
      </c>
      <c r="B112" t="s">
        <v>69</v>
      </c>
      <c r="C112">
        <v>6</v>
      </c>
      <c r="D112" t="s">
        <v>140</v>
      </c>
      <c r="E112" t="s">
        <v>138</v>
      </c>
      <c r="F112" t="s">
        <v>136</v>
      </c>
      <c r="G112">
        <v>5</v>
      </c>
      <c r="H112">
        <v>2E+20</v>
      </c>
      <c r="I112">
        <v>5</v>
      </c>
      <c r="J112">
        <v>5</v>
      </c>
      <c r="K112">
        <v>5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17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5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5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5</v>
      </c>
      <c r="U112" s="5">
        <f>IF((ContinuousStatsTable[[#This Row],[RepsRequested]]&gt;1),ContinuousStatsTable[[#This Row],[HalfWidth]],ContinuousStatsTable[[#This Row],[BatchMeansHalfWidth]])</f>
        <v>0</v>
      </c>
    </row>
    <row r="113" spans="1:21" x14ac:dyDescent="0.25">
      <c r="A113" t="s">
        <v>67</v>
      </c>
      <c r="B113" t="s">
        <v>69</v>
      </c>
      <c r="C113">
        <v>6</v>
      </c>
      <c r="D113" t="s">
        <v>127</v>
      </c>
      <c r="E113" t="s">
        <v>129</v>
      </c>
      <c r="F113" t="s">
        <v>72</v>
      </c>
      <c r="G113">
        <v>0</v>
      </c>
      <c r="H113">
        <v>2E+20</v>
      </c>
      <c r="I113">
        <v>0</v>
      </c>
      <c r="J113">
        <v>1</v>
      </c>
      <c r="K113">
        <v>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17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0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0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25">
      <c r="A114" t="s">
        <v>67</v>
      </c>
      <c r="B114" t="s">
        <v>69</v>
      </c>
      <c r="C114">
        <v>6</v>
      </c>
      <c r="D114" t="s">
        <v>141</v>
      </c>
      <c r="E114" t="s">
        <v>142</v>
      </c>
      <c r="F114" t="s">
        <v>80</v>
      </c>
      <c r="G114">
        <v>3.84735462379287</v>
      </c>
      <c r="H114">
        <v>2E+20</v>
      </c>
      <c r="I114">
        <v>0</v>
      </c>
      <c r="J114">
        <v>8</v>
      </c>
      <c r="K114">
        <v>5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17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3.84735462379287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7.9213485690690897</v>
      </c>
      <c r="U114" s="5">
        <f>IF((ContinuousStatsTable[[#This Row],[RepsRequested]]&gt;1),ContinuousStatsTable[[#This Row],[HalfWidth]],ContinuousStatsTable[[#This Row],[BatchMeansHalfWidth]])</f>
        <v>0.63683843534988338</v>
      </c>
    </row>
    <row r="115" spans="1:21" x14ac:dyDescent="0.25">
      <c r="A115" t="s">
        <v>67</v>
      </c>
      <c r="B115" t="s">
        <v>69</v>
      </c>
      <c r="C115">
        <v>6</v>
      </c>
      <c r="D115" t="s">
        <v>143</v>
      </c>
      <c r="E115" t="s">
        <v>142</v>
      </c>
      <c r="F115" t="s">
        <v>80</v>
      </c>
      <c r="G115">
        <v>3.4699230825343301</v>
      </c>
      <c r="H115">
        <v>2E+20</v>
      </c>
      <c r="I115">
        <v>1</v>
      </c>
      <c r="J115">
        <v>5</v>
      </c>
      <c r="K115">
        <v>5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17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2.3089685311309802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3.9560477961494298</v>
      </c>
      <c r="U115" s="5">
        <f>IF((ContinuousStatsTable[[#This Row],[RepsRequested]]&gt;1),ContinuousStatsTable[[#This Row],[HalfWidth]],ContinuousStatsTable[[#This Row],[BatchMeansHalfWidth]])</f>
        <v>0.19531820168707212</v>
      </c>
    </row>
    <row r="116" spans="1:21" x14ac:dyDescent="0.25">
      <c r="A116" t="s">
        <v>67</v>
      </c>
      <c r="B116" t="s">
        <v>69</v>
      </c>
      <c r="C116">
        <v>7</v>
      </c>
      <c r="D116" t="s">
        <v>70</v>
      </c>
      <c r="E116" t="s">
        <v>129</v>
      </c>
      <c r="F116" t="s">
        <v>72</v>
      </c>
      <c r="G116">
        <v>6.4100042836468303</v>
      </c>
      <c r="H116">
        <v>2E+20</v>
      </c>
      <c r="I116">
        <v>0</v>
      </c>
      <c r="J116">
        <v>15</v>
      </c>
      <c r="K116">
        <v>5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17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5.4544685782955797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9.9812364527489308</v>
      </c>
      <c r="U116" s="5">
        <f>IF((ContinuousStatsTable[[#This Row],[RepsRequested]]&gt;1),ContinuousStatsTable[[#This Row],[HalfWidth]],ContinuousStatsTable[[#This Row],[BatchMeansHalfWidth]])</f>
        <v>0.73494663100688618</v>
      </c>
    </row>
    <row r="117" spans="1:21" x14ac:dyDescent="0.25">
      <c r="A117" t="s">
        <v>67</v>
      </c>
      <c r="B117" t="s">
        <v>69</v>
      </c>
      <c r="C117">
        <v>7</v>
      </c>
      <c r="D117" t="s">
        <v>89</v>
      </c>
      <c r="E117" t="s">
        <v>130</v>
      </c>
      <c r="F117" t="s">
        <v>91</v>
      </c>
      <c r="G117">
        <v>0</v>
      </c>
      <c r="H117">
        <v>2E+20</v>
      </c>
      <c r="I117">
        <v>0</v>
      </c>
      <c r="J117">
        <v>0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17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0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25">
      <c r="A118" t="s">
        <v>67</v>
      </c>
      <c r="B118" t="s">
        <v>69</v>
      </c>
      <c r="C118">
        <v>7</v>
      </c>
      <c r="D118" t="s">
        <v>92</v>
      </c>
      <c r="E118" t="s">
        <v>130</v>
      </c>
      <c r="F118" t="s">
        <v>91</v>
      </c>
      <c r="G118">
        <v>1.3300547032007199</v>
      </c>
      <c r="H118">
        <v>2E+20</v>
      </c>
      <c r="I118">
        <v>0</v>
      </c>
      <c r="J118">
        <v>7</v>
      </c>
      <c r="K118">
        <v>1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17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1.1292470593949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2.9364889703726602</v>
      </c>
      <c r="U118" s="5">
        <f>IF((ContinuousStatsTable[[#This Row],[RepsRequested]]&gt;1),ContinuousStatsTable[[#This Row],[HalfWidth]],ContinuousStatsTable[[#This Row],[BatchMeansHalfWidth]])</f>
        <v>0.26472622632728454</v>
      </c>
    </row>
    <row r="119" spans="1:21" x14ac:dyDescent="0.25">
      <c r="A119" t="s">
        <v>67</v>
      </c>
      <c r="B119" t="s">
        <v>69</v>
      </c>
      <c r="C119">
        <v>7</v>
      </c>
      <c r="D119" t="s">
        <v>131</v>
      </c>
      <c r="E119" t="s">
        <v>129</v>
      </c>
      <c r="F119" t="s">
        <v>72</v>
      </c>
      <c r="G119">
        <v>3.21066328242236</v>
      </c>
      <c r="H119">
        <v>2E+20</v>
      </c>
      <c r="I119">
        <v>0</v>
      </c>
      <c r="J119">
        <v>8</v>
      </c>
      <c r="K119">
        <v>3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17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2.7429685070299299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4.8837925841766499</v>
      </c>
      <c r="U119" s="5">
        <f>IF((ContinuousStatsTable[[#This Row],[RepsRequested]]&gt;1),ContinuousStatsTable[[#This Row],[HalfWidth]],ContinuousStatsTable[[#This Row],[BatchMeansHalfWidth]])</f>
        <v>0.34715563137404881</v>
      </c>
    </row>
    <row r="120" spans="1:21" x14ac:dyDescent="0.25">
      <c r="A120" t="s">
        <v>67</v>
      </c>
      <c r="B120" t="s">
        <v>69</v>
      </c>
      <c r="C120">
        <v>7</v>
      </c>
      <c r="D120" t="s">
        <v>99</v>
      </c>
      <c r="E120" t="s">
        <v>130</v>
      </c>
      <c r="F120" t="s">
        <v>91</v>
      </c>
      <c r="G120">
        <v>0.91504169895099496</v>
      </c>
      <c r="H120">
        <v>2E+20</v>
      </c>
      <c r="I120">
        <v>0</v>
      </c>
      <c r="J120">
        <v>5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17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0.64455717508326504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2.69061971266638</v>
      </c>
      <c r="U120" s="5">
        <f>IF((ContinuousStatsTable[[#This Row],[RepsRequested]]&gt;1),ContinuousStatsTable[[#This Row],[HalfWidth]],ContinuousStatsTable[[#This Row],[BatchMeansHalfWidth]])</f>
        <v>0.32696662226075207</v>
      </c>
    </row>
    <row r="121" spans="1:21" x14ac:dyDescent="0.25">
      <c r="A121" t="s">
        <v>67</v>
      </c>
      <c r="B121" t="s">
        <v>69</v>
      </c>
      <c r="C121">
        <v>7</v>
      </c>
      <c r="D121" t="s">
        <v>104</v>
      </c>
      <c r="E121" t="s">
        <v>130</v>
      </c>
      <c r="F121" t="s">
        <v>91</v>
      </c>
      <c r="G121">
        <v>0.378491825572284</v>
      </c>
      <c r="H121">
        <v>2E+20</v>
      </c>
      <c r="I121">
        <v>0</v>
      </c>
      <c r="J121">
        <v>4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17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0.20519043218243799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1.8050950008829001</v>
      </c>
      <c r="U121" s="5">
        <f>IF((ContinuousStatsTable[[#This Row],[RepsRequested]]&gt;1),ContinuousStatsTable[[#This Row],[HalfWidth]],ContinuousStatsTable[[#This Row],[BatchMeansHalfWidth]])</f>
        <v>0.22777269441319098</v>
      </c>
    </row>
    <row r="122" spans="1:21" x14ac:dyDescent="0.25">
      <c r="A122" t="s">
        <v>67</v>
      </c>
      <c r="B122" t="s">
        <v>69</v>
      </c>
      <c r="C122">
        <v>7</v>
      </c>
      <c r="D122" t="s">
        <v>132</v>
      </c>
      <c r="E122" t="s">
        <v>133</v>
      </c>
      <c r="F122" t="s">
        <v>80</v>
      </c>
      <c r="G122">
        <v>1.7819048755179301</v>
      </c>
      <c r="H122">
        <v>2E+20</v>
      </c>
      <c r="I122">
        <v>0</v>
      </c>
      <c r="J122">
        <v>5</v>
      </c>
      <c r="K122">
        <v>2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17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1.04395220385056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2.6910314688690198</v>
      </c>
      <c r="U122" s="5">
        <f>IF((ContinuousStatsTable[[#This Row],[RepsRequested]]&gt;1),ContinuousStatsTable[[#This Row],[HalfWidth]],ContinuousStatsTable[[#This Row],[BatchMeansHalfWidth]])</f>
        <v>0.19531820168707029</v>
      </c>
    </row>
    <row r="123" spans="1:21" x14ac:dyDescent="0.25">
      <c r="A123" t="s">
        <v>67</v>
      </c>
      <c r="B123" t="s">
        <v>69</v>
      </c>
      <c r="C123">
        <v>7</v>
      </c>
      <c r="D123" t="s">
        <v>134</v>
      </c>
      <c r="E123" t="s">
        <v>135</v>
      </c>
      <c r="F123" t="s">
        <v>136</v>
      </c>
      <c r="G123">
        <v>0.788535692973937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17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0.73534383204610498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0.95888680213271504</v>
      </c>
      <c r="U123" s="5">
        <f>IF((ContinuousStatsTable[[#This Row],[RepsRequested]]&gt;1),ContinuousStatsTable[[#This Row],[HalfWidth]],ContinuousStatsTable[[#This Row],[BatchMeansHalfWidth]])</f>
        <v>3.3674816741294945E-2</v>
      </c>
    </row>
    <row r="124" spans="1:21" x14ac:dyDescent="0.25">
      <c r="A124" t="s">
        <v>67</v>
      </c>
      <c r="B124" t="s">
        <v>69</v>
      </c>
      <c r="C124">
        <v>7</v>
      </c>
      <c r="D124" t="s">
        <v>134</v>
      </c>
      <c r="E124" t="s">
        <v>137</v>
      </c>
      <c r="F124" t="s">
        <v>136</v>
      </c>
      <c r="G124">
        <v>0.788535692973937</v>
      </c>
      <c r="H124">
        <v>2E+20</v>
      </c>
      <c r="I124">
        <v>0</v>
      </c>
      <c r="J124">
        <v>1</v>
      </c>
      <c r="K124">
        <v>0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17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0.73534383204610498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0.95888680213271504</v>
      </c>
      <c r="U124" s="5">
        <f>IF((ContinuousStatsTable[[#This Row],[RepsRequested]]&gt;1),ContinuousStatsTable[[#This Row],[HalfWidth]],ContinuousStatsTable[[#This Row],[BatchMeansHalfWidth]])</f>
        <v>3.3674816741294945E-2</v>
      </c>
    </row>
    <row r="125" spans="1:21" x14ac:dyDescent="0.25">
      <c r="A125" t="s">
        <v>67</v>
      </c>
      <c r="B125" t="s">
        <v>69</v>
      </c>
      <c r="C125">
        <v>7</v>
      </c>
      <c r="D125" t="s">
        <v>134</v>
      </c>
      <c r="E125" t="s">
        <v>138</v>
      </c>
      <c r="F125" t="s">
        <v>136</v>
      </c>
      <c r="G125">
        <v>1</v>
      </c>
      <c r="H125">
        <v>2E+20</v>
      </c>
      <c r="I125">
        <v>1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17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1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1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1</v>
      </c>
      <c r="U125" s="5">
        <f>IF((ContinuousStatsTable[[#This Row],[RepsRequested]]&gt;1),ContinuousStatsTable[[#This Row],[HalfWidth]],ContinuousStatsTable[[#This Row],[BatchMeansHalfWidth]])</f>
        <v>0</v>
      </c>
    </row>
    <row r="126" spans="1:21" x14ac:dyDescent="0.25">
      <c r="A126" t="s">
        <v>67</v>
      </c>
      <c r="B126" t="s">
        <v>69</v>
      </c>
      <c r="C126">
        <v>7</v>
      </c>
      <c r="D126" t="s">
        <v>139</v>
      </c>
      <c r="E126" t="s">
        <v>135</v>
      </c>
      <c r="F126" t="s">
        <v>136</v>
      </c>
      <c r="G126">
        <v>0.58597716696561797</v>
      </c>
      <c r="H126">
        <v>2E+20</v>
      </c>
      <c r="I126">
        <v>0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17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0.52223972091576099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0.77852312806092006</v>
      </c>
      <c r="U126" s="5">
        <f>IF((ContinuousStatsTable[[#This Row],[RepsRequested]]&gt;1),ContinuousStatsTable[[#This Row],[HalfWidth]],ContinuousStatsTable[[#This Row],[BatchMeansHalfWidth]])</f>
        <v>3.4022068014651748E-2</v>
      </c>
    </row>
    <row r="127" spans="1:21" x14ac:dyDescent="0.25">
      <c r="A127" t="s">
        <v>67</v>
      </c>
      <c r="B127" t="s">
        <v>69</v>
      </c>
      <c r="C127">
        <v>7</v>
      </c>
      <c r="D127" t="s">
        <v>139</v>
      </c>
      <c r="E127" t="s">
        <v>137</v>
      </c>
      <c r="F127" t="s">
        <v>136</v>
      </c>
      <c r="G127">
        <v>0.58597716696561797</v>
      </c>
      <c r="H127">
        <v>2E+20</v>
      </c>
      <c r="I127">
        <v>0</v>
      </c>
      <c r="J127">
        <v>1</v>
      </c>
      <c r="K127">
        <v>1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17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0.52223972091576099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0.77852312806092006</v>
      </c>
      <c r="U127" s="5">
        <f>IF((ContinuousStatsTable[[#This Row],[RepsRequested]]&gt;1),ContinuousStatsTable[[#This Row],[HalfWidth]],ContinuousStatsTable[[#This Row],[BatchMeansHalfWidth]])</f>
        <v>3.4022068014651748E-2</v>
      </c>
    </row>
    <row r="128" spans="1:21" x14ac:dyDescent="0.25">
      <c r="A128" t="s">
        <v>67</v>
      </c>
      <c r="B128" t="s">
        <v>69</v>
      </c>
      <c r="C128">
        <v>7</v>
      </c>
      <c r="D128" t="s">
        <v>139</v>
      </c>
      <c r="E128" t="s">
        <v>138</v>
      </c>
      <c r="F128" t="s">
        <v>136</v>
      </c>
      <c r="G128">
        <v>1</v>
      </c>
      <c r="H128">
        <v>2E+20</v>
      </c>
      <c r="I128">
        <v>1</v>
      </c>
      <c r="J128">
        <v>1</v>
      </c>
      <c r="K128">
        <v>1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17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1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25">
      <c r="A129" t="s">
        <v>67</v>
      </c>
      <c r="B129" t="s">
        <v>69</v>
      </c>
      <c r="C129">
        <v>7</v>
      </c>
      <c r="D129" t="s">
        <v>140</v>
      </c>
      <c r="E129" t="s">
        <v>135</v>
      </c>
      <c r="F129" t="s">
        <v>136</v>
      </c>
      <c r="G129">
        <v>0.35638097510358502</v>
      </c>
      <c r="H129">
        <v>2E+20</v>
      </c>
      <c r="I129">
        <v>0</v>
      </c>
      <c r="J129">
        <v>1</v>
      </c>
      <c r="K129">
        <v>0.4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17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0.20879044077011299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0.53820629377380302</v>
      </c>
      <c r="U129" s="5">
        <f>IF((ContinuousStatsTable[[#This Row],[RepsRequested]]&gt;1),ContinuousStatsTable[[#This Row],[HalfWidth]],ContinuousStatsTable[[#This Row],[BatchMeansHalfWidth]])</f>
        <v>3.9063640337413962E-2</v>
      </c>
    </row>
    <row r="130" spans="1:21" x14ac:dyDescent="0.25">
      <c r="A130" t="s">
        <v>67</v>
      </c>
      <c r="B130" t="s">
        <v>69</v>
      </c>
      <c r="C130">
        <v>7</v>
      </c>
      <c r="D130" t="s">
        <v>140</v>
      </c>
      <c r="E130" t="s">
        <v>137</v>
      </c>
      <c r="F130" t="s">
        <v>136</v>
      </c>
      <c r="G130">
        <v>1.7819048755179301</v>
      </c>
      <c r="H130">
        <v>2E+20</v>
      </c>
      <c r="I130">
        <v>0</v>
      </c>
      <c r="J130">
        <v>5</v>
      </c>
      <c r="K130">
        <v>2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17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1.04395220385056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2.6910314688690198</v>
      </c>
      <c r="U130" s="5">
        <f>IF((ContinuousStatsTable[[#This Row],[RepsRequested]]&gt;1),ContinuousStatsTable[[#This Row],[HalfWidth]],ContinuousStatsTable[[#This Row],[BatchMeansHalfWidth]])</f>
        <v>0.19531820168707029</v>
      </c>
    </row>
    <row r="131" spans="1:21" x14ac:dyDescent="0.25">
      <c r="A131" t="s">
        <v>67</v>
      </c>
      <c r="B131" t="s">
        <v>69</v>
      </c>
      <c r="C131">
        <v>7</v>
      </c>
      <c r="D131" t="s">
        <v>140</v>
      </c>
      <c r="E131" t="s">
        <v>138</v>
      </c>
      <c r="F131" t="s">
        <v>136</v>
      </c>
      <c r="G131">
        <v>5</v>
      </c>
      <c r="H131">
        <v>2E+20</v>
      </c>
      <c r="I131">
        <v>5</v>
      </c>
      <c r="J131">
        <v>5</v>
      </c>
      <c r="K131">
        <v>5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17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5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5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5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67</v>
      </c>
      <c r="B132" t="s">
        <v>69</v>
      </c>
      <c r="C132">
        <v>7</v>
      </c>
      <c r="D132" t="s">
        <v>127</v>
      </c>
      <c r="E132" t="s">
        <v>129</v>
      </c>
      <c r="F132" t="s">
        <v>72</v>
      </c>
      <c r="G132">
        <v>0</v>
      </c>
      <c r="H132">
        <v>2E+20</v>
      </c>
      <c r="I132">
        <v>0</v>
      </c>
      <c r="J132">
        <v>1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17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0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0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25">
      <c r="A133" t="s">
        <v>67</v>
      </c>
      <c r="B133" t="s">
        <v>69</v>
      </c>
      <c r="C133">
        <v>7</v>
      </c>
      <c r="D133" t="s">
        <v>141</v>
      </c>
      <c r="E133" t="s">
        <v>142</v>
      </c>
      <c r="F133" t="s">
        <v>80</v>
      </c>
      <c r="G133">
        <v>4.5585623710918703</v>
      </c>
      <c r="H133">
        <v>2E+20</v>
      </c>
      <c r="I133">
        <v>0</v>
      </c>
      <c r="J133">
        <v>10</v>
      </c>
      <c r="K133">
        <v>3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17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3.84735462379287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7.9213485690690897</v>
      </c>
      <c r="U133" s="5">
        <f>IF((ContinuousStatsTable[[#This Row],[RepsRequested]]&gt;1),ContinuousStatsTable[[#This Row],[HalfWidth]],ContinuousStatsTable[[#This Row],[BatchMeansHalfWidth]])</f>
        <v>0.63683843534988338</v>
      </c>
    </row>
    <row r="134" spans="1:21" x14ac:dyDescent="0.25">
      <c r="A134" t="s">
        <v>67</v>
      </c>
      <c r="B134" t="s">
        <v>69</v>
      </c>
      <c r="C134">
        <v>7</v>
      </c>
      <c r="D134" t="s">
        <v>143</v>
      </c>
      <c r="E134" t="s">
        <v>142</v>
      </c>
      <c r="F134" t="s">
        <v>80</v>
      </c>
      <c r="G134">
        <v>3.2180951244820801</v>
      </c>
      <c r="H134">
        <v>2E+20</v>
      </c>
      <c r="I134">
        <v>0</v>
      </c>
      <c r="J134">
        <v>5</v>
      </c>
      <c r="K134">
        <v>3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17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2.3089685311309802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3.9560477961494298</v>
      </c>
      <c r="U134" s="5">
        <f>IF((ContinuousStatsTable[[#This Row],[RepsRequested]]&gt;1),ContinuousStatsTable[[#This Row],[HalfWidth]],ContinuousStatsTable[[#This Row],[BatchMeansHalfWidth]])</f>
        <v>0.19531820168707212</v>
      </c>
    </row>
    <row r="135" spans="1:21" x14ac:dyDescent="0.25">
      <c r="A135" t="s">
        <v>67</v>
      </c>
      <c r="B135" t="s">
        <v>69</v>
      </c>
      <c r="C135">
        <v>8</v>
      </c>
      <c r="D135" t="s">
        <v>70</v>
      </c>
      <c r="E135" t="s">
        <v>129</v>
      </c>
      <c r="F135" t="s">
        <v>72</v>
      </c>
      <c r="G135">
        <v>9.7378046175425492</v>
      </c>
      <c r="H135">
        <v>3E+20</v>
      </c>
      <c r="I135">
        <v>0</v>
      </c>
      <c r="J135">
        <v>24</v>
      </c>
      <c r="K135">
        <v>7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17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5.4544685782955797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9.9812364527489308</v>
      </c>
      <c r="U135" s="5">
        <f>IF((ContinuousStatsTable[[#This Row],[RepsRequested]]&gt;1),ContinuousStatsTable[[#This Row],[HalfWidth]],ContinuousStatsTable[[#This Row],[BatchMeansHalfWidth]])</f>
        <v>0.73494663100688618</v>
      </c>
    </row>
    <row r="136" spans="1:21" x14ac:dyDescent="0.25">
      <c r="A136" t="s">
        <v>67</v>
      </c>
      <c r="B136" t="s">
        <v>69</v>
      </c>
      <c r="C136">
        <v>8</v>
      </c>
      <c r="D136" t="s">
        <v>89</v>
      </c>
      <c r="E136" t="s">
        <v>130</v>
      </c>
      <c r="F136" t="s">
        <v>91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17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67</v>
      </c>
      <c r="B137" t="s">
        <v>69</v>
      </c>
      <c r="C137">
        <v>8</v>
      </c>
      <c r="D137" t="s">
        <v>92</v>
      </c>
      <c r="E137" t="s">
        <v>130</v>
      </c>
      <c r="F137" t="s">
        <v>91</v>
      </c>
      <c r="G137">
        <v>2.9364889703726602</v>
      </c>
      <c r="H137">
        <v>2E+20</v>
      </c>
      <c r="I137">
        <v>0</v>
      </c>
      <c r="J137">
        <v>12</v>
      </c>
      <c r="K137">
        <v>0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17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1.1292470593949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2.9364889703726602</v>
      </c>
      <c r="U137" s="5">
        <f>IF((ContinuousStatsTable[[#This Row],[RepsRequested]]&gt;1),ContinuousStatsTable[[#This Row],[HalfWidth]],ContinuousStatsTable[[#This Row],[BatchMeansHalfWidth]])</f>
        <v>0.26472622632728454</v>
      </c>
    </row>
    <row r="138" spans="1:21" x14ac:dyDescent="0.25">
      <c r="A138" t="s">
        <v>67</v>
      </c>
      <c r="B138" t="s">
        <v>69</v>
      </c>
      <c r="C138">
        <v>8</v>
      </c>
      <c r="D138" t="s">
        <v>131</v>
      </c>
      <c r="E138" t="s">
        <v>129</v>
      </c>
      <c r="F138" t="s">
        <v>72</v>
      </c>
      <c r="G138">
        <v>4.7851672410683399</v>
      </c>
      <c r="H138">
        <v>2E+20</v>
      </c>
      <c r="I138">
        <v>0</v>
      </c>
      <c r="J138">
        <v>12</v>
      </c>
      <c r="K138">
        <v>2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17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2.7429685070299299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4.8837925841766499</v>
      </c>
      <c r="U138" s="5">
        <f>IF((ContinuousStatsTable[[#This Row],[RepsRequested]]&gt;1),ContinuousStatsTable[[#This Row],[HalfWidth]],ContinuousStatsTable[[#This Row],[BatchMeansHalfWidth]])</f>
        <v>0.34715563137404881</v>
      </c>
    </row>
    <row r="139" spans="1:21" x14ac:dyDescent="0.25">
      <c r="A139" t="s">
        <v>67</v>
      </c>
      <c r="B139" t="s">
        <v>69</v>
      </c>
      <c r="C139">
        <v>8</v>
      </c>
      <c r="D139" t="s">
        <v>99</v>
      </c>
      <c r="E139" t="s">
        <v>130</v>
      </c>
      <c r="F139" t="s">
        <v>91</v>
      </c>
      <c r="G139">
        <v>2.69061971266638</v>
      </c>
      <c r="H139">
        <v>2E+20</v>
      </c>
      <c r="I139">
        <v>0</v>
      </c>
      <c r="J139">
        <v>11</v>
      </c>
      <c r="K139">
        <v>2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17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0.64455717508326504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2.69061971266638</v>
      </c>
      <c r="U139" s="5">
        <f>IF((ContinuousStatsTable[[#This Row],[RepsRequested]]&gt;1),ContinuousStatsTable[[#This Row],[HalfWidth]],ContinuousStatsTable[[#This Row],[BatchMeansHalfWidth]])</f>
        <v>0.32696662226075207</v>
      </c>
    </row>
    <row r="140" spans="1:21" x14ac:dyDescent="0.25">
      <c r="A140" t="s">
        <v>67</v>
      </c>
      <c r="B140" t="s">
        <v>69</v>
      </c>
      <c r="C140">
        <v>8</v>
      </c>
      <c r="D140" t="s">
        <v>104</v>
      </c>
      <c r="E140" t="s">
        <v>130</v>
      </c>
      <c r="F140" t="s">
        <v>91</v>
      </c>
      <c r="G140">
        <v>1.8050950008829001</v>
      </c>
      <c r="H140">
        <v>2E+20</v>
      </c>
      <c r="I140">
        <v>0</v>
      </c>
      <c r="J140">
        <v>9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17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0.20519043218243799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1.8050950008829001</v>
      </c>
      <c r="U140" s="5">
        <f>IF((ContinuousStatsTable[[#This Row],[RepsRequested]]&gt;1),ContinuousStatsTable[[#This Row],[HalfWidth]],ContinuousStatsTable[[#This Row],[BatchMeansHalfWidth]])</f>
        <v>0.22777269441319098</v>
      </c>
    </row>
    <row r="141" spans="1:21" x14ac:dyDescent="0.25">
      <c r="A141" t="s">
        <v>67</v>
      </c>
      <c r="B141" t="s">
        <v>69</v>
      </c>
      <c r="C141">
        <v>8</v>
      </c>
      <c r="D141" t="s">
        <v>132</v>
      </c>
      <c r="E141" t="s">
        <v>133</v>
      </c>
      <c r="F141" t="s">
        <v>80</v>
      </c>
      <c r="G141">
        <v>1.7396967892141999</v>
      </c>
      <c r="H141">
        <v>2E+20</v>
      </c>
      <c r="I141">
        <v>0</v>
      </c>
      <c r="J141">
        <v>5</v>
      </c>
      <c r="K141">
        <v>2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17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1.04395220385056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2.6910314688690198</v>
      </c>
      <c r="U141" s="5">
        <f>IF((ContinuousStatsTable[[#This Row],[RepsRequested]]&gt;1),ContinuousStatsTable[[#This Row],[HalfWidth]],ContinuousStatsTable[[#This Row],[BatchMeansHalfWidth]])</f>
        <v>0.19531820168707029</v>
      </c>
    </row>
    <row r="142" spans="1:21" x14ac:dyDescent="0.25">
      <c r="A142" t="s">
        <v>67</v>
      </c>
      <c r="B142" t="s">
        <v>69</v>
      </c>
      <c r="C142">
        <v>8</v>
      </c>
      <c r="D142" t="s">
        <v>134</v>
      </c>
      <c r="E142" t="s">
        <v>135</v>
      </c>
      <c r="F142" t="s">
        <v>136</v>
      </c>
      <c r="G142">
        <v>0.85086953734208004</v>
      </c>
      <c r="H142">
        <v>2E+20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17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0.73534383204610498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0.95888680213271504</v>
      </c>
      <c r="U142" s="5">
        <f>IF((ContinuousStatsTable[[#This Row],[RepsRequested]]&gt;1),ContinuousStatsTable[[#This Row],[HalfWidth]],ContinuousStatsTable[[#This Row],[BatchMeansHalfWidth]])</f>
        <v>3.3674816741294945E-2</v>
      </c>
    </row>
    <row r="143" spans="1:21" x14ac:dyDescent="0.25">
      <c r="A143" t="s">
        <v>67</v>
      </c>
      <c r="B143" t="s">
        <v>69</v>
      </c>
      <c r="C143">
        <v>8</v>
      </c>
      <c r="D143" t="s">
        <v>134</v>
      </c>
      <c r="E143" t="s">
        <v>137</v>
      </c>
      <c r="F143" t="s">
        <v>136</v>
      </c>
      <c r="G143">
        <v>0.85086953734208004</v>
      </c>
      <c r="H143">
        <v>2E+20</v>
      </c>
      <c r="I143">
        <v>0</v>
      </c>
      <c r="J143">
        <v>1</v>
      </c>
      <c r="K143">
        <v>1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17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0.73534383204610498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0.95888680213271504</v>
      </c>
      <c r="U143" s="5">
        <f>IF((ContinuousStatsTable[[#This Row],[RepsRequested]]&gt;1),ContinuousStatsTable[[#This Row],[HalfWidth]],ContinuousStatsTable[[#This Row],[BatchMeansHalfWidth]])</f>
        <v>3.3674816741294945E-2</v>
      </c>
    </row>
    <row r="144" spans="1:21" x14ac:dyDescent="0.25">
      <c r="A144" t="s">
        <v>67</v>
      </c>
      <c r="B144" t="s">
        <v>69</v>
      </c>
      <c r="C144">
        <v>8</v>
      </c>
      <c r="D144" t="s">
        <v>134</v>
      </c>
      <c r="E144" t="s">
        <v>138</v>
      </c>
      <c r="F144" t="s">
        <v>136</v>
      </c>
      <c r="G144">
        <v>1</v>
      </c>
      <c r="H144">
        <v>2E+20</v>
      </c>
      <c r="I144">
        <v>1</v>
      </c>
      <c r="J144">
        <v>1</v>
      </c>
      <c r="K144">
        <v>1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17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1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1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67</v>
      </c>
      <c r="B145" t="s">
        <v>69</v>
      </c>
      <c r="C145">
        <v>8</v>
      </c>
      <c r="D145" t="s">
        <v>139</v>
      </c>
      <c r="E145" t="s">
        <v>135</v>
      </c>
      <c r="F145" t="s">
        <v>136</v>
      </c>
      <c r="G145">
        <v>0.71460456600057298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17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0.52223972091576099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0.77852312806092006</v>
      </c>
      <c r="U145" s="5">
        <f>IF((ContinuousStatsTable[[#This Row],[RepsRequested]]&gt;1),ContinuousStatsTable[[#This Row],[HalfWidth]],ContinuousStatsTable[[#This Row],[BatchMeansHalfWidth]])</f>
        <v>3.4022068014651748E-2</v>
      </c>
    </row>
    <row r="146" spans="1:21" x14ac:dyDescent="0.25">
      <c r="A146" t="s">
        <v>67</v>
      </c>
      <c r="B146" t="s">
        <v>69</v>
      </c>
      <c r="C146">
        <v>8</v>
      </c>
      <c r="D146" t="s">
        <v>139</v>
      </c>
      <c r="E146" t="s">
        <v>137</v>
      </c>
      <c r="F146" t="s">
        <v>136</v>
      </c>
      <c r="G146">
        <v>0.71460456600057298</v>
      </c>
      <c r="H146">
        <v>2E+20</v>
      </c>
      <c r="I146">
        <v>0</v>
      </c>
      <c r="J146">
        <v>1</v>
      </c>
      <c r="K146">
        <v>0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17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0.52223972091576099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0.77852312806092006</v>
      </c>
      <c r="U146" s="5">
        <f>IF((ContinuousStatsTable[[#This Row],[RepsRequested]]&gt;1),ContinuousStatsTable[[#This Row],[HalfWidth]],ContinuousStatsTable[[#This Row],[BatchMeansHalfWidth]])</f>
        <v>3.4022068014651748E-2</v>
      </c>
    </row>
    <row r="147" spans="1:21" x14ac:dyDescent="0.25">
      <c r="A147" t="s">
        <v>67</v>
      </c>
      <c r="B147" t="s">
        <v>69</v>
      </c>
      <c r="C147">
        <v>8</v>
      </c>
      <c r="D147" t="s">
        <v>139</v>
      </c>
      <c r="E147" t="s">
        <v>138</v>
      </c>
      <c r="F147" t="s">
        <v>136</v>
      </c>
      <c r="G147">
        <v>1</v>
      </c>
      <c r="H147">
        <v>2E+20</v>
      </c>
      <c r="I147">
        <v>1</v>
      </c>
      <c r="J147">
        <v>1</v>
      </c>
      <c r="K147">
        <v>1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17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1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1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1</v>
      </c>
      <c r="U147" s="5">
        <f>IF((ContinuousStatsTable[[#This Row],[RepsRequested]]&gt;1),ContinuousStatsTable[[#This Row],[HalfWidth]],ContinuousStatsTable[[#This Row],[BatchMeansHalfWidth]])</f>
        <v>0</v>
      </c>
    </row>
    <row r="148" spans="1:21" x14ac:dyDescent="0.25">
      <c r="A148" t="s">
        <v>67</v>
      </c>
      <c r="B148" t="s">
        <v>69</v>
      </c>
      <c r="C148">
        <v>8</v>
      </c>
      <c r="D148" t="s">
        <v>140</v>
      </c>
      <c r="E148" t="s">
        <v>135</v>
      </c>
      <c r="F148" t="s">
        <v>136</v>
      </c>
      <c r="G148">
        <v>0.34793935784283903</v>
      </c>
      <c r="H148">
        <v>2E+20</v>
      </c>
      <c r="I148">
        <v>0</v>
      </c>
      <c r="J148">
        <v>1</v>
      </c>
      <c r="K148">
        <v>0.4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17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0.20879044077011299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0.53820629377380302</v>
      </c>
      <c r="U148" s="5">
        <f>IF((ContinuousStatsTable[[#This Row],[RepsRequested]]&gt;1),ContinuousStatsTable[[#This Row],[HalfWidth]],ContinuousStatsTable[[#This Row],[BatchMeansHalfWidth]])</f>
        <v>3.9063640337413962E-2</v>
      </c>
    </row>
    <row r="149" spans="1:21" x14ac:dyDescent="0.25">
      <c r="A149" t="s">
        <v>67</v>
      </c>
      <c r="B149" t="s">
        <v>69</v>
      </c>
      <c r="C149">
        <v>8</v>
      </c>
      <c r="D149" t="s">
        <v>140</v>
      </c>
      <c r="E149" t="s">
        <v>137</v>
      </c>
      <c r="F149" t="s">
        <v>136</v>
      </c>
      <c r="G149">
        <v>1.7396967892141999</v>
      </c>
      <c r="H149">
        <v>2E+20</v>
      </c>
      <c r="I149">
        <v>0</v>
      </c>
      <c r="J149">
        <v>5</v>
      </c>
      <c r="K149">
        <v>2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17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1.04395220385056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2.6910314688690198</v>
      </c>
      <c r="U149" s="5">
        <f>IF((ContinuousStatsTable[[#This Row],[RepsRequested]]&gt;1),ContinuousStatsTable[[#This Row],[HalfWidth]],ContinuousStatsTable[[#This Row],[BatchMeansHalfWidth]])</f>
        <v>0.19531820168707029</v>
      </c>
    </row>
    <row r="150" spans="1:21" x14ac:dyDescent="0.25">
      <c r="A150" t="s">
        <v>67</v>
      </c>
      <c r="B150" t="s">
        <v>69</v>
      </c>
      <c r="C150">
        <v>8</v>
      </c>
      <c r="D150" t="s">
        <v>140</v>
      </c>
      <c r="E150" t="s">
        <v>138</v>
      </c>
      <c r="F150" t="s">
        <v>136</v>
      </c>
      <c r="G150">
        <v>5</v>
      </c>
      <c r="H150">
        <v>2E+20</v>
      </c>
      <c r="I150">
        <v>5</v>
      </c>
      <c r="J150">
        <v>5</v>
      </c>
      <c r="K150">
        <v>5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17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5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5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5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67</v>
      </c>
      <c r="B151" t="s">
        <v>69</v>
      </c>
      <c r="C151">
        <v>8</v>
      </c>
      <c r="D151" t="s">
        <v>127</v>
      </c>
      <c r="E151" t="s">
        <v>129</v>
      </c>
      <c r="F151" t="s">
        <v>72</v>
      </c>
      <c r="G151">
        <v>0</v>
      </c>
      <c r="H151">
        <v>2E+20</v>
      </c>
      <c r="I151">
        <v>0</v>
      </c>
      <c r="J151">
        <v>1</v>
      </c>
      <c r="K151">
        <v>0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17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25">
      <c r="A152" t="s">
        <v>67</v>
      </c>
      <c r="B152" t="s">
        <v>69</v>
      </c>
      <c r="C152">
        <v>8</v>
      </c>
      <c r="D152" t="s">
        <v>141</v>
      </c>
      <c r="E152" t="s">
        <v>142</v>
      </c>
      <c r="F152" t="s">
        <v>80</v>
      </c>
      <c r="G152">
        <v>7.9213485690690897</v>
      </c>
      <c r="H152">
        <v>2E+20</v>
      </c>
      <c r="I152">
        <v>0</v>
      </c>
      <c r="J152">
        <v>18</v>
      </c>
      <c r="K152">
        <v>5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17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3.84735462379287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7.9213485690690897</v>
      </c>
      <c r="U152" s="5">
        <f>IF((ContinuousStatsTable[[#This Row],[RepsRequested]]&gt;1),ContinuousStatsTable[[#This Row],[HalfWidth]],ContinuousStatsTable[[#This Row],[BatchMeansHalfWidth]])</f>
        <v>0.63683843534988338</v>
      </c>
    </row>
    <row r="153" spans="1:21" x14ac:dyDescent="0.25">
      <c r="A153" t="s">
        <v>67</v>
      </c>
      <c r="B153" t="s">
        <v>69</v>
      </c>
      <c r="C153">
        <v>8</v>
      </c>
      <c r="D153" t="s">
        <v>143</v>
      </c>
      <c r="E153" t="s">
        <v>142</v>
      </c>
      <c r="F153" t="s">
        <v>80</v>
      </c>
      <c r="G153">
        <v>3.2603032107857999</v>
      </c>
      <c r="H153">
        <v>2E+20</v>
      </c>
      <c r="I153">
        <v>0</v>
      </c>
      <c r="J153">
        <v>5</v>
      </c>
      <c r="K153">
        <v>3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17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2.3089685311309802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3.9560477961494298</v>
      </c>
      <c r="U153" s="5">
        <f>IF((ContinuousStatsTable[[#This Row],[RepsRequested]]&gt;1),ContinuousStatsTable[[#This Row],[HalfWidth]],ContinuousStatsTable[[#This Row],[BatchMeansHalfWidth]])</f>
        <v>0.19531820168707212</v>
      </c>
    </row>
    <row r="154" spans="1:21" x14ac:dyDescent="0.25">
      <c r="A154" t="s">
        <v>67</v>
      </c>
      <c r="B154" t="s">
        <v>69</v>
      </c>
      <c r="C154">
        <v>9</v>
      </c>
      <c r="D154" t="s">
        <v>70</v>
      </c>
      <c r="E154" t="s">
        <v>129</v>
      </c>
      <c r="F154" t="s">
        <v>72</v>
      </c>
      <c r="G154">
        <v>6.5626350673004099</v>
      </c>
      <c r="H154">
        <v>3E+20</v>
      </c>
      <c r="I154">
        <v>1</v>
      </c>
      <c r="J154">
        <v>17</v>
      </c>
      <c r="K154">
        <v>5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17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5.4544685782955797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9.9812364527489308</v>
      </c>
      <c r="U154" s="5">
        <f>IF((ContinuousStatsTable[[#This Row],[RepsRequested]]&gt;1),ContinuousStatsTable[[#This Row],[HalfWidth]],ContinuousStatsTable[[#This Row],[BatchMeansHalfWidth]])</f>
        <v>0.73494663100688618</v>
      </c>
    </row>
    <row r="155" spans="1:21" x14ac:dyDescent="0.25">
      <c r="A155" t="s">
        <v>67</v>
      </c>
      <c r="B155" t="s">
        <v>69</v>
      </c>
      <c r="C155">
        <v>9</v>
      </c>
      <c r="D155" t="s">
        <v>89</v>
      </c>
      <c r="E155" t="s">
        <v>130</v>
      </c>
      <c r="F155" t="s">
        <v>91</v>
      </c>
      <c r="G155">
        <v>0</v>
      </c>
      <c r="H155">
        <v>2E+20</v>
      </c>
      <c r="I155">
        <v>0</v>
      </c>
      <c r="J155">
        <v>0</v>
      </c>
      <c r="K155">
        <v>0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17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</v>
      </c>
      <c r="U155" s="5">
        <f>IF((ContinuousStatsTable[[#This Row],[RepsRequested]]&gt;1),ContinuousStatsTable[[#This Row],[HalfWidth]],ContinuousStatsTable[[#This Row],[BatchMeansHalfWidth]])</f>
        <v>0</v>
      </c>
    </row>
    <row r="156" spans="1:21" x14ac:dyDescent="0.25">
      <c r="A156" t="s">
        <v>67</v>
      </c>
      <c r="B156" t="s">
        <v>69</v>
      </c>
      <c r="C156">
        <v>9</v>
      </c>
      <c r="D156" t="s">
        <v>92</v>
      </c>
      <c r="E156" t="s">
        <v>130</v>
      </c>
      <c r="F156" t="s">
        <v>91</v>
      </c>
      <c r="G156">
        <v>1.81191463500633</v>
      </c>
      <c r="H156">
        <v>2E+20</v>
      </c>
      <c r="I156">
        <v>0</v>
      </c>
      <c r="J156">
        <v>8</v>
      </c>
      <c r="K156">
        <v>2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17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1.1292470593949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2.9364889703726602</v>
      </c>
      <c r="U156" s="5">
        <f>IF((ContinuousStatsTable[[#This Row],[RepsRequested]]&gt;1),ContinuousStatsTable[[#This Row],[HalfWidth]],ContinuousStatsTable[[#This Row],[BatchMeansHalfWidth]])</f>
        <v>0.26472622632728454</v>
      </c>
    </row>
    <row r="157" spans="1:21" x14ac:dyDescent="0.25">
      <c r="A157" t="s">
        <v>67</v>
      </c>
      <c r="B157" t="s">
        <v>69</v>
      </c>
      <c r="C157">
        <v>9</v>
      </c>
      <c r="D157" t="s">
        <v>131</v>
      </c>
      <c r="E157" t="s">
        <v>129</v>
      </c>
      <c r="F157" t="s">
        <v>72</v>
      </c>
      <c r="G157">
        <v>3.2986814784027998</v>
      </c>
      <c r="H157">
        <v>2E+20</v>
      </c>
      <c r="I157">
        <v>0</v>
      </c>
      <c r="J157">
        <v>10</v>
      </c>
      <c r="K157">
        <v>3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17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2.7429685070299299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4.8837925841766499</v>
      </c>
      <c r="U157" s="5">
        <f>IF((ContinuousStatsTable[[#This Row],[RepsRequested]]&gt;1),ContinuousStatsTable[[#This Row],[HalfWidth]],ContinuousStatsTable[[#This Row],[BatchMeansHalfWidth]])</f>
        <v>0.34715563137404881</v>
      </c>
    </row>
    <row r="158" spans="1:21" x14ac:dyDescent="0.25">
      <c r="A158" t="s">
        <v>67</v>
      </c>
      <c r="B158" t="s">
        <v>69</v>
      </c>
      <c r="C158">
        <v>9</v>
      </c>
      <c r="D158" t="s">
        <v>99</v>
      </c>
      <c r="E158" t="s">
        <v>130</v>
      </c>
      <c r="F158" t="s">
        <v>91</v>
      </c>
      <c r="G158">
        <v>1.3450326763682301</v>
      </c>
      <c r="H158">
        <v>2E+20</v>
      </c>
      <c r="I158">
        <v>0</v>
      </c>
      <c r="J158">
        <v>8</v>
      </c>
      <c r="K158">
        <v>1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17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0.64455717508326504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2.69061971266638</v>
      </c>
      <c r="U158" s="5">
        <f>IF((ContinuousStatsTable[[#This Row],[RepsRequested]]&gt;1),ContinuousStatsTable[[#This Row],[HalfWidth]],ContinuousStatsTable[[#This Row],[BatchMeansHalfWidth]])</f>
        <v>0.32696662226075207</v>
      </c>
    </row>
    <row r="159" spans="1:21" x14ac:dyDescent="0.25">
      <c r="A159" t="s">
        <v>67</v>
      </c>
      <c r="B159" t="s">
        <v>69</v>
      </c>
      <c r="C159">
        <v>9</v>
      </c>
      <c r="D159" t="s">
        <v>104</v>
      </c>
      <c r="E159" t="s">
        <v>130</v>
      </c>
      <c r="F159" t="s">
        <v>91</v>
      </c>
      <c r="G159">
        <v>0.76366482310858597</v>
      </c>
      <c r="H159">
        <v>2E+20</v>
      </c>
      <c r="I159">
        <v>0</v>
      </c>
      <c r="J159">
        <v>5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17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0.20519043218243799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1.8050950008829001</v>
      </c>
      <c r="U159" s="5">
        <f>IF((ContinuousStatsTable[[#This Row],[RepsRequested]]&gt;1),ContinuousStatsTable[[#This Row],[HalfWidth]],ContinuousStatsTable[[#This Row],[BatchMeansHalfWidth]])</f>
        <v>0.22777269441319098</v>
      </c>
    </row>
    <row r="160" spans="1:21" x14ac:dyDescent="0.25">
      <c r="A160" t="s">
        <v>67</v>
      </c>
      <c r="B160" t="s">
        <v>69</v>
      </c>
      <c r="C160">
        <v>9</v>
      </c>
      <c r="D160" t="s">
        <v>132</v>
      </c>
      <c r="E160" t="s">
        <v>133</v>
      </c>
      <c r="F160" t="s">
        <v>80</v>
      </c>
      <c r="G160">
        <v>1.37547054710017</v>
      </c>
      <c r="H160">
        <v>2E+20</v>
      </c>
      <c r="I160">
        <v>0</v>
      </c>
      <c r="J160">
        <v>3</v>
      </c>
      <c r="K160">
        <v>1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17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1.04395220385056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2.6910314688690198</v>
      </c>
      <c r="U160" s="5">
        <f>IF((ContinuousStatsTable[[#This Row],[RepsRequested]]&gt;1),ContinuousStatsTable[[#This Row],[HalfWidth]],ContinuousStatsTable[[#This Row],[BatchMeansHalfWidth]])</f>
        <v>0.19531820168707029</v>
      </c>
    </row>
    <row r="161" spans="1:21" x14ac:dyDescent="0.25">
      <c r="A161" t="s">
        <v>67</v>
      </c>
      <c r="B161" t="s">
        <v>69</v>
      </c>
      <c r="C161">
        <v>9</v>
      </c>
      <c r="D161" t="s">
        <v>134</v>
      </c>
      <c r="E161" t="s">
        <v>135</v>
      </c>
      <c r="F161" t="s">
        <v>136</v>
      </c>
      <c r="G161">
        <v>0.82055692316692297</v>
      </c>
      <c r="H161">
        <v>2E+20</v>
      </c>
      <c r="I161">
        <v>0</v>
      </c>
      <c r="J161">
        <v>1</v>
      </c>
      <c r="K161">
        <v>1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17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0.73534383204610498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0.95888680213271504</v>
      </c>
      <c r="U161" s="5">
        <f>IF((ContinuousStatsTable[[#This Row],[RepsRequested]]&gt;1),ContinuousStatsTable[[#This Row],[HalfWidth]],ContinuousStatsTable[[#This Row],[BatchMeansHalfWidth]])</f>
        <v>3.3674816741294945E-2</v>
      </c>
    </row>
    <row r="162" spans="1:21" x14ac:dyDescent="0.25">
      <c r="A162" t="s">
        <v>67</v>
      </c>
      <c r="B162" t="s">
        <v>69</v>
      </c>
      <c r="C162">
        <v>9</v>
      </c>
      <c r="D162" t="s">
        <v>134</v>
      </c>
      <c r="E162" t="s">
        <v>137</v>
      </c>
      <c r="F162" t="s">
        <v>136</v>
      </c>
      <c r="G162">
        <v>0.82055692316692297</v>
      </c>
      <c r="H162">
        <v>2E+20</v>
      </c>
      <c r="I162">
        <v>0</v>
      </c>
      <c r="J162">
        <v>1</v>
      </c>
      <c r="K162">
        <v>1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17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0.73534383204610498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0.95888680213271504</v>
      </c>
      <c r="U162" s="5">
        <f>IF((ContinuousStatsTable[[#This Row],[RepsRequested]]&gt;1),ContinuousStatsTable[[#This Row],[HalfWidth]],ContinuousStatsTable[[#This Row],[BatchMeansHalfWidth]])</f>
        <v>3.3674816741294945E-2</v>
      </c>
    </row>
    <row r="163" spans="1:21" x14ac:dyDescent="0.25">
      <c r="A163" t="s">
        <v>67</v>
      </c>
      <c r="B163" t="s">
        <v>69</v>
      </c>
      <c r="C163">
        <v>9</v>
      </c>
      <c r="D163" t="s">
        <v>134</v>
      </c>
      <c r="E163" t="s">
        <v>138</v>
      </c>
      <c r="F163" t="s">
        <v>136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17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67</v>
      </c>
      <c r="B164" t="s">
        <v>69</v>
      </c>
      <c r="C164">
        <v>9</v>
      </c>
      <c r="D164" t="s">
        <v>139</v>
      </c>
      <c r="E164" t="s">
        <v>135</v>
      </c>
      <c r="F164" t="s">
        <v>136</v>
      </c>
      <c r="G164">
        <v>0.68243955045632299</v>
      </c>
      <c r="H164">
        <v>2E+20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17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0.52223972091576099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0.77852312806092006</v>
      </c>
      <c r="U164" s="5">
        <f>IF((ContinuousStatsTable[[#This Row],[RepsRequested]]&gt;1),ContinuousStatsTable[[#This Row],[HalfWidth]],ContinuousStatsTable[[#This Row],[BatchMeansHalfWidth]])</f>
        <v>3.4022068014651748E-2</v>
      </c>
    </row>
    <row r="165" spans="1:21" x14ac:dyDescent="0.25">
      <c r="A165" t="s">
        <v>67</v>
      </c>
      <c r="B165" t="s">
        <v>69</v>
      </c>
      <c r="C165">
        <v>9</v>
      </c>
      <c r="D165" t="s">
        <v>139</v>
      </c>
      <c r="E165" t="s">
        <v>137</v>
      </c>
      <c r="F165" t="s">
        <v>136</v>
      </c>
      <c r="G165">
        <v>0.68243955045632299</v>
      </c>
      <c r="H165">
        <v>2E+20</v>
      </c>
      <c r="I165">
        <v>0</v>
      </c>
      <c r="J165">
        <v>1</v>
      </c>
      <c r="K165">
        <v>1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17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0.52223972091576099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0.77852312806092006</v>
      </c>
      <c r="U165" s="5">
        <f>IF((ContinuousStatsTable[[#This Row],[RepsRequested]]&gt;1),ContinuousStatsTable[[#This Row],[HalfWidth]],ContinuousStatsTable[[#This Row],[BatchMeansHalfWidth]])</f>
        <v>3.4022068014651748E-2</v>
      </c>
    </row>
    <row r="166" spans="1:21" x14ac:dyDescent="0.25">
      <c r="A166" t="s">
        <v>67</v>
      </c>
      <c r="B166" t="s">
        <v>69</v>
      </c>
      <c r="C166">
        <v>9</v>
      </c>
      <c r="D166" t="s">
        <v>139</v>
      </c>
      <c r="E166" t="s">
        <v>138</v>
      </c>
      <c r="F166" t="s">
        <v>136</v>
      </c>
      <c r="G166">
        <v>1</v>
      </c>
      <c r="H166">
        <v>2E+20</v>
      </c>
      <c r="I166">
        <v>1</v>
      </c>
      <c r="J166">
        <v>1</v>
      </c>
      <c r="K166">
        <v>1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17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1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1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1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67</v>
      </c>
      <c r="B167" t="s">
        <v>69</v>
      </c>
      <c r="C167">
        <v>9</v>
      </c>
      <c r="D167" t="s">
        <v>140</v>
      </c>
      <c r="E167" t="s">
        <v>135</v>
      </c>
      <c r="F167" t="s">
        <v>136</v>
      </c>
      <c r="G167">
        <v>0.27509410942003398</v>
      </c>
      <c r="H167">
        <v>2E+20</v>
      </c>
      <c r="I167">
        <v>0</v>
      </c>
      <c r="J167">
        <v>0.6</v>
      </c>
      <c r="K167">
        <v>0.2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17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0.20879044077011299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0.53820629377380302</v>
      </c>
      <c r="U167" s="5">
        <f>IF((ContinuousStatsTable[[#This Row],[RepsRequested]]&gt;1),ContinuousStatsTable[[#This Row],[HalfWidth]],ContinuousStatsTable[[#This Row],[BatchMeansHalfWidth]])</f>
        <v>3.9063640337413962E-2</v>
      </c>
    </row>
    <row r="168" spans="1:21" x14ac:dyDescent="0.25">
      <c r="A168" t="s">
        <v>67</v>
      </c>
      <c r="B168" t="s">
        <v>69</v>
      </c>
      <c r="C168">
        <v>9</v>
      </c>
      <c r="D168" t="s">
        <v>140</v>
      </c>
      <c r="E168" t="s">
        <v>137</v>
      </c>
      <c r="F168" t="s">
        <v>136</v>
      </c>
      <c r="G168">
        <v>1.37547054710017</v>
      </c>
      <c r="H168">
        <v>2E+20</v>
      </c>
      <c r="I168">
        <v>0</v>
      </c>
      <c r="J168">
        <v>3</v>
      </c>
      <c r="K168">
        <v>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17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1.04395220385056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2.6910314688690198</v>
      </c>
      <c r="U168" s="5">
        <f>IF((ContinuousStatsTable[[#This Row],[RepsRequested]]&gt;1),ContinuousStatsTable[[#This Row],[HalfWidth]],ContinuousStatsTable[[#This Row],[BatchMeansHalfWidth]])</f>
        <v>0.19531820168707029</v>
      </c>
    </row>
    <row r="169" spans="1:21" x14ac:dyDescent="0.25">
      <c r="A169" t="s">
        <v>67</v>
      </c>
      <c r="B169" t="s">
        <v>69</v>
      </c>
      <c r="C169">
        <v>9</v>
      </c>
      <c r="D169" t="s">
        <v>140</v>
      </c>
      <c r="E169" t="s">
        <v>138</v>
      </c>
      <c r="F169" t="s">
        <v>136</v>
      </c>
      <c r="G169">
        <v>5</v>
      </c>
      <c r="H169">
        <v>2E+20</v>
      </c>
      <c r="I169">
        <v>5</v>
      </c>
      <c r="J169">
        <v>5</v>
      </c>
      <c r="K169">
        <v>5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17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5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5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5</v>
      </c>
      <c r="U169" s="5">
        <f>IF((ContinuousStatsTable[[#This Row],[RepsRequested]]&gt;1),ContinuousStatsTable[[#This Row],[HalfWidth]],ContinuousStatsTable[[#This Row],[BatchMeansHalfWidth]])</f>
        <v>0</v>
      </c>
    </row>
    <row r="170" spans="1:21" x14ac:dyDescent="0.25">
      <c r="A170" t="s">
        <v>67</v>
      </c>
      <c r="B170" t="s">
        <v>69</v>
      </c>
      <c r="C170">
        <v>9</v>
      </c>
      <c r="D170" t="s">
        <v>127</v>
      </c>
      <c r="E170" t="s">
        <v>129</v>
      </c>
      <c r="F170" t="s">
        <v>72</v>
      </c>
      <c r="G170">
        <v>0</v>
      </c>
      <c r="H170">
        <v>2E+20</v>
      </c>
      <c r="I170">
        <v>0</v>
      </c>
      <c r="J170">
        <v>1</v>
      </c>
      <c r="K170">
        <v>0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17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67</v>
      </c>
      <c r="B171" t="s">
        <v>69</v>
      </c>
      <c r="C171">
        <v>9</v>
      </c>
      <c r="D171" t="s">
        <v>141</v>
      </c>
      <c r="E171" t="s">
        <v>142</v>
      </c>
      <c r="F171" t="s">
        <v>80</v>
      </c>
      <c r="G171">
        <v>5.1092015572372702</v>
      </c>
      <c r="H171">
        <v>2E+20</v>
      </c>
      <c r="I171">
        <v>1</v>
      </c>
      <c r="J171">
        <v>14</v>
      </c>
      <c r="K171">
        <v>4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17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3.84735462379287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7.9213485690690897</v>
      </c>
      <c r="U171" s="5">
        <f>IF((ContinuousStatsTable[[#This Row],[RepsRequested]]&gt;1),ContinuousStatsTable[[#This Row],[HalfWidth]],ContinuousStatsTable[[#This Row],[BatchMeansHalfWidth]])</f>
        <v>0.63683843534988338</v>
      </c>
    </row>
    <row r="172" spans="1:21" x14ac:dyDescent="0.25">
      <c r="A172" t="s">
        <v>67</v>
      </c>
      <c r="B172" t="s">
        <v>69</v>
      </c>
      <c r="C172">
        <v>9</v>
      </c>
      <c r="D172" t="s">
        <v>143</v>
      </c>
      <c r="E172" t="s">
        <v>142</v>
      </c>
      <c r="F172" t="s">
        <v>80</v>
      </c>
      <c r="G172">
        <v>3.62452945289983</v>
      </c>
      <c r="H172">
        <v>2E+20</v>
      </c>
      <c r="I172">
        <v>2</v>
      </c>
      <c r="J172">
        <v>5</v>
      </c>
      <c r="K172">
        <v>4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17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2.3089685311309802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3.9560477961494298</v>
      </c>
      <c r="U172" s="5">
        <f>IF((ContinuousStatsTable[[#This Row],[RepsRequested]]&gt;1),ContinuousStatsTable[[#This Row],[HalfWidth]],ContinuousStatsTable[[#This Row],[BatchMeansHalfWidth]])</f>
        <v>0.19531820168707212</v>
      </c>
    </row>
    <row r="173" spans="1:21" x14ac:dyDescent="0.25">
      <c r="A173" t="s">
        <v>67</v>
      </c>
      <c r="B173" t="s">
        <v>69</v>
      </c>
      <c r="C173">
        <v>10</v>
      </c>
      <c r="D173" t="s">
        <v>70</v>
      </c>
      <c r="E173" t="s">
        <v>129</v>
      </c>
      <c r="F173" t="s">
        <v>72</v>
      </c>
      <c r="G173">
        <v>9.9812364527489308</v>
      </c>
      <c r="H173">
        <v>1.09948484307687</v>
      </c>
      <c r="I173">
        <v>3</v>
      </c>
      <c r="J173">
        <v>18</v>
      </c>
      <c r="K173">
        <v>11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17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5.4544685782955797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9.9812364527489308</v>
      </c>
      <c r="U173" s="5">
        <f>IF((ContinuousStatsTable[[#This Row],[RepsRequested]]&gt;1),ContinuousStatsTable[[#This Row],[HalfWidth]],ContinuousStatsTable[[#This Row],[BatchMeansHalfWidth]])</f>
        <v>0.73494663100688618</v>
      </c>
    </row>
    <row r="174" spans="1:21" x14ac:dyDescent="0.25">
      <c r="A174" t="s">
        <v>67</v>
      </c>
      <c r="B174" t="s">
        <v>69</v>
      </c>
      <c r="C174">
        <v>10</v>
      </c>
      <c r="D174" t="s">
        <v>89</v>
      </c>
      <c r="E174" t="s">
        <v>130</v>
      </c>
      <c r="F174" t="s">
        <v>91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17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67</v>
      </c>
      <c r="B175" t="s">
        <v>69</v>
      </c>
      <c r="C175">
        <v>10</v>
      </c>
      <c r="D175" t="s">
        <v>92</v>
      </c>
      <c r="E175" t="s">
        <v>130</v>
      </c>
      <c r="F175" t="s">
        <v>91</v>
      </c>
      <c r="G175">
        <v>2.0772981523446701</v>
      </c>
      <c r="H175">
        <v>2E+20</v>
      </c>
      <c r="I175">
        <v>0</v>
      </c>
      <c r="J175">
        <v>8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17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1.1292470593949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2.9364889703726602</v>
      </c>
      <c r="U175" s="5">
        <f>IF((ContinuousStatsTable[[#This Row],[RepsRequested]]&gt;1),ContinuousStatsTable[[#This Row],[HalfWidth]],ContinuousStatsTable[[#This Row],[BatchMeansHalfWidth]])</f>
        <v>0.26472622632728454</v>
      </c>
    </row>
    <row r="176" spans="1:21" x14ac:dyDescent="0.25">
      <c r="A176" t="s">
        <v>67</v>
      </c>
      <c r="B176" t="s">
        <v>69</v>
      </c>
      <c r="C176">
        <v>10</v>
      </c>
      <c r="D176" t="s">
        <v>131</v>
      </c>
      <c r="E176" t="s">
        <v>129</v>
      </c>
      <c r="F176" t="s">
        <v>72</v>
      </c>
      <c r="G176">
        <v>4.8837925841766499</v>
      </c>
      <c r="H176">
        <v>2E+20</v>
      </c>
      <c r="I176">
        <v>0</v>
      </c>
      <c r="J176">
        <v>9</v>
      </c>
      <c r="K176">
        <v>3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17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2.7429685070299299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4.8837925841766499</v>
      </c>
      <c r="U176" s="5">
        <f>IF((ContinuousStatsTable[[#This Row],[RepsRequested]]&gt;1),ContinuousStatsTable[[#This Row],[HalfWidth]],ContinuousStatsTable[[#This Row],[BatchMeansHalfWidth]])</f>
        <v>0.34715563137404881</v>
      </c>
    </row>
    <row r="177" spans="1:21" x14ac:dyDescent="0.25">
      <c r="A177" t="s">
        <v>67</v>
      </c>
      <c r="B177" t="s">
        <v>69</v>
      </c>
      <c r="C177">
        <v>10</v>
      </c>
      <c r="D177" t="s">
        <v>99</v>
      </c>
      <c r="E177" t="s">
        <v>130</v>
      </c>
      <c r="F177" t="s">
        <v>91</v>
      </c>
      <c r="G177">
        <v>1.8104766937960199</v>
      </c>
      <c r="H177">
        <v>2E+20</v>
      </c>
      <c r="I177">
        <v>0</v>
      </c>
      <c r="J177">
        <v>7</v>
      </c>
      <c r="K177">
        <v>4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17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0.64455717508326504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2.69061971266638</v>
      </c>
      <c r="U177" s="5">
        <f>IF((ContinuousStatsTable[[#This Row],[RepsRequested]]&gt;1),ContinuousStatsTable[[#This Row],[HalfWidth]],ContinuousStatsTable[[#This Row],[BatchMeansHalfWidth]])</f>
        <v>0.32696662226075207</v>
      </c>
    </row>
    <row r="178" spans="1:21" x14ac:dyDescent="0.25">
      <c r="A178" t="s">
        <v>67</v>
      </c>
      <c r="B178" t="s">
        <v>69</v>
      </c>
      <c r="C178">
        <v>10</v>
      </c>
      <c r="D178" t="s">
        <v>104</v>
      </c>
      <c r="E178" t="s">
        <v>130</v>
      </c>
      <c r="F178" t="s">
        <v>91</v>
      </c>
      <c r="G178">
        <v>0.95618983273442804</v>
      </c>
      <c r="H178">
        <v>2E+20</v>
      </c>
      <c r="I178">
        <v>0</v>
      </c>
      <c r="J178">
        <v>5</v>
      </c>
      <c r="K178">
        <v>0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17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0.20519043218243799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1.8050950008829001</v>
      </c>
      <c r="U178" s="5">
        <f>IF((ContinuousStatsTable[[#This Row],[RepsRequested]]&gt;1),ContinuousStatsTable[[#This Row],[HalfWidth]],ContinuousStatsTable[[#This Row],[BatchMeansHalfWidth]])</f>
        <v>0.22777269441319098</v>
      </c>
    </row>
    <row r="179" spans="1:21" x14ac:dyDescent="0.25">
      <c r="A179" t="s">
        <v>67</v>
      </c>
      <c r="B179" t="s">
        <v>69</v>
      </c>
      <c r="C179">
        <v>10</v>
      </c>
      <c r="D179" t="s">
        <v>132</v>
      </c>
      <c r="E179" t="s">
        <v>133</v>
      </c>
      <c r="F179" t="s">
        <v>80</v>
      </c>
      <c r="G179">
        <v>2.6910314688690198</v>
      </c>
      <c r="H179">
        <v>2E+20</v>
      </c>
      <c r="I179">
        <v>0</v>
      </c>
      <c r="J179">
        <v>5</v>
      </c>
      <c r="K179">
        <v>3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17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1.04395220385056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2.6910314688690198</v>
      </c>
      <c r="U179" s="5">
        <f>IF((ContinuousStatsTable[[#This Row],[RepsRequested]]&gt;1),ContinuousStatsTable[[#This Row],[HalfWidth]],ContinuousStatsTable[[#This Row],[BatchMeansHalfWidth]])</f>
        <v>0.19531820168707029</v>
      </c>
    </row>
    <row r="180" spans="1:21" x14ac:dyDescent="0.25">
      <c r="A180" t="s">
        <v>67</v>
      </c>
      <c r="B180" t="s">
        <v>69</v>
      </c>
      <c r="C180">
        <v>10</v>
      </c>
      <c r="D180" t="s">
        <v>134</v>
      </c>
      <c r="E180" t="s">
        <v>135</v>
      </c>
      <c r="F180" t="s">
        <v>136</v>
      </c>
      <c r="G180">
        <v>0.88290459880079397</v>
      </c>
      <c r="H180">
        <v>2E+20</v>
      </c>
      <c r="I180">
        <v>0</v>
      </c>
      <c r="J180">
        <v>1</v>
      </c>
      <c r="K180">
        <v>1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17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0.73534383204610498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0.95888680213271504</v>
      </c>
      <c r="U180" s="5">
        <f>IF((ContinuousStatsTable[[#This Row],[RepsRequested]]&gt;1),ContinuousStatsTable[[#This Row],[HalfWidth]],ContinuousStatsTable[[#This Row],[BatchMeansHalfWidth]])</f>
        <v>3.3674816741294945E-2</v>
      </c>
    </row>
    <row r="181" spans="1:21" x14ac:dyDescent="0.25">
      <c r="A181" t="s">
        <v>67</v>
      </c>
      <c r="B181" t="s">
        <v>69</v>
      </c>
      <c r="C181">
        <v>10</v>
      </c>
      <c r="D181" t="s">
        <v>134</v>
      </c>
      <c r="E181" t="s">
        <v>137</v>
      </c>
      <c r="F181" t="s">
        <v>136</v>
      </c>
      <c r="G181">
        <v>0.88290459880079397</v>
      </c>
      <c r="H181">
        <v>2E+20</v>
      </c>
      <c r="I181">
        <v>0</v>
      </c>
      <c r="J181">
        <v>1</v>
      </c>
      <c r="K181">
        <v>1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17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0.73534383204610498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0.95888680213271504</v>
      </c>
      <c r="U181" s="5">
        <f>IF((ContinuousStatsTable[[#This Row],[RepsRequested]]&gt;1),ContinuousStatsTable[[#This Row],[HalfWidth]],ContinuousStatsTable[[#This Row],[BatchMeansHalfWidth]])</f>
        <v>3.3674816741294945E-2</v>
      </c>
    </row>
    <row r="182" spans="1:21" x14ac:dyDescent="0.25">
      <c r="A182" t="s">
        <v>67</v>
      </c>
      <c r="B182" t="s">
        <v>69</v>
      </c>
      <c r="C182">
        <v>10</v>
      </c>
      <c r="D182" t="s">
        <v>134</v>
      </c>
      <c r="E182" t="s">
        <v>138</v>
      </c>
      <c r="F182" t="s">
        <v>136</v>
      </c>
      <c r="G182">
        <v>1</v>
      </c>
      <c r="H182">
        <v>2E+20</v>
      </c>
      <c r="I182">
        <v>1</v>
      </c>
      <c r="J182">
        <v>1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17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</v>
      </c>
      <c r="U182" s="5">
        <f>IF((ContinuousStatsTable[[#This Row],[RepsRequested]]&gt;1),ContinuousStatsTable[[#This Row],[HalfWidth]],ContinuousStatsTable[[#This Row],[BatchMeansHalfWidth]])</f>
        <v>0</v>
      </c>
    </row>
    <row r="183" spans="1:21" x14ac:dyDescent="0.25">
      <c r="A183" t="s">
        <v>67</v>
      </c>
      <c r="B183" t="s">
        <v>69</v>
      </c>
      <c r="C183">
        <v>10</v>
      </c>
      <c r="D183" t="s">
        <v>139</v>
      </c>
      <c r="E183" t="s">
        <v>135</v>
      </c>
      <c r="F183" t="s">
        <v>136</v>
      </c>
      <c r="G183">
        <v>0.74071350079077902</v>
      </c>
      <c r="H183">
        <v>2E+20</v>
      </c>
      <c r="I183">
        <v>0</v>
      </c>
      <c r="J183">
        <v>1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17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0.52223972091576099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0.77852312806092006</v>
      </c>
      <c r="U183" s="5">
        <f>IF((ContinuousStatsTable[[#This Row],[RepsRequested]]&gt;1),ContinuousStatsTable[[#This Row],[HalfWidth]],ContinuousStatsTable[[#This Row],[BatchMeansHalfWidth]])</f>
        <v>3.4022068014651748E-2</v>
      </c>
    </row>
    <row r="184" spans="1:21" x14ac:dyDescent="0.25">
      <c r="A184" t="s">
        <v>67</v>
      </c>
      <c r="B184" t="s">
        <v>69</v>
      </c>
      <c r="C184">
        <v>10</v>
      </c>
      <c r="D184" t="s">
        <v>139</v>
      </c>
      <c r="E184" t="s">
        <v>137</v>
      </c>
      <c r="F184" t="s">
        <v>136</v>
      </c>
      <c r="G184">
        <v>0.74071350079077902</v>
      </c>
      <c r="H184">
        <v>2E+20</v>
      </c>
      <c r="I184">
        <v>0</v>
      </c>
      <c r="J184">
        <v>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17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0.52223972091576099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0.77852312806092006</v>
      </c>
      <c r="U184" s="5">
        <f>IF((ContinuousStatsTable[[#This Row],[RepsRequested]]&gt;1),ContinuousStatsTable[[#This Row],[HalfWidth]],ContinuousStatsTable[[#This Row],[BatchMeansHalfWidth]])</f>
        <v>3.4022068014651748E-2</v>
      </c>
    </row>
    <row r="185" spans="1:21" x14ac:dyDescent="0.25">
      <c r="A185" t="s">
        <v>67</v>
      </c>
      <c r="B185" t="s">
        <v>69</v>
      </c>
      <c r="C185">
        <v>10</v>
      </c>
      <c r="D185" t="s">
        <v>139</v>
      </c>
      <c r="E185" t="s">
        <v>138</v>
      </c>
      <c r="F185" t="s">
        <v>136</v>
      </c>
      <c r="G185">
        <v>1</v>
      </c>
      <c r="H185">
        <v>2E+20</v>
      </c>
      <c r="I185">
        <v>1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17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1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1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1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25">
      <c r="A186" t="s">
        <v>67</v>
      </c>
      <c r="B186" t="s">
        <v>69</v>
      </c>
      <c r="C186">
        <v>10</v>
      </c>
      <c r="D186" t="s">
        <v>140</v>
      </c>
      <c r="E186" t="s">
        <v>135</v>
      </c>
      <c r="F186" t="s">
        <v>136</v>
      </c>
      <c r="G186">
        <v>0.53820629377380302</v>
      </c>
      <c r="H186">
        <v>2E+20</v>
      </c>
      <c r="I186">
        <v>0</v>
      </c>
      <c r="J186">
        <v>1</v>
      </c>
      <c r="K186">
        <v>0.6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17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0.20879044077011299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0.53820629377380302</v>
      </c>
      <c r="U186" s="5">
        <f>IF((ContinuousStatsTable[[#This Row],[RepsRequested]]&gt;1),ContinuousStatsTable[[#This Row],[HalfWidth]],ContinuousStatsTable[[#This Row],[BatchMeansHalfWidth]])</f>
        <v>3.9063640337413962E-2</v>
      </c>
    </row>
    <row r="187" spans="1:21" x14ac:dyDescent="0.25">
      <c r="A187" t="s">
        <v>67</v>
      </c>
      <c r="B187" t="s">
        <v>69</v>
      </c>
      <c r="C187">
        <v>10</v>
      </c>
      <c r="D187" t="s">
        <v>140</v>
      </c>
      <c r="E187" t="s">
        <v>137</v>
      </c>
      <c r="F187" t="s">
        <v>136</v>
      </c>
      <c r="G187">
        <v>2.6910314688690198</v>
      </c>
      <c r="H187">
        <v>2E+20</v>
      </c>
      <c r="I187">
        <v>0</v>
      </c>
      <c r="J187">
        <v>5</v>
      </c>
      <c r="K187">
        <v>3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17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1.04395220385056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2.6910314688690198</v>
      </c>
      <c r="U187" s="5">
        <f>IF((ContinuousStatsTable[[#This Row],[RepsRequested]]&gt;1),ContinuousStatsTable[[#This Row],[HalfWidth]],ContinuousStatsTable[[#This Row],[BatchMeansHalfWidth]])</f>
        <v>0.19531820168707029</v>
      </c>
    </row>
    <row r="188" spans="1:21" x14ac:dyDescent="0.25">
      <c r="A188" t="s">
        <v>67</v>
      </c>
      <c r="B188" t="s">
        <v>69</v>
      </c>
      <c r="C188">
        <v>10</v>
      </c>
      <c r="D188" t="s">
        <v>140</v>
      </c>
      <c r="E188" t="s">
        <v>138</v>
      </c>
      <c r="F188" t="s">
        <v>136</v>
      </c>
      <c r="G188">
        <v>5</v>
      </c>
      <c r="H188">
        <v>2E+20</v>
      </c>
      <c r="I188">
        <v>5</v>
      </c>
      <c r="J188">
        <v>5</v>
      </c>
      <c r="K188">
        <v>5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17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5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5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5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67</v>
      </c>
      <c r="B189" t="s">
        <v>69</v>
      </c>
      <c r="C189">
        <v>10</v>
      </c>
      <c r="D189" t="s">
        <v>127</v>
      </c>
      <c r="E189" t="s">
        <v>129</v>
      </c>
      <c r="F189" t="s">
        <v>72</v>
      </c>
      <c r="G189">
        <v>0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17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67</v>
      </c>
      <c r="B190" t="s">
        <v>69</v>
      </c>
      <c r="C190">
        <v>10</v>
      </c>
      <c r="D190" t="s">
        <v>141</v>
      </c>
      <c r="E190" t="s">
        <v>142</v>
      </c>
      <c r="F190" t="s">
        <v>80</v>
      </c>
      <c r="G190">
        <v>7.2094642431391804</v>
      </c>
      <c r="H190">
        <v>2E+20</v>
      </c>
      <c r="I190">
        <v>2</v>
      </c>
      <c r="J190">
        <v>13</v>
      </c>
      <c r="K190">
        <v>8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17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3.84735462379287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7.9213485690690897</v>
      </c>
      <c r="U190" s="5">
        <f>IF((ContinuousStatsTable[[#This Row],[RepsRequested]]&gt;1),ContinuousStatsTable[[#This Row],[HalfWidth]],ContinuousStatsTable[[#This Row],[BatchMeansHalfWidth]])</f>
        <v>0.63683843534988338</v>
      </c>
    </row>
    <row r="191" spans="1:21" x14ac:dyDescent="0.25">
      <c r="A191" t="s">
        <v>67</v>
      </c>
      <c r="B191" t="s">
        <v>69</v>
      </c>
      <c r="C191">
        <v>10</v>
      </c>
      <c r="D191" t="s">
        <v>143</v>
      </c>
      <c r="E191" t="s">
        <v>142</v>
      </c>
      <c r="F191" t="s">
        <v>80</v>
      </c>
      <c r="G191">
        <v>2.3089685311309802</v>
      </c>
      <c r="H191">
        <v>2E+20</v>
      </c>
      <c r="I191">
        <v>0</v>
      </c>
      <c r="J191">
        <v>5</v>
      </c>
      <c r="K191">
        <v>2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17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2.3089685311309802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3.9560477961494298</v>
      </c>
      <c r="U191" s="5">
        <f>IF((ContinuousStatsTable[[#This Row],[RepsRequested]]&gt;1),ContinuousStatsTable[[#This Row],[HalfWidth]],ContinuousStatsTable[[#This Row],[BatchMeansHalfWidth]])</f>
        <v>0.19531820168707212</v>
      </c>
    </row>
    <row r="192" spans="1:21" x14ac:dyDescent="0.25">
      <c r="A192" t="s">
        <v>67</v>
      </c>
      <c r="B192" t="s">
        <v>69</v>
      </c>
      <c r="C192">
        <v>11</v>
      </c>
      <c r="D192" t="s">
        <v>70</v>
      </c>
      <c r="E192" t="s">
        <v>129</v>
      </c>
      <c r="F192" t="s">
        <v>72</v>
      </c>
      <c r="G192">
        <v>6.5162454472515101</v>
      </c>
      <c r="H192">
        <v>3E+20</v>
      </c>
      <c r="I192">
        <v>1</v>
      </c>
      <c r="J192">
        <v>15</v>
      </c>
      <c r="K192">
        <v>9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17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5.4544685782955797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9.9812364527489308</v>
      </c>
      <c r="U192" s="5">
        <f>IF((ContinuousStatsTable[[#This Row],[RepsRequested]]&gt;1),ContinuousStatsTable[[#This Row],[HalfWidth]],ContinuousStatsTable[[#This Row],[BatchMeansHalfWidth]])</f>
        <v>0.73494663100688618</v>
      </c>
    </row>
    <row r="193" spans="1:21" x14ac:dyDescent="0.25">
      <c r="A193" t="s">
        <v>67</v>
      </c>
      <c r="B193" t="s">
        <v>69</v>
      </c>
      <c r="C193">
        <v>11</v>
      </c>
      <c r="D193" t="s">
        <v>89</v>
      </c>
      <c r="E193" t="s">
        <v>130</v>
      </c>
      <c r="F193" t="s">
        <v>91</v>
      </c>
      <c r="G193">
        <v>0</v>
      </c>
      <c r="H193">
        <v>2E+20</v>
      </c>
      <c r="I193">
        <v>0</v>
      </c>
      <c r="J193">
        <v>0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17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25">
      <c r="A194" t="s">
        <v>67</v>
      </c>
      <c r="B194" t="s">
        <v>69</v>
      </c>
      <c r="C194">
        <v>11</v>
      </c>
      <c r="D194" t="s">
        <v>92</v>
      </c>
      <c r="E194" t="s">
        <v>130</v>
      </c>
      <c r="F194" t="s">
        <v>91</v>
      </c>
      <c r="G194">
        <v>1.3689783389468899</v>
      </c>
      <c r="H194">
        <v>2E+20</v>
      </c>
      <c r="I194">
        <v>0</v>
      </c>
      <c r="J194">
        <v>7</v>
      </c>
      <c r="K194">
        <v>1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17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1.1292470593949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2.9364889703726602</v>
      </c>
      <c r="U194" s="5">
        <f>IF((ContinuousStatsTable[[#This Row],[RepsRequested]]&gt;1),ContinuousStatsTable[[#This Row],[HalfWidth]],ContinuousStatsTable[[#This Row],[BatchMeansHalfWidth]])</f>
        <v>0.26472622632728454</v>
      </c>
    </row>
    <row r="195" spans="1:21" x14ac:dyDescent="0.25">
      <c r="A195" t="s">
        <v>67</v>
      </c>
      <c r="B195" t="s">
        <v>69</v>
      </c>
      <c r="C195">
        <v>11</v>
      </c>
      <c r="D195" t="s">
        <v>131</v>
      </c>
      <c r="E195" t="s">
        <v>129</v>
      </c>
      <c r="F195" t="s">
        <v>72</v>
      </c>
      <c r="G195">
        <v>3.22078377558327</v>
      </c>
      <c r="H195">
        <v>2E+20</v>
      </c>
      <c r="I195">
        <v>0</v>
      </c>
      <c r="J195">
        <v>8</v>
      </c>
      <c r="K195">
        <v>5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17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2.7429685070299299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4.8837925841766499</v>
      </c>
      <c r="U195" s="5">
        <f>IF((ContinuousStatsTable[[#This Row],[RepsRequested]]&gt;1),ContinuousStatsTable[[#This Row],[HalfWidth]],ContinuousStatsTable[[#This Row],[BatchMeansHalfWidth]])</f>
        <v>0.34715563137404881</v>
      </c>
    </row>
    <row r="196" spans="1:21" x14ac:dyDescent="0.25">
      <c r="A196" t="s">
        <v>67</v>
      </c>
      <c r="B196" t="s">
        <v>69</v>
      </c>
      <c r="C196">
        <v>11</v>
      </c>
      <c r="D196" t="s">
        <v>99</v>
      </c>
      <c r="E196" t="s">
        <v>130</v>
      </c>
      <c r="F196" t="s">
        <v>91</v>
      </c>
      <c r="G196">
        <v>1.0355700527504099</v>
      </c>
      <c r="H196">
        <v>2E+20</v>
      </c>
      <c r="I196">
        <v>0</v>
      </c>
      <c r="J196">
        <v>5</v>
      </c>
      <c r="K196">
        <v>0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17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0.64455717508326504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2.69061971266638</v>
      </c>
      <c r="U196" s="5">
        <f>IF((ContinuousStatsTable[[#This Row],[RepsRequested]]&gt;1),ContinuousStatsTable[[#This Row],[HalfWidth]],ContinuousStatsTable[[#This Row],[BatchMeansHalfWidth]])</f>
        <v>0.32696662226075207</v>
      </c>
    </row>
    <row r="197" spans="1:21" x14ac:dyDescent="0.25">
      <c r="A197" t="s">
        <v>67</v>
      </c>
      <c r="B197" t="s">
        <v>69</v>
      </c>
      <c r="C197">
        <v>11</v>
      </c>
      <c r="D197" t="s">
        <v>104</v>
      </c>
      <c r="E197" t="s">
        <v>130</v>
      </c>
      <c r="F197" t="s">
        <v>91</v>
      </c>
      <c r="G197">
        <v>0.40298183132790399</v>
      </c>
      <c r="H197">
        <v>2E+20</v>
      </c>
      <c r="I197">
        <v>0</v>
      </c>
      <c r="J197">
        <v>4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17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0.20519043218243799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1.8050950008829001</v>
      </c>
      <c r="U197" s="5">
        <f>IF((ContinuousStatsTable[[#This Row],[RepsRequested]]&gt;1),ContinuousStatsTable[[#This Row],[HalfWidth]],ContinuousStatsTable[[#This Row],[BatchMeansHalfWidth]])</f>
        <v>0.22777269441319098</v>
      </c>
    </row>
    <row r="198" spans="1:21" x14ac:dyDescent="0.25">
      <c r="A198" t="s">
        <v>67</v>
      </c>
      <c r="B198" t="s">
        <v>69</v>
      </c>
      <c r="C198">
        <v>11</v>
      </c>
      <c r="D198" t="s">
        <v>132</v>
      </c>
      <c r="E198" t="s">
        <v>133</v>
      </c>
      <c r="F198" t="s">
        <v>80</v>
      </c>
      <c r="G198">
        <v>1.743935066266</v>
      </c>
      <c r="H198">
        <v>2E+20</v>
      </c>
      <c r="I198">
        <v>0</v>
      </c>
      <c r="J198">
        <v>4</v>
      </c>
      <c r="K198">
        <v>4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17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1.04395220385056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2.6910314688690198</v>
      </c>
      <c r="U198" s="5">
        <f>IF((ContinuousStatsTable[[#This Row],[RepsRequested]]&gt;1),ContinuousStatsTable[[#This Row],[HalfWidth]],ContinuousStatsTable[[#This Row],[BatchMeansHalfWidth]])</f>
        <v>0.19531820168707029</v>
      </c>
    </row>
    <row r="199" spans="1:21" x14ac:dyDescent="0.25">
      <c r="A199" t="s">
        <v>67</v>
      </c>
      <c r="B199" t="s">
        <v>69</v>
      </c>
      <c r="C199">
        <v>11</v>
      </c>
      <c r="D199" t="s">
        <v>134</v>
      </c>
      <c r="E199" t="s">
        <v>135</v>
      </c>
      <c r="F199" t="s">
        <v>136</v>
      </c>
      <c r="G199">
        <v>0.79483347197116505</v>
      </c>
      <c r="H199">
        <v>2E+20</v>
      </c>
      <c r="I199">
        <v>0</v>
      </c>
      <c r="J199">
        <v>1</v>
      </c>
      <c r="K199">
        <v>0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17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0.73534383204610498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0.95888680213271504</v>
      </c>
      <c r="U199" s="5">
        <f>IF((ContinuousStatsTable[[#This Row],[RepsRequested]]&gt;1),ContinuousStatsTable[[#This Row],[HalfWidth]],ContinuousStatsTable[[#This Row],[BatchMeansHalfWidth]])</f>
        <v>3.3674816741294945E-2</v>
      </c>
    </row>
    <row r="200" spans="1:21" x14ac:dyDescent="0.25">
      <c r="A200" t="s">
        <v>67</v>
      </c>
      <c r="B200" t="s">
        <v>69</v>
      </c>
      <c r="C200">
        <v>11</v>
      </c>
      <c r="D200" t="s">
        <v>134</v>
      </c>
      <c r="E200" t="s">
        <v>137</v>
      </c>
      <c r="F200" t="s">
        <v>136</v>
      </c>
      <c r="G200">
        <v>0.79483347197116505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17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0.73534383204610498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0.95888680213271504</v>
      </c>
      <c r="U200" s="5">
        <f>IF((ContinuousStatsTable[[#This Row],[RepsRequested]]&gt;1),ContinuousStatsTable[[#This Row],[HalfWidth]],ContinuousStatsTable[[#This Row],[BatchMeansHalfWidth]])</f>
        <v>3.3674816741294945E-2</v>
      </c>
    </row>
    <row r="201" spans="1:21" x14ac:dyDescent="0.25">
      <c r="A201" t="s">
        <v>67</v>
      </c>
      <c r="B201" t="s">
        <v>69</v>
      </c>
      <c r="C201">
        <v>11</v>
      </c>
      <c r="D201" t="s">
        <v>134</v>
      </c>
      <c r="E201" t="s">
        <v>138</v>
      </c>
      <c r="F201" t="s">
        <v>136</v>
      </c>
      <c r="G201">
        <v>1</v>
      </c>
      <c r="H201">
        <v>2E+20</v>
      </c>
      <c r="I201">
        <v>1</v>
      </c>
      <c r="J201">
        <v>1</v>
      </c>
      <c r="K201">
        <v>1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17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1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1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1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67</v>
      </c>
      <c r="B202" t="s">
        <v>69</v>
      </c>
      <c r="C202">
        <v>11</v>
      </c>
      <c r="D202" t="s">
        <v>139</v>
      </c>
      <c r="E202" t="s">
        <v>135</v>
      </c>
      <c r="F202" t="s">
        <v>136</v>
      </c>
      <c r="G202">
        <v>0.60144011566393596</v>
      </c>
      <c r="H202">
        <v>2E+20</v>
      </c>
      <c r="I202">
        <v>0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17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0.52223972091576099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0.77852312806092006</v>
      </c>
      <c r="U202" s="5">
        <f>IF((ContinuousStatsTable[[#This Row],[RepsRequested]]&gt;1),ContinuousStatsTable[[#This Row],[HalfWidth]],ContinuousStatsTable[[#This Row],[BatchMeansHalfWidth]])</f>
        <v>3.4022068014651748E-2</v>
      </c>
    </row>
    <row r="203" spans="1:21" x14ac:dyDescent="0.25">
      <c r="A203" t="s">
        <v>67</v>
      </c>
      <c r="B203" t="s">
        <v>69</v>
      </c>
      <c r="C203">
        <v>11</v>
      </c>
      <c r="D203" t="s">
        <v>139</v>
      </c>
      <c r="E203" t="s">
        <v>137</v>
      </c>
      <c r="F203" t="s">
        <v>136</v>
      </c>
      <c r="G203">
        <v>0.60144011566393596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17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0.52223972091576099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0.77852312806092006</v>
      </c>
      <c r="U203" s="5">
        <f>IF((ContinuousStatsTable[[#This Row],[RepsRequested]]&gt;1),ContinuousStatsTable[[#This Row],[HalfWidth]],ContinuousStatsTable[[#This Row],[BatchMeansHalfWidth]])</f>
        <v>3.4022068014651748E-2</v>
      </c>
    </row>
    <row r="204" spans="1:21" x14ac:dyDescent="0.25">
      <c r="A204" t="s">
        <v>67</v>
      </c>
      <c r="B204" t="s">
        <v>69</v>
      </c>
      <c r="C204">
        <v>11</v>
      </c>
      <c r="D204" t="s">
        <v>139</v>
      </c>
      <c r="E204" t="s">
        <v>138</v>
      </c>
      <c r="F204" t="s">
        <v>136</v>
      </c>
      <c r="G204">
        <v>1</v>
      </c>
      <c r="H204">
        <v>2E+20</v>
      </c>
      <c r="I204">
        <v>1</v>
      </c>
      <c r="J204">
        <v>1</v>
      </c>
      <c r="K204">
        <v>1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17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1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25">
      <c r="A205" t="s">
        <v>67</v>
      </c>
      <c r="B205" t="s">
        <v>69</v>
      </c>
      <c r="C205">
        <v>11</v>
      </c>
      <c r="D205" t="s">
        <v>140</v>
      </c>
      <c r="E205" t="s">
        <v>135</v>
      </c>
      <c r="F205" t="s">
        <v>136</v>
      </c>
      <c r="G205">
        <v>0.3487870132532</v>
      </c>
      <c r="H205">
        <v>2E+20</v>
      </c>
      <c r="I205">
        <v>0</v>
      </c>
      <c r="J205">
        <v>0.8</v>
      </c>
      <c r="K205">
        <v>0.8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17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0.20879044077011299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0.53820629377380302</v>
      </c>
      <c r="U205" s="5">
        <f>IF((ContinuousStatsTable[[#This Row],[RepsRequested]]&gt;1),ContinuousStatsTable[[#This Row],[HalfWidth]],ContinuousStatsTable[[#This Row],[BatchMeansHalfWidth]])</f>
        <v>3.9063640337413962E-2</v>
      </c>
    </row>
    <row r="206" spans="1:21" x14ac:dyDescent="0.25">
      <c r="A206" t="s">
        <v>67</v>
      </c>
      <c r="B206" t="s">
        <v>69</v>
      </c>
      <c r="C206">
        <v>11</v>
      </c>
      <c r="D206" t="s">
        <v>140</v>
      </c>
      <c r="E206" t="s">
        <v>137</v>
      </c>
      <c r="F206" t="s">
        <v>136</v>
      </c>
      <c r="G206">
        <v>1.743935066266</v>
      </c>
      <c r="H206">
        <v>2E+20</v>
      </c>
      <c r="I206">
        <v>0</v>
      </c>
      <c r="J206">
        <v>4</v>
      </c>
      <c r="K206">
        <v>4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17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1.04395220385056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2.6910314688690198</v>
      </c>
      <c r="U206" s="5">
        <f>IF((ContinuousStatsTable[[#This Row],[RepsRequested]]&gt;1),ContinuousStatsTable[[#This Row],[HalfWidth]],ContinuousStatsTable[[#This Row],[BatchMeansHalfWidth]])</f>
        <v>0.19531820168707029</v>
      </c>
    </row>
    <row r="207" spans="1:21" x14ac:dyDescent="0.25">
      <c r="A207" t="s">
        <v>67</v>
      </c>
      <c r="B207" t="s">
        <v>69</v>
      </c>
      <c r="C207">
        <v>11</v>
      </c>
      <c r="D207" t="s">
        <v>140</v>
      </c>
      <c r="E207" t="s">
        <v>138</v>
      </c>
      <c r="F207" t="s">
        <v>136</v>
      </c>
      <c r="G207">
        <v>5</v>
      </c>
      <c r="H207">
        <v>2E+20</v>
      </c>
      <c r="I207">
        <v>5</v>
      </c>
      <c r="J207">
        <v>5</v>
      </c>
      <c r="K207">
        <v>5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17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5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5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5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25">
      <c r="A208" t="s">
        <v>67</v>
      </c>
      <c r="B208" t="s">
        <v>69</v>
      </c>
      <c r="C208">
        <v>11</v>
      </c>
      <c r="D208" t="s">
        <v>127</v>
      </c>
      <c r="E208" t="s">
        <v>129</v>
      </c>
      <c r="F208" t="s">
        <v>72</v>
      </c>
      <c r="G208">
        <v>0</v>
      </c>
      <c r="H208">
        <v>2E+20</v>
      </c>
      <c r="I208">
        <v>0</v>
      </c>
      <c r="J208">
        <v>1</v>
      </c>
      <c r="K208">
        <v>0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17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0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0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0</v>
      </c>
      <c r="U208" s="5">
        <f>IF((ContinuousStatsTable[[#This Row],[RepsRequested]]&gt;1),ContinuousStatsTable[[#This Row],[HalfWidth]],ContinuousStatsTable[[#This Row],[BatchMeansHalfWidth]])</f>
        <v>0</v>
      </c>
    </row>
    <row r="209" spans="1:21" x14ac:dyDescent="0.25">
      <c r="A209" t="s">
        <v>67</v>
      </c>
      <c r="B209" t="s">
        <v>69</v>
      </c>
      <c r="C209">
        <v>11</v>
      </c>
      <c r="D209" t="s">
        <v>141</v>
      </c>
      <c r="E209" t="s">
        <v>142</v>
      </c>
      <c r="F209" t="s">
        <v>80</v>
      </c>
      <c r="G209">
        <v>4.69721778839292</v>
      </c>
      <c r="H209">
        <v>2E+20</v>
      </c>
      <c r="I209">
        <v>1</v>
      </c>
      <c r="J209">
        <v>11</v>
      </c>
      <c r="K209">
        <v>5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17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3.84735462379287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7.9213485690690897</v>
      </c>
      <c r="U209" s="5">
        <f>IF((ContinuousStatsTable[[#This Row],[RepsRequested]]&gt;1),ContinuousStatsTable[[#This Row],[HalfWidth]],ContinuousStatsTable[[#This Row],[BatchMeansHalfWidth]])</f>
        <v>0.63683843534988338</v>
      </c>
    </row>
    <row r="210" spans="1:21" x14ac:dyDescent="0.25">
      <c r="A210" t="s">
        <v>67</v>
      </c>
      <c r="B210" t="s">
        <v>69</v>
      </c>
      <c r="C210">
        <v>11</v>
      </c>
      <c r="D210" t="s">
        <v>143</v>
      </c>
      <c r="E210" t="s">
        <v>142</v>
      </c>
      <c r="F210" t="s">
        <v>80</v>
      </c>
      <c r="G210">
        <v>3.2560649337340002</v>
      </c>
      <c r="H210">
        <v>2E+20</v>
      </c>
      <c r="I210">
        <v>1</v>
      </c>
      <c r="J210">
        <v>5</v>
      </c>
      <c r="K210">
        <v>1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17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2.3089685311309802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3.9560477961494298</v>
      </c>
      <c r="U210" s="5">
        <f>IF((ContinuousStatsTable[[#This Row],[RepsRequested]]&gt;1),ContinuousStatsTable[[#This Row],[HalfWidth]],ContinuousStatsTable[[#This Row],[BatchMeansHalfWidth]])</f>
        <v>0.19531820168707212</v>
      </c>
    </row>
    <row r="211" spans="1:21" x14ac:dyDescent="0.25">
      <c r="A211" t="s">
        <v>67</v>
      </c>
      <c r="B211" t="s">
        <v>69</v>
      </c>
      <c r="C211">
        <v>12</v>
      </c>
      <c r="D211" t="s">
        <v>70</v>
      </c>
      <c r="E211" t="s">
        <v>129</v>
      </c>
      <c r="F211" t="s">
        <v>72</v>
      </c>
      <c r="G211">
        <v>6.7642843244218396</v>
      </c>
      <c r="H211">
        <v>3E+20</v>
      </c>
      <c r="I211">
        <v>0</v>
      </c>
      <c r="J211">
        <v>16</v>
      </c>
      <c r="K211">
        <v>5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17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5.4544685782955797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9.9812364527489308</v>
      </c>
      <c r="U211" s="5">
        <f>IF((ContinuousStatsTable[[#This Row],[RepsRequested]]&gt;1),ContinuousStatsTable[[#This Row],[HalfWidth]],ContinuousStatsTable[[#This Row],[BatchMeansHalfWidth]])</f>
        <v>0.73494663100688618</v>
      </c>
    </row>
    <row r="212" spans="1:21" x14ac:dyDescent="0.25">
      <c r="A212" t="s">
        <v>67</v>
      </c>
      <c r="B212" t="s">
        <v>69</v>
      </c>
      <c r="C212">
        <v>12</v>
      </c>
      <c r="D212" t="s">
        <v>89</v>
      </c>
      <c r="E212" t="s">
        <v>130</v>
      </c>
      <c r="F212" t="s">
        <v>91</v>
      </c>
      <c r="G212">
        <v>0</v>
      </c>
      <c r="H212">
        <v>2E+20</v>
      </c>
      <c r="I212">
        <v>0</v>
      </c>
      <c r="J212">
        <v>0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17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25">
      <c r="A213" t="s">
        <v>67</v>
      </c>
      <c r="B213" t="s">
        <v>69</v>
      </c>
      <c r="C213">
        <v>12</v>
      </c>
      <c r="D213" t="s">
        <v>92</v>
      </c>
      <c r="E213" t="s">
        <v>130</v>
      </c>
      <c r="F213" t="s">
        <v>91</v>
      </c>
      <c r="G213">
        <v>1.99871545376833</v>
      </c>
      <c r="H213">
        <v>2E+20</v>
      </c>
      <c r="I213">
        <v>0</v>
      </c>
      <c r="J213">
        <v>9</v>
      </c>
      <c r="K213">
        <v>1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17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1.1292470593949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2.9364889703726602</v>
      </c>
      <c r="U213" s="5">
        <f>IF((ContinuousStatsTable[[#This Row],[RepsRequested]]&gt;1),ContinuousStatsTable[[#This Row],[HalfWidth]],ContinuousStatsTable[[#This Row],[BatchMeansHalfWidth]])</f>
        <v>0.26472622632728454</v>
      </c>
    </row>
    <row r="214" spans="1:21" x14ac:dyDescent="0.25">
      <c r="A214" t="s">
        <v>67</v>
      </c>
      <c r="B214" t="s">
        <v>69</v>
      </c>
      <c r="C214">
        <v>12</v>
      </c>
      <c r="D214" t="s">
        <v>131</v>
      </c>
      <c r="E214" t="s">
        <v>129</v>
      </c>
      <c r="F214" t="s">
        <v>72</v>
      </c>
      <c r="G214">
        <v>3.15414913910038</v>
      </c>
      <c r="H214">
        <v>2E+20</v>
      </c>
      <c r="I214">
        <v>0</v>
      </c>
      <c r="J214">
        <v>8</v>
      </c>
      <c r="K214">
        <v>3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17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2.7429685070299299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4.8837925841766499</v>
      </c>
      <c r="U214" s="5">
        <f>IF((ContinuousStatsTable[[#This Row],[RepsRequested]]&gt;1),ContinuousStatsTable[[#This Row],[HalfWidth]],ContinuousStatsTable[[#This Row],[BatchMeansHalfWidth]])</f>
        <v>0.34715563137404881</v>
      </c>
    </row>
    <row r="215" spans="1:21" x14ac:dyDescent="0.25">
      <c r="A215" t="s">
        <v>67</v>
      </c>
      <c r="B215" t="s">
        <v>69</v>
      </c>
      <c r="C215">
        <v>12</v>
      </c>
      <c r="D215" t="s">
        <v>99</v>
      </c>
      <c r="E215" t="s">
        <v>130</v>
      </c>
      <c r="F215" t="s">
        <v>91</v>
      </c>
      <c r="G215">
        <v>2.0561736153355898</v>
      </c>
      <c r="H215">
        <v>2E+20</v>
      </c>
      <c r="I215">
        <v>0</v>
      </c>
      <c r="J215">
        <v>9</v>
      </c>
      <c r="K215">
        <v>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17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0.64455717508326504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2.69061971266638</v>
      </c>
      <c r="U215" s="5">
        <f>IF((ContinuousStatsTable[[#This Row],[RepsRequested]]&gt;1),ContinuousStatsTable[[#This Row],[HalfWidth]],ContinuousStatsTable[[#This Row],[BatchMeansHalfWidth]])</f>
        <v>0.32696662226075207</v>
      </c>
    </row>
    <row r="216" spans="1:21" x14ac:dyDescent="0.25">
      <c r="A216" t="s">
        <v>67</v>
      </c>
      <c r="B216" t="s">
        <v>69</v>
      </c>
      <c r="C216">
        <v>12</v>
      </c>
      <c r="D216" t="s">
        <v>104</v>
      </c>
      <c r="E216" t="s">
        <v>130</v>
      </c>
      <c r="F216" t="s">
        <v>91</v>
      </c>
      <c r="G216">
        <v>0.92955267958696897</v>
      </c>
      <c r="H216">
        <v>2E+20</v>
      </c>
      <c r="I216">
        <v>0</v>
      </c>
      <c r="J216">
        <v>7</v>
      </c>
      <c r="K216">
        <v>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17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0.20519043218243799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1.8050950008829001</v>
      </c>
      <c r="U216" s="5">
        <f>IF((ContinuousStatsTable[[#This Row],[RepsRequested]]&gt;1),ContinuousStatsTable[[#This Row],[HalfWidth]],ContinuousStatsTable[[#This Row],[BatchMeansHalfWidth]])</f>
        <v>0.22777269441319098</v>
      </c>
    </row>
    <row r="217" spans="1:21" x14ac:dyDescent="0.25">
      <c r="A217" t="s">
        <v>67</v>
      </c>
      <c r="B217" t="s">
        <v>69</v>
      </c>
      <c r="C217">
        <v>12</v>
      </c>
      <c r="D217" t="s">
        <v>132</v>
      </c>
      <c r="E217" t="s">
        <v>133</v>
      </c>
      <c r="F217" t="s">
        <v>80</v>
      </c>
      <c r="G217">
        <v>1.04395220385056</v>
      </c>
      <c r="H217">
        <v>2E+20</v>
      </c>
      <c r="I217">
        <v>0</v>
      </c>
      <c r="J217">
        <v>4</v>
      </c>
      <c r="K217">
        <v>2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17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1.04395220385056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2.6910314688690198</v>
      </c>
      <c r="U217" s="5">
        <f>IF((ContinuousStatsTable[[#This Row],[RepsRequested]]&gt;1),ContinuousStatsTable[[#This Row],[HalfWidth]],ContinuousStatsTable[[#This Row],[BatchMeansHalfWidth]])</f>
        <v>0.19531820168707029</v>
      </c>
    </row>
    <row r="218" spans="1:21" x14ac:dyDescent="0.25">
      <c r="A218" t="s">
        <v>67</v>
      </c>
      <c r="B218" t="s">
        <v>69</v>
      </c>
      <c r="C218">
        <v>12</v>
      </c>
      <c r="D218" t="s">
        <v>134</v>
      </c>
      <c r="E218" t="s">
        <v>135</v>
      </c>
      <c r="F218" t="s">
        <v>136</v>
      </c>
      <c r="G218">
        <v>0.81573225758243195</v>
      </c>
      <c r="H218">
        <v>2E+20</v>
      </c>
      <c r="I218">
        <v>0</v>
      </c>
      <c r="J218">
        <v>1</v>
      </c>
      <c r="K218">
        <v>0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17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0.73534383204610498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0.95888680213271504</v>
      </c>
      <c r="U218" s="5">
        <f>IF((ContinuousStatsTable[[#This Row],[RepsRequested]]&gt;1),ContinuousStatsTable[[#This Row],[HalfWidth]],ContinuousStatsTable[[#This Row],[BatchMeansHalfWidth]])</f>
        <v>3.3674816741294945E-2</v>
      </c>
    </row>
    <row r="219" spans="1:21" x14ac:dyDescent="0.25">
      <c r="A219" t="s">
        <v>67</v>
      </c>
      <c r="B219" t="s">
        <v>69</v>
      </c>
      <c r="C219">
        <v>12</v>
      </c>
      <c r="D219" t="s">
        <v>134</v>
      </c>
      <c r="E219" t="s">
        <v>137</v>
      </c>
      <c r="F219" t="s">
        <v>136</v>
      </c>
      <c r="G219">
        <v>0.81573225758243195</v>
      </c>
      <c r="H219">
        <v>2E+20</v>
      </c>
      <c r="I219">
        <v>0</v>
      </c>
      <c r="J219">
        <v>1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17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0.73534383204610498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0.95888680213271504</v>
      </c>
      <c r="U219" s="5">
        <f>IF((ContinuousStatsTable[[#This Row],[RepsRequested]]&gt;1),ContinuousStatsTable[[#This Row],[HalfWidth]],ContinuousStatsTable[[#This Row],[BatchMeansHalfWidth]])</f>
        <v>3.3674816741294945E-2</v>
      </c>
    </row>
    <row r="220" spans="1:21" x14ac:dyDescent="0.25">
      <c r="A220" t="s">
        <v>67</v>
      </c>
      <c r="B220" t="s">
        <v>69</v>
      </c>
      <c r="C220">
        <v>12</v>
      </c>
      <c r="D220" t="s">
        <v>134</v>
      </c>
      <c r="E220" t="s">
        <v>138</v>
      </c>
      <c r="F220" t="s">
        <v>136</v>
      </c>
      <c r="G220">
        <v>1</v>
      </c>
      <c r="H220">
        <v>2E+20</v>
      </c>
      <c r="I220">
        <v>1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17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1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1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1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25">
      <c r="A221" t="s">
        <v>67</v>
      </c>
      <c r="B221" t="s">
        <v>69</v>
      </c>
      <c r="C221">
        <v>12</v>
      </c>
      <c r="D221" t="s">
        <v>139</v>
      </c>
      <c r="E221" t="s">
        <v>135</v>
      </c>
      <c r="F221" t="s">
        <v>136</v>
      </c>
      <c r="G221">
        <v>0.67381025310460296</v>
      </c>
      <c r="H221">
        <v>2E+20</v>
      </c>
      <c r="I221">
        <v>0</v>
      </c>
      <c r="J221">
        <v>1</v>
      </c>
      <c r="K221">
        <v>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17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0.52223972091576099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0.77852312806092006</v>
      </c>
      <c r="U221" s="5">
        <f>IF((ContinuousStatsTable[[#This Row],[RepsRequested]]&gt;1),ContinuousStatsTable[[#This Row],[HalfWidth]],ContinuousStatsTable[[#This Row],[BatchMeansHalfWidth]])</f>
        <v>3.4022068014651748E-2</v>
      </c>
    </row>
    <row r="222" spans="1:21" x14ac:dyDescent="0.25">
      <c r="A222" t="s">
        <v>67</v>
      </c>
      <c r="B222" t="s">
        <v>69</v>
      </c>
      <c r="C222">
        <v>12</v>
      </c>
      <c r="D222" t="s">
        <v>139</v>
      </c>
      <c r="E222" t="s">
        <v>137</v>
      </c>
      <c r="F222" t="s">
        <v>136</v>
      </c>
      <c r="G222">
        <v>0.67381025310460296</v>
      </c>
      <c r="H222">
        <v>2E+20</v>
      </c>
      <c r="I222">
        <v>0</v>
      </c>
      <c r="J222">
        <v>1</v>
      </c>
      <c r="K222">
        <v>1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17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0.52223972091576099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0.77852312806092006</v>
      </c>
      <c r="U222" s="5">
        <f>IF((ContinuousStatsTable[[#This Row],[RepsRequested]]&gt;1),ContinuousStatsTable[[#This Row],[HalfWidth]],ContinuousStatsTable[[#This Row],[BatchMeansHalfWidth]])</f>
        <v>3.4022068014651748E-2</v>
      </c>
    </row>
    <row r="223" spans="1:21" x14ac:dyDescent="0.25">
      <c r="A223" t="s">
        <v>67</v>
      </c>
      <c r="B223" t="s">
        <v>69</v>
      </c>
      <c r="C223">
        <v>12</v>
      </c>
      <c r="D223" t="s">
        <v>139</v>
      </c>
      <c r="E223" t="s">
        <v>138</v>
      </c>
      <c r="F223" t="s">
        <v>136</v>
      </c>
      <c r="G223">
        <v>1</v>
      </c>
      <c r="H223">
        <v>2E+20</v>
      </c>
      <c r="I223">
        <v>1</v>
      </c>
      <c r="J223">
        <v>1</v>
      </c>
      <c r="K223">
        <v>1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17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1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1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1</v>
      </c>
      <c r="U223" s="5">
        <f>IF((ContinuousStatsTable[[#This Row],[RepsRequested]]&gt;1),ContinuousStatsTable[[#This Row],[HalfWidth]],ContinuousStatsTable[[#This Row],[BatchMeansHalfWidth]])</f>
        <v>0</v>
      </c>
    </row>
    <row r="224" spans="1:21" x14ac:dyDescent="0.25">
      <c r="A224" t="s">
        <v>67</v>
      </c>
      <c r="B224" t="s">
        <v>69</v>
      </c>
      <c r="C224">
        <v>12</v>
      </c>
      <c r="D224" t="s">
        <v>140</v>
      </c>
      <c r="E224" t="s">
        <v>135</v>
      </c>
      <c r="F224" t="s">
        <v>136</v>
      </c>
      <c r="G224">
        <v>0.20879044077011299</v>
      </c>
      <c r="H224">
        <v>2E+20</v>
      </c>
      <c r="I224">
        <v>0</v>
      </c>
      <c r="J224">
        <v>0.8</v>
      </c>
      <c r="K224">
        <v>0.4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17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0.20879044077011299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0.53820629377380302</v>
      </c>
      <c r="U224" s="5">
        <f>IF((ContinuousStatsTable[[#This Row],[RepsRequested]]&gt;1),ContinuousStatsTable[[#This Row],[HalfWidth]],ContinuousStatsTable[[#This Row],[BatchMeansHalfWidth]])</f>
        <v>3.9063640337413962E-2</v>
      </c>
    </row>
    <row r="225" spans="1:21" x14ac:dyDescent="0.25">
      <c r="A225" t="s">
        <v>67</v>
      </c>
      <c r="B225" t="s">
        <v>69</v>
      </c>
      <c r="C225">
        <v>12</v>
      </c>
      <c r="D225" t="s">
        <v>140</v>
      </c>
      <c r="E225" t="s">
        <v>137</v>
      </c>
      <c r="F225" t="s">
        <v>136</v>
      </c>
      <c r="G225">
        <v>1.04395220385056</v>
      </c>
      <c r="H225">
        <v>2E+20</v>
      </c>
      <c r="I225">
        <v>0</v>
      </c>
      <c r="J225">
        <v>4</v>
      </c>
      <c r="K225">
        <v>2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17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1.04395220385056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2.6910314688690198</v>
      </c>
      <c r="U225" s="5">
        <f>IF((ContinuousStatsTable[[#This Row],[RepsRequested]]&gt;1),ContinuousStatsTable[[#This Row],[HalfWidth]],ContinuousStatsTable[[#This Row],[BatchMeansHalfWidth]])</f>
        <v>0.19531820168707029</v>
      </c>
    </row>
    <row r="226" spans="1:21" x14ac:dyDescent="0.25">
      <c r="A226" t="s">
        <v>67</v>
      </c>
      <c r="B226" t="s">
        <v>69</v>
      </c>
      <c r="C226">
        <v>12</v>
      </c>
      <c r="D226" t="s">
        <v>140</v>
      </c>
      <c r="E226" t="s">
        <v>138</v>
      </c>
      <c r="F226" t="s">
        <v>136</v>
      </c>
      <c r="G226">
        <v>5</v>
      </c>
      <c r="H226">
        <v>2E+20</v>
      </c>
      <c r="I226">
        <v>5</v>
      </c>
      <c r="J226">
        <v>5</v>
      </c>
      <c r="K226">
        <v>5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17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5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5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5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67</v>
      </c>
      <c r="B227" t="s">
        <v>69</v>
      </c>
      <c r="C227">
        <v>12</v>
      </c>
      <c r="D227" t="s">
        <v>127</v>
      </c>
      <c r="E227" t="s">
        <v>129</v>
      </c>
      <c r="F227" t="s">
        <v>72</v>
      </c>
      <c r="G227">
        <v>0</v>
      </c>
      <c r="H227">
        <v>2E+20</v>
      </c>
      <c r="I227">
        <v>0</v>
      </c>
      <c r="J227">
        <v>1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17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67</v>
      </c>
      <c r="B228" t="s">
        <v>69</v>
      </c>
      <c r="C228">
        <v>12</v>
      </c>
      <c r="D228" t="s">
        <v>141</v>
      </c>
      <c r="E228" t="s">
        <v>142</v>
      </c>
      <c r="F228" t="s">
        <v>80</v>
      </c>
      <c r="G228">
        <v>5.6416284168675697</v>
      </c>
      <c r="H228">
        <v>2E+20</v>
      </c>
      <c r="I228">
        <v>0</v>
      </c>
      <c r="J228">
        <v>15</v>
      </c>
      <c r="K228">
        <v>3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17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3.84735462379287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7.9213485690690897</v>
      </c>
      <c r="U228" s="5">
        <f>IF((ContinuousStatsTable[[#This Row],[RepsRequested]]&gt;1),ContinuousStatsTable[[#This Row],[HalfWidth]],ContinuousStatsTable[[#This Row],[BatchMeansHalfWidth]])</f>
        <v>0.63683843534988338</v>
      </c>
    </row>
    <row r="229" spans="1:21" x14ac:dyDescent="0.25">
      <c r="A229" t="s">
        <v>67</v>
      </c>
      <c r="B229" t="s">
        <v>69</v>
      </c>
      <c r="C229">
        <v>12</v>
      </c>
      <c r="D229" t="s">
        <v>143</v>
      </c>
      <c r="E229" t="s">
        <v>142</v>
      </c>
      <c r="F229" t="s">
        <v>80</v>
      </c>
      <c r="G229">
        <v>3.9560477961494298</v>
      </c>
      <c r="H229">
        <v>2E+20</v>
      </c>
      <c r="I229">
        <v>1</v>
      </c>
      <c r="J229">
        <v>5</v>
      </c>
      <c r="K229">
        <v>3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17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2.3089685311309802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3.9560477961494298</v>
      </c>
      <c r="U229" s="5">
        <f>IF((ContinuousStatsTable[[#This Row],[RepsRequested]]&gt;1),ContinuousStatsTable[[#This Row],[HalfWidth]],ContinuousStatsTable[[#This Row],[BatchMeansHalfWidth]])</f>
        <v>0.19531820168707212</v>
      </c>
    </row>
    <row r="230" spans="1:21" x14ac:dyDescent="0.25">
      <c r="A230" t="s">
        <v>67</v>
      </c>
      <c r="B230" t="s">
        <v>69</v>
      </c>
      <c r="C230">
        <v>13</v>
      </c>
      <c r="D230" t="s">
        <v>70</v>
      </c>
      <c r="E230" t="s">
        <v>129</v>
      </c>
      <c r="F230" t="s">
        <v>72</v>
      </c>
      <c r="G230">
        <v>6.6334479794904704</v>
      </c>
      <c r="H230">
        <v>3E+20</v>
      </c>
      <c r="I230">
        <v>0</v>
      </c>
      <c r="J230">
        <v>16</v>
      </c>
      <c r="K230">
        <v>9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17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5.4544685782955797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9.9812364527489308</v>
      </c>
      <c r="U230" s="5">
        <f>IF((ContinuousStatsTable[[#This Row],[RepsRequested]]&gt;1),ContinuousStatsTable[[#This Row],[HalfWidth]],ContinuousStatsTable[[#This Row],[BatchMeansHalfWidth]])</f>
        <v>0.73494663100688618</v>
      </c>
    </row>
    <row r="231" spans="1:21" x14ac:dyDescent="0.25">
      <c r="A231" t="s">
        <v>67</v>
      </c>
      <c r="B231" t="s">
        <v>69</v>
      </c>
      <c r="C231">
        <v>13</v>
      </c>
      <c r="D231" t="s">
        <v>89</v>
      </c>
      <c r="E231" t="s">
        <v>130</v>
      </c>
      <c r="F231" t="s">
        <v>91</v>
      </c>
      <c r="G231">
        <v>0</v>
      </c>
      <c r="H231">
        <v>2E+20</v>
      </c>
      <c r="I231">
        <v>0</v>
      </c>
      <c r="J231">
        <v>0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17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0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67</v>
      </c>
      <c r="B232" t="s">
        <v>69</v>
      </c>
      <c r="C232">
        <v>13</v>
      </c>
      <c r="D232" t="s">
        <v>92</v>
      </c>
      <c r="E232" t="s">
        <v>130</v>
      </c>
      <c r="F232" t="s">
        <v>91</v>
      </c>
      <c r="G232">
        <v>1.4876058151361</v>
      </c>
      <c r="H232">
        <v>2E+20</v>
      </c>
      <c r="I232">
        <v>0</v>
      </c>
      <c r="J232">
        <v>7</v>
      </c>
      <c r="K232">
        <v>3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17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1.1292470593949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2.9364889703726602</v>
      </c>
      <c r="U232" s="5">
        <f>IF((ContinuousStatsTable[[#This Row],[RepsRequested]]&gt;1),ContinuousStatsTable[[#This Row],[HalfWidth]],ContinuousStatsTable[[#This Row],[BatchMeansHalfWidth]])</f>
        <v>0.26472622632728454</v>
      </c>
    </row>
    <row r="233" spans="1:21" x14ac:dyDescent="0.25">
      <c r="A233" t="s">
        <v>67</v>
      </c>
      <c r="B233" t="s">
        <v>69</v>
      </c>
      <c r="C233">
        <v>13</v>
      </c>
      <c r="D233" t="s">
        <v>131</v>
      </c>
      <c r="E233" t="s">
        <v>129</v>
      </c>
      <c r="F233" t="s">
        <v>72</v>
      </c>
      <c r="G233">
        <v>3.4365322078286402</v>
      </c>
      <c r="H233">
        <v>2E+20</v>
      </c>
      <c r="I233">
        <v>0</v>
      </c>
      <c r="J233">
        <v>8</v>
      </c>
      <c r="K233">
        <v>5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17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2.7429685070299299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4.8837925841766499</v>
      </c>
      <c r="U233" s="5">
        <f>IF((ContinuousStatsTable[[#This Row],[RepsRequested]]&gt;1),ContinuousStatsTable[[#This Row],[HalfWidth]],ContinuousStatsTable[[#This Row],[BatchMeansHalfWidth]])</f>
        <v>0.34715563137404881</v>
      </c>
    </row>
    <row r="234" spans="1:21" x14ac:dyDescent="0.25">
      <c r="A234" t="s">
        <v>67</v>
      </c>
      <c r="B234" t="s">
        <v>69</v>
      </c>
      <c r="C234">
        <v>13</v>
      </c>
      <c r="D234" t="s">
        <v>99</v>
      </c>
      <c r="E234" t="s">
        <v>130</v>
      </c>
      <c r="F234" t="s">
        <v>91</v>
      </c>
      <c r="G234">
        <v>0.85936531892003498</v>
      </c>
      <c r="H234">
        <v>2E+20</v>
      </c>
      <c r="I234">
        <v>0</v>
      </c>
      <c r="J234">
        <v>6</v>
      </c>
      <c r="K234">
        <v>2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17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0.64455717508326504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2.69061971266638</v>
      </c>
      <c r="U234" s="5">
        <f>IF((ContinuousStatsTable[[#This Row],[RepsRequested]]&gt;1),ContinuousStatsTable[[#This Row],[HalfWidth]],ContinuousStatsTable[[#This Row],[BatchMeansHalfWidth]])</f>
        <v>0.32696662226075207</v>
      </c>
    </row>
    <row r="235" spans="1:21" x14ac:dyDescent="0.25">
      <c r="A235" t="s">
        <v>67</v>
      </c>
      <c r="B235" t="s">
        <v>69</v>
      </c>
      <c r="C235">
        <v>13</v>
      </c>
      <c r="D235" t="s">
        <v>104</v>
      </c>
      <c r="E235" t="s">
        <v>130</v>
      </c>
      <c r="F235" t="s">
        <v>91</v>
      </c>
      <c r="G235">
        <v>0.44653897943732701</v>
      </c>
      <c r="H235">
        <v>2E+20</v>
      </c>
      <c r="I235">
        <v>0</v>
      </c>
      <c r="J235">
        <v>4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17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0.20519043218243799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1.8050950008829001</v>
      </c>
      <c r="U235" s="5">
        <f>IF((ContinuousStatsTable[[#This Row],[RepsRequested]]&gt;1),ContinuousStatsTable[[#This Row],[HalfWidth]],ContinuousStatsTable[[#This Row],[BatchMeansHalfWidth]])</f>
        <v>0.22777269441319098</v>
      </c>
    </row>
    <row r="236" spans="1:21" x14ac:dyDescent="0.25">
      <c r="A236" t="s">
        <v>67</v>
      </c>
      <c r="B236" t="s">
        <v>69</v>
      </c>
      <c r="C236">
        <v>13</v>
      </c>
      <c r="D236" t="s">
        <v>132</v>
      </c>
      <c r="E236" t="s">
        <v>133</v>
      </c>
      <c r="F236" t="s">
        <v>80</v>
      </c>
      <c r="G236">
        <v>1.84513009639624</v>
      </c>
      <c r="H236">
        <v>2E+20</v>
      </c>
      <c r="I236">
        <v>0</v>
      </c>
      <c r="J236">
        <v>5</v>
      </c>
      <c r="K236">
        <v>2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17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1.04395220385056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2.6910314688690198</v>
      </c>
      <c r="U236" s="5">
        <f>IF((ContinuousStatsTable[[#This Row],[RepsRequested]]&gt;1),ContinuousStatsTable[[#This Row],[HalfWidth]],ContinuousStatsTable[[#This Row],[BatchMeansHalfWidth]])</f>
        <v>0.19531820168707029</v>
      </c>
    </row>
    <row r="237" spans="1:21" x14ac:dyDescent="0.25">
      <c r="A237" t="s">
        <v>67</v>
      </c>
      <c r="B237" t="s">
        <v>69</v>
      </c>
      <c r="C237">
        <v>13</v>
      </c>
      <c r="D237" t="s">
        <v>134</v>
      </c>
      <c r="E237" t="s">
        <v>135</v>
      </c>
      <c r="F237" t="s">
        <v>136</v>
      </c>
      <c r="G237">
        <v>0.75713038369841801</v>
      </c>
      <c r="H237">
        <v>2E+20</v>
      </c>
      <c r="I237">
        <v>0</v>
      </c>
      <c r="J237">
        <v>1</v>
      </c>
      <c r="K237">
        <v>1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17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0.73534383204610498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0.95888680213271504</v>
      </c>
      <c r="U237" s="5">
        <f>IF((ContinuousStatsTable[[#This Row],[RepsRequested]]&gt;1),ContinuousStatsTable[[#This Row],[HalfWidth]],ContinuousStatsTable[[#This Row],[BatchMeansHalfWidth]])</f>
        <v>3.3674816741294945E-2</v>
      </c>
    </row>
    <row r="238" spans="1:21" x14ac:dyDescent="0.25">
      <c r="A238" t="s">
        <v>67</v>
      </c>
      <c r="B238" t="s">
        <v>69</v>
      </c>
      <c r="C238">
        <v>13</v>
      </c>
      <c r="D238" t="s">
        <v>134</v>
      </c>
      <c r="E238" t="s">
        <v>137</v>
      </c>
      <c r="F238" t="s">
        <v>136</v>
      </c>
      <c r="G238">
        <v>0.75713038369841801</v>
      </c>
      <c r="H238">
        <v>2E+20</v>
      </c>
      <c r="I238">
        <v>0</v>
      </c>
      <c r="J238">
        <v>1</v>
      </c>
      <c r="K238">
        <v>1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17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0.73534383204610498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0.95888680213271504</v>
      </c>
      <c r="U238" s="5">
        <f>IF((ContinuousStatsTable[[#This Row],[RepsRequested]]&gt;1),ContinuousStatsTable[[#This Row],[HalfWidth]],ContinuousStatsTable[[#This Row],[BatchMeansHalfWidth]])</f>
        <v>3.3674816741294945E-2</v>
      </c>
    </row>
    <row r="239" spans="1:21" x14ac:dyDescent="0.25">
      <c r="A239" t="s">
        <v>67</v>
      </c>
      <c r="B239" t="s">
        <v>69</v>
      </c>
      <c r="C239">
        <v>13</v>
      </c>
      <c r="D239" t="s">
        <v>134</v>
      </c>
      <c r="E239" t="s">
        <v>138</v>
      </c>
      <c r="F239" t="s">
        <v>136</v>
      </c>
      <c r="G239">
        <v>1</v>
      </c>
      <c r="H239">
        <v>2E+20</v>
      </c>
      <c r="I239">
        <v>1</v>
      </c>
      <c r="J239">
        <v>1</v>
      </c>
      <c r="K239">
        <v>1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17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1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1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1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67</v>
      </c>
      <c r="B240" t="s">
        <v>69</v>
      </c>
      <c r="C240">
        <v>13</v>
      </c>
      <c r="D240" t="s">
        <v>139</v>
      </c>
      <c r="E240" t="s">
        <v>135</v>
      </c>
      <c r="F240" t="s">
        <v>136</v>
      </c>
      <c r="G240">
        <v>0.69367162316071496</v>
      </c>
      <c r="H240">
        <v>2E+20</v>
      </c>
      <c r="I240">
        <v>0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17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0.52223972091576099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0.77852312806092006</v>
      </c>
      <c r="U240" s="5">
        <f>IF((ContinuousStatsTable[[#This Row],[RepsRequested]]&gt;1),ContinuousStatsTable[[#This Row],[HalfWidth]],ContinuousStatsTable[[#This Row],[BatchMeansHalfWidth]])</f>
        <v>3.4022068014651748E-2</v>
      </c>
    </row>
    <row r="241" spans="1:21" x14ac:dyDescent="0.25">
      <c r="A241" t="s">
        <v>67</v>
      </c>
      <c r="B241" t="s">
        <v>69</v>
      </c>
      <c r="C241">
        <v>13</v>
      </c>
      <c r="D241" t="s">
        <v>139</v>
      </c>
      <c r="E241" t="s">
        <v>137</v>
      </c>
      <c r="F241" t="s">
        <v>136</v>
      </c>
      <c r="G241">
        <v>0.69367162316071496</v>
      </c>
      <c r="H241">
        <v>2E+20</v>
      </c>
      <c r="I241">
        <v>0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17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0.52223972091576099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0.77852312806092006</v>
      </c>
      <c r="U241" s="5">
        <f>IF((ContinuousStatsTable[[#This Row],[RepsRequested]]&gt;1),ContinuousStatsTable[[#This Row],[HalfWidth]],ContinuousStatsTable[[#This Row],[BatchMeansHalfWidth]])</f>
        <v>3.4022068014651748E-2</v>
      </c>
    </row>
    <row r="242" spans="1:21" x14ac:dyDescent="0.25">
      <c r="A242" t="s">
        <v>67</v>
      </c>
      <c r="B242" t="s">
        <v>69</v>
      </c>
      <c r="C242">
        <v>13</v>
      </c>
      <c r="D242" t="s">
        <v>139</v>
      </c>
      <c r="E242" t="s">
        <v>138</v>
      </c>
      <c r="F242" t="s">
        <v>136</v>
      </c>
      <c r="G242">
        <v>1</v>
      </c>
      <c r="H242">
        <v>2E+20</v>
      </c>
      <c r="I242">
        <v>1</v>
      </c>
      <c r="J242">
        <v>1</v>
      </c>
      <c r="K242">
        <v>1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17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1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1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1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25">
      <c r="A243" t="s">
        <v>67</v>
      </c>
      <c r="B243" t="s">
        <v>69</v>
      </c>
      <c r="C243">
        <v>13</v>
      </c>
      <c r="D243" t="s">
        <v>140</v>
      </c>
      <c r="E243" t="s">
        <v>135</v>
      </c>
      <c r="F243" t="s">
        <v>136</v>
      </c>
      <c r="G243">
        <v>0.369026019279249</v>
      </c>
      <c r="H243">
        <v>2E+20</v>
      </c>
      <c r="I243">
        <v>0</v>
      </c>
      <c r="J243">
        <v>1</v>
      </c>
      <c r="K243">
        <v>0.4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17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0.20879044077011299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0.53820629377380302</v>
      </c>
      <c r="U243" s="5">
        <f>IF((ContinuousStatsTable[[#This Row],[RepsRequested]]&gt;1),ContinuousStatsTable[[#This Row],[HalfWidth]],ContinuousStatsTable[[#This Row],[BatchMeansHalfWidth]])</f>
        <v>3.9063640337413962E-2</v>
      </c>
    </row>
    <row r="244" spans="1:21" x14ac:dyDescent="0.25">
      <c r="A244" t="s">
        <v>67</v>
      </c>
      <c r="B244" t="s">
        <v>69</v>
      </c>
      <c r="C244">
        <v>13</v>
      </c>
      <c r="D244" t="s">
        <v>140</v>
      </c>
      <c r="E244" t="s">
        <v>137</v>
      </c>
      <c r="F244" t="s">
        <v>136</v>
      </c>
      <c r="G244">
        <v>1.84513009639624</v>
      </c>
      <c r="H244">
        <v>2E+20</v>
      </c>
      <c r="I244">
        <v>0</v>
      </c>
      <c r="J244">
        <v>5</v>
      </c>
      <c r="K244">
        <v>2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17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1.04395220385056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2.6910314688690198</v>
      </c>
      <c r="U244" s="5">
        <f>IF((ContinuousStatsTable[[#This Row],[RepsRequested]]&gt;1),ContinuousStatsTable[[#This Row],[HalfWidth]],ContinuousStatsTable[[#This Row],[BatchMeansHalfWidth]])</f>
        <v>0.19531820168707029</v>
      </c>
    </row>
    <row r="245" spans="1:21" x14ac:dyDescent="0.25">
      <c r="A245" t="s">
        <v>67</v>
      </c>
      <c r="B245" t="s">
        <v>69</v>
      </c>
      <c r="C245">
        <v>13</v>
      </c>
      <c r="D245" t="s">
        <v>140</v>
      </c>
      <c r="E245" t="s">
        <v>138</v>
      </c>
      <c r="F245" t="s">
        <v>136</v>
      </c>
      <c r="G245">
        <v>5</v>
      </c>
      <c r="H245">
        <v>2E+20</v>
      </c>
      <c r="I245">
        <v>5</v>
      </c>
      <c r="J245">
        <v>5</v>
      </c>
      <c r="K245">
        <v>5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17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5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5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5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25">
      <c r="A246" t="s">
        <v>67</v>
      </c>
      <c r="B246" t="s">
        <v>69</v>
      </c>
      <c r="C246">
        <v>13</v>
      </c>
      <c r="D246" t="s">
        <v>127</v>
      </c>
      <c r="E246" t="s">
        <v>129</v>
      </c>
      <c r="F246" t="s">
        <v>72</v>
      </c>
      <c r="G246">
        <v>0</v>
      </c>
      <c r="H246">
        <v>2E+20</v>
      </c>
      <c r="I246">
        <v>0</v>
      </c>
      <c r="J246">
        <v>1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17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25">
      <c r="A247" t="s">
        <v>67</v>
      </c>
      <c r="B247" t="s">
        <v>69</v>
      </c>
      <c r="C247">
        <v>13</v>
      </c>
      <c r="D247" t="s">
        <v>141</v>
      </c>
      <c r="E247" t="s">
        <v>142</v>
      </c>
      <c r="F247" t="s">
        <v>80</v>
      </c>
      <c r="G247">
        <v>4.7161882534645896</v>
      </c>
      <c r="H247">
        <v>2E+20</v>
      </c>
      <c r="I247">
        <v>0</v>
      </c>
      <c r="J247">
        <v>11</v>
      </c>
      <c r="K247">
        <v>7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17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3.84735462379287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7.9213485690690897</v>
      </c>
      <c r="U247" s="5">
        <f>IF((ContinuousStatsTable[[#This Row],[RepsRequested]]&gt;1),ContinuousStatsTable[[#This Row],[HalfWidth]],ContinuousStatsTable[[#This Row],[BatchMeansHalfWidth]])</f>
        <v>0.63683843534988338</v>
      </c>
    </row>
    <row r="248" spans="1:21" x14ac:dyDescent="0.25">
      <c r="A248" t="s">
        <v>67</v>
      </c>
      <c r="B248" t="s">
        <v>69</v>
      </c>
      <c r="C248">
        <v>13</v>
      </c>
      <c r="D248" t="s">
        <v>143</v>
      </c>
      <c r="E248" t="s">
        <v>142</v>
      </c>
      <c r="F248" t="s">
        <v>80</v>
      </c>
      <c r="G248">
        <v>3.15486990360376</v>
      </c>
      <c r="H248">
        <v>2E+20</v>
      </c>
      <c r="I248">
        <v>0</v>
      </c>
      <c r="J248">
        <v>5</v>
      </c>
      <c r="K248">
        <v>3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17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2.3089685311309802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3.9560477961494298</v>
      </c>
      <c r="U248" s="5">
        <f>IF((ContinuousStatsTable[[#This Row],[RepsRequested]]&gt;1),ContinuousStatsTable[[#This Row],[HalfWidth]],ContinuousStatsTable[[#This Row],[BatchMeansHalfWidth]])</f>
        <v>0.19531820168707212</v>
      </c>
    </row>
    <row r="249" spans="1:21" x14ac:dyDescent="0.25">
      <c r="A249" t="s">
        <v>67</v>
      </c>
      <c r="B249" t="s">
        <v>69</v>
      </c>
      <c r="C249">
        <v>14</v>
      </c>
      <c r="D249" t="s">
        <v>70</v>
      </c>
      <c r="E249" t="s">
        <v>129</v>
      </c>
      <c r="F249" t="s">
        <v>72</v>
      </c>
      <c r="G249">
        <v>6.5255698679102903</v>
      </c>
      <c r="H249">
        <v>0.65989202893460197</v>
      </c>
      <c r="I249">
        <v>1</v>
      </c>
      <c r="J249">
        <v>15</v>
      </c>
      <c r="K249">
        <v>15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17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5.4544685782955797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9.9812364527489308</v>
      </c>
      <c r="U249" s="5">
        <f>IF((ContinuousStatsTable[[#This Row],[RepsRequested]]&gt;1),ContinuousStatsTable[[#This Row],[HalfWidth]],ContinuousStatsTable[[#This Row],[BatchMeansHalfWidth]])</f>
        <v>0.73494663100688618</v>
      </c>
    </row>
    <row r="250" spans="1:21" x14ac:dyDescent="0.25">
      <c r="A250" t="s">
        <v>67</v>
      </c>
      <c r="B250" t="s">
        <v>69</v>
      </c>
      <c r="C250">
        <v>14</v>
      </c>
      <c r="D250" t="s">
        <v>89</v>
      </c>
      <c r="E250" t="s">
        <v>130</v>
      </c>
      <c r="F250" t="s">
        <v>91</v>
      </c>
      <c r="G250">
        <v>0</v>
      </c>
      <c r="H250">
        <v>2E+20</v>
      </c>
      <c r="I250">
        <v>0</v>
      </c>
      <c r="J250">
        <v>0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17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</v>
      </c>
      <c r="U250" s="5">
        <f>IF((ContinuousStatsTable[[#This Row],[RepsRequested]]&gt;1),ContinuousStatsTable[[#This Row],[HalfWidth]],ContinuousStatsTable[[#This Row],[BatchMeansHalfWidth]])</f>
        <v>0</v>
      </c>
    </row>
    <row r="251" spans="1:21" x14ac:dyDescent="0.25">
      <c r="A251" t="s">
        <v>67</v>
      </c>
      <c r="B251" t="s">
        <v>69</v>
      </c>
      <c r="C251">
        <v>14</v>
      </c>
      <c r="D251" t="s">
        <v>92</v>
      </c>
      <c r="E251" t="s">
        <v>130</v>
      </c>
      <c r="F251" t="s">
        <v>91</v>
      </c>
      <c r="G251">
        <v>1.5372848435881901</v>
      </c>
      <c r="H251">
        <v>2E+20</v>
      </c>
      <c r="I251">
        <v>0</v>
      </c>
      <c r="J251">
        <v>8</v>
      </c>
      <c r="K251">
        <v>0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17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1.1292470593949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2.9364889703726602</v>
      </c>
      <c r="U251" s="5">
        <f>IF((ContinuousStatsTable[[#This Row],[RepsRequested]]&gt;1),ContinuousStatsTable[[#This Row],[HalfWidth]],ContinuousStatsTable[[#This Row],[BatchMeansHalfWidth]])</f>
        <v>0.26472622632728454</v>
      </c>
    </row>
    <row r="252" spans="1:21" x14ac:dyDescent="0.25">
      <c r="A252" t="s">
        <v>67</v>
      </c>
      <c r="B252" t="s">
        <v>69</v>
      </c>
      <c r="C252">
        <v>14</v>
      </c>
      <c r="D252" t="s">
        <v>131</v>
      </c>
      <c r="E252" t="s">
        <v>129</v>
      </c>
      <c r="F252" t="s">
        <v>72</v>
      </c>
      <c r="G252">
        <v>3.0121578482239002</v>
      </c>
      <c r="H252">
        <v>2E+20</v>
      </c>
      <c r="I252">
        <v>0</v>
      </c>
      <c r="J252">
        <v>8</v>
      </c>
      <c r="K252">
        <v>2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17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2.7429685070299299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4.8837925841766499</v>
      </c>
      <c r="U252" s="5">
        <f>IF((ContinuousStatsTable[[#This Row],[RepsRequested]]&gt;1),ContinuousStatsTable[[#This Row],[HalfWidth]],ContinuousStatsTable[[#This Row],[BatchMeansHalfWidth]])</f>
        <v>0.34715563137404881</v>
      </c>
    </row>
    <row r="253" spans="1:21" x14ac:dyDescent="0.25">
      <c r="A253" t="s">
        <v>67</v>
      </c>
      <c r="B253" t="s">
        <v>69</v>
      </c>
      <c r="C253">
        <v>14</v>
      </c>
      <c r="D253" t="s">
        <v>99</v>
      </c>
      <c r="E253" t="s">
        <v>130</v>
      </c>
      <c r="F253" t="s">
        <v>91</v>
      </c>
      <c r="G253">
        <v>1.6757251247898799</v>
      </c>
      <c r="H253">
        <v>2E+20</v>
      </c>
      <c r="I253">
        <v>0</v>
      </c>
      <c r="J253">
        <v>10</v>
      </c>
      <c r="K253">
        <v>10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17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0.64455717508326504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2.69061971266638</v>
      </c>
      <c r="U253" s="5">
        <f>IF((ContinuousStatsTable[[#This Row],[RepsRequested]]&gt;1),ContinuousStatsTable[[#This Row],[HalfWidth]],ContinuousStatsTable[[#This Row],[BatchMeansHalfWidth]])</f>
        <v>0.32696662226075207</v>
      </c>
    </row>
    <row r="254" spans="1:21" x14ac:dyDescent="0.25">
      <c r="A254" t="s">
        <v>67</v>
      </c>
      <c r="B254" t="s">
        <v>69</v>
      </c>
      <c r="C254">
        <v>14</v>
      </c>
      <c r="D254" t="s">
        <v>104</v>
      </c>
      <c r="E254" t="s">
        <v>130</v>
      </c>
      <c r="F254" t="s">
        <v>91</v>
      </c>
      <c r="G254">
        <v>0.47437915449588802</v>
      </c>
      <c r="H254">
        <v>2E+20</v>
      </c>
      <c r="I254">
        <v>0</v>
      </c>
      <c r="J254">
        <v>5</v>
      </c>
      <c r="K254">
        <v>0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17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0.20519043218243799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1.8050950008829001</v>
      </c>
      <c r="U254" s="5">
        <f>IF((ContinuousStatsTable[[#This Row],[RepsRequested]]&gt;1),ContinuousStatsTable[[#This Row],[HalfWidth]],ContinuousStatsTable[[#This Row],[BatchMeansHalfWidth]])</f>
        <v>0.22777269441319098</v>
      </c>
    </row>
    <row r="255" spans="1:21" x14ac:dyDescent="0.25">
      <c r="A255" t="s">
        <v>67</v>
      </c>
      <c r="B255" t="s">
        <v>69</v>
      </c>
      <c r="C255">
        <v>14</v>
      </c>
      <c r="D255" t="s">
        <v>132</v>
      </c>
      <c r="E255" t="s">
        <v>133</v>
      </c>
      <c r="F255" t="s">
        <v>80</v>
      </c>
      <c r="G255">
        <v>1.3753359675986601</v>
      </c>
      <c r="H255">
        <v>2E+20</v>
      </c>
      <c r="I255">
        <v>0</v>
      </c>
      <c r="J255">
        <v>3</v>
      </c>
      <c r="K255">
        <v>2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17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1.04395220385056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2.6910314688690198</v>
      </c>
      <c r="U255" s="5">
        <f>IF((ContinuousStatsTable[[#This Row],[RepsRequested]]&gt;1),ContinuousStatsTable[[#This Row],[HalfWidth]],ContinuousStatsTable[[#This Row],[BatchMeansHalfWidth]])</f>
        <v>0.19531820168707029</v>
      </c>
    </row>
    <row r="256" spans="1:21" x14ac:dyDescent="0.25">
      <c r="A256" t="s">
        <v>67</v>
      </c>
      <c r="B256" t="s">
        <v>69</v>
      </c>
      <c r="C256">
        <v>14</v>
      </c>
      <c r="D256" t="s">
        <v>134</v>
      </c>
      <c r="E256" t="s">
        <v>135</v>
      </c>
      <c r="F256" t="s">
        <v>136</v>
      </c>
      <c r="G256">
        <v>0.87240837809518301</v>
      </c>
      <c r="H256">
        <v>2E+20</v>
      </c>
      <c r="I256">
        <v>0</v>
      </c>
      <c r="J256">
        <v>1</v>
      </c>
      <c r="K256">
        <v>1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17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0.73534383204610498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0.95888680213271504</v>
      </c>
      <c r="U256" s="5">
        <f>IF((ContinuousStatsTable[[#This Row],[RepsRequested]]&gt;1),ContinuousStatsTable[[#This Row],[HalfWidth]],ContinuousStatsTable[[#This Row],[BatchMeansHalfWidth]])</f>
        <v>3.3674816741294945E-2</v>
      </c>
    </row>
    <row r="257" spans="1:21" x14ac:dyDescent="0.25">
      <c r="A257" t="s">
        <v>67</v>
      </c>
      <c r="B257" t="s">
        <v>69</v>
      </c>
      <c r="C257">
        <v>14</v>
      </c>
      <c r="D257" t="s">
        <v>134</v>
      </c>
      <c r="E257" t="s">
        <v>137</v>
      </c>
      <c r="F257" t="s">
        <v>136</v>
      </c>
      <c r="G257">
        <v>0.87240837809518301</v>
      </c>
      <c r="H257">
        <v>2E+20</v>
      </c>
      <c r="I257">
        <v>0</v>
      </c>
      <c r="J257">
        <v>1</v>
      </c>
      <c r="K257">
        <v>1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17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0.73534383204610498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0.95888680213271504</v>
      </c>
      <c r="U257" s="5">
        <f>IF((ContinuousStatsTable[[#This Row],[RepsRequested]]&gt;1),ContinuousStatsTable[[#This Row],[HalfWidth]],ContinuousStatsTable[[#This Row],[BatchMeansHalfWidth]])</f>
        <v>3.3674816741294945E-2</v>
      </c>
    </row>
    <row r="258" spans="1:21" x14ac:dyDescent="0.25">
      <c r="A258" t="s">
        <v>67</v>
      </c>
      <c r="B258" t="s">
        <v>69</v>
      </c>
      <c r="C258">
        <v>14</v>
      </c>
      <c r="D258" t="s">
        <v>134</v>
      </c>
      <c r="E258" t="s">
        <v>138</v>
      </c>
      <c r="F258" t="s">
        <v>136</v>
      </c>
      <c r="G258">
        <v>1</v>
      </c>
      <c r="H258">
        <v>2E+20</v>
      </c>
      <c r="I258">
        <v>1</v>
      </c>
      <c r="J258">
        <v>1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17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1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1</v>
      </c>
      <c r="U258" s="5">
        <f>IF((ContinuousStatsTable[[#This Row],[RepsRequested]]&gt;1),ContinuousStatsTable[[#This Row],[HalfWidth]],ContinuousStatsTable[[#This Row],[BatchMeansHalfWidth]])</f>
        <v>0</v>
      </c>
    </row>
    <row r="259" spans="1:21" x14ac:dyDescent="0.25">
      <c r="A259" t="s">
        <v>67</v>
      </c>
      <c r="B259" t="s">
        <v>69</v>
      </c>
      <c r="C259">
        <v>14</v>
      </c>
      <c r="D259" t="s">
        <v>139</v>
      </c>
      <c r="E259" t="s">
        <v>135</v>
      </c>
      <c r="F259" t="s">
        <v>136</v>
      </c>
      <c r="G259">
        <v>0.56997786792460803</v>
      </c>
      <c r="H259">
        <v>2E+20</v>
      </c>
      <c r="I259">
        <v>0</v>
      </c>
      <c r="J259">
        <v>1</v>
      </c>
      <c r="K259">
        <v>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17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0.52223972091576099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0.77852312806092006</v>
      </c>
      <c r="U259" s="5">
        <f>IF((ContinuousStatsTable[[#This Row],[RepsRequested]]&gt;1),ContinuousStatsTable[[#This Row],[HalfWidth]],ContinuousStatsTable[[#This Row],[BatchMeansHalfWidth]])</f>
        <v>3.4022068014651748E-2</v>
      </c>
    </row>
    <row r="260" spans="1:21" x14ac:dyDescent="0.25">
      <c r="A260" t="s">
        <v>67</v>
      </c>
      <c r="B260" t="s">
        <v>69</v>
      </c>
      <c r="C260">
        <v>14</v>
      </c>
      <c r="D260" t="s">
        <v>139</v>
      </c>
      <c r="E260" t="s">
        <v>137</v>
      </c>
      <c r="F260" t="s">
        <v>136</v>
      </c>
      <c r="G260">
        <v>0.56997786792460803</v>
      </c>
      <c r="H260">
        <v>2E+20</v>
      </c>
      <c r="I260">
        <v>0</v>
      </c>
      <c r="J260">
        <v>1</v>
      </c>
      <c r="K260">
        <v>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17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0.52223972091576099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0.77852312806092006</v>
      </c>
      <c r="U260" s="5">
        <f>IF((ContinuousStatsTable[[#This Row],[RepsRequested]]&gt;1),ContinuousStatsTable[[#This Row],[HalfWidth]],ContinuousStatsTable[[#This Row],[BatchMeansHalfWidth]])</f>
        <v>3.4022068014651748E-2</v>
      </c>
    </row>
    <row r="261" spans="1:21" x14ac:dyDescent="0.25">
      <c r="A261" t="s">
        <v>67</v>
      </c>
      <c r="B261" t="s">
        <v>69</v>
      </c>
      <c r="C261">
        <v>14</v>
      </c>
      <c r="D261" t="s">
        <v>139</v>
      </c>
      <c r="E261" t="s">
        <v>138</v>
      </c>
      <c r="F261" t="s">
        <v>136</v>
      </c>
      <c r="G261">
        <v>1</v>
      </c>
      <c r="H261">
        <v>2E+20</v>
      </c>
      <c r="I261">
        <v>1</v>
      </c>
      <c r="J261">
        <v>1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17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67</v>
      </c>
      <c r="B262" t="s">
        <v>69</v>
      </c>
      <c r="C262">
        <v>14</v>
      </c>
      <c r="D262" t="s">
        <v>140</v>
      </c>
      <c r="E262" t="s">
        <v>135</v>
      </c>
      <c r="F262" t="s">
        <v>136</v>
      </c>
      <c r="G262">
        <v>0.27506719351973202</v>
      </c>
      <c r="H262">
        <v>2E+20</v>
      </c>
      <c r="I262">
        <v>0</v>
      </c>
      <c r="J262">
        <v>0.6</v>
      </c>
      <c r="K262">
        <v>0.4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17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0.20879044077011299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0.53820629377380302</v>
      </c>
      <c r="U262" s="5">
        <f>IF((ContinuousStatsTable[[#This Row],[RepsRequested]]&gt;1),ContinuousStatsTable[[#This Row],[HalfWidth]],ContinuousStatsTable[[#This Row],[BatchMeansHalfWidth]])</f>
        <v>3.9063640337413962E-2</v>
      </c>
    </row>
    <row r="263" spans="1:21" x14ac:dyDescent="0.25">
      <c r="A263" t="s">
        <v>67</v>
      </c>
      <c r="B263" t="s">
        <v>69</v>
      </c>
      <c r="C263">
        <v>14</v>
      </c>
      <c r="D263" t="s">
        <v>140</v>
      </c>
      <c r="E263" t="s">
        <v>137</v>
      </c>
      <c r="F263" t="s">
        <v>136</v>
      </c>
      <c r="G263">
        <v>1.3753359675986601</v>
      </c>
      <c r="H263">
        <v>2E+20</v>
      </c>
      <c r="I263">
        <v>0</v>
      </c>
      <c r="J263">
        <v>3</v>
      </c>
      <c r="K263">
        <v>2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17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1.04395220385056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2.6910314688690198</v>
      </c>
      <c r="U263" s="5">
        <f>IF((ContinuousStatsTable[[#This Row],[RepsRequested]]&gt;1),ContinuousStatsTable[[#This Row],[HalfWidth]],ContinuousStatsTable[[#This Row],[BatchMeansHalfWidth]])</f>
        <v>0.19531820168707029</v>
      </c>
    </row>
    <row r="264" spans="1:21" x14ac:dyDescent="0.25">
      <c r="A264" t="s">
        <v>67</v>
      </c>
      <c r="B264" t="s">
        <v>69</v>
      </c>
      <c r="C264">
        <v>14</v>
      </c>
      <c r="D264" t="s">
        <v>140</v>
      </c>
      <c r="E264" t="s">
        <v>138</v>
      </c>
      <c r="F264" t="s">
        <v>136</v>
      </c>
      <c r="G264">
        <v>5</v>
      </c>
      <c r="H264">
        <v>2E+20</v>
      </c>
      <c r="I264">
        <v>5</v>
      </c>
      <c r="J264">
        <v>5</v>
      </c>
      <c r="K264">
        <v>5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17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5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5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5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25">
      <c r="A265" t="s">
        <v>67</v>
      </c>
      <c r="B265" t="s">
        <v>69</v>
      </c>
      <c r="C265">
        <v>14</v>
      </c>
      <c r="D265" t="s">
        <v>127</v>
      </c>
      <c r="E265" t="s">
        <v>129</v>
      </c>
      <c r="F265" t="s">
        <v>72</v>
      </c>
      <c r="G265">
        <v>0</v>
      </c>
      <c r="H265">
        <v>2E+20</v>
      </c>
      <c r="I265">
        <v>0</v>
      </c>
      <c r="J265">
        <v>1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17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67</v>
      </c>
      <c r="B266" t="s">
        <v>69</v>
      </c>
      <c r="C266">
        <v>14</v>
      </c>
      <c r="D266" t="s">
        <v>141</v>
      </c>
      <c r="E266" t="s">
        <v>142</v>
      </c>
      <c r="F266" t="s">
        <v>80</v>
      </c>
      <c r="G266">
        <v>5.0798635299412602</v>
      </c>
      <c r="H266">
        <v>2E+20</v>
      </c>
      <c r="I266">
        <v>1</v>
      </c>
      <c r="J266">
        <v>13</v>
      </c>
      <c r="K266">
        <v>13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17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3.84735462379287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7.9213485690690897</v>
      </c>
      <c r="U266" s="5">
        <f>IF((ContinuousStatsTable[[#This Row],[RepsRequested]]&gt;1),ContinuousStatsTable[[#This Row],[HalfWidth]],ContinuousStatsTable[[#This Row],[BatchMeansHalfWidth]])</f>
        <v>0.63683843534988338</v>
      </c>
    </row>
    <row r="267" spans="1:21" x14ac:dyDescent="0.25">
      <c r="A267" t="s">
        <v>67</v>
      </c>
      <c r="B267" t="s">
        <v>69</v>
      </c>
      <c r="C267">
        <v>14</v>
      </c>
      <c r="D267" t="s">
        <v>143</v>
      </c>
      <c r="E267" t="s">
        <v>142</v>
      </c>
      <c r="F267" t="s">
        <v>80</v>
      </c>
      <c r="G267">
        <v>3.6246640324013399</v>
      </c>
      <c r="H267">
        <v>2E+20</v>
      </c>
      <c r="I267">
        <v>2</v>
      </c>
      <c r="J267">
        <v>5</v>
      </c>
      <c r="K267">
        <v>3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17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2.3089685311309802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3.9560477961494298</v>
      </c>
      <c r="U267" s="5">
        <f>IF((ContinuousStatsTable[[#This Row],[RepsRequested]]&gt;1),ContinuousStatsTable[[#This Row],[HalfWidth]],ContinuousStatsTable[[#This Row],[BatchMeansHalfWidth]])</f>
        <v>0.19531820168707212</v>
      </c>
    </row>
    <row r="268" spans="1:21" x14ac:dyDescent="0.25">
      <c r="A268" t="s">
        <v>67</v>
      </c>
      <c r="B268" t="s">
        <v>69</v>
      </c>
      <c r="C268">
        <v>15</v>
      </c>
      <c r="D268" t="s">
        <v>70</v>
      </c>
      <c r="E268" t="s">
        <v>129</v>
      </c>
      <c r="F268" t="s">
        <v>72</v>
      </c>
      <c r="G268">
        <v>6.6352645257489202</v>
      </c>
      <c r="H268">
        <v>3E+20</v>
      </c>
      <c r="I268">
        <v>0</v>
      </c>
      <c r="J268">
        <v>14</v>
      </c>
      <c r="K268">
        <v>7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17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5.4544685782955797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9.9812364527489308</v>
      </c>
      <c r="U268" s="5">
        <f>IF((ContinuousStatsTable[[#This Row],[RepsRequested]]&gt;1),ContinuousStatsTable[[#This Row],[HalfWidth]],ContinuousStatsTable[[#This Row],[BatchMeansHalfWidth]])</f>
        <v>0.73494663100688618</v>
      </c>
    </row>
    <row r="269" spans="1:21" x14ac:dyDescent="0.25">
      <c r="A269" t="s">
        <v>67</v>
      </c>
      <c r="B269" t="s">
        <v>69</v>
      </c>
      <c r="C269">
        <v>15</v>
      </c>
      <c r="D269" t="s">
        <v>89</v>
      </c>
      <c r="E269" t="s">
        <v>130</v>
      </c>
      <c r="F269" t="s">
        <v>91</v>
      </c>
      <c r="G269">
        <v>0</v>
      </c>
      <c r="H269">
        <v>2E+20</v>
      </c>
      <c r="I269">
        <v>0</v>
      </c>
      <c r="J269">
        <v>0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17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</v>
      </c>
      <c r="U269" s="5">
        <f>IF((ContinuousStatsTable[[#This Row],[RepsRequested]]&gt;1),ContinuousStatsTable[[#This Row],[HalfWidth]],ContinuousStatsTable[[#This Row],[BatchMeansHalfWidth]])</f>
        <v>0</v>
      </c>
    </row>
    <row r="270" spans="1:21" x14ac:dyDescent="0.25">
      <c r="A270" t="s">
        <v>67</v>
      </c>
      <c r="B270" t="s">
        <v>69</v>
      </c>
      <c r="C270">
        <v>15</v>
      </c>
      <c r="D270" t="s">
        <v>92</v>
      </c>
      <c r="E270" t="s">
        <v>130</v>
      </c>
      <c r="F270" t="s">
        <v>91</v>
      </c>
      <c r="G270">
        <v>1.34026231754434</v>
      </c>
      <c r="H270">
        <v>2E+20</v>
      </c>
      <c r="I270">
        <v>0</v>
      </c>
      <c r="J270">
        <v>5</v>
      </c>
      <c r="K270">
        <v>1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17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1.1292470593949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2.9364889703726602</v>
      </c>
      <c r="U270" s="5">
        <f>IF((ContinuousStatsTable[[#This Row],[RepsRequested]]&gt;1),ContinuousStatsTable[[#This Row],[HalfWidth]],ContinuousStatsTable[[#This Row],[BatchMeansHalfWidth]])</f>
        <v>0.26472622632728454</v>
      </c>
    </row>
    <row r="271" spans="1:21" x14ac:dyDescent="0.25">
      <c r="A271" t="s">
        <v>67</v>
      </c>
      <c r="B271" t="s">
        <v>69</v>
      </c>
      <c r="C271">
        <v>15</v>
      </c>
      <c r="D271" t="s">
        <v>131</v>
      </c>
      <c r="E271" t="s">
        <v>129</v>
      </c>
      <c r="F271" t="s">
        <v>72</v>
      </c>
      <c r="G271">
        <v>3.2825478143241602</v>
      </c>
      <c r="H271">
        <v>2E+20</v>
      </c>
      <c r="I271">
        <v>0</v>
      </c>
      <c r="J271">
        <v>7</v>
      </c>
      <c r="K271">
        <v>3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17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2.7429685070299299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4.8837925841766499</v>
      </c>
      <c r="U271" s="5">
        <f>IF((ContinuousStatsTable[[#This Row],[RepsRequested]]&gt;1),ContinuousStatsTable[[#This Row],[HalfWidth]],ContinuousStatsTable[[#This Row],[BatchMeansHalfWidth]])</f>
        <v>0.34715563137404881</v>
      </c>
    </row>
    <row r="272" spans="1:21" x14ac:dyDescent="0.25">
      <c r="A272" t="s">
        <v>67</v>
      </c>
      <c r="B272" t="s">
        <v>69</v>
      </c>
      <c r="C272">
        <v>15</v>
      </c>
      <c r="D272" t="s">
        <v>99</v>
      </c>
      <c r="E272" t="s">
        <v>130</v>
      </c>
      <c r="F272" t="s">
        <v>91</v>
      </c>
      <c r="G272">
        <v>1.03048331530441</v>
      </c>
      <c r="H272">
        <v>2E+20</v>
      </c>
      <c r="I272">
        <v>0</v>
      </c>
      <c r="J272">
        <v>7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17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0.64455717508326504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2.69061971266638</v>
      </c>
      <c r="U272" s="5">
        <f>IF((ContinuousStatsTable[[#This Row],[RepsRequested]]&gt;1),ContinuousStatsTable[[#This Row],[HalfWidth]],ContinuousStatsTable[[#This Row],[BatchMeansHalfWidth]])</f>
        <v>0.32696662226075207</v>
      </c>
    </row>
    <row r="273" spans="1:21" x14ac:dyDescent="0.25">
      <c r="A273" t="s">
        <v>67</v>
      </c>
      <c r="B273" t="s">
        <v>69</v>
      </c>
      <c r="C273">
        <v>15</v>
      </c>
      <c r="D273" t="s">
        <v>104</v>
      </c>
      <c r="E273" t="s">
        <v>130</v>
      </c>
      <c r="F273" t="s">
        <v>91</v>
      </c>
      <c r="G273">
        <v>0.30370863431218198</v>
      </c>
      <c r="H273">
        <v>2E+20</v>
      </c>
      <c r="I273">
        <v>0</v>
      </c>
      <c r="J273">
        <v>2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17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0.20519043218243799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1.8050950008829001</v>
      </c>
      <c r="U273" s="5">
        <f>IF((ContinuousStatsTable[[#This Row],[RepsRequested]]&gt;1),ContinuousStatsTable[[#This Row],[HalfWidth]],ContinuousStatsTable[[#This Row],[BatchMeansHalfWidth]])</f>
        <v>0.22777269441319098</v>
      </c>
    </row>
    <row r="274" spans="1:21" x14ac:dyDescent="0.25">
      <c r="A274" t="s">
        <v>67</v>
      </c>
      <c r="B274" t="s">
        <v>69</v>
      </c>
      <c r="C274">
        <v>15</v>
      </c>
      <c r="D274" t="s">
        <v>132</v>
      </c>
      <c r="E274" t="s">
        <v>133</v>
      </c>
      <c r="F274" t="s">
        <v>80</v>
      </c>
      <c r="G274">
        <v>1.8338595708538901</v>
      </c>
      <c r="H274">
        <v>2E+20</v>
      </c>
      <c r="I274">
        <v>0</v>
      </c>
      <c r="J274">
        <v>5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17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1.04395220385056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2.6910314688690198</v>
      </c>
      <c r="U274" s="5">
        <f>IF((ContinuousStatsTable[[#This Row],[RepsRequested]]&gt;1),ContinuousStatsTable[[#This Row],[HalfWidth]],ContinuousStatsTable[[#This Row],[BatchMeansHalfWidth]])</f>
        <v>0.19531820168707029</v>
      </c>
    </row>
    <row r="275" spans="1:21" x14ac:dyDescent="0.25">
      <c r="A275" t="s">
        <v>67</v>
      </c>
      <c r="B275" t="s">
        <v>69</v>
      </c>
      <c r="C275">
        <v>15</v>
      </c>
      <c r="D275" t="s">
        <v>134</v>
      </c>
      <c r="E275" t="s">
        <v>135</v>
      </c>
      <c r="F275" t="s">
        <v>136</v>
      </c>
      <c r="G275">
        <v>0.80135619468820696</v>
      </c>
      <c r="H275">
        <v>2E+20</v>
      </c>
      <c r="I275">
        <v>0</v>
      </c>
      <c r="J275">
        <v>1</v>
      </c>
      <c r="K275">
        <v>1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17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0.73534383204610498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0.95888680213271504</v>
      </c>
      <c r="U275" s="5">
        <f>IF((ContinuousStatsTable[[#This Row],[RepsRequested]]&gt;1),ContinuousStatsTable[[#This Row],[HalfWidth]],ContinuousStatsTable[[#This Row],[BatchMeansHalfWidth]])</f>
        <v>3.3674816741294945E-2</v>
      </c>
    </row>
    <row r="276" spans="1:21" x14ac:dyDescent="0.25">
      <c r="A276" t="s">
        <v>67</v>
      </c>
      <c r="B276" t="s">
        <v>69</v>
      </c>
      <c r="C276">
        <v>15</v>
      </c>
      <c r="D276" t="s">
        <v>134</v>
      </c>
      <c r="E276" t="s">
        <v>137</v>
      </c>
      <c r="F276" t="s">
        <v>136</v>
      </c>
      <c r="G276">
        <v>0.80135619468820696</v>
      </c>
      <c r="H276">
        <v>2E+20</v>
      </c>
      <c r="I276">
        <v>0</v>
      </c>
      <c r="J276">
        <v>1</v>
      </c>
      <c r="K276">
        <v>1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17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0.73534383204610498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0.95888680213271504</v>
      </c>
      <c r="U276" s="5">
        <f>IF((ContinuousStatsTable[[#This Row],[RepsRequested]]&gt;1),ContinuousStatsTable[[#This Row],[HalfWidth]],ContinuousStatsTable[[#This Row],[BatchMeansHalfWidth]])</f>
        <v>3.3674816741294945E-2</v>
      </c>
    </row>
    <row r="277" spans="1:21" x14ac:dyDescent="0.25">
      <c r="A277" t="s">
        <v>67</v>
      </c>
      <c r="B277" t="s">
        <v>69</v>
      </c>
      <c r="C277">
        <v>15</v>
      </c>
      <c r="D277" t="s">
        <v>134</v>
      </c>
      <c r="E277" t="s">
        <v>138</v>
      </c>
      <c r="F277" t="s">
        <v>136</v>
      </c>
      <c r="G277">
        <v>1</v>
      </c>
      <c r="H277">
        <v>2E+20</v>
      </c>
      <c r="I277">
        <v>1</v>
      </c>
      <c r="J277">
        <v>1</v>
      </c>
      <c r="K277">
        <v>1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17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1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1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1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25">
      <c r="A278" t="s">
        <v>67</v>
      </c>
      <c r="B278" t="s">
        <v>69</v>
      </c>
      <c r="C278">
        <v>15</v>
      </c>
      <c r="D278" t="s">
        <v>139</v>
      </c>
      <c r="E278" t="s">
        <v>135</v>
      </c>
      <c r="F278" t="s">
        <v>136</v>
      </c>
      <c r="G278">
        <v>0.63588612862522698</v>
      </c>
      <c r="H278">
        <v>2E+20</v>
      </c>
      <c r="I278">
        <v>0</v>
      </c>
      <c r="J278">
        <v>1</v>
      </c>
      <c r="K278">
        <v>1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17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0.52223972091576099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0.77852312806092006</v>
      </c>
      <c r="U278" s="5">
        <f>IF((ContinuousStatsTable[[#This Row],[RepsRequested]]&gt;1),ContinuousStatsTable[[#This Row],[HalfWidth]],ContinuousStatsTable[[#This Row],[BatchMeansHalfWidth]])</f>
        <v>3.4022068014651748E-2</v>
      </c>
    </row>
    <row r="279" spans="1:21" x14ac:dyDescent="0.25">
      <c r="A279" t="s">
        <v>67</v>
      </c>
      <c r="B279" t="s">
        <v>69</v>
      </c>
      <c r="C279">
        <v>15</v>
      </c>
      <c r="D279" t="s">
        <v>139</v>
      </c>
      <c r="E279" t="s">
        <v>137</v>
      </c>
      <c r="F279" t="s">
        <v>136</v>
      </c>
      <c r="G279">
        <v>0.63588612862522698</v>
      </c>
      <c r="H279">
        <v>2E+20</v>
      </c>
      <c r="I279">
        <v>0</v>
      </c>
      <c r="J279">
        <v>1</v>
      </c>
      <c r="K279">
        <v>1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17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0.52223972091576099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0.77852312806092006</v>
      </c>
      <c r="U279" s="5">
        <f>IF((ContinuousStatsTable[[#This Row],[RepsRequested]]&gt;1),ContinuousStatsTable[[#This Row],[HalfWidth]],ContinuousStatsTable[[#This Row],[BatchMeansHalfWidth]])</f>
        <v>3.4022068014651748E-2</v>
      </c>
    </row>
    <row r="280" spans="1:21" x14ac:dyDescent="0.25">
      <c r="A280" t="s">
        <v>67</v>
      </c>
      <c r="B280" t="s">
        <v>69</v>
      </c>
      <c r="C280">
        <v>15</v>
      </c>
      <c r="D280" t="s">
        <v>139</v>
      </c>
      <c r="E280" t="s">
        <v>138</v>
      </c>
      <c r="F280" t="s">
        <v>136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17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67</v>
      </c>
      <c r="B281" t="s">
        <v>69</v>
      </c>
      <c r="C281">
        <v>15</v>
      </c>
      <c r="D281" t="s">
        <v>140</v>
      </c>
      <c r="E281" t="s">
        <v>135</v>
      </c>
      <c r="F281" t="s">
        <v>136</v>
      </c>
      <c r="G281">
        <v>0.36677191417077798</v>
      </c>
      <c r="H281">
        <v>2E+20</v>
      </c>
      <c r="I281">
        <v>0</v>
      </c>
      <c r="J281">
        <v>1</v>
      </c>
      <c r="K281">
        <v>0.4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17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0.20879044077011299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0.53820629377380302</v>
      </c>
      <c r="U281" s="5">
        <f>IF((ContinuousStatsTable[[#This Row],[RepsRequested]]&gt;1),ContinuousStatsTable[[#This Row],[HalfWidth]],ContinuousStatsTable[[#This Row],[BatchMeansHalfWidth]])</f>
        <v>3.9063640337413962E-2</v>
      </c>
    </row>
    <row r="282" spans="1:21" x14ac:dyDescent="0.25">
      <c r="A282" t="s">
        <v>67</v>
      </c>
      <c r="B282" t="s">
        <v>69</v>
      </c>
      <c r="C282">
        <v>15</v>
      </c>
      <c r="D282" t="s">
        <v>140</v>
      </c>
      <c r="E282" t="s">
        <v>137</v>
      </c>
      <c r="F282" t="s">
        <v>136</v>
      </c>
      <c r="G282">
        <v>1.8338595708538901</v>
      </c>
      <c r="H282">
        <v>2E+20</v>
      </c>
      <c r="I282">
        <v>0</v>
      </c>
      <c r="J282">
        <v>5</v>
      </c>
      <c r="K282">
        <v>2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17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1.04395220385056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2.6910314688690198</v>
      </c>
      <c r="U282" s="5">
        <f>IF((ContinuousStatsTable[[#This Row],[RepsRequested]]&gt;1),ContinuousStatsTable[[#This Row],[HalfWidth]],ContinuousStatsTable[[#This Row],[BatchMeansHalfWidth]])</f>
        <v>0.19531820168707029</v>
      </c>
    </row>
    <row r="283" spans="1:21" x14ac:dyDescent="0.25">
      <c r="A283" t="s">
        <v>67</v>
      </c>
      <c r="B283" t="s">
        <v>69</v>
      </c>
      <c r="C283">
        <v>15</v>
      </c>
      <c r="D283" t="s">
        <v>140</v>
      </c>
      <c r="E283" t="s">
        <v>138</v>
      </c>
      <c r="F283" t="s">
        <v>136</v>
      </c>
      <c r="G283">
        <v>5</v>
      </c>
      <c r="H283">
        <v>2E+20</v>
      </c>
      <c r="I283">
        <v>5</v>
      </c>
      <c r="J283">
        <v>5</v>
      </c>
      <c r="K283">
        <v>5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17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5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5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5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67</v>
      </c>
      <c r="B284" t="s">
        <v>69</v>
      </c>
      <c r="C284">
        <v>15</v>
      </c>
      <c r="D284" t="s">
        <v>127</v>
      </c>
      <c r="E284" t="s">
        <v>129</v>
      </c>
      <c r="F284" t="s">
        <v>72</v>
      </c>
      <c r="G284">
        <v>0</v>
      </c>
      <c r="H284">
        <v>2E+20</v>
      </c>
      <c r="I284">
        <v>0</v>
      </c>
      <c r="J284">
        <v>1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17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</v>
      </c>
      <c r="U284" s="5">
        <f>IF((ContinuousStatsTable[[#This Row],[RepsRequested]]&gt;1),ContinuousStatsTable[[#This Row],[HalfWidth]],ContinuousStatsTable[[#This Row],[BatchMeansHalfWidth]])</f>
        <v>0</v>
      </c>
    </row>
    <row r="285" spans="1:21" x14ac:dyDescent="0.25">
      <c r="A285" t="s">
        <v>67</v>
      </c>
      <c r="B285" t="s">
        <v>69</v>
      </c>
      <c r="C285">
        <v>15</v>
      </c>
      <c r="D285" t="s">
        <v>141</v>
      </c>
      <c r="E285" t="s">
        <v>142</v>
      </c>
      <c r="F285" t="s">
        <v>80</v>
      </c>
      <c r="G285">
        <v>4.7249234734135497</v>
      </c>
      <c r="H285">
        <v>2E+20</v>
      </c>
      <c r="I285">
        <v>0</v>
      </c>
      <c r="J285">
        <v>10</v>
      </c>
      <c r="K285">
        <v>5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17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3.84735462379287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7.9213485690690897</v>
      </c>
      <c r="U285" s="5">
        <f>IF((ContinuousStatsTable[[#This Row],[RepsRequested]]&gt;1),ContinuousStatsTable[[#This Row],[HalfWidth]],ContinuousStatsTable[[#This Row],[BatchMeansHalfWidth]])</f>
        <v>0.63683843534988338</v>
      </c>
    </row>
    <row r="286" spans="1:21" x14ac:dyDescent="0.25">
      <c r="A286" t="s">
        <v>67</v>
      </c>
      <c r="B286" t="s">
        <v>69</v>
      </c>
      <c r="C286">
        <v>15</v>
      </c>
      <c r="D286" t="s">
        <v>143</v>
      </c>
      <c r="E286" t="s">
        <v>142</v>
      </c>
      <c r="F286" t="s">
        <v>80</v>
      </c>
      <c r="G286">
        <v>3.1661404291461102</v>
      </c>
      <c r="H286">
        <v>2E+20</v>
      </c>
      <c r="I286">
        <v>0</v>
      </c>
      <c r="J286">
        <v>5</v>
      </c>
      <c r="K286">
        <v>3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17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2.3089685311309802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3.9560477961494298</v>
      </c>
      <c r="U286" s="5">
        <f>IF((ContinuousStatsTable[[#This Row],[RepsRequested]]&gt;1),ContinuousStatsTable[[#This Row],[HalfWidth]],ContinuousStatsTable[[#This Row],[BatchMeansHalfWidth]])</f>
        <v>0.19531820168707212</v>
      </c>
    </row>
    <row r="287" spans="1:21" x14ac:dyDescent="0.25">
      <c r="A287" t="s">
        <v>67</v>
      </c>
      <c r="B287" t="s">
        <v>69</v>
      </c>
      <c r="C287">
        <v>16</v>
      </c>
      <c r="D287" t="s">
        <v>70</v>
      </c>
      <c r="E287" t="s">
        <v>129</v>
      </c>
      <c r="F287" t="s">
        <v>72</v>
      </c>
      <c r="G287">
        <v>5.5828886054770601</v>
      </c>
      <c r="H287">
        <v>1.0815951110111499</v>
      </c>
      <c r="I287">
        <v>1</v>
      </c>
      <c r="J287">
        <v>16</v>
      </c>
      <c r="K287">
        <v>5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17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5.4544685782955797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9.9812364527489308</v>
      </c>
      <c r="U287" s="5">
        <f>IF((ContinuousStatsTable[[#This Row],[RepsRequested]]&gt;1),ContinuousStatsTable[[#This Row],[HalfWidth]],ContinuousStatsTable[[#This Row],[BatchMeansHalfWidth]])</f>
        <v>0.73494663100688618</v>
      </c>
    </row>
    <row r="288" spans="1:21" x14ac:dyDescent="0.25">
      <c r="A288" t="s">
        <v>67</v>
      </c>
      <c r="B288" t="s">
        <v>69</v>
      </c>
      <c r="C288">
        <v>16</v>
      </c>
      <c r="D288" t="s">
        <v>89</v>
      </c>
      <c r="E288" t="s">
        <v>130</v>
      </c>
      <c r="F288" t="s">
        <v>91</v>
      </c>
      <c r="G288">
        <v>0</v>
      </c>
      <c r="H288">
        <v>2E+20</v>
      </c>
      <c r="I288">
        <v>0</v>
      </c>
      <c r="J288">
        <v>0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17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25">
      <c r="A289" t="s">
        <v>67</v>
      </c>
      <c r="B289" t="s">
        <v>69</v>
      </c>
      <c r="C289">
        <v>16</v>
      </c>
      <c r="D289" t="s">
        <v>92</v>
      </c>
      <c r="E289" t="s">
        <v>130</v>
      </c>
      <c r="F289" t="s">
        <v>91</v>
      </c>
      <c r="G289">
        <v>1.16381654603208</v>
      </c>
      <c r="H289">
        <v>2E+20</v>
      </c>
      <c r="I289">
        <v>0</v>
      </c>
      <c r="J289">
        <v>7</v>
      </c>
      <c r="K289">
        <v>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17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1.1292470593949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2.9364889703726602</v>
      </c>
      <c r="U289" s="5">
        <f>IF((ContinuousStatsTable[[#This Row],[RepsRequested]]&gt;1),ContinuousStatsTable[[#This Row],[HalfWidth]],ContinuousStatsTable[[#This Row],[BatchMeansHalfWidth]])</f>
        <v>0.26472622632728454</v>
      </c>
    </row>
    <row r="290" spans="1:21" x14ac:dyDescent="0.25">
      <c r="A290" t="s">
        <v>67</v>
      </c>
      <c r="B290" t="s">
        <v>69</v>
      </c>
      <c r="C290">
        <v>16</v>
      </c>
      <c r="D290" t="s">
        <v>131</v>
      </c>
      <c r="E290" t="s">
        <v>129</v>
      </c>
      <c r="F290" t="s">
        <v>72</v>
      </c>
      <c r="G290">
        <v>2.7429685070299299</v>
      </c>
      <c r="H290">
        <v>2E+20</v>
      </c>
      <c r="I290">
        <v>0</v>
      </c>
      <c r="J290">
        <v>8</v>
      </c>
      <c r="K290">
        <v>3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17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2.7429685070299299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4.8837925841766499</v>
      </c>
      <c r="U290" s="5">
        <f>IF((ContinuousStatsTable[[#This Row],[RepsRequested]]&gt;1),ContinuousStatsTable[[#This Row],[HalfWidth]],ContinuousStatsTable[[#This Row],[BatchMeansHalfWidth]])</f>
        <v>0.34715563137404881</v>
      </c>
    </row>
    <row r="291" spans="1:21" x14ac:dyDescent="0.25">
      <c r="A291" t="s">
        <v>67</v>
      </c>
      <c r="B291" t="s">
        <v>69</v>
      </c>
      <c r="C291">
        <v>16</v>
      </c>
      <c r="D291" t="s">
        <v>99</v>
      </c>
      <c r="E291" t="s">
        <v>130</v>
      </c>
      <c r="F291" t="s">
        <v>91</v>
      </c>
      <c r="G291">
        <v>0.91431605712180797</v>
      </c>
      <c r="H291">
        <v>2E+20</v>
      </c>
      <c r="I291">
        <v>0</v>
      </c>
      <c r="J291">
        <v>6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17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0.64455717508326504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2.69061971266638</v>
      </c>
      <c r="U291" s="5">
        <f>IF((ContinuousStatsTable[[#This Row],[RepsRequested]]&gt;1),ContinuousStatsTable[[#This Row],[HalfWidth]],ContinuousStatsTable[[#This Row],[BatchMeansHalfWidth]])</f>
        <v>0.32696662226075207</v>
      </c>
    </row>
    <row r="292" spans="1:21" x14ac:dyDescent="0.25">
      <c r="A292" t="s">
        <v>67</v>
      </c>
      <c r="B292" t="s">
        <v>69</v>
      </c>
      <c r="C292">
        <v>16</v>
      </c>
      <c r="D292" t="s">
        <v>104</v>
      </c>
      <c r="E292" t="s">
        <v>130</v>
      </c>
      <c r="F292" t="s">
        <v>91</v>
      </c>
      <c r="G292">
        <v>0.270918338421898</v>
      </c>
      <c r="H292">
        <v>2E+20</v>
      </c>
      <c r="I292">
        <v>0</v>
      </c>
      <c r="J292">
        <v>4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17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0.20519043218243799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1.8050950008829001</v>
      </c>
      <c r="U292" s="5">
        <f>IF((ContinuousStatsTable[[#This Row],[RepsRequested]]&gt;1),ContinuousStatsTable[[#This Row],[HalfWidth]],ContinuousStatsTable[[#This Row],[BatchMeansHalfWidth]])</f>
        <v>0.22777269441319098</v>
      </c>
    </row>
    <row r="293" spans="1:21" x14ac:dyDescent="0.25">
      <c r="A293" t="s">
        <v>67</v>
      </c>
      <c r="B293" t="s">
        <v>69</v>
      </c>
      <c r="C293">
        <v>16</v>
      </c>
      <c r="D293" t="s">
        <v>132</v>
      </c>
      <c r="E293" t="s">
        <v>133</v>
      </c>
      <c r="F293" t="s">
        <v>80</v>
      </c>
      <c r="G293">
        <v>1.47748529433118</v>
      </c>
      <c r="H293">
        <v>2E+20</v>
      </c>
      <c r="I293">
        <v>0</v>
      </c>
      <c r="J293">
        <v>4</v>
      </c>
      <c r="K293">
        <v>2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17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1.04395220385056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2.6910314688690198</v>
      </c>
      <c r="U293" s="5">
        <f>IF((ContinuousStatsTable[[#This Row],[RepsRequested]]&gt;1),ContinuousStatsTable[[#This Row],[HalfWidth]],ContinuousStatsTable[[#This Row],[BatchMeansHalfWidth]])</f>
        <v>0.19531820168707029</v>
      </c>
    </row>
    <row r="294" spans="1:21" x14ac:dyDescent="0.25">
      <c r="A294" t="s">
        <v>67</v>
      </c>
      <c r="B294" t="s">
        <v>69</v>
      </c>
      <c r="C294">
        <v>16</v>
      </c>
      <c r="D294" t="s">
        <v>134</v>
      </c>
      <c r="E294" t="s">
        <v>135</v>
      </c>
      <c r="F294" t="s">
        <v>136</v>
      </c>
      <c r="G294">
        <v>0.73766612257745801</v>
      </c>
      <c r="H294">
        <v>2E+20</v>
      </c>
      <c r="I294">
        <v>0</v>
      </c>
      <c r="J294">
        <v>1</v>
      </c>
      <c r="K294">
        <v>0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17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0.73534383204610498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0.95888680213271504</v>
      </c>
      <c r="U294" s="5">
        <f>IF((ContinuousStatsTable[[#This Row],[RepsRequested]]&gt;1),ContinuousStatsTable[[#This Row],[HalfWidth]],ContinuousStatsTable[[#This Row],[BatchMeansHalfWidth]])</f>
        <v>3.3674816741294945E-2</v>
      </c>
    </row>
    <row r="295" spans="1:21" x14ac:dyDescent="0.25">
      <c r="A295" t="s">
        <v>67</v>
      </c>
      <c r="B295" t="s">
        <v>69</v>
      </c>
      <c r="C295">
        <v>16</v>
      </c>
      <c r="D295" t="s">
        <v>134</v>
      </c>
      <c r="E295" t="s">
        <v>137</v>
      </c>
      <c r="F295" t="s">
        <v>136</v>
      </c>
      <c r="G295">
        <v>0.73766612257745801</v>
      </c>
      <c r="H295">
        <v>2E+20</v>
      </c>
      <c r="I295">
        <v>0</v>
      </c>
      <c r="J295">
        <v>1</v>
      </c>
      <c r="K295">
        <v>0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17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0.73534383204610498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0.95888680213271504</v>
      </c>
      <c r="U295" s="5">
        <f>IF((ContinuousStatsTable[[#This Row],[RepsRequested]]&gt;1),ContinuousStatsTable[[#This Row],[HalfWidth]],ContinuousStatsTable[[#This Row],[BatchMeansHalfWidth]])</f>
        <v>3.3674816741294945E-2</v>
      </c>
    </row>
    <row r="296" spans="1:21" x14ac:dyDescent="0.25">
      <c r="A296" t="s">
        <v>67</v>
      </c>
      <c r="B296" t="s">
        <v>69</v>
      </c>
      <c r="C296">
        <v>16</v>
      </c>
      <c r="D296" t="s">
        <v>134</v>
      </c>
      <c r="E296" t="s">
        <v>138</v>
      </c>
      <c r="F296" t="s">
        <v>136</v>
      </c>
      <c r="G296">
        <v>1</v>
      </c>
      <c r="H296">
        <v>2E+20</v>
      </c>
      <c r="I296">
        <v>1</v>
      </c>
      <c r="J296">
        <v>1</v>
      </c>
      <c r="K296">
        <v>1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17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1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1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1</v>
      </c>
      <c r="U296" s="5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67</v>
      </c>
      <c r="B297" t="s">
        <v>69</v>
      </c>
      <c r="C297">
        <v>16</v>
      </c>
      <c r="D297" t="s">
        <v>139</v>
      </c>
      <c r="E297" t="s">
        <v>135</v>
      </c>
      <c r="F297" t="s">
        <v>136</v>
      </c>
      <c r="G297">
        <v>0.52223972091576099</v>
      </c>
      <c r="H297">
        <v>2E+20</v>
      </c>
      <c r="I297">
        <v>0</v>
      </c>
      <c r="J297">
        <v>1</v>
      </c>
      <c r="K297">
        <v>1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17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0.52223972091576099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0.77852312806092006</v>
      </c>
      <c r="U297" s="5">
        <f>IF((ContinuousStatsTable[[#This Row],[RepsRequested]]&gt;1),ContinuousStatsTable[[#This Row],[HalfWidth]],ContinuousStatsTable[[#This Row],[BatchMeansHalfWidth]])</f>
        <v>3.4022068014651748E-2</v>
      </c>
    </row>
    <row r="298" spans="1:21" x14ac:dyDescent="0.25">
      <c r="A298" t="s">
        <v>67</v>
      </c>
      <c r="B298" t="s">
        <v>69</v>
      </c>
      <c r="C298">
        <v>16</v>
      </c>
      <c r="D298" t="s">
        <v>139</v>
      </c>
      <c r="E298" t="s">
        <v>137</v>
      </c>
      <c r="F298" t="s">
        <v>136</v>
      </c>
      <c r="G298">
        <v>0.52223972091576099</v>
      </c>
      <c r="H298">
        <v>2E+20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17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0.52223972091576099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0.77852312806092006</v>
      </c>
      <c r="U298" s="5">
        <f>IF((ContinuousStatsTable[[#This Row],[RepsRequested]]&gt;1),ContinuousStatsTable[[#This Row],[HalfWidth]],ContinuousStatsTable[[#This Row],[BatchMeansHalfWidth]])</f>
        <v>3.4022068014651748E-2</v>
      </c>
    </row>
    <row r="299" spans="1:21" x14ac:dyDescent="0.25">
      <c r="A299" t="s">
        <v>67</v>
      </c>
      <c r="B299" t="s">
        <v>69</v>
      </c>
      <c r="C299">
        <v>16</v>
      </c>
      <c r="D299" t="s">
        <v>139</v>
      </c>
      <c r="E299" t="s">
        <v>138</v>
      </c>
      <c r="F299" t="s">
        <v>136</v>
      </c>
      <c r="G299">
        <v>1</v>
      </c>
      <c r="H299">
        <v>2E+20</v>
      </c>
      <c r="I299">
        <v>1</v>
      </c>
      <c r="J299">
        <v>1</v>
      </c>
      <c r="K299">
        <v>1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17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25">
      <c r="A300" t="s">
        <v>67</v>
      </c>
      <c r="B300" t="s">
        <v>69</v>
      </c>
      <c r="C300">
        <v>16</v>
      </c>
      <c r="D300" t="s">
        <v>140</v>
      </c>
      <c r="E300" t="s">
        <v>135</v>
      </c>
      <c r="F300" t="s">
        <v>136</v>
      </c>
      <c r="G300">
        <v>0.29549705886623601</v>
      </c>
      <c r="H300">
        <v>2E+20</v>
      </c>
      <c r="I300">
        <v>0</v>
      </c>
      <c r="J300">
        <v>0.8</v>
      </c>
      <c r="K300">
        <v>0.4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17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0.20879044077011299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0.53820629377380302</v>
      </c>
      <c r="U300" s="5">
        <f>IF((ContinuousStatsTable[[#This Row],[RepsRequested]]&gt;1),ContinuousStatsTable[[#This Row],[HalfWidth]],ContinuousStatsTable[[#This Row],[BatchMeansHalfWidth]])</f>
        <v>3.9063640337413962E-2</v>
      </c>
    </row>
    <row r="301" spans="1:21" x14ac:dyDescent="0.25">
      <c r="A301" t="s">
        <v>67</v>
      </c>
      <c r="B301" t="s">
        <v>69</v>
      </c>
      <c r="C301">
        <v>16</v>
      </c>
      <c r="D301" t="s">
        <v>140</v>
      </c>
      <c r="E301" t="s">
        <v>137</v>
      </c>
      <c r="F301" t="s">
        <v>136</v>
      </c>
      <c r="G301">
        <v>1.47748529433118</v>
      </c>
      <c r="H301">
        <v>2E+20</v>
      </c>
      <c r="I301">
        <v>0</v>
      </c>
      <c r="J301">
        <v>4</v>
      </c>
      <c r="K301">
        <v>2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17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1.04395220385056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2.6910314688690198</v>
      </c>
      <c r="U301" s="5">
        <f>IF((ContinuousStatsTable[[#This Row],[RepsRequested]]&gt;1),ContinuousStatsTable[[#This Row],[HalfWidth]],ContinuousStatsTable[[#This Row],[BatchMeansHalfWidth]])</f>
        <v>0.19531820168707029</v>
      </c>
    </row>
    <row r="302" spans="1:21" x14ac:dyDescent="0.25">
      <c r="A302" t="s">
        <v>67</v>
      </c>
      <c r="B302" t="s">
        <v>69</v>
      </c>
      <c r="C302">
        <v>16</v>
      </c>
      <c r="D302" t="s">
        <v>140</v>
      </c>
      <c r="E302" t="s">
        <v>138</v>
      </c>
      <c r="F302" t="s">
        <v>136</v>
      </c>
      <c r="G302">
        <v>5</v>
      </c>
      <c r="H302">
        <v>2E+20</v>
      </c>
      <c r="I302">
        <v>5</v>
      </c>
      <c r="J302">
        <v>5</v>
      </c>
      <c r="K302">
        <v>5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17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5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5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5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25">
      <c r="A303" t="s">
        <v>67</v>
      </c>
      <c r="B303" t="s">
        <v>69</v>
      </c>
      <c r="C303">
        <v>16</v>
      </c>
      <c r="D303" t="s">
        <v>127</v>
      </c>
      <c r="E303" t="s">
        <v>129</v>
      </c>
      <c r="F303" t="s">
        <v>72</v>
      </c>
      <c r="G303">
        <v>0</v>
      </c>
      <c r="H303">
        <v>2E+20</v>
      </c>
      <c r="I303">
        <v>0</v>
      </c>
      <c r="J303">
        <v>1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17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</v>
      </c>
      <c r="U303" s="5">
        <f>IF((ContinuousStatsTable[[#This Row],[RepsRequested]]&gt;1),ContinuousStatsTable[[#This Row],[HalfWidth]],ContinuousStatsTable[[#This Row],[BatchMeansHalfWidth]])</f>
        <v>0</v>
      </c>
    </row>
    <row r="304" spans="1:21" x14ac:dyDescent="0.25">
      <c r="A304" t="s">
        <v>67</v>
      </c>
      <c r="B304" t="s">
        <v>69</v>
      </c>
      <c r="C304">
        <v>16</v>
      </c>
      <c r="D304" t="s">
        <v>141</v>
      </c>
      <c r="E304" t="s">
        <v>142</v>
      </c>
      <c r="F304" t="s">
        <v>80</v>
      </c>
      <c r="G304">
        <v>4.0342922000347698</v>
      </c>
      <c r="H304">
        <v>2E+20</v>
      </c>
      <c r="I304">
        <v>1</v>
      </c>
      <c r="J304">
        <v>12</v>
      </c>
      <c r="K304">
        <v>3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17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3.84735462379287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7.9213485690690897</v>
      </c>
      <c r="U304" s="5">
        <f>IF((ContinuousStatsTable[[#This Row],[RepsRequested]]&gt;1),ContinuousStatsTable[[#This Row],[HalfWidth]],ContinuousStatsTable[[#This Row],[BatchMeansHalfWidth]])</f>
        <v>0.63683843534988338</v>
      </c>
    </row>
    <row r="305" spans="1:21" x14ac:dyDescent="0.25">
      <c r="A305" t="s">
        <v>67</v>
      </c>
      <c r="B305" t="s">
        <v>69</v>
      </c>
      <c r="C305">
        <v>16</v>
      </c>
      <c r="D305" t="s">
        <v>143</v>
      </c>
      <c r="E305" t="s">
        <v>142</v>
      </c>
      <c r="F305" t="s">
        <v>80</v>
      </c>
      <c r="G305">
        <v>3.52251470566882</v>
      </c>
      <c r="H305">
        <v>2E+20</v>
      </c>
      <c r="I305">
        <v>1</v>
      </c>
      <c r="J305">
        <v>5</v>
      </c>
      <c r="K305">
        <v>3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17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2.3089685311309802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3.9560477961494298</v>
      </c>
      <c r="U305" s="5">
        <f>IF((ContinuousStatsTable[[#This Row],[RepsRequested]]&gt;1),ContinuousStatsTable[[#This Row],[HalfWidth]],ContinuousStatsTable[[#This Row],[BatchMeansHalfWidth]])</f>
        <v>0.19531820168707212</v>
      </c>
    </row>
    <row r="306" spans="1:21" x14ac:dyDescent="0.25">
      <c r="A306" t="s">
        <v>67</v>
      </c>
      <c r="B306" t="s">
        <v>69</v>
      </c>
      <c r="C306">
        <v>17</v>
      </c>
      <c r="D306" t="s">
        <v>70</v>
      </c>
      <c r="E306" t="s">
        <v>129</v>
      </c>
      <c r="F306" t="s">
        <v>72</v>
      </c>
      <c r="G306">
        <v>9.6592201956180492</v>
      </c>
      <c r="H306">
        <v>3E+20</v>
      </c>
      <c r="I306">
        <v>2</v>
      </c>
      <c r="J306">
        <v>25</v>
      </c>
      <c r="K306">
        <v>24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Weekend (base)ClienteWIPEntity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17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7.346753247378274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1.4294329987034813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0.73494663100688618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5.4544685782955797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9.9812364527489308</v>
      </c>
      <c r="U306" s="5">
        <f>IF((ContinuousStatsTable[[#This Row],[RepsRequested]]&gt;1),ContinuousStatsTable[[#This Row],[HalfWidth]],ContinuousStatsTable[[#This Row],[BatchMeansHalfWidth]])</f>
        <v>0.73494663100688618</v>
      </c>
    </row>
    <row r="307" spans="1:21" x14ac:dyDescent="0.25">
      <c r="A307" t="s">
        <v>67</v>
      </c>
      <c r="B307" t="s">
        <v>69</v>
      </c>
      <c r="C307">
        <v>17</v>
      </c>
      <c r="D307" t="s">
        <v>89</v>
      </c>
      <c r="E307" t="s">
        <v>130</v>
      </c>
      <c r="F307" t="s">
        <v>91</v>
      </c>
      <c r="G307">
        <v>0</v>
      </c>
      <c r="H307">
        <v>2E+20</v>
      </c>
      <c r="I307">
        <v>0</v>
      </c>
      <c r="J307">
        <v>0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Weekend (base)Comer en Mesa.QueueNumber WaitingQueue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17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</v>
      </c>
      <c r="U307" s="5">
        <f>IF((ContinuousStatsTable[[#This Row],[RepsRequested]]&gt;1),ContinuousStatsTable[[#This Row],[HalfWidth]],ContinuousStatsTable[[#This Row],[BatchMeansHalfWidth]])</f>
        <v>0</v>
      </c>
    </row>
    <row r="308" spans="1:21" x14ac:dyDescent="0.25">
      <c r="A308" t="s">
        <v>67</v>
      </c>
      <c r="B308" t="s">
        <v>69</v>
      </c>
      <c r="C308">
        <v>17</v>
      </c>
      <c r="D308" t="s">
        <v>92</v>
      </c>
      <c r="E308" t="s">
        <v>130</v>
      </c>
      <c r="F308" t="s">
        <v>91</v>
      </c>
      <c r="G308">
        <v>2.3979001063910101</v>
      </c>
      <c r="H308">
        <v>2E+20</v>
      </c>
      <c r="I308">
        <v>0</v>
      </c>
      <c r="J308">
        <v>11</v>
      </c>
      <c r="K308">
        <v>6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Weekend (base)Entrega pedido.QueueNumber WaitingQueue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17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1.7749337514586665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0.5148787511496481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0.26472622632728454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1.1292470593949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2.9364889703726602</v>
      </c>
      <c r="U308" s="5">
        <f>IF((ContinuousStatsTable[[#This Row],[RepsRequested]]&gt;1),ContinuousStatsTable[[#This Row],[HalfWidth]],ContinuousStatsTable[[#This Row],[BatchMeansHalfWidth]])</f>
        <v>0.26472622632728454</v>
      </c>
    </row>
    <row r="309" spans="1:21" x14ac:dyDescent="0.25">
      <c r="A309" t="s">
        <v>67</v>
      </c>
      <c r="B309" t="s">
        <v>69</v>
      </c>
      <c r="C309">
        <v>17</v>
      </c>
      <c r="D309" t="s">
        <v>131</v>
      </c>
      <c r="E309" t="s">
        <v>129</v>
      </c>
      <c r="F309" t="s">
        <v>72</v>
      </c>
      <c r="G309">
        <v>4.5437075551122001</v>
      </c>
      <c r="H309">
        <v>2E+20</v>
      </c>
      <c r="I309">
        <v>1</v>
      </c>
      <c r="J309">
        <v>11</v>
      </c>
      <c r="K309">
        <v>9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Weekend (base)OrdenWIPEntity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17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3.6023633426613157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0.67519965972489415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0.34715563137404881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2.7429685070299299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4.8837925841766499</v>
      </c>
      <c r="U309" s="5">
        <f>IF((ContinuousStatsTable[[#This Row],[RepsRequested]]&gt;1),ContinuousStatsTable[[#This Row],[HalfWidth]],ContinuousStatsTable[[#This Row],[BatchMeansHalfWidth]])</f>
        <v>0.34715563137404881</v>
      </c>
    </row>
    <row r="310" spans="1:21" x14ac:dyDescent="0.25">
      <c r="A310" t="s">
        <v>67</v>
      </c>
      <c r="B310" t="s">
        <v>69</v>
      </c>
      <c r="C310">
        <v>17</v>
      </c>
      <c r="D310" t="s">
        <v>99</v>
      </c>
      <c r="E310" t="s">
        <v>130</v>
      </c>
      <c r="F310" t="s">
        <v>91</v>
      </c>
      <c r="G310">
        <v>2.60716325764625</v>
      </c>
      <c r="H310">
        <v>2E+20</v>
      </c>
      <c r="I310">
        <v>0</v>
      </c>
      <c r="J310">
        <v>14</v>
      </c>
      <c r="K310">
        <v>11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Weekend (base)Pasar a Caja.QueueNumber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17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1.5087844494703444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0.63593308631651668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0.32696662226075207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0.64455717508326504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2.69061971266638</v>
      </c>
      <c r="U310" s="5">
        <f>IF((ContinuousStatsTable[[#This Row],[RepsRequested]]&gt;1),ContinuousStatsTable[[#This Row],[HalfWidth]],ContinuousStatsTable[[#This Row],[BatchMeansHalfWidth]])</f>
        <v>0.32696662226075207</v>
      </c>
    </row>
    <row r="311" spans="1:21" x14ac:dyDescent="0.25">
      <c r="A311" t="s">
        <v>67</v>
      </c>
      <c r="B311" t="s">
        <v>69</v>
      </c>
      <c r="C311">
        <v>17</v>
      </c>
      <c r="D311" t="s">
        <v>104</v>
      </c>
      <c r="E311" t="s">
        <v>130</v>
      </c>
      <c r="F311" t="s">
        <v>91</v>
      </c>
      <c r="G311">
        <v>1.2416728955330101</v>
      </c>
      <c r="H311">
        <v>2E+20</v>
      </c>
      <c r="I311">
        <v>0</v>
      </c>
      <c r="J311">
        <v>8</v>
      </c>
      <c r="K311">
        <v>5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Weekend (base)Preparacion.QueueNumber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17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0.72401974106922729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0.44300605222417661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0.22777269441319098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0.20519043218243799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1.8050950008829001</v>
      </c>
      <c r="U311" s="5">
        <f>IF((ContinuousStatsTable[[#This Row],[RepsRequested]]&gt;1),ContinuousStatsTable[[#This Row],[HalfWidth]],ContinuousStatsTable[[#This Row],[BatchMeansHalfWidth]])</f>
        <v>0.22777269441319098</v>
      </c>
    </row>
    <row r="312" spans="1:21" x14ac:dyDescent="0.25">
      <c r="A312" t="s">
        <v>67</v>
      </c>
      <c r="B312" t="s">
        <v>69</v>
      </c>
      <c r="C312">
        <v>17</v>
      </c>
      <c r="D312" t="s">
        <v>132</v>
      </c>
      <c r="E312" t="s">
        <v>133</v>
      </c>
      <c r="F312" t="s">
        <v>80</v>
      </c>
      <c r="G312">
        <v>2.03710374501747</v>
      </c>
      <c r="H312">
        <v>2E+20</v>
      </c>
      <c r="I312">
        <v>0</v>
      </c>
      <c r="J312">
        <v>4</v>
      </c>
      <c r="K312">
        <v>3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Weekend (base)TP_MesasTime PersistentUser Specified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17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1.04395220385056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2.6910314688690198</v>
      </c>
      <c r="U312" s="5">
        <f>IF((ContinuousStatsTable[[#This Row],[RepsRequested]]&gt;1),ContinuousStatsTable[[#This Row],[HalfWidth]],ContinuousStatsTable[[#This Row],[BatchMeansHalfWidth]])</f>
        <v>0.19531820168707029</v>
      </c>
    </row>
    <row r="313" spans="1:21" x14ac:dyDescent="0.25">
      <c r="A313" t="s">
        <v>67</v>
      </c>
      <c r="B313" t="s">
        <v>69</v>
      </c>
      <c r="C313">
        <v>17</v>
      </c>
      <c r="D313" t="s">
        <v>134</v>
      </c>
      <c r="E313" t="s">
        <v>135</v>
      </c>
      <c r="F313" t="s">
        <v>136</v>
      </c>
      <c r="G313">
        <v>0.87839421174033205</v>
      </c>
      <c r="H313">
        <v>2E+20</v>
      </c>
      <c r="I313">
        <v>0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Weekend (base)rCajeroInstantaneous UtilizationResource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17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0.73534383204610498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0.95888680213271504</v>
      </c>
      <c r="U313" s="5">
        <f>IF((ContinuousStatsTable[[#This Row],[RepsRequested]]&gt;1),ContinuousStatsTable[[#This Row],[HalfWidth]],ContinuousStatsTable[[#This Row],[BatchMeansHalfWidth]])</f>
        <v>3.3674816741294945E-2</v>
      </c>
    </row>
    <row r="314" spans="1:21" x14ac:dyDescent="0.25">
      <c r="A314" t="s">
        <v>67</v>
      </c>
      <c r="B314" t="s">
        <v>69</v>
      </c>
      <c r="C314">
        <v>17</v>
      </c>
      <c r="D314" t="s">
        <v>134</v>
      </c>
      <c r="E314" t="s">
        <v>137</v>
      </c>
      <c r="F314" t="s">
        <v>136</v>
      </c>
      <c r="G314">
        <v>0.87839421174033205</v>
      </c>
      <c r="H314">
        <v>2E+20</v>
      </c>
      <c r="I314">
        <v>0</v>
      </c>
      <c r="J314">
        <v>1</v>
      </c>
      <c r="K314">
        <v>1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Weekend (base)rCajeroNumber BusyResource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17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0.82034721885470152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6.5495768324500853E-2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3.3674816741294945E-2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0.73534383204610498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0.95888680213271504</v>
      </c>
      <c r="U314" s="5">
        <f>IF((ContinuousStatsTable[[#This Row],[RepsRequested]]&gt;1),ContinuousStatsTable[[#This Row],[HalfWidth]],ContinuousStatsTable[[#This Row],[BatchMeansHalfWidth]])</f>
        <v>3.3674816741294945E-2</v>
      </c>
    </row>
    <row r="315" spans="1:21" x14ac:dyDescent="0.25">
      <c r="A315" t="s">
        <v>67</v>
      </c>
      <c r="B315" t="s">
        <v>69</v>
      </c>
      <c r="C315">
        <v>17</v>
      </c>
      <c r="D315" t="s">
        <v>134</v>
      </c>
      <c r="E315" t="s">
        <v>138</v>
      </c>
      <c r="F315" t="s">
        <v>136</v>
      </c>
      <c r="G315">
        <v>1</v>
      </c>
      <c r="H315">
        <v>2E+20</v>
      </c>
      <c r="I315">
        <v>1</v>
      </c>
      <c r="J315">
        <v>1</v>
      </c>
      <c r="K315">
        <v>1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Weekend (base)rCajeroNumber ScheduledResource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17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1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25">
      <c r="A316" t="s">
        <v>67</v>
      </c>
      <c r="B316" t="s">
        <v>69</v>
      </c>
      <c r="C316">
        <v>17</v>
      </c>
      <c r="D316" t="s">
        <v>139</v>
      </c>
      <c r="E316" t="s">
        <v>135</v>
      </c>
      <c r="F316" t="s">
        <v>136</v>
      </c>
      <c r="G316">
        <v>0.65981085089275904</v>
      </c>
      <c r="H316">
        <v>2E+20</v>
      </c>
      <c r="I316">
        <v>0</v>
      </c>
      <c r="J316">
        <v>1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Weekend (base)rCocinaInstantaneous UtilizationResource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17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0.52223972091576099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0.77852312806092006</v>
      </c>
      <c r="U316" s="5">
        <f>IF((ContinuousStatsTable[[#This Row],[RepsRequested]]&gt;1),ContinuousStatsTable[[#This Row],[HalfWidth]],ContinuousStatsTable[[#This Row],[BatchMeansHalfWidth]])</f>
        <v>3.4022068014651748E-2</v>
      </c>
    </row>
    <row r="317" spans="1:21" x14ac:dyDescent="0.25">
      <c r="A317" t="s">
        <v>67</v>
      </c>
      <c r="B317" t="s">
        <v>69</v>
      </c>
      <c r="C317">
        <v>17</v>
      </c>
      <c r="D317" t="s">
        <v>139</v>
      </c>
      <c r="E317" t="s">
        <v>137</v>
      </c>
      <c r="F317" t="s">
        <v>136</v>
      </c>
      <c r="G317">
        <v>0.65981085089275904</v>
      </c>
      <c r="H317">
        <v>2E+20</v>
      </c>
      <c r="I317">
        <v>0</v>
      </c>
      <c r="J317">
        <v>1</v>
      </c>
      <c r="K317">
        <v>1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Weekend (base)rCocinaNumber BusyResource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17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0.66010861965703893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6.6171154002911237E-2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3.4022068014651748E-2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0.52223972091576099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0.77852312806092006</v>
      </c>
      <c r="U317" s="5">
        <f>IF((ContinuousStatsTable[[#This Row],[RepsRequested]]&gt;1),ContinuousStatsTable[[#This Row],[HalfWidth]],ContinuousStatsTable[[#This Row],[BatchMeansHalfWidth]])</f>
        <v>3.4022068014651748E-2</v>
      </c>
    </row>
    <row r="318" spans="1:21" x14ac:dyDescent="0.25">
      <c r="A318" t="s">
        <v>67</v>
      </c>
      <c r="B318" t="s">
        <v>69</v>
      </c>
      <c r="C318">
        <v>17</v>
      </c>
      <c r="D318" t="s">
        <v>139</v>
      </c>
      <c r="E318" t="s">
        <v>138</v>
      </c>
      <c r="F318" t="s">
        <v>136</v>
      </c>
      <c r="G318">
        <v>1</v>
      </c>
      <c r="H318">
        <v>2E+20</v>
      </c>
      <c r="I318">
        <v>1</v>
      </c>
      <c r="J318">
        <v>1</v>
      </c>
      <c r="K318">
        <v>1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Weekend (base)rCocinaNumber ScheduledResource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17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1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1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1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67</v>
      </c>
      <c r="B319" t="s">
        <v>69</v>
      </c>
      <c r="C319">
        <v>17</v>
      </c>
      <c r="D319" t="s">
        <v>140</v>
      </c>
      <c r="E319" t="s">
        <v>135</v>
      </c>
      <c r="F319" t="s">
        <v>136</v>
      </c>
      <c r="G319">
        <v>0.40742074900349501</v>
      </c>
      <c r="H319">
        <v>2E+20</v>
      </c>
      <c r="I319">
        <v>0</v>
      </c>
      <c r="J319">
        <v>0.8</v>
      </c>
      <c r="K319">
        <v>0.6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Weekend (base)rMesaInstantaneous UtilizationResource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17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0.34356399197544252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7.597675013665138E-2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3.9063640337413962E-2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0.20879044077011299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0.53820629377380302</v>
      </c>
      <c r="U319" s="5">
        <f>IF((ContinuousStatsTable[[#This Row],[RepsRequested]]&gt;1),ContinuousStatsTable[[#This Row],[HalfWidth]],ContinuousStatsTable[[#This Row],[BatchMeansHalfWidth]])</f>
        <v>3.9063640337413962E-2</v>
      </c>
    </row>
    <row r="320" spans="1:21" x14ac:dyDescent="0.25">
      <c r="A320" t="s">
        <v>67</v>
      </c>
      <c r="B320" t="s">
        <v>69</v>
      </c>
      <c r="C320">
        <v>17</v>
      </c>
      <c r="D320" t="s">
        <v>140</v>
      </c>
      <c r="E320" t="s">
        <v>137</v>
      </c>
      <c r="F320" t="s">
        <v>136</v>
      </c>
      <c r="G320">
        <v>2.03710374501747</v>
      </c>
      <c r="H320">
        <v>2E+20</v>
      </c>
      <c r="I320">
        <v>0</v>
      </c>
      <c r="J320">
        <v>4</v>
      </c>
      <c r="K320">
        <v>3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Weekend (base)rMesaNumber BusyResource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17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1.7178199598772124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0.37988375068325786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0.19531820168707029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1.04395220385056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2.6910314688690198</v>
      </c>
      <c r="U320" s="5">
        <f>IF((ContinuousStatsTable[[#This Row],[RepsRequested]]&gt;1),ContinuousStatsTable[[#This Row],[HalfWidth]],ContinuousStatsTable[[#This Row],[BatchMeansHalfWidth]])</f>
        <v>0.19531820168707029</v>
      </c>
    </row>
    <row r="321" spans="1:21" x14ac:dyDescent="0.25">
      <c r="A321" t="s">
        <v>67</v>
      </c>
      <c r="B321" t="s">
        <v>69</v>
      </c>
      <c r="C321">
        <v>17</v>
      </c>
      <c r="D321" t="s">
        <v>140</v>
      </c>
      <c r="E321" t="s">
        <v>138</v>
      </c>
      <c r="F321" t="s">
        <v>136</v>
      </c>
      <c r="G321">
        <v>5</v>
      </c>
      <c r="H321">
        <v>2E+20</v>
      </c>
      <c r="I321">
        <v>5</v>
      </c>
      <c r="J321">
        <v>5</v>
      </c>
      <c r="K321">
        <v>5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Weekend (base)rMesaNumber ScheduledResource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17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5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5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5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25">
      <c r="A322" t="s">
        <v>67</v>
      </c>
      <c r="B322" t="s">
        <v>69</v>
      </c>
      <c r="C322">
        <v>17</v>
      </c>
      <c r="D322" t="s">
        <v>127</v>
      </c>
      <c r="E322" t="s">
        <v>129</v>
      </c>
      <c r="F322" t="s">
        <v>72</v>
      </c>
      <c r="G322">
        <v>0</v>
      </c>
      <c r="H322">
        <v>2E+20</v>
      </c>
      <c r="I322">
        <v>0</v>
      </c>
      <c r="J322">
        <v>1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Weekend (base)relojWIPEntity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17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0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0</v>
      </c>
      <c r="U322" s="5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67</v>
      </c>
      <c r="B323" t="s">
        <v>69</v>
      </c>
      <c r="C323">
        <v>17</v>
      </c>
      <c r="D323" t="s">
        <v>141</v>
      </c>
      <c r="E323" t="s">
        <v>142</v>
      </c>
      <c r="F323" t="s">
        <v>80</v>
      </c>
      <c r="G323">
        <v>7.5459127468968701</v>
      </c>
      <c r="H323">
        <v>2E+20</v>
      </c>
      <c r="I323">
        <v>1</v>
      </c>
      <c r="J323">
        <v>21</v>
      </c>
      <c r="K323">
        <v>21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Weekend (base)vClientesEnSistemaVariableUser Specified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17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5.5519234835794924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1.2386176572912104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0.63683843534988338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3.84735462379287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7.9213485690690897</v>
      </c>
      <c r="U323" s="5">
        <f>IF((ContinuousStatsTable[[#This Row],[RepsRequested]]&gt;1),ContinuousStatsTable[[#This Row],[HalfWidth]],ContinuousStatsTable[[#This Row],[BatchMeansHalfWidth]])</f>
        <v>0.63683843534988338</v>
      </c>
    </row>
    <row r="324" spans="1:21" x14ac:dyDescent="0.25">
      <c r="A324" t="s">
        <v>67</v>
      </c>
      <c r="B324" t="s">
        <v>69</v>
      </c>
      <c r="C324">
        <v>17</v>
      </c>
      <c r="D324" t="s">
        <v>143</v>
      </c>
      <c r="E324" t="s">
        <v>142</v>
      </c>
      <c r="F324" t="s">
        <v>80</v>
      </c>
      <c r="G324">
        <v>2.9628962549825202</v>
      </c>
      <c r="H324">
        <v>2E+20</v>
      </c>
      <c r="I324">
        <v>1</v>
      </c>
      <c r="J324">
        <v>5</v>
      </c>
      <c r="K324">
        <v>2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Weekend (base)vMesasLibresVariableUser Specified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17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3.2821800401227872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0.37988375068326141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0.19531820168707212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2.3089685311309802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3.9560477961494298</v>
      </c>
      <c r="U324" s="5">
        <f>IF((ContinuousStatsTable[[#This Row],[RepsRequested]]&gt;1),ContinuousStatsTable[[#This Row],[HalfWidth]],ContinuousStatsTable[[#This Row],[BatchMeansHalfWidth]])</f>
        <v>0.19531820168707212</v>
      </c>
    </row>
  </sheetData>
  <phoneticPr fontId="2" type="noConversion"/>
  <conditionalFormatting sqref="H2:H324">
    <cfRule type="expression" dxfId="11" priority="9">
      <formula>H2=200000000000000000000</formula>
    </cfRule>
  </conditionalFormatting>
  <conditionalFormatting sqref="H2:H324">
    <cfRule type="expression" dxfId="10" priority="7">
      <formula>H2=300000000000000000000</formula>
    </cfRule>
  </conditionalFormatting>
  <conditionalFormatting sqref="M2:U324">
    <cfRule type="expression" dxfId="9" priority="5">
      <formula>MOD(ROW(),2)=0</formula>
    </cfRule>
  </conditionalFormatting>
  <conditionalFormatting sqref="U2:U324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324 U2:U324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9.140625" defaultRowHeight="15" x14ac:dyDescent="0.25"/>
  <cols>
    <col min="1" max="1" width="14.85546875" bestFit="1" customWidth="1"/>
    <col min="2" max="2" width="22.140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6.85546875" bestFit="1" customWidth="1"/>
    <col min="8" max="8" width="14.28515625" bestFit="1" customWidth="1"/>
    <col min="9" max="9" width="17.140625" bestFit="1" customWidth="1"/>
    <col min="10" max="10" width="10.5703125" bestFit="1" customWidth="1"/>
    <col min="11" max="11" width="19.85546875" bestFit="1" customWidth="1"/>
    <col min="12" max="12" width="20.42578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58"/>
  <sheetViews>
    <sheetView workbookViewId="0">
      <selection activeCell="A2" sqref="A2:H31"/>
    </sheetView>
  </sheetViews>
  <sheetFormatPr baseColWidth="10" defaultColWidth="9.140625" defaultRowHeight="15" x14ac:dyDescent="0.25"/>
  <cols>
    <col min="1" max="1" width="15.5703125" bestFit="1" customWidth="1"/>
    <col min="2" max="2" width="22.140625" bestFit="1" customWidth="1"/>
    <col min="3" max="3" width="13.28515625" bestFit="1" customWidth="1"/>
    <col min="4" max="4" width="30.85546875" bestFit="1" customWidth="1"/>
    <col min="5" max="5" width="20" bestFit="1" customWidth="1"/>
    <col min="6" max="6" width="9.28515625" bestFit="1" customWidth="1"/>
    <col min="7" max="7" width="16.85546875" bestFit="1" customWidth="1"/>
    <col min="8" max="8" width="12" bestFit="1" customWidth="1"/>
    <col min="9" max="9" width="69.7109375" bestFit="1" customWidth="1"/>
    <col min="10" max="10" width="17.140625" bestFit="1" customWidth="1"/>
    <col min="11" max="11" width="12" bestFit="1" customWidth="1"/>
    <col min="12" max="12" width="19.85546875" bestFit="1" customWidth="1"/>
    <col min="13" max="13" width="20.42578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144</v>
      </c>
      <c r="E2" t="s">
        <v>145</v>
      </c>
      <c r="F2" t="s">
        <v>72</v>
      </c>
      <c r="G2">
        <v>360</v>
      </c>
      <c r="H2">
        <v>0</v>
      </c>
      <c r="I2" t="str">
        <f>OutputTable[[#This Row],[ProjectName]]&amp;OutputTable[[#This Row],[Name]]&amp;OutputTable[[#This Row],[Type]]&amp;OutputTable[[#This Row],[Source]]</f>
        <v>Weekend (base)Cliente.NumberInNumber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17</v>
      </c>
      <c r="K2" cm="1">
        <f t="array" ref="K2">IFERROR(AVERAGE(IF((OutputTable[GroupByKey]=OutputTable[[#This Row],[GroupByKey]]),(OutputTable[GroupByKey]=OutputTable[[#This Row],[GroupByKey]])*OutputTable[RecordedValue])),0)</f>
        <v>354.11764705882354</v>
      </c>
      <c r="L2" cm="1">
        <f t="array" ref="L2">IFERROR(_xlfn.STDEV.S(IF((OutputTable[GroupByKey]=OutputTable[[#This Row],[GroupByKey]]),(OutputTable[GroupByKey]=OutputTable[[#This Row],[GroupByKey]])*OutputTable[RecordedValue])),0)</f>
        <v>19.776508643277939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2" cm="1">
        <f t="array" ref="O2">MIN(IF((OutputTable[GroupByKey]=OutputTable[[#This Row],[GroupByKey]]),(OutputTable[GroupByKey]=OutputTable[[#This Row],[GroupByKey]])*OutputTable[RecordedValue]))</f>
        <v>316</v>
      </c>
      <c r="P2" cm="1">
        <f t="array" ref="P2">MAX(IF((OutputTable[GroupByKey]=OutputTable[[#This Row],[GroupByKey]]),(OutputTable[GroupByKey]=OutputTable[[#This Row],[GroupByKey]])*OutputTable[RecordedValue]))</f>
        <v>387</v>
      </c>
    </row>
    <row r="3" spans="1:16" x14ac:dyDescent="0.25">
      <c r="A3" t="s">
        <v>67</v>
      </c>
      <c r="B3" t="s">
        <v>69</v>
      </c>
      <c r="C3">
        <v>1</v>
      </c>
      <c r="D3" t="s">
        <v>146</v>
      </c>
      <c r="E3" t="s">
        <v>147</v>
      </c>
      <c r="F3" t="s">
        <v>72</v>
      </c>
      <c r="G3">
        <v>371</v>
      </c>
      <c r="H3">
        <v>0</v>
      </c>
      <c r="I3" t="str">
        <f>OutputTable[[#This Row],[ProjectName]]&amp;OutputTable[[#This Row],[Name]]&amp;OutputTable[[#This Row],[Type]]&amp;OutputTable[[#This Row],[Source]]</f>
        <v>Weekend (base)Cliente.NumberOutNumber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17</v>
      </c>
      <c r="K3" cm="1">
        <f t="array" ref="K3">IFERROR(AVERAGE(IF((OutputTable[GroupByKey]=OutputTable[[#This Row],[GroupByKey]]),(OutputTable[GroupByKey]=OutputTable[[#This Row],[GroupByKey]])*OutputTable[RecordedValue])),0)</f>
        <v>354.88235294117646</v>
      </c>
      <c r="L3" cm="1">
        <f t="array" ref="L3">IFERROR(_xlfn.STDEV.S(IF((OutputTable[GroupByKey]=OutputTable[[#This Row],[GroupByKey]]),(OutputTable[GroupByKey]=OutputTable[[#This Row],[GroupByKey]])*OutputTable[RecordedValue])),0)</f>
        <v>20.951975900082719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3" cm="1">
        <f t="array" ref="O3">MIN(IF((OutputTable[GroupByKey]=OutputTable[[#This Row],[GroupByKey]]),(OutputTable[GroupByKey]=OutputTable[[#This Row],[GroupByKey]])*OutputTable[RecordedValue]))</f>
        <v>319</v>
      </c>
      <c r="P3" cm="1">
        <f t="array" ref="P3">MAX(IF((OutputTable[GroupByKey]=OutputTable[[#This Row],[GroupByKey]]),(OutputTable[GroupByKey]=OutputTable[[#This Row],[GroupByKey]])*OutputTable[RecordedValue]))</f>
        <v>391</v>
      </c>
    </row>
    <row r="4" spans="1:16" x14ac:dyDescent="0.25">
      <c r="A4" t="s">
        <v>67</v>
      </c>
      <c r="B4" t="s">
        <v>69</v>
      </c>
      <c r="C4">
        <v>1</v>
      </c>
      <c r="D4" t="s">
        <v>148</v>
      </c>
      <c r="E4" t="s">
        <v>149</v>
      </c>
      <c r="F4" t="s">
        <v>86</v>
      </c>
      <c r="G4">
        <v>328.66918578908599</v>
      </c>
      <c r="H4">
        <v>0</v>
      </c>
      <c r="I4" t="str">
        <f>OutputTable[[#This Row],[ProjectName]]&amp;OutputTable[[#This Row],[Name]]&amp;OutputTable[[#This Row],[Type]]&amp;OutputTable[[#This Row],[Source]]</f>
        <v>Weekend (base)Comer en Mesa Accum VA TimeAccum VA TimeProcess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17</v>
      </c>
      <c r="K4" cm="1">
        <f t="array" ref="K4">IFERROR(AVERAGE(IF((OutputTable[GroupByKey]=OutputTable[[#This Row],[GroupByKey]]),(OutputTable[GroupByKey]=OutputTable[[#This Row],[GroupByKey]])*OutputTable[RecordedValue])),0)</f>
        <v>308.63553444706355</v>
      </c>
      <c r="L4" cm="1">
        <f t="array" ref="L4">IFERROR(_xlfn.STDEV.S(IF((OutputTable[GroupByKey]=OutputTable[[#This Row],[GroupByKey]]),(OutputTable[GroupByKey]=OutputTable[[#This Row],[GroupByKey]])*OutputTable[RecordedValue])),0)</f>
        <v>57.365542312184125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4" cm="1">
        <f t="array" ref="O4">MIN(IF((OutputTable[GroupByKey]=OutputTable[[#This Row],[GroupByKey]]),(OutputTable[GroupByKey]=OutputTable[[#This Row],[GroupByKey]])*OutputTable[RecordedValue]))</f>
        <v>225.161235126317</v>
      </c>
      <c r="P4" cm="1">
        <f t="array" ref="P4">MAX(IF((OutputTable[GroupByKey]=OutputTable[[#This Row],[GroupByKey]]),(OutputTable[GroupByKey]=OutputTable[[#This Row],[GroupByKey]])*OutputTable[RecordedValue]))</f>
        <v>456.33427551718</v>
      </c>
    </row>
    <row r="5" spans="1:16" x14ac:dyDescent="0.25">
      <c r="A5" t="s">
        <v>67</v>
      </c>
      <c r="B5" t="s">
        <v>69</v>
      </c>
      <c r="C5">
        <v>1</v>
      </c>
      <c r="D5" t="s">
        <v>150</v>
      </c>
      <c r="E5" t="s">
        <v>151</v>
      </c>
      <c r="F5" t="s">
        <v>86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17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69</v>
      </c>
      <c r="C6">
        <v>1</v>
      </c>
      <c r="D6" t="s">
        <v>152</v>
      </c>
      <c r="E6" t="s">
        <v>145</v>
      </c>
      <c r="F6" t="s">
        <v>86</v>
      </c>
      <c r="G6">
        <v>19</v>
      </c>
      <c r="H6">
        <v>0</v>
      </c>
      <c r="I6" t="str">
        <f>OutputTable[[#This Row],[ProjectName]]&amp;OutputTable[[#This Row],[Name]]&amp;OutputTable[[#This Row],[Type]]&amp;OutputTable[[#This Row],[Source]]</f>
        <v>Weekend (base)Comer en Mesa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17</v>
      </c>
      <c r="K6" cm="1">
        <f t="array" ref="K6">IFERROR(AVERAGE(IF((OutputTable[GroupByKey]=OutputTable[[#This Row],[GroupByKey]]),(OutputTable[GroupByKey]=OutputTable[[#This Row],[GroupByKey]])*OutputTable[RecordedValue])),0)</f>
        <v>16.941176470588236</v>
      </c>
      <c r="L6" cm="1">
        <f t="array" ref="L6">IFERROR(_xlfn.STDEV.S(IF((OutputTable[GroupByKey]=OutputTable[[#This Row],[GroupByKey]]),(OutputTable[GroupByKey]=OutputTable[[#This Row],[GroupByKey]])*OutputTable[RecordedValue])),0)</f>
        <v>3.0097879542273018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6" cm="1">
        <f t="array" ref="O6">MIN(IF((OutputTable[GroupByKey]=OutputTable[[#This Row],[GroupByKey]]),(OutputTable[GroupByKey]=OutputTable[[#This Row],[GroupByKey]])*OutputTable[RecordedValue]))</f>
        <v>12</v>
      </c>
      <c r="P6" cm="1">
        <f t="array" ref="P6">MAX(IF((OutputTable[GroupByKey]=OutputTable[[#This Row],[GroupByKey]]),(OutputTable[GroupByKey]=OutputTable[[#This Row],[GroupByKey]])*OutputTable[RecordedValue]))</f>
        <v>22</v>
      </c>
    </row>
    <row r="7" spans="1:16" x14ac:dyDescent="0.25">
      <c r="A7" t="s">
        <v>67</v>
      </c>
      <c r="B7" t="s">
        <v>69</v>
      </c>
      <c r="C7">
        <v>1</v>
      </c>
      <c r="D7" t="s">
        <v>153</v>
      </c>
      <c r="E7" t="s">
        <v>147</v>
      </c>
      <c r="F7" t="s">
        <v>86</v>
      </c>
      <c r="G7">
        <v>18</v>
      </c>
      <c r="H7">
        <v>0</v>
      </c>
      <c r="I7" t="str">
        <f>OutputTable[[#This Row],[ProjectName]]&amp;OutputTable[[#This Row],[Name]]&amp;OutputTable[[#This Row],[Type]]&amp;OutputTable[[#This Row],[Source]]</f>
        <v>Weekend (base)Comer en Mesa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17</v>
      </c>
      <c r="K7" cm="1">
        <f t="array" ref="K7">IFERROR(AVERAGE(IF((OutputTable[GroupByKey]=OutputTable[[#This Row],[GroupByKey]]),(OutputTable[GroupByKey]=OutputTable[[#This Row],[GroupByKey]])*OutputTable[RecordedValue])),0)</f>
        <v>16.764705882352942</v>
      </c>
      <c r="L7" cm="1">
        <f t="array" ref="L7">IFERROR(_xlfn.STDEV.S(IF((OutputTable[GroupByKey]=OutputTable[[#This Row],[GroupByKey]]),(OutputTable[GroupByKey]=OutputTable[[#This Row],[GroupByKey]])*OutputTable[RecordedValue])),0)</f>
        <v>1.8550408272025261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7" cm="1">
        <f t="array" ref="O7">MIN(IF((OutputTable[GroupByKey]=OutputTable[[#This Row],[GroupByKey]]),(OutputTable[GroupByKey]=OutputTable[[#This Row],[GroupByKey]])*OutputTable[RecordedValue]))</f>
        <v>13</v>
      </c>
      <c r="P7" cm="1">
        <f t="array" ref="P7">MAX(IF((OutputTable[GroupByKey]=OutputTable[[#This Row],[GroupByKey]]),(OutputTable[GroupByKey]=OutputTable[[#This Row],[GroupByKey]])*OutputTable[RecordedValue]))</f>
        <v>20</v>
      </c>
    </row>
    <row r="8" spans="1:16" x14ac:dyDescent="0.25">
      <c r="A8" t="s">
        <v>67</v>
      </c>
      <c r="B8" t="s">
        <v>69</v>
      </c>
      <c r="C8">
        <v>1</v>
      </c>
      <c r="D8" t="s">
        <v>154</v>
      </c>
      <c r="E8" t="s">
        <v>145</v>
      </c>
      <c r="F8" t="s">
        <v>72</v>
      </c>
      <c r="G8">
        <v>121</v>
      </c>
      <c r="H8">
        <v>0</v>
      </c>
      <c r="I8" t="str">
        <f>OutputTable[[#This Row],[ProjectName]]&amp;OutputTable[[#This Row],[Name]]&amp;OutputTable[[#This Row],[Type]]&amp;OutputTable[[#This Row],[Source]]</f>
        <v>Weekend (base)Orden.NumberInNumber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17</v>
      </c>
      <c r="K8" cm="1">
        <f t="array" ref="K8">IFERROR(AVERAGE(IF((OutputTable[GroupByKey]=OutputTable[[#This Row],[GroupByKey]]),(OutputTable[GroupByKey]=OutputTable[[#This Row],[GroupByKey]])*OutputTable[RecordedValue])),0)</f>
        <v>117.35294117647059</v>
      </c>
      <c r="L8" cm="1">
        <f t="array" ref="L8">IFERROR(_xlfn.STDEV.S(IF((OutputTable[GroupByKey]=OutputTable[[#This Row],[GroupByKey]]),(OutputTable[GroupByKey]=OutputTable[[#This Row],[GroupByKey]])*OutputTable[RecordedValue])),0)</f>
        <v>7.1496606254299602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8" cm="1">
        <f t="array" ref="O8">MIN(IF((OutputTable[GroupByKey]=OutputTable[[#This Row],[GroupByKey]]),(OutputTable[GroupByKey]=OutputTable[[#This Row],[GroupByKey]])*OutputTable[RecordedValue]))</f>
        <v>105</v>
      </c>
      <c r="P8" cm="1">
        <f t="array" ref="P8">MAX(IF((OutputTable[GroupByKey]=OutputTable[[#This Row],[GroupByKey]]),(OutputTable[GroupByKey]=OutputTable[[#This Row],[GroupByKey]])*OutputTable[RecordedValue]))</f>
        <v>131</v>
      </c>
    </row>
    <row r="9" spans="1:16" x14ac:dyDescent="0.25">
      <c r="A9" t="s">
        <v>67</v>
      </c>
      <c r="B9" t="s">
        <v>69</v>
      </c>
      <c r="C9">
        <v>1</v>
      </c>
      <c r="D9" t="s">
        <v>155</v>
      </c>
      <c r="E9" t="s">
        <v>147</v>
      </c>
      <c r="F9" t="s">
        <v>72</v>
      </c>
      <c r="G9">
        <v>125</v>
      </c>
      <c r="H9">
        <v>0</v>
      </c>
      <c r="I9" t="str">
        <f>OutputTable[[#This Row],[ProjectName]]&amp;OutputTable[[#This Row],[Name]]&amp;OutputTable[[#This Row],[Type]]&amp;OutputTable[[#This Row],[Source]]</f>
        <v>Weekend (base)Orden.NumberOutNumber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17</v>
      </c>
      <c r="K9" cm="1">
        <f t="array" ref="K9">IFERROR(AVERAGE(IF((OutputTable[GroupByKey]=OutputTable[[#This Row],[GroupByKey]]),(OutputTable[GroupByKey]=OutputTable[[#This Row],[GroupByKey]])*OutputTable[RecordedValue])),0)</f>
        <v>118.76470588235294</v>
      </c>
      <c r="L9" cm="1">
        <f t="array" ref="L9">IFERROR(_xlfn.STDEV.S(IF((OutputTable[GroupByKey]=OutputTable[[#This Row],[GroupByKey]]),(OutputTable[GroupByKey]=OutputTable[[#This Row],[GroupByKey]])*OutputTable[RecordedValue])),0)</f>
        <v>7.0580575564802697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9" cm="1">
        <f t="array" ref="O9">MIN(IF((OutputTable[GroupByKey]=OutputTable[[#This Row],[GroupByKey]]),(OutputTable[GroupByKey]=OutputTable[[#This Row],[GroupByKey]])*OutputTable[RecordedValue]))</f>
        <v>107</v>
      </c>
      <c r="P9" cm="1">
        <f t="array" ref="P9">MAX(IF((OutputTable[GroupByKey]=OutputTable[[#This Row],[GroupByKey]]),(OutputTable[GroupByKey]=OutputTable[[#This Row],[GroupByKey]])*OutputTable[RecordedValue]))</f>
        <v>130</v>
      </c>
    </row>
    <row r="10" spans="1:16" x14ac:dyDescent="0.25">
      <c r="A10" t="s">
        <v>67</v>
      </c>
      <c r="B10" t="s">
        <v>69</v>
      </c>
      <c r="C10">
        <v>1</v>
      </c>
      <c r="D10" t="s">
        <v>156</v>
      </c>
      <c r="E10" t="s">
        <v>149</v>
      </c>
      <c r="F10" t="s">
        <v>86</v>
      </c>
      <c r="G10">
        <v>199.928123006124</v>
      </c>
      <c r="H10">
        <v>0</v>
      </c>
      <c r="I10" t="str">
        <f>OutputTable[[#This Row],[ProjectName]]&amp;OutputTable[[#This Row],[Name]]&amp;OutputTable[[#This Row],[Type]]&amp;OutputTable[[#This Row],[Source]]</f>
        <v>Weekend (base)Preparacion Accum VA TimeAccum VA TimeProcess</v>
      </c>
      <c r="J10" cm="1">
        <f t="array" ref="J10">MAX(IF((ProjectInfoTable[ProjectName]=OutputTable[[#This Row],[ProjectName]]),(ProjectInfoTable[ProjectName]=OutputTable[[#This Row],[ProjectName]])*ProjectInfoTable[NumberOfReplications]))</f>
        <v>17</v>
      </c>
      <c r="K10" cm="1">
        <f t="array" ref="K10">IFERROR(AVERAGE(IF((OutputTable[GroupByKey]=OutputTable[[#This Row],[GroupByKey]]),(OutputTable[GroupByKey]=OutputTable[[#This Row],[GroupByKey]])*OutputTable[RecordedValue])),0)</f>
        <v>191.25148078330704</v>
      </c>
      <c r="L10" cm="1">
        <f t="array" ref="L10">IFERROR(_xlfn.STDEV.S(IF((OutputTable[GroupByKey]=OutputTable[[#This Row],[GroupByKey]]),(OutputTable[GroupByKey]=OutputTable[[#This Row],[GroupByKey]])*OutputTable[RecordedValue])),0)</f>
        <v>16.886201618463961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10" cm="1">
        <f t="array" ref="O10">MIN(IF((OutputTable[GroupByKey]=OutputTable[[#This Row],[GroupByKey]]),(OutputTable[GroupByKey]=OutputTable[[#This Row],[GroupByKey]])*OutputTable[RecordedValue]))</f>
        <v>159.38722481493599</v>
      </c>
      <c r="P10" cm="1">
        <f t="array" ref="P10">MAX(IF((OutputTable[GroupByKey]=OutputTable[[#This Row],[GroupByKey]]),(OutputTable[GroupByKey]=OutputTable[[#This Row],[GroupByKey]])*OutputTable[RecordedValue]))</f>
        <v>225.02992874035499</v>
      </c>
    </row>
    <row r="11" spans="1:16" x14ac:dyDescent="0.25">
      <c r="A11" t="s">
        <v>67</v>
      </c>
      <c r="B11" t="s">
        <v>69</v>
      </c>
      <c r="C11">
        <v>1</v>
      </c>
      <c r="D11" t="s">
        <v>157</v>
      </c>
      <c r="E11" t="s">
        <v>151</v>
      </c>
      <c r="F11" t="s">
        <v>86</v>
      </c>
      <c r="G11">
        <v>109.63978603575499</v>
      </c>
      <c r="H11">
        <v>0</v>
      </c>
      <c r="I11" t="str">
        <f>OutputTable[[#This Row],[ProjectName]]&amp;OutputTable[[#This Row],[Name]]&amp;OutputTable[[#This Row],[Type]]&amp;OutputTable[[#This Row],[Source]]</f>
        <v>Weekend (base)Preparacion Accum Wait TimeAccum Wait TimeProcess</v>
      </c>
      <c r="J11" cm="1">
        <f t="array" ref="J11">MAX(IF((ProjectInfoTable[ProjectName]=OutputTable[[#This Row],[ProjectName]]),(ProjectInfoTable[ProjectName]=OutputTable[[#This Row],[ProjectName]])*ProjectInfoTable[NumberOfReplications]))</f>
        <v>17</v>
      </c>
      <c r="K11" cm="1">
        <f t="array" ref="K11">IFERROR(AVERAGE(IF((OutputTable[GroupByKey]=OutputTable[[#This Row],[GroupByKey]]),(OutputTable[GroupByKey]=OutputTable[[#This Row],[GroupByKey]])*OutputTable[RecordedValue])),0)</f>
        <v>133.66503743442436</v>
      </c>
      <c r="L11" cm="1">
        <f t="array" ref="L11">IFERROR(_xlfn.STDEV.S(IF((OutputTable[GroupByKey]=OutputTable[[#This Row],[GroupByKey]]),(OutputTable[GroupByKey]=OutputTable[[#This Row],[GroupByKey]])*OutputTable[RecordedValue])),0)</f>
        <v>79.508986996493206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11" cm="1">
        <f t="array" ref="O11">MIN(IF((OutputTable[GroupByKey]=OutputTable[[#This Row],[GroupByKey]]),(OutputTable[GroupByKey]=OutputTable[[#This Row],[GroupByKey]])*OutputTable[RecordedValue]))</f>
        <v>36.437518321990602</v>
      </c>
      <c r="P11" cm="1">
        <f t="array" ref="P11">MAX(IF((OutputTable[GroupByKey]=OutputTable[[#This Row],[GroupByKey]]),(OutputTable[GroupByKey]=OutputTable[[#This Row],[GroupByKey]])*OutputTable[RecordedValue]))</f>
        <v>324.91710015892198</v>
      </c>
    </row>
    <row r="12" spans="1:16" x14ac:dyDescent="0.25">
      <c r="A12" t="s">
        <v>67</v>
      </c>
      <c r="B12" t="s">
        <v>69</v>
      </c>
      <c r="C12">
        <v>1</v>
      </c>
      <c r="D12" t="s">
        <v>158</v>
      </c>
      <c r="E12" t="s">
        <v>145</v>
      </c>
      <c r="F12" t="s">
        <v>86</v>
      </c>
      <c r="G12">
        <v>121</v>
      </c>
      <c r="H12">
        <v>0</v>
      </c>
      <c r="I12" t="str">
        <f>OutputTable[[#This Row],[ProjectName]]&amp;OutputTable[[#This Row],[Name]]&amp;OutputTable[[#This Row],[Type]]&amp;OutputTable[[#This Row],[Source]]</f>
        <v>Weekend (base)Preparacion Number InNumber InProcess</v>
      </c>
      <c r="J12" cm="1">
        <f t="array" ref="J12">MAX(IF((ProjectInfoTable[ProjectName]=OutputTable[[#This Row],[ProjectName]]),(ProjectInfoTable[ProjectName]=OutputTable[[#This Row],[ProjectName]])*ProjectInfoTable[NumberOfReplications]))</f>
        <v>17</v>
      </c>
      <c r="K12" cm="1">
        <f t="array" ref="K12">IFERROR(AVERAGE(IF((OutputTable[GroupByKey]=OutputTable[[#This Row],[GroupByKey]]),(OutputTable[GroupByKey]=OutputTable[[#This Row],[GroupByKey]])*OutputTable[RecordedValue])),0)</f>
        <v>117.35294117647059</v>
      </c>
      <c r="L12" cm="1">
        <f t="array" ref="L12">IFERROR(_xlfn.STDEV.S(IF((OutputTable[GroupByKey]=OutputTable[[#This Row],[GroupByKey]]),(OutputTable[GroupByKey]=OutputTable[[#This Row],[GroupByKey]])*OutputTable[RecordedValue])),0)</f>
        <v>7.1496606254299602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2" cm="1">
        <f t="array" ref="O12">MIN(IF((OutputTable[GroupByKey]=OutputTable[[#This Row],[GroupByKey]]),(OutputTable[GroupByKey]=OutputTable[[#This Row],[GroupByKey]])*OutputTable[RecordedValue]))</f>
        <v>105</v>
      </c>
      <c r="P12" cm="1">
        <f t="array" ref="P12">MAX(IF((OutputTable[GroupByKey]=OutputTable[[#This Row],[GroupByKey]]),(OutputTable[GroupByKey]=OutputTable[[#This Row],[GroupByKey]])*OutputTable[RecordedValue]))</f>
        <v>131</v>
      </c>
    </row>
    <row r="13" spans="1:16" x14ac:dyDescent="0.25">
      <c r="A13" t="s">
        <v>67</v>
      </c>
      <c r="B13" t="s">
        <v>69</v>
      </c>
      <c r="C13">
        <v>1</v>
      </c>
      <c r="D13" t="s">
        <v>159</v>
      </c>
      <c r="E13" t="s">
        <v>147</v>
      </c>
      <c r="F13" t="s">
        <v>86</v>
      </c>
      <c r="G13">
        <v>126</v>
      </c>
      <c r="H13">
        <v>0</v>
      </c>
      <c r="I13" t="str">
        <f>OutputTable[[#This Row],[ProjectName]]&amp;OutputTable[[#This Row],[Name]]&amp;OutputTable[[#This Row],[Type]]&amp;OutputTable[[#This Row],[Source]]</f>
        <v>Weekend (base)Preparacion Number OutNumber OutProcess</v>
      </c>
      <c r="J13" cm="1">
        <f t="array" ref="J13">MAX(IF((ProjectInfoTable[ProjectName]=OutputTable[[#This Row],[ProjectName]]),(ProjectInfoTable[ProjectName]=OutputTable[[#This Row],[ProjectName]])*ProjectInfoTable[NumberOfReplications]))</f>
        <v>17</v>
      </c>
      <c r="K13" cm="1">
        <f t="array" ref="K13">IFERROR(AVERAGE(IF((OutputTable[GroupByKey]=OutputTable[[#This Row],[GroupByKey]]),(OutputTable[GroupByKey]=OutputTable[[#This Row],[GroupByKey]])*OutputTable[RecordedValue])),0)</f>
        <v>118.82352941176471</v>
      </c>
      <c r="L13" cm="1">
        <f t="array" ref="L13">IFERROR(_xlfn.STDEV.S(IF((OutputTable[GroupByKey]=OutputTable[[#This Row],[GroupByKey]]),(OutputTable[GroupByKey]=OutputTable[[#This Row],[GroupByKey]])*OutputTable[RecordedValue])),0)</f>
        <v>6.9931689358048459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13" cm="1">
        <f t="array" ref="O13">MIN(IF((OutputTable[GroupByKey]=OutputTable[[#This Row],[GroupByKey]]),(OutputTable[GroupByKey]=OutputTable[[#This Row],[GroupByKey]])*OutputTable[RecordedValue]))</f>
        <v>108</v>
      </c>
      <c r="P13" cm="1">
        <f t="array" ref="P13">MAX(IF((OutputTable[GroupByKey]=OutputTable[[#This Row],[GroupByKey]]),(OutputTable[GroupByKey]=OutputTable[[#This Row],[GroupByKey]])*OutputTable[RecordedValue]))</f>
        <v>132</v>
      </c>
    </row>
    <row r="14" spans="1:16" x14ac:dyDescent="0.25">
      <c r="A14" t="s">
        <v>67</v>
      </c>
      <c r="B14" t="s">
        <v>69</v>
      </c>
      <c r="C14">
        <v>1</v>
      </c>
      <c r="D14" t="s">
        <v>160</v>
      </c>
      <c r="E14" t="s">
        <v>147</v>
      </c>
      <c r="F14" t="s">
        <v>161</v>
      </c>
      <c r="G14">
        <v>128</v>
      </c>
      <c r="H14">
        <v>0</v>
      </c>
      <c r="I14" t="str">
        <f>OutputTable[[#This Row],[ProjectName]]&amp;OutputTable[[#This Row],[Name]]&amp;OutputTable[[#This Row],[Type]]&amp;OutputTable[[#This Row],[Source]]</f>
        <v>Weekend (base)System.NumberOutNumber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17</v>
      </c>
      <c r="K14" cm="1">
        <f t="array" ref="K14">IFERROR(AVERAGE(IF((OutputTable[GroupByKey]=OutputTable[[#This Row],[GroupByKey]]),(OutputTable[GroupByKey]=OutputTable[[#This Row],[GroupByKey]])*OutputTable[RecordedValue])),0)</f>
        <v>121.76470588235294</v>
      </c>
      <c r="L14" cm="1">
        <f t="array" ref="L14">IFERROR(_xlfn.STDEV.S(IF((OutputTable[GroupByKey]=OutputTable[[#This Row],[GroupByKey]]),(OutputTable[GroupByKey]=OutputTable[[#This Row],[GroupByKey]])*OutputTable[RecordedValue])),0)</f>
        <v>7.0580575564802697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4" cm="1">
        <f t="array" ref="O14">MIN(IF((OutputTable[GroupByKey]=OutputTable[[#This Row],[GroupByKey]]),(OutputTable[GroupByKey]=OutputTable[[#This Row],[GroupByKey]])*OutputTable[RecordedValue]))</f>
        <v>110</v>
      </c>
      <c r="P14" cm="1">
        <f t="array" ref="P14">MAX(IF((OutputTable[GroupByKey]=OutputTable[[#This Row],[GroupByKey]]),(OutputTable[GroupByKey]=OutputTable[[#This Row],[GroupByKey]])*OutputTable[RecordedValue]))</f>
        <v>133</v>
      </c>
    </row>
    <row r="15" spans="1:16" x14ac:dyDescent="0.25">
      <c r="A15" t="s">
        <v>67</v>
      </c>
      <c r="B15" t="s">
        <v>69</v>
      </c>
      <c r="C15">
        <v>1</v>
      </c>
      <c r="D15" t="s">
        <v>162</v>
      </c>
      <c r="E15" t="s">
        <v>163</v>
      </c>
      <c r="F15" t="s">
        <v>136</v>
      </c>
      <c r="G15">
        <v>169</v>
      </c>
      <c r="H15">
        <v>0</v>
      </c>
      <c r="I15" t="str">
        <f>OutputTable[[#This Row],[ProjectName]]&amp;OutputTable[[#This Row],[Name]]&amp;OutputTable[[#This Row],[Type]]&amp;OutputTable[[#This Row],[Source]]</f>
        <v>Weekend (base)rCajero.NumberSeizedTotal Number SeizedResource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17</v>
      </c>
      <c r="K15" cm="1">
        <f t="array" ref="K15">IFERROR(AVERAGE(IF((OutputTable[GroupByKey]=OutputTable[[#This Row],[GroupByKey]]),(OutputTable[GroupByKey]=OutputTable[[#This Row],[GroupByKey]])*OutputTable[RecordedValue])),0)</f>
        <v>162.1764705882353</v>
      </c>
      <c r="L15" cm="1">
        <f t="array" ref="L15">IFERROR(_xlfn.STDEV.S(IF((OutputTable[GroupByKey]=OutputTable[[#This Row],[GroupByKey]]),(OutputTable[GroupByKey]=OutputTable[[#This Row],[GroupByKey]])*OutputTable[RecordedValue])),0)</f>
        <v>10.100960932738323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15" cm="1">
        <f t="array" ref="O15">MIN(IF((OutputTable[GroupByKey]=OutputTable[[#This Row],[GroupByKey]]),(OutputTable[GroupByKey]=OutputTable[[#This Row],[GroupByKey]])*OutputTable[RecordedValue]))</f>
        <v>147</v>
      </c>
      <c r="P15" cm="1">
        <f t="array" ref="P15">MAX(IF((OutputTable[GroupByKey]=OutputTable[[#This Row],[GroupByKey]]),(OutputTable[GroupByKey]=OutputTable[[#This Row],[GroupByKey]])*OutputTable[RecordedValue]))</f>
        <v>183</v>
      </c>
    </row>
    <row r="16" spans="1:16" x14ac:dyDescent="0.25">
      <c r="A16" t="s">
        <v>67</v>
      </c>
      <c r="B16" t="s">
        <v>69</v>
      </c>
      <c r="C16">
        <v>1</v>
      </c>
      <c r="D16" t="s">
        <v>164</v>
      </c>
      <c r="E16" t="s">
        <v>165</v>
      </c>
      <c r="F16" t="s">
        <v>136</v>
      </c>
      <c r="G16">
        <v>0.83444472024726102</v>
      </c>
      <c r="H16">
        <v>0</v>
      </c>
      <c r="I16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17</v>
      </c>
      <c r="K16" cm="1">
        <f t="array" ref="K16">IFERROR(AVERAGE(IF((OutputTable[GroupByKey]=OutputTable[[#This Row],[GroupByKey]]),(OutputTable[GroupByKey]=OutputTable[[#This Row],[GroupByKey]])*OutputTable[RecordedValue])),0)</f>
        <v>0.82034721885470152</v>
      </c>
      <c r="L16" cm="1">
        <f t="array" ref="L16">IFERROR(_xlfn.STDEV.S(IF((OutputTable[GroupByKey]=OutputTable[[#This Row],[GroupByKey]]),(OutputTable[GroupByKey]=OutputTable[[#This Row],[GroupByKey]])*OutputTable[RecordedValue])),0)</f>
        <v>6.5495768324500853E-2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16" cm="1">
        <f t="array" ref="O16">MIN(IF((OutputTable[GroupByKey]=OutputTable[[#This Row],[GroupByKey]]),(OutputTable[GroupByKey]=OutputTable[[#This Row],[GroupByKey]])*OutputTable[RecordedValue]))</f>
        <v>0.73534383204610498</v>
      </c>
      <c r="P16" cm="1">
        <f t="array" ref="P16">MAX(IF((OutputTable[GroupByKey]=OutputTable[[#This Row],[GroupByKey]]),(OutputTable[GroupByKey]=OutputTable[[#This Row],[GroupByKey]])*OutputTable[RecordedValue]))</f>
        <v>0.95888680213271504</v>
      </c>
    </row>
    <row r="17" spans="1:16" x14ac:dyDescent="0.25">
      <c r="A17" t="s">
        <v>67</v>
      </c>
      <c r="B17" t="s">
        <v>69</v>
      </c>
      <c r="C17">
        <v>1</v>
      </c>
      <c r="D17" t="s">
        <v>166</v>
      </c>
      <c r="E17" t="s">
        <v>163</v>
      </c>
      <c r="F17" t="s">
        <v>136</v>
      </c>
      <c r="G17">
        <v>77</v>
      </c>
      <c r="H17">
        <v>0</v>
      </c>
      <c r="I17" t="str">
        <f>OutputTable[[#This Row],[ProjectName]]&amp;OutputTable[[#This Row],[Name]]&amp;OutputTable[[#This Row],[Type]]&amp;OutputTable[[#This Row],[Source]]</f>
        <v>Weekend (base)rCocina.NumberSeizedTotal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17</v>
      </c>
      <c r="K17" cm="1">
        <f t="array" ref="K17">IFERROR(AVERAGE(IF((OutputTable[GroupByKey]=OutputTable[[#This Row],[GroupByKey]]),(OutputTable[GroupByKey]=OutputTable[[#This Row],[GroupByKey]])*OutputTable[RecordedValue])),0)</f>
        <v>73.764705882352942</v>
      </c>
      <c r="L17" cm="1">
        <f t="array" ref="L17">IFERROR(_xlfn.STDEV.S(IF((OutputTable[GroupByKey]=OutputTable[[#This Row],[GroupByKey]]),(OutputTable[GroupByKey]=OutputTable[[#This Row],[GroupByKey]])*OutputTable[RecordedValue])),0)</f>
        <v>6.2302629535669061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17" cm="1">
        <f t="array" ref="O17">MIN(IF((OutputTable[GroupByKey]=OutputTable[[#This Row],[GroupByKey]]),(OutputTable[GroupByKey]=OutputTable[[#This Row],[GroupByKey]])*OutputTable[RecordedValue]))</f>
        <v>60</v>
      </c>
      <c r="P17" cm="1">
        <f t="array" ref="P17">MAX(IF((OutputTable[GroupByKey]=OutputTable[[#This Row],[GroupByKey]]),(OutputTable[GroupByKey]=OutputTable[[#This Row],[GroupByKey]])*OutputTable[RecordedValue]))</f>
        <v>84</v>
      </c>
    </row>
    <row r="18" spans="1:16" x14ac:dyDescent="0.25">
      <c r="A18" t="s">
        <v>67</v>
      </c>
      <c r="B18" t="s">
        <v>69</v>
      </c>
      <c r="C18">
        <v>1</v>
      </c>
      <c r="D18" t="s">
        <v>167</v>
      </c>
      <c r="E18" t="s">
        <v>165</v>
      </c>
      <c r="F18" t="s">
        <v>136</v>
      </c>
      <c r="G18">
        <v>0.72539246956556902</v>
      </c>
      <c r="H18">
        <v>0</v>
      </c>
      <c r="I18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17</v>
      </c>
      <c r="K18" cm="1">
        <f t="array" ref="K18">IFERROR(AVERAGE(IF((OutputTable[GroupByKey]=OutputTable[[#This Row],[GroupByKey]]),(OutputTable[GroupByKey]=OutputTable[[#This Row],[GroupByKey]])*OutputTable[RecordedValue])),0)</f>
        <v>0.66010861965703893</v>
      </c>
      <c r="L18" cm="1">
        <f t="array" ref="L18">IFERROR(_xlfn.STDEV.S(IF((OutputTable[GroupByKey]=OutputTable[[#This Row],[GroupByKey]]),(OutputTable[GroupByKey]=OutputTable[[#This Row],[GroupByKey]])*OutputTable[RecordedValue])),0)</f>
        <v>6.6171154002911237E-2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18" cm="1">
        <f t="array" ref="O18">MIN(IF((OutputTable[GroupByKey]=OutputTable[[#This Row],[GroupByKey]]),(OutputTable[GroupByKey]=OutputTable[[#This Row],[GroupByKey]])*OutputTable[RecordedValue]))</f>
        <v>0.52223972091576099</v>
      </c>
      <c r="P18" cm="1">
        <f t="array" ref="P18">MAX(IF((OutputTable[GroupByKey]=OutputTable[[#This Row],[GroupByKey]]),(OutputTable[GroupByKey]=OutputTable[[#This Row],[GroupByKey]])*OutputTable[RecordedValue]))</f>
        <v>0.77852312806092006</v>
      </c>
    </row>
    <row r="19" spans="1:16" x14ac:dyDescent="0.25">
      <c r="A19" t="s">
        <v>67</v>
      </c>
      <c r="B19" t="s">
        <v>69</v>
      </c>
      <c r="C19">
        <v>1</v>
      </c>
      <c r="D19" t="s">
        <v>168</v>
      </c>
      <c r="E19" t="s">
        <v>163</v>
      </c>
      <c r="F19" t="s">
        <v>136</v>
      </c>
      <c r="G19">
        <v>19</v>
      </c>
      <c r="H19">
        <v>0</v>
      </c>
      <c r="I19" t="str">
        <f>OutputTable[[#This Row],[ProjectName]]&amp;OutputTable[[#This Row],[Name]]&amp;OutputTable[[#This Row],[Type]]&amp;OutputTable[[#This Row],[Source]]</f>
        <v>Weekend (base)rMesa.NumberSeizedTotal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17</v>
      </c>
      <c r="K19" cm="1">
        <f t="array" ref="K19">IFERROR(AVERAGE(IF((OutputTable[GroupByKey]=OutputTable[[#This Row],[GroupByKey]]),(OutputTable[GroupByKey]=OutputTable[[#This Row],[GroupByKey]])*OutputTable[RecordedValue])),0)</f>
        <v>16.941176470588236</v>
      </c>
      <c r="L19" cm="1">
        <f t="array" ref="L19">IFERROR(_xlfn.STDEV.S(IF((OutputTable[GroupByKey]=OutputTable[[#This Row],[GroupByKey]]),(OutputTable[GroupByKey]=OutputTable[[#This Row],[GroupByKey]])*OutputTable[RecordedValue])),0)</f>
        <v>3.0097879542273018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9" cm="1">
        <f t="array" ref="O19">MIN(IF((OutputTable[GroupByKey]=OutputTable[[#This Row],[GroupByKey]]),(OutputTable[GroupByKey]=OutputTable[[#This Row],[GroupByKey]])*OutputTable[RecordedValue]))</f>
        <v>12</v>
      </c>
      <c r="P19" cm="1">
        <f t="array" ref="P19">MAX(IF((OutputTable[GroupByKey]=OutputTable[[#This Row],[GroupByKey]]),(OutputTable[GroupByKey]=OutputTable[[#This Row],[GroupByKey]])*OutputTable[RecordedValue]))</f>
        <v>22</v>
      </c>
    </row>
    <row r="20" spans="1:16" x14ac:dyDescent="0.25">
      <c r="A20" t="s">
        <v>67</v>
      </c>
      <c r="B20" t="s">
        <v>69</v>
      </c>
      <c r="C20">
        <v>1</v>
      </c>
      <c r="D20" t="s">
        <v>169</v>
      </c>
      <c r="E20" t="s">
        <v>165</v>
      </c>
      <c r="F20" t="s">
        <v>136</v>
      </c>
      <c r="G20">
        <v>0.38852989014557099</v>
      </c>
      <c r="H20">
        <v>0</v>
      </c>
      <c r="I20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17</v>
      </c>
      <c r="K20" cm="1">
        <f t="array" ref="K20">IFERROR(AVERAGE(IF((OutputTable[GroupByKey]=OutputTable[[#This Row],[GroupByKey]]),(OutputTable[GroupByKey]=OutputTable[[#This Row],[GroupByKey]])*OutputTable[RecordedValue])),0)</f>
        <v>0.34356399197544252</v>
      </c>
      <c r="L20" cm="1">
        <f t="array" ref="L20">IFERROR(_xlfn.STDEV.S(IF((OutputTable[GroupByKey]=OutputTable[[#This Row],[GroupByKey]]),(OutputTable[GroupByKey]=OutputTable[[#This Row],[GroupByKey]])*OutputTable[RecordedValue])),0)</f>
        <v>7.597675013665138E-2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20" cm="1">
        <f t="array" ref="O20">MIN(IF((OutputTable[GroupByKey]=OutputTable[[#This Row],[GroupByKey]]),(OutputTable[GroupByKey]=OutputTable[[#This Row],[GroupByKey]])*OutputTable[RecordedValue]))</f>
        <v>0.20879044077011299</v>
      </c>
      <c r="P20" cm="1">
        <f t="array" ref="P20">MAX(IF((OutputTable[GroupByKey]=OutputTable[[#This Row],[GroupByKey]]),(OutputTable[GroupByKey]=OutputTable[[#This Row],[GroupByKey]])*OutputTable[RecordedValue]))</f>
        <v>0.53820629377380302</v>
      </c>
    </row>
    <row r="21" spans="1:16" x14ac:dyDescent="0.25">
      <c r="A21" t="s">
        <v>67</v>
      </c>
      <c r="B21" t="s">
        <v>69</v>
      </c>
      <c r="C21">
        <v>1</v>
      </c>
      <c r="D21" t="s">
        <v>170</v>
      </c>
      <c r="E21" t="s">
        <v>145</v>
      </c>
      <c r="F21" t="s">
        <v>72</v>
      </c>
      <c r="G21">
        <v>3</v>
      </c>
      <c r="H21">
        <v>0</v>
      </c>
      <c r="I21" t="str">
        <f>OutputTable[[#This Row],[ProjectName]]&amp;OutputTable[[#This Row],[Name]]&amp;OutputTable[[#This Row],[Type]]&amp;OutputTable[[#This Row],[Source]]</f>
        <v>Weekend (base)reloj.NumberInNumber InEntity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17</v>
      </c>
      <c r="K21" cm="1">
        <f t="array" ref="K21">IFERROR(AVERAGE(IF((OutputTable[GroupByKey]=OutputTable[[#This Row],[GroupByKey]]),(OutputTable[GroupByKey]=OutputTable[[#This Row],[GroupByKey]])*OutputTable[RecordedValue])),0)</f>
        <v>3</v>
      </c>
      <c r="L21" cm="1">
        <f t="array" ref="L21">IFERROR(_xlfn.STDEV.S(IF((OutputTable[GroupByKey]=OutputTable[[#This Row],[GroupByKey]]),(OutputTable[GroupByKey]=OutputTable[[#This Row],[GroupByKey]])*OutputTable[RecordedValue])),0)</f>
        <v>0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" cm="1">
        <f t="array" ref="O21">MIN(IF((OutputTable[GroupByKey]=OutputTable[[#This Row],[GroupByKey]]),(OutputTable[GroupByKey]=OutputTable[[#This Row],[GroupByKey]])*OutputTable[RecordedValue]))</f>
        <v>3</v>
      </c>
      <c r="P21" cm="1">
        <f t="array" ref="P21">MAX(IF((OutputTable[GroupByKey]=OutputTable[[#This Row],[GroupByKey]]),(OutputTable[GroupByKey]=OutputTable[[#This Row],[GroupByKey]])*OutputTable[RecordedValue]))</f>
        <v>3</v>
      </c>
    </row>
    <row r="22" spans="1:16" x14ac:dyDescent="0.25">
      <c r="A22" t="s">
        <v>67</v>
      </c>
      <c r="B22" t="s">
        <v>69</v>
      </c>
      <c r="C22">
        <v>1</v>
      </c>
      <c r="D22" t="s">
        <v>171</v>
      </c>
      <c r="E22" t="s">
        <v>147</v>
      </c>
      <c r="F22" t="s">
        <v>72</v>
      </c>
      <c r="G22">
        <v>3</v>
      </c>
      <c r="H22">
        <v>0</v>
      </c>
      <c r="I22" t="str">
        <f>OutputTable[[#This Row],[ProjectName]]&amp;OutputTable[[#This Row],[Name]]&amp;OutputTable[[#This Row],[Type]]&amp;OutputTable[[#This Row],[Source]]</f>
        <v>Weekend (base)reloj.NumberOutNumber OutEntity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17</v>
      </c>
      <c r="K22" cm="1">
        <f t="array" ref="K22">IFERROR(AVERAGE(IF((OutputTable[GroupByKey]=OutputTable[[#This Row],[GroupByKey]]),(OutputTable[GroupByKey]=OutputTable[[#This Row],[GroupByKey]])*OutputTable[RecordedValue])),0)</f>
        <v>3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3</v>
      </c>
      <c r="P22" cm="1">
        <f t="array" ref="P22">MAX(IF((OutputTable[GroupByKey]=OutputTable[[#This Row],[GroupByKey]]),(OutputTable[GroupByKey]=OutputTable[[#This Row],[GroupByKey]])*OutputTable[RecordedValue]))</f>
        <v>3</v>
      </c>
    </row>
    <row r="23" spans="1:16" x14ac:dyDescent="0.25">
      <c r="A23" t="s">
        <v>67</v>
      </c>
      <c r="B23" t="s">
        <v>69</v>
      </c>
      <c r="C23">
        <v>2</v>
      </c>
      <c r="D23" t="s">
        <v>144</v>
      </c>
      <c r="E23" t="s">
        <v>145</v>
      </c>
      <c r="F23" t="s">
        <v>72</v>
      </c>
      <c r="G23">
        <v>341</v>
      </c>
      <c r="H23">
        <v>0</v>
      </c>
      <c r="I23" t="str">
        <f>OutputTable[[#This Row],[ProjectName]]&amp;OutputTable[[#This Row],[Name]]&amp;OutputTable[[#This Row],[Type]]&amp;OutputTable[[#This Row],[Source]]</f>
        <v>Weekend (base)Cliente.NumberInNumber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17</v>
      </c>
      <c r="K23" cm="1">
        <f t="array" ref="K23">IFERROR(AVERAGE(IF((OutputTable[GroupByKey]=OutputTable[[#This Row],[GroupByKey]]),(OutputTable[GroupByKey]=OutputTable[[#This Row],[GroupByKey]])*OutputTable[RecordedValue])),0)</f>
        <v>354.11764705882354</v>
      </c>
      <c r="L23" cm="1">
        <f t="array" ref="L23">IFERROR(_xlfn.STDEV.S(IF((OutputTable[GroupByKey]=OutputTable[[#This Row],[GroupByKey]]),(OutputTable[GroupByKey]=OutputTable[[#This Row],[GroupByKey]])*OutputTable[RecordedValue])),0)</f>
        <v>19.776508643277939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23" cm="1">
        <f t="array" ref="O23">MIN(IF((OutputTable[GroupByKey]=OutputTable[[#This Row],[GroupByKey]]),(OutputTable[GroupByKey]=OutputTable[[#This Row],[GroupByKey]])*OutputTable[RecordedValue]))</f>
        <v>316</v>
      </c>
      <c r="P23" cm="1">
        <f t="array" ref="P23">MAX(IF((OutputTable[GroupByKey]=OutputTable[[#This Row],[GroupByKey]]),(OutputTable[GroupByKey]=OutputTable[[#This Row],[GroupByKey]])*OutputTable[RecordedValue]))</f>
        <v>387</v>
      </c>
    </row>
    <row r="24" spans="1:16" x14ac:dyDescent="0.25">
      <c r="A24" t="s">
        <v>67</v>
      </c>
      <c r="B24" t="s">
        <v>69</v>
      </c>
      <c r="C24">
        <v>2</v>
      </c>
      <c r="D24" t="s">
        <v>146</v>
      </c>
      <c r="E24" t="s">
        <v>147</v>
      </c>
      <c r="F24" t="s">
        <v>72</v>
      </c>
      <c r="G24">
        <v>347</v>
      </c>
      <c r="H24">
        <v>0</v>
      </c>
      <c r="I24" t="str">
        <f>OutputTable[[#This Row],[ProjectName]]&amp;OutputTable[[#This Row],[Name]]&amp;OutputTable[[#This Row],[Type]]&amp;OutputTable[[#This Row],[Source]]</f>
        <v>Weekend (base)Cliente.NumberOutNumber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17</v>
      </c>
      <c r="K24" cm="1">
        <f t="array" ref="K24">IFERROR(AVERAGE(IF((OutputTable[GroupByKey]=OutputTable[[#This Row],[GroupByKey]]),(OutputTable[GroupByKey]=OutputTable[[#This Row],[GroupByKey]])*OutputTable[RecordedValue])),0)</f>
        <v>354.88235294117646</v>
      </c>
      <c r="L24" cm="1">
        <f t="array" ref="L24">IFERROR(_xlfn.STDEV.S(IF((OutputTable[GroupByKey]=OutputTable[[#This Row],[GroupByKey]]),(OutputTable[GroupByKey]=OutputTable[[#This Row],[GroupByKey]])*OutputTable[RecordedValue])),0)</f>
        <v>20.951975900082719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24" cm="1">
        <f t="array" ref="O24">MIN(IF((OutputTable[GroupByKey]=OutputTable[[#This Row],[GroupByKey]]),(OutputTable[GroupByKey]=OutputTable[[#This Row],[GroupByKey]])*OutputTable[RecordedValue]))</f>
        <v>319</v>
      </c>
      <c r="P24" cm="1">
        <f t="array" ref="P24">MAX(IF((OutputTable[GroupByKey]=OutputTable[[#This Row],[GroupByKey]]),(OutputTable[GroupByKey]=OutputTable[[#This Row],[GroupByKey]])*OutputTable[RecordedValue]))</f>
        <v>391</v>
      </c>
    </row>
    <row r="25" spans="1:16" x14ac:dyDescent="0.25">
      <c r="A25" t="s">
        <v>67</v>
      </c>
      <c r="B25" t="s">
        <v>69</v>
      </c>
      <c r="C25">
        <v>2</v>
      </c>
      <c r="D25" t="s">
        <v>148</v>
      </c>
      <c r="E25" t="s">
        <v>149</v>
      </c>
      <c r="F25" t="s">
        <v>86</v>
      </c>
      <c r="G25">
        <v>259.02773089616397</v>
      </c>
      <c r="H25">
        <v>0</v>
      </c>
      <c r="I25" t="str">
        <f>OutputTable[[#This Row],[ProjectName]]&amp;OutputTable[[#This Row],[Name]]&amp;OutputTable[[#This Row],[Type]]&amp;OutputTable[[#This Row],[Source]]</f>
        <v>Weekend (base)Comer en Mesa Accum VA TimeAccum VA TimeProcess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17</v>
      </c>
      <c r="K25" cm="1">
        <f t="array" ref="K25">IFERROR(AVERAGE(IF((OutputTable[GroupByKey]=OutputTable[[#This Row],[GroupByKey]]),(OutputTable[GroupByKey]=OutputTable[[#This Row],[GroupByKey]])*OutputTable[RecordedValue])),0)</f>
        <v>308.63553444706355</v>
      </c>
      <c r="L25" cm="1">
        <f t="array" ref="L25">IFERROR(_xlfn.STDEV.S(IF((OutputTable[GroupByKey]=OutputTable[[#This Row],[GroupByKey]]),(OutputTable[GroupByKey]=OutputTable[[#This Row],[GroupByKey]])*OutputTable[RecordedValue])),0)</f>
        <v>57.365542312184125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25" cm="1">
        <f t="array" ref="O25">MIN(IF((OutputTable[GroupByKey]=OutputTable[[#This Row],[GroupByKey]]),(OutputTable[GroupByKey]=OutputTable[[#This Row],[GroupByKey]])*OutputTable[RecordedValue]))</f>
        <v>225.161235126317</v>
      </c>
      <c r="P25" cm="1">
        <f t="array" ref="P25">MAX(IF((OutputTable[GroupByKey]=OutputTable[[#This Row],[GroupByKey]]),(OutputTable[GroupByKey]=OutputTable[[#This Row],[GroupByKey]])*OutputTable[RecordedValue]))</f>
        <v>456.33427551718</v>
      </c>
    </row>
    <row r="26" spans="1:16" x14ac:dyDescent="0.25">
      <c r="A26" t="s">
        <v>67</v>
      </c>
      <c r="B26" t="s">
        <v>69</v>
      </c>
      <c r="C26">
        <v>2</v>
      </c>
      <c r="D26" t="s">
        <v>150</v>
      </c>
      <c r="E26" t="s">
        <v>151</v>
      </c>
      <c r="F26" t="s">
        <v>86</v>
      </c>
      <c r="G26">
        <v>0</v>
      </c>
      <c r="H26">
        <v>0</v>
      </c>
      <c r="I26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17</v>
      </c>
      <c r="K26" cm="1">
        <f t="array" ref="K26">IFERROR(AVERAGE(IF((OutputTable[GroupByKey]=OutputTable[[#This Row],[GroupByKey]]),(OutputTable[GroupByKey]=OutputTable[[#This Row],[GroupByKey]])*OutputTable[RecordedValue])),0)</f>
        <v>0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" cm="1">
        <f t="array" ref="O26">MIN(IF((OutputTable[GroupByKey]=OutputTable[[#This Row],[GroupByKey]]),(OutputTable[GroupByKey]=OutputTable[[#This Row],[GroupByKey]])*OutputTable[RecordedValue]))</f>
        <v>0</v>
      </c>
      <c r="P26" cm="1">
        <f t="array" ref="P26">MAX(IF((OutputTable[GroupByKey]=OutputTable[[#This Row],[GroupByKey]]),(OutputTable[GroupByKey]=OutputTable[[#This Row],[GroupByKey]])*OutputTable[RecordedValue]))</f>
        <v>0</v>
      </c>
    </row>
    <row r="27" spans="1:16" x14ac:dyDescent="0.25">
      <c r="A27" t="s">
        <v>67</v>
      </c>
      <c r="B27" t="s">
        <v>69</v>
      </c>
      <c r="C27">
        <v>2</v>
      </c>
      <c r="D27" t="s">
        <v>152</v>
      </c>
      <c r="E27" t="s">
        <v>145</v>
      </c>
      <c r="F27" t="s">
        <v>86</v>
      </c>
      <c r="G27">
        <v>13</v>
      </c>
      <c r="H27">
        <v>0</v>
      </c>
      <c r="I27" t="str">
        <f>OutputTable[[#This Row],[ProjectName]]&amp;OutputTable[[#This Row],[Name]]&amp;OutputTable[[#This Row],[Type]]&amp;OutputTable[[#This Row],[Source]]</f>
        <v>Weekend (base)Comer en Mesa Number InNumber InProcess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17</v>
      </c>
      <c r="K27" cm="1">
        <f t="array" ref="K27">IFERROR(AVERAGE(IF((OutputTable[GroupByKey]=OutputTable[[#This Row],[GroupByKey]]),(OutputTable[GroupByKey]=OutputTable[[#This Row],[GroupByKey]])*OutputTable[RecordedValue])),0)</f>
        <v>16.941176470588236</v>
      </c>
      <c r="L27" cm="1">
        <f t="array" ref="L27">IFERROR(_xlfn.STDEV.S(IF((OutputTable[GroupByKey]=OutputTable[[#This Row],[GroupByKey]]),(OutputTable[GroupByKey]=OutputTable[[#This Row],[GroupByKey]])*OutputTable[RecordedValue])),0)</f>
        <v>3.0097879542273018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7" cm="1">
        <f t="array" ref="O27">MIN(IF((OutputTable[GroupByKey]=OutputTable[[#This Row],[GroupByKey]]),(OutputTable[GroupByKey]=OutputTable[[#This Row],[GroupByKey]])*OutputTable[RecordedValue]))</f>
        <v>12</v>
      </c>
      <c r="P27" cm="1">
        <f t="array" ref="P27">MAX(IF((OutputTable[GroupByKey]=OutputTable[[#This Row],[GroupByKey]]),(OutputTable[GroupByKey]=OutputTable[[#This Row],[GroupByKey]])*OutputTable[RecordedValue]))</f>
        <v>22</v>
      </c>
    </row>
    <row r="28" spans="1:16" x14ac:dyDescent="0.25">
      <c r="A28" t="s">
        <v>67</v>
      </c>
      <c r="B28" t="s">
        <v>69</v>
      </c>
      <c r="C28">
        <v>2</v>
      </c>
      <c r="D28" t="s">
        <v>153</v>
      </c>
      <c r="E28" t="s">
        <v>147</v>
      </c>
      <c r="F28" t="s">
        <v>86</v>
      </c>
      <c r="G28">
        <v>15</v>
      </c>
      <c r="H28">
        <v>0</v>
      </c>
      <c r="I28" t="str">
        <f>OutputTable[[#This Row],[ProjectName]]&amp;OutputTable[[#This Row],[Name]]&amp;OutputTable[[#This Row],[Type]]&amp;OutputTable[[#This Row],[Source]]</f>
        <v>Weekend (base)Comer en Mesa Number OutNumber OutProcess</v>
      </c>
      <c r="J28" cm="1">
        <f t="array" ref="J28">MAX(IF((ProjectInfoTable[ProjectName]=OutputTable[[#This Row],[ProjectName]]),(ProjectInfoTable[ProjectName]=OutputTable[[#This Row],[ProjectName]])*ProjectInfoTable[NumberOfReplications]))</f>
        <v>17</v>
      </c>
      <c r="K28" cm="1">
        <f t="array" ref="K28">IFERROR(AVERAGE(IF((OutputTable[GroupByKey]=OutputTable[[#This Row],[GroupByKey]]),(OutputTable[GroupByKey]=OutputTable[[#This Row],[GroupByKey]])*OutputTable[RecordedValue])),0)</f>
        <v>16.764705882352942</v>
      </c>
      <c r="L28" cm="1">
        <f t="array" ref="L28">IFERROR(_xlfn.STDEV.S(IF((OutputTable[GroupByKey]=OutputTable[[#This Row],[GroupByKey]]),(OutputTable[GroupByKey]=OutputTable[[#This Row],[GroupByKey]])*OutputTable[RecordedValue])),0)</f>
        <v>1.8550408272025261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28" cm="1">
        <f t="array" ref="O28">MIN(IF((OutputTable[GroupByKey]=OutputTable[[#This Row],[GroupByKey]]),(OutputTable[GroupByKey]=OutputTable[[#This Row],[GroupByKey]])*OutputTable[RecordedValue]))</f>
        <v>13</v>
      </c>
      <c r="P28" cm="1">
        <f t="array" ref="P28">MAX(IF((OutputTable[GroupByKey]=OutputTable[[#This Row],[GroupByKey]]),(OutputTable[GroupByKey]=OutputTable[[#This Row],[GroupByKey]])*OutputTable[RecordedValue]))</f>
        <v>20</v>
      </c>
    </row>
    <row r="29" spans="1:16" x14ac:dyDescent="0.25">
      <c r="A29" t="s">
        <v>67</v>
      </c>
      <c r="B29" t="s">
        <v>69</v>
      </c>
      <c r="C29">
        <v>2</v>
      </c>
      <c r="D29" t="s">
        <v>154</v>
      </c>
      <c r="E29" t="s">
        <v>145</v>
      </c>
      <c r="F29" t="s">
        <v>72</v>
      </c>
      <c r="G29">
        <v>113</v>
      </c>
      <c r="H29">
        <v>0</v>
      </c>
      <c r="I29" t="str">
        <f>OutputTable[[#This Row],[ProjectName]]&amp;OutputTable[[#This Row],[Name]]&amp;OutputTable[[#This Row],[Type]]&amp;OutputTable[[#This Row],[Source]]</f>
        <v>Weekend (base)Orden.NumberInNumber InEntity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17</v>
      </c>
      <c r="K29" cm="1">
        <f t="array" ref="K29">IFERROR(AVERAGE(IF((OutputTable[GroupByKey]=OutputTable[[#This Row],[GroupByKey]]),(OutputTable[GroupByKey]=OutputTable[[#This Row],[GroupByKey]])*OutputTable[RecordedValue])),0)</f>
        <v>117.35294117647059</v>
      </c>
      <c r="L29" cm="1">
        <f t="array" ref="L29">IFERROR(_xlfn.STDEV.S(IF((OutputTable[GroupByKey]=OutputTable[[#This Row],[GroupByKey]]),(OutputTable[GroupByKey]=OutputTable[[#This Row],[GroupByKey]])*OutputTable[RecordedValue])),0)</f>
        <v>7.1496606254299602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9" cm="1">
        <f t="array" ref="O29">MIN(IF((OutputTable[GroupByKey]=OutputTable[[#This Row],[GroupByKey]]),(OutputTable[GroupByKey]=OutputTable[[#This Row],[GroupByKey]])*OutputTable[RecordedValue]))</f>
        <v>105</v>
      </c>
      <c r="P29" cm="1">
        <f t="array" ref="P29">MAX(IF((OutputTable[GroupByKey]=OutputTable[[#This Row],[GroupByKey]]),(OutputTable[GroupByKey]=OutputTable[[#This Row],[GroupByKey]])*OutputTable[RecordedValue]))</f>
        <v>131</v>
      </c>
    </row>
    <row r="30" spans="1:16" x14ac:dyDescent="0.25">
      <c r="A30" t="s">
        <v>67</v>
      </c>
      <c r="B30" t="s">
        <v>69</v>
      </c>
      <c r="C30">
        <v>2</v>
      </c>
      <c r="D30" t="s">
        <v>155</v>
      </c>
      <c r="E30" t="s">
        <v>147</v>
      </c>
      <c r="F30" t="s">
        <v>72</v>
      </c>
      <c r="G30">
        <v>117</v>
      </c>
      <c r="H30">
        <v>0</v>
      </c>
      <c r="I30" t="str">
        <f>OutputTable[[#This Row],[ProjectName]]&amp;OutputTable[[#This Row],[Name]]&amp;OutputTable[[#This Row],[Type]]&amp;OutputTable[[#This Row],[Source]]</f>
        <v>Weekend (base)Orden.NumberOutNumber OutEntity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17</v>
      </c>
      <c r="K30" cm="1">
        <f t="array" ref="K30">IFERROR(AVERAGE(IF((OutputTable[GroupByKey]=OutputTable[[#This Row],[GroupByKey]]),(OutputTable[GroupByKey]=OutputTable[[#This Row],[GroupByKey]])*OutputTable[RecordedValue])),0)</f>
        <v>118.76470588235294</v>
      </c>
      <c r="L30" cm="1">
        <f t="array" ref="L30">IFERROR(_xlfn.STDEV.S(IF((OutputTable[GroupByKey]=OutputTable[[#This Row],[GroupByKey]]),(OutputTable[GroupByKey]=OutputTable[[#This Row],[GroupByKey]])*OutputTable[RecordedValue])),0)</f>
        <v>7.0580575564802697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30" cm="1">
        <f t="array" ref="O30">MIN(IF((OutputTable[GroupByKey]=OutputTable[[#This Row],[GroupByKey]]),(OutputTable[GroupByKey]=OutputTable[[#This Row],[GroupByKey]])*OutputTable[RecordedValue]))</f>
        <v>107</v>
      </c>
      <c r="P30" cm="1">
        <f t="array" ref="P30">MAX(IF((OutputTable[GroupByKey]=OutputTable[[#This Row],[GroupByKey]]),(OutputTable[GroupByKey]=OutputTable[[#This Row],[GroupByKey]])*OutputTable[RecordedValue]))</f>
        <v>130</v>
      </c>
    </row>
    <row r="31" spans="1:16" x14ac:dyDescent="0.25">
      <c r="A31" t="s">
        <v>67</v>
      </c>
      <c r="B31" t="s">
        <v>69</v>
      </c>
      <c r="C31">
        <v>2</v>
      </c>
      <c r="D31" t="s">
        <v>156</v>
      </c>
      <c r="E31" t="s">
        <v>149</v>
      </c>
      <c r="F31" t="s">
        <v>86</v>
      </c>
      <c r="G31">
        <v>180.236544252529</v>
      </c>
      <c r="H31">
        <v>0</v>
      </c>
      <c r="I31" t="str">
        <f>OutputTable[[#This Row],[ProjectName]]&amp;OutputTable[[#This Row],[Name]]&amp;OutputTable[[#This Row],[Type]]&amp;OutputTable[[#This Row],[Source]]</f>
        <v>Weekend (base)Preparacion Accum VA TimeAccum VA TimeProcess</v>
      </c>
      <c r="J31" cm="1">
        <f t="array" ref="J31">MAX(IF((ProjectInfoTable[ProjectName]=OutputTable[[#This Row],[ProjectName]]),(ProjectInfoTable[ProjectName]=OutputTable[[#This Row],[ProjectName]])*ProjectInfoTable[NumberOfReplications]))</f>
        <v>17</v>
      </c>
      <c r="K31" cm="1">
        <f t="array" ref="K31">IFERROR(AVERAGE(IF((OutputTable[GroupByKey]=OutputTable[[#This Row],[GroupByKey]]),(OutputTable[GroupByKey]=OutputTable[[#This Row],[GroupByKey]])*OutputTable[RecordedValue])),0)</f>
        <v>191.25148078330704</v>
      </c>
      <c r="L31" cm="1">
        <f t="array" ref="L31">IFERROR(_xlfn.STDEV.S(IF((OutputTable[GroupByKey]=OutputTable[[#This Row],[GroupByKey]]),(OutputTable[GroupByKey]=OutputTable[[#This Row],[GroupByKey]])*OutputTable[RecordedValue])),0)</f>
        <v>16.886201618463961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31" cm="1">
        <f t="array" ref="O31">MIN(IF((OutputTable[GroupByKey]=OutputTable[[#This Row],[GroupByKey]]),(OutputTable[GroupByKey]=OutputTable[[#This Row],[GroupByKey]])*OutputTable[RecordedValue]))</f>
        <v>159.38722481493599</v>
      </c>
      <c r="P31" cm="1">
        <f t="array" ref="P31">MAX(IF((OutputTable[GroupByKey]=OutputTable[[#This Row],[GroupByKey]]),(OutputTable[GroupByKey]=OutputTable[[#This Row],[GroupByKey]])*OutputTable[RecordedValue]))</f>
        <v>225.02992874035499</v>
      </c>
    </row>
    <row r="32" spans="1:16" x14ac:dyDescent="0.25">
      <c r="A32" t="s">
        <v>67</v>
      </c>
      <c r="B32" t="s">
        <v>69</v>
      </c>
      <c r="C32">
        <v>2</v>
      </c>
      <c r="D32" t="s">
        <v>157</v>
      </c>
      <c r="E32" t="s">
        <v>151</v>
      </c>
      <c r="F32" t="s">
        <v>86</v>
      </c>
      <c r="G32">
        <v>153.676925270834</v>
      </c>
      <c r="H32">
        <v>0</v>
      </c>
      <c r="I32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17</v>
      </c>
      <c r="K32" s="5" cm="1">
        <f t="array" ref="K32">IFERROR(AVERAGE(IF((OutputTable[GroupByKey]=OutputTable[[#This Row],[GroupByKey]]),(OutputTable[GroupByKey]=OutputTable[[#This Row],[GroupByKey]])*OutputTable[RecordedValue])),0)</f>
        <v>133.66503743442436</v>
      </c>
      <c r="L32" s="5" cm="1">
        <f t="array" ref="L32">IFERROR(_xlfn.STDEV.S(IF((OutputTable[GroupByKey]=OutputTable[[#This Row],[GroupByKey]]),(OutputTable[GroupByKey]=OutputTable[[#This Row],[GroupByKey]])*OutputTable[RecordedValue])),0)</f>
        <v>79.508986996493206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32" s="5" cm="1">
        <f t="array" ref="O32">MIN(IF((OutputTable[GroupByKey]=OutputTable[[#This Row],[GroupByKey]]),(OutputTable[GroupByKey]=OutputTable[[#This Row],[GroupByKey]])*OutputTable[RecordedValue]))</f>
        <v>36.437518321990602</v>
      </c>
      <c r="P32" s="5" cm="1">
        <f t="array" ref="P32">MAX(IF((OutputTable[GroupByKey]=OutputTable[[#This Row],[GroupByKey]]),(OutputTable[GroupByKey]=OutputTable[[#This Row],[GroupByKey]])*OutputTable[RecordedValue]))</f>
        <v>324.91710015892198</v>
      </c>
    </row>
    <row r="33" spans="1:16" x14ac:dyDescent="0.25">
      <c r="A33" t="s">
        <v>67</v>
      </c>
      <c r="B33" t="s">
        <v>69</v>
      </c>
      <c r="C33">
        <v>2</v>
      </c>
      <c r="D33" t="s">
        <v>158</v>
      </c>
      <c r="E33" t="s">
        <v>145</v>
      </c>
      <c r="F33" t="s">
        <v>86</v>
      </c>
      <c r="G33">
        <v>113</v>
      </c>
      <c r="H33">
        <v>0</v>
      </c>
      <c r="I33" s="5" t="str">
        <f>OutputTable[[#This Row],[ProjectName]]&amp;OutputTable[[#This Row],[Name]]&amp;OutputTable[[#This Row],[Type]]&amp;OutputTable[[#This Row],[Source]]</f>
        <v>Weekend (base)Preparacion Number InNumber InProcess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17</v>
      </c>
      <c r="K33" s="5" cm="1">
        <f t="array" ref="K33">IFERROR(AVERAGE(IF((OutputTable[GroupByKey]=OutputTable[[#This Row],[GroupByKey]]),(OutputTable[GroupByKey]=OutputTable[[#This Row],[GroupByKey]])*OutputTable[RecordedValue])),0)</f>
        <v>117.35294117647059</v>
      </c>
      <c r="L33" s="5" cm="1">
        <f t="array" ref="L33">IFERROR(_xlfn.STDEV.S(IF((OutputTable[GroupByKey]=OutputTable[[#This Row],[GroupByKey]]),(OutputTable[GroupByKey]=OutputTable[[#This Row],[GroupByKey]])*OutputTable[RecordedValue])),0)</f>
        <v>7.1496606254299602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33" s="5" cm="1">
        <f t="array" ref="O33">MIN(IF((OutputTable[GroupByKey]=OutputTable[[#This Row],[GroupByKey]]),(OutputTable[GroupByKey]=OutputTable[[#This Row],[GroupByKey]])*OutputTable[RecordedValue]))</f>
        <v>105</v>
      </c>
      <c r="P33" s="5" cm="1">
        <f t="array" ref="P33">MAX(IF((OutputTable[GroupByKey]=OutputTable[[#This Row],[GroupByKey]]),(OutputTable[GroupByKey]=OutputTable[[#This Row],[GroupByKey]])*OutputTable[RecordedValue]))</f>
        <v>131</v>
      </c>
    </row>
    <row r="34" spans="1:16" x14ac:dyDescent="0.25">
      <c r="A34" t="s">
        <v>67</v>
      </c>
      <c r="B34" t="s">
        <v>69</v>
      </c>
      <c r="C34">
        <v>2</v>
      </c>
      <c r="D34" t="s">
        <v>159</v>
      </c>
      <c r="E34" t="s">
        <v>147</v>
      </c>
      <c r="F34" t="s">
        <v>86</v>
      </c>
      <c r="G34">
        <v>115</v>
      </c>
      <c r="H34">
        <v>0</v>
      </c>
      <c r="I34" s="5" t="str">
        <f>OutputTable[[#This Row],[ProjectName]]&amp;OutputTable[[#This Row],[Name]]&amp;OutputTable[[#This Row],[Type]]&amp;OutputTable[[#This Row],[Source]]</f>
        <v>Weekend (base)Preparacion Number OutNumber OutProcess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17</v>
      </c>
      <c r="K34" s="5" cm="1">
        <f t="array" ref="K34">IFERROR(AVERAGE(IF((OutputTable[GroupByKey]=OutputTable[[#This Row],[GroupByKey]]),(OutputTable[GroupByKey]=OutputTable[[#This Row],[GroupByKey]])*OutputTable[RecordedValue])),0)</f>
        <v>118.82352941176471</v>
      </c>
      <c r="L34" s="5" cm="1">
        <f t="array" ref="L34">IFERROR(_xlfn.STDEV.S(IF((OutputTable[GroupByKey]=OutputTable[[#This Row],[GroupByKey]]),(OutputTable[GroupByKey]=OutputTable[[#This Row],[GroupByKey]])*OutputTable[RecordedValue])),0)</f>
        <v>6.9931689358048459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34" s="5" cm="1">
        <f t="array" ref="O34">MIN(IF((OutputTable[GroupByKey]=OutputTable[[#This Row],[GroupByKey]]),(OutputTable[GroupByKey]=OutputTable[[#This Row],[GroupByKey]])*OutputTable[RecordedValue]))</f>
        <v>108</v>
      </c>
      <c r="P34" s="5" cm="1">
        <f t="array" ref="P34">MAX(IF((OutputTable[GroupByKey]=OutputTable[[#This Row],[GroupByKey]]),(OutputTable[GroupByKey]=OutputTable[[#This Row],[GroupByKey]])*OutputTable[RecordedValue]))</f>
        <v>132</v>
      </c>
    </row>
    <row r="35" spans="1:16" x14ac:dyDescent="0.25">
      <c r="A35" t="s">
        <v>67</v>
      </c>
      <c r="B35" t="s">
        <v>69</v>
      </c>
      <c r="C35">
        <v>2</v>
      </c>
      <c r="D35" t="s">
        <v>160</v>
      </c>
      <c r="E35" t="s">
        <v>147</v>
      </c>
      <c r="F35" t="s">
        <v>161</v>
      </c>
      <c r="G35">
        <v>120</v>
      </c>
      <c r="H35">
        <v>0</v>
      </c>
      <c r="I35" s="5" t="str">
        <f>OutputTable[[#This Row],[ProjectName]]&amp;OutputTable[[#This Row],[Name]]&amp;OutputTable[[#This Row],[Type]]&amp;OutputTable[[#This Row],[Source]]</f>
        <v>Weekend (base)System.NumberOutNumber OutSystem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17</v>
      </c>
      <c r="K35" s="5" cm="1">
        <f t="array" ref="K35">IFERROR(AVERAGE(IF((OutputTable[GroupByKey]=OutputTable[[#This Row],[GroupByKey]]),(OutputTable[GroupByKey]=OutputTable[[#This Row],[GroupByKey]])*OutputTable[RecordedValue])),0)</f>
        <v>121.76470588235294</v>
      </c>
      <c r="L35" s="5" cm="1">
        <f t="array" ref="L35">IFERROR(_xlfn.STDEV.S(IF((OutputTable[GroupByKey]=OutputTable[[#This Row],[GroupByKey]]),(OutputTable[GroupByKey]=OutputTable[[#This Row],[GroupByKey]])*OutputTable[RecordedValue])),0)</f>
        <v>7.0580575564802697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35" s="5" cm="1">
        <f t="array" ref="O35">MIN(IF((OutputTable[GroupByKey]=OutputTable[[#This Row],[GroupByKey]]),(OutputTable[GroupByKey]=OutputTable[[#This Row],[GroupByKey]])*OutputTable[RecordedValue]))</f>
        <v>110</v>
      </c>
      <c r="P35" s="5" cm="1">
        <f t="array" ref="P35">MAX(IF((OutputTable[GroupByKey]=OutputTable[[#This Row],[GroupByKey]]),(OutputTable[GroupByKey]=OutputTable[[#This Row],[GroupByKey]])*OutputTable[RecordedValue]))</f>
        <v>133</v>
      </c>
    </row>
    <row r="36" spans="1:16" x14ac:dyDescent="0.25">
      <c r="A36" t="s">
        <v>67</v>
      </c>
      <c r="B36" t="s">
        <v>69</v>
      </c>
      <c r="C36">
        <v>2</v>
      </c>
      <c r="D36" t="s">
        <v>162</v>
      </c>
      <c r="E36" t="s">
        <v>163</v>
      </c>
      <c r="F36" t="s">
        <v>136</v>
      </c>
      <c r="G36">
        <v>148</v>
      </c>
      <c r="H36">
        <v>0</v>
      </c>
      <c r="I36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17</v>
      </c>
      <c r="K36" s="5" cm="1">
        <f t="array" ref="K36">IFERROR(AVERAGE(IF((OutputTable[GroupByKey]=OutputTable[[#This Row],[GroupByKey]]),(OutputTable[GroupByKey]=OutputTable[[#This Row],[GroupByKey]])*OutputTable[RecordedValue])),0)</f>
        <v>162.1764705882353</v>
      </c>
      <c r="L36" s="5" cm="1">
        <f t="array" ref="L36">IFERROR(_xlfn.STDEV.S(IF((OutputTable[GroupByKey]=OutputTable[[#This Row],[GroupByKey]]),(OutputTable[GroupByKey]=OutputTable[[#This Row],[GroupByKey]])*OutputTable[RecordedValue])),0)</f>
        <v>10.100960932738323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36" s="5" cm="1">
        <f t="array" ref="O36">MIN(IF((OutputTable[GroupByKey]=OutputTable[[#This Row],[GroupByKey]]),(OutputTable[GroupByKey]=OutputTable[[#This Row],[GroupByKey]])*OutputTable[RecordedValue]))</f>
        <v>147</v>
      </c>
      <c r="P36" s="5" cm="1">
        <f t="array" ref="P36">MAX(IF((OutputTable[GroupByKey]=OutputTable[[#This Row],[GroupByKey]]),(OutputTable[GroupByKey]=OutputTable[[#This Row],[GroupByKey]])*OutputTable[RecordedValue]))</f>
        <v>183</v>
      </c>
    </row>
    <row r="37" spans="1:16" x14ac:dyDescent="0.25">
      <c r="A37" t="s">
        <v>67</v>
      </c>
      <c r="B37" t="s">
        <v>69</v>
      </c>
      <c r="C37">
        <v>2</v>
      </c>
      <c r="D37" t="s">
        <v>164</v>
      </c>
      <c r="E37" t="s">
        <v>165</v>
      </c>
      <c r="F37" t="s">
        <v>136</v>
      </c>
      <c r="G37">
        <v>0.73534383204610498</v>
      </c>
      <c r="H37">
        <v>0</v>
      </c>
      <c r="I37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17</v>
      </c>
      <c r="K37" s="5" cm="1">
        <f t="array" ref="K37">IFERROR(AVERAGE(IF((OutputTable[GroupByKey]=OutputTable[[#This Row],[GroupByKey]]),(OutputTable[GroupByKey]=OutputTable[[#This Row],[GroupByKey]])*OutputTable[RecordedValue])),0)</f>
        <v>0.82034721885470152</v>
      </c>
      <c r="L37" s="5" cm="1">
        <f t="array" ref="L37">IFERROR(_xlfn.STDEV.S(IF((OutputTable[GroupByKey]=OutputTable[[#This Row],[GroupByKey]]),(OutputTable[GroupByKey]=OutputTable[[#This Row],[GroupByKey]])*OutputTable[RecordedValue])),0)</f>
        <v>6.5495768324500853E-2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37" s="5" cm="1">
        <f t="array" ref="O37">MIN(IF((OutputTable[GroupByKey]=OutputTable[[#This Row],[GroupByKey]]),(OutputTable[GroupByKey]=OutputTable[[#This Row],[GroupByKey]])*OutputTable[RecordedValue]))</f>
        <v>0.73534383204610498</v>
      </c>
      <c r="P37" s="5" cm="1">
        <f t="array" ref="P37">MAX(IF((OutputTable[GroupByKey]=OutputTable[[#This Row],[GroupByKey]]),(OutputTable[GroupByKey]=OutputTable[[#This Row],[GroupByKey]])*OutputTable[RecordedValue]))</f>
        <v>0.95888680213271504</v>
      </c>
    </row>
    <row r="38" spans="1:16" x14ac:dyDescent="0.25">
      <c r="A38" t="s">
        <v>67</v>
      </c>
      <c r="B38" t="s">
        <v>69</v>
      </c>
      <c r="C38">
        <v>2</v>
      </c>
      <c r="D38" t="s">
        <v>166</v>
      </c>
      <c r="E38" t="s">
        <v>163</v>
      </c>
      <c r="F38" t="s">
        <v>136</v>
      </c>
      <c r="G38">
        <v>80</v>
      </c>
      <c r="H38">
        <v>0</v>
      </c>
      <c r="I38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17</v>
      </c>
      <c r="K38" s="5" cm="1">
        <f t="array" ref="K38">IFERROR(AVERAGE(IF((OutputTable[GroupByKey]=OutputTable[[#This Row],[GroupByKey]]),(OutputTable[GroupByKey]=OutputTable[[#This Row],[GroupByKey]])*OutputTable[RecordedValue])),0)</f>
        <v>73.764705882352942</v>
      </c>
      <c r="L38" s="5" cm="1">
        <f t="array" ref="L38">IFERROR(_xlfn.STDEV.S(IF((OutputTable[GroupByKey]=OutputTable[[#This Row],[GroupByKey]]),(OutputTable[GroupByKey]=OutputTable[[#This Row],[GroupByKey]])*OutputTable[RecordedValue])),0)</f>
        <v>6.2302629535669061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38" s="5" cm="1">
        <f t="array" ref="O38">MIN(IF((OutputTable[GroupByKey]=OutputTable[[#This Row],[GroupByKey]]),(OutputTable[GroupByKey]=OutputTable[[#This Row],[GroupByKey]])*OutputTable[RecordedValue]))</f>
        <v>60</v>
      </c>
      <c r="P38" s="5" cm="1">
        <f t="array" ref="P38">MAX(IF((OutputTable[GroupByKey]=OutputTable[[#This Row],[GroupByKey]]),(OutputTable[GroupByKey]=OutputTable[[#This Row],[GroupByKey]])*OutputTable[RecordedValue]))</f>
        <v>84</v>
      </c>
    </row>
    <row r="39" spans="1:16" x14ac:dyDescent="0.25">
      <c r="A39" t="s">
        <v>67</v>
      </c>
      <c r="B39" t="s">
        <v>69</v>
      </c>
      <c r="C39">
        <v>2</v>
      </c>
      <c r="D39" t="s">
        <v>167</v>
      </c>
      <c r="E39" t="s">
        <v>165</v>
      </c>
      <c r="F39" t="s">
        <v>136</v>
      </c>
      <c r="G39">
        <v>0.66503831524105395</v>
      </c>
      <c r="H39">
        <v>0</v>
      </c>
      <c r="I39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17</v>
      </c>
      <c r="K39" s="5" cm="1">
        <f t="array" ref="K39">IFERROR(AVERAGE(IF((OutputTable[GroupByKey]=OutputTable[[#This Row],[GroupByKey]]),(OutputTable[GroupByKey]=OutputTable[[#This Row],[GroupByKey]])*OutputTable[RecordedValue])),0)</f>
        <v>0.66010861965703893</v>
      </c>
      <c r="L39" s="5" cm="1">
        <f t="array" ref="L39">IFERROR(_xlfn.STDEV.S(IF((OutputTable[GroupByKey]=OutputTable[[#This Row],[GroupByKey]]),(OutputTable[GroupByKey]=OutputTable[[#This Row],[GroupByKey]])*OutputTable[RecordedValue])),0)</f>
        <v>6.6171154002911237E-2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39" s="5" cm="1">
        <f t="array" ref="O39">MIN(IF((OutputTable[GroupByKey]=OutputTable[[#This Row],[GroupByKey]]),(OutputTable[GroupByKey]=OutputTable[[#This Row],[GroupByKey]])*OutputTable[RecordedValue]))</f>
        <v>0.52223972091576099</v>
      </c>
      <c r="P39" s="5" cm="1">
        <f t="array" ref="P39">MAX(IF((OutputTable[GroupByKey]=OutputTable[[#This Row],[GroupByKey]]),(OutputTable[GroupByKey]=OutputTable[[#This Row],[GroupByKey]])*OutputTable[RecordedValue]))</f>
        <v>0.77852312806092006</v>
      </c>
    </row>
    <row r="40" spans="1:16" x14ac:dyDescent="0.25">
      <c r="A40" t="s">
        <v>67</v>
      </c>
      <c r="B40" t="s">
        <v>69</v>
      </c>
      <c r="C40">
        <v>2</v>
      </c>
      <c r="D40" t="s">
        <v>168</v>
      </c>
      <c r="E40" t="s">
        <v>163</v>
      </c>
      <c r="F40" t="s">
        <v>136</v>
      </c>
      <c r="G40">
        <v>13</v>
      </c>
      <c r="H40">
        <v>0</v>
      </c>
      <c r="I40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17</v>
      </c>
      <c r="K40" s="5" cm="1">
        <f t="array" ref="K40">IFERROR(AVERAGE(IF((OutputTable[GroupByKey]=OutputTable[[#This Row],[GroupByKey]]),(OutputTable[GroupByKey]=OutputTable[[#This Row],[GroupByKey]])*OutputTable[RecordedValue])),0)</f>
        <v>16.941176470588236</v>
      </c>
      <c r="L40" s="5" cm="1">
        <f t="array" ref="L40">IFERROR(_xlfn.STDEV.S(IF((OutputTable[GroupByKey]=OutputTable[[#This Row],[GroupByKey]]),(OutputTable[GroupByKey]=OutputTable[[#This Row],[GroupByKey]])*OutputTable[RecordedValue])),0)</f>
        <v>3.0097879542273018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40" s="5" cm="1">
        <f t="array" ref="O40">MIN(IF((OutputTable[GroupByKey]=OutputTable[[#This Row],[GroupByKey]]),(OutputTable[GroupByKey]=OutputTable[[#This Row],[GroupByKey]])*OutputTable[RecordedValue]))</f>
        <v>12</v>
      </c>
      <c r="P40" s="5" cm="1">
        <f t="array" ref="P40">MAX(IF((OutputTable[GroupByKey]=OutputTable[[#This Row],[GroupByKey]]),(OutputTable[GroupByKey]=OutputTable[[#This Row],[GroupByKey]])*OutputTable[RecordedValue]))</f>
        <v>22</v>
      </c>
    </row>
    <row r="41" spans="1:16" x14ac:dyDescent="0.25">
      <c r="A41" t="s">
        <v>67</v>
      </c>
      <c r="B41" t="s">
        <v>69</v>
      </c>
      <c r="C41">
        <v>2</v>
      </c>
      <c r="D41" t="s">
        <v>169</v>
      </c>
      <c r="E41" t="s">
        <v>165</v>
      </c>
      <c r="F41" t="s">
        <v>136</v>
      </c>
      <c r="G41">
        <v>0.286992557581916</v>
      </c>
      <c r="H41">
        <v>0</v>
      </c>
      <c r="I41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17</v>
      </c>
      <c r="K41" s="5" cm="1">
        <f t="array" ref="K41">IFERROR(AVERAGE(IF((OutputTable[GroupByKey]=OutputTable[[#This Row],[GroupByKey]]),(OutputTable[GroupByKey]=OutputTable[[#This Row],[GroupByKey]])*OutputTable[RecordedValue])),0)</f>
        <v>0.34356399197544252</v>
      </c>
      <c r="L41" s="5" cm="1">
        <f t="array" ref="L41">IFERROR(_xlfn.STDEV.S(IF((OutputTable[GroupByKey]=OutputTable[[#This Row],[GroupByKey]]),(OutputTable[GroupByKey]=OutputTable[[#This Row],[GroupByKey]])*OutputTable[RecordedValue])),0)</f>
        <v>7.597675013665138E-2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41" s="5" cm="1">
        <f t="array" ref="O41">MIN(IF((OutputTable[GroupByKey]=OutputTable[[#This Row],[GroupByKey]]),(OutputTable[GroupByKey]=OutputTable[[#This Row],[GroupByKey]])*OutputTable[RecordedValue]))</f>
        <v>0.20879044077011299</v>
      </c>
      <c r="P41" s="5" cm="1">
        <f t="array" ref="P41">MAX(IF((OutputTable[GroupByKey]=OutputTable[[#This Row],[GroupByKey]]),(OutputTable[GroupByKey]=OutputTable[[#This Row],[GroupByKey]])*OutputTable[RecordedValue]))</f>
        <v>0.53820629377380302</v>
      </c>
    </row>
    <row r="42" spans="1:16" x14ac:dyDescent="0.25">
      <c r="A42" t="s">
        <v>67</v>
      </c>
      <c r="B42" t="s">
        <v>69</v>
      </c>
      <c r="C42">
        <v>2</v>
      </c>
      <c r="D42" t="s">
        <v>170</v>
      </c>
      <c r="E42" t="s">
        <v>145</v>
      </c>
      <c r="F42" t="s">
        <v>72</v>
      </c>
      <c r="G42">
        <v>3</v>
      </c>
      <c r="H42">
        <v>0</v>
      </c>
      <c r="I42" s="5" t="str">
        <f>OutputTable[[#This Row],[ProjectName]]&amp;OutputTable[[#This Row],[Name]]&amp;OutputTable[[#This Row],[Type]]&amp;OutputTable[[#This Row],[Source]]</f>
        <v>Weekend (base)reloj.NumberInNumber InEntity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17</v>
      </c>
      <c r="K42" s="5" cm="1">
        <f t="array" ref="K42">IFERROR(AVERAGE(IF((OutputTable[GroupByKey]=OutputTable[[#This Row],[GroupByKey]]),(OutputTable[GroupByKey]=OutputTable[[#This Row],[GroupByKey]])*OutputTable[RecordedValue])),0)</f>
        <v>3</v>
      </c>
      <c r="L42" s="5" cm="1">
        <f t="array" ref="L42">IFERROR(_xlfn.STDEV.S(IF((OutputTable[GroupByKey]=OutputTable[[#This Row],[GroupByKey]]),(OutputTable[GroupByKey]=OutputTable[[#This Row],[GroupByKey]])*OutputTable[RecordedValue])),0)</f>
        <v>0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" s="5" cm="1">
        <f t="array" ref="O42">MIN(IF((OutputTable[GroupByKey]=OutputTable[[#This Row],[GroupByKey]]),(OutputTable[GroupByKey]=OutputTable[[#This Row],[GroupByKey]])*OutputTable[RecordedValue]))</f>
        <v>3</v>
      </c>
      <c r="P42" s="5" cm="1">
        <f t="array" ref="P42">MAX(IF((OutputTable[GroupByKey]=OutputTable[[#This Row],[GroupByKey]]),(OutputTable[GroupByKey]=OutputTable[[#This Row],[GroupByKey]])*OutputTable[RecordedValue]))</f>
        <v>3</v>
      </c>
    </row>
    <row r="43" spans="1:16" x14ac:dyDescent="0.25">
      <c r="A43" t="s">
        <v>67</v>
      </c>
      <c r="B43" t="s">
        <v>69</v>
      </c>
      <c r="C43">
        <v>2</v>
      </c>
      <c r="D43" t="s">
        <v>171</v>
      </c>
      <c r="E43" t="s">
        <v>147</v>
      </c>
      <c r="F43" t="s">
        <v>72</v>
      </c>
      <c r="G43">
        <v>3</v>
      </c>
      <c r="H43">
        <v>0</v>
      </c>
      <c r="I43" s="5" t="str">
        <f>OutputTable[[#This Row],[ProjectName]]&amp;OutputTable[[#This Row],[Name]]&amp;OutputTable[[#This Row],[Type]]&amp;OutputTable[[#This Row],[Source]]</f>
        <v>Weekend (base)reloj.NumberOutNumber OutEntity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17</v>
      </c>
      <c r="K43" s="5" cm="1">
        <f t="array" ref="K43">IFERROR(AVERAGE(IF((OutputTable[GroupByKey]=OutputTable[[#This Row],[GroupByKey]]),(OutputTable[GroupByKey]=OutputTable[[#This Row],[GroupByKey]])*OutputTable[RecordedValue])),0)</f>
        <v>3</v>
      </c>
      <c r="L43" s="5" cm="1">
        <f t="array" ref="L43">IFERROR(_xlfn.STDEV.S(IF((OutputTable[GroupByKey]=OutputTable[[#This Row],[GroupByKey]]),(OutputTable[GroupByKey]=OutputTable[[#This Row],[GroupByKey]])*OutputTable[RecordedValue])),0)</f>
        <v>0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" s="5" cm="1">
        <f t="array" ref="O43">MIN(IF((OutputTable[GroupByKey]=OutputTable[[#This Row],[GroupByKey]]),(OutputTable[GroupByKey]=OutputTable[[#This Row],[GroupByKey]])*OutputTable[RecordedValue]))</f>
        <v>3</v>
      </c>
      <c r="P43" s="5" cm="1">
        <f t="array" ref="P43">MAX(IF((OutputTable[GroupByKey]=OutputTable[[#This Row],[GroupByKey]]),(OutputTable[GroupByKey]=OutputTable[[#This Row],[GroupByKey]])*OutputTable[RecordedValue]))</f>
        <v>3</v>
      </c>
    </row>
    <row r="44" spans="1:16" x14ac:dyDescent="0.25">
      <c r="A44" t="s">
        <v>67</v>
      </c>
      <c r="B44" t="s">
        <v>69</v>
      </c>
      <c r="C44">
        <v>3</v>
      </c>
      <c r="D44" t="s">
        <v>144</v>
      </c>
      <c r="E44" t="s">
        <v>145</v>
      </c>
      <c r="F44" t="s">
        <v>72</v>
      </c>
      <c r="G44">
        <v>379</v>
      </c>
      <c r="H44">
        <v>0</v>
      </c>
      <c r="I44" s="5" t="str">
        <f>OutputTable[[#This Row],[ProjectName]]&amp;OutputTable[[#This Row],[Name]]&amp;OutputTable[[#This Row],[Type]]&amp;OutputTable[[#This Row],[Source]]</f>
        <v>Weekend (base)Cliente.NumberInNumber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17</v>
      </c>
      <c r="K44" s="5" cm="1">
        <f t="array" ref="K44">IFERROR(AVERAGE(IF((OutputTable[GroupByKey]=OutputTable[[#This Row],[GroupByKey]]),(OutputTable[GroupByKey]=OutputTable[[#This Row],[GroupByKey]])*OutputTable[RecordedValue])),0)</f>
        <v>354.11764705882354</v>
      </c>
      <c r="L44" s="5" cm="1">
        <f t="array" ref="L44">IFERROR(_xlfn.STDEV.S(IF((OutputTable[GroupByKey]=OutputTable[[#This Row],[GroupByKey]]),(OutputTable[GroupByKey]=OutputTable[[#This Row],[GroupByKey]])*OutputTable[RecordedValue])),0)</f>
        <v>19.776508643277939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44" s="5" cm="1">
        <f t="array" ref="O44">MIN(IF((OutputTable[GroupByKey]=OutputTable[[#This Row],[GroupByKey]]),(OutputTable[GroupByKey]=OutputTable[[#This Row],[GroupByKey]])*OutputTable[RecordedValue]))</f>
        <v>316</v>
      </c>
      <c r="P44" s="5" cm="1">
        <f t="array" ref="P44">MAX(IF((OutputTable[GroupByKey]=OutputTable[[#This Row],[GroupByKey]]),(OutputTable[GroupByKey]=OutputTable[[#This Row],[GroupByKey]])*OutputTable[RecordedValue]))</f>
        <v>387</v>
      </c>
    </row>
    <row r="45" spans="1:16" x14ac:dyDescent="0.25">
      <c r="A45" t="s">
        <v>67</v>
      </c>
      <c r="B45" t="s">
        <v>69</v>
      </c>
      <c r="C45">
        <v>3</v>
      </c>
      <c r="D45" t="s">
        <v>146</v>
      </c>
      <c r="E45" t="s">
        <v>147</v>
      </c>
      <c r="F45" t="s">
        <v>72</v>
      </c>
      <c r="G45">
        <v>378</v>
      </c>
      <c r="H45">
        <v>0</v>
      </c>
      <c r="I45" s="5" t="str">
        <f>OutputTable[[#This Row],[ProjectName]]&amp;OutputTable[[#This Row],[Name]]&amp;OutputTable[[#This Row],[Type]]&amp;OutputTable[[#This Row],[Source]]</f>
        <v>Weekend (base)Cliente.NumberOutNumber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17</v>
      </c>
      <c r="K45" s="5" cm="1">
        <f t="array" ref="K45">IFERROR(AVERAGE(IF((OutputTable[GroupByKey]=OutputTable[[#This Row],[GroupByKey]]),(OutputTable[GroupByKey]=OutputTable[[#This Row],[GroupByKey]])*OutputTable[RecordedValue])),0)</f>
        <v>354.88235294117646</v>
      </c>
      <c r="L45" s="5" cm="1">
        <f t="array" ref="L45">IFERROR(_xlfn.STDEV.S(IF((OutputTable[GroupByKey]=OutputTable[[#This Row],[GroupByKey]]),(OutputTable[GroupByKey]=OutputTable[[#This Row],[GroupByKey]])*OutputTable[RecordedValue])),0)</f>
        <v>20.951975900082719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45" s="5" cm="1">
        <f t="array" ref="O45">MIN(IF((OutputTable[GroupByKey]=OutputTable[[#This Row],[GroupByKey]]),(OutputTable[GroupByKey]=OutputTable[[#This Row],[GroupByKey]])*OutputTable[RecordedValue]))</f>
        <v>319</v>
      </c>
      <c r="P45" s="5" cm="1">
        <f t="array" ref="P45">MAX(IF((OutputTable[GroupByKey]=OutputTable[[#This Row],[GroupByKey]]),(OutputTable[GroupByKey]=OutputTable[[#This Row],[GroupByKey]])*OutputTable[RecordedValue]))</f>
        <v>391</v>
      </c>
    </row>
    <row r="46" spans="1:16" x14ac:dyDescent="0.25">
      <c r="A46" t="s">
        <v>67</v>
      </c>
      <c r="B46" t="s">
        <v>69</v>
      </c>
      <c r="C46">
        <v>3</v>
      </c>
      <c r="D46" t="s">
        <v>148</v>
      </c>
      <c r="E46" t="s">
        <v>149</v>
      </c>
      <c r="F46" t="s">
        <v>86</v>
      </c>
      <c r="G46">
        <v>300.80046591826999</v>
      </c>
      <c r="H46">
        <v>0</v>
      </c>
      <c r="I46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17</v>
      </c>
      <c r="K46" s="5" cm="1">
        <f t="array" ref="K46">IFERROR(AVERAGE(IF((OutputTable[GroupByKey]=OutputTable[[#This Row],[GroupByKey]]),(OutputTable[GroupByKey]=OutputTable[[#This Row],[GroupByKey]])*OutputTable[RecordedValue])),0)</f>
        <v>308.63553444706355</v>
      </c>
      <c r="L46" s="5" cm="1">
        <f t="array" ref="L46">IFERROR(_xlfn.STDEV.S(IF((OutputTable[GroupByKey]=OutputTable[[#This Row],[GroupByKey]]),(OutputTable[GroupByKey]=OutputTable[[#This Row],[GroupByKey]])*OutputTable[RecordedValue])),0)</f>
        <v>57.365542312184125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46" s="5" cm="1">
        <f t="array" ref="O46">MIN(IF((OutputTable[GroupByKey]=OutputTable[[#This Row],[GroupByKey]]),(OutputTable[GroupByKey]=OutputTable[[#This Row],[GroupByKey]])*OutputTable[RecordedValue]))</f>
        <v>225.161235126317</v>
      </c>
      <c r="P46" s="5" cm="1">
        <f t="array" ref="P46">MAX(IF((OutputTable[GroupByKey]=OutputTable[[#This Row],[GroupByKey]]),(OutputTable[GroupByKey]=OutputTable[[#This Row],[GroupByKey]])*OutputTable[RecordedValue]))</f>
        <v>456.33427551718</v>
      </c>
    </row>
    <row r="47" spans="1:16" x14ac:dyDescent="0.25">
      <c r="A47" t="s">
        <v>67</v>
      </c>
      <c r="B47" t="s">
        <v>69</v>
      </c>
      <c r="C47">
        <v>3</v>
      </c>
      <c r="D47" t="s">
        <v>150</v>
      </c>
      <c r="E47" t="s">
        <v>151</v>
      </c>
      <c r="F47" t="s">
        <v>86</v>
      </c>
      <c r="G47">
        <v>0</v>
      </c>
      <c r="H47">
        <v>0</v>
      </c>
      <c r="I47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17</v>
      </c>
      <c r="K47" s="5" cm="1">
        <f t="array" ref="K47">IFERROR(AVERAGE(IF((OutputTable[GroupByKey]=OutputTable[[#This Row],[GroupByKey]]),(OutputTable[GroupByKey]=OutputTable[[#This Row],[GroupByKey]])*OutputTable[RecordedValue])),0)</f>
        <v>0</v>
      </c>
      <c r="L47" s="5" cm="1">
        <f t="array" ref="L47">IFERROR(_xlfn.STDEV.S(IF((OutputTable[GroupByKey]=OutputTable[[#This Row],[GroupByKey]]),(OutputTable[GroupByKey]=OutputTable[[#This Row],[GroupByKey]])*OutputTable[RecordedValue])),0)</f>
        <v>0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" s="5" cm="1">
        <f t="array" ref="O47">MIN(IF((OutputTable[GroupByKey]=OutputTable[[#This Row],[GroupByKey]]),(OutputTable[GroupByKey]=OutputTable[[#This Row],[GroupByKey]])*OutputTable[RecordedValue]))</f>
        <v>0</v>
      </c>
      <c r="P47" s="5" cm="1">
        <f t="array" ref="P47">MAX(IF((OutputTable[GroupByKey]=OutputTable[[#This Row],[GroupByKey]]),(OutputTable[GroupByKey]=OutputTable[[#This Row],[GroupByKey]])*OutputTable[RecordedValue]))</f>
        <v>0</v>
      </c>
    </row>
    <row r="48" spans="1:16" x14ac:dyDescent="0.25">
      <c r="A48" t="s">
        <v>67</v>
      </c>
      <c r="B48" t="s">
        <v>69</v>
      </c>
      <c r="C48">
        <v>3</v>
      </c>
      <c r="D48" t="s">
        <v>152</v>
      </c>
      <c r="E48" t="s">
        <v>145</v>
      </c>
      <c r="F48" t="s">
        <v>86</v>
      </c>
      <c r="G48">
        <v>19</v>
      </c>
      <c r="H48">
        <v>0</v>
      </c>
      <c r="I48" s="5" t="str">
        <f>OutputTable[[#This Row],[ProjectName]]&amp;OutputTable[[#This Row],[Name]]&amp;OutputTable[[#This Row],[Type]]&amp;OutputTable[[#This Row],[Source]]</f>
        <v>Weekend (base)Comer en Mesa Number InNumber InProcess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17</v>
      </c>
      <c r="K48" s="5" cm="1">
        <f t="array" ref="K48">IFERROR(AVERAGE(IF((OutputTable[GroupByKey]=OutputTable[[#This Row],[GroupByKey]]),(OutputTable[GroupByKey]=OutputTable[[#This Row],[GroupByKey]])*OutputTable[RecordedValue])),0)</f>
        <v>16.941176470588236</v>
      </c>
      <c r="L48" s="5" cm="1">
        <f t="array" ref="L48">IFERROR(_xlfn.STDEV.S(IF((OutputTable[GroupByKey]=OutputTable[[#This Row],[GroupByKey]]),(OutputTable[GroupByKey]=OutputTable[[#This Row],[GroupByKey]])*OutputTable[RecordedValue])),0)</f>
        <v>3.0097879542273018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48" s="5" cm="1">
        <f t="array" ref="O48">MIN(IF((OutputTable[GroupByKey]=OutputTable[[#This Row],[GroupByKey]]),(OutputTable[GroupByKey]=OutputTable[[#This Row],[GroupByKey]])*OutputTable[RecordedValue]))</f>
        <v>12</v>
      </c>
      <c r="P48" s="5" cm="1">
        <f t="array" ref="P48">MAX(IF((OutputTable[GroupByKey]=OutputTable[[#This Row],[GroupByKey]]),(OutputTable[GroupByKey]=OutputTable[[#This Row],[GroupByKey]])*OutputTable[RecordedValue]))</f>
        <v>22</v>
      </c>
    </row>
    <row r="49" spans="1:16" x14ac:dyDescent="0.25">
      <c r="A49" t="s">
        <v>67</v>
      </c>
      <c r="B49" t="s">
        <v>69</v>
      </c>
      <c r="C49">
        <v>3</v>
      </c>
      <c r="D49" t="s">
        <v>153</v>
      </c>
      <c r="E49" t="s">
        <v>147</v>
      </c>
      <c r="F49" t="s">
        <v>86</v>
      </c>
      <c r="G49">
        <v>18</v>
      </c>
      <c r="H49">
        <v>0</v>
      </c>
      <c r="I49" s="5" t="str">
        <f>OutputTable[[#This Row],[ProjectName]]&amp;OutputTable[[#This Row],[Name]]&amp;OutputTable[[#This Row],[Type]]&amp;OutputTable[[#This Row],[Source]]</f>
        <v>Weekend (base)Comer en Mesa Number OutNumber OutProcess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17</v>
      </c>
      <c r="K49" s="5" cm="1">
        <f t="array" ref="K49">IFERROR(AVERAGE(IF((OutputTable[GroupByKey]=OutputTable[[#This Row],[GroupByKey]]),(OutputTable[GroupByKey]=OutputTable[[#This Row],[GroupByKey]])*OutputTable[RecordedValue])),0)</f>
        <v>16.764705882352942</v>
      </c>
      <c r="L49" s="5" cm="1">
        <f t="array" ref="L49">IFERROR(_xlfn.STDEV.S(IF((OutputTable[GroupByKey]=OutputTable[[#This Row],[GroupByKey]]),(OutputTable[GroupByKey]=OutputTable[[#This Row],[GroupByKey]])*OutputTable[RecordedValue])),0)</f>
        <v>1.8550408272025261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49" s="5" cm="1">
        <f t="array" ref="O49">MIN(IF((OutputTable[GroupByKey]=OutputTable[[#This Row],[GroupByKey]]),(OutputTable[GroupByKey]=OutputTable[[#This Row],[GroupByKey]])*OutputTable[RecordedValue]))</f>
        <v>13</v>
      </c>
      <c r="P49" s="5" cm="1">
        <f t="array" ref="P49">MAX(IF((OutputTable[GroupByKey]=OutputTable[[#This Row],[GroupByKey]]),(OutputTable[GroupByKey]=OutputTable[[#This Row],[GroupByKey]])*OutputTable[RecordedValue]))</f>
        <v>20</v>
      </c>
    </row>
    <row r="50" spans="1:16" x14ac:dyDescent="0.25">
      <c r="A50" t="s">
        <v>67</v>
      </c>
      <c r="B50" t="s">
        <v>69</v>
      </c>
      <c r="C50">
        <v>3</v>
      </c>
      <c r="D50" t="s">
        <v>154</v>
      </c>
      <c r="E50" t="s">
        <v>145</v>
      </c>
      <c r="F50" t="s">
        <v>72</v>
      </c>
      <c r="G50">
        <v>126</v>
      </c>
      <c r="H50">
        <v>0</v>
      </c>
      <c r="I50" s="5" t="str">
        <f>OutputTable[[#This Row],[ProjectName]]&amp;OutputTable[[#This Row],[Name]]&amp;OutputTable[[#This Row],[Type]]&amp;OutputTable[[#This Row],[Source]]</f>
        <v>Weekend (base)Orden.NumberInNumber InEntity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17</v>
      </c>
      <c r="K50" s="5" cm="1">
        <f t="array" ref="K50">IFERROR(AVERAGE(IF((OutputTable[GroupByKey]=OutputTable[[#This Row],[GroupByKey]]),(OutputTable[GroupByKey]=OutputTable[[#This Row],[GroupByKey]])*OutputTable[RecordedValue])),0)</f>
        <v>117.35294117647059</v>
      </c>
      <c r="L50" s="5" cm="1">
        <f t="array" ref="L50">IFERROR(_xlfn.STDEV.S(IF((OutputTable[GroupByKey]=OutputTable[[#This Row],[GroupByKey]]),(OutputTable[GroupByKey]=OutputTable[[#This Row],[GroupByKey]])*OutputTable[RecordedValue])),0)</f>
        <v>7.1496606254299602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50" s="5" cm="1">
        <f t="array" ref="O50">MIN(IF((OutputTable[GroupByKey]=OutputTable[[#This Row],[GroupByKey]]),(OutputTable[GroupByKey]=OutputTable[[#This Row],[GroupByKey]])*OutputTable[RecordedValue]))</f>
        <v>105</v>
      </c>
      <c r="P50" s="5" cm="1">
        <f t="array" ref="P50">MAX(IF((OutputTable[GroupByKey]=OutputTable[[#This Row],[GroupByKey]]),(OutputTable[GroupByKey]=OutputTable[[#This Row],[GroupByKey]])*OutputTable[RecordedValue]))</f>
        <v>131</v>
      </c>
    </row>
    <row r="51" spans="1:16" x14ac:dyDescent="0.25">
      <c r="A51" t="s">
        <v>67</v>
      </c>
      <c r="B51" t="s">
        <v>69</v>
      </c>
      <c r="C51">
        <v>3</v>
      </c>
      <c r="D51" t="s">
        <v>155</v>
      </c>
      <c r="E51" t="s">
        <v>147</v>
      </c>
      <c r="F51" t="s">
        <v>72</v>
      </c>
      <c r="G51">
        <v>126</v>
      </c>
      <c r="H51">
        <v>0</v>
      </c>
      <c r="I51" s="5" t="str">
        <f>OutputTable[[#This Row],[ProjectName]]&amp;OutputTable[[#This Row],[Name]]&amp;OutputTable[[#This Row],[Type]]&amp;OutputTable[[#This Row],[Source]]</f>
        <v>Weekend (base)Orden.NumberOutNumber OutEntity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17</v>
      </c>
      <c r="K51" s="5" cm="1">
        <f t="array" ref="K51">IFERROR(AVERAGE(IF((OutputTable[GroupByKey]=OutputTable[[#This Row],[GroupByKey]]),(OutputTable[GroupByKey]=OutputTable[[#This Row],[GroupByKey]])*OutputTable[RecordedValue])),0)</f>
        <v>118.76470588235294</v>
      </c>
      <c r="L51" s="5" cm="1">
        <f t="array" ref="L51">IFERROR(_xlfn.STDEV.S(IF((OutputTable[GroupByKey]=OutputTable[[#This Row],[GroupByKey]]),(OutputTable[GroupByKey]=OutputTable[[#This Row],[GroupByKey]])*OutputTable[RecordedValue])),0)</f>
        <v>7.0580575564802697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51" s="5" cm="1">
        <f t="array" ref="O51">MIN(IF((OutputTable[GroupByKey]=OutputTable[[#This Row],[GroupByKey]]),(OutputTable[GroupByKey]=OutputTable[[#This Row],[GroupByKey]])*OutputTable[RecordedValue]))</f>
        <v>107</v>
      </c>
      <c r="P51" s="5" cm="1">
        <f t="array" ref="P51">MAX(IF((OutputTable[GroupByKey]=OutputTable[[#This Row],[GroupByKey]]),(OutputTable[GroupByKey]=OutputTable[[#This Row],[GroupByKey]])*OutputTable[RecordedValue]))</f>
        <v>130</v>
      </c>
    </row>
    <row r="52" spans="1:16" x14ac:dyDescent="0.25">
      <c r="A52" t="s">
        <v>67</v>
      </c>
      <c r="B52" t="s">
        <v>69</v>
      </c>
      <c r="C52">
        <v>3</v>
      </c>
      <c r="D52" t="s">
        <v>156</v>
      </c>
      <c r="E52" t="s">
        <v>149</v>
      </c>
      <c r="F52" t="s">
        <v>86</v>
      </c>
      <c r="G52">
        <v>225.02992874035499</v>
      </c>
      <c r="H52">
        <v>0</v>
      </c>
      <c r="I52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17</v>
      </c>
      <c r="K52" s="5" cm="1">
        <f t="array" ref="K52">IFERROR(AVERAGE(IF((OutputTable[GroupByKey]=OutputTable[[#This Row],[GroupByKey]]),(OutputTable[GroupByKey]=OutputTable[[#This Row],[GroupByKey]])*OutputTable[RecordedValue])),0)</f>
        <v>191.25148078330704</v>
      </c>
      <c r="L52" s="5" cm="1">
        <f t="array" ref="L52">IFERROR(_xlfn.STDEV.S(IF((OutputTable[GroupByKey]=OutputTable[[#This Row],[GroupByKey]]),(OutputTable[GroupByKey]=OutputTable[[#This Row],[GroupByKey]])*OutputTable[RecordedValue])),0)</f>
        <v>16.886201618463961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52" s="5" cm="1">
        <f t="array" ref="O52">MIN(IF((OutputTable[GroupByKey]=OutputTable[[#This Row],[GroupByKey]]),(OutputTable[GroupByKey]=OutputTable[[#This Row],[GroupByKey]])*OutputTable[RecordedValue]))</f>
        <v>159.38722481493599</v>
      </c>
      <c r="P52" s="5" cm="1">
        <f t="array" ref="P52">MAX(IF((OutputTable[GroupByKey]=OutputTable[[#This Row],[GroupByKey]]),(OutputTable[GroupByKey]=OutputTable[[#This Row],[GroupByKey]])*OutputTable[RecordedValue]))</f>
        <v>225.02992874035499</v>
      </c>
    </row>
    <row r="53" spans="1:16" x14ac:dyDescent="0.25">
      <c r="A53" t="s">
        <v>67</v>
      </c>
      <c r="B53" t="s">
        <v>69</v>
      </c>
      <c r="C53">
        <v>3</v>
      </c>
      <c r="D53" t="s">
        <v>157</v>
      </c>
      <c r="E53" t="s">
        <v>151</v>
      </c>
      <c r="F53" t="s">
        <v>86</v>
      </c>
      <c r="G53">
        <v>270.21113702171999</v>
      </c>
      <c r="H53">
        <v>0</v>
      </c>
      <c r="I53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17</v>
      </c>
      <c r="K53" s="5" cm="1">
        <f t="array" ref="K53">IFERROR(AVERAGE(IF((OutputTable[GroupByKey]=OutputTable[[#This Row],[GroupByKey]]),(OutputTable[GroupByKey]=OutputTable[[#This Row],[GroupByKey]])*OutputTable[RecordedValue])),0)</f>
        <v>133.66503743442436</v>
      </c>
      <c r="L53" s="5" cm="1">
        <f t="array" ref="L53">IFERROR(_xlfn.STDEV.S(IF((OutputTable[GroupByKey]=OutputTable[[#This Row],[GroupByKey]]),(OutputTable[GroupByKey]=OutputTable[[#This Row],[GroupByKey]])*OutputTable[RecordedValue])),0)</f>
        <v>79.508986996493206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53" s="5" cm="1">
        <f t="array" ref="O53">MIN(IF((OutputTable[GroupByKey]=OutputTable[[#This Row],[GroupByKey]]),(OutputTable[GroupByKey]=OutputTable[[#This Row],[GroupByKey]])*OutputTable[RecordedValue]))</f>
        <v>36.437518321990602</v>
      </c>
      <c r="P53" s="5" cm="1">
        <f t="array" ref="P53">MAX(IF((OutputTable[GroupByKey]=OutputTable[[#This Row],[GroupByKey]]),(OutputTable[GroupByKey]=OutputTable[[#This Row],[GroupByKey]])*OutputTable[RecordedValue]))</f>
        <v>324.91710015892198</v>
      </c>
    </row>
    <row r="54" spans="1:16" x14ac:dyDescent="0.25">
      <c r="A54" t="s">
        <v>67</v>
      </c>
      <c r="B54" t="s">
        <v>69</v>
      </c>
      <c r="C54">
        <v>3</v>
      </c>
      <c r="D54" t="s">
        <v>158</v>
      </c>
      <c r="E54" t="s">
        <v>145</v>
      </c>
      <c r="F54" t="s">
        <v>86</v>
      </c>
      <c r="G54">
        <v>126</v>
      </c>
      <c r="H54">
        <v>0</v>
      </c>
      <c r="I54" s="5" t="str">
        <f>OutputTable[[#This Row],[ProjectName]]&amp;OutputTable[[#This Row],[Name]]&amp;OutputTable[[#This Row],[Type]]&amp;OutputTable[[#This Row],[Source]]</f>
        <v>Weekend (base)Preparacion Number InNumber InProcess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17</v>
      </c>
      <c r="K54" s="5" cm="1">
        <f t="array" ref="K54">IFERROR(AVERAGE(IF((OutputTable[GroupByKey]=OutputTable[[#This Row],[GroupByKey]]),(OutputTable[GroupByKey]=OutputTable[[#This Row],[GroupByKey]])*OutputTable[RecordedValue])),0)</f>
        <v>117.35294117647059</v>
      </c>
      <c r="L54" s="5" cm="1">
        <f t="array" ref="L54">IFERROR(_xlfn.STDEV.S(IF((OutputTable[GroupByKey]=OutputTable[[#This Row],[GroupByKey]]),(OutputTable[GroupByKey]=OutputTable[[#This Row],[GroupByKey]])*OutputTable[RecordedValue])),0)</f>
        <v>7.1496606254299602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54" s="5" cm="1">
        <f t="array" ref="O54">MIN(IF((OutputTable[GroupByKey]=OutputTable[[#This Row],[GroupByKey]]),(OutputTable[GroupByKey]=OutputTable[[#This Row],[GroupByKey]])*OutputTable[RecordedValue]))</f>
        <v>105</v>
      </c>
      <c r="P54" s="5" cm="1">
        <f t="array" ref="P54">MAX(IF((OutputTable[GroupByKey]=OutputTable[[#This Row],[GroupByKey]]),(OutputTable[GroupByKey]=OutputTable[[#This Row],[GroupByKey]])*OutputTable[RecordedValue]))</f>
        <v>131</v>
      </c>
    </row>
    <row r="55" spans="1:16" x14ac:dyDescent="0.25">
      <c r="A55" t="s">
        <v>67</v>
      </c>
      <c r="B55" t="s">
        <v>69</v>
      </c>
      <c r="C55">
        <v>3</v>
      </c>
      <c r="D55" t="s">
        <v>159</v>
      </c>
      <c r="E55" t="s">
        <v>147</v>
      </c>
      <c r="F55" t="s">
        <v>86</v>
      </c>
      <c r="G55">
        <v>127</v>
      </c>
      <c r="H55">
        <v>0</v>
      </c>
      <c r="I55" s="5" t="str">
        <f>OutputTable[[#This Row],[ProjectName]]&amp;OutputTable[[#This Row],[Name]]&amp;OutputTable[[#This Row],[Type]]&amp;OutputTable[[#This Row],[Source]]</f>
        <v>Weekend (base)Preparacion Number OutNumber OutProcess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17</v>
      </c>
      <c r="K55" s="5" cm="1">
        <f t="array" ref="K55">IFERROR(AVERAGE(IF((OutputTable[GroupByKey]=OutputTable[[#This Row],[GroupByKey]]),(OutputTable[GroupByKey]=OutputTable[[#This Row],[GroupByKey]])*OutputTable[RecordedValue])),0)</f>
        <v>118.82352941176471</v>
      </c>
      <c r="L55" s="5" cm="1">
        <f t="array" ref="L55">IFERROR(_xlfn.STDEV.S(IF((OutputTable[GroupByKey]=OutputTable[[#This Row],[GroupByKey]]),(OutputTable[GroupByKey]=OutputTable[[#This Row],[GroupByKey]])*OutputTable[RecordedValue])),0)</f>
        <v>6.9931689358048459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55" s="5" cm="1">
        <f t="array" ref="O55">MIN(IF((OutputTable[GroupByKey]=OutputTable[[#This Row],[GroupByKey]]),(OutputTable[GroupByKey]=OutputTable[[#This Row],[GroupByKey]])*OutputTable[RecordedValue]))</f>
        <v>108</v>
      </c>
      <c r="P55" s="5" cm="1">
        <f t="array" ref="P55">MAX(IF((OutputTable[GroupByKey]=OutputTable[[#This Row],[GroupByKey]]),(OutputTable[GroupByKey]=OutputTable[[#This Row],[GroupByKey]])*OutputTable[RecordedValue]))</f>
        <v>132</v>
      </c>
    </row>
    <row r="56" spans="1:16" x14ac:dyDescent="0.25">
      <c r="A56" t="s">
        <v>67</v>
      </c>
      <c r="B56" t="s">
        <v>69</v>
      </c>
      <c r="C56">
        <v>3</v>
      </c>
      <c r="D56" t="s">
        <v>160</v>
      </c>
      <c r="E56" t="s">
        <v>147</v>
      </c>
      <c r="F56" t="s">
        <v>161</v>
      </c>
      <c r="G56">
        <v>129</v>
      </c>
      <c r="H56">
        <v>0</v>
      </c>
      <c r="I56" s="5" t="str">
        <f>OutputTable[[#This Row],[ProjectName]]&amp;OutputTable[[#This Row],[Name]]&amp;OutputTable[[#This Row],[Type]]&amp;OutputTable[[#This Row],[Source]]</f>
        <v>Weekend (base)System.NumberOutNumber OutSystem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17</v>
      </c>
      <c r="K56" s="5" cm="1">
        <f t="array" ref="K56">IFERROR(AVERAGE(IF((OutputTable[GroupByKey]=OutputTable[[#This Row],[GroupByKey]]),(OutputTable[GroupByKey]=OutputTable[[#This Row],[GroupByKey]])*OutputTable[RecordedValue])),0)</f>
        <v>121.76470588235294</v>
      </c>
      <c r="L56" s="5" cm="1">
        <f t="array" ref="L56">IFERROR(_xlfn.STDEV.S(IF((OutputTable[GroupByKey]=OutputTable[[#This Row],[GroupByKey]]),(OutputTable[GroupByKey]=OutputTable[[#This Row],[GroupByKey]])*OutputTable[RecordedValue])),0)</f>
        <v>7.0580575564802697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56" s="5" cm="1">
        <f t="array" ref="O56">MIN(IF((OutputTable[GroupByKey]=OutputTable[[#This Row],[GroupByKey]]),(OutputTable[GroupByKey]=OutputTable[[#This Row],[GroupByKey]])*OutputTable[RecordedValue]))</f>
        <v>110</v>
      </c>
      <c r="P56" s="5" cm="1">
        <f t="array" ref="P56">MAX(IF((OutputTable[GroupByKey]=OutputTable[[#This Row],[GroupByKey]]),(OutputTable[GroupByKey]=OutputTable[[#This Row],[GroupByKey]])*OutputTable[RecordedValue]))</f>
        <v>133</v>
      </c>
    </row>
    <row r="57" spans="1:16" x14ac:dyDescent="0.25">
      <c r="A57" t="s">
        <v>67</v>
      </c>
      <c r="B57" t="s">
        <v>69</v>
      </c>
      <c r="C57">
        <v>3</v>
      </c>
      <c r="D57" t="s">
        <v>162</v>
      </c>
      <c r="E57" t="s">
        <v>163</v>
      </c>
      <c r="F57" t="s">
        <v>136</v>
      </c>
      <c r="G57">
        <v>169</v>
      </c>
      <c r="H57">
        <v>0</v>
      </c>
      <c r="I57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17</v>
      </c>
      <c r="K57" s="5" cm="1">
        <f t="array" ref="K57">IFERROR(AVERAGE(IF((OutputTable[GroupByKey]=OutputTable[[#This Row],[GroupByKey]]),(OutputTable[GroupByKey]=OutputTable[[#This Row],[GroupByKey]])*OutputTable[RecordedValue])),0)</f>
        <v>162.1764705882353</v>
      </c>
      <c r="L57" s="5" cm="1">
        <f t="array" ref="L57">IFERROR(_xlfn.STDEV.S(IF((OutputTable[GroupByKey]=OutputTable[[#This Row],[GroupByKey]]),(OutputTable[GroupByKey]=OutputTable[[#This Row],[GroupByKey]])*OutputTable[RecordedValue])),0)</f>
        <v>10.100960932738323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57" s="5" cm="1">
        <f t="array" ref="O57">MIN(IF((OutputTable[GroupByKey]=OutputTable[[#This Row],[GroupByKey]]),(OutputTable[GroupByKey]=OutputTable[[#This Row],[GroupByKey]])*OutputTable[RecordedValue]))</f>
        <v>147</v>
      </c>
      <c r="P57" s="5" cm="1">
        <f t="array" ref="P57">MAX(IF((OutputTable[GroupByKey]=OutputTable[[#This Row],[GroupByKey]]),(OutputTable[GroupByKey]=OutputTable[[#This Row],[GroupByKey]])*OutputTable[RecordedValue]))</f>
        <v>183</v>
      </c>
    </row>
    <row r="58" spans="1:16" x14ac:dyDescent="0.25">
      <c r="A58" t="s">
        <v>67</v>
      </c>
      <c r="B58" t="s">
        <v>69</v>
      </c>
      <c r="C58">
        <v>3</v>
      </c>
      <c r="D58" t="s">
        <v>164</v>
      </c>
      <c r="E58" t="s">
        <v>165</v>
      </c>
      <c r="F58" t="s">
        <v>136</v>
      </c>
      <c r="G58">
        <v>0.95888680213271504</v>
      </c>
      <c r="H58">
        <v>0</v>
      </c>
      <c r="I58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17</v>
      </c>
      <c r="K58" s="5" cm="1">
        <f t="array" ref="K58">IFERROR(AVERAGE(IF((OutputTable[GroupByKey]=OutputTable[[#This Row],[GroupByKey]]),(OutputTable[GroupByKey]=OutputTable[[#This Row],[GroupByKey]])*OutputTable[RecordedValue])),0)</f>
        <v>0.82034721885470152</v>
      </c>
      <c r="L58" s="5" cm="1">
        <f t="array" ref="L58">IFERROR(_xlfn.STDEV.S(IF((OutputTable[GroupByKey]=OutputTable[[#This Row],[GroupByKey]]),(OutputTable[GroupByKey]=OutputTable[[#This Row],[GroupByKey]])*OutputTable[RecordedValue])),0)</f>
        <v>6.5495768324500853E-2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58" s="5" cm="1">
        <f t="array" ref="O58">MIN(IF((OutputTable[GroupByKey]=OutputTable[[#This Row],[GroupByKey]]),(OutputTable[GroupByKey]=OutputTable[[#This Row],[GroupByKey]])*OutputTable[RecordedValue]))</f>
        <v>0.73534383204610498</v>
      </c>
      <c r="P58" s="5" cm="1">
        <f t="array" ref="P58">MAX(IF((OutputTable[GroupByKey]=OutputTable[[#This Row],[GroupByKey]]),(OutputTable[GroupByKey]=OutputTable[[#This Row],[GroupByKey]])*OutputTable[RecordedValue]))</f>
        <v>0.95888680213271504</v>
      </c>
    </row>
    <row r="59" spans="1:16" x14ac:dyDescent="0.25">
      <c r="A59" t="s">
        <v>67</v>
      </c>
      <c r="B59" t="s">
        <v>69</v>
      </c>
      <c r="C59">
        <v>3</v>
      </c>
      <c r="D59" t="s">
        <v>166</v>
      </c>
      <c r="E59" t="s">
        <v>163</v>
      </c>
      <c r="F59" t="s">
        <v>136</v>
      </c>
      <c r="G59">
        <v>84</v>
      </c>
      <c r="H59">
        <v>0</v>
      </c>
      <c r="I59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17</v>
      </c>
      <c r="K59" s="5" cm="1">
        <f t="array" ref="K59">IFERROR(AVERAGE(IF((OutputTable[GroupByKey]=OutputTable[[#This Row],[GroupByKey]]),(OutputTable[GroupByKey]=OutputTable[[#This Row],[GroupByKey]])*OutputTable[RecordedValue])),0)</f>
        <v>73.764705882352942</v>
      </c>
      <c r="L59" s="5" cm="1">
        <f t="array" ref="L59">IFERROR(_xlfn.STDEV.S(IF((OutputTable[GroupByKey]=OutputTable[[#This Row],[GroupByKey]]),(OutputTable[GroupByKey]=OutputTable[[#This Row],[GroupByKey]])*OutputTable[RecordedValue])),0)</f>
        <v>6.2302629535669061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59" s="5" cm="1">
        <f t="array" ref="O59">MIN(IF((OutputTable[GroupByKey]=OutputTable[[#This Row],[GroupByKey]]),(OutputTable[GroupByKey]=OutputTable[[#This Row],[GroupByKey]])*OutputTable[RecordedValue]))</f>
        <v>60</v>
      </c>
      <c r="P59" s="5" cm="1">
        <f t="array" ref="P59">MAX(IF((OutputTable[GroupByKey]=OutputTable[[#This Row],[GroupByKey]]),(OutputTable[GroupByKey]=OutputTable[[#This Row],[GroupByKey]])*OutputTable[RecordedValue]))</f>
        <v>84</v>
      </c>
    </row>
    <row r="60" spans="1:16" x14ac:dyDescent="0.25">
      <c r="A60" t="s">
        <v>67</v>
      </c>
      <c r="B60" t="s">
        <v>69</v>
      </c>
      <c r="C60">
        <v>3</v>
      </c>
      <c r="D60" t="s">
        <v>167</v>
      </c>
      <c r="E60" t="s">
        <v>165</v>
      </c>
      <c r="F60" t="s">
        <v>136</v>
      </c>
      <c r="G60">
        <v>0.77852312806092006</v>
      </c>
      <c r="H60">
        <v>0</v>
      </c>
      <c r="I60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17</v>
      </c>
      <c r="K60" s="5" cm="1">
        <f t="array" ref="K60">IFERROR(AVERAGE(IF((OutputTable[GroupByKey]=OutputTable[[#This Row],[GroupByKey]]),(OutputTable[GroupByKey]=OutputTable[[#This Row],[GroupByKey]])*OutputTable[RecordedValue])),0)</f>
        <v>0.66010861965703893</v>
      </c>
      <c r="L60" s="5" cm="1">
        <f t="array" ref="L60">IFERROR(_xlfn.STDEV.S(IF((OutputTable[GroupByKey]=OutputTable[[#This Row],[GroupByKey]]),(OutputTable[GroupByKey]=OutputTable[[#This Row],[GroupByKey]])*OutputTable[RecordedValue])),0)</f>
        <v>6.6171154002911237E-2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60" s="5" cm="1">
        <f t="array" ref="O60">MIN(IF((OutputTable[GroupByKey]=OutputTable[[#This Row],[GroupByKey]]),(OutputTable[GroupByKey]=OutputTable[[#This Row],[GroupByKey]])*OutputTable[RecordedValue]))</f>
        <v>0.52223972091576099</v>
      </c>
      <c r="P60" s="5" cm="1">
        <f t="array" ref="P60">MAX(IF((OutputTable[GroupByKey]=OutputTable[[#This Row],[GroupByKey]]),(OutputTable[GroupByKey]=OutputTable[[#This Row],[GroupByKey]])*OutputTable[RecordedValue]))</f>
        <v>0.77852312806092006</v>
      </c>
    </row>
    <row r="61" spans="1:16" x14ac:dyDescent="0.25">
      <c r="A61" t="s">
        <v>67</v>
      </c>
      <c r="B61" t="s">
        <v>69</v>
      </c>
      <c r="C61">
        <v>3</v>
      </c>
      <c r="D61" t="s">
        <v>168</v>
      </c>
      <c r="E61" t="s">
        <v>163</v>
      </c>
      <c r="F61" t="s">
        <v>136</v>
      </c>
      <c r="G61">
        <v>19</v>
      </c>
      <c r="H61">
        <v>0</v>
      </c>
      <c r="I61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17</v>
      </c>
      <c r="K61" s="5" cm="1">
        <f t="array" ref="K61">IFERROR(AVERAGE(IF((OutputTable[GroupByKey]=OutputTable[[#This Row],[GroupByKey]]),(OutputTable[GroupByKey]=OutputTable[[#This Row],[GroupByKey]])*OutputTable[RecordedValue])),0)</f>
        <v>16.941176470588236</v>
      </c>
      <c r="L61" s="5" cm="1">
        <f t="array" ref="L61">IFERROR(_xlfn.STDEV.S(IF((OutputTable[GroupByKey]=OutputTable[[#This Row],[GroupByKey]]),(OutputTable[GroupByKey]=OutputTable[[#This Row],[GroupByKey]])*OutputTable[RecordedValue])),0)</f>
        <v>3.0097879542273018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61" s="5" cm="1">
        <f t="array" ref="O61">MIN(IF((OutputTable[GroupByKey]=OutputTable[[#This Row],[GroupByKey]]),(OutputTable[GroupByKey]=OutputTable[[#This Row],[GroupByKey]])*OutputTable[RecordedValue]))</f>
        <v>12</v>
      </c>
      <c r="P61" s="5" cm="1">
        <f t="array" ref="P61">MAX(IF((OutputTable[GroupByKey]=OutputTable[[#This Row],[GroupByKey]]),(OutputTable[GroupByKey]=OutputTable[[#This Row],[GroupByKey]])*OutputTable[RecordedValue]))</f>
        <v>22</v>
      </c>
    </row>
    <row r="62" spans="1:16" x14ac:dyDescent="0.25">
      <c r="A62" t="s">
        <v>67</v>
      </c>
      <c r="B62" t="s">
        <v>69</v>
      </c>
      <c r="C62">
        <v>3</v>
      </c>
      <c r="D62" t="s">
        <v>169</v>
      </c>
      <c r="E62" t="s">
        <v>165</v>
      </c>
      <c r="F62" t="s">
        <v>136</v>
      </c>
      <c r="G62">
        <v>0.31253687894405402</v>
      </c>
      <c r="H62">
        <v>0</v>
      </c>
      <c r="I62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17</v>
      </c>
      <c r="K62" s="5" cm="1">
        <f t="array" ref="K62">IFERROR(AVERAGE(IF((OutputTable[GroupByKey]=OutputTable[[#This Row],[GroupByKey]]),(OutputTable[GroupByKey]=OutputTable[[#This Row],[GroupByKey]])*OutputTable[RecordedValue])),0)</f>
        <v>0.34356399197544252</v>
      </c>
      <c r="L62" s="5" cm="1">
        <f t="array" ref="L62">IFERROR(_xlfn.STDEV.S(IF((OutputTable[GroupByKey]=OutputTable[[#This Row],[GroupByKey]]),(OutputTable[GroupByKey]=OutputTable[[#This Row],[GroupByKey]])*OutputTable[RecordedValue])),0)</f>
        <v>7.597675013665138E-2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62" s="5" cm="1">
        <f t="array" ref="O62">MIN(IF((OutputTable[GroupByKey]=OutputTable[[#This Row],[GroupByKey]]),(OutputTable[GroupByKey]=OutputTable[[#This Row],[GroupByKey]])*OutputTable[RecordedValue]))</f>
        <v>0.20879044077011299</v>
      </c>
      <c r="P62" s="5" cm="1">
        <f t="array" ref="P62">MAX(IF((OutputTable[GroupByKey]=OutputTable[[#This Row],[GroupByKey]]),(OutputTable[GroupByKey]=OutputTable[[#This Row],[GroupByKey]])*OutputTable[RecordedValue]))</f>
        <v>0.53820629377380302</v>
      </c>
    </row>
    <row r="63" spans="1:16" x14ac:dyDescent="0.25">
      <c r="A63" t="s">
        <v>67</v>
      </c>
      <c r="B63" t="s">
        <v>69</v>
      </c>
      <c r="C63">
        <v>3</v>
      </c>
      <c r="D63" t="s">
        <v>170</v>
      </c>
      <c r="E63" t="s">
        <v>145</v>
      </c>
      <c r="F63" t="s">
        <v>72</v>
      </c>
      <c r="G63">
        <v>3</v>
      </c>
      <c r="H63">
        <v>0</v>
      </c>
      <c r="I63" s="5" t="str">
        <f>OutputTable[[#This Row],[ProjectName]]&amp;OutputTable[[#This Row],[Name]]&amp;OutputTable[[#This Row],[Type]]&amp;OutputTable[[#This Row],[Source]]</f>
        <v>Weekend (base)reloj.NumberInNumber InEntity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17</v>
      </c>
      <c r="K63" s="5" cm="1">
        <f t="array" ref="K63">IFERROR(AVERAGE(IF((OutputTable[GroupByKey]=OutputTable[[#This Row],[GroupByKey]]),(OutputTable[GroupByKey]=OutputTable[[#This Row],[GroupByKey]])*OutputTable[RecordedValue])),0)</f>
        <v>3</v>
      </c>
      <c r="L63" s="5" cm="1">
        <f t="array" ref="L63">IFERROR(_xlfn.STDEV.S(IF((OutputTable[GroupByKey]=OutputTable[[#This Row],[GroupByKey]]),(OutputTable[GroupByKey]=OutputTable[[#This Row],[GroupByKey]])*OutputTable[RecordedValue])),0)</f>
        <v>0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s="5" cm="1">
        <f t="array" ref="O63">MIN(IF((OutputTable[GroupByKey]=OutputTable[[#This Row],[GroupByKey]]),(OutputTable[GroupByKey]=OutputTable[[#This Row],[GroupByKey]])*OutputTable[RecordedValue]))</f>
        <v>3</v>
      </c>
      <c r="P63" s="5" cm="1">
        <f t="array" ref="P63">MAX(IF((OutputTable[GroupByKey]=OutputTable[[#This Row],[GroupByKey]]),(OutputTable[GroupByKey]=OutputTable[[#This Row],[GroupByKey]])*OutputTable[RecordedValue]))</f>
        <v>3</v>
      </c>
    </row>
    <row r="64" spans="1:16" x14ac:dyDescent="0.25">
      <c r="A64" t="s">
        <v>67</v>
      </c>
      <c r="B64" t="s">
        <v>69</v>
      </c>
      <c r="C64">
        <v>3</v>
      </c>
      <c r="D64" t="s">
        <v>171</v>
      </c>
      <c r="E64" t="s">
        <v>147</v>
      </c>
      <c r="F64" t="s">
        <v>72</v>
      </c>
      <c r="G64">
        <v>3</v>
      </c>
      <c r="H64">
        <v>0</v>
      </c>
      <c r="I64" s="5" t="str">
        <f>OutputTable[[#This Row],[ProjectName]]&amp;OutputTable[[#This Row],[Name]]&amp;OutputTable[[#This Row],[Type]]&amp;OutputTable[[#This Row],[Source]]</f>
        <v>Weekend (base)reloj.NumberOutNumber OutEntity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17</v>
      </c>
      <c r="K64" s="5" cm="1">
        <f t="array" ref="K64">IFERROR(AVERAGE(IF((OutputTable[GroupByKey]=OutputTable[[#This Row],[GroupByKey]]),(OutputTable[GroupByKey]=OutputTable[[#This Row],[GroupByKey]])*OutputTable[RecordedValue])),0)</f>
        <v>3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3</v>
      </c>
      <c r="P64" s="5" cm="1">
        <f t="array" ref="P64">MAX(IF((OutputTable[GroupByKey]=OutputTable[[#This Row],[GroupByKey]]),(OutputTable[GroupByKey]=OutputTable[[#This Row],[GroupByKey]])*OutputTable[RecordedValue]))</f>
        <v>3</v>
      </c>
    </row>
    <row r="65" spans="1:16" x14ac:dyDescent="0.25">
      <c r="A65" t="s">
        <v>67</v>
      </c>
      <c r="B65" t="s">
        <v>69</v>
      </c>
      <c r="C65">
        <v>4</v>
      </c>
      <c r="D65" t="s">
        <v>144</v>
      </c>
      <c r="E65" t="s">
        <v>145</v>
      </c>
      <c r="F65" t="s">
        <v>72</v>
      </c>
      <c r="G65">
        <v>379</v>
      </c>
      <c r="H65">
        <v>0</v>
      </c>
      <c r="I65" s="5" t="str">
        <f>OutputTable[[#This Row],[ProjectName]]&amp;OutputTable[[#This Row],[Name]]&amp;OutputTable[[#This Row],[Type]]&amp;OutputTable[[#This Row],[Source]]</f>
        <v>Weekend (base)Cliente.NumberInNumber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17</v>
      </c>
      <c r="K65" s="5" cm="1">
        <f t="array" ref="K65">IFERROR(AVERAGE(IF((OutputTable[GroupByKey]=OutputTable[[#This Row],[GroupByKey]]),(OutputTable[GroupByKey]=OutputTable[[#This Row],[GroupByKey]])*OutputTable[RecordedValue])),0)</f>
        <v>354.11764705882354</v>
      </c>
      <c r="L65" s="5" cm="1">
        <f t="array" ref="L65">IFERROR(_xlfn.STDEV.S(IF((OutputTable[GroupByKey]=OutputTable[[#This Row],[GroupByKey]]),(OutputTable[GroupByKey]=OutputTable[[#This Row],[GroupByKey]])*OutputTable[RecordedValue])),0)</f>
        <v>19.776508643277939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65" s="5" cm="1">
        <f t="array" ref="O65">MIN(IF((OutputTable[GroupByKey]=OutputTable[[#This Row],[GroupByKey]]),(OutputTable[GroupByKey]=OutputTable[[#This Row],[GroupByKey]])*OutputTable[RecordedValue]))</f>
        <v>316</v>
      </c>
      <c r="P65" s="5" cm="1">
        <f t="array" ref="P65">MAX(IF((OutputTable[GroupByKey]=OutputTable[[#This Row],[GroupByKey]]),(OutputTable[GroupByKey]=OutputTable[[#This Row],[GroupByKey]])*OutputTable[RecordedValue]))</f>
        <v>387</v>
      </c>
    </row>
    <row r="66" spans="1:16" x14ac:dyDescent="0.25">
      <c r="A66" t="s">
        <v>67</v>
      </c>
      <c r="B66" t="s">
        <v>69</v>
      </c>
      <c r="C66">
        <v>4</v>
      </c>
      <c r="D66" t="s">
        <v>146</v>
      </c>
      <c r="E66" t="s">
        <v>147</v>
      </c>
      <c r="F66" t="s">
        <v>72</v>
      </c>
      <c r="G66">
        <v>386</v>
      </c>
      <c r="H66">
        <v>0</v>
      </c>
      <c r="I66" s="5" t="str">
        <f>OutputTable[[#This Row],[ProjectName]]&amp;OutputTable[[#This Row],[Name]]&amp;OutputTable[[#This Row],[Type]]&amp;OutputTable[[#This Row],[Source]]</f>
        <v>Weekend (base)Cliente.NumberOutNumber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17</v>
      </c>
      <c r="K66" s="5" cm="1">
        <f t="array" ref="K66">IFERROR(AVERAGE(IF((OutputTable[GroupByKey]=OutputTable[[#This Row],[GroupByKey]]),(OutputTable[GroupByKey]=OutputTable[[#This Row],[GroupByKey]])*OutputTable[RecordedValue])),0)</f>
        <v>354.88235294117646</v>
      </c>
      <c r="L66" s="5" cm="1">
        <f t="array" ref="L66">IFERROR(_xlfn.STDEV.S(IF((OutputTable[GroupByKey]=OutputTable[[#This Row],[GroupByKey]]),(OutputTable[GroupByKey]=OutputTable[[#This Row],[GroupByKey]])*OutputTable[RecordedValue])),0)</f>
        <v>20.951975900082719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66" s="5" cm="1">
        <f t="array" ref="O66">MIN(IF((OutputTable[GroupByKey]=OutputTable[[#This Row],[GroupByKey]]),(OutputTable[GroupByKey]=OutputTable[[#This Row],[GroupByKey]])*OutputTable[RecordedValue]))</f>
        <v>319</v>
      </c>
      <c r="P66" s="5" cm="1">
        <f t="array" ref="P66">MAX(IF((OutputTable[GroupByKey]=OutputTable[[#This Row],[GroupByKey]]),(OutputTable[GroupByKey]=OutputTable[[#This Row],[GroupByKey]])*OutputTable[RecordedValue]))</f>
        <v>391</v>
      </c>
    </row>
    <row r="67" spans="1:16" x14ac:dyDescent="0.25">
      <c r="A67" t="s">
        <v>67</v>
      </c>
      <c r="B67" t="s">
        <v>69</v>
      </c>
      <c r="C67">
        <v>4</v>
      </c>
      <c r="D67" t="s">
        <v>148</v>
      </c>
      <c r="E67" t="s">
        <v>149</v>
      </c>
      <c r="F67" t="s">
        <v>86</v>
      </c>
      <c r="G67">
        <v>292.224146088255</v>
      </c>
      <c r="H67">
        <v>0</v>
      </c>
      <c r="I67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17</v>
      </c>
      <c r="K67" s="5" cm="1">
        <f t="array" ref="K67">IFERROR(AVERAGE(IF((OutputTable[GroupByKey]=OutputTable[[#This Row],[GroupByKey]]),(OutputTable[GroupByKey]=OutputTable[[#This Row],[GroupByKey]])*OutputTable[RecordedValue])),0)</f>
        <v>308.63553444706355</v>
      </c>
      <c r="L67" s="5" cm="1">
        <f t="array" ref="L67">IFERROR(_xlfn.STDEV.S(IF((OutputTable[GroupByKey]=OutputTable[[#This Row],[GroupByKey]]),(OutputTable[GroupByKey]=OutputTable[[#This Row],[GroupByKey]])*OutputTable[RecordedValue])),0)</f>
        <v>57.365542312184125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67" s="5" cm="1">
        <f t="array" ref="O67">MIN(IF((OutputTable[GroupByKey]=OutputTable[[#This Row],[GroupByKey]]),(OutputTable[GroupByKey]=OutputTable[[#This Row],[GroupByKey]])*OutputTable[RecordedValue]))</f>
        <v>225.161235126317</v>
      </c>
      <c r="P67" s="5" cm="1">
        <f t="array" ref="P67">MAX(IF((OutputTable[GroupByKey]=OutputTable[[#This Row],[GroupByKey]]),(OutputTable[GroupByKey]=OutputTable[[#This Row],[GroupByKey]])*OutputTable[RecordedValue]))</f>
        <v>456.33427551718</v>
      </c>
    </row>
    <row r="68" spans="1:16" x14ac:dyDescent="0.25">
      <c r="A68" t="s">
        <v>67</v>
      </c>
      <c r="B68" t="s">
        <v>69</v>
      </c>
      <c r="C68">
        <v>4</v>
      </c>
      <c r="D68" t="s">
        <v>150</v>
      </c>
      <c r="E68" t="s">
        <v>151</v>
      </c>
      <c r="F68" t="s">
        <v>86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17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67</v>
      </c>
      <c r="B69" t="s">
        <v>69</v>
      </c>
      <c r="C69">
        <v>4</v>
      </c>
      <c r="D69" t="s">
        <v>152</v>
      </c>
      <c r="E69" t="s">
        <v>145</v>
      </c>
      <c r="F69" t="s">
        <v>86</v>
      </c>
      <c r="G69">
        <v>14</v>
      </c>
      <c r="H69">
        <v>0</v>
      </c>
      <c r="I69" s="5" t="str">
        <f>OutputTable[[#This Row],[ProjectName]]&amp;OutputTable[[#This Row],[Name]]&amp;OutputTable[[#This Row],[Type]]&amp;OutputTable[[#This Row],[Source]]</f>
        <v>Weekend (base)Comer en Mesa Number InNumber InProcess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17</v>
      </c>
      <c r="K69" s="5" cm="1">
        <f t="array" ref="K69">IFERROR(AVERAGE(IF((OutputTable[GroupByKey]=OutputTable[[#This Row],[GroupByKey]]),(OutputTable[GroupByKey]=OutputTable[[#This Row],[GroupByKey]])*OutputTable[RecordedValue])),0)</f>
        <v>16.941176470588236</v>
      </c>
      <c r="L69" s="5" cm="1">
        <f t="array" ref="L69">IFERROR(_xlfn.STDEV.S(IF((OutputTable[GroupByKey]=OutputTable[[#This Row],[GroupByKey]]),(OutputTable[GroupByKey]=OutputTable[[#This Row],[GroupByKey]])*OutputTable[RecordedValue])),0)</f>
        <v>3.0097879542273018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69" s="5" cm="1">
        <f t="array" ref="O69">MIN(IF((OutputTable[GroupByKey]=OutputTable[[#This Row],[GroupByKey]]),(OutputTable[GroupByKey]=OutputTable[[#This Row],[GroupByKey]])*OutputTable[RecordedValue]))</f>
        <v>12</v>
      </c>
      <c r="P69" s="5" cm="1">
        <f t="array" ref="P69">MAX(IF((OutputTable[GroupByKey]=OutputTable[[#This Row],[GroupByKey]]),(OutputTable[GroupByKey]=OutputTable[[#This Row],[GroupByKey]])*OutputTable[RecordedValue]))</f>
        <v>22</v>
      </c>
    </row>
    <row r="70" spans="1:16" x14ac:dyDescent="0.25">
      <c r="A70" t="s">
        <v>67</v>
      </c>
      <c r="B70" t="s">
        <v>69</v>
      </c>
      <c r="C70">
        <v>4</v>
      </c>
      <c r="D70" t="s">
        <v>153</v>
      </c>
      <c r="E70" t="s">
        <v>147</v>
      </c>
      <c r="F70" t="s">
        <v>86</v>
      </c>
      <c r="G70">
        <v>16</v>
      </c>
      <c r="H70">
        <v>0</v>
      </c>
      <c r="I70" s="5" t="str">
        <f>OutputTable[[#This Row],[ProjectName]]&amp;OutputTable[[#This Row],[Name]]&amp;OutputTable[[#This Row],[Type]]&amp;OutputTable[[#This Row],[Source]]</f>
        <v>Weekend (base)Comer en Mesa Number OutNumber OutProcess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17</v>
      </c>
      <c r="K70" s="5" cm="1">
        <f t="array" ref="K70">IFERROR(AVERAGE(IF((OutputTable[GroupByKey]=OutputTable[[#This Row],[GroupByKey]]),(OutputTable[GroupByKey]=OutputTable[[#This Row],[GroupByKey]])*OutputTable[RecordedValue])),0)</f>
        <v>16.764705882352942</v>
      </c>
      <c r="L70" s="5" cm="1">
        <f t="array" ref="L70">IFERROR(_xlfn.STDEV.S(IF((OutputTable[GroupByKey]=OutputTable[[#This Row],[GroupByKey]]),(OutputTable[GroupByKey]=OutputTable[[#This Row],[GroupByKey]])*OutputTable[RecordedValue])),0)</f>
        <v>1.8550408272025261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70" s="5" cm="1">
        <f t="array" ref="O70">MIN(IF((OutputTable[GroupByKey]=OutputTable[[#This Row],[GroupByKey]]),(OutputTable[GroupByKey]=OutputTable[[#This Row],[GroupByKey]])*OutputTable[RecordedValue]))</f>
        <v>13</v>
      </c>
      <c r="P70" s="5" cm="1">
        <f t="array" ref="P70">MAX(IF((OutputTable[GroupByKey]=OutputTable[[#This Row],[GroupByKey]]),(OutputTable[GroupByKey]=OutputTable[[#This Row],[GroupByKey]])*OutputTable[RecordedValue]))</f>
        <v>20</v>
      </c>
    </row>
    <row r="71" spans="1:16" x14ac:dyDescent="0.25">
      <c r="A71" t="s">
        <v>67</v>
      </c>
      <c r="B71" t="s">
        <v>69</v>
      </c>
      <c r="C71">
        <v>4</v>
      </c>
      <c r="D71" t="s">
        <v>154</v>
      </c>
      <c r="E71" t="s">
        <v>145</v>
      </c>
      <c r="F71" t="s">
        <v>72</v>
      </c>
      <c r="G71">
        <v>126</v>
      </c>
      <c r="H71">
        <v>0</v>
      </c>
      <c r="I71" s="5" t="str">
        <f>OutputTable[[#This Row],[ProjectName]]&amp;OutputTable[[#This Row],[Name]]&amp;OutputTable[[#This Row],[Type]]&amp;OutputTable[[#This Row],[Source]]</f>
        <v>Weekend (base)Orden.NumberInNumber InEntity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17</v>
      </c>
      <c r="K71" s="5" cm="1">
        <f t="array" ref="K71">IFERROR(AVERAGE(IF((OutputTable[GroupByKey]=OutputTable[[#This Row],[GroupByKey]]),(OutputTable[GroupByKey]=OutputTable[[#This Row],[GroupByKey]])*OutputTable[RecordedValue])),0)</f>
        <v>117.35294117647059</v>
      </c>
      <c r="L71" s="5" cm="1">
        <f t="array" ref="L71">IFERROR(_xlfn.STDEV.S(IF((OutputTable[GroupByKey]=OutputTable[[#This Row],[GroupByKey]]),(OutputTable[GroupByKey]=OutputTable[[#This Row],[GroupByKey]])*OutputTable[RecordedValue])),0)</f>
        <v>7.1496606254299602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71" s="5" cm="1">
        <f t="array" ref="O71">MIN(IF((OutputTable[GroupByKey]=OutputTable[[#This Row],[GroupByKey]]),(OutputTable[GroupByKey]=OutputTable[[#This Row],[GroupByKey]])*OutputTable[RecordedValue]))</f>
        <v>105</v>
      </c>
      <c r="P71" s="5" cm="1">
        <f t="array" ref="P71">MAX(IF((OutputTable[GroupByKey]=OutputTable[[#This Row],[GroupByKey]]),(OutputTable[GroupByKey]=OutputTable[[#This Row],[GroupByKey]])*OutputTable[RecordedValue]))</f>
        <v>131</v>
      </c>
    </row>
    <row r="72" spans="1:16" x14ac:dyDescent="0.25">
      <c r="A72" t="s">
        <v>67</v>
      </c>
      <c r="B72" t="s">
        <v>69</v>
      </c>
      <c r="C72">
        <v>4</v>
      </c>
      <c r="D72" t="s">
        <v>155</v>
      </c>
      <c r="E72" t="s">
        <v>147</v>
      </c>
      <c r="F72" t="s">
        <v>72</v>
      </c>
      <c r="G72">
        <v>130</v>
      </c>
      <c r="H72">
        <v>0</v>
      </c>
      <c r="I72" s="5" t="str">
        <f>OutputTable[[#This Row],[ProjectName]]&amp;OutputTable[[#This Row],[Name]]&amp;OutputTable[[#This Row],[Type]]&amp;OutputTable[[#This Row],[Source]]</f>
        <v>Weekend (base)Orden.NumberOutNumber OutEntity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17</v>
      </c>
      <c r="K72" s="5" cm="1">
        <f t="array" ref="K72">IFERROR(AVERAGE(IF((OutputTable[GroupByKey]=OutputTable[[#This Row],[GroupByKey]]),(OutputTable[GroupByKey]=OutputTable[[#This Row],[GroupByKey]])*OutputTable[RecordedValue])),0)</f>
        <v>118.76470588235294</v>
      </c>
      <c r="L72" s="5" cm="1">
        <f t="array" ref="L72">IFERROR(_xlfn.STDEV.S(IF((OutputTable[GroupByKey]=OutputTable[[#This Row],[GroupByKey]]),(OutputTable[GroupByKey]=OutputTable[[#This Row],[GroupByKey]])*OutputTable[RecordedValue])),0)</f>
        <v>7.0580575564802697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72" s="5" cm="1">
        <f t="array" ref="O72">MIN(IF((OutputTable[GroupByKey]=OutputTable[[#This Row],[GroupByKey]]),(OutputTable[GroupByKey]=OutputTable[[#This Row],[GroupByKey]])*OutputTable[RecordedValue]))</f>
        <v>107</v>
      </c>
      <c r="P72" s="5" cm="1">
        <f t="array" ref="P72">MAX(IF((OutputTable[GroupByKey]=OutputTable[[#This Row],[GroupByKey]]),(OutputTable[GroupByKey]=OutputTable[[#This Row],[GroupByKey]])*OutputTable[RecordedValue]))</f>
        <v>130</v>
      </c>
    </row>
    <row r="73" spans="1:16" x14ac:dyDescent="0.25">
      <c r="A73" t="s">
        <v>67</v>
      </c>
      <c r="B73" t="s">
        <v>69</v>
      </c>
      <c r="C73">
        <v>4</v>
      </c>
      <c r="D73" t="s">
        <v>156</v>
      </c>
      <c r="E73" t="s">
        <v>149</v>
      </c>
      <c r="F73" t="s">
        <v>86</v>
      </c>
      <c r="G73">
        <v>200.73943998468201</v>
      </c>
      <c r="H73">
        <v>0</v>
      </c>
      <c r="I73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17</v>
      </c>
      <c r="K73" s="5" cm="1">
        <f t="array" ref="K73">IFERROR(AVERAGE(IF((OutputTable[GroupByKey]=OutputTable[[#This Row],[GroupByKey]]),(OutputTable[GroupByKey]=OutputTable[[#This Row],[GroupByKey]])*OutputTable[RecordedValue])),0)</f>
        <v>191.25148078330704</v>
      </c>
      <c r="L73" s="5" cm="1">
        <f t="array" ref="L73">IFERROR(_xlfn.STDEV.S(IF((OutputTable[GroupByKey]=OutputTable[[#This Row],[GroupByKey]]),(OutputTable[GroupByKey]=OutputTable[[#This Row],[GroupByKey]])*OutputTable[RecordedValue])),0)</f>
        <v>16.886201618463961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73" s="5" cm="1">
        <f t="array" ref="O73">MIN(IF((OutputTable[GroupByKey]=OutputTable[[#This Row],[GroupByKey]]),(OutputTable[GroupByKey]=OutputTable[[#This Row],[GroupByKey]])*OutputTable[RecordedValue]))</f>
        <v>159.38722481493599</v>
      </c>
      <c r="P73" s="5" cm="1">
        <f t="array" ref="P73">MAX(IF((OutputTable[GroupByKey]=OutputTable[[#This Row],[GroupByKey]]),(OutputTable[GroupByKey]=OutputTable[[#This Row],[GroupByKey]])*OutputTable[RecordedValue]))</f>
        <v>225.02992874035499</v>
      </c>
    </row>
    <row r="74" spans="1:16" x14ac:dyDescent="0.25">
      <c r="A74" t="s">
        <v>67</v>
      </c>
      <c r="B74" t="s">
        <v>69</v>
      </c>
      <c r="C74">
        <v>4</v>
      </c>
      <c r="D74" t="s">
        <v>157</v>
      </c>
      <c r="E74" t="s">
        <v>151</v>
      </c>
      <c r="F74" t="s">
        <v>86</v>
      </c>
      <c r="G74">
        <v>114.22575809300101</v>
      </c>
      <c r="H74">
        <v>0</v>
      </c>
      <c r="I74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17</v>
      </c>
      <c r="K74" s="5" cm="1">
        <f t="array" ref="K74">IFERROR(AVERAGE(IF((OutputTable[GroupByKey]=OutputTable[[#This Row],[GroupByKey]]),(OutputTable[GroupByKey]=OutputTable[[#This Row],[GroupByKey]])*OutputTable[RecordedValue])),0)</f>
        <v>133.66503743442436</v>
      </c>
      <c r="L74" s="5" cm="1">
        <f t="array" ref="L74">IFERROR(_xlfn.STDEV.S(IF((OutputTable[GroupByKey]=OutputTable[[#This Row],[GroupByKey]]),(OutputTable[GroupByKey]=OutputTable[[#This Row],[GroupByKey]])*OutputTable[RecordedValue])),0)</f>
        <v>79.508986996493206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74" s="5" cm="1">
        <f t="array" ref="O74">MIN(IF((OutputTable[GroupByKey]=OutputTable[[#This Row],[GroupByKey]]),(OutputTable[GroupByKey]=OutputTable[[#This Row],[GroupByKey]])*OutputTable[RecordedValue]))</f>
        <v>36.437518321990602</v>
      </c>
      <c r="P74" s="5" cm="1">
        <f t="array" ref="P74">MAX(IF((OutputTable[GroupByKey]=OutputTable[[#This Row],[GroupByKey]]),(OutputTable[GroupByKey]=OutputTable[[#This Row],[GroupByKey]])*OutputTable[RecordedValue]))</f>
        <v>324.91710015892198</v>
      </c>
    </row>
    <row r="75" spans="1:16" x14ac:dyDescent="0.25">
      <c r="A75" t="s">
        <v>67</v>
      </c>
      <c r="B75" t="s">
        <v>69</v>
      </c>
      <c r="C75">
        <v>4</v>
      </c>
      <c r="D75" t="s">
        <v>158</v>
      </c>
      <c r="E75" t="s">
        <v>145</v>
      </c>
      <c r="F75" t="s">
        <v>86</v>
      </c>
      <c r="G75">
        <v>126</v>
      </c>
      <c r="H75">
        <v>0</v>
      </c>
      <c r="I75" s="5" t="str">
        <f>OutputTable[[#This Row],[ProjectName]]&amp;OutputTable[[#This Row],[Name]]&amp;OutputTable[[#This Row],[Type]]&amp;OutputTable[[#This Row],[Source]]</f>
        <v>Weekend (base)Preparacion Number InNumber InProcess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17</v>
      </c>
      <c r="K75" s="5" cm="1">
        <f t="array" ref="K75">IFERROR(AVERAGE(IF((OutputTable[GroupByKey]=OutputTable[[#This Row],[GroupByKey]]),(OutputTable[GroupByKey]=OutputTable[[#This Row],[GroupByKey]])*OutputTable[RecordedValue])),0)</f>
        <v>117.35294117647059</v>
      </c>
      <c r="L75" s="5" cm="1">
        <f t="array" ref="L75">IFERROR(_xlfn.STDEV.S(IF((OutputTable[GroupByKey]=OutputTable[[#This Row],[GroupByKey]]),(OutputTable[GroupByKey]=OutputTable[[#This Row],[GroupByKey]])*OutputTable[RecordedValue])),0)</f>
        <v>7.1496606254299602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75" s="5" cm="1">
        <f t="array" ref="O75">MIN(IF((OutputTable[GroupByKey]=OutputTable[[#This Row],[GroupByKey]]),(OutputTable[GroupByKey]=OutputTable[[#This Row],[GroupByKey]])*OutputTable[RecordedValue]))</f>
        <v>105</v>
      </c>
      <c r="P75" s="5" cm="1">
        <f t="array" ref="P75">MAX(IF((OutputTable[GroupByKey]=OutputTable[[#This Row],[GroupByKey]]),(OutputTable[GroupByKey]=OutputTable[[#This Row],[GroupByKey]])*OutputTable[RecordedValue]))</f>
        <v>131</v>
      </c>
    </row>
    <row r="76" spans="1:16" x14ac:dyDescent="0.25">
      <c r="A76" t="s">
        <v>67</v>
      </c>
      <c r="B76" t="s">
        <v>69</v>
      </c>
      <c r="C76">
        <v>4</v>
      </c>
      <c r="D76" t="s">
        <v>159</v>
      </c>
      <c r="E76" t="s">
        <v>147</v>
      </c>
      <c r="F76" t="s">
        <v>86</v>
      </c>
      <c r="G76">
        <v>127</v>
      </c>
      <c r="H76">
        <v>0</v>
      </c>
      <c r="I76" s="5" t="str">
        <f>OutputTable[[#This Row],[ProjectName]]&amp;OutputTable[[#This Row],[Name]]&amp;OutputTable[[#This Row],[Type]]&amp;OutputTable[[#This Row],[Source]]</f>
        <v>Weekend (base)Preparacion Number OutNumber OutProcess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17</v>
      </c>
      <c r="K76" s="5" cm="1">
        <f t="array" ref="K76">IFERROR(AVERAGE(IF((OutputTable[GroupByKey]=OutputTable[[#This Row],[GroupByKey]]),(OutputTable[GroupByKey]=OutputTable[[#This Row],[GroupByKey]])*OutputTable[RecordedValue])),0)</f>
        <v>118.82352941176471</v>
      </c>
      <c r="L76" s="5" cm="1">
        <f t="array" ref="L76">IFERROR(_xlfn.STDEV.S(IF((OutputTable[GroupByKey]=OutputTable[[#This Row],[GroupByKey]]),(OutputTable[GroupByKey]=OutputTable[[#This Row],[GroupByKey]])*OutputTable[RecordedValue])),0)</f>
        <v>6.9931689358048459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76" s="5" cm="1">
        <f t="array" ref="O76">MIN(IF((OutputTable[GroupByKey]=OutputTable[[#This Row],[GroupByKey]]),(OutputTable[GroupByKey]=OutputTable[[#This Row],[GroupByKey]])*OutputTable[RecordedValue]))</f>
        <v>108</v>
      </c>
      <c r="P76" s="5" cm="1">
        <f t="array" ref="P76">MAX(IF((OutputTable[GroupByKey]=OutputTable[[#This Row],[GroupByKey]]),(OutputTable[GroupByKey]=OutputTable[[#This Row],[GroupByKey]])*OutputTable[RecordedValue]))</f>
        <v>132</v>
      </c>
    </row>
    <row r="77" spans="1:16" x14ac:dyDescent="0.25">
      <c r="A77" t="s">
        <v>67</v>
      </c>
      <c r="B77" t="s">
        <v>69</v>
      </c>
      <c r="C77">
        <v>4</v>
      </c>
      <c r="D77" t="s">
        <v>160</v>
      </c>
      <c r="E77" t="s">
        <v>147</v>
      </c>
      <c r="F77" t="s">
        <v>161</v>
      </c>
      <c r="G77">
        <v>133</v>
      </c>
      <c r="H77">
        <v>0</v>
      </c>
      <c r="I77" s="5" t="str">
        <f>OutputTable[[#This Row],[ProjectName]]&amp;OutputTable[[#This Row],[Name]]&amp;OutputTable[[#This Row],[Type]]&amp;OutputTable[[#This Row],[Source]]</f>
        <v>Weekend (base)System.NumberOutNumber OutSystem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17</v>
      </c>
      <c r="K77" s="5" cm="1">
        <f t="array" ref="K77">IFERROR(AVERAGE(IF((OutputTable[GroupByKey]=OutputTable[[#This Row],[GroupByKey]]),(OutputTable[GroupByKey]=OutputTable[[#This Row],[GroupByKey]])*OutputTable[RecordedValue])),0)</f>
        <v>121.76470588235294</v>
      </c>
      <c r="L77" s="5" cm="1">
        <f t="array" ref="L77">IFERROR(_xlfn.STDEV.S(IF((OutputTable[GroupByKey]=OutputTable[[#This Row],[GroupByKey]]),(OutputTable[GroupByKey]=OutputTable[[#This Row],[GroupByKey]])*OutputTable[RecordedValue])),0)</f>
        <v>7.0580575564802697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77" s="5" cm="1">
        <f t="array" ref="O77">MIN(IF((OutputTable[GroupByKey]=OutputTable[[#This Row],[GroupByKey]]),(OutputTable[GroupByKey]=OutputTable[[#This Row],[GroupByKey]])*OutputTable[RecordedValue]))</f>
        <v>110</v>
      </c>
      <c r="P77" s="5" cm="1">
        <f t="array" ref="P77">MAX(IF((OutputTable[GroupByKey]=OutputTable[[#This Row],[GroupByKey]]),(OutputTable[GroupByKey]=OutputTable[[#This Row],[GroupByKey]])*OutputTable[RecordedValue]))</f>
        <v>133</v>
      </c>
    </row>
    <row r="78" spans="1:16" x14ac:dyDescent="0.25">
      <c r="A78" t="s">
        <v>67</v>
      </c>
      <c r="B78" t="s">
        <v>69</v>
      </c>
      <c r="C78">
        <v>4</v>
      </c>
      <c r="D78" t="s">
        <v>162</v>
      </c>
      <c r="E78" t="s">
        <v>163</v>
      </c>
      <c r="F78" t="s">
        <v>136</v>
      </c>
      <c r="G78">
        <v>173</v>
      </c>
      <c r="H78">
        <v>0</v>
      </c>
      <c r="I78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17</v>
      </c>
      <c r="K78" s="5" cm="1">
        <f t="array" ref="K78">IFERROR(AVERAGE(IF((OutputTable[GroupByKey]=OutputTable[[#This Row],[GroupByKey]]),(OutputTable[GroupByKey]=OutputTable[[#This Row],[GroupByKey]])*OutputTable[RecordedValue])),0)</f>
        <v>162.1764705882353</v>
      </c>
      <c r="L78" s="5" cm="1">
        <f t="array" ref="L78">IFERROR(_xlfn.STDEV.S(IF((OutputTable[GroupByKey]=OutputTable[[#This Row],[GroupByKey]]),(OutputTable[GroupByKey]=OutputTable[[#This Row],[GroupByKey]])*OutputTable[RecordedValue])),0)</f>
        <v>10.100960932738323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78" s="5" cm="1">
        <f t="array" ref="O78">MIN(IF((OutputTable[GroupByKey]=OutputTable[[#This Row],[GroupByKey]]),(OutputTable[GroupByKey]=OutputTable[[#This Row],[GroupByKey]])*OutputTable[RecordedValue]))</f>
        <v>147</v>
      </c>
      <c r="P78" s="5" cm="1">
        <f t="array" ref="P78">MAX(IF((OutputTable[GroupByKey]=OutputTable[[#This Row],[GroupByKey]]),(OutputTable[GroupByKey]=OutputTable[[#This Row],[GroupByKey]])*OutputTable[RecordedValue]))</f>
        <v>183</v>
      </c>
    </row>
    <row r="79" spans="1:16" x14ac:dyDescent="0.25">
      <c r="A79" t="s">
        <v>67</v>
      </c>
      <c r="B79" t="s">
        <v>69</v>
      </c>
      <c r="C79">
        <v>4</v>
      </c>
      <c r="D79" t="s">
        <v>164</v>
      </c>
      <c r="E79" t="s">
        <v>165</v>
      </c>
      <c r="F79" t="s">
        <v>136</v>
      </c>
      <c r="G79">
        <v>0.91240023943169402</v>
      </c>
      <c r="H79">
        <v>0</v>
      </c>
      <c r="I79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17</v>
      </c>
      <c r="K79" s="5" cm="1">
        <f t="array" ref="K79">IFERROR(AVERAGE(IF((OutputTable[GroupByKey]=OutputTable[[#This Row],[GroupByKey]]),(OutputTable[GroupByKey]=OutputTable[[#This Row],[GroupByKey]])*OutputTable[RecordedValue])),0)</f>
        <v>0.82034721885470152</v>
      </c>
      <c r="L79" s="5" cm="1">
        <f t="array" ref="L79">IFERROR(_xlfn.STDEV.S(IF((OutputTable[GroupByKey]=OutputTable[[#This Row],[GroupByKey]]),(OutputTable[GroupByKey]=OutputTable[[#This Row],[GroupByKey]])*OutputTable[RecordedValue])),0)</f>
        <v>6.5495768324500853E-2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79" s="5" cm="1">
        <f t="array" ref="O79">MIN(IF((OutputTable[GroupByKey]=OutputTable[[#This Row],[GroupByKey]]),(OutputTable[GroupByKey]=OutputTable[[#This Row],[GroupByKey]])*OutputTable[RecordedValue]))</f>
        <v>0.73534383204610498</v>
      </c>
      <c r="P79" s="5" cm="1">
        <f t="array" ref="P79">MAX(IF((OutputTable[GroupByKey]=OutputTable[[#This Row],[GroupByKey]]),(OutputTable[GroupByKey]=OutputTable[[#This Row],[GroupByKey]])*OutputTable[RecordedValue]))</f>
        <v>0.95888680213271504</v>
      </c>
    </row>
    <row r="80" spans="1:16" x14ac:dyDescent="0.25">
      <c r="A80" t="s">
        <v>67</v>
      </c>
      <c r="B80" t="s">
        <v>69</v>
      </c>
      <c r="C80">
        <v>4</v>
      </c>
      <c r="D80" t="s">
        <v>166</v>
      </c>
      <c r="E80" t="s">
        <v>163</v>
      </c>
      <c r="F80" t="s">
        <v>136</v>
      </c>
      <c r="G80">
        <v>78</v>
      </c>
      <c r="H80">
        <v>0</v>
      </c>
      <c r="I80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17</v>
      </c>
      <c r="K80" s="5" cm="1">
        <f t="array" ref="K80">IFERROR(AVERAGE(IF((OutputTable[GroupByKey]=OutputTable[[#This Row],[GroupByKey]]),(OutputTable[GroupByKey]=OutputTable[[#This Row],[GroupByKey]])*OutputTable[RecordedValue])),0)</f>
        <v>73.764705882352942</v>
      </c>
      <c r="L80" s="5" cm="1">
        <f t="array" ref="L80">IFERROR(_xlfn.STDEV.S(IF((OutputTable[GroupByKey]=OutputTable[[#This Row],[GroupByKey]]),(OutputTable[GroupByKey]=OutputTable[[#This Row],[GroupByKey]])*OutputTable[RecordedValue])),0)</f>
        <v>6.2302629535669061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80" s="5" cm="1">
        <f t="array" ref="O80">MIN(IF((OutputTable[GroupByKey]=OutputTable[[#This Row],[GroupByKey]]),(OutputTable[GroupByKey]=OutputTable[[#This Row],[GroupByKey]])*OutputTable[RecordedValue]))</f>
        <v>60</v>
      </c>
      <c r="P80" s="5" cm="1">
        <f t="array" ref="P80">MAX(IF((OutputTable[GroupByKey]=OutputTable[[#This Row],[GroupByKey]]),(OutputTable[GroupByKey]=OutputTable[[#This Row],[GroupByKey]])*OutputTable[RecordedValue]))</f>
        <v>84</v>
      </c>
    </row>
    <row r="81" spans="1:16" x14ac:dyDescent="0.25">
      <c r="A81" t="s">
        <v>67</v>
      </c>
      <c r="B81" t="s">
        <v>69</v>
      </c>
      <c r="C81">
        <v>4</v>
      </c>
      <c r="D81" t="s">
        <v>167</v>
      </c>
      <c r="E81" t="s">
        <v>165</v>
      </c>
      <c r="F81" t="s">
        <v>136</v>
      </c>
      <c r="G81">
        <v>0.66593511338306</v>
      </c>
      <c r="H81">
        <v>0</v>
      </c>
      <c r="I81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17</v>
      </c>
      <c r="K81" s="5" cm="1">
        <f t="array" ref="K81">IFERROR(AVERAGE(IF((OutputTable[GroupByKey]=OutputTable[[#This Row],[GroupByKey]]),(OutputTable[GroupByKey]=OutputTable[[#This Row],[GroupByKey]])*OutputTable[RecordedValue])),0)</f>
        <v>0.66010861965703893</v>
      </c>
      <c r="L81" s="5" cm="1">
        <f t="array" ref="L81">IFERROR(_xlfn.STDEV.S(IF((OutputTable[GroupByKey]=OutputTable[[#This Row],[GroupByKey]]),(OutputTable[GroupByKey]=OutputTable[[#This Row],[GroupByKey]])*OutputTable[RecordedValue])),0)</f>
        <v>6.6171154002911237E-2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81" s="5" cm="1">
        <f t="array" ref="O81">MIN(IF((OutputTable[GroupByKey]=OutputTable[[#This Row],[GroupByKey]]),(OutputTable[GroupByKey]=OutputTable[[#This Row],[GroupByKey]])*OutputTable[RecordedValue]))</f>
        <v>0.52223972091576099</v>
      </c>
      <c r="P81" s="5" cm="1">
        <f t="array" ref="P81">MAX(IF((OutputTable[GroupByKey]=OutputTable[[#This Row],[GroupByKey]]),(OutputTable[GroupByKey]=OutputTable[[#This Row],[GroupByKey]])*OutputTable[RecordedValue]))</f>
        <v>0.77852312806092006</v>
      </c>
    </row>
    <row r="82" spans="1:16" x14ac:dyDescent="0.25">
      <c r="A82" t="s">
        <v>67</v>
      </c>
      <c r="B82" t="s">
        <v>69</v>
      </c>
      <c r="C82">
        <v>4</v>
      </c>
      <c r="D82" t="s">
        <v>168</v>
      </c>
      <c r="E82" t="s">
        <v>163</v>
      </c>
      <c r="F82" t="s">
        <v>136</v>
      </c>
      <c r="G82">
        <v>14</v>
      </c>
      <c r="H82">
        <v>0</v>
      </c>
      <c r="I82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17</v>
      </c>
      <c r="K82" s="5" cm="1">
        <f t="array" ref="K82">IFERROR(AVERAGE(IF((OutputTable[GroupByKey]=OutputTable[[#This Row],[GroupByKey]]),(OutputTable[GroupByKey]=OutputTable[[#This Row],[GroupByKey]])*OutputTable[RecordedValue])),0)</f>
        <v>16.941176470588236</v>
      </c>
      <c r="L82" s="5" cm="1">
        <f t="array" ref="L82">IFERROR(_xlfn.STDEV.S(IF((OutputTable[GroupByKey]=OutputTable[[#This Row],[GroupByKey]]),(OutputTable[GroupByKey]=OutputTable[[#This Row],[GroupByKey]])*OutputTable[RecordedValue])),0)</f>
        <v>3.0097879542273018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82" s="5" cm="1">
        <f t="array" ref="O82">MIN(IF((OutputTable[GroupByKey]=OutputTable[[#This Row],[GroupByKey]]),(OutputTable[GroupByKey]=OutputTable[[#This Row],[GroupByKey]])*OutputTable[RecordedValue]))</f>
        <v>12</v>
      </c>
      <c r="P82" s="5" cm="1">
        <f t="array" ref="P82">MAX(IF((OutputTable[GroupByKey]=OutputTable[[#This Row],[GroupByKey]]),(OutputTable[GroupByKey]=OutputTable[[#This Row],[GroupByKey]])*OutputTable[RecordedValue]))</f>
        <v>22</v>
      </c>
    </row>
    <row r="83" spans="1:16" x14ac:dyDescent="0.25">
      <c r="A83" t="s">
        <v>67</v>
      </c>
      <c r="B83" t="s">
        <v>69</v>
      </c>
      <c r="C83">
        <v>4</v>
      </c>
      <c r="D83" t="s">
        <v>169</v>
      </c>
      <c r="E83" t="s">
        <v>165</v>
      </c>
      <c r="F83" t="s">
        <v>136</v>
      </c>
      <c r="G83">
        <v>0.31141969825195598</v>
      </c>
      <c r="H83">
        <v>0</v>
      </c>
      <c r="I83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17</v>
      </c>
      <c r="K83" s="5" cm="1">
        <f t="array" ref="K83">IFERROR(AVERAGE(IF((OutputTable[GroupByKey]=OutputTable[[#This Row],[GroupByKey]]),(OutputTable[GroupByKey]=OutputTable[[#This Row],[GroupByKey]])*OutputTable[RecordedValue])),0)</f>
        <v>0.34356399197544252</v>
      </c>
      <c r="L83" s="5" cm="1">
        <f t="array" ref="L83">IFERROR(_xlfn.STDEV.S(IF((OutputTable[GroupByKey]=OutputTable[[#This Row],[GroupByKey]]),(OutputTable[GroupByKey]=OutputTable[[#This Row],[GroupByKey]])*OutputTable[RecordedValue])),0)</f>
        <v>7.597675013665138E-2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83" s="5" cm="1">
        <f t="array" ref="O83">MIN(IF((OutputTable[GroupByKey]=OutputTable[[#This Row],[GroupByKey]]),(OutputTable[GroupByKey]=OutputTable[[#This Row],[GroupByKey]])*OutputTable[RecordedValue]))</f>
        <v>0.20879044077011299</v>
      </c>
      <c r="P83" s="5" cm="1">
        <f t="array" ref="P83">MAX(IF((OutputTable[GroupByKey]=OutputTable[[#This Row],[GroupByKey]]),(OutputTable[GroupByKey]=OutputTable[[#This Row],[GroupByKey]])*OutputTable[RecordedValue]))</f>
        <v>0.53820629377380302</v>
      </c>
    </row>
    <row r="84" spans="1:16" x14ac:dyDescent="0.25">
      <c r="A84" t="s">
        <v>67</v>
      </c>
      <c r="B84" t="s">
        <v>69</v>
      </c>
      <c r="C84">
        <v>4</v>
      </c>
      <c r="D84" t="s">
        <v>170</v>
      </c>
      <c r="E84" t="s">
        <v>145</v>
      </c>
      <c r="F84" t="s">
        <v>72</v>
      </c>
      <c r="G84">
        <v>3</v>
      </c>
      <c r="H84">
        <v>0</v>
      </c>
      <c r="I84" s="5" t="str">
        <f>OutputTable[[#This Row],[ProjectName]]&amp;OutputTable[[#This Row],[Name]]&amp;OutputTable[[#This Row],[Type]]&amp;OutputTable[[#This Row],[Source]]</f>
        <v>Weekend (base)reloj.NumberInNumber InEntity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17</v>
      </c>
      <c r="K84" s="5" cm="1">
        <f t="array" ref="K84">IFERROR(AVERAGE(IF((OutputTable[GroupByKey]=OutputTable[[#This Row],[GroupByKey]]),(OutputTable[GroupByKey]=OutputTable[[#This Row],[GroupByKey]])*OutputTable[RecordedValue])),0)</f>
        <v>3</v>
      </c>
      <c r="L84" s="5" cm="1">
        <f t="array" ref="L84">IFERROR(_xlfn.STDEV.S(IF((OutputTable[GroupByKey]=OutputTable[[#This Row],[GroupByKey]]),(OutputTable[GroupByKey]=OutputTable[[#This Row],[GroupByKey]])*OutputTable[RecordedValue])),0)</f>
        <v>0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s="5" cm="1">
        <f t="array" ref="O84">MIN(IF((OutputTable[GroupByKey]=OutputTable[[#This Row],[GroupByKey]]),(OutputTable[GroupByKey]=OutputTable[[#This Row],[GroupByKey]])*OutputTable[RecordedValue]))</f>
        <v>3</v>
      </c>
      <c r="P84" s="5" cm="1">
        <f t="array" ref="P84">MAX(IF((OutputTable[GroupByKey]=OutputTable[[#This Row],[GroupByKey]]),(OutputTable[GroupByKey]=OutputTable[[#This Row],[GroupByKey]])*OutputTable[RecordedValue]))</f>
        <v>3</v>
      </c>
    </row>
    <row r="85" spans="1:16" x14ac:dyDescent="0.25">
      <c r="A85" t="s">
        <v>67</v>
      </c>
      <c r="B85" t="s">
        <v>69</v>
      </c>
      <c r="C85">
        <v>4</v>
      </c>
      <c r="D85" t="s">
        <v>171</v>
      </c>
      <c r="E85" t="s">
        <v>147</v>
      </c>
      <c r="F85" t="s">
        <v>72</v>
      </c>
      <c r="G85">
        <v>3</v>
      </c>
      <c r="H85">
        <v>0</v>
      </c>
      <c r="I85" s="5" t="str">
        <f>OutputTable[[#This Row],[ProjectName]]&amp;OutputTable[[#This Row],[Name]]&amp;OutputTable[[#This Row],[Type]]&amp;OutputTable[[#This Row],[Source]]</f>
        <v>Weekend (base)reloj.NumberOutNumber OutEntity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17</v>
      </c>
      <c r="K85" s="5" cm="1">
        <f t="array" ref="K85">IFERROR(AVERAGE(IF((OutputTable[GroupByKey]=OutputTable[[#This Row],[GroupByKey]]),(OutputTable[GroupByKey]=OutputTable[[#This Row],[GroupByKey]])*OutputTable[RecordedValue])),0)</f>
        <v>3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3</v>
      </c>
      <c r="P85" s="5" cm="1">
        <f t="array" ref="P85">MAX(IF((OutputTable[GroupByKey]=OutputTable[[#This Row],[GroupByKey]]),(OutputTable[GroupByKey]=OutputTable[[#This Row],[GroupByKey]])*OutputTable[RecordedValue]))</f>
        <v>3</v>
      </c>
    </row>
    <row r="86" spans="1:16" x14ac:dyDescent="0.25">
      <c r="A86" t="s">
        <v>67</v>
      </c>
      <c r="B86" t="s">
        <v>69</v>
      </c>
      <c r="C86">
        <v>5</v>
      </c>
      <c r="D86" t="s">
        <v>144</v>
      </c>
      <c r="E86" t="s">
        <v>145</v>
      </c>
      <c r="F86" t="s">
        <v>72</v>
      </c>
      <c r="G86">
        <v>387</v>
      </c>
      <c r="H86">
        <v>0</v>
      </c>
      <c r="I86" s="5" t="str">
        <f>OutputTable[[#This Row],[ProjectName]]&amp;OutputTable[[#This Row],[Name]]&amp;OutputTable[[#This Row],[Type]]&amp;OutputTable[[#This Row],[Source]]</f>
        <v>Weekend (base)Cliente.NumberInNumber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17</v>
      </c>
      <c r="K86" s="5" cm="1">
        <f t="array" ref="K86">IFERROR(AVERAGE(IF((OutputTable[GroupByKey]=OutputTable[[#This Row],[GroupByKey]]),(OutputTable[GroupByKey]=OutputTable[[#This Row],[GroupByKey]])*OutputTable[RecordedValue])),0)</f>
        <v>354.11764705882354</v>
      </c>
      <c r="L86" s="5" cm="1">
        <f t="array" ref="L86">IFERROR(_xlfn.STDEV.S(IF((OutputTable[GroupByKey]=OutputTable[[#This Row],[GroupByKey]]),(OutputTable[GroupByKey]=OutputTable[[#This Row],[GroupByKey]])*OutputTable[RecordedValue])),0)</f>
        <v>19.776508643277939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86" s="5" cm="1">
        <f t="array" ref="O86">MIN(IF((OutputTable[GroupByKey]=OutputTable[[#This Row],[GroupByKey]]),(OutputTable[GroupByKey]=OutputTable[[#This Row],[GroupByKey]])*OutputTable[RecordedValue]))</f>
        <v>316</v>
      </c>
      <c r="P86" s="5" cm="1">
        <f t="array" ref="P86">MAX(IF((OutputTable[GroupByKey]=OutputTable[[#This Row],[GroupByKey]]),(OutputTable[GroupByKey]=OutputTable[[#This Row],[GroupByKey]])*OutputTable[RecordedValue]))</f>
        <v>387</v>
      </c>
    </row>
    <row r="87" spans="1:16" x14ac:dyDescent="0.25">
      <c r="A87" t="s">
        <v>67</v>
      </c>
      <c r="B87" t="s">
        <v>69</v>
      </c>
      <c r="C87">
        <v>5</v>
      </c>
      <c r="D87" t="s">
        <v>146</v>
      </c>
      <c r="E87" t="s">
        <v>147</v>
      </c>
      <c r="F87" t="s">
        <v>72</v>
      </c>
      <c r="G87">
        <v>391</v>
      </c>
      <c r="H87">
        <v>0</v>
      </c>
      <c r="I87" s="5" t="str">
        <f>OutputTable[[#This Row],[ProjectName]]&amp;OutputTable[[#This Row],[Name]]&amp;OutputTable[[#This Row],[Type]]&amp;OutputTable[[#This Row],[Source]]</f>
        <v>Weekend (base)Cliente.NumberOutNumber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17</v>
      </c>
      <c r="K87" s="5" cm="1">
        <f t="array" ref="K87">IFERROR(AVERAGE(IF((OutputTable[GroupByKey]=OutputTable[[#This Row],[GroupByKey]]),(OutputTable[GroupByKey]=OutputTable[[#This Row],[GroupByKey]])*OutputTable[RecordedValue])),0)</f>
        <v>354.88235294117646</v>
      </c>
      <c r="L87" s="5" cm="1">
        <f t="array" ref="L87">IFERROR(_xlfn.STDEV.S(IF((OutputTable[GroupByKey]=OutputTable[[#This Row],[GroupByKey]]),(OutputTable[GroupByKey]=OutputTable[[#This Row],[GroupByKey]])*OutputTable[RecordedValue])),0)</f>
        <v>20.951975900082719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87" s="5" cm="1">
        <f t="array" ref="O87">MIN(IF((OutputTable[GroupByKey]=OutputTable[[#This Row],[GroupByKey]]),(OutputTable[GroupByKey]=OutputTable[[#This Row],[GroupByKey]])*OutputTable[RecordedValue]))</f>
        <v>319</v>
      </c>
      <c r="P87" s="5" cm="1">
        <f t="array" ref="P87">MAX(IF((OutputTable[GroupByKey]=OutputTable[[#This Row],[GroupByKey]]),(OutputTable[GroupByKey]=OutputTable[[#This Row],[GroupByKey]])*OutputTable[RecordedValue]))</f>
        <v>391</v>
      </c>
    </row>
    <row r="88" spans="1:16" x14ac:dyDescent="0.25">
      <c r="A88" t="s">
        <v>67</v>
      </c>
      <c r="B88" t="s">
        <v>69</v>
      </c>
      <c r="C88">
        <v>5</v>
      </c>
      <c r="D88" t="s">
        <v>148</v>
      </c>
      <c r="E88" t="s">
        <v>149</v>
      </c>
      <c r="F88" t="s">
        <v>86</v>
      </c>
      <c r="G88">
        <v>374.41814967090301</v>
      </c>
      <c r="H88">
        <v>0</v>
      </c>
      <c r="I88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17</v>
      </c>
      <c r="K88" s="5" cm="1">
        <f t="array" ref="K88">IFERROR(AVERAGE(IF((OutputTable[GroupByKey]=OutputTable[[#This Row],[GroupByKey]]),(OutputTable[GroupByKey]=OutputTable[[#This Row],[GroupByKey]])*OutputTable[RecordedValue])),0)</f>
        <v>308.63553444706355</v>
      </c>
      <c r="L88" s="5" cm="1">
        <f t="array" ref="L88">IFERROR(_xlfn.STDEV.S(IF((OutputTable[GroupByKey]=OutputTable[[#This Row],[GroupByKey]]),(OutputTable[GroupByKey]=OutputTable[[#This Row],[GroupByKey]])*OutputTable[RecordedValue])),0)</f>
        <v>57.365542312184125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88" s="5" cm="1">
        <f t="array" ref="O88">MIN(IF((OutputTable[GroupByKey]=OutputTable[[#This Row],[GroupByKey]]),(OutputTable[GroupByKey]=OutputTable[[#This Row],[GroupByKey]])*OutputTable[RecordedValue]))</f>
        <v>225.161235126317</v>
      </c>
      <c r="P88" s="5" cm="1">
        <f t="array" ref="P88">MAX(IF((OutputTable[GroupByKey]=OutputTable[[#This Row],[GroupByKey]]),(OutputTable[GroupByKey]=OutputTable[[#This Row],[GroupByKey]])*OutputTable[RecordedValue]))</f>
        <v>456.33427551718</v>
      </c>
    </row>
    <row r="89" spans="1:16" x14ac:dyDescent="0.25">
      <c r="A89" t="s">
        <v>67</v>
      </c>
      <c r="B89" t="s">
        <v>69</v>
      </c>
      <c r="C89">
        <v>5</v>
      </c>
      <c r="D89" t="s">
        <v>150</v>
      </c>
      <c r="E89" t="s">
        <v>151</v>
      </c>
      <c r="F89" t="s">
        <v>86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17</v>
      </c>
      <c r="K89" s="5" cm="1">
        <f t="array" ref="K89">IFERROR(AVERAGE(IF((OutputTable[GroupByKey]=OutputTable[[#This Row],[GroupByKey]]),(OutputTable[GroupByKey]=OutputTable[[#This Row],[GroupByKey]])*OutputTable[RecordedValue])),0)</f>
        <v>0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25">
      <c r="A90" t="s">
        <v>67</v>
      </c>
      <c r="B90" t="s">
        <v>69</v>
      </c>
      <c r="C90">
        <v>5</v>
      </c>
      <c r="D90" t="s">
        <v>152</v>
      </c>
      <c r="E90" t="s">
        <v>145</v>
      </c>
      <c r="F90" t="s">
        <v>86</v>
      </c>
      <c r="G90">
        <v>22</v>
      </c>
      <c r="H90">
        <v>0</v>
      </c>
      <c r="I90" s="5" t="str">
        <f>OutputTable[[#This Row],[ProjectName]]&amp;OutputTable[[#This Row],[Name]]&amp;OutputTable[[#This Row],[Type]]&amp;OutputTable[[#This Row],[Source]]</f>
        <v>Weekend (base)Comer en Mesa Number InNumber InProcess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17</v>
      </c>
      <c r="K90" s="5" cm="1">
        <f t="array" ref="K90">IFERROR(AVERAGE(IF((OutputTable[GroupByKey]=OutputTable[[#This Row],[GroupByKey]]),(OutputTable[GroupByKey]=OutputTable[[#This Row],[GroupByKey]])*OutputTable[RecordedValue])),0)</f>
        <v>16.941176470588236</v>
      </c>
      <c r="L90" s="5" cm="1">
        <f t="array" ref="L90">IFERROR(_xlfn.STDEV.S(IF((OutputTable[GroupByKey]=OutputTable[[#This Row],[GroupByKey]]),(OutputTable[GroupByKey]=OutputTable[[#This Row],[GroupByKey]])*OutputTable[RecordedValue])),0)</f>
        <v>3.0097879542273018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90" s="5" cm="1">
        <f t="array" ref="O90">MIN(IF((OutputTable[GroupByKey]=OutputTable[[#This Row],[GroupByKey]]),(OutputTable[GroupByKey]=OutputTable[[#This Row],[GroupByKey]])*OutputTable[RecordedValue]))</f>
        <v>12</v>
      </c>
      <c r="P90" s="5" cm="1">
        <f t="array" ref="P90">MAX(IF((OutputTable[GroupByKey]=OutputTable[[#This Row],[GroupByKey]]),(OutputTable[GroupByKey]=OutputTable[[#This Row],[GroupByKey]])*OutputTable[RecordedValue]))</f>
        <v>22</v>
      </c>
    </row>
    <row r="91" spans="1:16" x14ac:dyDescent="0.25">
      <c r="A91" t="s">
        <v>67</v>
      </c>
      <c r="B91" t="s">
        <v>69</v>
      </c>
      <c r="C91">
        <v>5</v>
      </c>
      <c r="D91" t="s">
        <v>153</v>
      </c>
      <c r="E91" t="s">
        <v>147</v>
      </c>
      <c r="F91" t="s">
        <v>86</v>
      </c>
      <c r="G91">
        <v>20</v>
      </c>
      <c r="H91">
        <v>0</v>
      </c>
      <c r="I91" s="5" t="str">
        <f>OutputTable[[#This Row],[ProjectName]]&amp;OutputTable[[#This Row],[Name]]&amp;OutputTable[[#This Row],[Type]]&amp;OutputTable[[#This Row],[Source]]</f>
        <v>Weekend (base)Comer en Mesa Number OutNumber OutProcess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17</v>
      </c>
      <c r="K91" s="5" cm="1">
        <f t="array" ref="K91">IFERROR(AVERAGE(IF((OutputTable[GroupByKey]=OutputTable[[#This Row],[GroupByKey]]),(OutputTable[GroupByKey]=OutputTable[[#This Row],[GroupByKey]])*OutputTable[RecordedValue])),0)</f>
        <v>16.764705882352942</v>
      </c>
      <c r="L91" s="5" cm="1">
        <f t="array" ref="L91">IFERROR(_xlfn.STDEV.S(IF((OutputTable[GroupByKey]=OutputTable[[#This Row],[GroupByKey]]),(OutputTable[GroupByKey]=OutputTable[[#This Row],[GroupByKey]])*OutputTable[RecordedValue])),0)</f>
        <v>1.8550408272025261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91" s="5" cm="1">
        <f t="array" ref="O91">MIN(IF((OutputTable[GroupByKey]=OutputTable[[#This Row],[GroupByKey]]),(OutputTable[GroupByKey]=OutputTable[[#This Row],[GroupByKey]])*OutputTable[RecordedValue]))</f>
        <v>13</v>
      </c>
      <c r="P91" s="5" cm="1">
        <f t="array" ref="P91">MAX(IF((OutputTable[GroupByKey]=OutputTable[[#This Row],[GroupByKey]]),(OutputTable[GroupByKey]=OutputTable[[#This Row],[GroupByKey]])*OutputTable[RecordedValue]))</f>
        <v>20</v>
      </c>
    </row>
    <row r="92" spans="1:16" x14ac:dyDescent="0.25">
      <c r="A92" t="s">
        <v>67</v>
      </c>
      <c r="B92" t="s">
        <v>69</v>
      </c>
      <c r="C92">
        <v>5</v>
      </c>
      <c r="D92" t="s">
        <v>154</v>
      </c>
      <c r="E92" t="s">
        <v>145</v>
      </c>
      <c r="F92" t="s">
        <v>72</v>
      </c>
      <c r="G92">
        <v>131</v>
      </c>
      <c r="H92">
        <v>0</v>
      </c>
      <c r="I92" s="5" t="str">
        <f>OutputTable[[#This Row],[ProjectName]]&amp;OutputTable[[#This Row],[Name]]&amp;OutputTable[[#This Row],[Type]]&amp;OutputTable[[#This Row],[Source]]</f>
        <v>Weekend (base)Orden.NumberInNumber InEntity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17</v>
      </c>
      <c r="K92" s="5" cm="1">
        <f t="array" ref="K92">IFERROR(AVERAGE(IF((OutputTable[GroupByKey]=OutputTable[[#This Row],[GroupByKey]]),(OutputTable[GroupByKey]=OutputTable[[#This Row],[GroupByKey]])*OutputTable[RecordedValue])),0)</f>
        <v>117.35294117647059</v>
      </c>
      <c r="L92" s="5" cm="1">
        <f t="array" ref="L92">IFERROR(_xlfn.STDEV.S(IF((OutputTable[GroupByKey]=OutputTable[[#This Row],[GroupByKey]]),(OutputTable[GroupByKey]=OutputTable[[#This Row],[GroupByKey]])*OutputTable[RecordedValue])),0)</f>
        <v>7.1496606254299602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92" s="5" cm="1">
        <f t="array" ref="O92">MIN(IF((OutputTable[GroupByKey]=OutputTable[[#This Row],[GroupByKey]]),(OutputTable[GroupByKey]=OutputTable[[#This Row],[GroupByKey]])*OutputTable[RecordedValue]))</f>
        <v>105</v>
      </c>
      <c r="P92" s="5" cm="1">
        <f t="array" ref="P92">MAX(IF((OutputTable[GroupByKey]=OutputTable[[#This Row],[GroupByKey]]),(OutputTable[GroupByKey]=OutputTable[[#This Row],[GroupByKey]])*OutputTable[RecordedValue]))</f>
        <v>131</v>
      </c>
    </row>
    <row r="93" spans="1:16" x14ac:dyDescent="0.25">
      <c r="A93" t="s">
        <v>67</v>
      </c>
      <c r="B93" t="s">
        <v>69</v>
      </c>
      <c r="C93">
        <v>5</v>
      </c>
      <c r="D93" t="s">
        <v>155</v>
      </c>
      <c r="E93" t="s">
        <v>147</v>
      </c>
      <c r="F93" t="s">
        <v>72</v>
      </c>
      <c r="G93">
        <v>130</v>
      </c>
      <c r="H93">
        <v>0</v>
      </c>
      <c r="I93" s="5" t="str">
        <f>OutputTable[[#This Row],[ProjectName]]&amp;OutputTable[[#This Row],[Name]]&amp;OutputTable[[#This Row],[Type]]&amp;OutputTable[[#This Row],[Source]]</f>
        <v>Weekend (base)Orden.NumberOutNumber OutEntity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17</v>
      </c>
      <c r="K93" s="5" cm="1">
        <f t="array" ref="K93">IFERROR(AVERAGE(IF((OutputTable[GroupByKey]=OutputTable[[#This Row],[GroupByKey]]),(OutputTable[GroupByKey]=OutputTable[[#This Row],[GroupByKey]])*OutputTable[RecordedValue])),0)</f>
        <v>118.76470588235294</v>
      </c>
      <c r="L93" s="5" cm="1">
        <f t="array" ref="L93">IFERROR(_xlfn.STDEV.S(IF((OutputTable[GroupByKey]=OutputTable[[#This Row],[GroupByKey]]),(OutputTable[GroupByKey]=OutputTable[[#This Row],[GroupByKey]])*OutputTable[RecordedValue])),0)</f>
        <v>7.0580575564802697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93" s="5" cm="1">
        <f t="array" ref="O93">MIN(IF((OutputTable[GroupByKey]=OutputTable[[#This Row],[GroupByKey]]),(OutputTable[GroupByKey]=OutputTable[[#This Row],[GroupByKey]])*OutputTable[RecordedValue]))</f>
        <v>107</v>
      </c>
      <c r="P93" s="5" cm="1">
        <f t="array" ref="P93">MAX(IF((OutputTable[GroupByKey]=OutputTable[[#This Row],[GroupByKey]]),(OutputTable[GroupByKey]=OutputTable[[#This Row],[GroupByKey]])*OutputTable[RecordedValue]))</f>
        <v>130</v>
      </c>
    </row>
    <row r="94" spans="1:16" x14ac:dyDescent="0.25">
      <c r="A94" t="s">
        <v>67</v>
      </c>
      <c r="B94" t="s">
        <v>69</v>
      </c>
      <c r="C94">
        <v>5</v>
      </c>
      <c r="D94" t="s">
        <v>156</v>
      </c>
      <c r="E94" t="s">
        <v>149</v>
      </c>
      <c r="F94" t="s">
        <v>86</v>
      </c>
      <c r="G94">
        <v>187.220171272676</v>
      </c>
      <c r="H94">
        <v>0</v>
      </c>
      <c r="I94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17</v>
      </c>
      <c r="K94" s="5" cm="1">
        <f t="array" ref="K94">IFERROR(AVERAGE(IF((OutputTable[GroupByKey]=OutputTable[[#This Row],[GroupByKey]]),(OutputTable[GroupByKey]=OutputTable[[#This Row],[GroupByKey]])*OutputTable[RecordedValue])),0)</f>
        <v>191.25148078330704</v>
      </c>
      <c r="L94" s="5" cm="1">
        <f t="array" ref="L94">IFERROR(_xlfn.STDEV.S(IF((OutputTable[GroupByKey]=OutputTable[[#This Row],[GroupByKey]]),(OutputTable[GroupByKey]=OutputTable[[#This Row],[GroupByKey]])*OutputTable[RecordedValue])),0)</f>
        <v>16.886201618463961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94" s="5" cm="1">
        <f t="array" ref="O94">MIN(IF((OutputTable[GroupByKey]=OutputTable[[#This Row],[GroupByKey]]),(OutputTable[GroupByKey]=OutputTable[[#This Row],[GroupByKey]])*OutputTable[RecordedValue]))</f>
        <v>159.38722481493599</v>
      </c>
      <c r="P94" s="5" cm="1">
        <f t="array" ref="P94">MAX(IF((OutputTable[GroupByKey]=OutputTable[[#This Row],[GroupByKey]]),(OutputTable[GroupByKey]=OutputTable[[#This Row],[GroupByKey]])*OutputTable[RecordedValue]))</f>
        <v>225.02992874035499</v>
      </c>
    </row>
    <row r="95" spans="1:16" x14ac:dyDescent="0.25">
      <c r="A95" t="s">
        <v>67</v>
      </c>
      <c r="B95" t="s">
        <v>69</v>
      </c>
      <c r="C95">
        <v>5</v>
      </c>
      <c r="D95" t="s">
        <v>157</v>
      </c>
      <c r="E95" t="s">
        <v>151</v>
      </c>
      <c r="F95" t="s">
        <v>86</v>
      </c>
      <c r="G95">
        <v>128.93972270347501</v>
      </c>
      <c r="H95">
        <v>0</v>
      </c>
      <c r="I95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17</v>
      </c>
      <c r="K95" s="5" cm="1">
        <f t="array" ref="K95">IFERROR(AVERAGE(IF((OutputTable[GroupByKey]=OutputTable[[#This Row],[GroupByKey]]),(OutputTable[GroupByKey]=OutputTable[[#This Row],[GroupByKey]])*OutputTable[RecordedValue])),0)</f>
        <v>133.66503743442436</v>
      </c>
      <c r="L95" s="5" cm="1">
        <f t="array" ref="L95">IFERROR(_xlfn.STDEV.S(IF((OutputTable[GroupByKey]=OutputTable[[#This Row],[GroupByKey]]),(OutputTable[GroupByKey]=OutputTable[[#This Row],[GroupByKey]])*OutputTable[RecordedValue])),0)</f>
        <v>79.508986996493206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95" s="5" cm="1">
        <f t="array" ref="O95">MIN(IF((OutputTable[GroupByKey]=OutputTable[[#This Row],[GroupByKey]]),(OutputTable[GroupByKey]=OutputTable[[#This Row],[GroupByKey]])*OutputTable[RecordedValue]))</f>
        <v>36.437518321990602</v>
      </c>
      <c r="P95" s="5" cm="1">
        <f t="array" ref="P95">MAX(IF((OutputTable[GroupByKey]=OutputTable[[#This Row],[GroupByKey]]),(OutputTable[GroupByKey]=OutputTable[[#This Row],[GroupByKey]])*OutputTable[RecordedValue]))</f>
        <v>324.91710015892198</v>
      </c>
    </row>
    <row r="96" spans="1:16" x14ac:dyDescent="0.25">
      <c r="A96" t="s">
        <v>67</v>
      </c>
      <c r="B96" t="s">
        <v>69</v>
      </c>
      <c r="C96">
        <v>5</v>
      </c>
      <c r="D96" t="s">
        <v>158</v>
      </c>
      <c r="E96" t="s">
        <v>145</v>
      </c>
      <c r="F96" t="s">
        <v>86</v>
      </c>
      <c r="G96">
        <v>131</v>
      </c>
      <c r="H96">
        <v>0</v>
      </c>
      <c r="I96" s="5" t="str">
        <f>OutputTable[[#This Row],[ProjectName]]&amp;OutputTable[[#This Row],[Name]]&amp;OutputTable[[#This Row],[Type]]&amp;OutputTable[[#This Row],[Source]]</f>
        <v>Weekend (base)Preparacion Number InNumber InProcess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17</v>
      </c>
      <c r="K96" s="5" cm="1">
        <f t="array" ref="K96">IFERROR(AVERAGE(IF((OutputTable[GroupByKey]=OutputTable[[#This Row],[GroupByKey]]),(OutputTable[GroupByKey]=OutputTable[[#This Row],[GroupByKey]])*OutputTable[RecordedValue])),0)</f>
        <v>117.35294117647059</v>
      </c>
      <c r="L96" s="5" cm="1">
        <f t="array" ref="L96">IFERROR(_xlfn.STDEV.S(IF((OutputTable[GroupByKey]=OutputTable[[#This Row],[GroupByKey]]),(OutputTable[GroupByKey]=OutputTable[[#This Row],[GroupByKey]])*OutputTable[RecordedValue])),0)</f>
        <v>7.1496606254299602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96" s="5" cm="1">
        <f t="array" ref="O96">MIN(IF((OutputTable[GroupByKey]=OutputTable[[#This Row],[GroupByKey]]),(OutputTable[GroupByKey]=OutputTable[[#This Row],[GroupByKey]])*OutputTable[RecordedValue]))</f>
        <v>105</v>
      </c>
      <c r="P96" s="5" cm="1">
        <f t="array" ref="P96">MAX(IF((OutputTable[GroupByKey]=OutputTable[[#This Row],[GroupByKey]]),(OutputTable[GroupByKey]=OutputTable[[#This Row],[GroupByKey]])*OutputTable[RecordedValue]))</f>
        <v>131</v>
      </c>
    </row>
    <row r="97" spans="1:16" x14ac:dyDescent="0.25">
      <c r="A97" t="s">
        <v>67</v>
      </c>
      <c r="B97" t="s">
        <v>69</v>
      </c>
      <c r="C97">
        <v>5</v>
      </c>
      <c r="D97" t="s">
        <v>159</v>
      </c>
      <c r="E97" t="s">
        <v>147</v>
      </c>
      <c r="F97" t="s">
        <v>86</v>
      </c>
      <c r="G97">
        <v>132</v>
      </c>
      <c r="H97">
        <v>0</v>
      </c>
      <c r="I97" s="5" t="str">
        <f>OutputTable[[#This Row],[ProjectName]]&amp;OutputTable[[#This Row],[Name]]&amp;OutputTable[[#This Row],[Type]]&amp;OutputTable[[#This Row],[Source]]</f>
        <v>Weekend (base)Preparacion Number OutNumber OutProcess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17</v>
      </c>
      <c r="K97" s="5" cm="1">
        <f t="array" ref="K97">IFERROR(AVERAGE(IF((OutputTable[GroupByKey]=OutputTable[[#This Row],[GroupByKey]]),(OutputTable[GroupByKey]=OutputTable[[#This Row],[GroupByKey]])*OutputTable[RecordedValue])),0)</f>
        <v>118.82352941176471</v>
      </c>
      <c r="L97" s="5" cm="1">
        <f t="array" ref="L97">IFERROR(_xlfn.STDEV.S(IF((OutputTable[GroupByKey]=OutputTable[[#This Row],[GroupByKey]]),(OutputTable[GroupByKey]=OutputTable[[#This Row],[GroupByKey]])*OutputTable[RecordedValue])),0)</f>
        <v>6.9931689358048459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97" s="5" cm="1">
        <f t="array" ref="O97">MIN(IF((OutputTable[GroupByKey]=OutputTable[[#This Row],[GroupByKey]]),(OutputTable[GroupByKey]=OutputTable[[#This Row],[GroupByKey]])*OutputTable[RecordedValue]))</f>
        <v>108</v>
      </c>
      <c r="P97" s="5" cm="1">
        <f t="array" ref="P97">MAX(IF((OutputTable[GroupByKey]=OutputTable[[#This Row],[GroupByKey]]),(OutputTable[GroupByKey]=OutputTable[[#This Row],[GroupByKey]])*OutputTable[RecordedValue]))</f>
        <v>132</v>
      </c>
    </row>
    <row r="98" spans="1:16" x14ac:dyDescent="0.25">
      <c r="A98" t="s">
        <v>67</v>
      </c>
      <c r="B98" t="s">
        <v>69</v>
      </c>
      <c r="C98">
        <v>5</v>
      </c>
      <c r="D98" t="s">
        <v>160</v>
      </c>
      <c r="E98" t="s">
        <v>147</v>
      </c>
      <c r="F98" t="s">
        <v>161</v>
      </c>
      <c r="G98">
        <v>133</v>
      </c>
      <c r="H98">
        <v>0</v>
      </c>
      <c r="I98" s="5" t="str">
        <f>OutputTable[[#This Row],[ProjectName]]&amp;OutputTable[[#This Row],[Name]]&amp;OutputTable[[#This Row],[Type]]&amp;OutputTable[[#This Row],[Source]]</f>
        <v>Weekend (base)System.NumberOutNumber OutSystem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17</v>
      </c>
      <c r="K98" s="5" cm="1">
        <f t="array" ref="K98">IFERROR(AVERAGE(IF((OutputTable[GroupByKey]=OutputTable[[#This Row],[GroupByKey]]),(OutputTable[GroupByKey]=OutputTable[[#This Row],[GroupByKey]])*OutputTable[RecordedValue])),0)</f>
        <v>121.76470588235294</v>
      </c>
      <c r="L98" s="5" cm="1">
        <f t="array" ref="L98">IFERROR(_xlfn.STDEV.S(IF((OutputTable[GroupByKey]=OutputTable[[#This Row],[GroupByKey]]),(OutputTable[GroupByKey]=OutputTable[[#This Row],[GroupByKey]])*OutputTable[RecordedValue])),0)</f>
        <v>7.0580575564802697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98" s="5" cm="1">
        <f t="array" ref="O98">MIN(IF((OutputTable[GroupByKey]=OutputTable[[#This Row],[GroupByKey]]),(OutputTable[GroupByKey]=OutputTable[[#This Row],[GroupByKey]])*OutputTable[RecordedValue]))</f>
        <v>110</v>
      </c>
      <c r="P98" s="5" cm="1">
        <f t="array" ref="P98">MAX(IF((OutputTable[GroupByKey]=OutputTable[[#This Row],[GroupByKey]]),(OutputTable[GroupByKey]=OutputTable[[#This Row],[GroupByKey]])*OutputTable[RecordedValue]))</f>
        <v>133</v>
      </c>
    </row>
    <row r="99" spans="1:16" x14ac:dyDescent="0.25">
      <c r="A99" t="s">
        <v>67</v>
      </c>
      <c r="B99" t="s">
        <v>69</v>
      </c>
      <c r="C99">
        <v>5</v>
      </c>
      <c r="D99" t="s">
        <v>162</v>
      </c>
      <c r="E99" t="s">
        <v>163</v>
      </c>
      <c r="F99" t="s">
        <v>136</v>
      </c>
      <c r="G99">
        <v>183</v>
      </c>
      <c r="H99">
        <v>0</v>
      </c>
      <c r="I99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17</v>
      </c>
      <c r="K99" s="5" cm="1">
        <f t="array" ref="K99">IFERROR(AVERAGE(IF((OutputTable[GroupByKey]=OutputTable[[#This Row],[GroupByKey]]),(OutputTable[GroupByKey]=OutputTable[[#This Row],[GroupByKey]])*OutputTable[RecordedValue])),0)</f>
        <v>162.1764705882353</v>
      </c>
      <c r="L99" s="5" cm="1">
        <f t="array" ref="L99">IFERROR(_xlfn.STDEV.S(IF((OutputTable[GroupByKey]=OutputTable[[#This Row],[GroupByKey]]),(OutputTable[GroupByKey]=OutputTable[[#This Row],[GroupByKey]])*OutputTable[RecordedValue])),0)</f>
        <v>10.100960932738323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99" s="5" cm="1">
        <f t="array" ref="O99">MIN(IF((OutputTable[GroupByKey]=OutputTable[[#This Row],[GroupByKey]]),(OutputTable[GroupByKey]=OutputTable[[#This Row],[GroupByKey]])*OutputTable[RecordedValue]))</f>
        <v>147</v>
      </c>
      <c r="P99" s="5" cm="1">
        <f t="array" ref="P99">MAX(IF((OutputTable[GroupByKey]=OutputTable[[#This Row],[GroupByKey]]),(OutputTable[GroupByKey]=OutputTable[[#This Row],[GroupByKey]])*OutputTable[RecordedValue]))</f>
        <v>183</v>
      </c>
    </row>
    <row r="100" spans="1:16" x14ac:dyDescent="0.25">
      <c r="A100" t="s">
        <v>67</v>
      </c>
      <c r="B100" t="s">
        <v>69</v>
      </c>
      <c r="C100">
        <v>5</v>
      </c>
      <c r="D100" t="s">
        <v>164</v>
      </c>
      <c r="E100" t="s">
        <v>165</v>
      </c>
      <c r="F100" t="s">
        <v>136</v>
      </c>
      <c r="G100">
        <v>0.76736570138686699</v>
      </c>
      <c r="H100">
        <v>0</v>
      </c>
      <c r="I100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17</v>
      </c>
      <c r="K100" s="5" cm="1">
        <f t="array" ref="K100">IFERROR(AVERAGE(IF((OutputTable[GroupByKey]=OutputTable[[#This Row],[GroupByKey]]),(OutputTable[GroupByKey]=OutputTable[[#This Row],[GroupByKey]])*OutputTable[RecordedValue])),0)</f>
        <v>0.82034721885470152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6.5495768324500853E-2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100" s="5" cm="1">
        <f t="array" ref="O100">MIN(IF((OutputTable[GroupByKey]=OutputTable[[#This Row],[GroupByKey]]),(OutputTable[GroupByKey]=OutputTable[[#This Row],[GroupByKey]])*OutputTable[RecordedValue]))</f>
        <v>0.73534383204610498</v>
      </c>
      <c r="P100" s="5" cm="1">
        <f t="array" ref="P100">MAX(IF((OutputTable[GroupByKey]=OutputTable[[#This Row],[GroupByKey]]),(OutputTable[GroupByKey]=OutputTable[[#This Row],[GroupByKey]])*OutputTable[RecordedValue]))</f>
        <v>0.95888680213271504</v>
      </c>
    </row>
    <row r="101" spans="1:16" x14ac:dyDescent="0.25">
      <c r="A101" t="s">
        <v>67</v>
      </c>
      <c r="B101" t="s">
        <v>69</v>
      </c>
      <c r="C101">
        <v>5</v>
      </c>
      <c r="D101" t="s">
        <v>166</v>
      </c>
      <c r="E101" t="s">
        <v>163</v>
      </c>
      <c r="F101" t="s">
        <v>136</v>
      </c>
      <c r="G101">
        <v>80</v>
      </c>
      <c r="H101">
        <v>0</v>
      </c>
      <c r="I101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17</v>
      </c>
      <c r="K101" s="5" cm="1">
        <f t="array" ref="K101">IFERROR(AVERAGE(IF((OutputTable[GroupByKey]=OutputTable[[#This Row],[GroupByKey]]),(OutputTable[GroupByKey]=OutputTable[[#This Row],[GroupByKey]])*OutputTable[RecordedValue])),0)</f>
        <v>73.764705882352942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6.2302629535669061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101" s="5" cm="1">
        <f t="array" ref="O101">MIN(IF((OutputTable[GroupByKey]=OutputTable[[#This Row],[GroupByKey]]),(OutputTable[GroupByKey]=OutputTable[[#This Row],[GroupByKey]])*OutputTable[RecordedValue]))</f>
        <v>60</v>
      </c>
      <c r="P101" s="5" cm="1">
        <f t="array" ref="P101">MAX(IF((OutputTable[GroupByKey]=OutputTable[[#This Row],[GroupByKey]]),(OutputTable[GroupByKey]=OutputTable[[#This Row],[GroupByKey]])*OutputTable[RecordedValue]))</f>
        <v>84</v>
      </c>
    </row>
    <row r="102" spans="1:16" x14ac:dyDescent="0.25">
      <c r="A102" t="s">
        <v>67</v>
      </c>
      <c r="B102" t="s">
        <v>69</v>
      </c>
      <c r="C102">
        <v>5</v>
      </c>
      <c r="D102" t="s">
        <v>167</v>
      </c>
      <c r="E102" t="s">
        <v>165</v>
      </c>
      <c r="F102" t="s">
        <v>136</v>
      </c>
      <c r="G102">
        <v>0.696114902190206</v>
      </c>
      <c r="H102">
        <v>0</v>
      </c>
      <c r="I102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17</v>
      </c>
      <c r="K102" s="5" cm="1">
        <f t="array" ref="K102">IFERROR(AVERAGE(IF((OutputTable[GroupByKey]=OutputTable[[#This Row],[GroupByKey]]),(OutputTable[GroupByKey]=OutputTable[[#This Row],[GroupByKey]])*OutputTable[RecordedValue])),0)</f>
        <v>0.66010861965703893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6.6171154002911237E-2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102" s="5" cm="1">
        <f t="array" ref="O102">MIN(IF((OutputTable[GroupByKey]=OutputTable[[#This Row],[GroupByKey]]),(OutputTable[GroupByKey]=OutputTable[[#This Row],[GroupByKey]])*OutputTable[RecordedValue]))</f>
        <v>0.52223972091576099</v>
      </c>
      <c r="P102" s="5" cm="1">
        <f t="array" ref="P102">MAX(IF((OutputTable[GroupByKey]=OutputTable[[#This Row],[GroupByKey]]),(OutputTable[GroupByKey]=OutputTable[[#This Row],[GroupByKey]])*OutputTable[RecordedValue]))</f>
        <v>0.77852312806092006</v>
      </c>
    </row>
    <row r="103" spans="1:16" x14ac:dyDescent="0.25">
      <c r="A103" t="s">
        <v>67</v>
      </c>
      <c r="B103" t="s">
        <v>69</v>
      </c>
      <c r="C103">
        <v>5</v>
      </c>
      <c r="D103" t="s">
        <v>168</v>
      </c>
      <c r="E103" t="s">
        <v>163</v>
      </c>
      <c r="F103" t="s">
        <v>136</v>
      </c>
      <c r="G103">
        <v>22</v>
      </c>
      <c r="H103">
        <v>0</v>
      </c>
      <c r="I103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17</v>
      </c>
      <c r="K103" s="5" cm="1">
        <f t="array" ref="K103">IFERROR(AVERAGE(IF((OutputTable[GroupByKey]=OutputTable[[#This Row],[GroupByKey]]),(OutputTable[GroupByKey]=OutputTable[[#This Row],[GroupByKey]])*OutputTable[RecordedValue])),0)</f>
        <v>16.941176470588236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3.0097879542273018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03" s="5" cm="1">
        <f t="array" ref="O103">MIN(IF((OutputTable[GroupByKey]=OutputTable[[#This Row],[GroupByKey]]),(OutputTable[GroupByKey]=OutputTable[[#This Row],[GroupByKey]])*OutputTable[RecordedValue]))</f>
        <v>12</v>
      </c>
      <c r="P103" s="5" cm="1">
        <f t="array" ref="P103">MAX(IF((OutputTable[GroupByKey]=OutputTable[[#This Row],[GroupByKey]]),(OutputTable[GroupByKey]=OutputTable[[#This Row],[GroupByKey]])*OutputTable[RecordedValue]))</f>
        <v>22</v>
      </c>
    </row>
    <row r="104" spans="1:16" x14ac:dyDescent="0.25">
      <c r="A104" t="s">
        <v>67</v>
      </c>
      <c r="B104" t="s">
        <v>69</v>
      </c>
      <c r="C104">
        <v>5</v>
      </c>
      <c r="D104" t="s">
        <v>169</v>
      </c>
      <c r="E104" t="s">
        <v>165</v>
      </c>
      <c r="F104" t="s">
        <v>136</v>
      </c>
      <c r="G104">
        <v>0.44611233016282698</v>
      </c>
      <c r="H104">
        <v>0</v>
      </c>
      <c r="I104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17</v>
      </c>
      <c r="K104" s="5" cm="1">
        <f t="array" ref="K104">IFERROR(AVERAGE(IF((OutputTable[GroupByKey]=OutputTable[[#This Row],[GroupByKey]]),(OutputTable[GroupByKey]=OutputTable[[#This Row],[GroupByKey]])*OutputTable[RecordedValue])),0)</f>
        <v>0.34356399197544252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7.597675013665138E-2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104" s="5" cm="1">
        <f t="array" ref="O104">MIN(IF((OutputTable[GroupByKey]=OutputTable[[#This Row],[GroupByKey]]),(OutputTable[GroupByKey]=OutputTable[[#This Row],[GroupByKey]])*OutputTable[RecordedValue]))</f>
        <v>0.20879044077011299</v>
      </c>
      <c r="P104" s="5" cm="1">
        <f t="array" ref="P104">MAX(IF((OutputTable[GroupByKey]=OutputTable[[#This Row],[GroupByKey]]),(OutputTable[GroupByKey]=OutputTable[[#This Row],[GroupByKey]])*OutputTable[RecordedValue]))</f>
        <v>0.53820629377380302</v>
      </c>
    </row>
    <row r="105" spans="1:16" x14ac:dyDescent="0.25">
      <c r="A105" t="s">
        <v>67</v>
      </c>
      <c r="B105" t="s">
        <v>69</v>
      </c>
      <c r="C105">
        <v>5</v>
      </c>
      <c r="D105" t="s">
        <v>170</v>
      </c>
      <c r="E105" t="s">
        <v>145</v>
      </c>
      <c r="F105" t="s">
        <v>72</v>
      </c>
      <c r="G105">
        <v>3</v>
      </c>
      <c r="H105">
        <v>0</v>
      </c>
      <c r="I105" s="5" t="str">
        <f>OutputTable[[#This Row],[ProjectName]]&amp;OutputTable[[#This Row],[Name]]&amp;OutputTable[[#This Row],[Type]]&amp;OutputTable[[#This Row],[Source]]</f>
        <v>Weekend (base)reloj.NumberInNumber InEntity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17</v>
      </c>
      <c r="K105" s="5" cm="1">
        <f t="array" ref="K105">IFERROR(AVERAGE(IF((OutputTable[GroupByKey]=OutputTable[[#This Row],[GroupByKey]]),(OutputTable[GroupByKey]=OutputTable[[#This Row],[GroupByKey]])*OutputTable[RecordedValue])),0)</f>
        <v>3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" s="5" cm="1">
        <f t="array" ref="O105">MIN(IF((OutputTable[GroupByKey]=OutputTable[[#This Row],[GroupByKey]]),(OutputTable[GroupByKey]=OutputTable[[#This Row],[GroupByKey]])*OutputTable[RecordedValue]))</f>
        <v>3</v>
      </c>
      <c r="P105" s="5" cm="1">
        <f t="array" ref="P105">MAX(IF((OutputTable[GroupByKey]=OutputTable[[#This Row],[GroupByKey]]),(OutputTable[GroupByKey]=OutputTable[[#This Row],[GroupByKey]])*OutputTable[RecordedValue]))</f>
        <v>3</v>
      </c>
    </row>
    <row r="106" spans="1:16" x14ac:dyDescent="0.25">
      <c r="A106" t="s">
        <v>67</v>
      </c>
      <c r="B106" t="s">
        <v>69</v>
      </c>
      <c r="C106">
        <v>5</v>
      </c>
      <c r="D106" t="s">
        <v>171</v>
      </c>
      <c r="E106" t="s">
        <v>147</v>
      </c>
      <c r="F106" t="s">
        <v>72</v>
      </c>
      <c r="G106">
        <v>3</v>
      </c>
      <c r="H106">
        <v>0</v>
      </c>
      <c r="I106" s="5" t="str">
        <f>OutputTable[[#This Row],[ProjectName]]&amp;OutputTable[[#This Row],[Name]]&amp;OutputTable[[#This Row],[Type]]&amp;OutputTable[[#This Row],[Source]]</f>
        <v>Weekend (base)reloj.NumberOutNumber OutEntity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17</v>
      </c>
      <c r="K106" s="5" cm="1">
        <f t="array" ref="K106">IFERROR(AVERAGE(IF((OutputTable[GroupByKey]=OutputTable[[#This Row],[GroupByKey]]),(OutputTable[GroupByKey]=OutputTable[[#This Row],[GroupByKey]])*OutputTable[RecordedValue])),0)</f>
        <v>3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" s="5" cm="1">
        <f t="array" ref="O106">MIN(IF((OutputTable[GroupByKey]=OutputTable[[#This Row],[GroupByKey]]),(OutputTable[GroupByKey]=OutputTable[[#This Row],[GroupByKey]])*OutputTable[RecordedValue]))</f>
        <v>3</v>
      </c>
      <c r="P106" s="5" cm="1">
        <f t="array" ref="P106">MAX(IF((OutputTable[GroupByKey]=OutputTable[[#This Row],[GroupByKey]]),(OutputTable[GroupByKey]=OutputTable[[#This Row],[GroupByKey]])*OutputTable[RecordedValue]))</f>
        <v>3</v>
      </c>
    </row>
    <row r="107" spans="1:16" x14ac:dyDescent="0.25">
      <c r="A107" t="s">
        <v>67</v>
      </c>
      <c r="B107" t="s">
        <v>69</v>
      </c>
      <c r="C107">
        <v>6</v>
      </c>
      <c r="D107" t="s">
        <v>144</v>
      </c>
      <c r="E107" t="s">
        <v>145</v>
      </c>
      <c r="F107" t="s">
        <v>72</v>
      </c>
      <c r="G107">
        <v>348</v>
      </c>
      <c r="H107">
        <v>0</v>
      </c>
      <c r="I107" s="5" t="str">
        <f>OutputTable[[#This Row],[ProjectName]]&amp;OutputTable[[#This Row],[Name]]&amp;OutputTable[[#This Row],[Type]]&amp;OutputTable[[#This Row],[Source]]</f>
        <v>Weekend (base)Cliente.NumberInNumber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17</v>
      </c>
      <c r="K107" s="5" cm="1">
        <f t="array" ref="K107">IFERROR(AVERAGE(IF((OutputTable[GroupByKey]=OutputTable[[#This Row],[GroupByKey]]),(OutputTable[GroupByKey]=OutputTable[[#This Row],[GroupByKey]])*OutputTable[RecordedValue])),0)</f>
        <v>354.11764705882354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19.776508643277939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107" s="5" cm="1">
        <f t="array" ref="O107">MIN(IF((OutputTable[GroupByKey]=OutputTable[[#This Row],[GroupByKey]]),(OutputTable[GroupByKey]=OutputTable[[#This Row],[GroupByKey]])*OutputTable[RecordedValue]))</f>
        <v>316</v>
      </c>
      <c r="P107" s="5" cm="1">
        <f t="array" ref="P107">MAX(IF((OutputTable[GroupByKey]=OutputTable[[#This Row],[GroupByKey]]),(OutputTable[GroupByKey]=OutputTable[[#This Row],[GroupByKey]])*OutputTable[RecordedValue]))</f>
        <v>387</v>
      </c>
    </row>
    <row r="108" spans="1:16" x14ac:dyDescent="0.25">
      <c r="A108" t="s">
        <v>67</v>
      </c>
      <c r="B108" t="s">
        <v>69</v>
      </c>
      <c r="C108">
        <v>6</v>
      </c>
      <c r="D108" t="s">
        <v>146</v>
      </c>
      <c r="E108" t="s">
        <v>147</v>
      </c>
      <c r="F108" t="s">
        <v>72</v>
      </c>
      <c r="G108">
        <v>355</v>
      </c>
      <c r="H108">
        <v>0</v>
      </c>
      <c r="I108" s="5" t="str">
        <f>OutputTable[[#This Row],[ProjectName]]&amp;OutputTable[[#This Row],[Name]]&amp;OutputTable[[#This Row],[Type]]&amp;OutputTable[[#This Row],[Source]]</f>
        <v>Weekend (base)Cliente.NumberOutNumber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17</v>
      </c>
      <c r="K108" s="5" cm="1">
        <f t="array" ref="K108">IFERROR(AVERAGE(IF((OutputTable[GroupByKey]=OutputTable[[#This Row],[GroupByKey]]),(OutputTable[GroupByKey]=OutputTable[[#This Row],[GroupByKey]])*OutputTable[RecordedValue])),0)</f>
        <v>354.88235294117646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20.951975900082719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108" s="5" cm="1">
        <f t="array" ref="O108">MIN(IF((OutputTable[GroupByKey]=OutputTable[[#This Row],[GroupByKey]]),(OutputTable[GroupByKey]=OutputTable[[#This Row],[GroupByKey]])*OutputTable[RecordedValue]))</f>
        <v>319</v>
      </c>
      <c r="P108" s="5" cm="1">
        <f t="array" ref="P108">MAX(IF((OutputTable[GroupByKey]=OutputTable[[#This Row],[GroupByKey]]),(OutputTable[GroupByKey]=OutputTable[[#This Row],[GroupByKey]])*OutputTable[RecordedValue]))</f>
        <v>391</v>
      </c>
    </row>
    <row r="109" spans="1:16" x14ac:dyDescent="0.25">
      <c r="A109" t="s">
        <v>67</v>
      </c>
      <c r="B109" t="s">
        <v>69</v>
      </c>
      <c r="C109">
        <v>6</v>
      </c>
      <c r="D109" t="s">
        <v>148</v>
      </c>
      <c r="E109" t="s">
        <v>149</v>
      </c>
      <c r="F109" t="s">
        <v>86</v>
      </c>
      <c r="G109">
        <v>301.53541716171299</v>
      </c>
      <c r="H109">
        <v>0</v>
      </c>
      <c r="I109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17</v>
      </c>
      <c r="K109" s="5" cm="1">
        <f t="array" ref="K109">IFERROR(AVERAGE(IF((OutputTable[GroupByKey]=OutputTable[[#This Row],[GroupByKey]]),(OutputTable[GroupByKey]=OutputTable[[#This Row],[GroupByKey]])*OutputTable[RecordedValue])),0)</f>
        <v>308.63553444706355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57.365542312184125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109" s="5" cm="1">
        <f t="array" ref="O109">MIN(IF((OutputTable[GroupByKey]=OutputTable[[#This Row],[GroupByKey]]),(OutputTable[GroupByKey]=OutputTable[[#This Row],[GroupByKey]])*OutputTable[RecordedValue]))</f>
        <v>225.161235126317</v>
      </c>
      <c r="P109" s="5" cm="1">
        <f t="array" ref="P109">MAX(IF((OutputTable[GroupByKey]=OutputTable[[#This Row],[GroupByKey]]),(OutputTable[GroupByKey]=OutputTable[[#This Row],[GroupByKey]])*OutputTable[RecordedValue]))</f>
        <v>456.33427551718</v>
      </c>
    </row>
    <row r="110" spans="1:16" x14ac:dyDescent="0.25">
      <c r="A110" t="s">
        <v>67</v>
      </c>
      <c r="B110" t="s">
        <v>69</v>
      </c>
      <c r="C110">
        <v>6</v>
      </c>
      <c r="D110" t="s">
        <v>150</v>
      </c>
      <c r="E110" t="s">
        <v>151</v>
      </c>
      <c r="F110" t="s">
        <v>86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17</v>
      </c>
      <c r="K110" s="5" cm="1">
        <f t="array" ref="K110">IFERROR(AVERAGE(IF((OutputTable[GroupByKey]=OutputTable[[#This Row],[GroupByKey]]),(OutputTable[GroupByKey]=OutputTable[[#This Row],[GroupByKey]])*OutputTable[RecordedValue])),0)</f>
        <v>0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67</v>
      </c>
      <c r="B111" t="s">
        <v>69</v>
      </c>
      <c r="C111">
        <v>6</v>
      </c>
      <c r="D111" t="s">
        <v>152</v>
      </c>
      <c r="E111" t="s">
        <v>145</v>
      </c>
      <c r="F111" t="s">
        <v>86</v>
      </c>
      <c r="G111">
        <v>12</v>
      </c>
      <c r="H111">
        <v>0</v>
      </c>
      <c r="I111" s="5" t="str">
        <f>OutputTable[[#This Row],[ProjectName]]&amp;OutputTable[[#This Row],[Name]]&amp;OutputTable[[#This Row],[Type]]&amp;OutputTable[[#This Row],[Source]]</f>
        <v>Weekend (base)Comer en Mesa Number InNumber InProcess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17</v>
      </c>
      <c r="K111" s="5" cm="1">
        <f t="array" ref="K111">IFERROR(AVERAGE(IF((OutputTable[GroupByKey]=OutputTable[[#This Row],[GroupByKey]]),(OutputTable[GroupByKey]=OutputTable[[#This Row],[GroupByKey]])*OutputTable[RecordedValue])),0)</f>
        <v>16.941176470588236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3.0097879542273018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11" s="5" cm="1">
        <f t="array" ref="O111">MIN(IF((OutputTable[GroupByKey]=OutputTable[[#This Row],[GroupByKey]]),(OutputTable[GroupByKey]=OutputTable[[#This Row],[GroupByKey]])*OutputTable[RecordedValue]))</f>
        <v>12</v>
      </c>
      <c r="P111" s="5" cm="1">
        <f t="array" ref="P111">MAX(IF((OutputTable[GroupByKey]=OutputTable[[#This Row],[GroupByKey]]),(OutputTable[GroupByKey]=OutputTable[[#This Row],[GroupByKey]])*OutputTable[RecordedValue]))</f>
        <v>22</v>
      </c>
    </row>
    <row r="112" spans="1:16" x14ac:dyDescent="0.25">
      <c r="A112" t="s">
        <v>67</v>
      </c>
      <c r="B112" t="s">
        <v>69</v>
      </c>
      <c r="C112">
        <v>6</v>
      </c>
      <c r="D112" t="s">
        <v>153</v>
      </c>
      <c r="E112" t="s">
        <v>147</v>
      </c>
      <c r="F112" t="s">
        <v>86</v>
      </c>
      <c r="G112">
        <v>16</v>
      </c>
      <c r="H112">
        <v>0</v>
      </c>
      <c r="I112" s="5" t="str">
        <f>OutputTable[[#This Row],[ProjectName]]&amp;OutputTable[[#This Row],[Name]]&amp;OutputTable[[#This Row],[Type]]&amp;OutputTable[[#This Row],[Source]]</f>
        <v>Weekend (base)Comer en Mesa Number OutNumber OutProcess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17</v>
      </c>
      <c r="K112" s="5" cm="1">
        <f t="array" ref="K112">IFERROR(AVERAGE(IF((OutputTable[GroupByKey]=OutputTable[[#This Row],[GroupByKey]]),(OutputTable[GroupByKey]=OutputTable[[#This Row],[GroupByKey]])*OutputTable[RecordedValue])),0)</f>
        <v>16.764705882352942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1.8550408272025261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112" s="5" cm="1">
        <f t="array" ref="O112">MIN(IF((OutputTable[GroupByKey]=OutputTable[[#This Row],[GroupByKey]]),(OutputTable[GroupByKey]=OutputTable[[#This Row],[GroupByKey]])*OutputTable[RecordedValue]))</f>
        <v>13</v>
      </c>
      <c r="P112" s="5" cm="1">
        <f t="array" ref="P112">MAX(IF((OutputTable[GroupByKey]=OutputTable[[#This Row],[GroupByKey]]),(OutputTable[GroupByKey]=OutputTable[[#This Row],[GroupByKey]])*OutputTable[RecordedValue]))</f>
        <v>20</v>
      </c>
    </row>
    <row r="113" spans="1:16" x14ac:dyDescent="0.25">
      <c r="A113" t="s">
        <v>67</v>
      </c>
      <c r="B113" t="s">
        <v>69</v>
      </c>
      <c r="C113">
        <v>6</v>
      </c>
      <c r="D113" t="s">
        <v>154</v>
      </c>
      <c r="E113" t="s">
        <v>145</v>
      </c>
      <c r="F113" t="s">
        <v>72</v>
      </c>
      <c r="G113">
        <v>115</v>
      </c>
      <c r="H113">
        <v>0</v>
      </c>
      <c r="I113" s="5" t="str">
        <f>OutputTable[[#This Row],[ProjectName]]&amp;OutputTable[[#This Row],[Name]]&amp;OutputTable[[#This Row],[Type]]&amp;OutputTable[[#This Row],[Source]]</f>
        <v>Weekend (base)Orden.NumberInNumber InEntity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17</v>
      </c>
      <c r="K113" s="5" cm="1">
        <f t="array" ref="K113">IFERROR(AVERAGE(IF((OutputTable[GroupByKey]=OutputTable[[#This Row],[GroupByKey]]),(OutputTable[GroupByKey]=OutputTable[[#This Row],[GroupByKey]])*OutputTable[RecordedValue])),0)</f>
        <v>117.35294117647059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7.1496606254299602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13" s="5" cm="1">
        <f t="array" ref="O113">MIN(IF((OutputTable[GroupByKey]=OutputTable[[#This Row],[GroupByKey]]),(OutputTable[GroupByKey]=OutputTable[[#This Row],[GroupByKey]])*OutputTable[RecordedValue]))</f>
        <v>105</v>
      </c>
      <c r="P113" s="5" cm="1">
        <f t="array" ref="P113">MAX(IF((OutputTable[GroupByKey]=OutputTable[[#This Row],[GroupByKey]]),(OutputTable[GroupByKey]=OutputTable[[#This Row],[GroupByKey]])*OutputTable[RecordedValue]))</f>
        <v>131</v>
      </c>
    </row>
    <row r="114" spans="1:16" x14ac:dyDescent="0.25">
      <c r="A114" t="s">
        <v>67</v>
      </c>
      <c r="B114" t="s">
        <v>69</v>
      </c>
      <c r="C114">
        <v>6</v>
      </c>
      <c r="D114" t="s">
        <v>155</v>
      </c>
      <c r="E114" t="s">
        <v>147</v>
      </c>
      <c r="F114" t="s">
        <v>72</v>
      </c>
      <c r="G114">
        <v>120</v>
      </c>
      <c r="H114">
        <v>0</v>
      </c>
      <c r="I114" s="5" t="str">
        <f>OutputTable[[#This Row],[ProjectName]]&amp;OutputTable[[#This Row],[Name]]&amp;OutputTable[[#This Row],[Type]]&amp;OutputTable[[#This Row],[Source]]</f>
        <v>Weekend (base)Orden.NumberOutNumber OutEntity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17</v>
      </c>
      <c r="K114" s="5" cm="1">
        <f t="array" ref="K114">IFERROR(AVERAGE(IF((OutputTable[GroupByKey]=OutputTable[[#This Row],[GroupByKey]]),(OutputTable[GroupByKey]=OutputTable[[#This Row],[GroupByKey]])*OutputTable[RecordedValue])),0)</f>
        <v>118.76470588235294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7.0580575564802697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14" s="5" cm="1">
        <f t="array" ref="O114">MIN(IF((OutputTable[GroupByKey]=OutputTable[[#This Row],[GroupByKey]]),(OutputTable[GroupByKey]=OutputTable[[#This Row],[GroupByKey]])*OutputTable[RecordedValue]))</f>
        <v>107</v>
      </c>
      <c r="P114" s="5" cm="1">
        <f t="array" ref="P114">MAX(IF((OutputTable[GroupByKey]=OutputTable[[#This Row],[GroupByKey]]),(OutputTable[GroupByKey]=OutputTable[[#This Row],[GroupByKey]])*OutputTable[RecordedValue]))</f>
        <v>130</v>
      </c>
    </row>
    <row r="115" spans="1:16" x14ac:dyDescent="0.25">
      <c r="A115" t="s">
        <v>67</v>
      </c>
      <c r="B115" t="s">
        <v>69</v>
      </c>
      <c r="C115">
        <v>6</v>
      </c>
      <c r="D115" t="s">
        <v>156</v>
      </c>
      <c r="E115" t="s">
        <v>149</v>
      </c>
      <c r="F115" t="s">
        <v>86</v>
      </c>
      <c r="G115">
        <v>164.745501282996</v>
      </c>
      <c r="H115">
        <v>0</v>
      </c>
      <c r="I115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17</v>
      </c>
      <c r="K115" s="5" cm="1">
        <f t="array" ref="K115">IFERROR(AVERAGE(IF((OutputTable[GroupByKey]=OutputTable[[#This Row],[GroupByKey]]),(OutputTable[GroupByKey]=OutputTable[[#This Row],[GroupByKey]])*OutputTable[RecordedValue])),0)</f>
        <v>191.25148078330704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16.886201618463961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115" s="5" cm="1">
        <f t="array" ref="O115">MIN(IF((OutputTable[GroupByKey]=OutputTable[[#This Row],[GroupByKey]]),(OutputTable[GroupByKey]=OutputTable[[#This Row],[GroupByKey]])*OutputTable[RecordedValue]))</f>
        <v>159.38722481493599</v>
      </c>
      <c r="P115" s="5" cm="1">
        <f t="array" ref="P115">MAX(IF((OutputTable[GroupByKey]=OutputTable[[#This Row],[GroupByKey]]),(OutputTable[GroupByKey]=OutputTable[[#This Row],[GroupByKey]])*OutputTable[RecordedValue]))</f>
        <v>225.02992874035499</v>
      </c>
    </row>
    <row r="116" spans="1:16" x14ac:dyDescent="0.25">
      <c r="A116" t="s">
        <v>67</v>
      </c>
      <c r="B116" t="s">
        <v>69</v>
      </c>
      <c r="C116">
        <v>6</v>
      </c>
      <c r="D116" t="s">
        <v>157</v>
      </c>
      <c r="E116" t="s">
        <v>151</v>
      </c>
      <c r="F116" t="s">
        <v>86</v>
      </c>
      <c r="G116">
        <v>36.437518321990602</v>
      </c>
      <c r="H116">
        <v>0</v>
      </c>
      <c r="I116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17</v>
      </c>
      <c r="K116" s="5" cm="1">
        <f t="array" ref="K116">IFERROR(AVERAGE(IF((OutputTable[GroupByKey]=OutputTable[[#This Row],[GroupByKey]]),(OutputTable[GroupByKey]=OutputTable[[#This Row],[GroupByKey]])*OutputTable[RecordedValue])),0)</f>
        <v>133.66503743442436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79.508986996493206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116" s="5" cm="1">
        <f t="array" ref="O116">MIN(IF((OutputTable[GroupByKey]=OutputTable[[#This Row],[GroupByKey]]),(OutputTable[GroupByKey]=OutputTable[[#This Row],[GroupByKey]])*OutputTable[RecordedValue]))</f>
        <v>36.437518321990602</v>
      </c>
      <c r="P116" s="5" cm="1">
        <f t="array" ref="P116">MAX(IF((OutputTable[GroupByKey]=OutputTable[[#This Row],[GroupByKey]]),(OutputTable[GroupByKey]=OutputTable[[#This Row],[GroupByKey]])*OutputTable[RecordedValue]))</f>
        <v>324.91710015892198</v>
      </c>
    </row>
    <row r="117" spans="1:16" x14ac:dyDescent="0.25">
      <c r="A117" t="s">
        <v>67</v>
      </c>
      <c r="B117" t="s">
        <v>69</v>
      </c>
      <c r="C117">
        <v>6</v>
      </c>
      <c r="D117" t="s">
        <v>158</v>
      </c>
      <c r="E117" t="s">
        <v>145</v>
      </c>
      <c r="F117" t="s">
        <v>86</v>
      </c>
      <c r="G117">
        <v>115</v>
      </c>
      <c r="H117">
        <v>0</v>
      </c>
      <c r="I117" s="5" t="str">
        <f>OutputTable[[#This Row],[ProjectName]]&amp;OutputTable[[#This Row],[Name]]&amp;OutputTable[[#This Row],[Type]]&amp;OutputTable[[#This Row],[Source]]</f>
        <v>Weekend (base)Preparacion Number InNumber InProcess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17</v>
      </c>
      <c r="K117" s="5" cm="1">
        <f t="array" ref="K117">IFERROR(AVERAGE(IF((OutputTable[GroupByKey]=OutputTable[[#This Row],[GroupByKey]]),(OutputTable[GroupByKey]=OutputTable[[#This Row],[GroupByKey]])*OutputTable[RecordedValue])),0)</f>
        <v>117.35294117647059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7.1496606254299602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17" s="5" cm="1">
        <f t="array" ref="O117">MIN(IF((OutputTable[GroupByKey]=OutputTable[[#This Row],[GroupByKey]]),(OutputTable[GroupByKey]=OutputTable[[#This Row],[GroupByKey]])*OutputTable[RecordedValue]))</f>
        <v>105</v>
      </c>
      <c r="P117" s="5" cm="1">
        <f t="array" ref="P117">MAX(IF((OutputTable[GroupByKey]=OutputTable[[#This Row],[GroupByKey]]),(OutputTable[GroupByKey]=OutputTable[[#This Row],[GroupByKey]])*OutputTable[RecordedValue]))</f>
        <v>131</v>
      </c>
    </row>
    <row r="118" spans="1:16" x14ac:dyDescent="0.25">
      <c r="A118" t="s">
        <v>67</v>
      </c>
      <c r="B118" t="s">
        <v>69</v>
      </c>
      <c r="C118">
        <v>6</v>
      </c>
      <c r="D118" t="s">
        <v>159</v>
      </c>
      <c r="E118" t="s">
        <v>147</v>
      </c>
      <c r="F118" t="s">
        <v>86</v>
      </c>
      <c r="G118">
        <v>116</v>
      </c>
      <c r="H118">
        <v>0</v>
      </c>
      <c r="I118" s="5" t="str">
        <f>OutputTable[[#This Row],[ProjectName]]&amp;OutputTable[[#This Row],[Name]]&amp;OutputTable[[#This Row],[Type]]&amp;OutputTable[[#This Row],[Source]]</f>
        <v>Weekend (base)Preparacion Number OutNumber OutProcess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17</v>
      </c>
      <c r="K118" s="5" cm="1">
        <f t="array" ref="K118">IFERROR(AVERAGE(IF((OutputTable[GroupByKey]=OutputTable[[#This Row],[GroupByKey]]),(OutputTable[GroupByKey]=OutputTable[[#This Row],[GroupByKey]])*OutputTable[RecordedValue])),0)</f>
        <v>118.82352941176471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6.9931689358048459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118" s="5" cm="1">
        <f t="array" ref="O118">MIN(IF((OutputTable[GroupByKey]=OutputTable[[#This Row],[GroupByKey]]),(OutputTable[GroupByKey]=OutputTable[[#This Row],[GroupByKey]])*OutputTable[RecordedValue]))</f>
        <v>108</v>
      </c>
      <c r="P118" s="5" cm="1">
        <f t="array" ref="P118">MAX(IF((OutputTable[GroupByKey]=OutputTable[[#This Row],[GroupByKey]]),(OutputTable[GroupByKey]=OutputTable[[#This Row],[GroupByKey]])*OutputTable[RecordedValue]))</f>
        <v>132</v>
      </c>
    </row>
    <row r="119" spans="1:16" x14ac:dyDescent="0.25">
      <c r="A119" t="s">
        <v>67</v>
      </c>
      <c r="B119" t="s">
        <v>69</v>
      </c>
      <c r="C119">
        <v>6</v>
      </c>
      <c r="D119" t="s">
        <v>160</v>
      </c>
      <c r="E119" t="s">
        <v>147</v>
      </c>
      <c r="F119" t="s">
        <v>161</v>
      </c>
      <c r="G119">
        <v>123</v>
      </c>
      <c r="H119">
        <v>0</v>
      </c>
      <c r="I119" s="5" t="str">
        <f>OutputTable[[#This Row],[ProjectName]]&amp;OutputTable[[#This Row],[Name]]&amp;OutputTable[[#This Row],[Type]]&amp;OutputTable[[#This Row],[Source]]</f>
        <v>Weekend (base)System.NumberOutNumber OutSystem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17</v>
      </c>
      <c r="K119" s="5" cm="1">
        <f t="array" ref="K119">IFERROR(AVERAGE(IF((OutputTable[GroupByKey]=OutputTable[[#This Row],[GroupByKey]]),(OutputTable[GroupByKey]=OutputTable[[#This Row],[GroupByKey]])*OutputTable[RecordedValue])),0)</f>
        <v>121.76470588235294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7.0580575564802697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19" s="5" cm="1">
        <f t="array" ref="O119">MIN(IF((OutputTable[GroupByKey]=OutputTable[[#This Row],[GroupByKey]]),(OutputTable[GroupByKey]=OutputTable[[#This Row],[GroupByKey]])*OutputTable[RecordedValue]))</f>
        <v>110</v>
      </c>
      <c r="P119" s="5" cm="1">
        <f t="array" ref="P119">MAX(IF((OutputTable[GroupByKey]=OutputTable[[#This Row],[GroupByKey]]),(OutputTable[GroupByKey]=OutputTable[[#This Row],[GroupByKey]])*OutputTable[RecordedValue]))</f>
        <v>133</v>
      </c>
    </row>
    <row r="120" spans="1:16" x14ac:dyDescent="0.25">
      <c r="A120" t="s">
        <v>67</v>
      </c>
      <c r="B120" t="s">
        <v>69</v>
      </c>
      <c r="C120">
        <v>6</v>
      </c>
      <c r="D120" t="s">
        <v>162</v>
      </c>
      <c r="E120" t="s">
        <v>163</v>
      </c>
      <c r="F120" t="s">
        <v>136</v>
      </c>
      <c r="G120">
        <v>160</v>
      </c>
      <c r="H120">
        <v>0</v>
      </c>
      <c r="I120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17</v>
      </c>
      <c r="K120" s="5" cm="1">
        <f t="array" ref="K120">IFERROR(AVERAGE(IF((OutputTable[GroupByKey]=OutputTable[[#This Row],[GroupByKey]]),(OutputTable[GroupByKey]=OutputTable[[#This Row],[GroupByKey]])*OutputTable[RecordedValue])),0)</f>
        <v>162.1764705882353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10.100960932738323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120" s="5" cm="1">
        <f t="array" ref="O120">MIN(IF((OutputTable[GroupByKey]=OutputTable[[#This Row],[GroupByKey]]),(OutputTable[GroupByKey]=OutputTable[[#This Row],[GroupByKey]])*OutputTable[RecordedValue]))</f>
        <v>147</v>
      </c>
      <c r="P120" s="5" cm="1">
        <f t="array" ref="P120">MAX(IF((OutputTable[GroupByKey]=OutputTable[[#This Row],[GroupByKey]]),(OutputTable[GroupByKey]=OutputTable[[#This Row],[GroupByKey]])*OutputTable[RecordedValue]))</f>
        <v>183</v>
      </c>
    </row>
    <row r="121" spans="1:16" x14ac:dyDescent="0.25">
      <c r="A121" t="s">
        <v>67</v>
      </c>
      <c r="B121" t="s">
        <v>69</v>
      </c>
      <c r="C121">
        <v>6</v>
      </c>
      <c r="D121" t="s">
        <v>164</v>
      </c>
      <c r="E121" t="s">
        <v>165</v>
      </c>
      <c r="F121" t="s">
        <v>136</v>
      </c>
      <c r="G121">
        <v>0.73707365264835401</v>
      </c>
      <c r="H121">
        <v>0</v>
      </c>
      <c r="I121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17</v>
      </c>
      <c r="K121" s="5" cm="1">
        <f t="array" ref="K121">IFERROR(AVERAGE(IF((OutputTable[GroupByKey]=OutputTable[[#This Row],[GroupByKey]]),(OutputTable[GroupByKey]=OutputTable[[#This Row],[GroupByKey]])*OutputTable[RecordedValue])),0)</f>
        <v>0.82034721885470152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6.5495768324500853E-2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121" s="5" cm="1">
        <f t="array" ref="O121">MIN(IF((OutputTable[GroupByKey]=OutputTable[[#This Row],[GroupByKey]]),(OutputTable[GroupByKey]=OutputTable[[#This Row],[GroupByKey]])*OutputTable[RecordedValue]))</f>
        <v>0.73534383204610498</v>
      </c>
      <c r="P121" s="5" cm="1">
        <f t="array" ref="P121">MAX(IF((OutputTable[GroupByKey]=OutputTable[[#This Row],[GroupByKey]]),(OutputTable[GroupByKey]=OutputTable[[#This Row],[GroupByKey]])*OutputTable[RecordedValue]))</f>
        <v>0.95888680213271504</v>
      </c>
    </row>
    <row r="122" spans="1:16" x14ac:dyDescent="0.25">
      <c r="A122" t="s">
        <v>67</v>
      </c>
      <c r="B122" t="s">
        <v>69</v>
      </c>
      <c r="C122">
        <v>6</v>
      </c>
      <c r="D122" t="s">
        <v>166</v>
      </c>
      <c r="E122" t="s">
        <v>163</v>
      </c>
      <c r="F122" t="s">
        <v>136</v>
      </c>
      <c r="G122">
        <v>71</v>
      </c>
      <c r="H122">
        <v>0</v>
      </c>
      <c r="I122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17</v>
      </c>
      <c r="K122" s="5" cm="1">
        <f t="array" ref="K122">IFERROR(AVERAGE(IF((OutputTable[GroupByKey]=OutputTable[[#This Row],[GroupByKey]]),(OutputTable[GroupByKey]=OutputTable[[#This Row],[GroupByKey]])*OutputTable[RecordedValue])),0)</f>
        <v>73.764705882352942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6.2302629535669061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122" s="5" cm="1">
        <f t="array" ref="O122">MIN(IF((OutputTable[GroupByKey]=OutputTable[[#This Row],[GroupByKey]]),(OutputTable[GroupByKey]=OutputTable[[#This Row],[GroupByKey]])*OutputTable[RecordedValue]))</f>
        <v>60</v>
      </c>
      <c r="P122" s="5" cm="1">
        <f t="array" ref="P122">MAX(IF((OutputTable[GroupByKey]=OutputTable[[#This Row],[GroupByKey]]),(OutputTable[GroupByKey]=OutputTable[[#This Row],[GroupByKey]])*OutputTable[RecordedValue]))</f>
        <v>84</v>
      </c>
    </row>
    <row r="123" spans="1:16" x14ac:dyDescent="0.25">
      <c r="A123" t="s">
        <v>67</v>
      </c>
      <c r="B123" t="s">
        <v>69</v>
      </c>
      <c r="C123">
        <v>6</v>
      </c>
      <c r="D123" t="s">
        <v>167</v>
      </c>
      <c r="E123" t="s">
        <v>165</v>
      </c>
      <c r="F123" t="s">
        <v>136</v>
      </c>
      <c r="G123">
        <v>0.61027126122794995</v>
      </c>
      <c r="H123">
        <v>0</v>
      </c>
      <c r="I123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17</v>
      </c>
      <c r="K123" s="5" cm="1">
        <f t="array" ref="K123">IFERROR(AVERAGE(IF((OutputTable[GroupByKey]=OutputTable[[#This Row],[GroupByKey]]),(OutputTable[GroupByKey]=OutputTable[[#This Row],[GroupByKey]])*OutputTable[RecordedValue])),0)</f>
        <v>0.66010861965703893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6.6171154002911237E-2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123" s="5" cm="1">
        <f t="array" ref="O123">MIN(IF((OutputTable[GroupByKey]=OutputTable[[#This Row],[GroupByKey]]),(OutputTable[GroupByKey]=OutputTable[[#This Row],[GroupByKey]])*OutputTable[RecordedValue]))</f>
        <v>0.52223972091576099</v>
      </c>
      <c r="P123" s="5" cm="1">
        <f t="array" ref="P123">MAX(IF((OutputTable[GroupByKey]=OutputTable[[#This Row],[GroupByKey]]),(OutputTable[GroupByKey]=OutputTable[[#This Row],[GroupByKey]])*OutputTable[RecordedValue]))</f>
        <v>0.77852312806092006</v>
      </c>
    </row>
    <row r="124" spans="1:16" x14ac:dyDescent="0.25">
      <c r="A124" t="s">
        <v>67</v>
      </c>
      <c r="B124" t="s">
        <v>69</v>
      </c>
      <c r="C124">
        <v>6</v>
      </c>
      <c r="D124" t="s">
        <v>168</v>
      </c>
      <c r="E124" t="s">
        <v>163</v>
      </c>
      <c r="F124" t="s">
        <v>136</v>
      </c>
      <c r="G124">
        <v>12</v>
      </c>
      <c r="H124">
        <v>0</v>
      </c>
      <c r="I124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17</v>
      </c>
      <c r="K124" s="5" cm="1">
        <f t="array" ref="K124">IFERROR(AVERAGE(IF((OutputTable[GroupByKey]=OutputTable[[#This Row],[GroupByKey]]),(OutputTable[GroupByKey]=OutputTable[[#This Row],[GroupByKey]])*OutputTable[RecordedValue])),0)</f>
        <v>16.941176470588236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3.0097879542273018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24" s="5" cm="1">
        <f t="array" ref="O124">MIN(IF((OutputTable[GroupByKey]=OutputTable[[#This Row],[GroupByKey]]),(OutputTable[GroupByKey]=OutputTable[[#This Row],[GroupByKey]])*OutputTable[RecordedValue]))</f>
        <v>12</v>
      </c>
      <c r="P124" s="5" cm="1">
        <f t="array" ref="P124">MAX(IF((OutputTable[GroupByKey]=OutputTable[[#This Row],[GroupByKey]]),(OutputTable[GroupByKey]=OutputTable[[#This Row],[GroupByKey]])*OutputTable[RecordedValue]))</f>
        <v>22</v>
      </c>
    </row>
    <row r="125" spans="1:16" x14ac:dyDescent="0.25">
      <c r="A125" t="s">
        <v>67</v>
      </c>
      <c r="B125" t="s">
        <v>69</v>
      </c>
      <c r="C125">
        <v>6</v>
      </c>
      <c r="D125" t="s">
        <v>169</v>
      </c>
      <c r="E125" t="s">
        <v>165</v>
      </c>
      <c r="F125" t="s">
        <v>136</v>
      </c>
      <c r="G125">
        <v>0.30601538349313501</v>
      </c>
      <c r="H125">
        <v>0</v>
      </c>
      <c r="I125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17</v>
      </c>
      <c r="K125" s="5" cm="1">
        <f t="array" ref="K125">IFERROR(AVERAGE(IF((OutputTable[GroupByKey]=OutputTable[[#This Row],[GroupByKey]]),(OutputTable[GroupByKey]=OutputTable[[#This Row],[GroupByKey]])*OutputTable[RecordedValue])),0)</f>
        <v>0.34356399197544252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7.597675013665138E-2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125" s="5" cm="1">
        <f t="array" ref="O125">MIN(IF((OutputTable[GroupByKey]=OutputTable[[#This Row],[GroupByKey]]),(OutputTable[GroupByKey]=OutputTable[[#This Row],[GroupByKey]])*OutputTable[RecordedValue]))</f>
        <v>0.20879044077011299</v>
      </c>
      <c r="P125" s="5" cm="1">
        <f t="array" ref="P125">MAX(IF((OutputTable[GroupByKey]=OutputTable[[#This Row],[GroupByKey]]),(OutputTable[GroupByKey]=OutputTable[[#This Row],[GroupByKey]])*OutputTable[RecordedValue]))</f>
        <v>0.53820629377380302</v>
      </c>
    </row>
    <row r="126" spans="1:16" x14ac:dyDescent="0.25">
      <c r="A126" t="s">
        <v>67</v>
      </c>
      <c r="B126" t="s">
        <v>69</v>
      </c>
      <c r="C126">
        <v>6</v>
      </c>
      <c r="D126" t="s">
        <v>170</v>
      </c>
      <c r="E126" t="s">
        <v>145</v>
      </c>
      <c r="F126" t="s">
        <v>72</v>
      </c>
      <c r="G126">
        <v>3</v>
      </c>
      <c r="H126">
        <v>0</v>
      </c>
      <c r="I126" s="5" t="str">
        <f>OutputTable[[#This Row],[ProjectName]]&amp;OutputTable[[#This Row],[Name]]&amp;OutputTable[[#This Row],[Type]]&amp;OutputTable[[#This Row],[Source]]</f>
        <v>Weekend (base)reloj.NumberInNumber InEntity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17</v>
      </c>
      <c r="K126" s="5" cm="1">
        <f t="array" ref="K126">IFERROR(AVERAGE(IF((OutputTable[GroupByKey]=OutputTable[[#This Row],[GroupByKey]]),(OutputTable[GroupByKey]=OutputTable[[#This Row],[GroupByKey]])*OutputTable[RecordedValue])),0)</f>
        <v>3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 cm="1">
        <f t="array" ref="O126">MIN(IF((OutputTable[GroupByKey]=OutputTable[[#This Row],[GroupByKey]]),(OutputTable[GroupByKey]=OutputTable[[#This Row],[GroupByKey]])*OutputTable[RecordedValue]))</f>
        <v>3</v>
      </c>
      <c r="P126" s="5" cm="1">
        <f t="array" ref="P126">MAX(IF((OutputTable[GroupByKey]=OutputTable[[#This Row],[GroupByKey]]),(OutputTable[GroupByKey]=OutputTable[[#This Row],[GroupByKey]])*OutputTable[RecordedValue]))</f>
        <v>3</v>
      </c>
    </row>
    <row r="127" spans="1:16" x14ac:dyDescent="0.25">
      <c r="A127" t="s">
        <v>67</v>
      </c>
      <c r="B127" t="s">
        <v>69</v>
      </c>
      <c r="C127">
        <v>6</v>
      </c>
      <c r="D127" t="s">
        <v>171</v>
      </c>
      <c r="E127" t="s">
        <v>147</v>
      </c>
      <c r="F127" t="s">
        <v>72</v>
      </c>
      <c r="G127">
        <v>3</v>
      </c>
      <c r="H127">
        <v>0</v>
      </c>
      <c r="I127" s="5" t="str">
        <f>OutputTable[[#This Row],[ProjectName]]&amp;OutputTable[[#This Row],[Name]]&amp;OutputTable[[#This Row],[Type]]&amp;OutputTable[[#This Row],[Source]]</f>
        <v>Weekend (base)reloj.NumberOutNumber OutEntity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17</v>
      </c>
      <c r="K127" s="5" cm="1">
        <f t="array" ref="K127">IFERROR(AVERAGE(IF((OutputTable[GroupByKey]=OutputTable[[#This Row],[GroupByKey]]),(OutputTable[GroupByKey]=OutputTable[[#This Row],[GroupByKey]])*OutputTable[RecordedValue])),0)</f>
        <v>3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0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" s="5" cm="1">
        <f t="array" ref="O127">MIN(IF((OutputTable[GroupByKey]=OutputTable[[#This Row],[GroupByKey]]),(OutputTable[GroupByKey]=OutputTable[[#This Row],[GroupByKey]])*OutputTable[RecordedValue]))</f>
        <v>3</v>
      </c>
      <c r="P127" s="5" cm="1">
        <f t="array" ref="P127">MAX(IF((OutputTable[GroupByKey]=OutputTable[[#This Row],[GroupByKey]]),(OutputTable[GroupByKey]=OutputTable[[#This Row],[GroupByKey]])*OutputTable[RecordedValue]))</f>
        <v>3</v>
      </c>
    </row>
    <row r="128" spans="1:16" x14ac:dyDescent="0.25">
      <c r="A128" t="s">
        <v>67</v>
      </c>
      <c r="B128" t="s">
        <v>69</v>
      </c>
      <c r="C128">
        <v>7</v>
      </c>
      <c r="D128" t="s">
        <v>144</v>
      </c>
      <c r="E128" t="s">
        <v>145</v>
      </c>
      <c r="F128" t="s">
        <v>72</v>
      </c>
      <c r="G128">
        <v>316</v>
      </c>
      <c r="H128">
        <v>0</v>
      </c>
      <c r="I128" s="5" t="str">
        <f>OutputTable[[#This Row],[ProjectName]]&amp;OutputTable[[#This Row],[Name]]&amp;OutputTable[[#This Row],[Type]]&amp;OutputTable[[#This Row],[Source]]</f>
        <v>Weekend (base)Cliente.NumberInNumber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17</v>
      </c>
      <c r="K128" s="5" cm="1">
        <f t="array" ref="K128">IFERROR(AVERAGE(IF((OutputTable[GroupByKey]=OutputTable[[#This Row],[GroupByKey]]),(OutputTable[GroupByKey]=OutputTable[[#This Row],[GroupByKey]])*OutputTable[RecordedValue])),0)</f>
        <v>354.11764705882354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19.776508643277939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128" s="5" cm="1">
        <f t="array" ref="O128">MIN(IF((OutputTable[GroupByKey]=OutputTable[[#This Row],[GroupByKey]]),(OutputTable[GroupByKey]=OutputTable[[#This Row],[GroupByKey]])*OutputTable[RecordedValue]))</f>
        <v>316</v>
      </c>
      <c r="P128" s="5" cm="1">
        <f t="array" ref="P128">MAX(IF((OutputTable[GroupByKey]=OutputTable[[#This Row],[GroupByKey]]),(OutputTable[GroupByKey]=OutputTable[[#This Row],[GroupByKey]])*OutputTable[RecordedValue]))</f>
        <v>387</v>
      </c>
    </row>
    <row r="129" spans="1:16" x14ac:dyDescent="0.25">
      <c r="A129" t="s">
        <v>67</v>
      </c>
      <c r="B129" t="s">
        <v>69</v>
      </c>
      <c r="C129">
        <v>7</v>
      </c>
      <c r="D129" t="s">
        <v>146</v>
      </c>
      <c r="E129" t="s">
        <v>147</v>
      </c>
      <c r="F129" t="s">
        <v>72</v>
      </c>
      <c r="G129">
        <v>319</v>
      </c>
      <c r="H129">
        <v>0</v>
      </c>
      <c r="I129" s="5" t="str">
        <f>OutputTable[[#This Row],[ProjectName]]&amp;OutputTable[[#This Row],[Name]]&amp;OutputTable[[#This Row],[Type]]&amp;OutputTable[[#This Row],[Source]]</f>
        <v>Weekend (base)Cliente.NumberOutNumber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17</v>
      </c>
      <c r="K129" s="5" cm="1">
        <f t="array" ref="K129">IFERROR(AVERAGE(IF((OutputTable[GroupByKey]=OutputTable[[#This Row],[GroupByKey]]),(OutputTable[GroupByKey]=OutputTable[[#This Row],[GroupByKey]])*OutputTable[RecordedValue])),0)</f>
        <v>354.88235294117646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20.951975900082719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129" s="5" cm="1">
        <f t="array" ref="O129">MIN(IF((OutputTable[GroupByKey]=OutputTable[[#This Row],[GroupByKey]]),(OutputTable[GroupByKey]=OutputTable[[#This Row],[GroupByKey]])*OutputTable[RecordedValue]))</f>
        <v>319</v>
      </c>
      <c r="P129" s="5" cm="1">
        <f t="array" ref="P129">MAX(IF((OutputTable[GroupByKey]=OutputTable[[#This Row],[GroupByKey]]),(OutputTable[GroupByKey]=OutputTable[[#This Row],[GroupByKey]])*OutputTable[RecordedValue]))</f>
        <v>391</v>
      </c>
    </row>
    <row r="130" spans="1:16" x14ac:dyDescent="0.25">
      <c r="A130" t="s">
        <v>67</v>
      </c>
      <c r="B130" t="s">
        <v>69</v>
      </c>
      <c r="C130">
        <v>7</v>
      </c>
      <c r="D130" t="s">
        <v>148</v>
      </c>
      <c r="E130" t="s">
        <v>149</v>
      </c>
      <c r="F130" t="s">
        <v>86</v>
      </c>
      <c r="G130">
        <v>334.43373287573399</v>
      </c>
      <c r="H130">
        <v>0</v>
      </c>
      <c r="I130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17</v>
      </c>
      <c r="K130" s="5" cm="1">
        <f t="array" ref="K130">IFERROR(AVERAGE(IF((OutputTable[GroupByKey]=OutputTable[[#This Row],[GroupByKey]]),(OutputTable[GroupByKey]=OutputTable[[#This Row],[GroupByKey]])*OutputTable[RecordedValue])),0)</f>
        <v>308.63553444706355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57.365542312184125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130" s="5" cm="1">
        <f t="array" ref="O130">MIN(IF((OutputTable[GroupByKey]=OutputTable[[#This Row],[GroupByKey]]),(OutputTable[GroupByKey]=OutputTable[[#This Row],[GroupByKey]])*OutputTable[RecordedValue]))</f>
        <v>225.161235126317</v>
      </c>
      <c r="P130" s="5" cm="1">
        <f t="array" ref="P130">MAX(IF((OutputTable[GroupByKey]=OutputTable[[#This Row],[GroupByKey]]),(OutputTable[GroupByKey]=OutputTable[[#This Row],[GroupByKey]])*OutputTable[RecordedValue]))</f>
        <v>456.33427551718</v>
      </c>
    </row>
    <row r="131" spans="1:16" x14ac:dyDescent="0.25">
      <c r="A131" t="s">
        <v>67</v>
      </c>
      <c r="B131" t="s">
        <v>69</v>
      </c>
      <c r="C131">
        <v>7</v>
      </c>
      <c r="D131" t="s">
        <v>150</v>
      </c>
      <c r="E131" t="s">
        <v>151</v>
      </c>
      <c r="F131" t="s">
        <v>86</v>
      </c>
      <c r="G131">
        <v>0</v>
      </c>
      <c r="H131">
        <v>0</v>
      </c>
      <c r="I131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17</v>
      </c>
      <c r="K131" s="5" cm="1">
        <f t="array" ref="K131">IFERROR(AVERAGE(IF((OutputTable[GroupByKey]=OutputTable[[#This Row],[GroupByKey]]),(OutputTable[GroupByKey]=OutputTable[[#This Row],[GroupByKey]])*OutputTable[RecordedValue])),0)</f>
        <v>0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" s="5" cm="1">
        <f t="array" ref="O131">MIN(IF((OutputTable[GroupByKey]=OutputTable[[#This Row],[GroupByKey]]),(OutputTable[GroupByKey]=OutputTable[[#This Row],[GroupByKey]])*OutputTable[RecordedValue]))</f>
        <v>0</v>
      </c>
      <c r="P131" s="5" cm="1">
        <f t="array" ref="P131">MAX(IF((OutputTable[GroupByKey]=OutputTable[[#This Row],[GroupByKey]]),(OutputTable[GroupByKey]=OutputTable[[#This Row],[GroupByKey]])*OutputTable[RecordedValue]))</f>
        <v>0</v>
      </c>
    </row>
    <row r="132" spans="1:16" x14ac:dyDescent="0.25">
      <c r="A132" t="s">
        <v>67</v>
      </c>
      <c r="B132" t="s">
        <v>69</v>
      </c>
      <c r="C132">
        <v>7</v>
      </c>
      <c r="D132" t="s">
        <v>152</v>
      </c>
      <c r="E132" t="s">
        <v>145</v>
      </c>
      <c r="F132" t="s">
        <v>86</v>
      </c>
      <c r="G132">
        <v>17</v>
      </c>
      <c r="H132">
        <v>0</v>
      </c>
      <c r="I132" s="5" t="str">
        <f>OutputTable[[#This Row],[ProjectName]]&amp;OutputTable[[#This Row],[Name]]&amp;OutputTable[[#This Row],[Type]]&amp;OutputTable[[#This Row],[Source]]</f>
        <v>Weekend (base)Comer en Mesa Number InNumber InProcess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17</v>
      </c>
      <c r="K132" s="5" cm="1">
        <f t="array" ref="K132">IFERROR(AVERAGE(IF((OutputTable[GroupByKey]=OutputTable[[#This Row],[GroupByKey]]),(OutputTable[GroupByKey]=OutputTable[[#This Row],[GroupByKey]])*OutputTable[RecordedValue])),0)</f>
        <v>16.941176470588236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3.0097879542273018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32" s="5" cm="1">
        <f t="array" ref="O132">MIN(IF((OutputTable[GroupByKey]=OutputTable[[#This Row],[GroupByKey]]),(OutputTable[GroupByKey]=OutputTable[[#This Row],[GroupByKey]])*OutputTable[RecordedValue]))</f>
        <v>12</v>
      </c>
      <c r="P132" s="5" cm="1">
        <f t="array" ref="P132">MAX(IF((OutputTable[GroupByKey]=OutputTable[[#This Row],[GroupByKey]]),(OutputTable[GroupByKey]=OutputTable[[#This Row],[GroupByKey]])*OutputTable[RecordedValue]))</f>
        <v>22</v>
      </c>
    </row>
    <row r="133" spans="1:16" x14ac:dyDescent="0.25">
      <c r="A133" t="s">
        <v>67</v>
      </c>
      <c r="B133" t="s">
        <v>69</v>
      </c>
      <c r="C133">
        <v>7</v>
      </c>
      <c r="D133" t="s">
        <v>153</v>
      </c>
      <c r="E133" t="s">
        <v>147</v>
      </c>
      <c r="F133" t="s">
        <v>86</v>
      </c>
      <c r="G133">
        <v>16</v>
      </c>
      <c r="H133">
        <v>0</v>
      </c>
      <c r="I133" s="5" t="str">
        <f>OutputTable[[#This Row],[ProjectName]]&amp;OutputTable[[#This Row],[Name]]&amp;OutputTable[[#This Row],[Type]]&amp;OutputTable[[#This Row],[Source]]</f>
        <v>Weekend (base)Comer en Mesa Number OutNumber OutProcess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17</v>
      </c>
      <c r="K133" s="5" cm="1">
        <f t="array" ref="K133">IFERROR(AVERAGE(IF((OutputTable[GroupByKey]=OutputTable[[#This Row],[GroupByKey]]),(OutputTable[GroupByKey]=OutputTable[[#This Row],[GroupByKey]])*OutputTable[RecordedValue])),0)</f>
        <v>16.764705882352942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1.8550408272025261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133" s="5" cm="1">
        <f t="array" ref="O133">MIN(IF((OutputTable[GroupByKey]=OutputTable[[#This Row],[GroupByKey]]),(OutputTable[GroupByKey]=OutputTable[[#This Row],[GroupByKey]])*OutputTable[RecordedValue]))</f>
        <v>13</v>
      </c>
      <c r="P133" s="5" cm="1">
        <f t="array" ref="P133">MAX(IF((OutputTable[GroupByKey]=OutputTable[[#This Row],[GroupByKey]]),(OutputTable[GroupByKey]=OutputTable[[#This Row],[GroupByKey]])*OutputTable[RecordedValue]))</f>
        <v>20</v>
      </c>
    </row>
    <row r="134" spans="1:16" x14ac:dyDescent="0.25">
      <c r="A134" t="s">
        <v>67</v>
      </c>
      <c r="B134" t="s">
        <v>69</v>
      </c>
      <c r="C134">
        <v>7</v>
      </c>
      <c r="D134" t="s">
        <v>154</v>
      </c>
      <c r="E134" t="s">
        <v>145</v>
      </c>
      <c r="F134" t="s">
        <v>72</v>
      </c>
      <c r="G134">
        <v>105</v>
      </c>
      <c r="H134">
        <v>0</v>
      </c>
      <c r="I134" s="5" t="str">
        <f>OutputTable[[#This Row],[ProjectName]]&amp;OutputTable[[#This Row],[Name]]&amp;OutputTable[[#This Row],[Type]]&amp;OutputTable[[#This Row],[Source]]</f>
        <v>Weekend (base)Orden.NumberInNumber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17</v>
      </c>
      <c r="K134" s="5" cm="1">
        <f t="array" ref="K134">IFERROR(AVERAGE(IF((OutputTable[GroupByKey]=OutputTable[[#This Row],[GroupByKey]]),(OutputTable[GroupByKey]=OutputTable[[#This Row],[GroupByKey]])*OutputTable[RecordedValue])),0)</f>
        <v>117.35294117647059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7.1496606254299602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34" s="5" cm="1">
        <f t="array" ref="O134">MIN(IF((OutputTable[GroupByKey]=OutputTable[[#This Row],[GroupByKey]]),(OutputTable[GroupByKey]=OutputTable[[#This Row],[GroupByKey]])*OutputTable[RecordedValue]))</f>
        <v>105</v>
      </c>
      <c r="P134" s="5" cm="1">
        <f t="array" ref="P134">MAX(IF((OutputTable[GroupByKey]=OutputTable[[#This Row],[GroupByKey]]),(OutputTable[GroupByKey]=OutputTable[[#This Row],[GroupByKey]])*OutputTable[RecordedValue]))</f>
        <v>131</v>
      </c>
    </row>
    <row r="135" spans="1:16" x14ac:dyDescent="0.25">
      <c r="A135" t="s">
        <v>67</v>
      </c>
      <c r="B135" t="s">
        <v>69</v>
      </c>
      <c r="C135">
        <v>7</v>
      </c>
      <c r="D135" t="s">
        <v>155</v>
      </c>
      <c r="E135" t="s">
        <v>147</v>
      </c>
      <c r="F135" t="s">
        <v>72</v>
      </c>
      <c r="G135">
        <v>107</v>
      </c>
      <c r="H135">
        <v>0</v>
      </c>
      <c r="I135" s="5" t="str">
        <f>OutputTable[[#This Row],[ProjectName]]&amp;OutputTable[[#This Row],[Name]]&amp;OutputTable[[#This Row],[Type]]&amp;OutputTable[[#This Row],[Source]]</f>
        <v>Weekend (base)Orden.NumberOutNumber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17</v>
      </c>
      <c r="K135" s="5" cm="1">
        <f t="array" ref="K135">IFERROR(AVERAGE(IF((OutputTable[GroupByKey]=OutputTable[[#This Row],[GroupByKey]]),(OutputTable[GroupByKey]=OutputTable[[#This Row],[GroupByKey]])*OutputTable[RecordedValue])),0)</f>
        <v>118.76470588235294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7.0580575564802697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35" s="5" cm="1">
        <f t="array" ref="O135">MIN(IF((OutputTable[GroupByKey]=OutputTable[[#This Row],[GroupByKey]]),(OutputTable[GroupByKey]=OutputTable[[#This Row],[GroupByKey]])*OutputTable[RecordedValue]))</f>
        <v>107</v>
      </c>
      <c r="P135" s="5" cm="1">
        <f t="array" ref="P135">MAX(IF((OutputTable[GroupByKey]=OutputTable[[#This Row],[GroupByKey]]),(OutputTable[GroupByKey]=OutputTable[[#This Row],[GroupByKey]])*OutputTable[RecordedValue]))</f>
        <v>130</v>
      </c>
    </row>
    <row r="136" spans="1:16" x14ac:dyDescent="0.25">
      <c r="A136" t="s">
        <v>67</v>
      </c>
      <c r="B136" t="s">
        <v>69</v>
      </c>
      <c r="C136">
        <v>7</v>
      </c>
      <c r="D136" t="s">
        <v>156</v>
      </c>
      <c r="E136" t="s">
        <v>149</v>
      </c>
      <c r="F136" t="s">
        <v>86</v>
      </c>
      <c r="G136">
        <v>172.362702031353</v>
      </c>
      <c r="H136">
        <v>0</v>
      </c>
      <c r="I136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17</v>
      </c>
      <c r="K136" s="5" cm="1">
        <f t="array" ref="K136">IFERROR(AVERAGE(IF((OutputTable[GroupByKey]=OutputTable[[#This Row],[GroupByKey]]),(OutputTable[GroupByKey]=OutputTable[[#This Row],[GroupByKey]])*OutputTable[RecordedValue])),0)</f>
        <v>191.25148078330704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16.886201618463961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136" s="5" cm="1">
        <f t="array" ref="O136">MIN(IF((OutputTable[GroupByKey]=OutputTable[[#This Row],[GroupByKey]]),(OutputTable[GroupByKey]=OutputTable[[#This Row],[GroupByKey]])*OutputTable[RecordedValue]))</f>
        <v>159.38722481493599</v>
      </c>
      <c r="P136" s="5" cm="1">
        <f t="array" ref="P136">MAX(IF((OutputTable[GroupByKey]=OutputTable[[#This Row],[GroupByKey]]),(OutputTable[GroupByKey]=OutputTable[[#This Row],[GroupByKey]])*OutputTable[RecordedValue]))</f>
        <v>225.02992874035499</v>
      </c>
    </row>
    <row r="137" spans="1:16" x14ac:dyDescent="0.25">
      <c r="A137" t="s">
        <v>67</v>
      </c>
      <c r="B137" t="s">
        <v>69</v>
      </c>
      <c r="C137">
        <v>7</v>
      </c>
      <c r="D137" t="s">
        <v>157</v>
      </c>
      <c r="E137" t="s">
        <v>151</v>
      </c>
      <c r="F137" t="s">
        <v>86</v>
      </c>
      <c r="G137">
        <v>72.9960912806674</v>
      </c>
      <c r="H137">
        <v>0</v>
      </c>
      <c r="I137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17</v>
      </c>
      <c r="K137" s="5" cm="1">
        <f t="array" ref="K137">IFERROR(AVERAGE(IF((OutputTable[GroupByKey]=OutputTable[[#This Row],[GroupByKey]]),(OutputTable[GroupByKey]=OutputTable[[#This Row],[GroupByKey]])*OutputTable[RecordedValue])),0)</f>
        <v>133.66503743442436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79.508986996493206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137" s="5" cm="1">
        <f t="array" ref="O137">MIN(IF((OutputTable[GroupByKey]=OutputTable[[#This Row],[GroupByKey]]),(OutputTable[GroupByKey]=OutputTable[[#This Row],[GroupByKey]])*OutputTable[RecordedValue]))</f>
        <v>36.437518321990602</v>
      </c>
      <c r="P137" s="5" cm="1">
        <f t="array" ref="P137">MAX(IF((OutputTable[GroupByKey]=OutputTable[[#This Row],[GroupByKey]]),(OutputTable[GroupByKey]=OutputTable[[#This Row],[GroupByKey]])*OutputTable[RecordedValue]))</f>
        <v>324.91710015892198</v>
      </c>
    </row>
    <row r="138" spans="1:16" x14ac:dyDescent="0.25">
      <c r="A138" t="s">
        <v>67</v>
      </c>
      <c r="B138" t="s">
        <v>69</v>
      </c>
      <c r="C138">
        <v>7</v>
      </c>
      <c r="D138" t="s">
        <v>158</v>
      </c>
      <c r="E138" t="s">
        <v>145</v>
      </c>
      <c r="F138" t="s">
        <v>86</v>
      </c>
      <c r="G138">
        <v>105</v>
      </c>
      <c r="H138">
        <v>0</v>
      </c>
      <c r="I138" s="5" t="str">
        <f>OutputTable[[#This Row],[ProjectName]]&amp;OutputTable[[#This Row],[Name]]&amp;OutputTable[[#This Row],[Type]]&amp;OutputTable[[#This Row],[Source]]</f>
        <v>Weekend (base)Preparacion Number InNumber InProcess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17</v>
      </c>
      <c r="K138" s="5" cm="1">
        <f t="array" ref="K138">IFERROR(AVERAGE(IF((OutputTable[GroupByKey]=OutputTable[[#This Row],[GroupByKey]]),(OutputTable[GroupByKey]=OutputTable[[#This Row],[GroupByKey]])*OutputTable[RecordedValue])),0)</f>
        <v>117.35294117647059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7.1496606254299602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38" s="5" cm="1">
        <f t="array" ref="O138">MIN(IF((OutputTable[GroupByKey]=OutputTable[[#This Row],[GroupByKey]]),(OutputTable[GroupByKey]=OutputTable[[#This Row],[GroupByKey]])*OutputTable[RecordedValue]))</f>
        <v>105</v>
      </c>
      <c r="P138" s="5" cm="1">
        <f t="array" ref="P138">MAX(IF((OutputTable[GroupByKey]=OutputTable[[#This Row],[GroupByKey]]),(OutputTable[GroupByKey]=OutputTable[[#This Row],[GroupByKey]])*OutputTable[RecordedValue]))</f>
        <v>131</v>
      </c>
    </row>
    <row r="139" spans="1:16" x14ac:dyDescent="0.25">
      <c r="A139" t="s">
        <v>67</v>
      </c>
      <c r="B139" t="s">
        <v>69</v>
      </c>
      <c r="C139">
        <v>7</v>
      </c>
      <c r="D139" t="s">
        <v>159</v>
      </c>
      <c r="E139" t="s">
        <v>147</v>
      </c>
      <c r="F139" t="s">
        <v>86</v>
      </c>
      <c r="G139">
        <v>108</v>
      </c>
      <c r="H139">
        <v>0</v>
      </c>
      <c r="I139" s="5" t="str">
        <f>OutputTable[[#This Row],[ProjectName]]&amp;OutputTable[[#This Row],[Name]]&amp;OutputTable[[#This Row],[Type]]&amp;OutputTable[[#This Row],[Source]]</f>
        <v>Weekend (base)Preparacion Number OutNumber OutProcess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17</v>
      </c>
      <c r="K139" s="5" cm="1">
        <f t="array" ref="K139">IFERROR(AVERAGE(IF((OutputTable[GroupByKey]=OutputTable[[#This Row],[GroupByKey]]),(OutputTable[GroupByKey]=OutputTable[[#This Row],[GroupByKey]])*OutputTable[RecordedValue])),0)</f>
        <v>118.82352941176471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6.9931689358048459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139" s="5" cm="1">
        <f t="array" ref="O139">MIN(IF((OutputTable[GroupByKey]=OutputTable[[#This Row],[GroupByKey]]),(OutputTable[GroupByKey]=OutputTable[[#This Row],[GroupByKey]])*OutputTable[RecordedValue]))</f>
        <v>108</v>
      </c>
      <c r="P139" s="5" cm="1">
        <f t="array" ref="P139">MAX(IF((OutputTable[GroupByKey]=OutputTable[[#This Row],[GroupByKey]]),(OutputTable[GroupByKey]=OutputTable[[#This Row],[GroupByKey]])*OutputTable[RecordedValue]))</f>
        <v>132</v>
      </c>
    </row>
    <row r="140" spans="1:16" x14ac:dyDescent="0.25">
      <c r="A140" t="s">
        <v>67</v>
      </c>
      <c r="B140" t="s">
        <v>69</v>
      </c>
      <c r="C140">
        <v>7</v>
      </c>
      <c r="D140" t="s">
        <v>160</v>
      </c>
      <c r="E140" t="s">
        <v>147</v>
      </c>
      <c r="F140" t="s">
        <v>161</v>
      </c>
      <c r="G140">
        <v>110</v>
      </c>
      <c r="H140">
        <v>0</v>
      </c>
      <c r="I140" s="5" t="str">
        <f>OutputTable[[#This Row],[ProjectName]]&amp;OutputTable[[#This Row],[Name]]&amp;OutputTable[[#This Row],[Type]]&amp;OutputTable[[#This Row],[Source]]</f>
        <v>Weekend (base)System.NumberOutNumber OutSystem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17</v>
      </c>
      <c r="K140" s="5" cm="1">
        <f t="array" ref="K140">IFERROR(AVERAGE(IF((OutputTable[GroupByKey]=OutputTable[[#This Row],[GroupByKey]]),(OutputTable[GroupByKey]=OutputTable[[#This Row],[GroupByKey]])*OutputTable[RecordedValue])),0)</f>
        <v>121.76470588235294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7.0580575564802697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40" s="5" cm="1">
        <f t="array" ref="O140">MIN(IF((OutputTable[GroupByKey]=OutputTable[[#This Row],[GroupByKey]]),(OutputTable[GroupByKey]=OutputTable[[#This Row],[GroupByKey]])*OutputTable[RecordedValue]))</f>
        <v>110</v>
      </c>
      <c r="P140" s="5" cm="1">
        <f t="array" ref="P140">MAX(IF((OutputTable[GroupByKey]=OutputTable[[#This Row],[GroupByKey]]),(OutputTable[GroupByKey]=OutputTable[[#This Row],[GroupByKey]])*OutputTable[RecordedValue]))</f>
        <v>133</v>
      </c>
    </row>
    <row r="141" spans="1:16" x14ac:dyDescent="0.25">
      <c r="A141" t="s">
        <v>67</v>
      </c>
      <c r="B141" t="s">
        <v>69</v>
      </c>
      <c r="C141">
        <v>7</v>
      </c>
      <c r="D141" t="s">
        <v>162</v>
      </c>
      <c r="E141" t="s">
        <v>163</v>
      </c>
      <c r="F141" t="s">
        <v>136</v>
      </c>
      <c r="G141">
        <v>147</v>
      </c>
      <c r="H141">
        <v>0</v>
      </c>
      <c r="I141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17</v>
      </c>
      <c r="K141" s="5" cm="1">
        <f t="array" ref="K141">IFERROR(AVERAGE(IF((OutputTable[GroupByKey]=OutputTable[[#This Row],[GroupByKey]]),(OutputTable[GroupByKey]=OutputTable[[#This Row],[GroupByKey]])*OutputTable[RecordedValue])),0)</f>
        <v>162.1764705882353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10.100960932738323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141" s="5" cm="1">
        <f t="array" ref="O141">MIN(IF((OutputTable[GroupByKey]=OutputTable[[#This Row],[GroupByKey]]),(OutputTable[GroupByKey]=OutputTable[[#This Row],[GroupByKey]])*OutputTable[RecordedValue]))</f>
        <v>147</v>
      </c>
      <c r="P141" s="5" cm="1">
        <f t="array" ref="P141">MAX(IF((OutputTable[GroupByKey]=OutputTable[[#This Row],[GroupByKey]]),(OutputTable[GroupByKey]=OutputTable[[#This Row],[GroupByKey]])*OutputTable[RecordedValue]))</f>
        <v>183</v>
      </c>
    </row>
    <row r="142" spans="1:16" x14ac:dyDescent="0.25">
      <c r="A142" t="s">
        <v>67</v>
      </c>
      <c r="B142" t="s">
        <v>69</v>
      </c>
      <c r="C142">
        <v>7</v>
      </c>
      <c r="D142" t="s">
        <v>164</v>
      </c>
      <c r="E142" t="s">
        <v>165</v>
      </c>
      <c r="F142" t="s">
        <v>136</v>
      </c>
      <c r="G142">
        <v>0.788535692973937</v>
      </c>
      <c r="H142">
        <v>0</v>
      </c>
      <c r="I142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17</v>
      </c>
      <c r="K142" s="5" cm="1">
        <f t="array" ref="K142">IFERROR(AVERAGE(IF((OutputTable[GroupByKey]=OutputTable[[#This Row],[GroupByKey]]),(OutputTable[GroupByKey]=OutputTable[[#This Row],[GroupByKey]])*OutputTable[RecordedValue])),0)</f>
        <v>0.82034721885470152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6.5495768324500853E-2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142" s="5" cm="1">
        <f t="array" ref="O142">MIN(IF((OutputTable[GroupByKey]=OutputTable[[#This Row],[GroupByKey]]),(OutputTable[GroupByKey]=OutputTable[[#This Row],[GroupByKey]])*OutputTable[RecordedValue]))</f>
        <v>0.73534383204610498</v>
      </c>
      <c r="P142" s="5" cm="1">
        <f t="array" ref="P142">MAX(IF((OutputTable[GroupByKey]=OutputTable[[#This Row],[GroupByKey]]),(OutputTable[GroupByKey]=OutputTable[[#This Row],[GroupByKey]])*OutputTable[RecordedValue]))</f>
        <v>0.95888680213271504</v>
      </c>
    </row>
    <row r="143" spans="1:16" x14ac:dyDescent="0.25">
      <c r="A143" t="s">
        <v>67</v>
      </c>
      <c r="B143" t="s">
        <v>69</v>
      </c>
      <c r="C143">
        <v>7</v>
      </c>
      <c r="D143" t="s">
        <v>166</v>
      </c>
      <c r="E143" t="s">
        <v>163</v>
      </c>
      <c r="F143" t="s">
        <v>136</v>
      </c>
      <c r="G143">
        <v>65</v>
      </c>
      <c r="H143">
        <v>0</v>
      </c>
      <c r="I143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17</v>
      </c>
      <c r="K143" s="5" cm="1">
        <f t="array" ref="K143">IFERROR(AVERAGE(IF((OutputTable[GroupByKey]=OutputTable[[#This Row],[GroupByKey]]),(OutputTable[GroupByKey]=OutputTable[[#This Row],[GroupByKey]])*OutputTable[RecordedValue])),0)</f>
        <v>73.764705882352942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6.2302629535669061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143" s="5" cm="1">
        <f t="array" ref="O143">MIN(IF((OutputTable[GroupByKey]=OutputTable[[#This Row],[GroupByKey]]),(OutputTable[GroupByKey]=OutputTable[[#This Row],[GroupByKey]])*OutputTable[RecordedValue]))</f>
        <v>60</v>
      </c>
      <c r="P143" s="5" cm="1">
        <f t="array" ref="P143">MAX(IF((OutputTable[GroupByKey]=OutputTable[[#This Row],[GroupByKey]]),(OutputTable[GroupByKey]=OutputTable[[#This Row],[GroupByKey]])*OutputTable[RecordedValue]))</f>
        <v>84</v>
      </c>
    </row>
    <row r="144" spans="1:16" x14ac:dyDescent="0.25">
      <c r="A144" t="s">
        <v>67</v>
      </c>
      <c r="B144" t="s">
        <v>69</v>
      </c>
      <c r="C144">
        <v>7</v>
      </c>
      <c r="D144" t="s">
        <v>167</v>
      </c>
      <c r="E144" t="s">
        <v>165</v>
      </c>
      <c r="F144" t="s">
        <v>136</v>
      </c>
      <c r="G144">
        <v>0.58597716696561797</v>
      </c>
      <c r="H144">
        <v>0</v>
      </c>
      <c r="I144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17</v>
      </c>
      <c r="K144" s="5" cm="1">
        <f t="array" ref="K144">IFERROR(AVERAGE(IF((OutputTable[GroupByKey]=OutputTable[[#This Row],[GroupByKey]]),(OutputTable[GroupByKey]=OutputTable[[#This Row],[GroupByKey]])*OutputTable[RecordedValue])),0)</f>
        <v>0.66010861965703893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6.6171154002911237E-2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144" s="5" cm="1">
        <f t="array" ref="O144">MIN(IF((OutputTable[GroupByKey]=OutputTable[[#This Row],[GroupByKey]]),(OutputTable[GroupByKey]=OutputTable[[#This Row],[GroupByKey]])*OutputTable[RecordedValue]))</f>
        <v>0.52223972091576099</v>
      </c>
      <c r="P144" s="5" cm="1">
        <f t="array" ref="P144">MAX(IF((OutputTable[GroupByKey]=OutputTable[[#This Row],[GroupByKey]]),(OutputTable[GroupByKey]=OutputTable[[#This Row],[GroupByKey]])*OutputTable[RecordedValue]))</f>
        <v>0.77852312806092006</v>
      </c>
    </row>
    <row r="145" spans="1:16" x14ac:dyDescent="0.25">
      <c r="A145" t="s">
        <v>67</v>
      </c>
      <c r="B145" t="s">
        <v>69</v>
      </c>
      <c r="C145">
        <v>7</v>
      </c>
      <c r="D145" t="s">
        <v>168</v>
      </c>
      <c r="E145" t="s">
        <v>163</v>
      </c>
      <c r="F145" t="s">
        <v>136</v>
      </c>
      <c r="G145">
        <v>17</v>
      </c>
      <c r="H145">
        <v>0</v>
      </c>
      <c r="I145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17</v>
      </c>
      <c r="K145" s="5" cm="1">
        <f t="array" ref="K145">IFERROR(AVERAGE(IF((OutputTable[GroupByKey]=OutputTable[[#This Row],[GroupByKey]]),(OutputTable[GroupByKey]=OutputTable[[#This Row],[GroupByKey]])*OutputTable[RecordedValue])),0)</f>
        <v>16.941176470588236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3.0097879542273018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45" s="5" cm="1">
        <f t="array" ref="O145">MIN(IF((OutputTable[GroupByKey]=OutputTable[[#This Row],[GroupByKey]]),(OutputTable[GroupByKey]=OutputTable[[#This Row],[GroupByKey]])*OutputTable[RecordedValue]))</f>
        <v>12</v>
      </c>
      <c r="P145" s="5" cm="1">
        <f t="array" ref="P145">MAX(IF((OutputTable[GroupByKey]=OutputTable[[#This Row],[GroupByKey]]),(OutputTable[GroupByKey]=OutputTable[[#This Row],[GroupByKey]])*OutputTable[RecordedValue]))</f>
        <v>22</v>
      </c>
    </row>
    <row r="146" spans="1:16" x14ac:dyDescent="0.25">
      <c r="A146" t="s">
        <v>67</v>
      </c>
      <c r="B146" t="s">
        <v>69</v>
      </c>
      <c r="C146">
        <v>7</v>
      </c>
      <c r="D146" t="s">
        <v>169</v>
      </c>
      <c r="E146" t="s">
        <v>165</v>
      </c>
      <c r="F146" t="s">
        <v>136</v>
      </c>
      <c r="G146">
        <v>0.35638097510358502</v>
      </c>
      <c r="H146">
        <v>0</v>
      </c>
      <c r="I146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17</v>
      </c>
      <c r="K146" s="5" cm="1">
        <f t="array" ref="K146">IFERROR(AVERAGE(IF((OutputTable[GroupByKey]=OutputTable[[#This Row],[GroupByKey]]),(OutputTable[GroupByKey]=OutputTable[[#This Row],[GroupByKey]])*OutputTable[RecordedValue])),0)</f>
        <v>0.34356399197544252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7.597675013665138E-2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146" s="5" cm="1">
        <f t="array" ref="O146">MIN(IF((OutputTable[GroupByKey]=OutputTable[[#This Row],[GroupByKey]]),(OutputTable[GroupByKey]=OutputTable[[#This Row],[GroupByKey]])*OutputTable[RecordedValue]))</f>
        <v>0.20879044077011299</v>
      </c>
      <c r="P146" s="5" cm="1">
        <f t="array" ref="P146">MAX(IF((OutputTable[GroupByKey]=OutputTable[[#This Row],[GroupByKey]]),(OutputTable[GroupByKey]=OutputTable[[#This Row],[GroupByKey]])*OutputTable[RecordedValue]))</f>
        <v>0.53820629377380302</v>
      </c>
    </row>
    <row r="147" spans="1:16" x14ac:dyDescent="0.25">
      <c r="A147" t="s">
        <v>67</v>
      </c>
      <c r="B147" t="s">
        <v>69</v>
      </c>
      <c r="C147">
        <v>7</v>
      </c>
      <c r="D147" t="s">
        <v>170</v>
      </c>
      <c r="E147" t="s">
        <v>145</v>
      </c>
      <c r="F147" t="s">
        <v>72</v>
      </c>
      <c r="G147">
        <v>3</v>
      </c>
      <c r="H147">
        <v>0</v>
      </c>
      <c r="I147" s="5" t="str">
        <f>OutputTable[[#This Row],[ProjectName]]&amp;OutputTable[[#This Row],[Name]]&amp;OutputTable[[#This Row],[Type]]&amp;OutputTable[[#This Row],[Source]]</f>
        <v>Weekend (base)reloj.NumberInNumber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17</v>
      </c>
      <c r="K147" s="5" cm="1">
        <f t="array" ref="K147">IFERROR(AVERAGE(IF((OutputTable[GroupByKey]=OutputTable[[#This Row],[GroupByKey]]),(OutputTable[GroupByKey]=OutputTable[[#This Row],[GroupByKey]])*OutputTable[RecordedValue])),0)</f>
        <v>3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 cm="1">
        <f t="array" ref="O147">MIN(IF((OutputTable[GroupByKey]=OutputTable[[#This Row],[GroupByKey]]),(OutputTable[GroupByKey]=OutputTable[[#This Row],[GroupByKey]])*OutputTable[RecordedValue]))</f>
        <v>3</v>
      </c>
      <c r="P147" s="5" cm="1">
        <f t="array" ref="P147">MAX(IF((OutputTable[GroupByKey]=OutputTable[[#This Row],[GroupByKey]]),(OutputTable[GroupByKey]=OutputTable[[#This Row],[GroupByKey]])*OutputTable[RecordedValue]))</f>
        <v>3</v>
      </c>
    </row>
    <row r="148" spans="1:16" x14ac:dyDescent="0.25">
      <c r="A148" t="s">
        <v>67</v>
      </c>
      <c r="B148" t="s">
        <v>69</v>
      </c>
      <c r="C148">
        <v>7</v>
      </c>
      <c r="D148" t="s">
        <v>171</v>
      </c>
      <c r="E148" t="s">
        <v>147</v>
      </c>
      <c r="F148" t="s">
        <v>72</v>
      </c>
      <c r="G148">
        <v>3</v>
      </c>
      <c r="H148">
        <v>0</v>
      </c>
      <c r="I148" s="5" t="str">
        <f>OutputTable[[#This Row],[ProjectName]]&amp;OutputTable[[#This Row],[Name]]&amp;OutputTable[[#This Row],[Type]]&amp;OutputTable[[#This Row],[Source]]</f>
        <v>Weekend (base)reloj.NumberOutNumber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17</v>
      </c>
      <c r="K148" s="5" cm="1">
        <f t="array" ref="K148">IFERROR(AVERAGE(IF((OutputTable[GroupByKey]=OutputTable[[#This Row],[GroupByKey]]),(OutputTable[GroupByKey]=OutputTable[[#This Row],[GroupByKey]])*OutputTable[RecordedValue])),0)</f>
        <v>3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" s="5" cm="1">
        <f t="array" ref="O148">MIN(IF((OutputTable[GroupByKey]=OutputTable[[#This Row],[GroupByKey]]),(OutputTable[GroupByKey]=OutputTable[[#This Row],[GroupByKey]])*OutputTable[RecordedValue]))</f>
        <v>3</v>
      </c>
      <c r="P148" s="5" cm="1">
        <f t="array" ref="P148">MAX(IF((OutputTable[GroupByKey]=OutputTable[[#This Row],[GroupByKey]]),(OutputTable[GroupByKey]=OutputTable[[#This Row],[GroupByKey]])*OutputTable[RecordedValue]))</f>
        <v>3</v>
      </c>
    </row>
    <row r="149" spans="1:16" x14ac:dyDescent="0.25">
      <c r="A149" t="s">
        <v>67</v>
      </c>
      <c r="B149" t="s">
        <v>69</v>
      </c>
      <c r="C149">
        <v>8</v>
      </c>
      <c r="D149" t="s">
        <v>144</v>
      </c>
      <c r="E149" t="s">
        <v>145</v>
      </c>
      <c r="F149" t="s">
        <v>72</v>
      </c>
      <c r="G149">
        <v>352</v>
      </c>
      <c r="H149">
        <v>0</v>
      </c>
      <c r="I149" s="5" t="str">
        <f>OutputTable[[#This Row],[ProjectName]]&amp;OutputTable[[#This Row],[Name]]&amp;OutputTable[[#This Row],[Type]]&amp;OutputTable[[#This Row],[Source]]</f>
        <v>Weekend (base)Cliente.NumberInNumber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17</v>
      </c>
      <c r="K149" s="5" cm="1">
        <f t="array" ref="K149">IFERROR(AVERAGE(IF((OutputTable[GroupByKey]=OutputTable[[#This Row],[GroupByKey]]),(OutputTable[GroupByKey]=OutputTable[[#This Row],[GroupByKey]])*OutputTable[RecordedValue])),0)</f>
        <v>354.11764705882354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19.776508643277939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149" s="5" cm="1">
        <f t="array" ref="O149">MIN(IF((OutputTable[GroupByKey]=OutputTable[[#This Row],[GroupByKey]]),(OutputTable[GroupByKey]=OutputTable[[#This Row],[GroupByKey]])*OutputTable[RecordedValue]))</f>
        <v>316</v>
      </c>
      <c r="P149" s="5" cm="1">
        <f t="array" ref="P149">MAX(IF((OutputTable[GroupByKey]=OutputTable[[#This Row],[GroupByKey]]),(OutputTable[GroupByKey]=OutputTable[[#This Row],[GroupByKey]])*OutputTable[RecordedValue]))</f>
        <v>387</v>
      </c>
    </row>
    <row r="150" spans="1:16" x14ac:dyDescent="0.25">
      <c r="A150" t="s">
        <v>67</v>
      </c>
      <c r="B150" t="s">
        <v>69</v>
      </c>
      <c r="C150">
        <v>8</v>
      </c>
      <c r="D150" t="s">
        <v>146</v>
      </c>
      <c r="E150" t="s">
        <v>147</v>
      </c>
      <c r="F150" t="s">
        <v>72</v>
      </c>
      <c r="G150">
        <v>354</v>
      </c>
      <c r="H150">
        <v>0</v>
      </c>
      <c r="I150" s="5" t="str">
        <f>OutputTable[[#This Row],[ProjectName]]&amp;OutputTable[[#This Row],[Name]]&amp;OutputTable[[#This Row],[Type]]&amp;OutputTable[[#This Row],[Source]]</f>
        <v>Weekend (base)Cliente.NumberOutNumber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17</v>
      </c>
      <c r="K150" s="5" cm="1">
        <f t="array" ref="K150">IFERROR(AVERAGE(IF((OutputTable[GroupByKey]=OutputTable[[#This Row],[GroupByKey]]),(OutputTable[GroupByKey]=OutputTable[[#This Row],[GroupByKey]])*OutputTable[RecordedValue])),0)</f>
        <v>354.88235294117646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20.951975900082719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150" s="5" cm="1">
        <f t="array" ref="O150">MIN(IF((OutputTable[GroupByKey]=OutputTable[[#This Row],[GroupByKey]]),(OutputTable[GroupByKey]=OutputTable[[#This Row],[GroupByKey]])*OutputTable[RecordedValue]))</f>
        <v>319</v>
      </c>
      <c r="P150" s="5" cm="1">
        <f t="array" ref="P150">MAX(IF((OutputTable[GroupByKey]=OutputTable[[#This Row],[GroupByKey]]),(OutputTable[GroupByKey]=OutputTable[[#This Row],[GroupByKey]])*OutputTable[RecordedValue]))</f>
        <v>391</v>
      </c>
    </row>
    <row r="151" spans="1:16" x14ac:dyDescent="0.25">
      <c r="A151" t="s">
        <v>67</v>
      </c>
      <c r="B151" t="s">
        <v>69</v>
      </c>
      <c r="C151">
        <v>8</v>
      </c>
      <c r="D151" t="s">
        <v>148</v>
      </c>
      <c r="E151" t="s">
        <v>149</v>
      </c>
      <c r="F151" t="s">
        <v>86</v>
      </c>
      <c r="G151">
        <v>336.25622421418399</v>
      </c>
      <c r="H151">
        <v>0</v>
      </c>
      <c r="I151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17</v>
      </c>
      <c r="K151" s="5" cm="1">
        <f t="array" ref="K151">IFERROR(AVERAGE(IF((OutputTable[GroupByKey]=OutputTable[[#This Row],[GroupByKey]]),(OutputTable[GroupByKey]=OutputTable[[#This Row],[GroupByKey]])*OutputTable[RecordedValue])),0)</f>
        <v>308.63553444706355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57.365542312184125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151" s="5" cm="1">
        <f t="array" ref="O151">MIN(IF((OutputTable[GroupByKey]=OutputTable[[#This Row],[GroupByKey]]),(OutputTable[GroupByKey]=OutputTable[[#This Row],[GroupByKey]])*OutputTable[RecordedValue]))</f>
        <v>225.161235126317</v>
      </c>
      <c r="P151" s="5" cm="1">
        <f t="array" ref="P151">MAX(IF((OutputTable[GroupByKey]=OutputTable[[#This Row],[GroupByKey]]),(OutputTable[GroupByKey]=OutputTable[[#This Row],[GroupByKey]])*OutputTable[RecordedValue]))</f>
        <v>456.33427551718</v>
      </c>
    </row>
    <row r="152" spans="1:16" x14ac:dyDescent="0.25">
      <c r="A152" t="s">
        <v>67</v>
      </c>
      <c r="B152" t="s">
        <v>69</v>
      </c>
      <c r="C152">
        <v>8</v>
      </c>
      <c r="D152" t="s">
        <v>150</v>
      </c>
      <c r="E152" t="s">
        <v>151</v>
      </c>
      <c r="F152" t="s">
        <v>86</v>
      </c>
      <c r="G152">
        <v>0</v>
      </c>
      <c r="H152">
        <v>0</v>
      </c>
      <c r="I152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17</v>
      </c>
      <c r="K152" s="5" cm="1">
        <f t="array" ref="K152">IFERROR(AVERAGE(IF((OutputTable[GroupByKey]=OutputTable[[#This Row],[GroupByKey]]),(OutputTable[GroupByKey]=OutputTable[[#This Row],[GroupByKey]])*OutputTable[RecordedValue])),0)</f>
        <v>0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" s="5" cm="1">
        <f t="array" ref="O152">MIN(IF((OutputTable[GroupByKey]=OutputTable[[#This Row],[GroupByKey]]),(OutputTable[GroupByKey]=OutputTable[[#This Row],[GroupByKey]])*OutputTable[RecordedValue]))</f>
        <v>0</v>
      </c>
      <c r="P152" s="5" cm="1">
        <f t="array" ref="P152">MAX(IF((OutputTable[GroupByKey]=OutputTable[[#This Row],[GroupByKey]]),(OutputTable[GroupByKey]=OutputTable[[#This Row],[GroupByKey]])*OutputTable[RecordedValue]))</f>
        <v>0</v>
      </c>
    </row>
    <row r="153" spans="1:16" x14ac:dyDescent="0.25">
      <c r="A153" t="s">
        <v>67</v>
      </c>
      <c r="B153" t="s">
        <v>69</v>
      </c>
      <c r="C153">
        <v>8</v>
      </c>
      <c r="D153" t="s">
        <v>152</v>
      </c>
      <c r="E153" t="s">
        <v>145</v>
      </c>
      <c r="F153" t="s">
        <v>86</v>
      </c>
      <c r="G153">
        <v>16</v>
      </c>
      <c r="H153">
        <v>0</v>
      </c>
      <c r="I153" s="5" t="str">
        <f>OutputTable[[#This Row],[ProjectName]]&amp;OutputTable[[#This Row],[Name]]&amp;OutputTable[[#This Row],[Type]]&amp;OutputTable[[#This Row],[Source]]</f>
        <v>Weekend (base)Comer en Mesa Number InNumber InProcess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17</v>
      </c>
      <c r="K153" s="5" cm="1">
        <f t="array" ref="K153">IFERROR(AVERAGE(IF((OutputTable[GroupByKey]=OutputTable[[#This Row],[GroupByKey]]),(OutputTable[GroupByKey]=OutputTable[[#This Row],[GroupByKey]])*OutputTable[RecordedValue])),0)</f>
        <v>16.941176470588236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3.0097879542273018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53" s="5" cm="1">
        <f t="array" ref="O153">MIN(IF((OutputTable[GroupByKey]=OutputTable[[#This Row],[GroupByKey]]),(OutputTable[GroupByKey]=OutputTable[[#This Row],[GroupByKey]])*OutputTable[RecordedValue]))</f>
        <v>12</v>
      </c>
      <c r="P153" s="5" cm="1">
        <f t="array" ref="P153">MAX(IF((OutputTable[GroupByKey]=OutputTable[[#This Row],[GroupByKey]]),(OutputTable[GroupByKey]=OutputTable[[#This Row],[GroupByKey]])*OutputTable[RecordedValue]))</f>
        <v>22</v>
      </c>
    </row>
    <row r="154" spans="1:16" x14ac:dyDescent="0.25">
      <c r="A154" t="s">
        <v>67</v>
      </c>
      <c r="B154" t="s">
        <v>69</v>
      </c>
      <c r="C154">
        <v>8</v>
      </c>
      <c r="D154" t="s">
        <v>153</v>
      </c>
      <c r="E154" t="s">
        <v>147</v>
      </c>
      <c r="F154" t="s">
        <v>86</v>
      </c>
      <c r="G154">
        <v>18</v>
      </c>
      <c r="H154">
        <v>0</v>
      </c>
      <c r="I154" s="5" t="str">
        <f>OutputTable[[#This Row],[ProjectName]]&amp;OutputTable[[#This Row],[Name]]&amp;OutputTable[[#This Row],[Type]]&amp;OutputTable[[#This Row],[Source]]</f>
        <v>Weekend (base)Comer en Mesa Number OutNumber OutProcess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17</v>
      </c>
      <c r="K154" s="5" cm="1">
        <f t="array" ref="K154">IFERROR(AVERAGE(IF((OutputTable[GroupByKey]=OutputTable[[#This Row],[GroupByKey]]),(OutputTable[GroupByKey]=OutputTable[[#This Row],[GroupByKey]])*OutputTable[RecordedValue])),0)</f>
        <v>16.764705882352942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1.8550408272025261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154" s="5" cm="1">
        <f t="array" ref="O154">MIN(IF((OutputTable[GroupByKey]=OutputTable[[#This Row],[GroupByKey]]),(OutputTable[GroupByKey]=OutputTable[[#This Row],[GroupByKey]])*OutputTable[RecordedValue]))</f>
        <v>13</v>
      </c>
      <c r="P154" s="5" cm="1">
        <f t="array" ref="P154">MAX(IF((OutputTable[GroupByKey]=OutputTable[[#This Row],[GroupByKey]]),(OutputTable[GroupByKey]=OutputTable[[#This Row],[GroupByKey]])*OutputTable[RecordedValue]))</f>
        <v>20</v>
      </c>
    </row>
    <row r="155" spans="1:16" x14ac:dyDescent="0.25">
      <c r="A155" t="s">
        <v>67</v>
      </c>
      <c r="B155" t="s">
        <v>69</v>
      </c>
      <c r="C155">
        <v>8</v>
      </c>
      <c r="D155" t="s">
        <v>154</v>
      </c>
      <c r="E155" t="s">
        <v>145</v>
      </c>
      <c r="F155" t="s">
        <v>72</v>
      </c>
      <c r="G155">
        <v>116</v>
      </c>
      <c r="H155">
        <v>0</v>
      </c>
      <c r="I155" s="5" t="str">
        <f>OutputTable[[#This Row],[ProjectName]]&amp;OutputTable[[#This Row],[Name]]&amp;OutputTable[[#This Row],[Type]]&amp;OutputTable[[#This Row],[Source]]</f>
        <v>Weekend (base)Orden.NumberInNumber InEntity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17</v>
      </c>
      <c r="K155" s="5" cm="1">
        <f t="array" ref="K155">IFERROR(AVERAGE(IF((OutputTable[GroupByKey]=OutputTable[[#This Row],[GroupByKey]]),(OutputTable[GroupByKey]=OutputTable[[#This Row],[GroupByKey]])*OutputTable[RecordedValue])),0)</f>
        <v>117.35294117647059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7.1496606254299602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55" s="5" cm="1">
        <f t="array" ref="O155">MIN(IF((OutputTable[GroupByKey]=OutputTable[[#This Row],[GroupByKey]]),(OutputTable[GroupByKey]=OutputTable[[#This Row],[GroupByKey]])*OutputTable[RecordedValue]))</f>
        <v>105</v>
      </c>
      <c r="P155" s="5" cm="1">
        <f t="array" ref="P155">MAX(IF((OutputTable[GroupByKey]=OutputTable[[#This Row],[GroupByKey]]),(OutputTable[GroupByKey]=OutputTable[[#This Row],[GroupByKey]])*OutputTable[RecordedValue]))</f>
        <v>131</v>
      </c>
    </row>
    <row r="156" spans="1:16" x14ac:dyDescent="0.25">
      <c r="A156" t="s">
        <v>67</v>
      </c>
      <c r="B156" t="s">
        <v>69</v>
      </c>
      <c r="C156">
        <v>8</v>
      </c>
      <c r="D156" t="s">
        <v>155</v>
      </c>
      <c r="E156" t="s">
        <v>147</v>
      </c>
      <c r="F156" t="s">
        <v>72</v>
      </c>
      <c r="G156">
        <v>119</v>
      </c>
      <c r="H156">
        <v>0</v>
      </c>
      <c r="I156" s="5" t="str">
        <f>OutputTable[[#This Row],[ProjectName]]&amp;OutputTable[[#This Row],[Name]]&amp;OutputTable[[#This Row],[Type]]&amp;OutputTable[[#This Row],[Source]]</f>
        <v>Weekend (base)Orden.NumberOutNumber OutEntity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17</v>
      </c>
      <c r="K156" s="5" cm="1">
        <f t="array" ref="K156">IFERROR(AVERAGE(IF((OutputTable[GroupByKey]=OutputTable[[#This Row],[GroupByKey]]),(OutputTable[GroupByKey]=OutputTable[[#This Row],[GroupByKey]])*OutputTable[RecordedValue])),0)</f>
        <v>118.76470588235294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7.0580575564802697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56" s="5" cm="1">
        <f t="array" ref="O156">MIN(IF((OutputTable[GroupByKey]=OutputTable[[#This Row],[GroupByKey]]),(OutputTable[GroupByKey]=OutputTable[[#This Row],[GroupByKey]])*OutputTable[RecordedValue]))</f>
        <v>107</v>
      </c>
      <c r="P156" s="5" cm="1">
        <f t="array" ref="P156">MAX(IF((OutputTable[GroupByKey]=OutputTable[[#This Row],[GroupByKey]]),(OutputTable[GroupByKey]=OutputTable[[#This Row],[GroupByKey]])*OutputTable[RecordedValue]))</f>
        <v>130</v>
      </c>
    </row>
    <row r="157" spans="1:16" x14ac:dyDescent="0.25">
      <c r="A157" t="s">
        <v>67</v>
      </c>
      <c r="B157" t="s">
        <v>69</v>
      </c>
      <c r="C157">
        <v>8</v>
      </c>
      <c r="D157" t="s">
        <v>156</v>
      </c>
      <c r="E157" t="s">
        <v>149</v>
      </c>
      <c r="F157" t="s">
        <v>86</v>
      </c>
      <c r="G157">
        <v>207.27995499390801</v>
      </c>
      <c r="H157">
        <v>0</v>
      </c>
      <c r="I157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17</v>
      </c>
      <c r="K157" s="5" cm="1">
        <f t="array" ref="K157">IFERROR(AVERAGE(IF((OutputTable[GroupByKey]=OutputTable[[#This Row],[GroupByKey]]),(OutputTable[GroupByKey]=OutputTable[[#This Row],[GroupByKey]])*OutputTable[RecordedValue])),0)</f>
        <v>191.25148078330704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16.886201618463961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157" s="5" cm="1">
        <f t="array" ref="O157">MIN(IF((OutputTable[GroupByKey]=OutputTable[[#This Row],[GroupByKey]]),(OutputTable[GroupByKey]=OutputTable[[#This Row],[GroupByKey]])*OutputTable[RecordedValue]))</f>
        <v>159.38722481493599</v>
      </c>
      <c r="P157" s="5" cm="1">
        <f t="array" ref="P157">MAX(IF((OutputTable[GroupByKey]=OutputTable[[#This Row],[GroupByKey]]),(OutputTable[GroupByKey]=OutputTable[[#This Row],[GroupByKey]])*OutputTable[RecordedValue]))</f>
        <v>225.02992874035499</v>
      </c>
    </row>
    <row r="158" spans="1:16" x14ac:dyDescent="0.25">
      <c r="A158" t="s">
        <v>67</v>
      </c>
      <c r="B158" t="s">
        <v>69</v>
      </c>
      <c r="C158">
        <v>8</v>
      </c>
      <c r="D158" t="s">
        <v>157</v>
      </c>
      <c r="E158" t="s">
        <v>151</v>
      </c>
      <c r="F158" t="s">
        <v>86</v>
      </c>
      <c r="G158">
        <v>324.91710015892198</v>
      </c>
      <c r="H158">
        <v>0</v>
      </c>
      <c r="I158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17</v>
      </c>
      <c r="K158" s="5" cm="1">
        <f t="array" ref="K158">IFERROR(AVERAGE(IF((OutputTable[GroupByKey]=OutputTable[[#This Row],[GroupByKey]]),(OutputTable[GroupByKey]=OutputTable[[#This Row],[GroupByKey]])*OutputTable[RecordedValue])),0)</f>
        <v>133.66503743442436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79.508986996493206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158" s="5" cm="1">
        <f t="array" ref="O158">MIN(IF((OutputTable[GroupByKey]=OutputTable[[#This Row],[GroupByKey]]),(OutputTable[GroupByKey]=OutputTable[[#This Row],[GroupByKey]])*OutputTable[RecordedValue]))</f>
        <v>36.437518321990602</v>
      </c>
      <c r="P158" s="5" cm="1">
        <f t="array" ref="P158">MAX(IF((OutputTable[GroupByKey]=OutputTable[[#This Row],[GroupByKey]]),(OutputTable[GroupByKey]=OutputTable[[#This Row],[GroupByKey]])*OutputTable[RecordedValue]))</f>
        <v>324.91710015892198</v>
      </c>
    </row>
    <row r="159" spans="1:16" x14ac:dyDescent="0.25">
      <c r="A159" t="s">
        <v>67</v>
      </c>
      <c r="B159" t="s">
        <v>69</v>
      </c>
      <c r="C159">
        <v>8</v>
      </c>
      <c r="D159" t="s">
        <v>158</v>
      </c>
      <c r="E159" t="s">
        <v>145</v>
      </c>
      <c r="F159" t="s">
        <v>86</v>
      </c>
      <c r="G159">
        <v>116</v>
      </c>
      <c r="H159">
        <v>0</v>
      </c>
      <c r="I159" s="5" t="str">
        <f>OutputTable[[#This Row],[ProjectName]]&amp;OutputTable[[#This Row],[Name]]&amp;OutputTable[[#This Row],[Type]]&amp;OutputTable[[#This Row],[Source]]</f>
        <v>Weekend (base)Preparacion Number InNumber InProcess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17</v>
      </c>
      <c r="K159" s="5" cm="1">
        <f t="array" ref="K159">IFERROR(AVERAGE(IF((OutputTable[GroupByKey]=OutputTable[[#This Row],[GroupByKey]]),(OutputTable[GroupByKey]=OutputTable[[#This Row],[GroupByKey]])*OutputTable[RecordedValue])),0)</f>
        <v>117.35294117647059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7.1496606254299602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59" s="5" cm="1">
        <f t="array" ref="O159">MIN(IF((OutputTable[GroupByKey]=OutputTable[[#This Row],[GroupByKey]]),(OutputTable[GroupByKey]=OutputTable[[#This Row],[GroupByKey]])*OutputTable[RecordedValue]))</f>
        <v>105</v>
      </c>
      <c r="P159" s="5" cm="1">
        <f t="array" ref="P159">MAX(IF((OutputTable[GroupByKey]=OutputTable[[#This Row],[GroupByKey]]),(OutputTable[GroupByKey]=OutputTable[[#This Row],[GroupByKey]])*OutputTable[RecordedValue]))</f>
        <v>131</v>
      </c>
    </row>
    <row r="160" spans="1:16" x14ac:dyDescent="0.25">
      <c r="A160" t="s">
        <v>67</v>
      </c>
      <c r="B160" t="s">
        <v>69</v>
      </c>
      <c r="C160">
        <v>8</v>
      </c>
      <c r="D160" t="s">
        <v>159</v>
      </c>
      <c r="E160" t="s">
        <v>147</v>
      </c>
      <c r="F160" t="s">
        <v>86</v>
      </c>
      <c r="G160">
        <v>117</v>
      </c>
      <c r="H160">
        <v>0</v>
      </c>
      <c r="I160" s="5" t="str">
        <f>OutputTable[[#This Row],[ProjectName]]&amp;OutputTable[[#This Row],[Name]]&amp;OutputTable[[#This Row],[Type]]&amp;OutputTable[[#This Row],[Source]]</f>
        <v>Weekend (base)Preparacion Number OutNumber OutProcess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17</v>
      </c>
      <c r="K160" s="5" cm="1">
        <f t="array" ref="K160">IFERROR(AVERAGE(IF((OutputTable[GroupByKey]=OutputTable[[#This Row],[GroupByKey]]),(OutputTable[GroupByKey]=OutputTable[[#This Row],[GroupByKey]])*OutputTable[RecordedValue])),0)</f>
        <v>118.82352941176471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6.9931689358048459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160" s="5" cm="1">
        <f t="array" ref="O160">MIN(IF((OutputTable[GroupByKey]=OutputTable[[#This Row],[GroupByKey]]),(OutputTable[GroupByKey]=OutputTable[[#This Row],[GroupByKey]])*OutputTable[RecordedValue]))</f>
        <v>108</v>
      </c>
      <c r="P160" s="5" cm="1">
        <f t="array" ref="P160">MAX(IF((OutputTable[GroupByKey]=OutputTable[[#This Row],[GroupByKey]]),(OutputTable[GroupByKey]=OutputTable[[#This Row],[GroupByKey]])*OutputTable[RecordedValue]))</f>
        <v>132</v>
      </c>
    </row>
    <row r="161" spans="1:16" x14ac:dyDescent="0.25">
      <c r="A161" t="s">
        <v>67</v>
      </c>
      <c r="B161" t="s">
        <v>69</v>
      </c>
      <c r="C161">
        <v>8</v>
      </c>
      <c r="D161" t="s">
        <v>160</v>
      </c>
      <c r="E161" t="s">
        <v>147</v>
      </c>
      <c r="F161" t="s">
        <v>161</v>
      </c>
      <c r="G161">
        <v>122</v>
      </c>
      <c r="H161">
        <v>0</v>
      </c>
      <c r="I161" s="5" t="str">
        <f>OutputTable[[#This Row],[ProjectName]]&amp;OutputTable[[#This Row],[Name]]&amp;OutputTable[[#This Row],[Type]]&amp;OutputTable[[#This Row],[Source]]</f>
        <v>Weekend (base)System.NumberOutNumber OutSystem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17</v>
      </c>
      <c r="K161" s="5" cm="1">
        <f t="array" ref="K161">IFERROR(AVERAGE(IF((OutputTable[GroupByKey]=OutputTable[[#This Row],[GroupByKey]]),(OutputTable[GroupByKey]=OutputTable[[#This Row],[GroupByKey]])*OutputTable[RecordedValue])),0)</f>
        <v>121.76470588235294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7.0580575564802697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61" s="5" cm="1">
        <f t="array" ref="O161">MIN(IF((OutputTable[GroupByKey]=OutputTable[[#This Row],[GroupByKey]]),(OutputTable[GroupByKey]=OutputTable[[#This Row],[GroupByKey]])*OutputTable[RecordedValue]))</f>
        <v>110</v>
      </c>
      <c r="P161" s="5" cm="1">
        <f t="array" ref="P161">MAX(IF((OutputTable[GroupByKey]=OutputTable[[#This Row],[GroupByKey]]),(OutputTable[GroupByKey]=OutputTable[[#This Row],[GroupByKey]])*OutputTable[RecordedValue]))</f>
        <v>133</v>
      </c>
    </row>
    <row r="162" spans="1:16" x14ac:dyDescent="0.25">
      <c r="A162" t="s">
        <v>67</v>
      </c>
      <c r="B162" t="s">
        <v>69</v>
      </c>
      <c r="C162">
        <v>8</v>
      </c>
      <c r="D162" t="s">
        <v>162</v>
      </c>
      <c r="E162" t="s">
        <v>163</v>
      </c>
      <c r="F162" t="s">
        <v>136</v>
      </c>
      <c r="G162">
        <v>156</v>
      </c>
      <c r="H162">
        <v>0</v>
      </c>
      <c r="I162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17</v>
      </c>
      <c r="K162" s="5" cm="1">
        <f t="array" ref="K162">IFERROR(AVERAGE(IF((OutputTable[GroupByKey]=OutputTable[[#This Row],[GroupByKey]]),(OutputTable[GroupByKey]=OutputTable[[#This Row],[GroupByKey]])*OutputTable[RecordedValue])),0)</f>
        <v>162.1764705882353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10.100960932738323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162" s="5" cm="1">
        <f t="array" ref="O162">MIN(IF((OutputTable[GroupByKey]=OutputTable[[#This Row],[GroupByKey]]),(OutputTable[GroupByKey]=OutputTable[[#This Row],[GroupByKey]])*OutputTable[RecordedValue]))</f>
        <v>147</v>
      </c>
      <c r="P162" s="5" cm="1">
        <f t="array" ref="P162">MAX(IF((OutputTable[GroupByKey]=OutputTable[[#This Row],[GroupByKey]]),(OutputTable[GroupByKey]=OutputTable[[#This Row],[GroupByKey]])*OutputTable[RecordedValue]))</f>
        <v>183</v>
      </c>
    </row>
    <row r="163" spans="1:16" x14ac:dyDescent="0.25">
      <c r="A163" t="s">
        <v>67</v>
      </c>
      <c r="B163" t="s">
        <v>69</v>
      </c>
      <c r="C163">
        <v>8</v>
      </c>
      <c r="D163" t="s">
        <v>164</v>
      </c>
      <c r="E163" t="s">
        <v>165</v>
      </c>
      <c r="F163" t="s">
        <v>136</v>
      </c>
      <c r="G163">
        <v>0.85086953734208004</v>
      </c>
      <c r="H163">
        <v>0</v>
      </c>
      <c r="I163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17</v>
      </c>
      <c r="K163" s="5" cm="1">
        <f t="array" ref="K163">IFERROR(AVERAGE(IF((OutputTable[GroupByKey]=OutputTable[[#This Row],[GroupByKey]]),(OutputTable[GroupByKey]=OutputTable[[#This Row],[GroupByKey]])*OutputTable[RecordedValue])),0)</f>
        <v>0.82034721885470152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6.5495768324500853E-2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163" s="5" cm="1">
        <f t="array" ref="O163">MIN(IF((OutputTable[GroupByKey]=OutputTable[[#This Row],[GroupByKey]]),(OutputTable[GroupByKey]=OutputTable[[#This Row],[GroupByKey]])*OutputTable[RecordedValue]))</f>
        <v>0.73534383204610498</v>
      </c>
      <c r="P163" s="5" cm="1">
        <f t="array" ref="P163">MAX(IF((OutputTable[GroupByKey]=OutputTable[[#This Row],[GroupByKey]]),(OutputTable[GroupByKey]=OutputTable[[#This Row],[GroupByKey]])*OutputTable[RecordedValue]))</f>
        <v>0.95888680213271504</v>
      </c>
    </row>
    <row r="164" spans="1:16" x14ac:dyDescent="0.25">
      <c r="A164" t="s">
        <v>67</v>
      </c>
      <c r="B164" t="s">
        <v>69</v>
      </c>
      <c r="C164">
        <v>8</v>
      </c>
      <c r="D164" t="s">
        <v>166</v>
      </c>
      <c r="E164" t="s">
        <v>163</v>
      </c>
      <c r="F164" t="s">
        <v>136</v>
      </c>
      <c r="G164">
        <v>77</v>
      </c>
      <c r="H164">
        <v>0</v>
      </c>
      <c r="I164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17</v>
      </c>
      <c r="K164" s="5" cm="1">
        <f t="array" ref="K164">IFERROR(AVERAGE(IF((OutputTable[GroupByKey]=OutputTable[[#This Row],[GroupByKey]]),(OutputTable[GroupByKey]=OutputTable[[#This Row],[GroupByKey]])*OutputTable[RecordedValue])),0)</f>
        <v>73.764705882352942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6.2302629535669061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164" s="5" cm="1">
        <f t="array" ref="O164">MIN(IF((OutputTable[GroupByKey]=OutputTable[[#This Row],[GroupByKey]]),(OutputTable[GroupByKey]=OutputTable[[#This Row],[GroupByKey]])*OutputTable[RecordedValue]))</f>
        <v>60</v>
      </c>
      <c r="P164" s="5" cm="1">
        <f t="array" ref="P164">MAX(IF((OutputTable[GroupByKey]=OutputTable[[#This Row],[GroupByKey]]),(OutputTable[GroupByKey]=OutputTable[[#This Row],[GroupByKey]])*OutputTable[RecordedValue]))</f>
        <v>84</v>
      </c>
    </row>
    <row r="165" spans="1:16" x14ac:dyDescent="0.25">
      <c r="A165" t="s">
        <v>67</v>
      </c>
      <c r="B165" t="s">
        <v>69</v>
      </c>
      <c r="C165">
        <v>8</v>
      </c>
      <c r="D165" t="s">
        <v>167</v>
      </c>
      <c r="E165" t="s">
        <v>165</v>
      </c>
      <c r="F165" t="s">
        <v>136</v>
      </c>
      <c r="G165">
        <v>0.71460456600057298</v>
      </c>
      <c r="H165">
        <v>0</v>
      </c>
      <c r="I165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17</v>
      </c>
      <c r="K165" s="5" cm="1">
        <f t="array" ref="K165">IFERROR(AVERAGE(IF((OutputTable[GroupByKey]=OutputTable[[#This Row],[GroupByKey]]),(OutputTable[GroupByKey]=OutputTable[[#This Row],[GroupByKey]])*OutputTable[RecordedValue])),0)</f>
        <v>0.66010861965703893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6.6171154002911237E-2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165" s="5" cm="1">
        <f t="array" ref="O165">MIN(IF((OutputTable[GroupByKey]=OutputTable[[#This Row],[GroupByKey]]),(OutputTable[GroupByKey]=OutputTable[[#This Row],[GroupByKey]])*OutputTable[RecordedValue]))</f>
        <v>0.52223972091576099</v>
      </c>
      <c r="P165" s="5" cm="1">
        <f t="array" ref="P165">MAX(IF((OutputTable[GroupByKey]=OutputTable[[#This Row],[GroupByKey]]),(OutputTable[GroupByKey]=OutputTable[[#This Row],[GroupByKey]])*OutputTable[RecordedValue]))</f>
        <v>0.77852312806092006</v>
      </c>
    </row>
    <row r="166" spans="1:16" x14ac:dyDescent="0.25">
      <c r="A166" t="s">
        <v>67</v>
      </c>
      <c r="B166" t="s">
        <v>69</v>
      </c>
      <c r="C166">
        <v>8</v>
      </c>
      <c r="D166" t="s">
        <v>168</v>
      </c>
      <c r="E166" t="s">
        <v>163</v>
      </c>
      <c r="F166" t="s">
        <v>136</v>
      </c>
      <c r="G166">
        <v>16</v>
      </c>
      <c r="H166">
        <v>0</v>
      </c>
      <c r="I166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17</v>
      </c>
      <c r="K166" s="5" cm="1">
        <f t="array" ref="K166">IFERROR(AVERAGE(IF((OutputTable[GroupByKey]=OutputTable[[#This Row],[GroupByKey]]),(OutputTable[GroupByKey]=OutputTable[[#This Row],[GroupByKey]])*OutputTable[RecordedValue])),0)</f>
        <v>16.941176470588236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3.0097879542273018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66" s="5" cm="1">
        <f t="array" ref="O166">MIN(IF((OutputTable[GroupByKey]=OutputTable[[#This Row],[GroupByKey]]),(OutputTable[GroupByKey]=OutputTable[[#This Row],[GroupByKey]])*OutputTable[RecordedValue]))</f>
        <v>12</v>
      </c>
      <c r="P166" s="5" cm="1">
        <f t="array" ref="P166">MAX(IF((OutputTable[GroupByKey]=OutputTable[[#This Row],[GroupByKey]]),(OutputTable[GroupByKey]=OutputTable[[#This Row],[GroupByKey]])*OutputTable[RecordedValue]))</f>
        <v>22</v>
      </c>
    </row>
    <row r="167" spans="1:16" x14ac:dyDescent="0.25">
      <c r="A167" t="s">
        <v>67</v>
      </c>
      <c r="B167" t="s">
        <v>69</v>
      </c>
      <c r="C167">
        <v>8</v>
      </c>
      <c r="D167" t="s">
        <v>169</v>
      </c>
      <c r="E167" t="s">
        <v>165</v>
      </c>
      <c r="F167" t="s">
        <v>136</v>
      </c>
      <c r="G167">
        <v>0.34793935784283903</v>
      </c>
      <c r="H167">
        <v>0</v>
      </c>
      <c r="I167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17</v>
      </c>
      <c r="K167" s="5" cm="1">
        <f t="array" ref="K167">IFERROR(AVERAGE(IF((OutputTable[GroupByKey]=OutputTable[[#This Row],[GroupByKey]]),(OutputTable[GroupByKey]=OutputTable[[#This Row],[GroupByKey]])*OutputTable[RecordedValue])),0)</f>
        <v>0.34356399197544252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7.597675013665138E-2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167" s="5" cm="1">
        <f t="array" ref="O167">MIN(IF((OutputTable[GroupByKey]=OutputTable[[#This Row],[GroupByKey]]),(OutputTable[GroupByKey]=OutputTable[[#This Row],[GroupByKey]])*OutputTable[RecordedValue]))</f>
        <v>0.20879044077011299</v>
      </c>
      <c r="P167" s="5" cm="1">
        <f t="array" ref="P167">MAX(IF((OutputTable[GroupByKey]=OutputTable[[#This Row],[GroupByKey]]),(OutputTable[GroupByKey]=OutputTable[[#This Row],[GroupByKey]])*OutputTable[RecordedValue]))</f>
        <v>0.53820629377380302</v>
      </c>
    </row>
    <row r="168" spans="1:16" x14ac:dyDescent="0.25">
      <c r="A168" t="s">
        <v>67</v>
      </c>
      <c r="B168" t="s">
        <v>69</v>
      </c>
      <c r="C168">
        <v>8</v>
      </c>
      <c r="D168" t="s">
        <v>170</v>
      </c>
      <c r="E168" t="s">
        <v>145</v>
      </c>
      <c r="F168" t="s">
        <v>72</v>
      </c>
      <c r="G168">
        <v>3</v>
      </c>
      <c r="H168">
        <v>0</v>
      </c>
      <c r="I168" s="5" t="str">
        <f>OutputTable[[#This Row],[ProjectName]]&amp;OutputTable[[#This Row],[Name]]&amp;OutputTable[[#This Row],[Type]]&amp;OutputTable[[#This Row],[Source]]</f>
        <v>Weekend (base)reloj.NumberInNumber InEntity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17</v>
      </c>
      <c r="K168" s="5" cm="1">
        <f t="array" ref="K168">IFERROR(AVERAGE(IF((OutputTable[GroupByKey]=OutputTable[[#This Row],[GroupByKey]]),(OutputTable[GroupByKey]=OutputTable[[#This Row],[GroupByKey]])*OutputTable[RecordedValue])),0)</f>
        <v>3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0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" s="5" cm="1">
        <f t="array" ref="O168">MIN(IF((OutputTable[GroupByKey]=OutputTable[[#This Row],[GroupByKey]]),(OutputTable[GroupByKey]=OutputTable[[#This Row],[GroupByKey]])*OutputTable[RecordedValue]))</f>
        <v>3</v>
      </c>
      <c r="P168" s="5" cm="1">
        <f t="array" ref="P168">MAX(IF((OutputTable[GroupByKey]=OutputTable[[#This Row],[GroupByKey]]),(OutputTable[GroupByKey]=OutputTable[[#This Row],[GroupByKey]])*OutputTable[RecordedValue]))</f>
        <v>3</v>
      </c>
    </row>
    <row r="169" spans="1:16" x14ac:dyDescent="0.25">
      <c r="A169" t="s">
        <v>67</v>
      </c>
      <c r="B169" t="s">
        <v>69</v>
      </c>
      <c r="C169">
        <v>8</v>
      </c>
      <c r="D169" t="s">
        <v>171</v>
      </c>
      <c r="E169" t="s">
        <v>147</v>
      </c>
      <c r="F169" t="s">
        <v>72</v>
      </c>
      <c r="G169">
        <v>3</v>
      </c>
      <c r="H169">
        <v>0</v>
      </c>
      <c r="I169" s="5" t="str">
        <f>OutputTable[[#This Row],[ProjectName]]&amp;OutputTable[[#This Row],[Name]]&amp;OutputTable[[#This Row],[Type]]&amp;OutputTable[[#This Row],[Source]]</f>
        <v>Weekend (base)reloj.NumberOutNumber OutEntity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17</v>
      </c>
      <c r="K169" s="5" cm="1">
        <f t="array" ref="K169">IFERROR(AVERAGE(IF((OutputTable[GroupByKey]=OutputTable[[#This Row],[GroupByKey]]),(OutputTable[GroupByKey]=OutputTable[[#This Row],[GroupByKey]])*OutputTable[RecordedValue])),0)</f>
        <v>3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s="5" cm="1">
        <f t="array" ref="O169">MIN(IF((OutputTable[GroupByKey]=OutputTable[[#This Row],[GroupByKey]]),(OutputTable[GroupByKey]=OutputTable[[#This Row],[GroupByKey]])*OutputTable[RecordedValue]))</f>
        <v>3</v>
      </c>
      <c r="P169" s="5" cm="1">
        <f t="array" ref="P169">MAX(IF((OutputTable[GroupByKey]=OutputTable[[#This Row],[GroupByKey]]),(OutputTable[GroupByKey]=OutputTable[[#This Row],[GroupByKey]])*OutputTable[RecordedValue]))</f>
        <v>3</v>
      </c>
    </row>
    <row r="170" spans="1:16" x14ac:dyDescent="0.25">
      <c r="A170" t="s">
        <v>67</v>
      </c>
      <c r="B170" t="s">
        <v>69</v>
      </c>
      <c r="C170">
        <v>9</v>
      </c>
      <c r="D170" t="s">
        <v>144</v>
      </c>
      <c r="E170" t="s">
        <v>145</v>
      </c>
      <c r="F170" t="s">
        <v>72</v>
      </c>
      <c r="G170">
        <v>358</v>
      </c>
      <c r="H170">
        <v>0</v>
      </c>
      <c r="I170" s="5" t="str">
        <f>OutputTable[[#This Row],[ProjectName]]&amp;OutputTable[[#This Row],[Name]]&amp;OutputTable[[#This Row],[Type]]&amp;OutputTable[[#This Row],[Source]]</f>
        <v>Weekend (base)Cliente.NumberInNumber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17</v>
      </c>
      <c r="K170" s="5" cm="1">
        <f t="array" ref="K170">IFERROR(AVERAGE(IF((OutputTable[GroupByKey]=OutputTable[[#This Row],[GroupByKey]]),(OutputTable[GroupByKey]=OutputTable[[#This Row],[GroupByKey]])*OutputTable[RecordedValue])),0)</f>
        <v>354.11764705882354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19.776508643277939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170" s="5" cm="1">
        <f t="array" ref="O170">MIN(IF((OutputTable[GroupByKey]=OutputTable[[#This Row],[GroupByKey]]),(OutputTable[GroupByKey]=OutputTable[[#This Row],[GroupByKey]])*OutputTable[RecordedValue]))</f>
        <v>316</v>
      </c>
      <c r="P170" s="5" cm="1">
        <f t="array" ref="P170">MAX(IF((OutputTable[GroupByKey]=OutputTable[[#This Row],[GroupByKey]]),(OutputTable[GroupByKey]=OutputTable[[#This Row],[GroupByKey]])*OutputTable[RecordedValue]))</f>
        <v>387</v>
      </c>
    </row>
    <row r="171" spans="1:16" x14ac:dyDescent="0.25">
      <c r="A171" t="s">
        <v>67</v>
      </c>
      <c r="B171" t="s">
        <v>69</v>
      </c>
      <c r="C171">
        <v>9</v>
      </c>
      <c r="D171" t="s">
        <v>146</v>
      </c>
      <c r="E171" t="s">
        <v>147</v>
      </c>
      <c r="F171" t="s">
        <v>72</v>
      </c>
      <c r="G171">
        <v>360</v>
      </c>
      <c r="H171">
        <v>0</v>
      </c>
      <c r="I171" s="5" t="str">
        <f>OutputTable[[#This Row],[ProjectName]]&amp;OutputTable[[#This Row],[Name]]&amp;OutputTable[[#This Row],[Type]]&amp;OutputTable[[#This Row],[Source]]</f>
        <v>Weekend (base)Cliente.NumberOutNumber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17</v>
      </c>
      <c r="K171" s="5" cm="1">
        <f t="array" ref="K171">IFERROR(AVERAGE(IF((OutputTable[GroupByKey]=OutputTable[[#This Row],[GroupByKey]]),(OutputTable[GroupByKey]=OutputTable[[#This Row],[GroupByKey]])*OutputTable[RecordedValue])),0)</f>
        <v>354.88235294117646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20.951975900082719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171" s="5" cm="1">
        <f t="array" ref="O171">MIN(IF((OutputTable[GroupByKey]=OutputTable[[#This Row],[GroupByKey]]),(OutputTable[GroupByKey]=OutputTable[[#This Row],[GroupByKey]])*OutputTable[RecordedValue]))</f>
        <v>319</v>
      </c>
      <c r="P171" s="5" cm="1">
        <f t="array" ref="P171">MAX(IF((OutputTable[GroupByKey]=OutputTable[[#This Row],[GroupByKey]]),(OutputTable[GroupByKey]=OutputTable[[#This Row],[GroupByKey]])*OutputTable[RecordedValue]))</f>
        <v>391</v>
      </c>
    </row>
    <row r="172" spans="1:16" x14ac:dyDescent="0.25">
      <c r="A172" t="s">
        <v>67</v>
      </c>
      <c r="B172" t="s">
        <v>69</v>
      </c>
      <c r="C172">
        <v>9</v>
      </c>
      <c r="D172" t="s">
        <v>148</v>
      </c>
      <c r="E172" t="s">
        <v>149</v>
      </c>
      <c r="F172" t="s">
        <v>86</v>
      </c>
      <c r="G172">
        <v>231.647528725043</v>
      </c>
      <c r="H172">
        <v>0</v>
      </c>
      <c r="I172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17</v>
      </c>
      <c r="K172" s="5" cm="1">
        <f t="array" ref="K172">IFERROR(AVERAGE(IF((OutputTable[GroupByKey]=OutputTable[[#This Row],[GroupByKey]]),(OutputTable[GroupByKey]=OutputTable[[#This Row],[GroupByKey]])*OutputTable[RecordedValue])),0)</f>
        <v>308.63553444706355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57.365542312184125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172" s="5" cm="1">
        <f t="array" ref="O172">MIN(IF((OutputTable[GroupByKey]=OutputTable[[#This Row],[GroupByKey]]),(OutputTable[GroupByKey]=OutputTable[[#This Row],[GroupByKey]])*OutputTable[RecordedValue]))</f>
        <v>225.161235126317</v>
      </c>
      <c r="P172" s="5" cm="1">
        <f t="array" ref="P172">MAX(IF((OutputTable[GroupByKey]=OutputTable[[#This Row],[GroupByKey]]),(OutputTable[GroupByKey]=OutputTable[[#This Row],[GroupByKey]])*OutputTable[RecordedValue]))</f>
        <v>456.33427551718</v>
      </c>
    </row>
    <row r="173" spans="1:16" x14ac:dyDescent="0.25">
      <c r="A173" t="s">
        <v>67</v>
      </c>
      <c r="B173" t="s">
        <v>69</v>
      </c>
      <c r="C173">
        <v>9</v>
      </c>
      <c r="D173" t="s">
        <v>150</v>
      </c>
      <c r="E173" t="s">
        <v>151</v>
      </c>
      <c r="F173" t="s">
        <v>86</v>
      </c>
      <c r="G173">
        <v>0</v>
      </c>
      <c r="H173">
        <v>0</v>
      </c>
      <c r="I173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17</v>
      </c>
      <c r="K173" s="5" cm="1">
        <f t="array" ref="K173">IFERROR(AVERAGE(IF((OutputTable[GroupByKey]=OutputTable[[#This Row],[GroupByKey]]),(OutputTable[GroupByKey]=OutputTable[[#This Row],[GroupByKey]])*OutputTable[RecordedValue])),0)</f>
        <v>0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" s="5" cm="1">
        <f t="array" ref="O173">MIN(IF((OutputTable[GroupByKey]=OutputTable[[#This Row],[GroupByKey]]),(OutputTable[GroupByKey]=OutputTable[[#This Row],[GroupByKey]])*OutputTable[RecordedValue]))</f>
        <v>0</v>
      </c>
      <c r="P173" s="5" cm="1">
        <f t="array" ref="P173">MAX(IF((OutputTable[GroupByKey]=OutputTable[[#This Row],[GroupByKey]]),(OutputTable[GroupByKey]=OutputTable[[#This Row],[GroupByKey]])*OutputTable[RecordedValue]))</f>
        <v>0</v>
      </c>
    </row>
    <row r="174" spans="1:16" x14ac:dyDescent="0.25">
      <c r="A174" t="s">
        <v>67</v>
      </c>
      <c r="B174" t="s">
        <v>69</v>
      </c>
      <c r="C174">
        <v>9</v>
      </c>
      <c r="D174" t="s">
        <v>152</v>
      </c>
      <c r="E174" t="s">
        <v>145</v>
      </c>
      <c r="F174" t="s">
        <v>86</v>
      </c>
      <c r="G174">
        <v>16</v>
      </c>
      <c r="H174">
        <v>0</v>
      </c>
      <c r="I174" s="5" t="str">
        <f>OutputTable[[#This Row],[ProjectName]]&amp;OutputTable[[#This Row],[Name]]&amp;OutputTable[[#This Row],[Type]]&amp;OutputTable[[#This Row],[Source]]</f>
        <v>Weekend (base)Comer en Mesa Number InNumber InProcess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17</v>
      </c>
      <c r="K174" s="5" cm="1">
        <f t="array" ref="K174">IFERROR(AVERAGE(IF((OutputTable[GroupByKey]=OutputTable[[#This Row],[GroupByKey]]),(OutputTable[GroupByKey]=OutputTable[[#This Row],[GroupByKey]])*OutputTable[RecordedValue])),0)</f>
        <v>16.941176470588236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3.0097879542273018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74" s="5" cm="1">
        <f t="array" ref="O174">MIN(IF((OutputTable[GroupByKey]=OutputTable[[#This Row],[GroupByKey]]),(OutputTable[GroupByKey]=OutputTable[[#This Row],[GroupByKey]])*OutputTable[RecordedValue]))</f>
        <v>12</v>
      </c>
      <c r="P174" s="5" cm="1">
        <f t="array" ref="P174">MAX(IF((OutputTable[GroupByKey]=OutputTable[[#This Row],[GroupByKey]]),(OutputTable[GroupByKey]=OutputTable[[#This Row],[GroupByKey]])*OutputTable[RecordedValue]))</f>
        <v>22</v>
      </c>
    </row>
    <row r="175" spans="1:16" x14ac:dyDescent="0.25">
      <c r="A175" t="s">
        <v>67</v>
      </c>
      <c r="B175" t="s">
        <v>69</v>
      </c>
      <c r="C175">
        <v>9</v>
      </c>
      <c r="D175" t="s">
        <v>153</v>
      </c>
      <c r="E175" t="s">
        <v>147</v>
      </c>
      <c r="F175" t="s">
        <v>86</v>
      </c>
      <c r="G175">
        <v>15</v>
      </c>
      <c r="H175">
        <v>0</v>
      </c>
      <c r="I175" s="5" t="str">
        <f>OutputTable[[#This Row],[ProjectName]]&amp;OutputTable[[#This Row],[Name]]&amp;OutputTable[[#This Row],[Type]]&amp;OutputTable[[#This Row],[Source]]</f>
        <v>Weekend (base)Comer en Mesa Number OutNumber OutProcess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17</v>
      </c>
      <c r="K175" s="5" cm="1">
        <f t="array" ref="K175">IFERROR(AVERAGE(IF((OutputTable[GroupByKey]=OutputTable[[#This Row],[GroupByKey]]),(OutputTable[GroupByKey]=OutputTable[[#This Row],[GroupByKey]])*OutputTable[RecordedValue])),0)</f>
        <v>16.764705882352942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1.8550408272025261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175" s="5" cm="1">
        <f t="array" ref="O175">MIN(IF((OutputTable[GroupByKey]=OutputTable[[#This Row],[GroupByKey]]),(OutputTable[GroupByKey]=OutputTable[[#This Row],[GroupByKey]])*OutputTable[RecordedValue]))</f>
        <v>13</v>
      </c>
      <c r="P175" s="5" cm="1">
        <f t="array" ref="P175">MAX(IF((OutputTable[GroupByKey]=OutputTable[[#This Row],[GroupByKey]]),(OutputTable[GroupByKey]=OutputTable[[#This Row],[GroupByKey]])*OutputTable[RecordedValue]))</f>
        <v>20</v>
      </c>
    </row>
    <row r="176" spans="1:16" x14ac:dyDescent="0.25">
      <c r="A176" t="s">
        <v>67</v>
      </c>
      <c r="B176" t="s">
        <v>69</v>
      </c>
      <c r="C176">
        <v>9</v>
      </c>
      <c r="D176" t="s">
        <v>154</v>
      </c>
      <c r="E176" t="s">
        <v>145</v>
      </c>
      <c r="F176" t="s">
        <v>72</v>
      </c>
      <c r="G176">
        <v>120</v>
      </c>
      <c r="H176">
        <v>0</v>
      </c>
      <c r="I176" s="5" t="str">
        <f>OutputTable[[#This Row],[ProjectName]]&amp;OutputTable[[#This Row],[Name]]&amp;OutputTable[[#This Row],[Type]]&amp;OutputTable[[#This Row],[Source]]</f>
        <v>Weekend (base)Orden.NumberInNumber InEntity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17</v>
      </c>
      <c r="K176" s="5" cm="1">
        <f t="array" ref="K176">IFERROR(AVERAGE(IF((OutputTable[GroupByKey]=OutputTable[[#This Row],[GroupByKey]]),(OutputTable[GroupByKey]=OutputTable[[#This Row],[GroupByKey]])*OutputTable[RecordedValue])),0)</f>
        <v>117.35294117647059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7.1496606254299602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76" s="5" cm="1">
        <f t="array" ref="O176">MIN(IF((OutputTable[GroupByKey]=OutputTable[[#This Row],[GroupByKey]]),(OutputTable[GroupByKey]=OutputTable[[#This Row],[GroupByKey]])*OutputTable[RecordedValue]))</f>
        <v>105</v>
      </c>
      <c r="P176" s="5" cm="1">
        <f t="array" ref="P176">MAX(IF((OutputTable[GroupByKey]=OutputTable[[#This Row],[GroupByKey]]),(OutputTable[GroupByKey]=OutputTable[[#This Row],[GroupByKey]])*OutputTable[RecordedValue]))</f>
        <v>131</v>
      </c>
    </row>
    <row r="177" spans="1:16" x14ac:dyDescent="0.25">
      <c r="A177" t="s">
        <v>67</v>
      </c>
      <c r="B177" t="s">
        <v>69</v>
      </c>
      <c r="C177">
        <v>9</v>
      </c>
      <c r="D177" t="s">
        <v>155</v>
      </c>
      <c r="E177" t="s">
        <v>147</v>
      </c>
      <c r="F177" t="s">
        <v>72</v>
      </c>
      <c r="G177">
        <v>120</v>
      </c>
      <c r="H177">
        <v>0</v>
      </c>
      <c r="I177" s="5" t="str">
        <f>OutputTable[[#This Row],[ProjectName]]&amp;OutputTable[[#This Row],[Name]]&amp;OutputTable[[#This Row],[Type]]&amp;OutputTable[[#This Row],[Source]]</f>
        <v>Weekend (base)Orden.NumberOutNumber OutEntity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17</v>
      </c>
      <c r="K177" s="5" cm="1">
        <f t="array" ref="K177">IFERROR(AVERAGE(IF((OutputTable[GroupByKey]=OutputTable[[#This Row],[GroupByKey]]),(OutputTable[GroupByKey]=OutputTable[[#This Row],[GroupByKey]])*OutputTable[RecordedValue])),0)</f>
        <v>118.76470588235294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7.0580575564802697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77" s="5" cm="1">
        <f t="array" ref="O177">MIN(IF((OutputTable[GroupByKey]=OutputTable[[#This Row],[GroupByKey]]),(OutputTable[GroupByKey]=OutputTable[[#This Row],[GroupByKey]])*OutputTable[RecordedValue]))</f>
        <v>107</v>
      </c>
      <c r="P177" s="5" cm="1">
        <f t="array" ref="P177">MAX(IF((OutputTable[GroupByKey]=OutputTable[[#This Row],[GroupByKey]]),(OutputTable[GroupByKey]=OutputTable[[#This Row],[GroupByKey]])*OutputTable[RecordedValue]))</f>
        <v>130</v>
      </c>
    </row>
    <row r="178" spans="1:16" x14ac:dyDescent="0.25">
      <c r="A178" t="s">
        <v>67</v>
      </c>
      <c r="B178" t="s">
        <v>69</v>
      </c>
      <c r="C178">
        <v>9</v>
      </c>
      <c r="D178" t="s">
        <v>156</v>
      </c>
      <c r="E178" t="s">
        <v>149</v>
      </c>
      <c r="F178" t="s">
        <v>86</v>
      </c>
      <c r="G178">
        <v>189.19203167057799</v>
      </c>
      <c r="H178">
        <v>0</v>
      </c>
      <c r="I178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17</v>
      </c>
      <c r="K178" s="5" cm="1">
        <f t="array" ref="K178">IFERROR(AVERAGE(IF((OutputTable[GroupByKey]=OutputTable[[#This Row],[GroupByKey]]),(OutputTable[GroupByKey]=OutputTable[[#This Row],[GroupByKey]])*OutputTable[RecordedValue])),0)</f>
        <v>191.25148078330704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16.886201618463961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178" s="5" cm="1">
        <f t="array" ref="O178">MIN(IF((OutputTable[GroupByKey]=OutputTable[[#This Row],[GroupByKey]]),(OutputTable[GroupByKey]=OutputTable[[#This Row],[GroupByKey]])*OutputTable[RecordedValue]))</f>
        <v>159.38722481493599</v>
      </c>
      <c r="P178" s="5" cm="1">
        <f t="array" ref="P178">MAX(IF((OutputTable[GroupByKey]=OutputTable[[#This Row],[GroupByKey]]),(OutputTable[GroupByKey]=OutputTable[[#This Row],[GroupByKey]])*OutputTable[RecordedValue]))</f>
        <v>225.02992874035499</v>
      </c>
    </row>
    <row r="179" spans="1:16" x14ac:dyDescent="0.25">
      <c r="A179" t="s">
        <v>67</v>
      </c>
      <c r="B179" t="s">
        <v>69</v>
      </c>
      <c r="C179">
        <v>9</v>
      </c>
      <c r="D179" t="s">
        <v>157</v>
      </c>
      <c r="E179" t="s">
        <v>151</v>
      </c>
      <c r="F179" t="s">
        <v>86</v>
      </c>
      <c r="G179">
        <v>145.21964045464401</v>
      </c>
      <c r="H179">
        <v>0</v>
      </c>
      <c r="I179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17</v>
      </c>
      <c r="K179" s="5" cm="1">
        <f t="array" ref="K179">IFERROR(AVERAGE(IF((OutputTable[GroupByKey]=OutputTable[[#This Row],[GroupByKey]]),(OutputTable[GroupByKey]=OutputTable[[#This Row],[GroupByKey]])*OutputTable[RecordedValue])),0)</f>
        <v>133.66503743442436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79.508986996493206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179" s="5" cm="1">
        <f t="array" ref="O179">MIN(IF((OutputTable[GroupByKey]=OutputTable[[#This Row],[GroupByKey]]),(OutputTable[GroupByKey]=OutputTable[[#This Row],[GroupByKey]])*OutputTable[RecordedValue]))</f>
        <v>36.437518321990602</v>
      </c>
      <c r="P179" s="5" cm="1">
        <f t="array" ref="P179">MAX(IF((OutputTable[GroupByKey]=OutputTable[[#This Row],[GroupByKey]]),(OutputTable[GroupByKey]=OutputTable[[#This Row],[GroupByKey]])*OutputTable[RecordedValue]))</f>
        <v>324.91710015892198</v>
      </c>
    </row>
    <row r="180" spans="1:16" x14ac:dyDescent="0.25">
      <c r="A180" t="s">
        <v>67</v>
      </c>
      <c r="B180" t="s">
        <v>69</v>
      </c>
      <c r="C180">
        <v>9</v>
      </c>
      <c r="D180" t="s">
        <v>158</v>
      </c>
      <c r="E180" t="s">
        <v>145</v>
      </c>
      <c r="F180" t="s">
        <v>86</v>
      </c>
      <c r="G180">
        <v>120</v>
      </c>
      <c r="H180">
        <v>0</v>
      </c>
      <c r="I180" s="5" t="str">
        <f>OutputTable[[#This Row],[ProjectName]]&amp;OutputTable[[#This Row],[Name]]&amp;OutputTable[[#This Row],[Type]]&amp;OutputTable[[#This Row],[Source]]</f>
        <v>Weekend (base)Preparacion Number InNumber InProcess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17</v>
      </c>
      <c r="K180" s="5" cm="1">
        <f t="array" ref="K180">IFERROR(AVERAGE(IF((OutputTable[GroupByKey]=OutputTable[[#This Row],[GroupByKey]]),(OutputTable[GroupByKey]=OutputTable[[#This Row],[GroupByKey]])*OutputTable[RecordedValue])),0)</f>
        <v>117.35294117647059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7.1496606254299602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80" s="5" cm="1">
        <f t="array" ref="O180">MIN(IF((OutputTable[GroupByKey]=OutputTable[[#This Row],[GroupByKey]]),(OutputTable[GroupByKey]=OutputTable[[#This Row],[GroupByKey]])*OutputTable[RecordedValue]))</f>
        <v>105</v>
      </c>
      <c r="P180" s="5" cm="1">
        <f t="array" ref="P180">MAX(IF((OutputTable[GroupByKey]=OutputTable[[#This Row],[GroupByKey]]),(OutputTable[GroupByKey]=OutputTable[[#This Row],[GroupByKey]])*OutputTable[RecordedValue]))</f>
        <v>131</v>
      </c>
    </row>
    <row r="181" spans="1:16" x14ac:dyDescent="0.25">
      <c r="A181" t="s">
        <v>67</v>
      </c>
      <c r="B181" t="s">
        <v>69</v>
      </c>
      <c r="C181">
        <v>9</v>
      </c>
      <c r="D181" t="s">
        <v>159</v>
      </c>
      <c r="E181" t="s">
        <v>147</v>
      </c>
      <c r="F181" t="s">
        <v>86</v>
      </c>
      <c r="G181">
        <v>121</v>
      </c>
      <c r="H181">
        <v>0</v>
      </c>
      <c r="I181" s="5" t="str">
        <f>OutputTable[[#This Row],[ProjectName]]&amp;OutputTable[[#This Row],[Name]]&amp;OutputTable[[#This Row],[Type]]&amp;OutputTable[[#This Row],[Source]]</f>
        <v>Weekend (base)Preparacion Number OutNumber OutProcess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17</v>
      </c>
      <c r="K181" s="5" cm="1">
        <f t="array" ref="K181">IFERROR(AVERAGE(IF((OutputTable[GroupByKey]=OutputTable[[#This Row],[GroupByKey]]),(OutputTable[GroupByKey]=OutputTable[[#This Row],[GroupByKey]])*OutputTable[RecordedValue])),0)</f>
        <v>118.82352941176471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6.9931689358048459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181" s="5" cm="1">
        <f t="array" ref="O181">MIN(IF((OutputTable[GroupByKey]=OutputTable[[#This Row],[GroupByKey]]),(OutputTable[GroupByKey]=OutputTable[[#This Row],[GroupByKey]])*OutputTable[RecordedValue]))</f>
        <v>108</v>
      </c>
      <c r="P181" s="5" cm="1">
        <f t="array" ref="P181">MAX(IF((OutputTable[GroupByKey]=OutputTable[[#This Row],[GroupByKey]]),(OutputTable[GroupByKey]=OutputTable[[#This Row],[GroupByKey]])*OutputTable[RecordedValue]))</f>
        <v>132</v>
      </c>
    </row>
    <row r="182" spans="1:16" x14ac:dyDescent="0.25">
      <c r="A182" t="s">
        <v>67</v>
      </c>
      <c r="B182" t="s">
        <v>69</v>
      </c>
      <c r="C182">
        <v>9</v>
      </c>
      <c r="D182" t="s">
        <v>160</v>
      </c>
      <c r="E182" t="s">
        <v>147</v>
      </c>
      <c r="F182" t="s">
        <v>161</v>
      </c>
      <c r="G182">
        <v>123</v>
      </c>
      <c r="H182">
        <v>0</v>
      </c>
      <c r="I182" s="5" t="str">
        <f>OutputTable[[#This Row],[ProjectName]]&amp;OutputTable[[#This Row],[Name]]&amp;OutputTable[[#This Row],[Type]]&amp;OutputTable[[#This Row],[Source]]</f>
        <v>Weekend (base)System.NumberOutNumber OutSystem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17</v>
      </c>
      <c r="K182" s="5" cm="1">
        <f t="array" ref="K182">IFERROR(AVERAGE(IF((OutputTable[GroupByKey]=OutputTable[[#This Row],[GroupByKey]]),(OutputTable[GroupByKey]=OutputTable[[#This Row],[GroupByKey]])*OutputTable[RecordedValue])),0)</f>
        <v>121.76470588235294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7.0580575564802697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82" s="5" cm="1">
        <f t="array" ref="O182">MIN(IF((OutputTable[GroupByKey]=OutputTable[[#This Row],[GroupByKey]]),(OutputTable[GroupByKey]=OutputTable[[#This Row],[GroupByKey]])*OutputTable[RecordedValue]))</f>
        <v>110</v>
      </c>
      <c r="P182" s="5" cm="1">
        <f t="array" ref="P182">MAX(IF((OutputTable[GroupByKey]=OutputTable[[#This Row],[GroupByKey]]),(OutputTable[GroupByKey]=OutputTable[[#This Row],[GroupByKey]])*OutputTable[RecordedValue]))</f>
        <v>133</v>
      </c>
    </row>
    <row r="183" spans="1:16" x14ac:dyDescent="0.25">
      <c r="A183" t="s">
        <v>67</v>
      </c>
      <c r="B183" t="s">
        <v>69</v>
      </c>
      <c r="C183">
        <v>9</v>
      </c>
      <c r="D183" t="s">
        <v>162</v>
      </c>
      <c r="E183" t="s">
        <v>163</v>
      </c>
      <c r="F183" t="s">
        <v>136</v>
      </c>
      <c r="G183">
        <v>165</v>
      </c>
      <c r="H183">
        <v>0</v>
      </c>
      <c r="I183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17</v>
      </c>
      <c r="K183" s="5" cm="1">
        <f t="array" ref="K183">IFERROR(AVERAGE(IF((OutputTable[GroupByKey]=OutputTable[[#This Row],[GroupByKey]]),(OutputTable[GroupByKey]=OutputTable[[#This Row],[GroupByKey]])*OutputTable[RecordedValue])),0)</f>
        <v>162.1764705882353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10.100960932738323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183" s="5" cm="1">
        <f t="array" ref="O183">MIN(IF((OutputTable[GroupByKey]=OutputTable[[#This Row],[GroupByKey]]),(OutputTable[GroupByKey]=OutputTable[[#This Row],[GroupByKey]])*OutputTable[RecordedValue]))</f>
        <v>147</v>
      </c>
      <c r="P183" s="5" cm="1">
        <f t="array" ref="P183">MAX(IF((OutputTable[GroupByKey]=OutputTable[[#This Row],[GroupByKey]]),(OutputTable[GroupByKey]=OutputTable[[#This Row],[GroupByKey]])*OutputTable[RecordedValue]))</f>
        <v>183</v>
      </c>
    </row>
    <row r="184" spans="1:16" x14ac:dyDescent="0.25">
      <c r="A184" t="s">
        <v>67</v>
      </c>
      <c r="B184" t="s">
        <v>69</v>
      </c>
      <c r="C184">
        <v>9</v>
      </c>
      <c r="D184" t="s">
        <v>164</v>
      </c>
      <c r="E184" t="s">
        <v>165</v>
      </c>
      <c r="F184" t="s">
        <v>136</v>
      </c>
      <c r="G184">
        <v>0.82055692316692297</v>
      </c>
      <c r="H184">
        <v>0</v>
      </c>
      <c r="I184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17</v>
      </c>
      <c r="K184" s="5" cm="1">
        <f t="array" ref="K184">IFERROR(AVERAGE(IF((OutputTable[GroupByKey]=OutputTable[[#This Row],[GroupByKey]]),(OutputTable[GroupByKey]=OutputTable[[#This Row],[GroupByKey]])*OutputTable[RecordedValue])),0)</f>
        <v>0.82034721885470152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6.5495768324500853E-2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184" s="5" cm="1">
        <f t="array" ref="O184">MIN(IF((OutputTable[GroupByKey]=OutputTable[[#This Row],[GroupByKey]]),(OutputTable[GroupByKey]=OutputTable[[#This Row],[GroupByKey]])*OutputTable[RecordedValue]))</f>
        <v>0.73534383204610498</v>
      </c>
      <c r="P184" s="5" cm="1">
        <f t="array" ref="P184">MAX(IF((OutputTable[GroupByKey]=OutputTable[[#This Row],[GroupByKey]]),(OutputTable[GroupByKey]=OutputTable[[#This Row],[GroupByKey]])*OutputTable[RecordedValue]))</f>
        <v>0.95888680213271504</v>
      </c>
    </row>
    <row r="185" spans="1:16" x14ac:dyDescent="0.25">
      <c r="A185" t="s">
        <v>67</v>
      </c>
      <c r="B185" t="s">
        <v>69</v>
      </c>
      <c r="C185">
        <v>9</v>
      </c>
      <c r="D185" t="s">
        <v>166</v>
      </c>
      <c r="E185" t="s">
        <v>163</v>
      </c>
      <c r="F185" t="s">
        <v>136</v>
      </c>
      <c r="G185">
        <v>76</v>
      </c>
      <c r="H185">
        <v>0</v>
      </c>
      <c r="I185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17</v>
      </c>
      <c r="K185" s="5" cm="1">
        <f t="array" ref="K185">IFERROR(AVERAGE(IF((OutputTable[GroupByKey]=OutputTable[[#This Row],[GroupByKey]]),(OutputTable[GroupByKey]=OutputTable[[#This Row],[GroupByKey]])*OutputTable[RecordedValue])),0)</f>
        <v>73.764705882352942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6.2302629535669061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185" s="5" cm="1">
        <f t="array" ref="O185">MIN(IF((OutputTable[GroupByKey]=OutputTable[[#This Row],[GroupByKey]]),(OutputTable[GroupByKey]=OutputTable[[#This Row],[GroupByKey]])*OutputTable[RecordedValue]))</f>
        <v>60</v>
      </c>
      <c r="P185" s="5" cm="1">
        <f t="array" ref="P185">MAX(IF((OutputTable[GroupByKey]=OutputTable[[#This Row],[GroupByKey]]),(OutputTable[GroupByKey]=OutputTable[[#This Row],[GroupByKey]])*OutputTable[RecordedValue]))</f>
        <v>84</v>
      </c>
    </row>
    <row r="186" spans="1:16" x14ac:dyDescent="0.25">
      <c r="A186" t="s">
        <v>67</v>
      </c>
      <c r="B186" t="s">
        <v>69</v>
      </c>
      <c r="C186">
        <v>9</v>
      </c>
      <c r="D186" t="s">
        <v>167</v>
      </c>
      <c r="E186" t="s">
        <v>165</v>
      </c>
      <c r="F186" t="s">
        <v>136</v>
      </c>
      <c r="G186">
        <v>0.68243955045632299</v>
      </c>
      <c r="H186">
        <v>0</v>
      </c>
      <c r="I186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17</v>
      </c>
      <c r="K186" s="5" cm="1">
        <f t="array" ref="K186">IFERROR(AVERAGE(IF((OutputTable[GroupByKey]=OutputTable[[#This Row],[GroupByKey]]),(OutputTable[GroupByKey]=OutputTable[[#This Row],[GroupByKey]])*OutputTable[RecordedValue])),0)</f>
        <v>0.66010861965703893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6.6171154002911237E-2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186" s="5" cm="1">
        <f t="array" ref="O186">MIN(IF((OutputTable[GroupByKey]=OutputTable[[#This Row],[GroupByKey]]),(OutputTable[GroupByKey]=OutputTable[[#This Row],[GroupByKey]])*OutputTable[RecordedValue]))</f>
        <v>0.52223972091576099</v>
      </c>
      <c r="P186" s="5" cm="1">
        <f t="array" ref="P186">MAX(IF((OutputTable[GroupByKey]=OutputTable[[#This Row],[GroupByKey]]),(OutputTable[GroupByKey]=OutputTable[[#This Row],[GroupByKey]])*OutputTable[RecordedValue]))</f>
        <v>0.77852312806092006</v>
      </c>
    </row>
    <row r="187" spans="1:16" x14ac:dyDescent="0.25">
      <c r="A187" t="s">
        <v>67</v>
      </c>
      <c r="B187" t="s">
        <v>69</v>
      </c>
      <c r="C187">
        <v>9</v>
      </c>
      <c r="D187" t="s">
        <v>168</v>
      </c>
      <c r="E187" t="s">
        <v>163</v>
      </c>
      <c r="F187" t="s">
        <v>136</v>
      </c>
      <c r="G187">
        <v>16</v>
      </c>
      <c r="H187">
        <v>0</v>
      </c>
      <c r="I187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17</v>
      </c>
      <c r="K187" s="5" cm="1">
        <f t="array" ref="K187">IFERROR(AVERAGE(IF((OutputTable[GroupByKey]=OutputTable[[#This Row],[GroupByKey]]),(OutputTable[GroupByKey]=OutputTable[[#This Row],[GroupByKey]])*OutputTable[RecordedValue])),0)</f>
        <v>16.941176470588236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3.0097879542273018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87" s="5" cm="1">
        <f t="array" ref="O187">MIN(IF((OutputTable[GroupByKey]=OutputTable[[#This Row],[GroupByKey]]),(OutputTable[GroupByKey]=OutputTable[[#This Row],[GroupByKey]])*OutputTable[RecordedValue]))</f>
        <v>12</v>
      </c>
      <c r="P187" s="5" cm="1">
        <f t="array" ref="P187">MAX(IF((OutputTable[GroupByKey]=OutputTable[[#This Row],[GroupByKey]]),(OutputTable[GroupByKey]=OutputTable[[#This Row],[GroupByKey]])*OutputTable[RecordedValue]))</f>
        <v>22</v>
      </c>
    </row>
    <row r="188" spans="1:16" x14ac:dyDescent="0.25">
      <c r="A188" t="s">
        <v>67</v>
      </c>
      <c r="B188" t="s">
        <v>69</v>
      </c>
      <c r="C188">
        <v>9</v>
      </c>
      <c r="D188" t="s">
        <v>169</v>
      </c>
      <c r="E188" t="s">
        <v>165</v>
      </c>
      <c r="F188" t="s">
        <v>136</v>
      </c>
      <c r="G188">
        <v>0.27509410942003398</v>
      </c>
      <c r="H188">
        <v>0</v>
      </c>
      <c r="I188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17</v>
      </c>
      <c r="K188" s="5" cm="1">
        <f t="array" ref="K188">IFERROR(AVERAGE(IF((OutputTable[GroupByKey]=OutputTable[[#This Row],[GroupByKey]]),(OutputTable[GroupByKey]=OutputTable[[#This Row],[GroupByKey]])*OutputTable[RecordedValue])),0)</f>
        <v>0.34356399197544252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7.597675013665138E-2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188" s="5" cm="1">
        <f t="array" ref="O188">MIN(IF((OutputTable[GroupByKey]=OutputTable[[#This Row],[GroupByKey]]),(OutputTable[GroupByKey]=OutputTable[[#This Row],[GroupByKey]])*OutputTable[RecordedValue]))</f>
        <v>0.20879044077011299</v>
      </c>
      <c r="P188" s="5" cm="1">
        <f t="array" ref="P188">MAX(IF((OutputTable[GroupByKey]=OutputTable[[#This Row],[GroupByKey]]),(OutputTable[GroupByKey]=OutputTable[[#This Row],[GroupByKey]])*OutputTable[RecordedValue]))</f>
        <v>0.53820629377380302</v>
      </c>
    </row>
    <row r="189" spans="1:16" x14ac:dyDescent="0.25">
      <c r="A189" t="s">
        <v>67</v>
      </c>
      <c r="B189" t="s">
        <v>69</v>
      </c>
      <c r="C189">
        <v>9</v>
      </c>
      <c r="D189" t="s">
        <v>170</v>
      </c>
      <c r="E189" t="s">
        <v>145</v>
      </c>
      <c r="F189" t="s">
        <v>72</v>
      </c>
      <c r="G189">
        <v>3</v>
      </c>
      <c r="H189">
        <v>0</v>
      </c>
      <c r="I189" s="5" t="str">
        <f>OutputTable[[#This Row],[ProjectName]]&amp;OutputTable[[#This Row],[Name]]&amp;OutputTable[[#This Row],[Type]]&amp;OutputTable[[#This Row],[Source]]</f>
        <v>Weekend (base)reloj.NumberInNumber InEntity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17</v>
      </c>
      <c r="K189" s="5" cm="1">
        <f t="array" ref="K189">IFERROR(AVERAGE(IF((OutputTable[GroupByKey]=OutputTable[[#This Row],[GroupByKey]]),(OutputTable[GroupByKey]=OutputTable[[#This Row],[GroupByKey]])*OutputTable[RecordedValue])),0)</f>
        <v>3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3</v>
      </c>
      <c r="P189" s="5" cm="1">
        <f t="array" ref="P189">MAX(IF((OutputTable[GroupByKey]=OutputTable[[#This Row],[GroupByKey]]),(OutputTable[GroupByKey]=OutputTable[[#This Row],[GroupByKey]])*OutputTable[RecordedValue]))</f>
        <v>3</v>
      </c>
    </row>
    <row r="190" spans="1:16" x14ac:dyDescent="0.25">
      <c r="A190" t="s">
        <v>67</v>
      </c>
      <c r="B190" t="s">
        <v>69</v>
      </c>
      <c r="C190">
        <v>9</v>
      </c>
      <c r="D190" t="s">
        <v>171</v>
      </c>
      <c r="E190" t="s">
        <v>147</v>
      </c>
      <c r="F190" t="s">
        <v>72</v>
      </c>
      <c r="G190">
        <v>3</v>
      </c>
      <c r="H190">
        <v>0</v>
      </c>
      <c r="I190" s="5" t="str">
        <f>OutputTable[[#This Row],[ProjectName]]&amp;OutputTable[[#This Row],[Name]]&amp;OutputTable[[#This Row],[Type]]&amp;OutputTable[[#This Row],[Source]]</f>
        <v>Weekend (base)reloj.NumberOutNumber OutEntity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17</v>
      </c>
      <c r="K190" s="5" cm="1">
        <f t="array" ref="K190">IFERROR(AVERAGE(IF((OutputTable[GroupByKey]=OutputTable[[#This Row],[GroupByKey]]),(OutputTable[GroupByKey]=OutputTable[[#This Row],[GroupByKey]])*OutputTable[RecordedValue])),0)</f>
        <v>3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3</v>
      </c>
      <c r="P190" s="5" cm="1">
        <f t="array" ref="P190">MAX(IF((OutputTable[GroupByKey]=OutputTable[[#This Row],[GroupByKey]]),(OutputTable[GroupByKey]=OutputTable[[#This Row],[GroupByKey]])*OutputTable[RecordedValue]))</f>
        <v>3</v>
      </c>
    </row>
    <row r="191" spans="1:16" x14ac:dyDescent="0.25">
      <c r="A191" t="s">
        <v>67</v>
      </c>
      <c r="B191" t="s">
        <v>69</v>
      </c>
      <c r="C191">
        <v>10</v>
      </c>
      <c r="D191" t="s">
        <v>144</v>
      </c>
      <c r="E191" t="s">
        <v>145</v>
      </c>
      <c r="F191" t="s">
        <v>72</v>
      </c>
      <c r="G191">
        <v>381</v>
      </c>
      <c r="H191">
        <v>0</v>
      </c>
      <c r="I191" s="5" t="str">
        <f>OutputTable[[#This Row],[ProjectName]]&amp;OutputTable[[#This Row],[Name]]&amp;OutputTable[[#This Row],[Type]]&amp;OutputTable[[#This Row],[Source]]</f>
        <v>Weekend (base)Cliente.NumberInNumber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17</v>
      </c>
      <c r="K191" s="5" cm="1">
        <f t="array" ref="K191">IFERROR(AVERAGE(IF((OutputTable[GroupByKey]=OutputTable[[#This Row],[GroupByKey]]),(OutputTable[GroupByKey]=OutputTable[[#This Row],[GroupByKey]])*OutputTable[RecordedValue])),0)</f>
        <v>354.11764705882354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19.776508643277939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191" s="5" cm="1">
        <f t="array" ref="O191">MIN(IF((OutputTable[GroupByKey]=OutputTable[[#This Row],[GroupByKey]]),(OutputTable[GroupByKey]=OutputTable[[#This Row],[GroupByKey]])*OutputTable[RecordedValue]))</f>
        <v>316</v>
      </c>
      <c r="P191" s="5" cm="1">
        <f t="array" ref="P191">MAX(IF((OutputTable[GroupByKey]=OutputTable[[#This Row],[GroupByKey]]),(OutputTable[GroupByKey]=OutputTable[[#This Row],[GroupByKey]])*OutputTable[RecordedValue]))</f>
        <v>387</v>
      </c>
    </row>
    <row r="192" spans="1:16" x14ac:dyDescent="0.25">
      <c r="A192" t="s">
        <v>67</v>
      </c>
      <c r="B192" t="s">
        <v>69</v>
      </c>
      <c r="C192">
        <v>10</v>
      </c>
      <c r="D192" t="s">
        <v>146</v>
      </c>
      <c r="E192" t="s">
        <v>147</v>
      </c>
      <c r="F192" t="s">
        <v>72</v>
      </c>
      <c r="G192">
        <v>373</v>
      </c>
      <c r="H192">
        <v>0</v>
      </c>
      <c r="I192" s="5" t="str">
        <f>OutputTable[[#This Row],[ProjectName]]&amp;OutputTable[[#This Row],[Name]]&amp;OutputTable[[#This Row],[Type]]&amp;OutputTable[[#This Row],[Source]]</f>
        <v>Weekend (base)Cliente.NumberOutNumber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17</v>
      </c>
      <c r="K192" s="5" cm="1">
        <f t="array" ref="K192">IFERROR(AVERAGE(IF((OutputTable[GroupByKey]=OutputTable[[#This Row],[GroupByKey]]),(OutputTable[GroupByKey]=OutputTable[[#This Row],[GroupByKey]])*OutputTable[RecordedValue])),0)</f>
        <v>354.88235294117646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20.951975900082719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192" s="5" cm="1">
        <f t="array" ref="O192">MIN(IF((OutputTable[GroupByKey]=OutputTable[[#This Row],[GroupByKey]]),(OutputTable[GroupByKey]=OutputTable[[#This Row],[GroupByKey]])*OutputTable[RecordedValue]))</f>
        <v>319</v>
      </c>
      <c r="P192" s="5" cm="1">
        <f t="array" ref="P192">MAX(IF((OutputTable[GroupByKey]=OutputTable[[#This Row],[GroupByKey]]),(OutputTable[GroupByKey]=OutputTable[[#This Row],[GroupByKey]])*OutputTable[RecordedValue]))</f>
        <v>391</v>
      </c>
    </row>
    <row r="193" spans="1:16" x14ac:dyDescent="0.25">
      <c r="A193" t="s">
        <v>67</v>
      </c>
      <c r="B193" t="s">
        <v>69</v>
      </c>
      <c r="C193">
        <v>10</v>
      </c>
      <c r="D193" t="s">
        <v>148</v>
      </c>
      <c r="E193" t="s">
        <v>149</v>
      </c>
      <c r="F193" t="s">
        <v>86</v>
      </c>
      <c r="G193">
        <v>456.33427551718</v>
      </c>
      <c r="H193">
        <v>0</v>
      </c>
      <c r="I193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17</v>
      </c>
      <c r="K193" s="5" cm="1">
        <f t="array" ref="K193">IFERROR(AVERAGE(IF((OutputTable[GroupByKey]=OutputTable[[#This Row],[GroupByKey]]),(OutputTable[GroupByKey]=OutputTable[[#This Row],[GroupByKey]])*OutputTable[RecordedValue])),0)</f>
        <v>308.63553444706355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57.365542312184125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193" s="5" cm="1">
        <f t="array" ref="O193">MIN(IF((OutputTable[GroupByKey]=OutputTable[[#This Row],[GroupByKey]]),(OutputTable[GroupByKey]=OutputTable[[#This Row],[GroupByKey]])*OutputTable[RecordedValue]))</f>
        <v>225.161235126317</v>
      </c>
      <c r="P193" s="5" cm="1">
        <f t="array" ref="P193">MAX(IF((OutputTable[GroupByKey]=OutputTable[[#This Row],[GroupByKey]]),(OutputTable[GroupByKey]=OutputTable[[#This Row],[GroupByKey]])*OutputTable[RecordedValue]))</f>
        <v>456.33427551718</v>
      </c>
    </row>
    <row r="194" spans="1:16" x14ac:dyDescent="0.25">
      <c r="A194" t="s">
        <v>67</v>
      </c>
      <c r="B194" t="s">
        <v>69</v>
      </c>
      <c r="C194">
        <v>10</v>
      </c>
      <c r="D194" t="s">
        <v>150</v>
      </c>
      <c r="E194" t="s">
        <v>151</v>
      </c>
      <c r="F194" t="s">
        <v>86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17</v>
      </c>
      <c r="K194" s="5" cm="1">
        <f t="array" ref="K194">IFERROR(AVERAGE(IF((OutputTable[GroupByKey]=OutputTable[[#This Row],[GroupByKey]]),(OutputTable[GroupByKey]=OutputTable[[#This Row],[GroupByKey]])*OutputTable[RecordedValue])),0)</f>
        <v>0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25">
      <c r="A195" t="s">
        <v>67</v>
      </c>
      <c r="B195" t="s">
        <v>69</v>
      </c>
      <c r="C195">
        <v>10</v>
      </c>
      <c r="D195" t="s">
        <v>152</v>
      </c>
      <c r="E195" t="s">
        <v>145</v>
      </c>
      <c r="F195" t="s">
        <v>86</v>
      </c>
      <c r="G195">
        <v>22</v>
      </c>
      <c r="H195">
        <v>0</v>
      </c>
      <c r="I195" s="5" t="str">
        <f>OutputTable[[#This Row],[ProjectName]]&amp;OutputTable[[#This Row],[Name]]&amp;OutputTable[[#This Row],[Type]]&amp;OutputTable[[#This Row],[Source]]</f>
        <v>Weekend (base)Comer en Mesa Number InNumber InProcess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17</v>
      </c>
      <c r="K195" s="5" cm="1">
        <f t="array" ref="K195">IFERROR(AVERAGE(IF((OutputTable[GroupByKey]=OutputTable[[#This Row],[GroupByKey]]),(OutputTable[GroupByKey]=OutputTable[[#This Row],[GroupByKey]])*OutputTable[RecordedValue])),0)</f>
        <v>16.941176470588236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3.0097879542273018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195" s="5" cm="1">
        <f t="array" ref="O195">MIN(IF((OutputTable[GroupByKey]=OutputTable[[#This Row],[GroupByKey]]),(OutputTable[GroupByKey]=OutputTable[[#This Row],[GroupByKey]])*OutputTable[RecordedValue]))</f>
        <v>12</v>
      </c>
      <c r="P195" s="5" cm="1">
        <f t="array" ref="P195">MAX(IF((OutputTable[GroupByKey]=OutputTable[[#This Row],[GroupByKey]]),(OutputTable[GroupByKey]=OutputTable[[#This Row],[GroupByKey]])*OutputTable[RecordedValue]))</f>
        <v>22</v>
      </c>
    </row>
    <row r="196" spans="1:16" x14ac:dyDescent="0.25">
      <c r="A196" t="s">
        <v>67</v>
      </c>
      <c r="B196" t="s">
        <v>69</v>
      </c>
      <c r="C196">
        <v>10</v>
      </c>
      <c r="D196" t="s">
        <v>153</v>
      </c>
      <c r="E196" t="s">
        <v>147</v>
      </c>
      <c r="F196" t="s">
        <v>86</v>
      </c>
      <c r="G196">
        <v>20</v>
      </c>
      <c r="H196">
        <v>0</v>
      </c>
      <c r="I196" s="5" t="str">
        <f>OutputTable[[#This Row],[ProjectName]]&amp;OutputTable[[#This Row],[Name]]&amp;OutputTable[[#This Row],[Type]]&amp;OutputTable[[#This Row],[Source]]</f>
        <v>Weekend (base)Comer en Mesa Number OutNumber OutProcess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17</v>
      </c>
      <c r="K196" s="5" cm="1">
        <f t="array" ref="K196">IFERROR(AVERAGE(IF((OutputTable[GroupByKey]=OutputTable[[#This Row],[GroupByKey]]),(OutputTable[GroupByKey]=OutputTable[[#This Row],[GroupByKey]])*OutputTable[RecordedValue])),0)</f>
        <v>16.764705882352942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1.8550408272025261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196" s="5" cm="1">
        <f t="array" ref="O196">MIN(IF((OutputTable[GroupByKey]=OutputTable[[#This Row],[GroupByKey]]),(OutputTable[GroupByKey]=OutputTable[[#This Row],[GroupByKey]])*OutputTable[RecordedValue]))</f>
        <v>13</v>
      </c>
      <c r="P196" s="5" cm="1">
        <f t="array" ref="P196">MAX(IF((OutputTable[GroupByKey]=OutputTable[[#This Row],[GroupByKey]]),(OutputTable[GroupByKey]=OutputTable[[#This Row],[GroupByKey]])*OutputTable[RecordedValue]))</f>
        <v>20</v>
      </c>
    </row>
    <row r="197" spans="1:16" x14ac:dyDescent="0.25">
      <c r="A197" t="s">
        <v>67</v>
      </c>
      <c r="B197" t="s">
        <v>69</v>
      </c>
      <c r="C197">
        <v>10</v>
      </c>
      <c r="D197" t="s">
        <v>154</v>
      </c>
      <c r="E197" t="s">
        <v>145</v>
      </c>
      <c r="F197" t="s">
        <v>72</v>
      </c>
      <c r="G197">
        <v>125</v>
      </c>
      <c r="H197">
        <v>0</v>
      </c>
      <c r="I197" s="5" t="str">
        <f>OutputTable[[#This Row],[ProjectName]]&amp;OutputTable[[#This Row],[Name]]&amp;OutputTable[[#This Row],[Type]]&amp;OutputTable[[#This Row],[Source]]</f>
        <v>Weekend (base)Orden.NumberInNumber InEntity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17</v>
      </c>
      <c r="K197" s="5" cm="1">
        <f t="array" ref="K197">IFERROR(AVERAGE(IF((OutputTable[GroupByKey]=OutputTable[[#This Row],[GroupByKey]]),(OutputTable[GroupByKey]=OutputTable[[#This Row],[GroupByKey]])*OutputTable[RecordedValue])),0)</f>
        <v>117.35294117647059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7.1496606254299602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197" s="5" cm="1">
        <f t="array" ref="O197">MIN(IF((OutputTable[GroupByKey]=OutputTable[[#This Row],[GroupByKey]]),(OutputTable[GroupByKey]=OutputTable[[#This Row],[GroupByKey]])*OutputTable[RecordedValue]))</f>
        <v>105</v>
      </c>
      <c r="P197" s="5" cm="1">
        <f t="array" ref="P197">MAX(IF((OutputTable[GroupByKey]=OutputTable[[#This Row],[GroupByKey]]),(OutputTable[GroupByKey]=OutputTable[[#This Row],[GroupByKey]])*OutputTable[RecordedValue]))</f>
        <v>131</v>
      </c>
    </row>
    <row r="198" spans="1:16" x14ac:dyDescent="0.25">
      <c r="A198" t="s">
        <v>67</v>
      </c>
      <c r="B198" t="s">
        <v>69</v>
      </c>
      <c r="C198">
        <v>10</v>
      </c>
      <c r="D198" t="s">
        <v>155</v>
      </c>
      <c r="E198" t="s">
        <v>147</v>
      </c>
      <c r="F198" t="s">
        <v>72</v>
      </c>
      <c r="G198">
        <v>124</v>
      </c>
      <c r="H198">
        <v>0</v>
      </c>
      <c r="I198" s="5" t="str">
        <f>OutputTable[[#This Row],[ProjectName]]&amp;OutputTable[[#This Row],[Name]]&amp;OutputTable[[#This Row],[Type]]&amp;OutputTable[[#This Row],[Source]]</f>
        <v>Weekend (base)Orden.NumberOutNumber OutEntity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17</v>
      </c>
      <c r="K198" s="5" cm="1">
        <f t="array" ref="K198">IFERROR(AVERAGE(IF((OutputTable[GroupByKey]=OutputTable[[#This Row],[GroupByKey]]),(OutputTable[GroupByKey]=OutputTable[[#This Row],[GroupByKey]])*OutputTable[RecordedValue])),0)</f>
        <v>118.76470588235294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7.0580575564802697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198" s="5" cm="1">
        <f t="array" ref="O198">MIN(IF((OutputTable[GroupByKey]=OutputTable[[#This Row],[GroupByKey]]),(OutputTable[GroupByKey]=OutputTable[[#This Row],[GroupByKey]])*OutputTable[RecordedValue]))</f>
        <v>107</v>
      </c>
      <c r="P198" s="5" cm="1">
        <f t="array" ref="P198">MAX(IF((OutputTable[GroupByKey]=OutputTable[[#This Row],[GroupByKey]]),(OutputTable[GroupByKey]=OutputTable[[#This Row],[GroupByKey]])*OutputTable[RecordedValue]))</f>
        <v>130</v>
      </c>
    </row>
    <row r="199" spans="1:16" x14ac:dyDescent="0.25">
      <c r="A199" t="s">
        <v>67</v>
      </c>
      <c r="B199" t="s">
        <v>69</v>
      </c>
      <c r="C199">
        <v>10</v>
      </c>
      <c r="D199" t="s">
        <v>156</v>
      </c>
      <c r="E199" t="s">
        <v>149</v>
      </c>
      <c r="F199" t="s">
        <v>86</v>
      </c>
      <c r="G199">
        <v>204.14864236111501</v>
      </c>
      <c r="H199">
        <v>0</v>
      </c>
      <c r="I199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17</v>
      </c>
      <c r="K199" s="5" cm="1">
        <f t="array" ref="K199">IFERROR(AVERAGE(IF((OutputTable[GroupByKey]=OutputTable[[#This Row],[GroupByKey]]),(OutputTable[GroupByKey]=OutputTable[[#This Row],[GroupByKey]])*OutputTable[RecordedValue])),0)</f>
        <v>191.25148078330704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16.886201618463961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199" s="5" cm="1">
        <f t="array" ref="O199">MIN(IF((OutputTable[GroupByKey]=OutputTable[[#This Row],[GroupByKey]]),(OutputTable[GroupByKey]=OutputTable[[#This Row],[GroupByKey]])*OutputTable[RecordedValue]))</f>
        <v>159.38722481493599</v>
      </c>
      <c r="P199" s="5" cm="1">
        <f t="array" ref="P199">MAX(IF((OutputTable[GroupByKey]=OutputTable[[#This Row],[GroupByKey]]),(OutputTable[GroupByKey]=OutputTable[[#This Row],[GroupByKey]])*OutputTable[RecordedValue]))</f>
        <v>225.02992874035499</v>
      </c>
    </row>
    <row r="200" spans="1:16" x14ac:dyDescent="0.25">
      <c r="A200" t="s">
        <v>67</v>
      </c>
      <c r="B200" t="s">
        <v>69</v>
      </c>
      <c r="C200">
        <v>10</v>
      </c>
      <c r="D200" t="s">
        <v>157</v>
      </c>
      <c r="E200" t="s">
        <v>151</v>
      </c>
      <c r="F200" t="s">
        <v>86</v>
      </c>
      <c r="G200">
        <v>172.114169892197</v>
      </c>
      <c r="H200">
        <v>0</v>
      </c>
      <c r="I200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17</v>
      </c>
      <c r="K200" s="5" cm="1">
        <f t="array" ref="K200">IFERROR(AVERAGE(IF((OutputTable[GroupByKey]=OutputTable[[#This Row],[GroupByKey]]),(OutputTable[GroupByKey]=OutputTable[[#This Row],[GroupByKey]])*OutputTable[RecordedValue])),0)</f>
        <v>133.66503743442436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79.508986996493206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200" s="5" cm="1">
        <f t="array" ref="O200">MIN(IF((OutputTable[GroupByKey]=OutputTable[[#This Row],[GroupByKey]]),(OutputTable[GroupByKey]=OutputTable[[#This Row],[GroupByKey]])*OutputTable[RecordedValue]))</f>
        <v>36.437518321990602</v>
      </c>
      <c r="P200" s="5" cm="1">
        <f t="array" ref="P200">MAX(IF((OutputTable[GroupByKey]=OutputTable[[#This Row],[GroupByKey]]),(OutputTable[GroupByKey]=OutputTable[[#This Row],[GroupByKey]])*OutputTable[RecordedValue]))</f>
        <v>324.91710015892198</v>
      </c>
    </row>
    <row r="201" spans="1:16" x14ac:dyDescent="0.25">
      <c r="A201" t="s">
        <v>67</v>
      </c>
      <c r="B201" t="s">
        <v>69</v>
      </c>
      <c r="C201">
        <v>10</v>
      </c>
      <c r="D201" t="s">
        <v>158</v>
      </c>
      <c r="E201" t="s">
        <v>145</v>
      </c>
      <c r="F201" t="s">
        <v>86</v>
      </c>
      <c r="G201">
        <v>125</v>
      </c>
      <c r="H201">
        <v>0</v>
      </c>
      <c r="I201" s="5" t="str">
        <f>OutputTable[[#This Row],[ProjectName]]&amp;OutputTable[[#This Row],[Name]]&amp;OutputTable[[#This Row],[Type]]&amp;OutputTable[[#This Row],[Source]]</f>
        <v>Weekend (base)Preparacion Number InNumber InProcess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17</v>
      </c>
      <c r="K201" s="5" cm="1">
        <f t="array" ref="K201">IFERROR(AVERAGE(IF((OutputTable[GroupByKey]=OutputTable[[#This Row],[GroupByKey]]),(OutputTable[GroupByKey]=OutputTable[[#This Row],[GroupByKey]])*OutputTable[RecordedValue])),0)</f>
        <v>117.35294117647059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7.1496606254299602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01" s="5" cm="1">
        <f t="array" ref="O201">MIN(IF((OutputTable[GroupByKey]=OutputTable[[#This Row],[GroupByKey]]),(OutputTable[GroupByKey]=OutputTable[[#This Row],[GroupByKey]])*OutputTable[RecordedValue]))</f>
        <v>105</v>
      </c>
      <c r="P201" s="5" cm="1">
        <f t="array" ref="P201">MAX(IF((OutputTable[GroupByKey]=OutputTable[[#This Row],[GroupByKey]]),(OutputTable[GroupByKey]=OutputTable[[#This Row],[GroupByKey]])*OutputTable[RecordedValue]))</f>
        <v>131</v>
      </c>
    </row>
    <row r="202" spans="1:16" x14ac:dyDescent="0.25">
      <c r="A202" t="s">
        <v>67</v>
      </c>
      <c r="B202" t="s">
        <v>69</v>
      </c>
      <c r="C202">
        <v>10</v>
      </c>
      <c r="D202" t="s">
        <v>159</v>
      </c>
      <c r="E202" t="s">
        <v>147</v>
      </c>
      <c r="F202" t="s">
        <v>86</v>
      </c>
      <c r="G202">
        <v>126</v>
      </c>
      <c r="H202">
        <v>0</v>
      </c>
      <c r="I202" s="5" t="str">
        <f>OutputTable[[#This Row],[ProjectName]]&amp;OutputTable[[#This Row],[Name]]&amp;OutputTable[[#This Row],[Type]]&amp;OutputTable[[#This Row],[Source]]</f>
        <v>Weekend (base)Preparacion Number OutNumber OutProcess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17</v>
      </c>
      <c r="K202" s="5" cm="1">
        <f t="array" ref="K202">IFERROR(AVERAGE(IF((OutputTable[GroupByKey]=OutputTable[[#This Row],[GroupByKey]]),(OutputTable[GroupByKey]=OutputTable[[#This Row],[GroupByKey]])*OutputTable[RecordedValue])),0)</f>
        <v>118.82352941176471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6.9931689358048459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202" s="5" cm="1">
        <f t="array" ref="O202">MIN(IF((OutputTable[GroupByKey]=OutputTable[[#This Row],[GroupByKey]]),(OutputTable[GroupByKey]=OutputTable[[#This Row],[GroupByKey]])*OutputTable[RecordedValue]))</f>
        <v>108</v>
      </c>
      <c r="P202" s="5" cm="1">
        <f t="array" ref="P202">MAX(IF((OutputTable[GroupByKey]=OutputTable[[#This Row],[GroupByKey]]),(OutputTable[GroupByKey]=OutputTable[[#This Row],[GroupByKey]])*OutputTable[RecordedValue]))</f>
        <v>132</v>
      </c>
    </row>
    <row r="203" spans="1:16" x14ac:dyDescent="0.25">
      <c r="A203" t="s">
        <v>67</v>
      </c>
      <c r="B203" t="s">
        <v>69</v>
      </c>
      <c r="C203">
        <v>10</v>
      </c>
      <c r="D203" t="s">
        <v>160</v>
      </c>
      <c r="E203" t="s">
        <v>147</v>
      </c>
      <c r="F203" t="s">
        <v>161</v>
      </c>
      <c r="G203">
        <v>127</v>
      </c>
      <c r="H203">
        <v>0</v>
      </c>
      <c r="I203" s="5" t="str">
        <f>OutputTable[[#This Row],[ProjectName]]&amp;OutputTable[[#This Row],[Name]]&amp;OutputTable[[#This Row],[Type]]&amp;OutputTable[[#This Row],[Source]]</f>
        <v>Weekend (base)System.NumberOutNumber OutSystem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17</v>
      </c>
      <c r="K203" s="5" cm="1">
        <f t="array" ref="K203">IFERROR(AVERAGE(IF((OutputTable[GroupByKey]=OutputTable[[#This Row],[GroupByKey]]),(OutputTable[GroupByKey]=OutputTable[[#This Row],[GroupByKey]])*OutputTable[RecordedValue])),0)</f>
        <v>121.76470588235294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7.0580575564802697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03" s="5" cm="1">
        <f t="array" ref="O203">MIN(IF((OutputTable[GroupByKey]=OutputTable[[#This Row],[GroupByKey]]),(OutputTable[GroupByKey]=OutputTable[[#This Row],[GroupByKey]])*OutputTable[RecordedValue]))</f>
        <v>110</v>
      </c>
      <c r="P203" s="5" cm="1">
        <f t="array" ref="P203">MAX(IF((OutputTable[GroupByKey]=OutputTable[[#This Row],[GroupByKey]]),(OutputTable[GroupByKey]=OutputTable[[#This Row],[GroupByKey]])*OutputTable[RecordedValue]))</f>
        <v>133</v>
      </c>
    </row>
    <row r="204" spans="1:16" x14ac:dyDescent="0.25">
      <c r="A204" t="s">
        <v>67</v>
      </c>
      <c r="B204" t="s">
        <v>69</v>
      </c>
      <c r="C204">
        <v>10</v>
      </c>
      <c r="D204" t="s">
        <v>162</v>
      </c>
      <c r="E204" t="s">
        <v>163</v>
      </c>
      <c r="F204" t="s">
        <v>136</v>
      </c>
      <c r="G204">
        <v>174</v>
      </c>
      <c r="H204">
        <v>0</v>
      </c>
      <c r="I204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17</v>
      </c>
      <c r="K204" s="5" cm="1">
        <f t="array" ref="K204">IFERROR(AVERAGE(IF((OutputTable[GroupByKey]=OutputTable[[#This Row],[GroupByKey]]),(OutputTable[GroupByKey]=OutputTable[[#This Row],[GroupByKey]])*OutputTable[RecordedValue])),0)</f>
        <v>162.1764705882353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10.100960932738323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204" s="5" cm="1">
        <f t="array" ref="O204">MIN(IF((OutputTable[GroupByKey]=OutputTable[[#This Row],[GroupByKey]]),(OutputTable[GroupByKey]=OutputTable[[#This Row],[GroupByKey]])*OutputTable[RecordedValue]))</f>
        <v>147</v>
      </c>
      <c r="P204" s="5" cm="1">
        <f t="array" ref="P204">MAX(IF((OutputTable[GroupByKey]=OutputTable[[#This Row],[GroupByKey]]),(OutputTable[GroupByKey]=OutputTable[[#This Row],[GroupByKey]])*OutputTable[RecordedValue]))</f>
        <v>183</v>
      </c>
    </row>
    <row r="205" spans="1:16" x14ac:dyDescent="0.25">
      <c r="A205" t="s">
        <v>67</v>
      </c>
      <c r="B205" t="s">
        <v>69</v>
      </c>
      <c r="C205">
        <v>10</v>
      </c>
      <c r="D205" t="s">
        <v>164</v>
      </c>
      <c r="E205" t="s">
        <v>165</v>
      </c>
      <c r="F205" t="s">
        <v>136</v>
      </c>
      <c r="G205">
        <v>0.88290459880079397</v>
      </c>
      <c r="H205">
        <v>0</v>
      </c>
      <c r="I205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17</v>
      </c>
      <c r="K205" s="5" cm="1">
        <f t="array" ref="K205">IFERROR(AVERAGE(IF((OutputTable[GroupByKey]=OutputTable[[#This Row],[GroupByKey]]),(OutputTable[GroupByKey]=OutputTable[[#This Row],[GroupByKey]])*OutputTable[RecordedValue])),0)</f>
        <v>0.82034721885470152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6.5495768324500853E-2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205" s="5" cm="1">
        <f t="array" ref="O205">MIN(IF((OutputTable[GroupByKey]=OutputTable[[#This Row],[GroupByKey]]),(OutputTable[GroupByKey]=OutputTable[[#This Row],[GroupByKey]])*OutputTable[RecordedValue]))</f>
        <v>0.73534383204610498</v>
      </c>
      <c r="P205" s="5" cm="1">
        <f t="array" ref="P205">MAX(IF((OutputTable[GroupByKey]=OutputTable[[#This Row],[GroupByKey]]),(OutputTable[GroupByKey]=OutputTable[[#This Row],[GroupByKey]])*OutputTable[RecordedValue]))</f>
        <v>0.95888680213271504</v>
      </c>
    </row>
    <row r="206" spans="1:16" x14ac:dyDescent="0.25">
      <c r="A206" t="s">
        <v>67</v>
      </c>
      <c r="B206" t="s">
        <v>69</v>
      </c>
      <c r="C206">
        <v>10</v>
      </c>
      <c r="D206" t="s">
        <v>166</v>
      </c>
      <c r="E206" t="s">
        <v>163</v>
      </c>
      <c r="F206" t="s">
        <v>136</v>
      </c>
      <c r="G206">
        <v>77</v>
      </c>
      <c r="H206">
        <v>0</v>
      </c>
      <c r="I206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17</v>
      </c>
      <c r="K206" s="5" cm="1">
        <f t="array" ref="K206">IFERROR(AVERAGE(IF((OutputTable[GroupByKey]=OutputTable[[#This Row],[GroupByKey]]),(OutputTable[GroupByKey]=OutputTable[[#This Row],[GroupByKey]])*OutputTable[RecordedValue])),0)</f>
        <v>73.764705882352942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6.2302629535669061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206" s="5" cm="1">
        <f t="array" ref="O206">MIN(IF((OutputTable[GroupByKey]=OutputTable[[#This Row],[GroupByKey]]),(OutputTable[GroupByKey]=OutputTable[[#This Row],[GroupByKey]])*OutputTable[RecordedValue]))</f>
        <v>60</v>
      </c>
      <c r="P206" s="5" cm="1">
        <f t="array" ref="P206">MAX(IF((OutputTable[GroupByKey]=OutputTable[[#This Row],[GroupByKey]]),(OutputTable[GroupByKey]=OutputTable[[#This Row],[GroupByKey]])*OutputTable[RecordedValue]))</f>
        <v>84</v>
      </c>
    </row>
    <row r="207" spans="1:16" x14ac:dyDescent="0.25">
      <c r="A207" t="s">
        <v>67</v>
      </c>
      <c r="B207" t="s">
        <v>69</v>
      </c>
      <c r="C207">
        <v>10</v>
      </c>
      <c r="D207" t="s">
        <v>167</v>
      </c>
      <c r="E207" t="s">
        <v>165</v>
      </c>
      <c r="F207" t="s">
        <v>136</v>
      </c>
      <c r="G207">
        <v>0.74071350079077902</v>
      </c>
      <c r="H207">
        <v>0</v>
      </c>
      <c r="I207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17</v>
      </c>
      <c r="K207" s="5" cm="1">
        <f t="array" ref="K207">IFERROR(AVERAGE(IF((OutputTable[GroupByKey]=OutputTable[[#This Row],[GroupByKey]]),(OutputTable[GroupByKey]=OutputTable[[#This Row],[GroupByKey]])*OutputTable[RecordedValue])),0)</f>
        <v>0.66010861965703893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6.6171154002911237E-2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207" s="5" cm="1">
        <f t="array" ref="O207">MIN(IF((OutputTable[GroupByKey]=OutputTable[[#This Row],[GroupByKey]]),(OutputTable[GroupByKey]=OutputTable[[#This Row],[GroupByKey]])*OutputTable[RecordedValue]))</f>
        <v>0.52223972091576099</v>
      </c>
      <c r="P207" s="5" cm="1">
        <f t="array" ref="P207">MAX(IF((OutputTable[GroupByKey]=OutputTable[[#This Row],[GroupByKey]]),(OutputTable[GroupByKey]=OutputTable[[#This Row],[GroupByKey]])*OutputTable[RecordedValue]))</f>
        <v>0.77852312806092006</v>
      </c>
    </row>
    <row r="208" spans="1:16" x14ac:dyDescent="0.25">
      <c r="A208" t="s">
        <v>67</v>
      </c>
      <c r="B208" t="s">
        <v>69</v>
      </c>
      <c r="C208">
        <v>10</v>
      </c>
      <c r="D208" t="s">
        <v>168</v>
      </c>
      <c r="E208" t="s">
        <v>163</v>
      </c>
      <c r="F208" t="s">
        <v>136</v>
      </c>
      <c r="G208">
        <v>22</v>
      </c>
      <c r="H208">
        <v>0</v>
      </c>
      <c r="I208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17</v>
      </c>
      <c r="K208" s="5" cm="1">
        <f t="array" ref="K208">IFERROR(AVERAGE(IF((OutputTable[GroupByKey]=OutputTable[[#This Row],[GroupByKey]]),(OutputTable[GroupByKey]=OutputTable[[#This Row],[GroupByKey]])*OutputTable[RecordedValue])),0)</f>
        <v>16.941176470588236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3.0097879542273018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08" s="5" cm="1">
        <f t="array" ref="O208">MIN(IF((OutputTable[GroupByKey]=OutputTable[[#This Row],[GroupByKey]]),(OutputTable[GroupByKey]=OutputTable[[#This Row],[GroupByKey]])*OutputTable[RecordedValue]))</f>
        <v>12</v>
      </c>
      <c r="P208" s="5" cm="1">
        <f t="array" ref="P208">MAX(IF((OutputTable[GroupByKey]=OutputTable[[#This Row],[GroupByKey]]),(OutputTable[GroupByKey]=OutputTable[[#This Row],[GroupByKey]])*OutputTable[RecordedValue]))</f>
        <v>22</v>
      </c>
    </row>
    <row r="209" spans="1:16" x14ac:dyDescent="0.25">
      <c r="A209" t="s">
        <v>67</v>
      </c>
      <c r="B209" t="s">
        <v>69</v>
      </c>
      <c r="C209">
        <v>10</v>
      </c>
      <c r="D209" t="s">
        <v>169</v>
      </c>
      <c r="E209" t="s">
        <v>165</v>
      </c>
      <c r="F209" t="s">
        <v>136</v>
      </c>
      <c r="G209">
        <v>0.53820629377380302</v>
      </c>
      <c r="H209">
        <v>0</v>
      </c>
      <c r="I209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17</v>
      </c>
      <c r="K209" s="5" cm="1">
        <f t="array" ref="K209">IFERROR(AVERAGE(IF((OutputTable[GroupByKey]=OutputTable[[#This Row],[GroupByKey]]),(OutputTable[GroupByKey]=OutputTable[[#This Row],[GroupByKey]])*OutputTable[RecordedValue])),0)</f>
        <v>0.34356399197544252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7.597675013665138E-2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209" s="5" cm="1">
        <f t="array" ref="O209">MIN(IF((OutputTable[GroupByKey]=OutputTable[[#This Row],[GroupByKey]]),(OutputTable[GroupByKey]=OutputTable[[#This Row],[GroupByKey]])*OutputTable[RecordedValue]))</f>
        <v>0.20879044077011299</v>
      </c>
      <c r="P209" s="5" cm="1">
        <f t="array" ref="P209">MAX(IF((OutputTable[GroupByKey]=OutputTable[[#This Row],[GroupByKey]]),(OutputTable[GroupByKey]=OutputTable[[#This Row],[GroupByKey]])*OutputTable[RecordedValue]))</f>
        <v>0.53820629377380302</v>
      </c>
    </row>
    <row r="210" spans="1:16" x14ac:dyDescent="0.25">
      <c r="A210" t="s">
        <v>67</v>
      </c>
      <c r="B210" t="s">
        <v>69</v>
      </c>
      <c r="C210">
        <v>10</v>
      </c>
      <c r="D210" t="s">
        <v>170</v>
      </c>
      <c r="E210" t="s">
        <v>145</v>
      </c>
      <c r="F210" t="s">
        <v>72</v>
      </c>
      <c r="G210">
        <v>3</v>
      </c>
      <c r="H210">
        <v>0</v>
      </c>
      <c r="I210" s="5" t="str">
        <f>OutputTable[[#This Row],[ProjectName]]&amp;OutputTable[[#This Row],[Name]]&amp;OutputTable[[#This Row],[Type]]&amp;OutputTable[[#This Row],[Source]]</f>
        <v>Weekend (base)reloj.NumberInNumber InEntity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17</v>
      </c>
      <c r="K210" s="5" cm="1">
        <f t="array" ref="K210">IFERROR(AVERAGE(IF((OutputTable[GroupByKey]=OutputTable[[#This Row],[GroupByKey]]),(OutputTable[GroupByKey]=OutputTable[[#This Row],[GroupByKey]])*OutputTable[RecordedValue])),0)</f>
        <v>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" s="5" cm="1">
        <f t="array" ref="O210">MIN(IF((OutputTable[GroupByKey]=OutputTable[[#This Row],[GroupByKey]]),(OutputTable[GroupByKey]=OutputTable[[#This Row],[GroupByKey]])*OutputTable[RecordedValue]))</f>
        <v>3</v>
      </c>
      <c r="P210" s="5" cm="1">
        <f t="array" ref="P210">MAX(IF((OutputTable[GroupByKey]=OutputTable[[#This Row],[GroupByKey]]),(OutputTable[GroupByKey]=OutputTable[[#This Row],[GroupByKey]])*OutputTable[RecordedValue]))</f>
        <v>3</v>
      </c>
    </row>
    <row r="211" spans="1:16" x14ac:dyDescent="0.25">
      <c r="A211" t="s">
        <v>67</v>
      </c>
      <c r="B211" t="s">
        <v>69</v>
      </c>
      <c r="C211">
        <v>10</v>
      </c>
      <c r="D211" t="s">
        <v>171</v>
      </c>
      <c r="E211" t="s">
        <v>147</v>
      </c>
      <c r="F211" t="s">
        <v>72</v>
      </c>
      <c r="G211">
        <v>3</v>
      </c>
      <c r="H211">
        <v>0</v>
      </c>
      <c r="I211" s="5" t="str">
        <f>OutputTable[[#This Row],[ProjectName]]&amp;OutputTable[[#This Row],[Name]]&amp;OutputTable[[#This Row],[Type]]&amp;OutputTable[[#This Row],[Source]]</f>
        <v>Weekend (base)reloj.NumberOutNumber OutEntity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17</v>
      </c>
      <c r="K211" s="5" cm="1">
        <f t="array" ref="K211">IFERROR(AVERAGE(IF((OutputTable[GroupByKey]=OutputTable[[#This Row],[GroupByKey]]),(OutputTable[GroupByKey]=OutputTable[[#This Row],[GroupByKey]])*OutputTable[RecordedValue])),0)</f>
        <v>3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0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" s="5" cm="1">
        <f t="array" ref="O211">MIN(IF((OutputTable[GroupByKey]=OutputTable[[#This Row],[GroupByKey]]),(OutputTable[GroupByKey]=OutputTable[[#This Row],[GroupByKey]])*OutputTable[RecordedValue]))</f>
        <v>3</v>
      </c>
      <c r="P211" s="5" cm="1">
        <f t="array" ref="P211">MAX(IF((OutputTable[GroupByKey]=OutputTable[[#This Row],[GroupByKey]]),(OutputTable[GroupByKey]=OutputTable[[#This Row],[GroupByKey]])*OutputTable[RecordedValue]))</f>
        <v>3</v>
      </c>
    </row>
    <row r="212" spans="1:16" x14ac:dyDescent="0.25">
      <c r="A212" t="s">
        <v>67</v>
      </c>
      <c r="B212" t="s">
        <v>69</v>
      </c>
      <c r="C212">
        <v>11</v>
      </c>
      <c r="D212" t="s">
        <v>144</v>
      </c>
      <c r="E212" t="s">
        <v>145</v>
      </c>
      <c r="F212" t="s">
        <v>72</v>
      </c>
      <c r="G212">
        <v>352</v>
      </c>
      <c r="H212">
        <v>0</v>
      </c>
      <c r="I212" s="5" t="str">
        <f>OutputTable[[#This Row],[ProjectName]]&amp;OutputTable[[#This Row],[Name]]&amp;OutputTable[[#This Row],[Type]]&amp;OutputTable[[#This Row],[Source]]</f>
        <v>Weekend (base)Cliente.NumberInNumber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17</v>
      </c>
      <c r="K212" s="5" cm="1">
        <f t="array" ref="K212">IFERROR(AVERAGE(IF((OutputTable[GroupByKey]=OutputTable[[#This Row],[GroupByKey]]),(OutputTable[GroupByKey]=OutputTable[[#This Row],[GroupByKey]])*OutputTable[RecordedValue])),0)</f>
        <v>354.11764705882354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19.776508643277939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212" s="5" cm="1">
        <f t="array" ref="O212">MIN(IF((OutputTable[GroupByKey]=OutputTable[[#This Row],[GroupByKey]]),(OutputTable[GroupByKey]=OutputTable[[#This Row],[GroupByKey]])*OutputTable[RecordedValue]))</f>
        <v>316</v>
      </c>
      <c r="P212" s="5" cm="1">
        <f t="array" ref="P212">MAX(IF((OutputTable[GroupByKey]=OutputTable[[#This Row],[GroupByKey]]),(OutputTable[GroupByKey]=OutputTable[[#This Row],[GroupByKey]])*OutputTable[RecordedValue]))</f>
        <v>387</v>
      </c>
    </row>
    <row r="213" spans="1:16" x14ac:dyDescent="0.25">
      <c r="A213" t="s">
        <v>67</v>
      </c>
      <c r="B213" t="s">
        <v>69</v>
      </c>
      <c r="C213">
        <v>11</v>
      </c>
      <c r="D213" t="s">
        <v>146</v>
      </c>
      <c r="E213" t="s">
        <v>147</v>
      </c>
      <c r="F213" t="s">
        <v>72</v>
      </c>
      <c r="G213">
        <v>348</v>
      </c>
      <c r="H213">
        <v>0</v>
      </c>
      <c r="I213" s="5" t="str">
        <f>OutputTable[[#This Row],[ProjectName]]&amp;OutputTable[[#This Row],[Name]]&amp;OutputTable[[#This Row],[Type]]&amp;OutputTable[[#This Row],[Source]]</f>
        <v>Weekend (base)Cliente.NumberOutNumber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17</v>
      </c>
      <c r="K213" s="5" cm="1">
        <f t="array" ref="K213">IFERROR(AVERAGE(IF((OutputTable[GroupByKey]=OutputTable[[#This Row],[GroupByKey]]),(OutputTable[GroupByKey]=OutputTable[[#This Row],[GroupByKey]])*OutputTable[RecordedValue])),0)</f>
        <v>354.88235294117646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20.951975900082719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213" s="5" cm="1">
        <f t="array" ref="O213">MIN(IF((OutputTable[GroupByKey]=OutputTable[[#This Row],[GroupByKey]]),(OutputTable[GroupByKey]=OutputTable[[#This Row],[GroupByKey]])*OutputTable[RecordedValue]))</f>
        <v>319</v>
      </c>
      <c r="P213" s="5" cm="1">
        <f t="array" ref="P213">MAX(IF((OutputTable[GroupByKey]=OutputTable[[#This Row],[GroupByKey]]),(OutputTable[GroupByKey]=OutputTable[[#This Row],[GroupByKey]])*OutputTable[RecordedValue]))</f>
        <v>391</v>
      </c>
    </row>
    <row r="214" spans="1:16" x14ac:dyDescent="0.25">
      <c r="A214" t="s">
        <v>67</v>
      </c>
      <c r="B214" t="s">
        <v>69</v>
      </c>
      <c r="C214">
        <v>11</v>
      </c>
      <c r="D214" t="s">
        <v>148</v>
      </c>
      <c r="E214" t="s">
        <v>149</v>
      </c>
      <c r="F214" t="s">
        <v>86</v>
      </c>
      <c r="G214">
        <v>296.59479635442398</v>
      </c>
      <c r="H214">
        <v>0</v>
      </c>
      <c r="I214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17</v>
      </c>
      <c r="K214" s="5" cm="1">
        <f t="array" ref="K214">IFERROR(AVERAGE(IF((OutputTable[GroupByKey]=OutputTable[[#This Row],[GroupByKey]]),(OutputTable[GroupByKey]=OutputTable[[#This Row],[GroupByKey]])*OutputTable[RecordedValue])),0)</f>
        <v>308.63553444706355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57.365542312184125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214" s="5" cm="1">
        <f t="array" ref="O214">MIN(IF((OutputTable[GroupByKey]=OutputTable[[#This Row],[GroupByKey]]),(OutputTable[GroupByKey]=OutputTable[[#This Row],[GroupByKey]])*OutputTable[RecordedValue]))</f>
        <v>225.161235126317</v>
      </c>
      <c r="P214" s="5" cm="1">
        <f t="array" ref="P214">MAX(IF((OutputTable[GroupByKey]=OutputTable[[#This Row],[GroupByKey]]),(OutputTable[GroupByKey]=OutputTable[[#This Row],[GroupByKey]])*OutputTable[RecordedValue]))</f>
        <v>456.33427551718</v>
      </c>
    </row>
    <row r="215" spans="1:16" x14ac:dyDescent="0.25">
      <c r="A215" t="s">
        <v>67</v>
      </c>
      <c r="B215" t="s">
        <v>69</v>
      </c>
      <c r="C215">
        <v>11</v>
      </c>
      <c r="D215" t="s">
        <v>150</v>
      </c>
      <c r="E215" t="s">
        <v>151</v>
      </c>
      <c r="F215" t="s">
        <v>86</v>
      </c>
      <c r="G215">
        <v>0</v>
      </c>
      <c r="H215">
        <v>0</v>
      </c>
      <c r="I215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17</v>
      </c>
      <c r="K215" s="5" cm="1">
        <f t="array" ref="K215">IFERROR(AVERAGE(IF((OutputTable[GroupByKey]=OutputTable[[#This Row],[GroupByKey]]),(OutputTable[GroupByKey]=OutputTable[[#This Row],[GroupByKey]])*OutputTable[RecordedValue])),0)</f>
        <v>0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" s="5" cm="1">
        <f t="array" ref="O215">MIN(IF((OutputTable[GroupByKey]=OutputTable[[#This Row],[GroupByKey]]),(OutputTable[GroupByKey]=OutputTable[[#This Row],[GroupByKey]])*OutputTable[RecordedValue]))</f>
        <v>0</v>
      </c>
      <c r="P215" s="5" cm="1">
        <f t="array" ref="P215">MAX(IF((OutputTable[GroupByKey]=OutputTable[[#This Row],[GroupByKey]]),(OutputTable[GroupByKey]=OutputTable[[#This Row],[GroupByKey]])*OutputTable[RecordedValue]))</f>
        <v>0</v>
      </c>
    </row>
    <row r="216" spans="1:16" x14ac:dyDescent="0.25">
      <c r="A216" t="s">
        <v>67</v>
      </c>
      <c r="B216" t="s">
        <v>69</v>
      </c>
      <c r="C216">
        <v>11</v>
      </c>
      <c r="D216" t="s">
        <v>152</v>
      </c>
      <c r="E216" t="s">
        <v>145</v>
      </c>
      <c r="F216" t="s">
        <v>86</v>
      </c>
      <c r="G216">
        <v>19</v>
      </c>
      <c r="H216">
        <v>0</v>
      </c>
      <c r="I216" s="5" t="str">
        <f>OutputTable[[#This Row],[ProjectName]]&amp;OutputTable[[#This Row],[Name]]&amp;OutputTable[[#This Row],[Type]]&amp;OutputTable[[#This Row],[Source]]</f>
        <v>Weekend (base)Comer en Mesa Number InNumber InProcess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17</v>
      </c>
      <c r="K216" s="5" cm="1">
        <f t="array" ref="K216">IFERROR(AVERAGE(IF((OutputTable[GroupByKey]=OutputTable[[#This Row],[GroupByKey]]),(OutputTable[GroupByKey]=OutputTable[[#This Row],[GroupByKey]])*OutputTable[RecordedValue])),0)</f>
        <v>16.941176470588236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3.0097879542273018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16" s="5" cm="1">
        <f t="array" ref="O216">MIN(IF((OutputTable[GroupByKey]=OutputTable[[#This Row],[GroupByKey]]),(OutputTable[GroupByKey]=OutputTable[[#This Row],[GroupByKey]])*OutputTable[RecordedValue]))</f>
        <v>12</v>
      </c>
      <c r="P216" s="5" cm="1">
        <f t="array" ref="P216">MAX(IF((OutputTable[GroupByKey]=OutputTable[[#This Row],[GroupByKey]]),(OutputTable[GroupByKey]=OutputTable[[#This Row],[GroupByKey]])*OutputTable[RecordedValue]))</f>
        <v>22</v>
      </c>
    </row>
    <row r="217" spans="1:16" x14ac:dyDescent="0.25">
      <c r="A217" t="s">
        <v>67</v>
      </c>
      <c r="B217" t="s">
        <v>69</v>
      </c>
      <c r="C217">
        <v>11</v>
      </c>
      <c r="D217" t="s">
        <v>153</v>
      </c>
      <c r="E217" t="s">
        <v>147</v>
      </c>
      <c r="F217" t="s">
        <v>86</v>
      </c>
      <c r="G217">
        <v>16</v>
      </c>
      <c r="H217">
        <v>0</v>
      </c>
      <c r="I217" s="5" t="str">
        <f>OutputTable[[#This Row],[ProjectName]]&amp;OutputTable[[#This Row],[Name]]&amp;OutputTable[[#This Row],[Type]]&amp;OutputTable[[#This Row],[Source]]</f>
        <v>Weekend (base)Comer en Mesa Number OutNumber OutProcess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17</v>
      </c>
      <c r="K217" s="5" cm="1">
        <f t="array" ref="K217">IFERROR(AVERAGE(IF((OutputTable[GroupByKey]=OutputTable[[#This Row],[GroupByKey]]),(OutputTable[GroupByKey]=OutputTable[[#This Row],[GroupByKey]])*OutputTable[RecordedValue])),0)</f>
        <v>16.764705882352942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1.8550408272025261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217" s="5" cm="1">
        <f t="array" ref="O217">MIN(IF((OutputTable[GroupByKey]=OutputTable[[#This Row],[GroupByKey]]),(OutputTable[GroupByKey]=OutputTable[[#This Row],[GroupByKey]])*OutputTable[RecordedValue]))</f>
        <v>13</v>
      </c>
      <c r="P217" s="5" cm="1">
        <f t="array" ref="P217">MAX(IF((OutputTable[GroupByKey]=OutputTable[[#This Row],[GroupByKey]]),(OutputTable[GroupByKey]=OutputTable[[#This Row],[GroupByKey]])*OutputTable[RecordedValue]))</f>
        <v>20</v>
      </c>
    </row>
    <row r="218" spans="1:16" x14ac:dyDescent="0.25">
      <c r="A218" t="s">
        <v>67</v>
      </c>
      <c r="B218" t="s">
        <v>69</v>
      </c>
      <c r="C218">
        <v>11</v>
      </c>
      <c r="D218" t="s">
        <v>154</v>
      </c>
      <c r="E218" t="s">
        <v>145</v>
      </c>
      <c r="F218" t="s">
        <v>72</v>
      </c>
      <c r="G218">
        <v>118</v>
      </c>
      <c r="H218">
        <v>0</v>
      </c>
      <c r="I218" s="5" t="str">
        <f>OutputTable[[#This Row],[ProjectName]]&amp;OutputTable[[#This Row],[Name]]&amp;OutputTable[[#This Row],[Type]]&amp;OutputTable[[#This Row],[Source]]</f>
        <v>Weekend (base)Orden.NumberInNumber InEntity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17</v>
      </c>
      <c r="K218" s="5" cm="1">
        <f t="array" ref="K218">IFERROR(AVERAGE(IF((OutputTable[GroupByKey]=OutputTable[[#This Row],[GroupByKey]]),(OutputTable[GroupByKey]=OutputTable[[#This Row],[GroupByKey]])*OutputTable[RecordedValue])),0)</f>
        <v>117.35294117647059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7.1496606254299602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18" s="5" cm="1">
        <f t="array" ref="O218">MIN(IF((OutputTable[GroupByKey]=OutputTable[[#This Row],[GroupByKey]]),(OutputTable[GroupByKey]=OutputTable[[#This Row],[GroupByKey]])*OutputTable[RecordedValue]))</f>
        <v>105</v>
      </c>
      <c r="P218" s="5" cm="1">
        <f t="array" ref="P218">MAX(IF((OutputTable[GroupByKey]=OutputTable[[#This Row],[GroupByKey]]),(OutputTable[GroupByKey]=OutputTable[[#This Row],[GroupByKey]])*OutputTable[RecordedValue]))</f>
        <v>131</v>
      </c>
    </row>
    <row r="219" spans="1:16" x14ac:dyDescent="0.25">
      <c r="A219" t="s">
        <v>67</v>
      </c>
      <c r="B219" t="s">
        <v>69</v>
      </c>
      <c r="C219">
        <v>11</v>
      </c>
      <c r="D219" t="s">
        <v>155</v>
      </c>
      <c r="E219" t="s">
        <v>147</v>
      </c>
      <c r="F219" t="s">
        <v>72</v>
      </c>
      <c r="G219">
        <v>115</v>
      </c>
      <c r="H219">
        <v>0</v>
      </c>
      <c r="I219" s="5" t="str">
        <f>OutputTable[[#This Row],[ProjectName]]&amp;OutputTable[[#This Row],[Name]]&amp;OutputTable[[#This Row],[Type]]&amp;OutputTable[[#This Row],[Source]]</f>
        <v>Weekend (base)Orden.NumberOutNumber OutEntity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17</v>
      </c>
      <c r="K219" s="5" cm="1">
        <f t="array" ref="K219">IFERROR(AVERAGE(IF((OutputTable[GroupByKey]=OutputTable[[#This Row],[GroupByKey]]),(OutputTable[GroupByKey]=OutputTable[[#This Row],[GroupByKey]])*OutputTable[RecordedValue])),0)</f>
        <v>118.76470588235294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7.0580575564802697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19" s="5" cm="1">
        <f t="array" ref="O219">MIN(IF((OutputTable[GroupByKey]=OutputTable[[#This Row],[GroupByKey]]),(OutputTable[GroupByKey]=OutputTable[[#This Row],[GroupByKey]])*OutputTable[RecordedValue]))</f>
        <v>107</v>
      </c>
      <c r="P219" s="5" cm="1">
        <f t="array" ref="P219">MAX(IF((OutputTable[GroupByKey]=OutputTable[[#This Row],[GroupByKey]]),(OutputTable[GroupByKey]=OutputTable[[#This Row],[GroupByKey]])*OutputTable[RecordedValue]))</f>
        <v>130</v>
      </c>
    </row>
    <row r="220" spans="1:16" x14ac:dyDescent="0.25">
      <c r="A220" t="s">
        <v>67</v>
      </c>
      <c r="B220" t="s">
        <v>69</v>
      </c>
      <c r="C220">
        <v>11</v>
      </c>
      <c r="D220" t="s">
        <v>156</v>
      </c>
      <c r="E220" t="s">
        <v>149</v>
      </c>
      <c r="F220" t="s">
        <v>86</v>
      </c>
      <c r="G220">
        <v>177.98838449957799</v>
      </c>
      <c r="H220">
        <v>0</v>
      </c>
      <c r="I220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17</v>
      </c>
      <c r="K220" s="5" cm="1">
        <f t="array" ref="K220">IFERROR(AVERAGE(IF((OutputTable[GroupByKey]=OutputTable[[#This Row],[GroupByKey]]),(OutputTable[GroupByKey]=OutputTable[[#This Row],[GroupByKey]])*OutputTable[RecordedValue])),0)</f>
        <v>191.25148078330704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16.886201618463961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220" s="5" cm="1">
        <f t="array" ref="O220">MIN(IF((OutputTable[GroupByKey]=OutputTable[[#This Row],[GroupByKey]]),(OutputTable[GroupByKey]=OutputTable[[#This Row],[GroupByKey]])*OutputTable[RecordedValue]))</f>
        <v>159.38722481493599</v>
      </c>
      <c r="P220" s="5" cm="1">
        <f t="array" ref="P220">MAX(IF((OutputTable[GroupByKey]=OutputTable[[#This Row],[GroupByKey]]),(OutputTable[GroupByKey]=OutputTable[[#This Row],[GroupByKey]])*OutputTable[RecordedValue]))</f>
        <v>225.02992874035499</v>
      </c>
    </row>
    <row r="221" spans="1:16" x14ac:dyDescent="0.25">
      <c r="A221" t="s">
        <v>67</v>
      </c>
      <c r="B221" t="s">
        <v>69</v>
      </c>
      <c r="C221">
        <v>11</v>
      </c>
      <c r="D221" t="s">
        <v>157</v>
      </c>
      <c r="E221" t="s">
        <v>151</v>
      </c>
      <c r="F221" t="s">
        <v>86</v>
      </c>
      <c r="G221">
        <v>72.090426438674498</v>
      </c>
      <c r="H221">
        <v>0</v>
      </c>
      <c r="I221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17</v>
      </c>
      <c r="K221" s="5" cm="1">
        <f t="array" ref="K221">IFERROR(AVERAGE(IF((OutputTable[GroupByKey]=OutputTable[[#This Row],[GroupByKey]]),(OutputTable[GroupByKey]=OutputTable[[#This Row],[GroupByKey]])*OutputTable[RecordedValue])),0)</f>
        <v>133.66503743442436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79.508986996493206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221" s="5" cm="1">
        <f t="array" ref="O221">MIN(IF((OutputTable[GroupByKey]=OutputTable[[#This Row],[GroupByKey]]),(OutputTable[GroupByKey]=OutputTable[[#This Row],[GroupByKey]])*OutputTable[RecordedValue]))</f>
        <v>36.437518321990602</v>
      </c>
      <c r="P221" s="5" cm="1">
        <f t="array" ref="P221">MAX(IF((OutputTable[GroupByKey]=OutputTable[[#This Row],[GroupByKey]]),(OutputTable[GroupByKey]=OutputTable[[#This Row],[GroupByKey]])*OutputTable[RecordedValue]))</f>
        <v>324.91710015892198</v>
      </c>
    </row>
    <row r="222" spans="1:16" x14ac:dyDescent="0.25">
      <c r="A222" t="s">
        <v>67</v>
      </c>
      <c r="B222" t="s">
        <v>69</v>
      </c>
      <c r="C222">
        <v>11</v>
      </c>
      <c r="D222" t="s">
        <v>158</v>
      </c>
      <c r="E222" t="s">
        <v>145</v>
      </c>
      <c r="F222" t="s">
        <v>86</v>
      </c>
      <c r="G222">
        <v>118</v>
      </c>
      <c r="H222">
        <v>0</v>
      </c>
      <c r="I222" s="5" t="str">
        <f>OutputTable[[#This Row],[ProjectName]]&amp;OutputTable[[#This Row],[Name]]&amp;OutputTable[[#This Row],[Type]]&amp;OutputTable[[#This Row],[Source]]</f>
        <v>Weekend (base)Preparacion Number InNumber InProcess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17</v>
      </c>
      <c r="K222" s="5" cm="1">
        <f t="array" ref="K222">IFERROR(AVERAGE(IF((OutputTable[GroupByKey]=OutputTable[[#This Row],[GroupByKey]]),(OutputTable[GroupByKey]=OutputTable[[#This Row],[GroupByKey]])*OutputTable[RecordedValue])),0)</f>
        <v>117.35294117647059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7.1496606254299602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22" s="5" cm="1">
        <f t="array" ref="O222">MIN(IF((OutputTable[GroupByKey]=OutputTable[[#This Row],[GroupByKey]]),(OutputTable[GroupByKey]=OutputTable[[#This Row],[GroupByKey]])*OutputTable[RecordedValue]))</f>
        <v>105</v>
      </c>
      <c r="P222" s="5" cm="1">
        <f t="array" ref="P222">MAX(IF((OutputTable[GroupByKey]=OutputTable[[#This Row],[GroupByKey]]),(OutputTable[GroupByKey]=OutputTable[[#This Row],[GroupByKey]])*OutputTable[RecordedValue]))</f>
        <v>131</v>
      </c>
    </row>
    <row r="223" spans="1:16" x14ac:dyDescent="0.25">
      <c r="A223" t="s">
        <v>67</v>
      </c>
      <c r="B223" t="s">
        <v>69</v>
      </c>
      <c r="C223">
        <v>11</v>
      </c>
      <c r="D223" t="s">
        <v>159</v>
      </c>
      <c r="E223" t="s">
        <v>147</v>
      </c>
      <c r="F223" t="s">
        <v>86</v>
      </c>
      <c r="G223">
        <v>118</v>
      </c>
      <c r="H223">
        <v>0</v>
      </c>
      <c r="I223" s="5" t="str">
        <f>OutputTable[[#This Row],[ProjectName]]&amp;OutputTable[[#This Row],[Name]]&amp;OutputTable[[#This Row],[Type]]&amp;OutputTable[[#This Row],[Source]]</f>
        <v>Weekend (base)Preparacion Number OutNumber OutProcess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17</v>
      </c>
      <c r="K223" s="5" cm="1">
        <f t="array" ref="K223">IFERROR(AVERAGE(IF((OutputTable[GroupByKey]=OutputTable[[#This Row],[GroupByKey]]),(OutputTable[GroupByKey]=OutputTable[[#This Row],[GroupByKey]])*OutputTable[RecordedValue])),0)</f>
        <v>118.82352941176471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6.9931689358048459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223" s="5" cm="1">
        <f t="array" ref="O223">MIN(IF((OutputTable[GroupByKey]=OutputTable[[#This Row],[GroupByKey]]),(OutputTable[GroupByKey]=OutputTable[[#This Row],[GroupByKey]])*OutputTable[RecordedValue]))</f>
        <v>108</v>
      </c>
      <c r="P223" s="5" cm="1">
        <f t="array" ref="P223">MAX(IF((OutputTable[GroupByKey]=OutputTable[[#This Row],[GroupByKey]]),(OutputTable[GroupByKey]=OutputTable[[#This Row],[GroupByKey]])*OutputTable[RecordedValue]))</f>
        <v>132</v>
      </c>
    </row>
    <row r="224" spans="1:16" x14ac:dyDescent="0.25">
      <c r="A224" t="s">
        <v>67</v>
      </c>
      <c r="B224" t="s">
        <v>69</v>
      </c>
      <c r="C224">
        <v>11</v>
      </c>
      <c r="D224" t="s">
        <v>160</v>
      </c>
      <c r="E224" t="s">
        <v>147</v>
      </c>
      <c r="F224" t="s">
        <v>161</v>
      </c>
      <c r="G224">
        <v>118</v>
      </c>
      <c r="H224">
        <v>0</v>
      </c>
      <c r="I224" s="5" t="str">
        <f>OutputTable[[#This Row],[ProjectName]]&amp;OutputTable[[#This Row],[Name]]&amp;OutputTable[[#This Row],[Type]]&amp;OutputTable[[#This Row],[Source]]</f>
        <v>Weekend (base)System.NumberOutNumber OutSystem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17</v>
      </c>
      <c r="K224" s="5" cm="1">
        <f t="array" ref="K224">IFERROR(AVERAGE(IF((OutputTable[GroupByKey]=OutputTable[[#This Row],[GroupByKey]]),(OutputTable[GroupByKey]=OutputTable[[#This Row],[GroupByKey]])*OutputTable[RecordedValue])),0)</f>
        <v>121.76470588235294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7.0580575564802697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24" s="5" cm="1">
        <f t="array" ref="O224">MIN(IF((OutputTable[GroupByKey]=OutputTable[[#This Row],[GroupByKey]]),(OutputTable[GroupByKey]=OutputTable[[#This Row],[GroupByKey]])*OutputTable[RecordedValue]))</f>
        <v>110</v>
      </c>
      <c r="P224" s="5" cm="1">
        <f t="array" ref="P224">MAX(IF((OutputTable[GroupByKey]=OutputTable[[#This Row],[GroupByKey]]),(OutputTable[GroupByKey]=OutputTable[[#This Row],[GroupByKey]])*OutputTable[RecordedValue]))</f>
        <v>133</v>
      </c>
    </row>
    <row r="225" spans="1:16" x14ac:dyDescent="0.25">
      <c r="A225" t="s">
        <v>67</v>
      </c>
      <c r="B225" t="s">
        <v>69</v>
      </c>
      <c r="C225">
        <v>11</v>
      </c>
      <c r="D225" t="s">
        <v>162</v>
      </c>
      <c r="E225" t="s">
        <v>163</v>
      </c>
      <c r="F225" t="s">
        <v>136</v>
      </c>
      <c r="G225">
        <v>158</v>
      </c>
      <c r="H225">
        <v>0</v>
      </c>
      <c r="I225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17</v>
      </c>
      <c r="K225" s="5" cm="1">
        <f t="array" ref="K225">IFERROR(AVERAGE(IF((OutputTable[GroupByKey]=OutputTable[[#This Row],[GroupByKey]]),(OutputTable[GroupByKey]=OutputTable[[#This Row],[GroupByKey]])*OutputTable[RecordedValue])),0)</f>
        <v>162.1764705882353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10.100960932738323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225" s="5" cm="1">
        <f t="array" ref="O225">MIN(IF((OutputTable[GroupByKey]=OutputTable[[#This Row],[GroupByKey]]),(OutputTable[GroupByKey]=OutputTable[[#This Row],[GroupByKey]])*OutputTable[RecordedValue]))</f>
        <v>147</v>
      </c>
      <c r="P225" s="5" cm="1">
        <f t="array" ref="P225">MAX(IF((OutputTable[GroupByKey]=OutputTable[[#This Row],[GroupByKey]]),(OutputTable[GroupByKey]=OutputTable[[#This Row],[GroupByKey]])*OutputTable[RecordedValue]))</f>
        <v>183</v>
      </c>
    </row>
    <row r="226" spans="1:16" x14ac:dyDescent="0.25">
      <c r="A226" t="s">
        <v>67</v>
      </c>
      <c r="B226" t="s">
        <v>69</v>
      </c>
      <c r="C226">
        <v>11</v>
      </c>
      <c r="D226" t="s">
        <v>164</v>
      </c>
      <c r="E226" t="s">
        <v>165</v>
      </c>
      <c r="F226" t="s">
        <v>136</v>
      </c>
      <c r="G226">
        <v>0.79483347197116505</v>
      </c>
      <c r="H226">
        <v>0</v>
      </c>
      <c r="I226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17</v>
      </c>
      <c r="K226" s="5" cm="1">
        <f t="array" ref="K226">IFERROR(AVERAGE(IF((OutputTable[GroupByKey]=OutputTable[[#This Row],[GroupByKey]]),(OutputTable[GroupByKey]=OutputTable[[#This Row],[GroupByKey]])*OutputTable[RecordedValue])),0)</f>
        <v>0.82034721885470152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6.5495768324500853E-2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226" s="5" cm="1">
        <f t="array" ref="O226">MIN(IF((OutputTable[GroupByKey]=OutputTable[[#This Row],[GroupByKey]]),(OutputTable[GroupByKey]=OutputTable[[#This Row],[GroupByKey]])*OutputTable[RecordedValue]))</f>
        <v>0.73534383204610498</v>
      </c>
      <c r="P226" s="5" cm="1">
        <f t="array" ref="P226">MAX(IF((OutputTable[GroupByKey]=OutputTable[[#This Row],[GroupByKey]]),(OutputTable[GroupByKey]=OutputTable[[#This Row],[GroupByKey]])*OutputTable[RecordedValue]))</f>
        <v>0.95888680213271504</v>
      </c>
    </row>
    <row r="227" spans="1:16" x14ac:dyDescent="0.25">
      <c r="A227" t="s">
        <v>67</v>
      </c>
      <c r="B227" t="s">
        <v>69</v>
      </c>
      <c r="C227">
        <v>11</v>
      </c>
      <c r="D227" t="s">
        <v>166</v>
      </c>
      <c r="E227" t="s">
        <v>163</v>
      </c>
      <c r="F227" t="s">
        <v>136</v>
      </c>
      <c r="G227">
        <v>78</v>
      </c>
      <c r="H227">
        <v>0</v>
      </c>
      <c r="I227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17</v>
      </c>
      <c r="K227" s="5" cm="1">
        <f t="array" ref="K227">IFERROR(AVERAGE(IF((OutputTable[GroupByKey]=OutputTable[[#This Row],[GroupByKey]]),(OutputTable[GroupByKey]=OutputTable[[#This Row],[GroupByKey]])*OutputTable[RecordedValue])),0)</f>
        <v>73.764705882352942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6.2302629535669061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227" s="5" cm="1">
        <f t="array" ref="O227">MIN(IF((OutputTable[GroupByKey]=OutputTable[[#This Row],[GroupByKey]]),(OutputTable[GroupByKey]=OutputTable[[#This Row],[GroupByKey]])*OutputTable[RecordedValue]))</f>
        <v>60</v>
      </c>
      <c r="P227" s="5" cm="1">
        <f t="array" ref="P227">MAX(IF((OutputTable[GroupByKey]=OutputTable[[#This Row],[GroupByKey]]),(OutputTable[GroupByKey]=OutputTable[[#This Row],[GroupByKey]])*OutputTable[RecordedValue]))</f>
        <v>84</v>
      </c>
    </row>
    <row r="228" spans="1:16" x14ac:dyDescent="0.25">
      <c r="A228" t="s">
        <v>67</v>
      </c>
      <c r="B228" t="s">
        <v>69</v>
      </c>
      <c r="C228">
        <v>11</v>
      </c>
      <c r="D228" t="s">
        <v>167</v>
      </c>
      <c r="E228" t="s">
        <v>165</v>
      </c>
      <c r="F228" t="s">
        <v>136</v>
      </c>
      <c r="G228">
        <v>0.60144011566393596</v>
      </c>
      <c r="H228">
        <v>0</v>
      </c>
      <c r="I228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17</v>
      </c>
      <c r="K228" s="5" cm="1">
        <f t="array" ref="K228">IFERROR(AVERAGE(IF((OutputTable[GroupByKey]=OutputTable[[#This Row],[GroupByKey]]),(OutputTable[GroupByKey]=OutputTable[[#This Row],[GroupByKey]])*OutputTable[RecordedValue])),0)</f>
        <v>0.66010861965703893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6.6171154002911237E-2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228" s="5" cm="1">
        <f t="array" ref="O228">MIN(IF((OutputTable[GroupByKey]=OutputTable[[#This Row],[GroupByKey]]),(OutputTable[GroupByKey]=OutputTable[[#This Row],[GroupByKey]])*OutputTable[RecordedValue]))</f>
        <v>0.52223972091576099</v>
      </c>
      <c r="P228" s="5" cm="1">
        <f t="array" ref="P228">MAX(IF((OutputTable[GroupByKey]=OutputTable[[#This Row],[GroupByKey]]),(OutputTable[GroupByKey]=OutputTable[[#This Row],[GroupByKey]])*OutputTable[RecordedValue]))</f>
        <v>0.77852312806092006</v>
      </c>
    </row>
    <row r="229" spans="1:16" x14ac:dyDescent="0.25">
      <c r="A229" t="s">
        <v>67</v>
      </c>
      <c r="B229" t="s">
        <v>69</v>
      </c>
      <c r="C229">
        <v>11</v>
      </c>
      <c r="D229" t="s">
        <v>168</v>
      </c>
      <c r="E229" t="s">
        <v>163</v>
      </c>
      <c r="F229" t="s">
        <v>136</v>
      </c>
      <c r="G229">
        <v>19</v>
      </c>
      <c r="H229">
        <v>0</v>
      </c>
      <c r="I229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17</v>
      </c>
      <c r="K229" s="5" cm="1">
        <f t="array" ref="K229">IFERROR(AVERAGE(IF((OutputTable[GroupByKey]=OutputTable[[#This Row],[GroupByKey]]),(OutputTable[GroupByKey]=OutputTable[[#This Row],[GroupByKey]])*OutputTable[RecordedValue])),0)</f>
        <v>16.941176470588236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3.0097879542273018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29" s="5" cm="1">
        <f t="array" ref="O229">MIN(IF((OutputTable[GroupByKey]=OutputTable[[#This Row],[GroupByKey]]),(OutputTable[GroupByKey]=OutputTable[[#This Row],[GroupByKey]])*OutputTable[RecordedValue]))</f>
        <v>12</v>
      </c>
      <c r="P229" s="5" cm="1">
        <f t="array" ref="P229">MAX(IF((OutputTable[GroupByKey]=OutputTable[[#This Row],[GroupByKey]]),(OutputTable[GroupByKey]=OutputTable[[#This Row],[GroupByKey]])*OutputTable[RecordedValue]))</f>
        <v>22</v>
      </c>
    </row>
    <row r="230" spans="1:16" x14ac:dyDescent="0.25">
      <c r="A230" t="s">
        <v>67</v>
      </c>
      <c r="B230" t="s">
        <v>69</v>
      </c>
      <c r="C230">
        <v>11</v>
      </c>
      <c r="D230" t="s">
        <v>169</v>
      </c>
      <c r="E230" t="s">
        <v>165</v>
      </c>
      <c r="F230" t="s">
        <v>136</v>
      </c>
      <c r="G230">
        <v>0.3487870132532</v>
      </c>
      <c r="H230">
        <v>0</v>
      </c>
      <c r="I230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17</v>
      </c>
      <c r="K230" s="5" cm="1">
        <f t="array" ref="K230">IFERROR(AVERAGE(IF((OutputTable[GroupByKey]=OutputTable[[#This Row],[GroupByKey]]),(OutputTable[GroupByKey]=OutputTable[[#This Row],[GroupByKey]])*OutputTable[RecordedValue])),0)</f>
        <v>0.34356399197544252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7.597675013665138E-2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230" s="5" cm="1">
        <f t="array" ref="O230">MIN(IF((OutputTable[GroupByKey]=OutputTable[[#This Row],[GroupByKey]]),(OutputTable[GroupByKey]=OutputTable[[#This Row],[GroupByKey]])*OutputTable[RecordedValue]))</f>
        <v>0.20879044077011299</v>
      </c>
      <c r="P230" s="5" cm="1">
        <f t="array" ref="P230">MAX(IF((OutputTable[GroupByKey]=OutputTable[[#This Row],[GroupByKey]]),(OutputTable[GroupByKey]=OutputTable[[#This Row],[GroupByKey]])*OutputTable[RecordedValue]))</f>
        <v>0.53820629377380302</v>
      </c>
    </row>
    <row r="231" spans="1:16" x14ac:dyDescent="0.25">
      <c r="A231" t="s">
        <v>67</v>
      </c>
      <c r="B231" t="s">
        <v>69</v>
      </c>
      <c r="C231">
        <v>11</v>
      </c>
      <c r="D231" t="s">
        <v>170</v>
      </c>
      <c r="E231" t="s">
        <v>145</v>
      </c>
      <c r="F231" t="s">
        <v>72</v>
      </c>
      <c r="G231">
        <v>3</v>
      </c>
      <c r="H231">
        <v>0</v>
      </c>
      <c r="I231" s="5" t="str">
        <f>OutputTable[[#This Row],[ProjectName]]&amp;OutputTable[[#This Row],[Name]]&amp;OutputTable[[#This Row],[Type]]&amp;OutputTable[[#This Row],[Source]]</f>
        <v>Weekend (base)reloj.NumberInNumber InEntity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17</v>
      </c>
      <c r="K231" s="5" cm="1">
        <f t="array" ref="K231">IFERROR(AVERAGE(IF((OutputTable[GroupByKey]=OutputTable[[#This Row],[GroupByKey]]),(OutputTable[GroupByKey]=OutputTable[[#This Row],[GroupByKey]])*OutputTable[RecordedValue])),0)</f>
        <v>3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 cm="1">
        <f t="array" ref="O231">MIN(IF((OutputTable[GroupByKey]=OutputTable[[#This Row],[GroupByKey]]),(OutputTable[GroupByKey]=OutputTable[[#This Row],[GroupByKey]])*OutputTable[RecordedValue]))</f>
        <v>3</v>
      </c>
      <c r="P231" s="5" cm="1">
        <f t="array" ref="P231">MAX(IF((OutputTable[GroupByKey]=OutputTable[[#This Row],[GroupByKey]]),(OutputTable[GroupByKey]=OutputTable[[#This Row],[GroupByKey]])*OutputTable[RecordedValue]))</f>
        <v>3</v>
      </c>
    </row>
    <row r="232" spans="1:16" x14ac:dyDescent="0.25">
      <c r="A232" t="s">
        <v>67</v>
      </c>
      <c r="B232" t="s">
        <v>69</v>
      </c>
      <c r="C232">
        <v>11</v>
      </c>
      <c r="D232" t="s">
        <v>171</v>
      </c>
      <c r="E232" t="s">
        <v>147</v>
      </c>
      <c r="F232" t="s">
        <v>72</v>
      </c>
      <c r="G232">
        <v>3</v>
      </c>
      <c r="H232">
        <v>0</v>
      </c>
      <c r="I232" s="5" t="str">
        <f>OutputTable[[#This Row],[ProjectName]]&amp;OutputTable[[#This Row],[Name]]&amp;OutputTable[[#This Row],[Type]]&amp;OutputTable[[#This Row],[Source]]</f>
        <v>Weekend (base)reloj.NumberOutNumber OutEntity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17</v>
      </c>
      <c r="K232" s="5" cm="1">
        <f t="array" ref="K232">IFERROR(AVERAGE(IF((OutputTable[GroupByKey]=OutputTable[[#This Row],[GroupByKey]]),(OutputTable[GroupByKey]=OutputTable[[#This Row],[GroupByKey]])*OutputTable[RecordedValue])),0)</f>
        <v>3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" s="5" cm="1">
        <f t="array" ref="O232">MIN(IF((OutputTable[GroupByKey]=OutputTable[[#This Row],[GroupByKey]]),(OutputTable[GroupByKey]=OutputTable[[#This Row],[GroupByKey]])*OutputTable[RecordedValue]))</f>
        <v>3</v>
      </c>
      <c r="P232" s="5" cm="1">
        <f t="array" ref="P232">MAX(IF((OutputTable[GroupByKey]=OutputTable[[#This Row],[GroupByKey]]),(OutputTable[GroupByKey]=OutputTable[[#This Row],[GroupByKey]])*OutputTable[RecordedValue]))</f>
        <v>3</v>
      </c>
    </row>
    <row r="233" spans="1:16" x14ac:dyDescent="0.25">
      <c r="A233" t="s">
        <v>67</v>
      </c>
      <c r="B233" t="s">
        <v>69</v>
      </c>
      <c r="C233">
        <v>12</v>
      </c>
      <c r="D233" t="s">
        <v>144</v>
      </c>
      <c r="E233" t="s">
        <v>145</v>
      </c>
      <c r="F233" t="s">
        <v>72</v>
      </c>
      <c r="G233">
        <v>354</v>
      </c>
      <c r="H233">
        <v>0</v>
      </c>
      <c r="I233" s="5" t="str">
        <f>OutputTable[[#This Row],[ProjectName]]&amp;OutputTable[[#This Row],[Name]]&amp;OutputTable[[#This Row],[Type]]&amp;OutputTable[[#This Row],[Source]]</f>
        <v>Weekend (base)Cliente.NumberInNumber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17</v>
      </c>
      <c r="K233" s="5" cm="1">
        <f t="array" ref="K233">IFERROR(AVERAGE(IF((OutputTable[GroupByKey]=OutputTable[[#This Row],[GroupByKey]]),(OutputTable[GroupByKey]=OutputTable[[#This Row],[GroupByKey]])*OutputTable[RecordedValue])),0)</f>
        <v>354.11764705882354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19.776508643277939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233" s="5" cm="1">
        <f t="array" ref="O233">MIN(IF((OutputTable[GroupByKey]=OutputTable[[#This Row],[GroupByKey]]),(OutputTable[GroupByKey]=OutputTable[[#This Row],[GroupByKey]])*OutputTable[RecordedValue]))</f>
        <v>316</v>
      </c>
      <c r="P233" s="5" cm="1">
        <f t="array" ref="P233">MAX(IF((OutputTable[GroupByKey]=OutputTable[[#This Row],[GroupByKey]]),(OutputTable[GroupByKey]=OutputTable[[#This Row],[GroupByKey]])*OutputTable[RecordedValue]))</f>
        <v>387</v>
      </c>
    </row>
    <row r="234" spans="1:16" x14ac:dyDescent="0.25">
      <c r="A234" t="s">
        <v>67</v>
      </c>
      <c r="B234" t="s">
        <v>69</v>
      </c>
      <c r="C234">
        <v>12</v>
      </c>
      <c r="D234" t="s">
        <v>146</v>
      </c>
      <c r="E234" t="s">
        <v>147</v>
      </c>
      <c r="F234" t="s">
        <v>72</v>
      </c>
      <c r="G234">
        <v>362</v>
      </c>
      <c r="H234">
        <v>0</v>
      </c>
      <c r="I234" s="5" t="str">
        <f>OutputTable[[#This Row],[ProjectName]]&amp;OutputTable[[#This Row],[Name]]&amp;OutputTable[[#This Row],[Type]]&amp;OutputTable[[#This Row],[Source]]</f>
        <v>Weekend (base)Cliente.NumberOutNumber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17</v>
      </c>
      <c r="K234" s="5" cm="1">
        <f t="array" ref="K234">IFERROR(AVERAGE(IF((OutputTable[GroupByKey]=OutputTable[[#This Row],[GroupByKey]]),(OutputTable[GroupByKey]=OutputTable[[#This Row],[GroupByKey]])*OutputTable[RecordedValue])),0)</f>
        <v>354.88235294117646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20.951975900082719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234" s="5" cm="1">
        <f t="array" ref="O234">MIN(IF((OutputTable[GroupByKey]=OutputTable[[#This Row],[GroupByKey]]),(OutputTable[GroupByKey]=OutputTable[[#This Row],[GroupByKey]])*OutputTable[RecordedValue]))</f>
        <v>319</v>
      </c>
      <c r="P234" s="5" cm="1">
        <f t="array" ref="P234">MAX(IF((OutputTable[GroupByKey]=OutputTable[[#This Row],[GroupByKey]]),(OutputTable[GroupByKey]=OutputTable[[#This Row],[GroupByKey]])*OutputTable[RecordedValue]))</f>
        <v>391</v>
      </c>
    </row>
    <row r="235" spans="1:16" x14ac:dyDescent="0.25">
      <c r="A235" t="s">
        <v>67</v>
      </c>
      <c r="B235" t="s">
        <v>69</v>
      </c>
      <c r="C235">
        <v>12</v>
      </c>
      <c r="D235" t="s">
        <v>148</v>
      </c>
      <c r="E235" t="s">
        <v>149</v>
      </c>
      <c r="F235" t="s">
        <v>86</v>
      </c>
      <c r="G235">
        <v>225.161235126317</v>
      </c>
      <c r="H235">
        <v>0</v>
      </c>
      <c r="I235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17</v>
      </c>
      <c r="K235" s="5" cm="1">
        <f t="array" ref="K235">IFERROR(AVERAGE(IF((OutputTable[GroupByKey]=OutputTable[[#This Row],[GroupByKey]]),(OutputTable[GroupByKey]=OutputTable[[#This Row],[GroupByKey]])*OutputTable[RecordedValue])),0)</f>
        <v>308.63553444706355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57.365542312184125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235" s="5" cm="1">
        <f t="array" ref="O235">MIN(IF((OutputTable[GroupByKey]=OutputTable[[#This Row],[GroupByKey]]),(OutputTable[GroupByKey]=OutputTable[[#This Row],[GroupByKey]])*OutputTable[RecordedValue]))</f>
        <v>225.161235126317</v>
      </c>
      <c r="P235" s="5" cm="1">
        <f t="array" ref="P235">MAX(IF((OutputTable[GroupByKey]=OutputTable[[#This Row],[GroupByKey]]),(OutputTable[GroupByKey]=OutputTable[[#This Row],[GroupByKey]])*OutputTable[RecordedValue]))</f>
        <v>456.33427551718</v>
      </c>
    </row>
    <row r="236" spans="1:16" x14ac:dyDescent="0.25">
      <c r="A236" t="s">
        <v>67</v>
      </c>
      <c r="B236" t="s">
        <v>69</v>
      </c>
      <c r="C236">
        <v>12</v>
      </c>
      <c r="D236" t="s">
        <v>150</v>
      </c>
      <c r="E236" t="s">
        <v>151</v>
      </c>
      <c r="F236" t="s">
        <v>86</v>
      </c>
      <c r="G236">
        <v>0</v>
      </c>
      <c r="H236">
        <v>0</v>
      </c>
      <c r="I236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17</v>
      </c>
      <c r="K236" s="5" cm="1">
        <f t="array" ref="K236">IFERROR(AVERAGE(IF((OutputTable[GroupByKey]=OutputTable[[#This Row],[GroupByKey]]),(OutputTable[GroupByKey]=OutputTable[[#This Row],[GroupByKey]])*OutputTable[RecordedValue])),0)</f>
        <v>0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s="5" cm="1">
        <f t="array" ref="O236">MIN(IF((OutputTable[GroupByKey]=OutputTable[[#This Row],[GroupByKey]]),(OutputTable[GroupByKey]=OutputTable[[#This Row],[GroupByKey]])*OutputTable[RecordedValue]))</f>
        <v>0</v>
      </c>
      <c r="P236" s="5" cm="1">
        <f t="array" ref="P236">MAX(IF((OutputTable[GroupByKey]=OutputTable[[#This Row],[GroupByKey]]),(OutputTable[GroupByKey]=OutputTable[[#This Row],[GroupByKey]])*OutputTable[RecordedValue]))</f>
        <v>0</v>
      </c>
    </row>
    <row r="237" spans="1:16" x14ac:dyDescent="0.25">
      <c r="A237" t="s">
        <v>67</v>
      </c>
      <c r="B237" t="s">
        <v>69</v>
      </c>
      <c r="C237">
        <v>12</v>
      </c>
      <c r="D237" t="s">
        <v>152</v>
      </c>
      <c r="E237" t="s">
        <v>145</v>
      </c>
      <c r="F237" t="s">
        <v>86</v>
      </c>
      <c r="G237">
        <v>13</v>
      </c>
      <c r="H237">
        <v>0</v>
      </c>
      <c r="I237" s="5" t="str">
        <f>OutputTable[[#This Row],[ProjectName]]&amp;OutputTable[[#This Row],[Name]]&amp;OutputTable[[#This Row],[Type]]&amp;OutputTable[[#This Row],[Source]]</f>
        <v>Weekend (base)Comer en Mesa Number InNumber InProcess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17</v>
      </c>
      <c r="K237" s="5" cm="1">
        <f t="array" ref="K237">IFERROR(AVERAGE(IF((OutputTable[GroupByKey]=OutputTable[[#This Row],[GroupByKey]]),(OutputTable[GroupByKey]=OutputTable[[#This Row],[GroupByKey]])*OutputTable[RecordedValue])),0)</f>
        <v>16.941176470588236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3.0097879542273018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37" s="5" cm="1">
        <f t="array" ref="O237">MIN(IF((OutputTable[GroupByKey]=OutputTable[[#This Row],[GroupByKey]]),(OutputTable[GroupByKey]=OutputTable[[#This Row],[GroupByKey]])*OutputTable[RecordedValue]))</f>
        <v>12</v>
      </c>
      <c r="P237" s="5" cm="1">
        <f t="array" ref="P237">MAX(IF((OutputTable[GroupByKey]=OutputTable[[#This Row],[GroupByKey]]),(OutputTable[GroupByKey]=OutputTable[[#This Row],[GroupByKey]])*OutputTable[RecordedValue]))</f>
        <v>22</v>
      </c>
    </row>
    <row r="238" spans="1:16" x14ac:dyDescent="0.25">
      <c r="A238" t="s">
        <v>67</v>
      </c>
      <c r="B238" t="s">
        <v>69</v>
      </c>
      <c r="C238">
        <v>12</v>
      </c>
      <c r="D238" t="s">
        <v>153</v>
      </c>
      <c r="E238" t="s">
        <v>147</v>
      </c>
      <c r="F238" t="s">
        <v>86</v>
      </c>
      <c r="G238">
        <v>15</v>
      </c>
      <c r="H238">
        <v>0</v>
      </c>
      <c r="I238" s="5" t="str">
        <f>OutputTable[[#This Row],[ProjectName]]&amp;OutputTable[[#This Row],[Name]]&amp;OutputTable[[#This Row],[Type]]&amp;OutputTable[[#This Row],[Source]]</f>
        <v>Weekend (base)Comer en Mesa Number OutNumber OutProcess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17</v>
      </c>
      <c r="K238" s="5" cm="1">
        <f t="array" ref="K238">IFERROR(AVERAGE(IF((OutputTable[GroupByKey]=OutputTable[[#This Row],[GroupByKey]]),(OutputTable[GroupByKey]=OutputTable[[#This Row],[GroupByKey]])*OutputTable[RecordedValue])),0)</f>
        <v>16.764705882352942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1.8550408272025261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238" s="5" cm="1">
        <f t="array" ref="O238">MIN(IF((OutputTable[GroupByKey]=OutputTable[[#This Row],[GroupByKey]]),(OutputTable[GroupByKey]=OutputTable[[#This Row],[GroupByKey]])*OutputTable[RecordedValue]))</f>
        <v>13</v>
      </c>
      <c r="P238" s="5" cm="1">
        <f t="array" ref="P238">MAX(IF((OutputTable[GroupByKey]=OutputTable[[#This Row],[GroupByKey]]),(OutputTable[GroupByKey]=OutputTable[[#This Row],[GroupByKey]])*OutputTable[RecordedValue]))</f>
        <v>20</v>
      </c>
    </row>
    <row r="239" spans="1:16" x14ac:dyDescent="0.25">
      <c r="A239" t="s">
        <v>67</v>
      </c>
      <c r="B239" t="s">
        <v>69</v>
      </c>
      <c r="C239">
        <v>12</v>
      </c>
      <c r="D239" t="s">
        <v>154</v>
      </c>
      <c r="E239" t="s">
        <v>145</v>
      </c>
      <c r="F239" t="s">
        <v>72</v>
      </c>
      <c r="G239">
        <v>118</v>
      </c>
      <c r="H239">
        <v>0</v>
      </c>
      <c r="I239" s="5" t="str">
        <f>OutputTable[[#This Row],[ProjectName]]&amp;OutputTable[[#This Row],[Name]]&amp;OutputTable[[#This Row],[Type]]&amp;OutputTable[[#This Row],[Source]]</f>
        <v>Weekend (base)Orden.NumberInNumber InEntity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17</v>
      </c>
      <c r="K239" s="5" cm="1">
        <f t="array" ref="K239">IFERROR(AVERAGE(IF((OutputTable[GroupByKey]=OutputTable[[#This Row],[GroupByKey]]),(OutputTable[GroupByKey]=OutputTable[[#This Row],[GroupByKey]])*OutputTable[RecordedValue])),0)</f>
        <v>117.35294117647059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7.1496606254299602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39" s="5" cm="1">
        <f t="array" ref="O239">MIN(IF((OutputTable[GroupByKey]=OutputTable[[#This Row],[GroupByKey]]),(OutputTable[GroupByKey]=OutputTable[[#This Row],[GroupByKey]])*OutputTable[RecordedValue]))</f>
        <v>105</v>
      </c>
      <c r="P239" s="5" cm="1">
        <f t="array" ref="P239">MAX(IF((OutputTable[GroupByKey]=OutputTable[[#This Row],[GroupByKey]]),(OutputTable[GroupByKey]=OutputTable[[#This Row],[GroupByKey]])*OutputTable[RecordedValue]))</f>
        <v>131</v>
      </c>
    </row>
    <row r="240" spans="1:16" x14ac:dyDescent="0.25">
      <c r="A240" t="s">
        <v>67</v>
      </c>
      <c r="B240" t="s">
        <v>69</v>
      </c>
      <c r="C240">
        <v>12</v>
      </c>
      <c r="D240" t="s">
        <v>155</v>
      </c>
      <c r="E240" t="s">
        <v>147</v>
      </c>
      <c r="F240" t="s">
        <v>72</v>
      </c>
      <c r="G240">
        <v>122</v>
      </c>
      <c r="H240">
        <v>0</v>
      </c>
      <c r="I240" s="5" t="str">
        <f>OutputTable[[#This Row],[ProjectName]]&amp;OutputTable[[#This Row],[Name]]&amp;OutputTable[[#This Row],[Type]]&amp;OutputTable[[#This Row],[Source]]</f>
        <v>Weekend (base)Orden.NumberOutNumber OutEntity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17</v>
      </c>
      <c r="K240" s="5" cm="1">
        <f t="array" ref="K240">IFERROR(AVERAGE(IF((OutputTable[GroupByKey]=OutputTable[[#This Row],[GroupByKey]]),(OutputTable[GroupByKey]=OutputTable[[#This Row],[GroupByKey]])*OutputTable[RecordedValue])),0)</f>
        <v>118.76470588235294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7.0580575564802697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40" s="5" cm="1">
        <f t="array" ref="O240">MIN(IF((OutputTable[GroupByKey]=OutputTable[[#This Row],[GroupByKey]]),(OutputTable[GroupByKey]=OutputTable[[#This Row],[GroupByKey]])*OutputTable[RecordedValue]))</f>
        <v>107</v>
      </c>
      <c r="P240" s="5" cm="1">
        <f t="array" ref="P240">MAX(IF((OutputTable[GroupByKey]=OutputTable[[#This Row],[GroupByKey]]),(OutputTable[GroupByKey]=OutputTable[[#This Row],[GroupByKey]])*OutputTable[RecordedValue]))</f>
        <v>130</v>
      </c>
    </row>
    <row r="241" spans="1:16" x14ac:dyDescent="0.25">
      <c r="A241" t="s">
        <v>67</v>
      </c>
      <c r="B241" t="s">
        <v>69</v>
      </c>
      <c r="C241">
        <v>12</v>
      </c>
      <c r="D241" t="s">
        <v>156</v>
      </c>
      <c r="E241" t="s">
        <v>149</v>
      </c>
      <c r="F241" t="s">
        <v>86</v>
      </c>
      <c r="G241">
        <v>199.09153354357699</v>
      </c>
      <c r="H241">
        <v>0</v>
      </c>
      <c r="I241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17</v>
      </c>
      <c r="K241" s="5" cm="1">
        <f t="array" ref="K241">IFERROR(AVERAGE(IF((OutputTable[GroupByKey]=OutputTable[[#This Row],[GroupByKey]]),(OutputTable[GroupByKey]=OutputTable[[#This Row],[GroupByKey]])*OutputTable[RecordedValue])),0)</f>
        <v>191.25148078330704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16.886201618463961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241" s="5" cm="1">
        <f t="array" ref="O241">MIN(IF((OutputTable[GroupByKey]=OutputTable[[#This Row],[GroupByKey]]),(OutputTable[GroupByKey]=OutputTable[[#This Row],[GroupByKey]])*OutputTable[RecordedValue]))</f>
        <v>159.38722481493599</v>
      </c>
      <c r="P241" s="5" cm="1">
        <f t="array" ref="P241">MAX(IF((OutputTable[GroupByKey]=OutputTable[[#This Row],[GroupByKey]]),(OutputTable[GroupByKey]=OutputTable[[#This Row],[GroupByKey]])*OutputTable[RecordedValue]))</f>
        <v>225.02992874035499</v>
      </c>
    </row>
    <row r="242" spans="1:16" x14ac:dyDescent="0.25">
      <c r="A242" t="s">
        <v>67</v>
      </c>
      <c r="B242" t="s">
        <v>69</v>
      </c>
      <c r="C242">
        <v>12</v>
      </c>
      <c r="D242" t="s">
        <v>157</v>
      </c>
      <c r="E242" t="s">
        <v>151</v>
      </c>
      <c r="F242" t="s">
        <v>86</v>
      </c>
      <c r="G242">
        <v>169.115366107314</v>
      </c>
      <c r="H242">
        <v>0</v>
      </c>
      <c r="I242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17</v>
      </c>
      <c r="K242" s="5" cm="1">
        <f t="array" ref="K242">IFERROR(AVERAGE(IF((OutputTable[GroupByKey]=OutputTable[[#This Row],[GroupByKey]]),(OutputTable[GroupByKey]=OutputTable[[#This Row],[GroupByKey]])*OutputTable[RecordedValue])),0)</f>
        <v>133.66503743442436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79.508986996493206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242" s="5" cm="1">
        <f t="array" ref="O242">MIN(IF((OutputTable[GroupByKey]=OutputTable[[#This Row],[GroupByKey]]),(OutputTable[GroupByKey]=OutputTable[[#This Row],[GroupByKey]])*OutputTable[RecordedValue]))</f>
        <v>36.437518321990602</v>
      </c>
      <c r="P242" s="5" cm="1">
        <f t="array" ref="P242">MAX(IF((OutputTable[GroupByKey]=OutputTable[[#This Row],[GroupByKey]]),(OutputTable[GroupByKey]=OutputTable[[#This Row],[GroupByKey]])*OutputTable[RecordedValue]))</f>
        <v>324.91710015892198</v>
      </c>
    </row>
    <row r="243" spans="1:16" x14ac:dyDescent="0.25">
      <c r="A243" t="s">
        <v>67</v>
      </c>
      <c r="B243" t="s">
        <v>69</v>
      </c>
      <c r="C243">
        <v>12</v>
      </c>
      <c r="D243" t="s">
        <v>158</v>
      </c>
      <c r="E243" t="s">
        <v>145</v>
      </c>
      <c r="F243" t="s">
        <v>86</v>
      </c>
      <c r="G243">
        <v>118</v>
      </c>
      <c r="H243">
        <v>0</v>
      </c>
      <c r="I243" s="5" t="str">
        <f>OutputTable[[#This Row],[ProjectName]]&amp;OutputTable[[#This Row],[Name]]&amp;OutputTable[[#This Row],[Type]]&amp;OutputTable[[#This Row],[Source]]</f>
        <v>Weekend (base)Preparacion Number InNumber InProcess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17</v>
      </c>
      <c r="K243" s="5" cm="1">
        <f t="array" ref="K243">IFERROR(AVERAGE(IF((OutputTable[GroupByKey]=OutputTable[[#This Row],[GroupByKey]]),(OutputTable[GroupByKey]=OutputTable[[#This Row],[GroupByKey]])*OutputTable[RecordedValue])),0)</f>
        <v>117.35294117647059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7.1496606254299602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43" s="5" cm="1">
        <f t="array" ref="O243">MIN(IF((OutputTable[GroupByKey]=OutputTable[[#This Row],[GroupByKey]]),(OutputTable[GroupByKey]=OutputTable[[#This Row],[GroupByKey]])*OutputTable[RecordedValue]))</f>
        <v>105</v>
      </c>
      <c r="P243" s="5" cm="1">
        <f t="array" ref="P243">MAX(IF((OutputTable[GroupByKey]=OutputTable[[#This Row],[GroupByKey]]),(OutputTable[GroupByKey]=OutputTable[[#This Row],[GroupByKey]])*OutputTable[RecordedValue]))</f>
        <v>131</v>
      </c>
    </row>
    <row r="244" spans="1:16" x14ac:dyDescent="0.25">
      <c r="A244" t="s">
        <v>67</v>
      </c>
      <c r="B244" t="s">
        <v>69</v>
      </c>
      <c r="C244">
        <v>12</v>
      </c>
      <c r="D244" t="s">
        <v>159</v>
      </c>
      <c r="E244" t="s">
        <v>147</v>
      </c>
      <c r="F244" t="s">
        <v>86</v>
      </c>
      <c r="G244">
        <v>120</v>
      </c>
      <c r="H244">
        <v>0</v>
      </c>
      <c r="I244" s="5" t="str">
        <f>OutputTable[[#This Row],[ProjectName]]&amp;OutputTable[[#This Row],[Name]]&amp;OutputTable[[#This Row],[Type]]&amp;OutputTable[[#This Row],[Source]]</f>
        <v>Weekend (base)Preparacion Number OutNumber OutProcess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17</v>
      </c>
      <c r="K244" s="5" cm="1">
        <f t="array" ref="K244">IFERROR(AVERAGE(IF((OutputTable[GroupByKey]=OutputTable[[#This Row],[GroupByKey]]),(OutputTable[GroupByKey]=OutputTable[[#This Row],[GroupByKey]])*OutputTable[RecordedValue])),0)</f>
        <v>118.82352941176471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6.9931689358048459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244" s="5" cm="1">
        <f t="array" ref="O244">MIN(IF((OutputTable[GroupByKey]=OutputTable[[#This Row],[GroupByKey]]),(OutputTable[GroupByKey]=OutputTable[[#This Row],[GroupByKey]])*OutputTable[RecordedValue]))</f>
        <v>108</v>
      </c>
      <c r="P244" s="5" cm="1">
        <f t="array" ref="P244">MAX(IF((OutputTable[GroupByKey]=OutputTable[[#This Row],[GroupByKey]]),(OutputTable[GroupByKey]=OutputTable[[#This Row],[GroupByKey]])*OutputTable[RecordedValue]))</f>
        <v>132</v>
      </c>
    </row>
    <row r="245" spans="1:16" x14ac:dyDescent="0.25">
      <c r="A245" t="s">
        <v>67</v>
      </c>
      <c r="B245" t="s">
        <v>69</v>
      </c>
      <c r="C245">
        <v>12</v>
      </c>
      <c r="D245" t="s">
        <v>160</v>
      </c>
      <c r="E245" t="s">
        <v>147</v>
      </c>
      <c r="F245" t="s">
        <v>161</v>
      </c>
      <c r="G245">
        <v>125</v>
      </c>
      <c r="H245">
        <v>0</v>
      </c>
      <c r="I245" s="5" t="str">
        <f>OutputTable[[#This Row],[ProjectName]]&amp;OutputTable[[#This Row],[Name]]&amp;OutputTable[[#This Row],[Type]]&amp;OutputTable[[#This Row],[Source]]</f>
        <v>Weekend (base)System.NumberOutNumber OutSystem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17</v>
      </c>
      <c r="K245" s="5" cm="1">
        <f t="array" ref="K245">IFERROR(AVERAGE(IF((OutputTable[GroupByKey]=OutputTable[[#This Row],[GroupByKey]]),(OutputTable[GroupByKey]=OutputTable[[#This Row],[GroupByKey]])*OutputTable[RecordedValue])),0)</f>
        <v>121.76470588235294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7.0580575564802697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45" s="5" cm="1">
        <f t="array" ref="O245">MIN(IF((OutputTable[GroupByKey]=OutputTable[[#This Row],[GroupByKey]]),(OutputTable[GroupByKey]=OutputTable[[#This Row],[GroupByKey]])*OutputTable[RecordedValue]))</f>
        <v>110</v>
      </c>
      <c r="P245" s="5" cm="1">
        <f t="array" ref="P245">MAX(IF((OutputTable[GroupByKey]=OutputTable[[#This Row],[GroupByKey]]),(OutputTable[GroupByKey]=OutputTable[[#This Row],[GroupByKey]])*OutputTable[RecordedValue]))</f>
        <v>133</v>
      </c>
    </row>
    <row r="246" spans="1:16" x14ac:dyDescent="0.25">
      <c r="A246" t="s">
        <v>67</v>
      </c>
      <c r="B246" t="s">
        <v>69</v>
      </c>
      <c r="C246">
        <v>12</v>
      </c>
      <c r="D246" t="s">
        <v>162</v>
      </c>
      <c r="E246" t="s">
        <v>163</v>
      </c>
      <c r="F246" t="s">
        <v>136</v>
      </c>
      <c r="G246">
        <v>169</v>
      </c>
      <c r="H246">
        <v>0</v>
      </c>
      <c r="I246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17</v>
      </c>
      <c r="K246" s="5" cm="1">
        <f t="array" ref="K246">IFERROR(AVERAGE(IF((OutputTable[GroupByKey]=OutputTable[[#This Row],[GroupByKey]]),(OutputTable[GroupByKey]=OutputTable[[#This Row],[GroupByKey]])*OutputTable[RecordedValue])),0)</f>
        <v>162.1764705882353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10.100960932738323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246" s="5" cm="1">
        <f t="array" ref="O246">MIN(IF((OutputTable[GroupByKey]=OutputTable[[#This Row],[GroupByKey]]),(OutputTable[GroupByKey]=OutputTable[[#This Row],[GroupByKey]])*OutputTable[RecordedValue]))</f>
        <v>147</v>
      </c>
      <c r="P246" s="5" cm="1">
        <f t="array" ref="P246">MAX(IF((OutputTable[GroupByKey]=OutputTable[[#This Row],[GroupByKey]]),(OutputTable[GroupByKey]=OutputTable[[#This Row],[GroupByKey]])*OutputTable[RecordedValue]))</f>
        <v>183</v>
      </c>
    </row>
    <row r="247" spans="1:16" x14ac:dyDescent="0.25">
      <c r="A247" t="s">
        <v>67</v>
      </c>
      <c r="B247" t="s">
        <v>69</v>
      </c>
      <c r="C247">
        <v>12</v>
      </c>
      <c r="D247" t="s">
        <v>164</v>
      </c>
      <c r="E247" t="s">
        <v>165</v>
      </c>
      <c r="F247" t="s">
        <v>136</v>
      </c>
      <c r="G247">
        <v>0.81573225758243195</v>
      </c>
      <c r="H247">
        <v>0</v>
      </c>
      <c r="I247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17</v>
      </c>
      <c r="K247" s="5" cm="1">
        <f t="array" ref="K247">IFERROR(AVERAGE(IF((OutputTable[GroupByKey]=OutputTable[[#This Row],[GroupByKey]]),(OutputTable[GroupByKey]=OutputTable[[#This Row],[GroupByKey]])*OutputTable[RecordedValue])),0)</f>
        <v>0.82034721885470152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6.5495768324500853E-2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247" s="5" cm="1">
        <f t="array" ref="O247">MIN(IF((OutputTable[GroupByKey]=OutputTable[[#This Row],[GroupByKey]]),(OutputTable[GroupByKey]=OutputTable[[#This Row],[GroupByKey]])*OutputTable[RecordedValue]))</f>
        <v>0.73534383204610498</v>
      </c>
      <c r="P247" s="5" cm="1">
        <f t="array" ref="P247">MAX(IF((OutputTable[GroupByKey]=OutputTable[[#This Row],[GroupByKey]]),(OutputTable[GroupByKey]=OutputTable[[#This Row],[GroupByKey]])*OutputTable[RecordedValue]))</f>
        <v>0.95888680213271504</v>
      </c>
    </row>
    <row r="248" spans="1:16" x14ac:dyDescent="0.25">
      <c r="A248" t="s">
        <v>67</v>
      </c>
      <c r="B248" t="s">
        <v>69</v>
      </c>
      <c r="C248">
        <v>12</v>
      </c>
      <c r="D248" t="s">
        <v>166</v>
      </c>
      <c r="E248" t="s">
        <v>163</v>
      </c>
      <c r="F248" t="s">
        <v>136</v>
      </c>
      <c r="G248">
        <v>68</v>
      </c>
      <c r="H248">
        <v>0</v>
      </c>
      <c r="I248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17</v>
      </c>
      <c r="K248" s="5" cm="1">
        <f t="array" ref="K248">IFERROR(AVERAGE(IF((OutputTable[GroupByKey]=OutputTable[[#This Row],[GroupByKey]]),(OutputTable[GroupByKey]=OutputTable[[#This Row],[GroupByKey]])*OutputTable[RecordedValue])),0)</f>
        <v>73.764705882352942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6.2302629535669061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248" s="5" cm="1">
        <f t="array" ref="O248">MIN(IF((OutputTable[GroupByKey]=OutputTable[[#This Row],[GroupByKey]]),(OutputTable[GroupByKey]=OutputTable[[#This Row],[GroupByKey]])*OutputTable[RecordedValue]))</f>
        <v>60</v>
      </c>
      <c r="P248" s="5" cm="1">
        <f t="array" ref="P248">MAX(IF((OutputTable[GroupByKey]=OutputTable[[#This Row],[GroupByKey]]),(OutputTable[GroupByKey]=OutputTable[[#This Row],[GroupByKey]])*OutputTable[RecordedValue]))</f>
        <v>84</v>
      </c>
    </row>
    <row r="249" spans="1:16" x14ac:dyDescent="0.25">
      <c r="A249" t="s">
        <v>67</v>
      </c>
      <c r="B249" t="s">
        <v>69</v>
      </c>
      <c r="C249">
        <v>12</v>
      </c>
      <c r="D249" t="s">
        <v>167</v>
      </c>
      <c r="E249" t="s">
        <v>165</v>
      </c>
      <c r="F249" t="s">
        <v>136</v>
      </c>
      <c r="G249">
        <v>0.67381025310460296</v>
      </c>
      <c r="H249">
        <v>0</v>
      </c>
      <c r="I249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17</v>
      </c>
      <c r="K249" s="5" cm="1">
        <f t="array" ref="K249">IFERROR(AVERAGE(IF((OutputTable[GroupByKey]=OutputTable[[#This Row],[GroupByKey]]),(OutputTable[GroupByKey]=OutputTable[[#This Row],[GroupByKey]])*OutputTable[RecordedValue])),0)</f>
        <v>0.66010861965703893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6.6171154002911237E-2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249" s="5" cm="1">
        <f t="array" ref="O249">MIN(IF((OutputTable[GroupByKey]=OutputTable[[#This Row],[GroupByKey]]),(OutputTable[GroupByKey]=OutputTable[[#This Row],[GroupByKey]])*OutputTable[RecordedValue]))</f>
        <v>0.52223972091576099</v>
      </c>
      <c r="P249" s="5" cm="1">
        <f t="array" ref="P249">MAX(IF((OutputTable[GroupByKey]=OutputTable[[#This Row],[GroupByKey]]),(OutputTable[GroupByKey]=OutputTable[[#This Row],[GroupByKey]])*OutputTable[RecordedValue]))</f>
        <v>0.77852312806092006</v>
      </c>
    </row>
    <row r="250" spans="1:16" x14ac:dyDescent="0.25">
      <c r="A250" t="s">
        <v>67</v>
      </c>
      <c r="B250" t="s">
        <v>69</v>
      </c>
      <c r="C250">
        <v>12</v>
      </c>
      <c r="D250" t="s">
        <v>168</v>
      </c>
      <c r="E250" t="s">
        <v>163</v>
      </c>
      <c r="F250" t="s">
        <v>136</v>
      </c>
      <c r="G250">
        <v>13</v>
      </c>
      <c r="H250">
        <v>0</v>
      </c>
      <c r="I250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17</v>
      </c>
      <c r="K250" s="5" cm="1">
        <f t="array" ref="K250">IFERROR(AVERAGE(IF((OutputTable[GroupByKey]=OutputTable[[#This Row],[GroupByKey]]),(OutputTable[GroupByKey]=OutputTable[[#This Row],[GroupByKey]])*OutputTable[RecordedValue])),0)</f>
        <v>16.941176470588236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3.0097879542273018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50" s="5" cm="1">
        <f t="array" ref="O250">MIN(IF((OutputTable[GroupByKey]=OutputTable[[#This Row],[GroupByKey]]),(OutputTable[GroupByKey]=OutputTable[[#This Row],[GroupByKey]])*OutputTable[RecordedValue]))</f>
        <v>12</v>
      </c>
      <c r="P250" s="5" cm="1">
        <f t="array" ref="P250">MAX(IF((OutputTable[GroupByKey]=OutputTable[[#This Row],[GroupByKey]]),(OutputTable[GroupByKey]=OutputTable[[#This Row],[GroupByKey]])*OutputTable[RecordedValue]))</f>
        <v>22</v>
      </c>
    </row>
    <row r="251" spans="1:16" x14ac:dyDescent="0.25">
      <c r="A251" t="s">
        <v>67</v>
      </c>
      <c r="B251" t="s">
        <v>69</v>
      </c>
      <c r="C251">
        <v>12</v>
      </c>
      <c r="D251" t="s">
        <v>169</v>
      </c>
      <c r="E251" t="s">
        <v>165</v>
      </c>
      <c r="F251" t="s">
        <v>136</v>
      </c>
      <c r="G251">
        <v>0.20879044077011299</v>
      </c>
      <c r="H251">
        <v>0</v>
      </c>
      <c r="I251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17</v>
      </c>
      <c r="K251" s="5" cm="1">
        <f t="array" ref="K251">IFERROR(AVERAGE(IF((OutputTable[GroupByKey]=OutputTable[[#This Row],[GroupByKey]]),(OutputTable[GroupByKey]=OutputTable[[#This Row],[GroupByKey]])*OutputTable[RecordedValue])),0)</f>
        <v>0.34356399197544252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7.597675013665138E-2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251" s="5" cm="1">
        <f t="array" ref="O251">MIN(IF((OutputTable[GroupByKey]=OutputTable[[#This Row],[GroupByKey]]),(OutputTable[GroupByKey]=OutputTable[[#This Row],[GroupByKey]])*OutputTable[RecordedValue]))</f>
        <v>0.20879044077011299</v>
      </c>
      <c r="P251" s="5" cm="1">
        <f t="array" ref="P251">MAX(IF((OutputTable[GroupByKey]=OutputTable[[#This Row],[GroupByKey]]),(OutputTable[GroupByKey]=OutputTable[[#This Row],[GroupByKey]])*OutputTable[RecordedValue]))</f>
        <v>0.53820629377380302</v>
      </c>
    </row>
    <row r="252" spans="1:16" x14ac:dyDescent="0.25">
      <c r="A252" t="s">
        <v>67</v>
      </c>
      <c r="B252" t="s">
        <v>69</v>
      </c>
      <c r="C252">
        <v>12</v>
      </c>
      <c r="D252" t="s">
        <v>170</v>
      </c>
      <c r="E252" t="s">
        <v>145</v>
      </c>
      <c r="F252" t="s">
        <v>72</v>
      </c>
      <c r="G252">
        <v>3</v>
      </c>
      <c r="H252">
        <v>0</v>
      </c>
      <c r="I252" s="5" t="str">
        <f>OutputTable[[#This Row],[ProjectName]]&amp;OutputTable[[#This Row],[Name]]&amp;OutputTable[[#This Row],[Type]]&amp;OutputTable[[#This Row],[Source]]</f>
        <v>Weekend (base)reloj.NumberInNumber InEntity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17</v>
      </c>
      <c r="K252" s="5" cm="1">
        <f t="array" ref="K252">IFERROR(AVERAGE(IF((OutputTable[GroupByKey]=OutputTable[[#This Row],[GroupByKey]]),(OutputTable[GroupByKey]=OutputTable[[#This Row],[GroupByKey]])*OutputTable[RecordedValue])),0)</f>
        <v>3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0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" s="5" cm="1">
        <f t="array" ref="O252">MIN(IF((OutputTable[GroupByKey]=OutputTable[[#This Row],[GroupByKey]]),(OutputTable[GroupByKey]=OutputTable[[#This Row],[GroupByKey]])*OutputTable[RecordedValue]))</f>
        <v>3</v>
      </c>
      <c r="P252" s="5" cm="1">
        <f t="array" ref="P252">MAX(IF((OutputTable[GroupByKey]=OutputTable[[#This Row],[GroupByKey]]),(OutputTable[GroupByKey]=OutputTable[[#This Row],[GroupByKey]])*OutputTable[RecordedValue]))</f>
        <v>3</v>
      </c>
    </row>
    <row r="253" spans="1:16" x14ac:dyDescent="0.25">
      <c r="A253" t="s">
        <v>67</v>
      </c>
      <c r="B253" t="s">
        <v>69</v>
      </c>
      <c r="C253">
        <v>12</v>
      </c>
      <c r="D253" t="s">
        <v>171</v>
      </c>
      <c r="E253" t="s">
        <v>147</v>
      </c>
      <c r="F253" t="s">
        <v>72</v>
      </c>
      <c r="G253">
        <v>3</v>
      </c>
      <c r="H253">
        <v>0</v>
      </c>
      <c r="I253" s="5" t="str">
        <f>OutputTable[[#This Row],[ProjectName]]&amp;OutputTable[[#This Row],[Name]]&amp;OutputTable[[#This Row],[Type]]&amp;OutputTable[[#This Row],[Source]]</f>
        <v>Weekend (base)reloj.NumberOutNumber OutEntity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17</v>
      </c>
      <c r="K253" s="5" cm="1">
        <f t="array" ref="K253">IFERROR(AVERAGE(IF((OutputTable[GroupByKey]=OutputTable[[#This Row],[GroupByKey]]),(OutputTable[GroupByKey]=OutputTable[[#This Row],[GroupByKey]])*OutputTable[RecordedValue])),0)</f>
        <v>3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0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s="5" cm="1">
        <f t="array" ref="O253">MIN(IF((OutputTable[GroupByKey]=OutputTable[[#This Row],[GroupByKey]]),(OutputTable[GroupByKey]=OutputTable[[#This Row],[GroupByKey]])*OutputTable[RecordedValue]))</f>
        <v>3</v>
      </c>
      <c r="P253" s="5" cm="1">
        <f t="array" ref="P253">MAX(IF((OutputTable[GroupByKey]=OutputTable[[#This Row],[GroupByKey]]),(OutputTable[GroupByKey]=OutputTable[[#This Row],[GroupByKey]])*OutputTable[RecordedValue]))</f>
        <v>3</v>
      </c>
    </row>
    <row r="254" spans="1:16" x14ac:dyDescent="0.25">
      <c r="A254" t="s">
        <v>67</v>
      </c>
      <c r="B254" t="s">
        <v>69</v>
      </c>
      <c r="C254">
        <v>13</v>
      </c>
      <c r="D254" t="s">
        <v>144</v>
      </c>
      <c r="E254" t="s">
        <v>145</v>
      </c>
      <c r="F254" t="s">
        <v>72</v>
      </c>
      <c r="G254">
        <v>342</v>
      </c>
      <c r="H254">
        <v>0</v>
      </c>
      <c r="I254" s="5" t="str">
        <f>OutputTable[[#This Row],[ProjectName]]&amp;OutputTable[[#This Row],[Name]]&amp;OutputTable[[#This Row],[Type]]&amp;OutputTable[[#This Row],[Source]]</f>
        <v>Weekend (base)Cliente.NumberInNumber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17</v>
      </c>
      <c r="K254" s="5" cm="1">
        <f t="array" ref="K254">IFERROR(AVERAGE(IF((OutputTable[GroupByKey]=OutputTable[[#This Row],[GroupByKey]]),(OutputTable[GroupByKey]=OutputTable[[#This Row],[GroupByKey]])*OutputTable[RecordedValue])),0)</f>
        <v>354.11764705882354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19.776508643277939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254" s="5" cm="1">
        <f t="array" ref="O254">MIN(IF((OutputTable[GroupByKey]=OutputTable[[#This Row],[GroupByKey]]),(OutputTable[GroupByKey]=OutputTable[[#This Row],[GroupByKey]])*OutputTable[RecordedValue]))</f>
        <v>316</v>
      </c>
      <c r="P254" s="5" cm="1">
        <f t="array" ref="P254">MAX(IF((OutputTable[GroupByKey]=OutputTable[[#This Row],[GroupByKey]]),(OutputTable[GroupByKey]=OutputTable[[#This Row],[GroupByKey]])*OutputTable[RecordedValue]))</f>
        <v>387</v>
      </c>
    </row>
    <row r="255" spans="1:16" x14ac:dyDescent="0.25">
      <c r="A255" t="s">
        <v>67</v>
      </c>
      <c r="B255" t="s">
        <v>69</v>
      </c>
      <c r="C255">
        <v>13</v>
      </c>
      <c r="D255" t="s">
        <v>146</v>
      </c>
      <c r="E255" t="s">
        <v>147</v>
      </c>
      <c r="F255" t="s">
        <v>72</v>
      </c>
      <c r="G255">
        <v>336</v>
      </c>
      <c r="H255">
        <v>0</v>
      </c>
      <c r="I255" s="5" t="str">
        <f>OutputTable[[#This Row],[ProjectName]]&amp;OutputTable[[#This Row],[Name]]&amp;OutputTable[[#This Row],[Type]]&amp;OutputTable[[#This Row],[Source]]</f>
        <v>Weekend (base)Cliente.NumberOutNumber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17</v>
      </c>
      <c r="K255" s="5" cm="1">
        <f t="array" ref="K255">IFERROR(AVERAGE(IF((OutputTable[GroupByKey]=OutputTable[[#This Row],[GroupByKey]]),(OutputTable[GroupByKey]=OutputTable[[#This Row],[GroupByKey]])*OutputTable[RecordedValue])),0)</f>
        <v>354.88235294117646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20.951975900082719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255" s="5" cm="1">
        <f t="array" ref="O255">MIN(IF((OutputTable[GroupByKey]=OutputTable[[#This Row],[GroupByKey]]),(OutputTable[GroupByKey]=OutputTable[[#This Row],[GroupByKey]])*OutputTable[RecordedValue]))</f>
        <v>319</v>
      </c>
      <c r="P255" s="5" cm="1">
        <f t="array" ref="P255">MAX(IF((OutputTable[GroupByKey]=OutputTable[[#This Row],[GroupByKey]]),(OutputTable[GroupByKey]=OutputTable[[#This Row],[GroupByKey]])*OutputTable[RecordedValue]))</f>
        <v>391</v>
      </c>
    </row>
    <row r="256" spans="1:16" x14ac:dyDescent="0.25">
      <c r="A256" t="s">
        <v>67</v>
      </c>
      <c r="B256" t="s">
        <v>69</v>
      </c>
      <c r="C256">
        <v>13</v>
      </c>
      <c r="D256" t="s">
        <v>148</v>
      </c>
      <c r="E256" t="s">
        <v>149</v>
      </c>
      <c r="F256" t="s">
        <v>86</v>
      </c>
      <c r="G256">
        <v>312.94215644044903</v>
      </c>
      <c r="H256">
        <v>0</v>
      </c>
      <c r="I256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17</v>
      </c>
      <c r="K256" s="5" cm="1">
        <f t="array" ref="K256">IFERROR(AVERAGE(IF((OutputTable[GroupByKey]=OutputTable[[#This Row],[GroupByKey]]),(OutputTable[GroupByKey]=OutputTable[[#This Row],[GroupByKey]])*OutputTable[RecordedValue])),0)</f>
        <v>308.63553444706355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57.365542312184125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256" s="5" cm="1">
        <f t="array" ref="O256">MIN(IF((OutputTable[GroupByKey]=OutputTable[[#This Row],[GroupByKey]]),(OutputTable[GroupByKey]=OutputTable[[#This Row],[GroupByKey]])*OutputTable[RecordedValue]))</f>
        <v>225.161235126317</v>
      </c>
      <c r="P256" s="5" cm="1">
        <f t="array" ref="P256">MAX(IF((OutputTable[GroupByKey]=OutputTable[[#This Row],[GroupByKey]]),(OutputTable[GroupByKey]=OutputTable[[#This Row],[GroupByKey]])*OutputTable[RecordedValue]))</f>
        <v>456.33427551718</v>
      </c>
    </row>
    <row r="257" spans="1:16" x14ac:dyDescent="0.25">
      <c r="A257" t="s">
        <v>67</v>
      </c>
      <c r="B257" t="s">
        <v>69</v>
      </c>
      <c r="C257">
        <v>13</v>
      </c>
      <c r="D257" t="s">
        <v>150</v>
      </c>
      <c r="E257" t="s">
        <v>151</v>
      </c>
      <c r="F257" t="s">
        <v>86</v>
      </c>
      <c r="G257">
        <v>0</v>
      </c>
      <c r="H257">
        <v>0</v>
      </c>
      <c r="I257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17</v>
      </c>
      <c r="K257" s="5" cm="1">
        <f t="array" ref="K257">IFERROR(AVERAGE(IF((OutputTable[GroupByKey]=OutputTable[[#This Row],[GroupByKey]]),(OutputTable[GroupByKey]=OutputTable[[#This Row],[GroupByKey]])*OutputTable[RecordedValue])),0)</f>
        <v>0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" s="5" cm="1">
        <f t="array" ref="O257">MIN(IF((OutputTable[GroupByKey]=OutputTable[[#This Row],[GroupByKey]]),(OutputTable[GroupByKey]=OutputTable[[#This Row],[GroupByKey]])*OutputTable[RecordedValue]))</f>
        <v>0</v>
      </c>
      <c r="P257" s="5" cm="1">
        <f t="array" ref="P257">MAX(IF((OutputTable[GroupByKey]=OutputTable[[#This Row],[GroupByKey]]),(OutputTable[GroupByKey]=OutputTable[[#This Row],[GroupByKey]])*OutputTable[RecordedValue]))</f>
        <v>0</v>
      </c>
    </row>
    <row r="258" spans="1:16" x14ac:dyDescent="0.25">
      <c r="A258" t="s">
        <v>67</v>
      </c>
      <c r="B258" t="s">
        <v>69</v>
      </c>
      <c r="C258">
        <v>13</v>
      </c>
      <c r="D258" t="s">
        <v>152</v>
      </c>
      <c r="E258" t="s">
        <v>145</v>
      </c>
      <c r="F258" t="s">
        <v>86</v>
      </c>
      <c r="G258">
        <v>18</v>
      </c>
      <c r="H258">
        <v>0</v>
      </c>
      <c r="I258" s="5" t="str">
        <f>OutputTable[[#This Row],[ProjectName]]&amp;OutputTable[[#This Row],[Name]]&amp;OutputTable[[#This Row],[Type]]&amp;OutputTable[[#This Row],[Source]]</f>
        <v>Weekend (base)Comer en Mesa Number InNumber InProcess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17</v>
      </c>
      <c r="K258" s="5" cm="1">
        <f t="array" ref="K258">IFERROR(AVERAGE(IF((OutputTable[GroupByKey]=OutputTable[[#This Row],[GroupByKey]]),(OutputTable[GroupByKey]=OutputTable[[#This Row],[GroupByKey]])*OutputTable[RecordedValue])),0)</f>
        <v>16.941176470588236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3.0097879542273018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58" s="5" cm="1">
        <f t="array" ref="O258">MIN(IF((OutputTable[GroupByKey]=OutputTable[[#This Row],[GroupByKey]]),(OutputTable[GroupByKey]=OutputTable[[#This Row],[GroupByKey]])*OutputTable[RecordedValue]))</f>
        <v>12</v>
      </c>
      <c r="P258" s="5" cm="1">
        <f t="array" ref="P258">MAX(IF((OutputTable[GroupByKey]=OutputTable[[#This Row],[GroupByKey]]),(OutputTable[GroupByKey]=OutputTable[[#This Row],[GroupByKey]])*OutputTable[RecordedValue]))</f>
        <v>22</v>
      </c>
    </row>
    <row r="259" spans="1:16" x14ac:dyDescent="0.25">
      <c r="A259" t="s">
        <v>67</v>
      </c>
      <c r="B259" t="s">
        <v>69</v>
      </c>
      <c r="C259">
        <v>13</v>
      </c>
      <c r="D259" t="s">
        <v>153</v>
      </c>
      <c r="E259" t="s">
        <v>147</v>
      </c>
      <c r="F259" t="s">
        <v>86</v>
      </c>
      <c r="G259">
        <v>17</v>
      </c>
      <c r="H259">
        <v>0</v>
      </c>
      <c r="I259" s="5" t="str">
        <f>OutputTable[[#This Row],[ProjectName]]&amp;OutputTable[[#This Row],[Name]]&amp;OutputTable[[#This Row],[Type]]&amp;OutputTable[[#This Row],[Source]]</f>
        <v>Weekend (base)Comer en Mesa Number OutNumber OutProcess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17</v>
      </c>
      <c r="K259" s="5" cm="1">
        <f t="array" ref="K259">IFERROR(AVERAGE(IF((OutputTable[GroupByKey]=OutputTable[[#This Row],[GroupByKey]]),(OutputTable[GroupByKey]=OutputTable[[#This Row],[GroupByKey]])*OutputTable[RecordedValue])),0)</f>
        <v>16.764705882352942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1.8550408272025261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259" s="5" cm="1">
        <f t="array" ref="O259">MIN(IF((OutputTable[GroupByKey]=OutputTable[[#This Row],[GroupByKey]]),(OutputTable[GroupByKey]=OutputTable[[#This Row],[GroupByKey]])*OutputTable[RecordedValue]))</f>
        <v>13</v>
      </c>
      <c r="P259" s="5" cm="1">
        <f t="array" ref="P259">MAX(IF((OutputTable[GroupByKey]=OutputTable[[#This Row],[GroupByKey]]),(OutputTable[GroupByKey]=OutputTable[[#This Row],[GroupByKey]])*OutputTable[RecordedValue]))</f>
        <v>20</v>
      </c>
    </row>
    <row r="260" spans="1:16" x14ac:dyDescent="0.25">
      <c r="A260" t="s">
        <v>67</v>
      </c>
      <c r="B260" t="s">
        <v>69</v>
      </c>
      <c r="C260">
        <v>13</v>
      </c>
      <c r="D260" t="s">
        <v>154</v>
      </c>
      <c r="E260" t="s">
        <v>145</v>
      </c>
      <c r="F260" t="s">
        <v>72</v>
      </c>
      <c r="G260">
        <v>114</v>
      </c>
      <c r="H260">
        <v>0</v>
      </c>
      <c r="I260" s="5" t="str">
        <f>OutputTable[[#This Row],[ProjectName]]&amp;OutputTable[[#This Row],[Name]]&amp;OutputTable[[#This Row],[Type]]&amp;OutputTable[[#This Row],[Source]]</f>
        <v>Weekend (base)Orden.NumberInNumber InEntity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17</v>
      </c>
      <c r="K260" s="5" cm="1">
        <f t="array" ref="K260">IFERROR(AVERAGE(IF((OutputTable[GroupByKey]=OutputTable[[#This Row],[GroupByKey]]),(OutputTable[GroupByKey]=OutputTable[[#This Row],[GroupByKey]])*OutputTable[RecordedValue])),0)</f>
        <v>117.35294117647059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7.1496606254299602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60" s="5" cm="1">
        <f t="array" ref="O260">MIN(IF((OutputTable[GroupByKey]=OutputTable[[#This Row],[GroupByKey]]),(OutputTable[GroupByKey]=OutputTable[[#This Row],[GroupByKey]])*OutputTable[RecordedValue]))</f>
        <v>105</v>
      </c>
      <c r="P260" s="5" cm="1">
        <f t="array" ref="P260">MAX(IF((OutputTable[GroupByKey]=OutputTable[[#This Row],[GroupByKey]]),(OutputTable[GroupByKey]=OutputTable[[#This Row],[GroupByKey]])*OutputTable[RecordedValue]))</f>
        <v>131</v>
      </c>
    </row>
    <row r="261" spans="1:16" x14ac:dyDescent="0.25">
      <c r="A261" t="s">
        <v>67</v>
      </c>
      <c r="B261" t="s">
        <v>69</v>
      </c>
      <c r="C261">
        <v>13</v>
      </c>
      <c r="D261" t="s">
        <v>155</v>
      </c>
      <c r="E261" t="s">
        <v>147</v>
      </c>
      <c r="F261" t="s">
        <v>72</v>
      </c>
      <c r="G261">
        <v>111</v>
      </c>
      <c r="H261">
        <v>0</v>
      </c>
      <c r="I261" s="5" t="str">
        <f>OutputTable[[#This Row],[ProjectName]]&amp;OutputTable[[#This Row],[Name]]&amp;OutputTable[[#This Row],[Type]]&amp;OutputTable[[#This Row],[Source]]</f>
        <v>Weekend (base)Orden.NumberOutNumber OutEntity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17</v>
      </c>
      <c r="K261" s="5" cm="1">
        <f t="array" ref="K261">IFERROR(AVERAGE(IF((OutputTable[GroupByKey]=OutputTable[[#This Row],[GroupByKey]]),(OutputTable[GroupByKey]=OutputTable[[#This Row],[GroupByKey]])*OutputTable[RecordedValue])),0)</f>
        <v>118.76470588235294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7.0580575564802697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61" s="5" cm="1">
        <f t="array" ref="O261">MIN(IF((OutputTable[GroupByKey]=OutputTable[[#This Row],[GroupByKey]]),(OutputTable[GroupByKey]=OutputTable[[#This Row],[GroupByKey]])*OutputTable[RecordedValue]))</f>
        <v>107</v>
      </c>
      <c r="P261" s="5" cm="1">
        <f t="array" ref="P261">MAX(IF((OutputTable[GroupByKey]=OutputTable[[#This Row],[GroupByKey]]),(OutputTable[GroupByKey]=OutputTable[[#This Row],[GroupByKey]])*OutputTable[RecordedValue]))</f>
        <v>130</v>
      </c>
    </row>
    <row r="262" spans="1:16" x14ac:dyDescent="0.25">
      <c r="A262" t="s">
        <v>67</v>
      </c>
      <c r="B262" t="s">
        <v>69</v>
      </c>
      <c r="C262">
        <v>13</v>
      </c>
      <c r="D262" t="s">
        <v>156</v>
      </c>
      <c r="E262" t="s">
        <v>149</v>
      </c>
      <c r="F262" t="s">
        <v>86</v>
      </c>
      <c r="G262">
        <v>189.17166779742601</v>
      </c>
      <c r="H262">
        <v>0</v>
      </c>
      <c r="I262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17</v>
      </c>
      <c r="K262" s="5" cm="1">
        <f t="array" ref="K262">IFERROR(AVERAGE(IF((OutputTable[GroupByKey]=OutputTable[[#This Row],[GroupByKey]]),(OutputTable[GroupByKey]=OutputTable[[#This Row],[GroupByKey]])*OutputTable[RecordedValue])),0)</f>
        <v>191.25148078330704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16.886201618463961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262" s="5" cm="1">
        <f t="array" ref="O262">MIN(IF((OutputTable[GroupByKey]=OutputTable[[#This Row],[GroupByKey]]),(OutputTable[GroupByKey]=OutputTable[[#This Row],[GroupByKey]])*OutputTable[RecordedValue]))</f>
        <v>159.38722481493599</v>
      </c>
      <c r="P262" s="5" cm="1">
        <f t="array" ref="P262">MAX(IF((OutputTable[GroupByKey]=OutputTable[[#This Row],[GroupByKey]]),(OutputTable[GroupByKey]=OutputTable[[#This Row],[GroupByKey]])*OutputTable[RecordedValue]))</f>
        <v>225.02992874035499</v>
      </c>
    </row>
    <row r="263" spans="1:16" x14ac:dyDescent="0.25">
      <c r="A263" t="s">
        <v>67</v>
      </c>
      <c r="B263" t="s">
        <v>69</v>
      </c>
      <c r="C263">
        <v>13</v>
      </c>
      <c r="D263" t="s">
        <v>157</v>
      </c>
      <c r="E263" t="s">
        <v>151</v>
      </c>
      <c r="F263" t="s">
        <v>86</v>
      </c>
      <c r="G263">
        <v>76.564954186848695</v>
      </c>
      <c r="H263">
        <v>0</v>
      </c>
      <c r="I263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17</v>
      </c>
      <c r="K263" s="5" cm="1">
        <f t="array" ref="K263">IFERROR(AVERAGE(IF((OutputTable[GroupByKey]=OutputTable[[#This Row],[GroupByKey]]),(OutputTable[GroupByKey]=OutputTable[[#This Row],[GroupByKey]])*OutputTable[RecordedValue])),0)</f>
        <v>133.66503743442436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79.508986996493206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263" s="5" cm="1">
        <f t="array" ref="O263">MIN(IF((OutputTable[GroupByKey]=OutputTable[[#This Row],[GroupByKey]]),(OutputTable[GroupByKey]=OutputTable[[#This Row],[GroupByKey]])*OutputTable[RecordedValue]))</f>
        <v>36.437518321990602</v>
      </c>
      <c r="P263" s="5" cm="1">
        <f t="array" ref="P263">MAX(IF((OutputTable[GroupByKey]=OutputTable[[#This Row],[GroupByKey]]),(OutputTable[GroupByKey]=OutputTable[[#This Row],[GroupByKey]])*OutputTable[RecordedValue]))</f>
        <v>324.91710015892198</v>
      </c>
    </row>
    <row r="264" spans="1:16" x14ac:dyDescent="0.25">
      <c r="A264" t="s">
        <v>67</v>
      </c>
      <c r="B264" t="s">
        <v>69</v>
      </c>
      <c r="C264">
        <v>13</v>
      </c>
      <c r="D264" t="s">
        <v>158</v>
      </c>
      <c r="E264" t="s">
        <v>145</v>
      </c>
      <c r="F264" t="s">
        <v>86</v>
      </c>
      <c r="G264">
        <v>114</v>
      </c>
      <c r="H264">
        <v>0</v>
      </c>
      <c r="I264" s="5" t="str">
        <f>OutputTable[[#This Row],[ProjectName]]&amp;OutputTable[[#This Row],[Name]]&amp;OutputTable[[#This Row],[Type]]&amp;OutputTable[[#This Row],[Source]]</f>
        <v>Weekend (base)Preparacion Number InNumber InProcess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17</v>
      </c>
      <c r="K264" s="5" cm="1">
        <f t="array" ref="K264">IFERROR(AVERAGE(IF((OutputTable[GroupByKey]=OutputTable[[#This Row],[GroupByKey]]),(OutputTable[GroupByKey]=OutputTable[[#This Row],[GroupByKey]])*OutputTable[RecordedValue])),0)</f>
        <v>117.35294117647059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7.1496606254299602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64" s="5" cm="1">
        <f t="array" ref="O264">MIN(IF((OutputTable[GroupByKey]=OutputTable[[#This Row],[GroupByKey]]),(OutputTable[GroupByKey]=OutputTable[[#This Row],[GroupByKey]])*OutputTable[RecordedValue]))</f>
        <v>105</v>
      </c>
      <c r="P264" s="5" cm="1">
        <f t="array" ref="P264">MAX(IF((OutputTable[GroupByKey]=OutputTable[[#This Row],[GroupByKey]]),(OutputTable[GroupByKey]=OutputTable[[#This Row],[GroupByKey]])*OutputTable[RecordedValue]))</f>
        <v>131</v>
      </c>
    </row>
    <row r="265" spans="1:16" x14ac:dyDescent="0.25">
      <c r="A265" t="s">
        <v>67</v>
      </c>
      <c r="B265" t="s">
        <v>69</v>
      </c>
      <c r="C265">
        <v>13</v>
      </c>
      <c r="D265" t="s">
        <v>159</v>
      </c>
      <c r="E265" t="s">
        <v>147</v>
      </c>
      <c r="F265" t="s">
        <v>86</v>
      </c>
      <c r="G265">
        <v>112</v>
      </c>
      <c r="H265">
        <v>0</v>
      </c>
      <c r="I265" s="5" t="str">
        <f>OutputTable[[#This Row],[ProjectName]]&amp;OutputTable[[#This Row],[Name]]&amp;OutputTable[[#This Row],[Type]]&amp;OutputTable[[#This Row],[Source]]</f>
        <v>Weekend (base)Preparacion Number OutNumber OutProcess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17</v>
      </c>
      <c r="K265" s="5" cm="1">
        <f t="array" ref="K265">IFERROR(AVERAGE(IF((OutputTable[GroupByKey]=OutputTable[[#This Row],[GroupByKey]]),(OutputTable[GroupByKey]=OutputTable[[#This Row],[GroupByKey]])*OutputTable[RecordedValue])),0)</f>
        <v>118.82352941176471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6.9931689358048459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265" s="5" cm="1">
        <f t="array" ref="O265">MIN(IF((OutputTable[GroupByKey]=OutputTable[[#This Row],[GroupByKey]]),(OutputTable[GroupByKey]=OutputTable[[#This Row],[GroupByKey]])*OutputTable[RecordedValue]))</f>
        <v>108</v>
      </c>
      <c r="P265" s="5" cm="1">
        <f t="array" ref="P265">MAX(IF((OutputTable[GroupByKey]=OutputTable[[#This Row],[GroupByKey]]),(OutputTable[GroupByKey]=OutputTable[[#This Row],[GroupByKey]])*OutputTable[RecordedValue]))</f>
        <v>132</v>
      </c>
    </row>
    <row r="266" spans="1:16" x14ac:dyDescent="0.25">
      <c r="A266" t="s">
        <v>67</v>
      </c>
      <c r="B266" t="s">
        <v>69</v>
      </c>
      <c r="C266">
        <v>13</v>
      </c>
      <c r="D266" t="s">
        <v>160</v>
      </c>
      <c r="E266" t="s">
        <v>147</v>
      </c>
      <c r="F266" t="s">
        <v>161</v>
      </c>
      <c r="G266">
        <v>114</v>
      </c>
      <c r="H266">
        <v>0</v>
      </c>
      <c r="I266" s="5" t="str">
        <f>OutputTable[[#This Row],[ProjectName]]&amp;OutputTable[[#This Row],[Name]]&amp;OutputTable[[#This Row],[Type]]&amp;OutputTable[[#This Row],[Source]]</f>
        <v>Weekend (base)System.NumberOutNumber OutSystem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17</v>
      </c>
      <c r="K266" s="5" cm="1">
        <f t="array" ref="K266">IFERROR(AVERAGE(IF((OutputTable[GroupByKey]=OutputTable[[#This Row],[GroupByKey]]),(OutputTable[GroupByKey]=OutputTable[[#This Row],[GroupByKey]])*OutputTable[RecordedValue])),0)</f>
        <v>121.76470588235294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7.0580575564802697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66" s="5" cm="1">
        <f t="array" ref="O266">MIN(IF((OutputTable[GroupByKey]=OutputTable[[#This Row],[GroupByKey]]),(OutputTable[GroupByKey]=OutputTable[[#This Row],[GroupByKey]])*OutputTable[RecordedValue]))</f>
        <v>110</v>
      </c>
      <c r="P266" s="5" cm="1">
        <f t="array" ref="P266">MAX(IF((OutputTable[GroupByKey]=OutputTable[[#This Row],[GroupByKey]]),(OutputTable[GroupByKey]=OutputTable[[#This Row],[GroupByKey]])*OutputTable[RecordedValue]))</f>
        <v>133</v>
      </c>
    </row>
    <row r="267" spans="1:16" x14ac:dyDescent="0.25">
      <c r="A267" t="s">
        <v>67</v>
      </c>
      <c r="B267" t="s">
        <v>69</v>
      </c>
      <c r="C267">
        <v>13</v>
      </c>
      <c r="D267" t="s">
        <v>162</v>
      </c>
      <c r="E267" t="s">
        <v>163</v>
      </c>
      <c r="F267" t="s">
        <v>136</v>
      </c>
      <c r="G267">
        <v>159</v>
      </c>
      <c r="H267">
        <v>0</v>
      </c>
      <c r="I267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17</v>
      </c>
      <c r="K267" s="5" cm="1">
        <f t="array" ref="K267">IFERROR(AVERAGE(IF((OutputTable[GroupByKey]=OutputTable[[#This Row],[GroupByKey]]),(OutputTable[GroupByKey]=OutputTable[[#This Row],[GroupByKey]])*OutputTable[RecordedValue])),0)</f>
        <v>162.1764705882353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10.100960932738323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267" s="5" cm="1">
        <f t="array" ref="O267">MIN(IF((OutputTable[GroupByKey]=OutputTable[[#This Row],[GroupByKey]]),(OutputTable[GroupByKey]=OutputTable[[#This Row],[GroupByKey]])*OutputTable[RecordedValue]))</f>
        <v>147</v>
      </c>
      <c r="P267" s="5" cm="1">
        <f t="array" ref="P267">MAX(IF((OutputTable[GroupByKey]=OutputTable[[#This Row],[GroupByKey]]),(OutputTable[GroupByKey]=OutputTable[[#This Row],[GroupByKey]])*OutputTable[RecordedValue]))</f>
        <v>183</v>
      </c>
    </row>
    <row r="268" spans="1:16" x14ac:dyDescent="0.25">
      <c r="A268" t="s">
        <v>67</v>
      </c>
      <c r="B268" t="s">
        <v>69</v>
      </c>
      <c r="C268">
        <v>13</v>
      </c>
      <c r="D268" t="s">
        <v>164</v>
      </c>
      <c r="E268" t="s">
        <v>165</v>
      </c>
      <c r="F268" t="s">
        <v>136</v>
      </c>
      <c r="G268">
        <v>0.75713038369841801</v>
      </c>
      <c r="H268">
        <v>0</v>
      </c>
      <c r="I268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17</v>
      </c>
      <c r="K268" s="5" cm="1">
        <f t="array" ref="K268">IFERROR(AVERAGE(IF((OutputTable[GroupByKey]=OutputTable[[#This Row],[GroupByKey]]),(OutputTable[GroupByKey]=OutputTable[[#This Row],[GroupByKey]])*OutputTable[RecordedValue])),0)</f>
        <v>0.82034721885470152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6.5495768324500853E-2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268" s="5" cm="1">
        <f t="array" ref="O268">MIN(IF((OutputTable[GroupByKey]=OutputTable[[#This Row],[GroupByKey]]),(OutputTable[GroupByKey]=OutputTable[[#This Row],[GroupByKey]])*OutputTable[RecordedValue]))</f>
        <v>0.73534383204610498</v>
      </c>
      <c r="P268" s="5" cm="1">
        <f t="array" ref="P268">MAX(IF((OutputTable[GroupByKey]=OutputTable[[#This Row],[GroupByKey]]),(OutputTable[GroupByKey]=OutputTable[[#This Row],[GroupByKey]])*OutputTable[RecordedValue]))</f>
        <v>0.95888680213271504</v>
      </c>
    </row>
    <row r="269" spans="1:16" x14ac:dyDescent="0.25">
      <c r="A269" t="s">
        <v>67</v>
      </c>
      <c r="B269" t="s">
        <v>69</v>
      </c>
      <c r="C269">
        <v>13</v>
      </c>
      <c r="D269" t="s">
        <v>166</v>
      </c>
      <c r="E269" t="s">
        <v>163</v>
      </c>
      <c r="F269" t="s">
        <v>136</v>
      </c>
      <c r="G269">
        <v>68</v>
      </c>
      <c r="H269">
        <v>0</v>
      </c>
      <c r="I269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17</v>
      </c>
      <c r="K269" s="5" cm="1">
        <f t="array" ref="K269">IFERROR(AVERAGE(IF((OutputTable[GroupByKey]=OutputTable[[#This Row],[GroupByKey]]),(OutputTable[GroupByKey]=OutputTable[[#This Row],[GroupByKey]])*OutputTable[RecordedValue])),0)</f>
        <v>73.764705882352942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6.2302629535669061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269" s="5" cm="1">
        <f t="array" ref="O269">MIN(IF((OutputTable[GroupByKey]=OutputTable[[#This Row],[GroupByKey]]),(OutputTable[GroupByKey]=OutputTable[[#This Row],[GroupByKey]])*OutputTable[RecordedValue]))</f>
        <v>60</v>
      </c>
      <c r="P269" s="5" cm="1">
        <f t="array" ref="P269">MAX(IF((OutputTable[GroupByKey]=OutputTable[[#This Row],[GroupByKey]]),(OutputTable[GroupByKey]=OutputTable[[#This Row],[GroupByKey]])*OutputTable[RecordedValue]))</f>
        <v>84</v>
      </c>
    </row>
    <row r="270" spans="1:16" x14ac:dyDescent="0.25">
      <c r="A270" t="s">
        <v>67</v>
      </c>
      <c r="B270" t="s">
        <v>69</v>
      </c>
      <c r="C270">
        <v>13</v>
      </c>
      <c r="D270" t="s">
        <v>167</v>
      </c>
      <c r="E270" t="s">
        <v>165</v>
      </c>
      <c r="F270" t="s">
        <v>136</v>
      </c>
      <c r="G270">
        <v>0.69367162316071496</v>
      </c>
      <c r="H270">
        <v>0</v>
      </c>
      <c r="I270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17</v>
      </c>
      <c r="K270" s="5" cm="1">
        <f t="array" ref="K270">IFERROR(AVERAGE(IF((OutputTable[GroupByKey]=OutputTable[[#This Row],[GroupByKey]]),(OutputTable[GroupByKey]=OutputTable[[#This Row],[GroupByKey]])*OutputTable[RecordedValue])),0)</f>
        <v>0.66010861965703893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6.6171154002911237E-2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270" s="5" cm="1">
        <f t="array" ref="O270">MIN(IF((OutputTable[GroupByKey]=OutputTable[[#This Row],[GroupByKey]]),(OutputTable[GroupByKey]=OutputTable[[#This Row],[GroupByKey]])*OutputTable[RecordedValue]))</f>
        <v>0.52223972091576099</v>
      </c>
      <c r="P270" s="5" cm="1">
        <f t="array" ref="P270">MAX(IF((OutputTable[GroupByKey]=OutputTable[[#This Row],[GroupByKey]]),(OutputTable[GroupByKey]=OutputTable[[#This Row],[GroupByKey]])*OutputTable[RecordedValue]))</f>
        <v>0.77852312806092006</v>
      </c>
    </row>
    <row r="271" spans="1:16" x14ac:dyDescent="0.25">
      <c r="A271" t="s">
        <v>67</v>
      </c>
      <c r="B271" t="s">
        <v>69</v>
      </c>
      <c r="C271">
        <v>13</v>
      </c>
      <c r="D271" t="s">
        <v>168</v>
      </c>
      <c r="E271" t="s">
        <v>163</v>
      </c>
      <c r="F271" t="s">
        <v>136</v>
      </c>
      <c r="G271">
        <v>18</v>
      </c>
      <c r="H271">
        <v>0</v>
      </c>
      <c r="I271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17</v>
      </c>
      <c r="K271" s="5" cm="1">
        <f t="array" ref="K271">IFERROR(AVERAGE(IF((OutputTable[GroupByKey]=OutputTable[[#This Row],[GroupByKey]]),(OutputTable[GroupByKey]=OutputTable[[#This Row],[GroupByKey]])*OutputTable[RecordedValue])),0)</f>
        <v>16.941176470588236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3.0097879542273018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71" s="5" cm="1">
        <f t="array" ref="O271">MIN(IF((OutputTable[GroupByKey]=OutputTable[[#This Row],[GroupByKey]]),(OutputTable[GroupByKey]=OutputTable[[#This Row],[GroupByKey]])*OutputTable[RecordedValue]))</f>
        <v>12</v>
      </c>
      <c r="P271" s="5" cm="1">
        <f t="array" ref="P271">MAX(IF((OutputTable[GroupByKey]=OutputTable[[#This Row],[GroupByKey]]),(OutputTable[GroupByKey]=OutputTable[[#This Row],[GroupByKey]])*OutputTable[RecordedValue]))</f>
        <v>22</v>
      </c>
    </row>
    <row r="272" spans="1:16" x14ac:dyDescent="0.25">
      <c r="A272" t="s">
        <v>67</v>
      </c>
      <c r="B272" t="s">
        <v>69</v>
      </c>
      <c r="C272">
        <v>13</v>
      </c>
      <c r="D272" t="s">
        <v>169</v>
      </c>
      <c r="E272" t="s">
        <v>165</v>
      </c>
      <c r="F272" t="s">
        <v>136</v>
      </c>
      <c r="G272">
        <v>0.369026019279249</v>
      </c>
      <c r="H272">
        <v>0</v>
      </c>
      <c r="I272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17</v>
      </c>
      <c r="K272" s="5" cm="1">
        <f t="array" ref="K272">IFERROR(AVERAGE(IF((OutputTable[GroupByKey]=OutputTable[[#This Row],[GroupByKey]]),(OutputTable[GroupByKey]=OutputTable[[#This Row],[GroupByKey]])*OutputTable[RecordedValue])),0)</f>
        <v>0.34356399197544252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7.597675013665138E-2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272" s="5" cm="1">
        <f t="array" ref="O272">MIN(IF((OutputTable[GroupByKey]=OutputTable[[#This Row],[GroupByKey]]),(OutputTable[GroupByKey]=OutputTable[[#This Row],[GroupByKey]])*OutputTable[RecordedValue]))</f>
        <v>0.20879044077011299</v>
      </c>
      <c r="P272" s="5" cm="1">
        <f t="array" ref="P272">MAX(IF((OutputTable[GroupByKey]=OutputTable[[#This Row],[GroupByKey]]),(OutputTable[GroupByKey]=OutputTable[[#This Row],[GroupByKey]])*OutputTable[RecordedValue]))</f>
        <v>0.53820629377380302</v>
      </c>
    </row>
    <row r="273" spans="1:16" x14ac:dyDescent="0.25">
      <c r="A273" t="s">
        <v>67</v>
      </c>
      <c r="B273" t="s">
        <v>69</v>
      </c>
      <c r="C273">
        <v>13</v>
      </c>
      <c r="D273" t="s">
        <v>170</v>
      </c>
      <c r="E273" t="s">
        <v>145</v>
      </c>
      <c r="F273" t="s">
        <v>72</v>
      </c>
      <c r="G273">
        <v>3</v>
      </c>
      <c r="H273">
        <v>0</v>
      </c>
      <c r="I273" s="5" t="str">
        <f>OutputTable[[#This Row],[ProjectName]]&amp;OutputTable[[#This Row],[Name]]&amp;OutputTable[[#This Row],[Type]]&amp;OutputTable[[#This Row],[Source]]</f>
        <v>Weekend (base)reloj.NumberInNumber InEntity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17</v>
      </c>
      <c r="K273" s="5" cm="1">
        <f t="array" ref="K273">IFERROR(AVERAGE(IF((OutputTable[GroupByKey]=OutputTable[[#This Row],[GroupByKey]]),(OutputTable[GroupByKey]=OutputTable[[#This Row],[GroupByKey]])*OutputTable[RecordedValue])),0)</f>
        <v>3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3" s="5" cm="1">
        <f t="array" ref="O273">MIN(IF((OutputTable[GroupByKey]=OutputTable[[#This Row],[GroupByKey]]),(OutputTable[GroupByKey]=OutputTable[[#This Row],[GroupByKey]])*OutputTable[RecordedValue]))</f>
        <v>3</v>
      </c>
      <c r="P273" s="5" cm="1">
        <f t="array" ref="P273">MAX(IF((OutputTable[GroupByKey]=OutputTable[[#This Row],[GroupByKey]]),(OutputTable[GroupByKey]=OutputTable[[#This Row],[GroupByKey]])*OutputTable[RecordedValue]))</f>
        <v>3</v>
      </c>
    </row>
    <row r="274" spans="1:16" x14ac:dyDescent="0.25">
      <c r="A274" t="s">
        <v>67</v>
      </c>
      <c r="B274" t="s">
        <v>69</v>
      </c>
      <c r="C274">
        <v>13</v>
      </c>
      <c r="D274" t="s">
        <v>171</v>
      </c>
      <c r="E274" t="s">
        <v>147</v>
      </c>
      <c r="F274" t="s">
        <v>72</v>
      </c>
      <c r="G274">
        <v>3</v>
      </c>
      <c r="H274">
        <v>0</v>
      </c>
      <c r="I274" s="5" t="str">
        <f>OutputTable[[#This Row],[ProjectName]]&amp;OutputTable[[#This Row],[Name]]&amp;OutputTable[[#This Row],[Type]]&amp;OutputTable[[#This Row],[Source]]</f>
        <v>Weekend (base)reloj.NumberOutNumber OutEntity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17</v>
      </c>
      <c r="K274" s="5" cm="1">
        <f t="array" ref="K274">IFERROR(AVERAGE(IF((OutputTable[GroupByKey]=OutputTable[[#This Row],[GroupByKey]]),(OutputTable[GroupByKey]=OutputTable[[#This Row],[GroupByKey]])*OutputTable[RecordedValue])),0)</f>
        <v>3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0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" s="5" cm="1">
        <f t="array" ref="O274">MIN(IF((OutputTable[GroupByKey]=OutputTable[[#This Row],[GroupByKey]]),(OutputTable[GroupByKey]=OutputTable[[#This Row],[GroupByKey]])*OutputTable[RecordedValue]))</f>
        <v>3</v>
      </c>
      <c r="P274" s="5" cm="1">
        <f t="array" ref="P274">MAX(IF((OutputTable[GroupByKey]=OutputTable[[#This Row],[GroupByKey]]),(OutputTable[GroupByKey]=OutputTable[[#This Row],[GroupByKey]])*OutputTable[RecordedValue]))</f>
        <v>3</v>
      </c>
    </row>
    <row r="275" spans="1:16" x14ac:dyDescent="0.25">
      <c r="A275" t="s">
        <v>67</v>
      </c>
      <c r="B275" t="s">
        <v>69</v>
      </c>
      <c r="C275">
        <v>14</v>
      </c>
      <c r="D275" t="s">
        <v>144</v>
      </c>
      <c r="E275" t="s">
        <v>145</v>
      </c>
      <c r="F275" t="s">
        <v>72</v>
      </c>
      <c r="G275">
        <v>330</v>
      </c>
      <c r="H275">
        <v>0</v>
      </c>
      <c r="I275" s="5" t="str">
        <f>OutputTable[[#This Row],[ProjectName]]&amp;OutputTable[[#This Row],[Name]]&amp;OutputTable[[#This Row],[Type]]&amp;OutputTable[[#This Row],[Source]]</f>
        <v>Weekend (base)Cliente.NumberInNumber InEntity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17</v>
      </c>
      <c r="K275" s="5" cm="1">
        <f t="array" ref="K275">IFERROR(AVERAGE(IF((OutputTable[GroupByKey]=OutputTable[[#This Row],[GroupByKey]]),(OutputTable[GroupByKey]=OutputTable[[#This Row],[GroupByKey]])*OutputTable[RecordedValue])),0)</f>
        <v>354.11764705882354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19.776508643277939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275" s="5" cm="1">
        <f t="array" ref="O275">MIN(IF((OutputTable[GroupByKey]=OutputTable[[#This Row],[GroupByKey]]),(OutputTable[GroupByKey]=OutputTable[[#This Row],[GroupByKey]])*OutputTable[RecordedValue]))</f>
        <v>316</v>
      </c>
      <c r="P275" s="5" cm="1">
        <f t="array" ref="P275">MAX(IF((OutputTable[GroupByKey]=OutputTable[[#This Row],[GroupByKey]]),(OutputTable[GroupByKey]=OutputTable[[#This Row],[GroupByKey]])*OutputTable[RecordedValue]))</f>
        <v>387</v>
      </c>
    </row>
    <row r="276" spans="1:16" x14ac:dyDescent="0.25">
      <c r="A276" t="s">
        <v>67</v>
      </c>
      <c r="B276" t="s">
        <v>69</v>
      </c>
      <c r="C276">
        <v>14</v>
      </c>
      <c r="D276" t="s">
        <v>146</v>
      </c>
      <c r="E276" t="s">
        <v>147</v>
      </c>
      <c r="F276" t="s">
        <v>72</v>
      </c>
      <c r="G276">
        <v>321</v>
      </c>
      <c r="H276">
        <v>0</v>
      </c>
      <c r="I276" s="5" t="str">
        <f>OutputTable[[#This Row],[ProjectName]]&amp;OutputTable[[#This Row],[Name]]&amp;OutputTable[[#This Row],[Type]]&amp;OutputTable[[#This Row],[Source]]</f>
        <v>Weekend (base)Cliente.NumberOutNumber OutEntity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17</v>
      </c>
      <c r="K276" s="5" cm="1">
        <f t="array" ref="K276">IFERROR(AVERAGE(IF((OutputTable[GroupByKey]=OutputTable[[#This Row],[GroupByKey]]),(OutputTable[GroupByKey]=OutputTable[[#This Row],[GroupByKey]])*OutputTable[RecordedValue])),0)</f>
        <v>354.88235294117646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20.951975900082719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276" s="5" cm="1">
        <f t="array" ref="O276">MIN(IF((OutputTable[GroupByKey]=OutputTable[[#This Row],[GroupByKey]]),(OutputTable[GroupByKey]=OutputTable[[#This Row],[GroupByKey]])*OutputTable[RecordedValue]))</f>
        <v>319</v>
      </c>
      <c r="P276" s="5" cm="1">
        <f t="array" ref="P276">MAX(IF((OutputTable[GroupByKey]=OutputTable[[#This Row],[GroupByKey]]),(OutputTable[GroupByKey]=OutputTable[[#This Row],[GroupByKey]])*OutputTable[RecordedValue]))</f>
        <v>391</v>
      </c>
    </row>
    <row r="277" spans="1:16" x14ac:dyDescent="0.25">
      <c r="A277" t="s">
        <v>67</v>
      </c>
      <c r="B277" t="s">
        <v>69</v>
      </c>
      <c r="C277">
        <v>14</v>
      </c>
      <c r="D277" t="s">
        <v>148</v>
      </c>
      <c r="E277" t="s">
        <v>149</v>
      </c>
      <c r="F277" t="s">
        <v>86</v>
      </c>
      <c r="G277">
        <v>235.846208999108</v>
      </c>
      <c r="H277">
        <v>0</v>
      </c>
      <c r="I277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17</v>
      </c>
      <c r="K277" s="5" cm="1">
        <f t="array" ref="K277">IFERROR(AVERAGE(IF((OutputTable[GroupByKey]=OutputTable[[#This Row],[GroupByKey]]),(OutputTable[GroupByKey]=OutputTable[[#This Row],[GroupByKey]])*OutputTable[RecordedValue])),0)</f>
        <v>308.63553444706355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57.365542312184125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277" s="5" cm="1">
        <f t="array" ref="O277">MIN(IF((OutputTable[GroupByKey]=OutputTable[[#This Row],[GroupByKey]]),(OutputTable[GroupByKey]=OutputTable[[#This Row],[GroupByKey]])*OutputTable[RecordedValue]))</f>
        <v>225.161235126317</v>
      </c>
      <c r="P277" s="5" cm="1">
        <f t="array" ref="P277">MAX(IF((OutputTable[GroupByKey]=OutputTable[[#This Row],[GroupByKey]]),(OutputTable[GroupByKey]=OutputTable[[#This Row],[GroupByKey]])*OutputTable[RecordedValue]))</f>
        <v>456.33427551718</v>
      </c>
    </row>
    <row r="278" spans="1:16" x14ac:dyDescent="0.25">
      <c r="A278" t="s">
        <v>67</v>
      </c>
      <c r="B278" t="s">
        <v>69</v>
      </c>
      <c r="C278">
        <v>14</v>
      </c>
      <c r="D278" t="s">
        <v>150</v>
      </c>
      <c r="E278" t="s">
        <v>151</v>
      </c>
      <c r="F278" t="s">
        <v>86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17</v>
      </c>
      <c r="K278" s="5" cm="1">
        <f t="array" ref="K278">IFERROR(AVERAGE(IF((OutputTable[GroupByKey]=OutputTable[[#This Row],[GroupByKey]]),(OutputTable[GroupByKey]=OutputTable[[#This Row],[GroupByKey]])*OutputTable[RecordedValue])),0)</f>
        <v>0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67</v>
      </c>
      <c r="B279" t="s">
        <v>69</v>
      </c>
      <c r="C279">
        <v>14</v>
      </c>
      <c r="D279" t="s">
        <v>152</v>
      </c>
      <c r="E279" t="s">
        <v>145</v>
      </c>
      <c r="F279" t="s">
        <v>86</v>
      </c>
      <c r="G279">
        <v>15</v>
      </c>
      <c r="H279">
        <v>0</v>
      </c>
      <c r="I279" s="5" t="str">
        <f>OutputTable[[#This Row],[ProjectName]]&amp;OutputTable[[#This Row],[Name]]&amp;OutputTable[[#This Row],[Type]]&amp;OutputTable[[#This Row],[Source]]</f>
        <v>Weekend (base)Comer en Mesa Number InNumber InProcess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17</v>
      </c>
      <c r="K279" s="5" cm="1">
        <f t="array" ref="K279">IFERROR(AVERAGE(IF((OutputTable[GroupByKey]=OutputTable[[#This Row],[GroupByKey]]),(OutputTable[GroupByKey]=OutputTable[[#This Row],[GroupByKey]])*OutputTable[RecordedValue])),0)</f>
        <v>16.941176470588236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3.0097879542273018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79" s="5" cm="1">
        <f t="array" ref="O279">MIN(IF((OutputTable[GroupByKey]=OutputTable[[#This Row],[GroupByKey]]),(OutputTable[GroupByKey]=OutputTable[[#This Row],[GroupByKey]])*OutputTable[RecordedValue]))</f>
        <v>12</v>
      </c>
      <c r="P279" s="5" cm="1">
        <f t="array" ref="P279">MAX(IF((OutputTable[GroupByKey]=OutputTable[[#This Row],[GroupByKey]]),(OutputTable[GroupByKey]=OutputTable[[#This Row],[GroupByKey]])*OutputTable[RecordedValue]))</f>
        <v>22</v>
      </c>
    </row>
    <row r="280" spans="1:16" x14ac:dyDescent="0.25">
      <c r="A280" t="s">
        <v>67</v>
      </c>
      <c r="B280" t="s">
        <v>69</v>
      </c>
      <c r="C280">
        <v>14</v>
      </c>
      <c r="D280" t="s">
        <v>153</v>
      </c>
      <c r="E280" t="s">
        <v>147</v>
      </c>
      <c r="F280" t="s">
        <v>86</v>
      </c>
      <c r="G280">
        <v>13</v>
      </c>
      <c r="H280">
        <v>0</v>
      </c>
      <c r="I280" s="5" t="str">
        <f>OutputTable[[#This Row],[ProjectName]]&amp;OutputTable[[#This Row],[Name]]&amp;OutputTable[[#This Row],[Type]]&amp;OutputTable[[#This Row],[Source]]</f>
        <v>Weekend (base)Comer en Mesa Number OutNumber OutProcess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17</v>
      </c>
      <c r="K280" s="5" cm="1">
        <f t="array" ref="K280">IFERROR(AVERAGE(IF((OutputTable[GroupByKey]=OutputTable[[#This Row],[GroupByKey]]),(OutputTable[GroupByKey]=OutputTable[[#This Row],[GroupByKey]])*OutputTable[RecordedValue])),0)</f>
        <v>16.764705882352942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1.8550408272025261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280" s="5" cm="1">
        <f t="array" ref="O280">MIN(IF((OutputTable[GroupByKey]=OutputTable[[#This Row],[GroupByKey]]),(OutputTable[GroupByKey]=OutputTable[[#This Row],[GroupByKey]])*OutputTable[RecordedValue]))</f>
        <v>13</v>
      </c>
      <c r="P280" s="5" cm="1">
        <f t="array" ref="P280">MAX(IF((OutputTable[GroupByKey]=OutputTable[[#This Row],[GroupByKey]]),(OutputTable[GroupByKey]=OutputTable[[#This Row],[GroupByKey]])*OutputTable[RecordedValue]))</f>
        <v>20</v>
      </c>
    </row>
    <row r="281" spans="1:16" x14ac:dyDescent="0.25">
      <c r="A281" t="s">
        <v>67</v>
      </c>
      <c r="B281" t="s">
        <v>69</v>
      </c>
      <c r="C281">
        <v>14</v>
      </c>
      <c r="D281" t="s">
        <v>154</v>
      </c>
      <c r="E281" t="s">
        <v>145</v>
      </c>
      <c r="F281" t="s">
        <v>72</v>
      </c>
      <c r="G281">
        <v>105</v>
      </c>
      <c r="H281">
        <v>0</v>
      </c>
      <c r="I281" s="5" t="str">
        <f>OutputTable[[#This Row],[ProjectName]]&amp;OutputTable[[#This Row],[Name]]&amp;OutputTable[[#This Row],[Type]]&amp;OutputTable[[#This Row],[Source]]</f>
        <v>Weekend (base)Orden.NumberInNumber InEntity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17</v>
      </c>
      <c r="K281" s="5" cm="1">
        <f t="array" ref="K281">IFERROR(AVERAGE(IF((OutputTable[GroupByKey]=OutputTable[[#This Row],[GroupByKey]]),(OutputTable[GroupByKey]=OutputTable[[#This Row],[GroupByKey]])*OutputTable[RecordedValue])),0)</f>
        <v>117.35294117647059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7.1496606254299602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81" s="5" cm="1">
        <f t="array" ref="O281">MIN(IF((OutputTable[GroupByKey]=OutputTable[[#This Row],[GroupByKey]]),(OutputTable[GroupByKey]=OutputTable[[#This Row],[GroupByKey]])*OutputTable[RecordedValue]))</f>
        <v>105</v>
      </c>
      <c r="P281" s="5" cm="1">
        <f t="array" ref="P281">MAX(IF((OutputTable[GroupByKey]=OutputTable[[#This Row],[GroupByKey]]),(OutputTable[GroupByKey]=OutputTable[[#This Row],[GroupByKey]])*OutputTable[RecordedValue]))</f>
        <v>131</v>
      </c>
    </row>
    <row r="282" spans="1:16" x14ac:dyDescent="0.25">
      <c r="A282" t="s">
        <v>67</v>
      </c>
      <c r="B282" t="s">
        <v>69</v>
      </c>
      <c r="C282">
        <v>14</v>
      </c>
      <c r="D282" t="s">
        <v>155</v>
      </c>
      <c r="E282" t="s">
        <v>147</v>
      </c>
      <c r="F282" t="s">
        <v>72</v>
      </c>
      <c r="G282">
        <v>108</v>
      </c>
      <c r="H282">
        <v>0</v>
      </c>
      <c r="I282" s="5" t="str">
        <f>OutputTable[[#This Row],[ProjectName]]&amp;OutputTable[[#This Row],[Name]]&amp;OutputTable[[#This Row],[Type]]&amp;OutputTable[[#This Row],[Source]]</f>
        <v>Weekend (base)Orden.NumberOutNumber OutEntity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17</v>
      </c>
      <c r="K282" s="5" cm="1">
        <f t="array" ref="K282">IFERROR(AVERAGE(IF((OutputTable[GroupByKey]=OutputTable[[#This Row],[GroupByKey]]),(OutputTable[GroupByKey]=OutputTable[[#This Row],[GroupByKey]])*OutputTable[RecordedValue])),0)</f>
        <v>118.76470588235294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7.0580575564802697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82" s="5" cm="1">
        <f t="array" ref="O282">MIN(IF((OutputTable[GroupByKey]=OutputTable[[#This Row],[GroupByKey]]),(OutputTable[GroupByKey]=OutputTable[[#This Row],[GroupByKey]])*OutputTable[RecordedValue]))</f>
        <v>107</v>
      </c>
      <c r="P282" s="5" cm="1">
        <f t="array" ref="P282">MAX(IF((OutputTable[GroupByKey]=OutputTable[[#This Row],[GroupByKey]]),(OutputTable[GroupByKey]=OutputTable[[#This Row],[GroupByKey]])*OutputTable[RecordedValue]))</f>
        <v>130</v>
      </c>
    </row>
    <row r="283" spans="1:16" x14ac:dyDescent="0.25">
      <c r="A283" t="s">
        <v>67</v>
      </c>
      <c r="B283" t="s">
        <v>69</v>
      </c>
      <c r="C283">
        <v>14</v>
      </c>
      <c r="D283" t="s">
        <v>156</v>
      </c>
      <c r="E283" t="s">
        <v>149</v>
      </c>
      <c r="F283" t="s">
        <v>86</v>
      </c>
      <c r="G283">
        <v>194.96458818170899</v>
      </c>
      <c r="H283">
        <v>0</v>
      </c>
      <c r="I283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17</v>
      </c>
      <c r="K283" s="5" cm="1">
        <f t="array" ref="K283">IFERROR(AVERAGE(IF((OutputTable[GroupByKey]=OutputTable[[#This Row],[GroupByKey]]),(OutputTable[GroupByKey]=OutputTable[[#This Row],[GroupByKey]])*OutputTable[RecordedValue])),0)</f>
        <v>191.25148078330704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16.886201618463961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283" s="5" cm="1">
        <f t="array" ref="O283">MIN(IF((OutputTable[GroupByKey]=OutputTable[[#This Row],[GroupByKey]]),(OutputTable[GroupByKey]=OutputTable[[#This Row],[GroupByKey]])*OutputTable[RecordedValue]))</f>
        <v>159.38722481493599</v>
      </c>
      <c r="P283" s="5" cm="1">
        <f t="array" ref="P283">MAX(IF((OutputTable[GroupByKey]=OutputTable[[#This Row],[GroupByKey]]),(OutputTable[GroupByKey]=OutputTable[[#This Row],[GroupByKey]])*OutputTable[RecordedValue]))</f>
        <v>225.02992874035499</v>
      </c>
    </row>
    <row r="284" spans="1:16" x14ac:dyDescent="0.25">
      <c r="A284" t="s">
        <v>67</v>
      </c>
      <c r="B284" t="s">
        <v>69</v>
      </c>
      <c r="C284">
        <v>14</v>
      </c>
      <c r="D284" t="s">
        <v>157</v>
      </c>
      <c r="E284" t="s">
        <v>151</v>
      </c>
      <c r="F284" t="s">
        <v>86</v>
      </c>
      <c r="G284">
        <v>88.673747288575598</v>
      </c>
      <c r="H284">
        <v>0</v>
      </c>
      <c r="I284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17</v>
      </c>
      <c r="K284" s="5" cm="1">
        <f t="array" ref="K284">IFERROR(AVERAGE(IF((OutputTable[GroupByKey]=OutputTable[[#This Row],[GroupByKey]]),(OutputTable[GroupByKey]=OutputTable[[#This Row],[GroupByKey]])*OutputTable[RecordedValue])),0)</f>
        <v>133.66503743442436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79.508986996493206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284" s="5" cm="1">
        <f t="array" ref="O284">MIN(IF((OutputTable[GroupByKey]=OutputTable[[#This Row],[GroupByKey]]),(OutputTable[GroupByKey]=OutputTable[[#This Row],[GroupByKey]])*OutputTable[RecordedValue]))</f>
        <v>36.437518321990602</v>
      </c>
      <c r="P284" s="5" cm="1">
        <f t="array" ref="P284">MAX(IF((OutputTable[GroupByKey]=OutputTable[[#This Row],[GroupByKey]]),(OutputTable[GroupByKey]=OutputTable[[#This Row],[GroupByKey]])*OutputTable[RecordedValue]))</f>
        <v>324.91710015892198</v>
      </c>
    </row>
    <row r="285" spans="1:16" x14ac:dyDescent="0.25">
      <c r="A285" t="s">
        <v>67</v>
      </c>
      <c r="B285" t="s">
        <v>69</v>
      </c>
      <c r="C285">
        <v>14</v>
      </c>
      <c r="D285" t="s">
        <v>158</v>
      </c>
      <c r="E285" t="s">
        <v>145</v>
      </c>
      <c r="F285" t="s">
        <v>86</v>
      </c>
      <c r="G285">
        <v>105</v>
      </c>
      <c r="H285">
        <v>0</v>
      </c>
      <c r="I285" s="5" t="str">
        <f>OutputTable[[#This Row],[ProjectName]]&amp;OutputTable[[#This Row],[Name]]&amp;OutputTable[[#This Row],[Type]]&amp;OutputTable[[#This Row],[Source]]</f>
        <v>Weekend (base)Preparacion Number InNumber InProcess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17</v>
      </c>
      <c r="K285" s="5" cm="1">
        <f t="array" ref="K285">IFERROR(AVERAGE(IF((OutputTable[GroupByKey]=OutputTable[[#This Row],[GroupByKey]]),(OutputTable[GroupByKey]=OutputTable[[#This Row],[GroupByKey]])*OutputTable[RecordedValue])),0)</f>
        <v>117.35294117647059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7.1496606254299602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285" s="5" cm="1">
        <f t="array" ref="O285">MIN(IF((OutputTable[GroupByKey]=OutputTable[[#This Row],[GroupByKey]]),(OutputTable[GroupByKey]=OutputTable[[#This Row],[GroupByKey]])*OutputTable[RecordedValue]))</f>
        <v>105</v>
      </c>
      <c r="P285" s="5" cm="1">
        <f t="array" ref="P285">MAX(IF((OutputTable[GroupByKey]=OutputTable[[#This Row],[GroupByKey]]),(OutputTable[GroupByKey]=OutputTable[[#This Row],[GroupByKey]])*OutputTable[RecordedValue]))</f>
        <v>131</v>
      </c>
    </row>
    <row r="286" spans="1:16" x14ac:dyDescent="0.25">
      <c r="A286" t="s">
        <v>67</v>
      </c>
      <c r="B286" t="s">
        <v>69</v>
      </c>
      <c r="C286">
        <v>14</v>
      </c>
      <c r="D286" t="s">
        <v>159</v>
      </c>
      <c r="E286" t="s">
        <v>147</v>
      </c>
      <c r="F286" t="s">
        <v>86</v>
      </c>
      <c r="G286">
        <v>110</v>
      </c>
      <c r="H286">
        <v>0</v>
      </c>
      <c r="I286" s="5" t="str">
        <f>OutputTable[[#This Row],[ProjectName]]&amp;OutputTable[[#This Row],[Name]]&amp;OutputTable[[#This Row],[Type]]&amp;OutputTable[[#This Row],[Source]]</f>
        <v>Weekend (base)Preparacion Number OutNumber OutProcess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17</v>
      </c>
      <c r="K286" s="5" cm="1">
        <f t="array" ref="K286">IFERROR(AVERAGE(IF((OutputTable[GroupByKey]=OutputTable[[#This Row],[GroupByKey]]),(OutputTable[GroupByKey]=OutputTable[[#This Row],[GroupByKey]])*OutputTable[RecordedValue])),0)</f>
        <v>118.82352941176471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6.9931689358048459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286" s="5" cm="1">
        <f t="array" ref="O286">MIN(IF((OutputTable[GroupByKey]=OutputTable[[#This Row],[GroupByKey]]),(OutputTable[GroupByKey]=OutputTable[[#This Row],[GroupByKey]])*OutputTable[RecordedValue]))</f>
        <v>108</v>
      </c>
      <c r="P286" s="5" cm="1">
        <f t="array" ref="P286">MAX(IF((OutputTable[GroupByKey]=OutputTable[[#This Row],[GroupByKey]]),(OutputTable[GroupByKey]=OutputTable[[#This Row],[GroupByKey]])*OutputTable[RecordedValue]))</f>
        <v>132</v>
      </c>
    </row>
    <row r="287" spans="1:16" x14ac:dyDescent="0.25">
      <c r="A287" t="s">
        <v>67</v>
      </c>
      <c r="B287" t="s">
        <v>69</v>
      </c>
      <c r="C287">
        <v>14</v>
      </c>
      <c r="D287" t="s">
        <v>160</v>
      </c>
      <c r="E287" t="s">
        <v>147</v>
      </c>
      <c r="F287" t="s">
        <v>161</v>
      </c>
      <c r="G287">
        <v>111</v>
      </c>
      <c r="H287">
        <v>0</v>
      </c>
      <c r="I287" s="5" t="str">
        <f>OutputTable[[#This Row],[ProjectName]]&amp;OutputTable[[#This Row],[Name]]&amp;OutputTable[[#This Row],[Type]]&amp;OutputTable[[#This Row],[Source]]</f>
        <v>Weekend (base)System.NumberOutNumber OutSystem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17</v>
      </c>
      <c r="K287" s="5" cm="1">
        <f t="array" ref="K287">IFERROR(AVERAGE(IF((OutputTable[GroupByKey]=OutputTable[[#This Row],[GroupByKey]]),(OutputTable[GroupByKey]=OutputTable[[#This Row],[GroupByKey]])*OutputTable[RecordedValue])),0)</f>
        <v>121.76470588235294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7.0580575564802697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287" s="5" cm="1">
        <f t="array" ref="O287">MIN(IF((OutputTable[GroupByKey]=OutputTable[[#This Row],[GroupByKey]]),(OutputTable[GroupByKey]=OutputTable[[#This Row],[GroupByKey]])*OutputTable[RecordedValue]))</f>
        <v>110</v>
      </c>
      <c r="P287" s="5" cm="1">
        <f t="array" ref="P287">MAX(IF((OutputTable[GroupByKey]=OutputTable[[#This Row],[GroupByKey]]),(OutputTable[GroupByKey]=OutputTable[[#This Row],[GroupByKey]])*OutputTable[RecordedValue]))</f>
        <v>133</v>
      </c>
    </row>
    <row r="288" spans="1:16" x14ac:dyDescent="0.25">
      <c r="A288" t="s">
        <v>67</v>
      </c>
      <c r="B288" t="s">
        <v>69</v>
      </c>
      <c r="C288">
        <v>14</v>
      </c>
      <c r="D288" t="s">
        <v>162</v>
      </c>
      <c r="E288" t="s">
        <v>163</v>
      </c>
      <c r="F288" t="s">
        <v>136</v>
      </c>
      <c r="G288">
        <v>154</v>
      </c>
      <c r="H288">
        <v>0</v>
      </c>
      <c r="I288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17</v>
      </c>
      <c r="K288" s="5" cm="1">
        <f t="array" ref="K288">IFERROR(AVERAGE(IF((OutputTable[GroupByKey]=OutputTable[[#This Row],[GroupByKey]]),(OutputTable[GroupByKey]=OutputTable[[#This Row],[GroupByKey]])*OutputTable[RecordedValue])),0)</f>
        <v>162.1764705882353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10.100960932738323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288" s="5" cm="1">
        <f t="array" ref="O288">MIN(IF((OutputTable[GroupByKey]=OutputTable[[#This Row],[GroupByKey]]),(OutputTable[GroupByKey]=OutputTable[[#This Row],[GroupByKey]])*OutputTable[RecordedValue]))</f>
        <v>147</v>
      </c>
      <c r="P288" s="5" cm="1">
        <f t="array" ref="P288">MAX(IF((OutputTable[GroupByKey]=OutputTable[[#This Row],[GroupByKey]]),(OutputTable[GroupByKey]=OutputTable[[#This Row],[GroupByKey]])*OutputTable[RecordedValue]))</f>
        <v>183</v>
      </c>
    </row>
    <row r="289" spans="1:16" x14ac:dyDescent="0.25">
      <c r="A289" t="s">
        <v>67</v>
      </c>
      <c r="B289" t="s">
        <v>69</v>
      </c>
      <c r="C289">
        <v>14</v>
      </c>
      <c r="D289" t="s">
        <v>164</v>
      </c>
      <c r="E289" t="s">
        <v>165</v>
      </c>
      <c r="F289" t="s">
        <v>136</v>
      </c>
      <c r="G289">
        <v>0.87240837809518301</v>
      </c>
      <c r="H289">
        <v>0</v>
      </c>
      <c r="I289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17</v>
      </c>
      <c r="K289" s="5" cm="1">
        <f t="array" ref="K289">IFERROR(AVERAGE(IF((OutputTable[GroupByKey]=OutputTable[[#This Row],[GroupByKey]]),(OutputTable[GroupByKey]=OutputTable[[#This Row],[GroupByKey]])*OutputTable[RecordedValue])),0)</f>
        <v>0.82034721885470152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6.5495768324500853E-2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289" s="5" cm="1">
        <f t="array" ref="O289">MIN(IF((OutputTable[GroupByKey]=OutputTable[[#This Row],[GroupByKey]]),(OutputTable[GroupByKey]=OutputTable[[#This Row],[GroupByKey]])*OutputTable[RecordedValue]))</f>
        <v>0.73534383204610498</v>
      </c>
      <c r="P289" s="5" cm="1">
        <f t="array" ref="P289">MAX(IF((OutputTable[GroupByKey]=OutputTable[[#This Row],[GroupByKey]]),(OutputTable[GroupByKey]=OutputTable[[#This Row],[GroupByKey]])*OutputTable[RecordedValue]))</f>
        <v>0.95888680213271504</v>
      </c>
    </row>
    <row r="290" spans="1:16" x14ac:dyDescent="0.25">
      <c r="A290" t="s">
        <v>67</v>
      </c>
      <c r="B290" t="s">
        <v>69</v>
      </c>
      <c r="C290">
        <v>14</v>
      </c>
      <c r="D290" t="s">
        <v>166</v>
      </c>
      <c r="E290" t="s">
        <v>163</v>
      </c>
      <c r="F290" t="s">
        <v>136</v>
      </c>
      <c r="G290">
        <v>60</v>
      </c>
      <c r="H290">
        <v>0</v>
      </c>
      <c r="I290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17</v>
      </c>
      <c r="K290" s="5" cm="1">
        <f t="array" ref="K290">IFERROR(AVERAGE(IF((OutputTable[GroupByKey]=OutputTable[[#This Row],[GroupByKey]]),(OutputTable[GroupByKey]=OutputTable[[#This Row],[GroupByKey]])*OutputTable[RecordedValue])),0)</f>
        <v>73.764705882352942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6.2302629535669061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290" s="5" cm="1">
        <f t="array" ref="O290">MIN(IF((OutputTable[GroupByKey]=OutputTable[[#This Row],[GroupByKey]]),(OutputTable[GroupByKey]=OutputTable[[#This Row],[GroupByKey]])*OutputTable[RecordedValue]))</f>
        <v>60</v>
      </c>
      <c r="P290" s="5" cm="1">
        <f t="array" ref="P290">MAX(IF((OutputTable[GroupByKey]=OutputTable[[#This Row],[GroupByKey]]),(OutputTable[GroupByKey]=OutputTable[[#This Row],[GroupByKey]])*OutputTable[RecordedValue]))</f>
        <v>84</v>
      </c>
    </row>
    <row r="291" spans="1:16" x14ac:dyDescent="0.25">
      <c r="A291" t="s">
        <v>67</v>
      </c>
      <c r="B291" t="s">
        <v>69</v>
      </c>
      <c r="C291">
        <v>14</v>
      </c>
      <c r="D291" t="s">
        <v>167</v>
      </c>
      <c r="E291" t="s">
        <v>165</v>
      </c>
      <c r="F291" t="s">
        <v>136</v>
      </c>
      <c r="G291">
        <v>0.56997786792460803</v>
      </c>
      <c r="H291">
        <v>0</v>
      </c>
      <c r="I291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17</v>
      </c>
      <c r="K291" s="5" cm="1">
        <f t="array" ref="K291">IFERROR(AVERAGE(IF((OutputTable[GroupByKey]=OutputTable[[#This Row],[GroupByKey]]),(OutputTable[GroupByKey]=OutputTable[[#This Row],[GroupByKey]])*OutputTable[RecordedValue])),0)</f>
        <v>0.66010861965703893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6.6171154002911237E-2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291" s="5" cm="1">
        <f t="array" ref="O291">MIN(IF((OutputTable[GroupByKey]=OutputTable[[#This Row],[GroupByKey]]),(OutputTable[GroupByKey]=OutputTable[[#This Row],[GroupByKey]])*OutputTable[RecordedValue]))</f>
        <v>0.52223972091576099</v>
      </c>
      <c r="P291" s="5" cm="1">
        <f t="array" ref="P291">MAX(IF((OutputTable[GroupByKey]=OutputTable[[#This Row],[GroupByKey]]),(OutputTable[GroupByKey]=OutputTable[[#This Row],[GroupByKey]])*OutputTable[RecordedValue]))</f>
        <v>0.77852312806092006</v>
      </c>
    </row>
    <row r="292" spans="1:16" x14ac:dyDescent="0.25">
      <c r="A292" t="s">
        <v>67</v>
      </c>
      <c r="B292" t="s">
        <v>69</v>
      </c>
      <c r="C292">
        <v>14</v>
      </c>
      <c r="D292" t="s">
        <v>168</v>
      </c>
      <c r="E292" t="s">
        <v>163</v>
      </c>
      <c r="F292" t="s">
        <v>136</v>
      </c>
      <c r="G292">
        <v>15</v>
      </c>
      <c r="H292">
        <v>0</v>
      </c>
      <c r="I292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17</v>
      </c>
      <c r="K292" s="5" cm="1">
        <f t="array" ref="K292">IFERROR(AVERAGE(IF((OutputTable[GroupByKey]=OutputTable[[#This Row],[GroupByKey]]),(OutputTable[GroupByKey]=OutputTable[[#This Row],[GroupByKey]])*OutputTable[RecordedValue])),0)</f>
        <v>16.941176470588236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3.0097879542273018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292" s="5" cm="1">
        <f t="array" ref="O292">MIN(IF((OutputTable[GroupByKey]=OutputTable[[#This Row],[GroupByKey]]),(OutputTable[GroupByKey]=OutputTable[[#This Row],[GroupByKey]])*OutputTable[RecordedValue]))</f>
        <v>12</v>
      </c>
      <c r="P292" s="5" cm="1">
        <f t="array" ref="P292">MAX(IF((OutputTable[GroupByKey]=OutputTable[[#This Row],[GroupByKey]]),(OutputTable[GroupByKey]=OutputTable[[#This Row],[GroupByKey]])*OutputTable[RecordedValue]))</f>
        <v>22</v>
      </c>
    </row>
    <row r="293" spans="1:16" x14ac:dyDescent="0.25">
      <c r="A293" t="s">
        <v>67</v>
      </c>
      <c r="B293" t="s">
        <v>69</v>
      </c>
      <c r="C293">
        <v>14</v>
      </c>
      <c r="D293" t="s">
        <v>169</v>
      </c>
      <c r="E293" t="s">
        <v>165</v>
      </c>
      <c r="F293" t="s">
        <v>136</v>
      </c>
      <c r="G293">
        <v>0.27506719351973202</v>
      </c>
      <c r="H293">
        <v>0</v>
      </c>
      <c r="I293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17</v>
      </c>
      <c r="K293" s="5" cm="1">
        <f t="array" ref="K293">IFERROR(AVERAGE(IF((OutputTable[GroupByKey]=OutputTable[[#This Row],[GroupByKey]]),(OutputTable[GroupByKey]=OutputTable[[#This Row],[GroupByKey]])*OutputTable[RecordedValue])),0)</f>
        <v>0.34356399197544252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7.597675013665138E-2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293" s="5" cm="1">
        <f t="array" ref="O293">MIN(IF((OutputTable[GroupByKey]=OutputTable[[#This Row],[GroupByKey]]),(OutputTable[GroupByKey]=OutputTable[[#This Row],[GroupByKey]])*OutputTable[RecordedValue]))</f>
        <v>0.20879044077011299</v>
      </c>
      <c r="P293" s="5" cm="1">
        <f t="array" ref="P293">MAX(IF((OutputTable[GroupByKey]=OutputTable[[#This Row],[GroupByKey]]),(OutputTable[GroupByKey]=OutputTable[[#This Row],[GroupByKey]])*OutputTable[RecordedValue]))</f>
        <v>0.53820629377380302</v>
      </c>
    </row>
    <row r="294" spans="1:16" x14ac:dyDescent="0.25">
      <c r="A294" t="s">
        <v>67</v>
      </c>
      <c r="B294" t="s">
        <v>69</v>
      </c>
      <c r="C294">
        <v>14</v>
      </c>
      <c r="D294" t="s">
        <v>170</v>
      </c>
      <c r="E294" t="s">
        <v>145</v>
      </c>
      <c r="F294" t="s">
        <v>72</v>
      </c>
      <c r="G294">
        <v>3</v>
      </c>
      <c r="H294">
        <v>0</v>
      </c>
      <c r="I294" s="5" t="str">
        <f>OutputTable[[#This Row],[ProjectName]]&amp;OutputTable[[#This Row],[Name]]&amp;OutputTable[[#This Row],[Type]]&amp;OutputTable[[#This Row],[Source]]</f>
        <v>Weekend (base)reloj.NumberInNumber InEntity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17</v>
      </c>
      <c r="K294" s="5" cm="1">
        <f t="array" ref="K294">IFERROR(AVERAGE(IF((OutputTable[GroupByKey]=OutputTable[[#This Row],[GroupByKey]]),(OutputTable[GroupByKey]=OutputTable[[#This Row],[GroupByKey]])*OutputTable[RecordedValue])),0)</f>
        <v>3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" s="5" cm="1">
        <f t="array" ref="O294">MIN(IF((OutputTable[GroupByKey]=OutputTable[[#This Row],[GroupByKey]]),(OutputTable[GroupByKey]=OutputTable[[#This Row],[GroupByKey]])*OutputTable[RecordedValue]))</f>
        <v>3</v>
      </c>
      <c r="P294" s="5" cm="1">
        <f t="array" ref="P294">MAX(IF((OutputTable[GroupByKey]=OutputTable[[#This Row],[GroupByKey]]),(OutputTable[GroupByKey]=OutputTable[[#This Row],[GroupByKey]])*OutputTable[RecordedValue]))</f>
        <v>3</v>
      </c>
    </row>
    <row r="295" spans="1:16" x14ac:dyDescent="0.25">
      <c r="A295" t="s">
        <v>67</v>
      </c>
      <c r="B295" t="s">
        <v>69</v>
      </c>
      <c r="C295">
        <v>14</v>
      </c>
      <c r="D295" t="s">
        <v>171</v>
      </c>
      <c r="E295" t="s">
        <v>147</v>
      </c>
      <c r="F295" t="s">
        <v>72</v>
      </c>
      <c r="G295">
        <v>3</v>
      </c>
      <c r="H295">
        <v>0</v>
      </c>
      <c r="I295" s="5" t="str">
        <f>OutputTable[[#This Row],[ProjectName]]&amp;OutputTable[[#This Row],[Name]]&amp;OutputTable[[#This Row],[Type]]&amp;OutputTable[[#This Row],[Source]]</f>
        <v>Weekend (base)reloj.NumberOutNumber OutEntity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17</v>
      </c>
      <c r="K295" s="5" cm="1">
        <f t="array" ref="K295">IFERROR(AVERAGE(IF((OutputTable[GroupByKey]=OutputTable[[#This Row],[GroupByKey]]),(OutputTable[GroupByKey]=OutputTable[[#This Row],[GroupByKey]])*OutputTable[RecordedValue])),0)</f>
        <v>3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3</v>
      </c>
      <c r="P295" s="5" cm="1">
        <f t="array" ref="P295">MAX(IF((OutputTable[GroupByKey]=OutputTable[[#This Row],[GroupByKey]]),(OutputTable[GroupByKey]=OutputTable[[#This Row],[GroupByKey]])*OutputTable[RecordedValue]))</f>
        <v>3</v>
      </c>
    </row>
    <row r="296" spans="1:16" x14ac:dyDescent="0.25">
      <c r="A296" t="s">
        <v>67</v>
      </c>
      <c r="B296" t="s">
        <v>69</v>
      </c>
      <c r="C296">
        <v>15</v>
      </c>
      <c r="D296" t="s">
        <v>144</v>
      </c>
      <c r="E296" t="s">
        <v>145</v>
      </c>
      <c r="F296" t="s">
        <v>72</v>
      </c>
      <c r="G296">
        <v>348</v>
      </c>
      <c r="H296">
        <v>0</v>
      </c>
      <c r="I296" s="5" t="str">
        <f>OutputTable[[#This Row],[ProjectName]]&amp;OutputTable[[#This Row],[Name]]&amp;OutputTable[[#This Row],[Type]]&amp;OutputTable[[#This Row],[Source]]</f>
        <v>Weekend (base)Cliente.NumberInNumber InEntity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17</v>
      </c>
      <c r="K296" s="5" cm="1">
        <f t="array" ref="K296">IFERROR(AVERAGE(IF((OutputTable[GroupByKey]=OutputTable[[#This Row],[GroupByKey]]),(OutputTable[GroupByKey]=OutputTable[[#This Row],[GroupByKey]])*OutputTable[RecordedValue])),0)</f>
        <v>354.11764705882354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19.776508643277939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296" s="5" cm="1">
        <f t="array" ref="O296">MIN(IF((OutputTable[GroupByKey]=OutputTable[[#This Row],[GroupByKey]]),(OutputTable[GroupByKey]=OutputTable[[#This Row],[GroupByKey]])*OutputTable[RecordedValue]))</f>
        <v>316</v>
      </c>
      <c r="P296" s="5" cm="1">
        <f t="array" ref="P296">MAX(IF((OutputTable[GroupByKey]=OutputTable[[#This Row],[GroupByKey]]),(OutputTable[GroupByKey]=OutputTable[[#This Row],[GroupByKey]])*OutputTable[RecordedValue]))</f>
        <v>387</v>
      </c>
    </row>
    <row r="297" spans="1:16" x14ac:dyDescent="0.25">
      <c r="A297" t="s">
        <v>67</v>
      </c>
      <c r="B297" t="s">
        <v>69</v>
      </c>
      <c r="C297">
        <v>15</v>
      </c>
      <c r="D297" t="s">
        <v>146</v>
      </c>
      <c r="E297" t="s">
        <v>147</v>
      </c>
      <c r="F297" t="s">
        <v>72</v>
      </c>
      <c r="G297">
        <v>351</v>
      </c>
      <c r="H297">
        <v>0</v>
      </c>
      <c r="I297" s="5" t="str">
        <f>OutputTable[[#This Row],[ProjectName]]&amp;OutputTable[[#This Row],[Name]]&amp;OutputTable[[#This Row],[Type]]&amp;OutputTable[[#This Row],[Source]]</f>
        <v>Weekend (base)Cliente.NumberOutNumber OutEntity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17</v>
      </c>
      <c r="K297" s="5" cm="1">
        <f t="array" ref="K297">IFERROR(AVERAGE(IF((OutputTable[GroupByKey]=OutputTable[[#This Row],[GroupByKey]]),(OutputTable[GroupByKey]=OutputTable[[#This Row],[GroupByKey]])*OutputTable[RecordedValue])),0)</f>
        <v>354.88235294117646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20.951975900082719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297" s="5" cm="1">
        <f t="array" ref="O297">MIN(IF((OutputTable[GroupByKey]=OutputTable[[#This Row],[GroupByKey]]),(OutputTable[GroupByKey]=OutputTable[[#This Row],[GroupByKey]])*OutputTable[RecordedValue]))</f>
        <v>319</v>
      </c>
      <c r="P297" s="5" cm="1">
        <f t="array" ref="P297">MAX(IF((OutputTable[GroupByKey]=OutputTable[[#This Row],[GroupByKey]]),(OutputTable[GroupByKey]=OutputTable[[#This Row],[GroupByKey]])*OutputTable[RecordedValue]))</f>
        <v>391</v>
      </c>
    </row>
    <row r="298" spans="1:16" x14ac:dyDescent="0.25">
      <c r="A298" t="s">
        <v>67</v>
      </c>
      <c r="B298" t="s">
        <v>69</v>
      </c>
      <c r="C298">
        <v>15</v>
      </c>
      <c r="D298" t="s">
        <v>148</v>
      </c>
      <c r="E298" t="s">
        <v>149</v>
      </c>
      <c r="F298" t="s">
        <v>86</v>
      </c>
      <c r="G298">
        <v>357.183820542604</v>
      </c>
      <c r="H298">
        <v>0</v>
      </c>
      <c r="I298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17</v>
      </c>
      <c r="K298" s="5" cm="1">
        <f t="array" ref="K298">IFERROR(AVERAGE(IF((OutputTable[GroupByKey]=OutputTable[[#This Row],[GroupByKey]]),(OutputTable[GroupByKey]=OutputTable[[#This Row],[GroupByKey]])*OutputTable[RecordedValue])),0)</f>
        <v>308.63553444706355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57.365542312184125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298" s="5" cm="1">
        <f t="array" ref="O298">MIN(IF((OutputTable[GroupByKey]=OutputTable[[#This Row],[GroupByKey]]),(OutputTable[GroupByKey]=OutputTable[[#This Row],[GroupByKey]])*OutputTable[RecordedValue]))</f>
        <v>225.161235126317</v>
      </c>
      <c r="P298" s="5" cm="1">
        <f t="array" ref="P298">MAX(IF((OutputTable[GroupByKey]=OutputTable[[#This Row],[GroupByKey]]),(OutputTable[GroupByKey]=OutputTable[[#This Row],[GroupByKey]])*OutputTable[RecordedValue]))</f>
        <v>456.33427551718</v>
      </c>
    </row>
    <row r="299" spans="1:16" x14ac:dyDescent="0.25">
      <c r="A299" t="s">
        <v>67</v>
      </c>
      <c r="B299" t="s">
        <v>69</v>
      </c>
      <c r="C299">
        <v>15</v>
      </c>
      <c r="D299" t="s">
        <v>150</v>
      </c>
      <c r="E299" t="s">
        <v>151</v>
      </c>
      <c r="F299" t="s">
        <v>86</v>
      </c>
      <c r="G299">
        <v>0</v>
      </c>
      <c r="H299">
        <v>0</v>
      </c>
      <c r="I299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17</v>
      </c>
      <c r="K299" s="5" cm="1">
        <f t="array" ref="K299">IFERROR(AVERAGE(IF((OutputTable[GroupByKey]=OutputTable[[#This Row],[GroupByKey]]),(OutputTable[GroupByKey]=OutputTable[[#This Row],[GroupByKey]])*OutputTable[RecordedValue])),0)</f>
        <v>0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0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 cm="1">
        <f t="array" ref="O299">MIN(IF((OutputTable[GroupByKey]=OutputTable[[#This Row],[GroupByKey]]),(OutputTable[GroupByKey]=OutputTable[[#This Row],[GroupByKey]])*OutputTable[RecordedValue]))</f>
        <v>0</v>
      </c>
      <c r="P299" s="5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67</v>
      </c>
      <c r="B300" t="s">
        <v>69</v>
      </c>
      <c r="C300">
        <v>15</v>
      </c>
      <c r="D300" t="s">
        <v>152</v>
      </c>
      <c r="E300" t="s">
        <v>145</v>
      </c>
      <c r="F300" t="s">
        <v>86</v>
      </c>
      <c r="G300">
        <v>16</v>
      </c>
      <c r="H300">
        <v>0</v>
      </c>
      <c r="I300" s="5" t="str">
        <f>OutputTable[[#This Row],[ProjectName]]&amp;OutputTable[[#This Row],[Name]]&amp;OutputTable[[#This Row],[Type]]&amp;OutputTable[[#This Row],[Source]]</f>
        <v>Weekend (base)Comer en Mesa Number InNumber InProcess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17</v>
      </c>
      <c r="K300" s="5" cm="1">
        <f t="array" ref="K300">IFERROR(AVERAGE(IF((OutputTable[GroupByKey]=OutputTable[[#This Row],[GroupByKey]]),(OutputTable[GroupByKey]=OutputTable[[#This Row],[GroupByKey]])*OutputTable[RecordedValue])),0)</f>
        <v>16.941176470588236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3.0097879542273018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300" s="5" cm="1">
        <f t="array" ref="O300">MIN(IF((OutputTable[GroupByKey]=OutputTable[[#This Row],[GroupByKey]]),(OutputTable[GroupByKey]=OutputTable[[#This Row],[GroupByKey]])*OutputTable[RecordedValue]))</f>
        <v>12</v>
      </c>
      <c r="P300" s="5" cm="1">
        <f t="array" ref="P300">MAX(IF((OutputTable[GroupByKey]=OutputTable[[#This Row],[GroupByKey]]),(OutputTable[GroupByKey]=OutputTable[[#This Row],[GroupByKey]])*OutputTable[RecordedValue]))</f>
        <v>22</v>
      </c>
    </row>
    <row r="301" spans="1:16" x14ac:dyDescent="0.25">
      <c r="A301" t="s">
        <v>67</v>
      </c>
      <c r="B301" t="s">
        <v>69</v>
      </c>
      <c r="C301">
        <v>15</v>
      </c>
      <c r="D301" t="s">
        <v>153</v>
      </c>
      <c r="E301" t="s">
        <v>147</v>
      </c>
      <c r="F301" t="s">
        <v>86</v>
      </c>
      <c r="G301">
        <v>16</v>
      </c>
      <c r="H301">
        <v>0</v>
      </c>
      <c r="I301" s="5" t="str">
        <f>OutputTable[[#This Row],[ProjectName]]&amp;OutputTable[[#This Row],[Name]]&amp;OutputTable[[#This Row],[Type]]&amp;OutputTable[[#This Row],[Source]]</f>
        <v>Weekend (base)Comer en Mesa Number OutNumber OutProcess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17</v>
      </c>
      <c r="K301" s="5" cm="1">
        <f t="array" ref="K301">IFERROR(AVERAGE(IF((OutputTable[GroupByKey]=OutputTable[[#This Row],[GroupByKey]]),(OutputTable[GroupByKey]=OutputTable[[#This Row],[GroupByKey]])*OutputTable[RecordedValue])),0)</f>
        <v>16.764705882352942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1.8550408272025261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301" s="5" cm="1">
        <f t="array" ref="O301">MIN(IF((OutputTable[GroupByKey]=OutputTable[[#This Row],[GroupByKey]]),(OutputTable[GroupByKey]=OutputTable[[#This Row],[GroupByKey]])*OutputTable[RecordedValue]))</f>
        <v>13</v>
      </c>
      <c r="P301" s="5" cm="1">
        <f t="array" ref="P301">MAX(IF((OutputTable[GroupByKey]=OutputTable[[#This Row],[GroupByKey]]),(OutputTable[GroupByKey]=OutputTable[[#This Row],[GroupByKey]])*OutputTable[RecordedValue]))</f>
        <v>20</v>
      </c>
    </row>
    <row r="302" spans="1:16" x14ac:dyDescent="0.25">
      <c r="A302" t="s">
        <v>67</v>
      </c>
      <c r="B302" t="s">
        <v>69</v>
      </c>
      <c r="C302">
        <v>15</v>
      </c>
      <c r="D302" t="s">
        <v>154</v>
      </c>
      <c r="E302" t="s">
        <v>145</v>
      </c>
      <c r="F302" t="s">
        <v>72</v>
      </c>
      <c r="G302">
        <v>115</v>
      </c>
      <c r="H302">
        <v>0</v>
      </c>
      <c r="I302" s="5" t="str">
        <f>OutputTable[[#This Row],[ProjectName]]&amp;OutputTable[[#This Row],[Name]]&amp;OutputTable[[#This Row],[Type]]&amp;OutputTable[[#This Row],[Source]]</f>
        <v>Weekend (base)Orden.NumberInNumber InEntity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17</v>
      </c>
      <c r="K302" s="5" cm="1">
        <f t="array" ref="K302">IFERROR(AVERAGE(IF((OutputTable[GroupByKey]=OutputTable[[#This Row],[GroupByKey]]),(OutputTable[GroupByKey]=OutputTable[[#This Row],[GroupByKey]])*OutputTable[RecordedValue])),0)</f>
        <v>117.35294117647059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7.1496606254299602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302" s="5" cm="1">
        <f t="array" ref="O302">MIN(IF((OutputTable[GroupByKey]=OutputTable[[#This Row],[GroupByKey]]),(OutputTable[GroupByKey]=OutputTable[[#This Row],[GroupByKey]])*OutputTable[RecordedValue]))</f>
        <v>105</v>
      </c>
      <c r="P302" s="5" cm="1">
        <f t="array" ref="P302">MAX(IF((OutputTable[GroupByKey]=OutputTable[[#This Row],[GroupByKey]]),(OutputTable[GroupByKey]=OutputTable[[#This Row],[GroupByKey]])*OutputTable[RecordedValue]))</f>
        <v>131</v>
      </c>
    </row>
    <row r="303" spans="1:16" x14ac:dyDescent="0.25">
      <c r="A303" t="s">
        <v>67</v>
      </c>
      <c r="B303" t="s">
        <v>69</v>
      </c>
      <c r="C303">
        <v>15</v>
      </c>
      <c r="D303" t="s">
        <v>155</v>
      </c>
      <c r="E303" t="s">
        <v>147</v>
      </c>
      <c r="F303" t="s">
        <v>72</v>
      </c>
      <c r="G303">
        <v>118</v>
      </c>
      <c r="H303">
        <v>0</v>
      </c>
      <c r="I303" s="5" t="str">
        <f>OutputTable[[#This Row],[ProjectName]]&amp;OutputTable[[#This Row],[Name]]&amp;OutputTable[[#This Row],[Type]]&amp;OutputTable[[#This Row],[Source]]</f>
        <v>Weekend (base)Orden.NumberOutNumber OutEntity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17</v>
      </c>
      <c r="K303" s="5" cm="1">
        <f t="array" ref="K303">IFERROR(AVERAGE(IF((OutputTable[GroupByKey]=OutputTable[[#This Row],[GroupByKey]]),(OutputTable[GroupByKey]=OutputTable[[#This Row],[GroupByKey]])*OutputTable[RecordedValue])),0)</f>
        <v>118.76470588235294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7.0580575564802697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303" s="5" cm="1">
        <f t="array" ref="O303">MIN(IF((OutputTable[GroupByKey]=OutputTable[[#This Row],[GroupByKey]]),(OutputTable[GroupByKey]=OutputTable[[#This Row],[GroupByKey]])*OutputTable[RecordedValue]))</f>
        <v>107</v>
      </c>
      <c r="P303" s="5" cm="1">
        <f t="array" ref="P303">MAX(IF((OutputTable[GroupByKey]=OutputTable[[#This Row],[GroupByKey]]),(OutputTable[GroupByKey]=OutputTable[[#This Row],[GroupByKey]])*OutputTable[RecordedValue]))</f>
        <v>130</v>
      </c>
    </row>
    <row r="304" spans="1:16" x14ac:dyDescent="0.25">
      <c r="A304" t="s">
        <v>67</v>
      </c>
      <c r="B304" t="s">
        <v>69</v>
      </c>
      <c r="C304">
        <v>15</v>
      </c>
      <c r="D304" t="s">
        <v>156</v>
      </c>
      <c r="E304" t="s">
        <v>149</v>
      </c>
      <c r="F304" t="s">
        <v>86</v>
      </c>
      <c r="G304">
        <v>189.614050565517</v>
      </c>
      <c r="H304">
        <v>0</v>
      </c>
      <c r="I304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17</v>
      </c>
      <c r="K304" s="5" cm="1">
        <f t="array" ref="K304">IFERROR(AVERAGE(IF((OutputTable[GroupByKey]=OutputTable[[#This Row],[GroupByKey]]),(OutputTable[GroupByKey]=OutputTable[[#This Row],[GroupByKey]])*OutputTable[RecordedValue])),0)</f>
        <v>191.25148078330704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16.886201618463961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304" s="5" cm="1">
        <f t="array" ref="O304">MIN(IF((OutputTable[GroupByKey]=OutputTable[[#This Row],[GroupByKey]]),(OutputTable[GroupByKey]=OutputTable[[#This Row],[GroupByKey]])*OutputTable[RecordedValue]))</f>
        <v>159.38722481493599</v>
      </c>
      <c r="P304" s="5" cm="1">
        <f t="array" ref="P304">MAX(IF((OutputTable[GroupByKey]=OutputTable[[#This Row],[GroupByKey]]),(OutputTable[GroupByKey]=OutputTable[[#This Row],[GroupByKey]])*OutputTable[RecordedValue]))</f>
        <v>225.02992874035499</v>
      </c>
    </row>
    <row r="305" spans="1:16" x14ac:dyDescent="0.25">
      <c r="A305" t="s">
        <v>67</v>
      </c>
      <c r="B305" t="s">
        <v>69</v>
      </c>
      <c r="C305">
        <v>15</v>
      </c>
      <c r="D305" t="s">
        <v>157</v>
      </c>
      <c r="E305" t="s">
        <v>151</v>
      </c>
      <c r="F305" t="s">
        <v>86</v>
      </c>
      <c r="G305">
        <v>66.797614798232402</v>
      </c>
      <c r="H305">
        <v>0</v>
      </c>
      <c r="I305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17</v>
      </c>
      <c r="K305" s="5" cm="1">
        <f t="array" ref="K305">IFERROR(AVERAGE(IF((OutputTable[GroupByKey]=OutputTable[[#This Row],[GroupByKey]]),(OutputTable[GroupByKey]=OutputTable[[#This Row],[GroupByKey]])*OutputTable[RecordedValue])),0)</f>
        <v>133.66503743442436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79.508986996493206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305" s="5" cm="1">
        <f t="array" ref="O305">MIN(IF((OutputTable[GroupByKey]=OutputTable[[#This Row],[GroupByKey]]),(OutputTable[GroupByKey]=OutputTable[[#This Row],[GroupByKey]])*OutputTable[RecordedValue]))</f>
        <v>36.437518321990602</v>
      </c>
      <c r="P305" s="5" cm="1">
        <f t="array" ref="P305">MAX(IF((OutputTable[GroupByKey]=OutputTable[[#This Row],[GroupByKey]]),(OutputTable[GroupByKey]=OutputTable[[#This Row],[GroupByKey]])*OutputTable[RecordedValue]))</f>
        <v>324.91710015892198</v>
      </c>
    </row>
    <row r="306" spans="1:16" x14ac:dyDescent="0.25">
      <c r="A306" t="s">
        <v>67</v>
      </c>
      <c r="B306" t="s">
        <v>69</v>
      </c>
      <c r="C306">
        <v>15</v>
      </c>
      <c r="D306" t="s">
        <v>158</v>
      </c>
      <c r="E306" t="s">
        <v>145</v>
      </c>
      <c r="F306" t="s">
        <v>86</v>
      </c>
      <c r="G306">
        <v>115</v>
      </c>
      <c r="H306">
        <v>0</v>
      </c>
      <c r="I306" s="5" t="str">
        <f>OutputTable[[#This Row],[ProjectName]]&amp;OutputTable[[#This Row],[Name]]&amp;OutputTable[[#This Row],[Type]]&amp;OutputTable[[#This Row],[Source]]</f>
        <v>Weekend (base)Preparacion Number InNumber InProcess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17</v>
      </c>
      <c r="K306" s="5" cm="1">
        <f t="array" ref="K306">IFERROR(AVERAGE(IF((OutputTable[GroupByKey]=OutputTable[[#This Row],[GroupByKey]]),(OutputTable[GroupByKey]=OutputTable[[#This Row],[GroupByKey]])*OutputTable[RecordedValue])),0)</f>
        <v>117.35294117647059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7.1496606254299602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306" s="5" cm="1">
        <f t="array" ref="O306">MIN(IF((OutputTable[GroupByKey]=OutputTable[[#This Row],[GroupByKey]]),(OutputTable[GroupByKey]=OutputTable[[#This Row],[GroupByKey]])*OutputTable[RecordedValue]))</f>
        <v>105</v>
      </c>
      <c r="P306" s="5" cm="1">
        <f t="array" ref="P306">MAX(IF((OutputTable[GroupByKey]=OutputTable[[#This Row],[GroupByKey]]),(OutputTable[GroupByKey]=OutputTable[[#This Row],[GroupByKey]])*OutputTable[RecordedValue]))</f>
        <v>131</v>
      </c>
    </row>
    <row r="307" spans="1:16" x14ac:dyDescent="0.25">
      <c r="A307" t="s">
        <v>67</v>
      </c>
      <c r="B307" t="s">
        <v>69</v>
      </c>
      <c r="C307">
        <v>15</v>
      </c>
      <c r="D307" t="s">
        <v>159</v>
      </c>
      <c r="E307" t="s">
        <v>147</v>
      </c>
      <c r="F307" t="s">
        <v>86</v>
      </c>
      <c r="G307">
        <v>118</v>
      </c>
      <c r="H307">
        <v>0</v>
      </c>
      <c r="I307" s="5" t="str">
        <f>OutputTable[[#This Row],[ProjectName]]&amp;OutputTable[[#This Row],[Name]]&amp;OutputTable[[#This Row],[Type]]&amp;OutputTable[[#This Row],[Source]]</f>
        <v>Weekend (base)Preparacion Number OutNumber OutProcess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17</v>
      </c>
      <c r="K307" s="5" cm="1">
        <f t="array" ref="K307">IFERROR(AVERAGE(IF((OutputTable[GroupByKey]=OutputTable[[#This Row],[GroupByKey]]),(OutputTable[GroupByKey]=OutputTable[[#This Row],[GroupByKey]])*OutputTable[RecordedValue])),0)</f>
        <v>118.82352941176471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6.9931689358048459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307" s="5" cm="1">
        <f t="array" ref="O307">MIN(IF((OutputTable[GroupByKey]=OutputTable[[#This Row],[GroupByKey]]),(OutputTable[GroupByKey]=OutputTable[[#This Row],[GroupByKey]])*OutputTable[RecordedValue]))</f>
        <v>108</v>
      </c>
      <c r="P307" s="5" cm="1">
        <f t="array" ref="P307">MAX(IF((OutputTable[GroupByKey]=OutputTable[[#This Row],[GroupByKey]]),(OutputTable[GroupByKey]=OutputTable[[#This Row],[GroupByKey]])*OutputTable[RecordedValue]))</f>
        <v>132</v>
      </c>
    </row>
    <row r="308" spans="1:16" x14ac:dyDescent="0.25">
      <c r="A308" t="s">
        <v>67</v>
      </c>
      <c r="B308" t="s">
        <v>69</v>
      </c>
      <c r="C308">
        <v>15</v>
      </c>
      <c r="D308" t="s">
        <v>160</v>
      </c>
      <c r="E308" t="s">
        <v>147</v>
      </c>
      <c r="F308" t="s">
        <v>161</v>
      </c>
      <c r="G308">
        <v>121</v>
      </c>
      <c r="H308">
        <v>0</v>
      </c>
      <c r="I308" s="5" t="str">
        <f>OutputTable[[#This Row],[ProjectName]]&amp;OutputTable[[#This Row],[Name]]&amp;OutputTable[[#This Row],[Type]]&amp;OutputTable[[#This Row],[Source]]</f>
        <v>Weekend (base)System.NumberOutNumber OutSystem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17</v>
      </c>
      <c r="K308" s="5" cm="1">
        <f t="array" ref="K308">IFERROR(AVERAGE(IF((OutputTable[GroupByKey]=OutputTable[[#This Row],[GroupByKey]]),(OutputTable[GroupByKey]=OutputTable[[#This Row],[GroupByKey]])*OutputTable[RecordedValue])),0)</f>
        <v>121.76470588235294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7.0580575564802697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308" s="5" cm="1">
        <f t="array" ref="O308">MIN(IF((OutputTable[GroupByKey]=OutputTable[[#This Row],[GroupByKey]]),(OutputTable[GroupByKey]=OutputTable[[#This Row],[GroupByKey]])*OutputTable[RecordedValue]))</f>
        <v>110</v>
      </c>
      <c r="P308" s="5" cm="1">
        <f t="array" ref="P308">MAX(IF((OutputTable[GroupByKey]=OutputTable[[#This Row],[GroupByKey]]),(OutputTable[GroupByKey]=OutputTable[[#This Row],[GroupByKey]])*OutputTable[RecordedValue]))</f>
        <v>133</v>
      </c>
    </row>
    <row r="309" spans="1:16" x14ac:dyDescent="0.25">
      <c r="A309" t="s">
        <v>67</v>
      </c>
      <c r="B309" t="s">
        <v>69</v>
      </c>
      <c r="C309">
        <v>15</v>
      </c>
      <c r="D309" t="s">
        <v>162</v>
      </c>
      <c r="E309" t="s">
        <v>163</v>
      </c>
      <c r="F309" t="s">
        <v>136</v>
      </c>
      <c r="G309">
        <v>159</v>
      </c>
      <c r="H309">
        <v>0</v>
      </c>
      <c r="I309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17</v>
      </c>
      <c r="K309" s="5" cm="1">
        <f t="array" ref="K309">IFERROR(AVERAGE(IF((OutputTable[GroupByKey]=OutputTable[[#This Row],[GroupByKey]]),(OutputTable[GroupByKey]=OutputTable[[#This Row],[GroupByKey]])*OutputTable[RecordedValue])),0)</f>
        <v>162.1764705882353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10.100960932738323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309" s="5" cm="1">
        <f t="array" ref="O309">MIN(IF((OutputTable[GroupByKey]=OutputTable[[#This Row],[GroupByKey]]),(OutputTable[GroupByKey]=OutputTable[[#This Row],[GroupByKey]])*OutputTable[RecordedValue]))</f>
        <v>147</v>
      </c>
      <c r="P309" s="5" cm="1">
        <f t="array" ref="P309">MAX(IF((OutputTable[GroupByKey]=OutputTable[[#This Row],[GroupByKey]]),(OutputTable[GroupByKey]=OutputTable[[#This Row],[GroupByKey]])*OutputTable[RecordedValue]))</f>
        <v>183</v>
      </c>
    </row>
    <row r="310" spans="1:16" x14ac:dyDescent="0.25">
      <c r="A310" t="s">
        <v>67</v>
      </c>
      <c r="B310" t="s">
        <v>69</v>
      </c>
      <c r="C310">
        <v>15</v>
      </c>
      <c r="D310" t="s">
        <v>164</v>
      </c>
      <c r="E310" t="s">
        <v>165</v>
      </c>
      <c r="F310" t="s">
        <v>136</v>
      </c>
      <c r="G310">
        <v>0.80135619468820696</v>
      </c>
      <c r="H310">
        <v>0</v>
      </c>
      <c r="I310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17</v>
      </c>
      <c r="K310" s="5" cm="1">
        <f t="array" ref="K310">IFERROR(AVERAGE(IF((OutputTable[GroupByKey]=OutputTable[[#This Row],[GroupByKey]]),(OutputTable[GroupByKey]=OutputTable[[#This Row],[GroupByKey]])*OutputTable[RecordedValue])),0)</f>
        <v>0.82034721885470152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6.5495768324500853E-2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310" s="5" cm="1">
        <f t="array" ref="O310">MIN(IF((OutputTable[GroupByKey]=OutputTable[[#This Row],[GroupByKey]]),(OutputTable[GroupByKey]=OutputTable[[#This Row],[GroupByKey]])*OutputTable[RecordedValue]))</f>
        <v>0.73534383204610498</v>
      </c>
      <c r="P310" s="5" cm="1">
        <f t="array" ref="P310">MAX(IF((OutputTable[GroupByKey]=OutputTable[[#This Row],[GroupByKey]]),(OutputTable[GroupByKey]=OutputTable[[#This Row],[GroupByKey]])*OutputTable[RecordedValue]))</f>
        <v>0.95888680213271504</v>
      </c>
    </row>
    <row r="311" spans="1:16" x14ac:dyDescent="0.25">
      <c r="A311" t="s">
        <v>67</v>
      </c>
      <c r="B311" t="s">
        <v>69</v>
      </c>
      <c r="C311">
        <v>15</v>
      </c>
      <c r="D311" t="s">
        <v>166</v>
      </c>
      <c r="E311" t="s">
        <v>163</v>
      </c>
      <c r="F311" t="s">
        <v>136</v>
      </c>
      <c r="G311">
        <v>74</v>
      </c>
      <c r="H311">
        <v>0</v>
      </c>
      <c r="I311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17</v>
      </c>
      <c r="K311" s="5" cm="1">
        <f t="array" ref="K311">IFERROR(AVERAGE(IF((OutputTable[GroupByKey]=OutputTable[[#This Row],[GroupByKey]]),(OutputTable[GroupByKey]=OutputTable[[#This Row],[GroupByKey]])*OutputTable[RecordedValue])),0)</f>
        <v>73.764705882352942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6.2302629535669061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311" s="5" cm="1">
        <f t="array" ref="O311">MIN(IF((OutputTable[GroupByKey]=OutputTable[[#This Row],[GroupByKey]]),(OutputTable[GroupByKey]=OutputTable[[#This Row],[GroupByKey]])*OutputTable[RecordedValue]))</f>
        <v>60</v>
      </c>
      <c r="P311" s="5" cm="1">
        <f t="array" ref="P311">MAX(IF((OutputTable[GroupByKey]=OutputTable[[#This Row],[GroupByKey]]),(OutputTable[GroupByKey]=OutputTable[[#This Row],[GroupByKey]])*OutputTable[RecordedValue]))</f>
        <v>84</v>
      </c>
    </row>
    <row r="312" spans="1:16" x14ac:dyDescent="0.25">
      <c r="A312" t="s">
        <v>67</v>
      </c>
      <c r="B312" t="s">
        <v>69</v>
      </c>
      <c r="C312">
        <v>15</v>
      </c>
      <c r="D312" t="s">
        <v>167</v>
      </c>
      <c r="E312" t="s">
        <v>165</v>
      </c>
      <c r="F312" t="s">
        <v>136</v>
      </c>
      <c r="G312">
        <v>0.63588612862522698</v>
      </c>
      <c r="H312">
        <v>0</v>
      </c>
      <c r="I312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17</v>
      </c>
      <c r="K312" s="5" cm="1">
        <f t="array" ref="K312">IFERROR(AVERAGE(IF((OutputTable[GroupByKey]=OutputTable[[#This Row],[GroupByKey]]),(OutputTable[GroupByKey]=OutputTable[[#This Row],[GroupByKey]])*OutputTable[RecordedValue])),0)</f>
        <v>0.66010861965703893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6.6171154002911237E-2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312" s="5" cm="1">
        <f t="array" ref="O312">MIN(IF((OutputTable[GroupByKey]=OutputTable[[#This Row],[GroupByKey]]),(OutputTable[GroupByKey]=OutputTable[[#This Row],[GroupByKey]])*OutputTable[RecordedValue]))</f>
        <v>0.52223972091576099</v>
      </c>
      <c r="P312" s="5" cm="1">
        <f t="array" ref="P312">MAX(IF((OutputTable[GroupByKey]=OutputTable[[#This Row],[GroupByKey]]),(OutputTable[GroupByKey]=OutputTable[[#This Row],[GroupByKey]])*OutputTable[RecordedValue]))</f>
        <v>0.77852312806092006</v>
      </c>
    </row>
    <row r="313" spans="1:16" x14ac:dyDescent="0.25">
      <c r="A313" t="s">
        <v>67</v>
      </c>
      <c r="B313" t="s">
        <v>69</v>
      </c>
      <c r="C313">
        <v>15</v>
      </c>
      <c r="D313" t="s">
        <v>168</v>
      </c>
      <c r="E313" t="s">
        <v>163</v>
      </c>
      <c r="F313" t="s">
        <v>136</v>
      </c>
      <c r="G313">
        <v>16</v>
      </c>
      <c r="H313">
        <v>0</v>
      </c>
      <c r="I313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17</v>
      </c>
      <c r="K313" s="5" cm="1">
        <f t="array" ref="K313">IFERROR(AVERAGE(IF((OutputTable[GroupByKey]=OutputTable[[#This Row],[GroupByKey]]),(OutputTable[GroupByKey]=OutputTable[[#This Row],[GroupByKey]])*OutputTable[RecordedValue])),0)</f>
        <v>16.941176470588236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3.0097879542273018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313" s="5" cm="1">
        <f t="array" ref="O313">MIN(IF((OutputTable[GroupByKey]=OutputTable[[#This Row],[GroupByKey]]),(OutputTable[GroupByKey]=OutputTable[[#This Row],[GroupByKey]])*OutputTable[RecordedValue]))</f>
        <v>12</v>
      </c>
      <c r="P313" s="5" cm="1">
        <f t="array" ref="P313">MAX(IF((OutputTable[GroupByKey]=OutputTable[[#This Row],[GroupByKey]]),(OutputTable[GroupByKey]=OutputTable[[#This Row],[GroupByKey]])*OutputTable[RecordedValue]))</f>
        <v>22</v>
      </c>
    </row>
    <row r="314" spans="1:16" x14ac:dyDescent="0.25">
      <c r="A314" t="s">
        <v>67</v>
      </c>
      <c r="B314" t="s">
        <v>69</v>
      </c>
      <c r="C314">
        <v>15</v>
      </c>
      <c r="D314" t="s">
        <v>169</v>
      </c>
      <c r="E314" t="s">
        <v>165</v>
      </c>
      <c r="F314" t="s">
        <v>136</v>
      </c>
      <c r="G314">
        <v>0.36677191417077798</v>
      </c>
      <c r="H314">
        <v>0</v>
      </c>
      <c r="I314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17</v>
      </c>
      <c r="K314" s="5" cm="1">
        <f t="array" ref="K314">IFERROR(AVERAGE(IF((OutputTable[GroupByKey]=OutputTable[[#This Row],[GroupByKey]]),(OutputTable[GroupByKey]=OutputTable[[#This Row],[GroupByKey]])*OutputTable[RecordedValue])),0)</f>
        <v>0.34356399197544252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7.597675013665138E-2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314" s="5" cm="1">
        <f t="array" ref="O314">MIN(IF((OutputTable[GroupByKey]=OutputTable[[#This Row],[GroupByKey]]),(OutputTable[GroupByKey]=OutputTable[[#This Row],[GroupByKey]])*OutputTable[RecordedValue]))</f>
        <v>0.20879044077011299</v>
      </c>
      <c r="P314" s="5" cm="1">
        <f t="array" ref="P314">MAX(IF((OutputTable[GroupByKey]=OutputTable[[#This Row],[GroupByKey]]),(OutputTable[GroupByKey]=OutputTable[[#This Row],[GroupByKey]])*OutputTable[RecordedValue]))</f>
        <v>0.53820629377380302</v>
      </c>
    </row>
    <row r="315" spans="1:16" x14ac:dyDescent="0.25">
      <c r="A315" t="s">
        <v>67</v>
      </c>
      <c r="B315" t="s">
        <v>69</v>
      </c>
      <c r="C315">
        <v>15</v>
      </c>
      <c r="D315" t="s">
        <v>170</v>
      </c>
      <c r="E315" t="s">
        <v>145</v>
      </c>
      <c r="F315" t="s">
        <v>72</v>
      </c>
      <c r="G315">
        <v>3</v>
      </c>
      <c r="H315">
        <v>0</v>
      </c>
      <c r="I315" s="5" t="str">
        <f>OutputTable[[#This Row],[ProjectName]]&amp;OutputTable[[#This Row],[Name]]&amp;OutputTable[[#This Row],[Type]]&amp;OutputTable[[#This Row],[Source]]</f>
        <v>Weekend (base)reloj.NumberInNumber InEntity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17</v>
      </c>
      <c r="K315" s="5" cm="1">
        <f t="array" ref="K315">IFERROR(AVERAGE(IF((OutputTable[GroupByKey]=OutputTable[[#This Row],[GroupByKey]]),(OutputTable[GroupByKey]=OutputTable[[#This Row],[GroupByKey]])*OutputTable[RecordedValue])),0)</f>
        <v>3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0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5" s="5" cm="1">
        <f t="array" ref="O315">MIN(IF((OutputTable[GroupByKey]=OutputTable[[#This Row],[GroupByKey]]),(OutputTable[GroupByKey]=OutputTable[[#This Row],[GroupByKey]])*OutputTable[RecordedValue]))</f>
        <v>3</v>
      </c>
      <c r="P315" s="5" cm="1">
        <f t="array" ref="P315">MAX(IF((OutputTable[GroupByKey]=OutputTable[[#This Row],[GroupByKey]]),(OutputTable[GroupByKey]=OutputTable[[#This Row],[GroupByKey]])*OutputTable[RecordedValue]))</f>
        <v>3</v>
      </c>
    </row>
    <row r="316" spans="1:16" x14ac:dyDescent="0.25">
      <c r="A316" t="s">
        <v>67</v>
      </c>
      <c r="B316" t="s">
        <v>69</v>
      </c>
      <c r="C316">
        <v>15</v>
      </c>
      <c r="D316" t="s">
        <v>171</v>
      </c>
      <c r="E316" t="s">
        <v>147</v>
      </c>
      <c r="F316" t="s">
        <v>72</v>
      </c>
      <c r="G316">
        <v>3</v>
      </c>
      <c r="H316">
        <v>0</v>
      </c>
      <c r="I316" s="5" t="str">
        <f>OutputTable[[#This Row],[ProjectName]]&amp;OutputTable[[#This Row],[Name]]&amp;OutputTable[[#This Row],[Type]]&amp;OutputTable[[#This Row],[Source]]</f>
        <v>Weekend (base)reloj.NumberOutNumber OutEntity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17</v>
      </c>
      <c r="K316" s="5" cm="1">
        <f t="array" ref="K316">IFERROR(AVERAGE(IF((OutputTable[GroupByKey]=OutputTable[[#This Row],[GroupByKey]]),(OutputTable[GroupByKey]=OutputTable[[#This Row],[GroupByKey]])*OutputTable[RecordedValue])),0)</f>
        <v>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6" s="5" cm="1">
        <f t="array" ref="O316">MIN(IF((OutputTable[GroupByKey]=OutputTable[[#This Row],[GroupByKey]]),(OutputTable[GroupByKey]=OutputTable[[#This Row],[GroupByKey]])*OutputTable[RecordedValue]))</f>
        <v>3</v>
      </c>
      <c r="P316" s="5" cm="1">
        <f t="array" ref="P316">MAX(IF((OutputTable[GroupByKey]=OutputTable[[#This Row],[GroupByKey]]),(OutputTable[GroupByKey]=OutputTable[[#This Row],[GroupByKey]])*OutputTable[RecordedValue]))</f>
        <v>3</v>
      </c>
    </row>
    <row r="317" spans="1:16" x14ac:dyDescent="0.25">
      <c r="A317" t="s">
        <v>67</v>
      </c>
      <c r="B317" t="s">
        <v>69</v>
      </c>
      <c r="C317">
        <v>16</v>
      </c>
      <c r="D317" t="s">
        <v>144</v>
      </c>
      <c r="E317" t="s">
        <v>145</v>
      </c>
      <c r="F317" t="s">
        <v>72</v>
      </c>
      <c r="G317">
        <v>329</v>
      </c>
      <c r="H317">
        <v>0</v>
      </c>
      <c r="I317" s="5" t="str">
        <f>OutputTable[[#This Row],[ProjectName]]&amp;OutputTable[[#This Row],[Name]]&amp;OutputTable[[#This Row],[Type]]&amp;OutputTable[[#This Row],[Source]]</f>
        <v>Weekend (base)Cliente.NumberInNumber InEntity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17</v>
      </c>
      <c r="K317" s="5" cm="1">
        <f t="array" ref="K317">IFERROR(AVERAGE(IF((OutputTable[GroupByKey]=OutputTable[[#This Row],[GroupByKey]]),(OutputTable[GroupByKey]=OutputTable[[#This Row],[GroupByKey]])*OutputTable[RecordedValue])),0)</f>
        <v>354.11764705882354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19.776508643277939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317" s="5" cm="1">
        <f t="array" ref="O317">MIN(IF((OutputTable[GroupByKey]=OutputTable[[#This Row],[GroupByKey]]),(OutputTable[GroupByKey]=OutputTable[[#This Row],[GroupByKey]])*OutputTable[RecordedValue]))</f>
        <v>316</v>
      </c>
      <c r="P317" s="5" cm="1">
        <f t="array" ref="P317">MAX(IF((OutputTable[GroupByKey]=OutputTable[[#This Row],[GroupByKey]]),(OutputTable[GroupByKey]=OutputTable[[#This Row],[GroupByKey]])*OutputTable[RecordedValue]))</f>
        <v>387</v>
      </c>
    </row>
    <row r="318" spans="1:16" x14ac:dyDescent="0.25">
      <c r="A318" t="s">
        <v>67</v>
      </c>
      <c r="B318" t="s">
        <v>69</v>
      </c>
      <c r="C318">
        <v>16</v>
      </c>
      <c r="D318" t="s">
        <v>146</v>
      </c>
      <c r="E318" t="s">
        <v>147</v>
      </c>
      <c r="F318" t="s">
        <v>72</v>
      </c>
      <c r="G318">
        <v>330</v>
      </c>
      <c r="H318">
        <v>0</v>
      </c>
      <c r="I318" s="5" t="str">
        <f>OutputTable[[#This Row],[ProjectName]]&amp;OutputTable[[#This Row],[Name]]&amp;OutputTable[[#This Row],[Type]]&amp;OutputTable[[#This Row],[Source]]</f>
        <v>Weekend (base)Cliente.NumberOutNumber OutEntity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17</v>
      </c>
      <c r="K318" s="5" cm="1">
        <f t="array" ref="K318">IFERROR(AVERAGE(IF((OutputTable[GroupByKey]=OutputTable[[#This Row],[GroupByKey]]),(OutputTable[GroupByKey]=OutputTable[[#This Row],[GroupByKey]])*OutputTable[RecordedValue])),0)</f>
        <v>354.88235294117646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20.951975900082719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318" s="5" cm="1">
        <f t="array" ref="O318">MIN(IF((OutputTable[GroupByKey]=OutputTable[[#This Row],[GroupByKey]]),(OutputTable[GroupByKey]=OutputTable[[#This Row],[GroupByKey]])*OutputTable[RecordedValue]))</f>
        <v>319</v>
      </c>
      <c r="P318" s="5" cm="1">
        <f t="array" ref="P318">MAX(IF((OutputTable[GroupByKey]=OutputTable[[#This Row],[GroupByKey]]),(OutputTable[GroupByKey]=OutputTable[[#This Row],[GroupByKey]])*OutputTable[RecordedValue]))</f>
        <v>391</v>
      </c>
    </row>
    <row r="319" spans="1:16" x14ac:dyDescent="0.25">
      <c r="A319" t="s">
        <v>67</v>
      </c>
      <c r="B319" t="s">
        <v>69</v>
      </c>
      <c r="C319">
        <v>16</v>
      </c>
      <c r="D319" t="s">
        <v>148</v>
      </c>
      <c r="E319" t="s">
        <v>149</v>
      </c>
      <c r="F319" t="s">
        <v>86</v>
      </c>
      <c r="G319">
        <v>279.13568784202897</v>
      </c>
      <c r="H319">
        <v>0</v>
      </c>
      <c r="I319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17</v>
      </c>
      <c r="K319" s="5" cm="1">
        <f t="array" ref="K319">IFERROR(AVERAGE(IF((OutputTable[GroupByKey]=OutputTable[[#This Row],[GroupByKey]]),(OutputTable[GroupByKey]=OutputTable[[#This Row],[GroupByKey]])*OutputTable[RecordedValue])),0)</f>
        <v>308.63553444706355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57.365542312184125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319" s="5" cm="1">
        <f t="array" ref="O319">MIN(IF((OutputTable[GroupByKey]=OutputTable[[#This Row],[GroupByKey]]),(OutputTable[GroupByKey]=OutputTable[[#This Row],[GroupByKey]])*OutputTable[RecordedValue]))</f>
        <v>225.161235126317</v>
      </c>
      <c r="P319" s="5" cm="1">
        <f t="array" ref="P319">MAX(IF((OutputTable[GroupByKey]=OutputTable[[#This Row],[GroupByKey]]),(OutputTable[GroupByKey]=OutputTable[[#This Row],[GroupByKey]])*OutputTable[RecordedValue]))</f>
        <v>456.33427551718</v>
      </c>
    </row>
    <row r="320" spans="1:16" x14ac:dyDescent="0.25">
      <c r="A320" t="s">
        <v>67</v>
      </c>
      <c r="B320" t="s">
        <v>69</v>
      </c>
      <c r="C320">
        <v>16</v>
      </c>
      <c r="D320" t="s">
        <v>150</v>
      </c>
      <c r="E320" t="s">
        <v>151</v>
      </c>
      <c r="F320" t="s">
        <v>86</v>
      </c>
      <c r="G320">
        <v>0</v>
      </c>
      <c r="H320">
        <v>0</v>
      </c>
      <c r="I320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17</v>
      </c>
      <c r="K320" s="5" cm="1">
        <f t="array" ref="K320">IFERROR(AVERAGE(IF((OutputTable[GroupByKey]=OutputTable[[#This Row],[GroupByKey]]),(OutputTable[GroupByKey]=OutputTable[[#This Row],[GroupByKey]])*OutputTable[RecordedValue])),0)</f>
        <v>0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0" s="5" cm="1">
        <f t="array" ref="O320">MIN(IF((OutputTable[GroupByKey]=OutputTable[[#This Row],[GroupByKey]]),(OutputTable[GroupByKey]=OutputTable[[#This Row],[GroupByKey]])*OutputTable[RecordedValue]))</f>
        <v>0</v>
      </c>
      <c r="P320" s="5" cm="1">
        <f t="array" ref="P320">MAX(IF((OutputTable[GroupByKey]=OutputTable[[#This Row],[GroupByKey]]),(OutputTable[GroupByKey]=OutputTable[[#This Row],[GroupByKey]])*OutputTable[RecordedValue]))</f>
        <v>0</v>
      </c>
    </row>
    <row r="321" spans="1:16" x14ac:dyDescent="0.25">
      <c r="A321" t="s">
        <v>67</v>
      </c>
      <c r="B321" t="s">
        <v>69</v>
      </c>
      <c r="C321">
        <v>16</v>
      </c>
      <c r="D321" t="s">
        <v>152</v>
      </c>
      <c r="E321" t="s">
        <v>145</v>
      </c>
      <c r="F321" t="s">
        <v>86</v>
      </c>
      <c r="G321">
        <v>17</v>
      </c>
      <c r="H321">
        <v>0</v>
      </c>
      <c r="I321" s="5" t="str">
        <f>OutputTable[[#This Row],[ProjectName]]&amp;OutputTable[[#This Row],[Name]]&amp;OutputTable[[#This Row],[Type]]&amp;OutputTable[[#This Row],[Source]]</f>
        <v>Weekend (base)Comer en Mesa Number InNumber InProcess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17</v>
      </c>
      <c r="K321" s="5" cm="1">
        <f t="array" ref="K321">IFERROR(AVERAGE(IF((OutputTable[GroupByKey]=OutputTable[[#This Row],[GroupByKey]]),(OutputTable[GroupByKey]=OutputTable[[#This Row],[GroupByKey]])*OutputTable[RecordedValue])),0)</f>
        <v>16.941176470588236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3.0097879542273018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321" s="5" cm="1">
        <f t="array" ref="O321">MIN(IF((OutputTable[GroupByKey]=OutputTable[[#This Row],[GroupByKey]]),(OutputTable[GroupByKey]=OutputTable[[#This Row],[GroupByKey]])*OutputTable[RecordedValue]))</f>
        <v>12</v>
      </c>
      <c r="P321" s="5" cm="1">
        <f t="array" ref="P321">MAX(IF((OutputTable[GroupByKey]=OutputTable[[#This Row],[GroupByKey]]),(OutputTable[GroupByKey]=OutputTable[[#This Row],[GroupByKey]])*OutputTable[RecordedValue]))</f>
        <v>22</v>
      </c>
    </row>
    <row r="322" spans="1:16" x14ac:dyDescent="0.25">
      <c r="A322" t="s">
        <v>67</v>
      </c>
      <c r="B322" t="s">
        <v>69</v>
      </c>
      <c r="C322">
        <v>16</v>
      </c>
      <c r="D322" t="s">
        <v>153</v>
      </c>
      <c r="E322" t="s">
        <v>147</v>
      </c>
      <c r="F322" t="s">
        <v>86</v>
      </c>
      <c r="G322">
        <v>18</v>
      </c>
      <c r="H322">
        <v>0</v>
      </c>
      <c r="I322" s="5" t="str">
        <f>OutputTable[[#This Row],[ProjectName]]&amp;OutputTable[[#This Row],[Name]]&amp;OutputTable[[#This Row],[Type]]&amp;OutputTable[[#This Row],[Source]]</f>
        <v>Weekend (base)Comer en Mesa Number OutNumber OutProcess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17</v>
      </c>
      <c r="K322" s="5" cm="1">
        <f t="array" ref="K322">IFERROR(AVERAGE(IF((OutputTable[GroupByKey]=OutputTable[[#This Row],[GroupByKey]]),(OutputTable[GroupByKey]=OutputTable[[#This Row],[GroupByKey]])*OutputTable[RecordedValue])),0)</f>
        <v>16.764705882352942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1.8550408272025261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322" s="5" cm="1">
        <f t="array" ref="O322">MIN(IF((OutputTable[GroupByKey]=OutputTable[[#This Row],[GroupByKey]]),(OutputTable[GroupByKey]=OutputTable[[#This Row],[GroupByKey]])*OutputTable[RecordedValue]))</f>
        <v>13</v>
      </c>
      <c r="P322" s="5" cm="1">
        <f t="array" ref="P322">MAX(IF((OutputTable[GroupByKey]=OutputTable[[#This Row],[GroupByKey]]),(OutputTable[GroupByKey]=OutputTable[[#This Row],[GroupByKey]])*OutputTable[RecordedValue]))</f>
        <v>20</v>
      </c>
    </row>
    <row r="323" spans="1:16" x14ac:dyDescent="0.25">
      <c r="A323" t="s">
        <v>67</v>
      </c>
      <c r="B323" t="s">
        <v>69</v>
      </c>
      <c r="C323">
        <v>16</v>
      </c>
      <c r="D323" t="s">
        <v>154</v>
      </c>
      <c r="E323" t="s">
        <v>145</v>
      </c>
      <c r="F323" t="s">
        <v>72</v>
      </c>
      <c r="G323">
        <v>110</v>
      </c>
      <c r="H323">
        <v>0</v>
      </c>
      <c r="I323" s="5" t="str">
        <f>OutputTable[[#This Row],[ProjectName]]&amp;OutputTable[[#This Row],[Name]]&amp;OutputTable[[#This Row],[Type]]&amp;OutputTable[[#This Row],[Source]]</f>
        <v>Weekend (base)Orden.NumberInNumber InEntity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17</v>
      </c>
      <c r="K323" s="5" cm="1">
        <f t="array" ref="K323">IFERROR(AVERAGE(IF((OutputTable[GroupByKey]=OutputTable[[#This Row],[GroupByKey]]),(OutputTable[GroupByKey]=OutputTable[[#This Row],[GroupByKey]])*OutputTable[RecordedValue])),0)</f>
        <v>117.35294117647059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7.1496606254299602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323" s="5" cm="1">
        <f t="array" ref="O323">MIN(IF((OutputTable[GroupByKey]=OutputTable[[#This Row],[GroupByKey]]),(OutputTable[GroupByKey]=OutputTable[[#This Row],[GroupByKey]])*OutputTable[RecordedValue]))</f>
        <v>105</v>
      </c>
      <c r="P323" s="5" cm="1">
        <f t="array" ref="P323">MAX(IF((OutputTable[GroupByKey]=OutputTable[[#This Row],[GroupByKey]]),(OutputTable[GroupByKey]=OutputTable[[#This Row],[GroupByKey]])*OutputTable[RecordedValue]))</f>
        <v>131</v>
      </c>
    </row>
    <row r="324" spans="1:16" x14ac:dyDescent="0.25">
      <c r="A324" t="s">
        <v>67</v>
      </c>
      <c r="B324" t="s">
        <v>69</v>
      </c>
      <c r="C324">
        <v>16</v>
      </c>
      <c r="D324" t="s">
        <v>155</v>
      </c>
      <c r="E324" t="s">
        <v>147</v>
      </c>
      <c r="F324" t="s">
        <v>72</v>
      </c>
      <c r="G324">
        <v>110</v>
      </c>
      <c r="H324">
        <v>0</v>
      </c>
      <c r="I324" s="5" t="str">
        <f>OutputTable[[#This Row],[ProjectName]]&amp;OutputTable[[#This Row],[Name]]&amp;OutputTable[[#This Row],[Type]]&amp;OutputTable[[#This Row],[Source]]</f>
        <v>Weekend (base)Orden.NumberOutNumber OutEntity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17</v>
      </c>
      <c r="K324" s="5" cm="1">
        <f t="array" ref="K324">IFERROR(AVERAGE(IF((OutputTable[GroupByKey]=OutputTable[[#This Row],[GroupByKey]]),(OutputTable[GroupByKey]=OutputTable[[#This Row],[GroupByKey]])*OutputTable[RecordedValue])),0)</f>
        <v>118.76470588235294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7.0580575564802697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324" s="5" cm="1">
        <f t="array" ref="O324">MIN(IF((OutputTable[GroupByKey]=OutputTable[[#This Row],[GroupByKey]]),(OutputTable[GroupByKey]=OutputTable[[#This Row],[GroupByKey]])*OutputTable[RecordedValue]))</f>
        <v>107</v>
      </c>
      <c r="P324" s="5" cm="1">
        <f t="array" ref="P324">MAX(IF((OutputTable[GroupByKey]=OutputTable[[#This Row],[GroupByKey]]),(OutputTable[GroupByKey]=OutputTable[[#This Row],[GroupByKey]])*OutputTable[RecordedValue]))</f>
        <v>130</v>
      </c>
    </row>
    <row r="325" spans="1:16" x14ac:dyDescent="0.25">
      <c r="A325" t="s">
        <v>67</v>
      </c>
      <c r="B325" t="s">
        <v>69</v>
      </c>
      <c r="C325">
        <v>16</v>
      </c>
      <c r="D325" t="s">
        <v>156</v>
      </c>
      <c r="E325" t="s">
        <v>149</v>
      </c>
      <c r="F325" t="s">
        <v>86</v>
      </c>
      <c r="G325">
        <v>159.38722481493599</v>
      </c>
      <c r="H325">
        <v>0</v>
      </c>
      <c r="I325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17</v>
      </c>
      <c r="K325" s="5" cm="1">
        <f t="array" ref="K325">IFERROR(AVERAGE(IF((OutputTable[GroupByKey]=OutputTable[[#This Row],[GroupByKey]]),(OutputTable[GroupByKey]=OutputTable[[#This Row],[GroupByKey]])*OutputTable[RecordedValue])),0)</f>
        <v>191.25148078330704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16.886201618463961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325" s="5" cm="1">
        <f t="array" ref="O325">MIN(IF((OutputTable[GroupByKey]=OutputTable[[#This Row],[GroupByKey]]),(OutputTable[GroupByKey]=OutputTable[[#This Row],[GroupByKey]])*OutputTable[RecordedValue]))</f>
        <v>159.38722481493599</v>
      </c>
      <c r="P325" s="5" cm="1">
        <f t="array" ref="P325">MAX(IF((OutputTable[GroupByKey]=OutputTable[[#This Row],[GroupByKey]]),(OutputTable[GroupByKey]=OutputTable[[#This Row],[GroupByKey]])*OutputTable[RecordedValue]))</f>
        <v>225.02992874035499</v>
      </c>
    </row>
    <row r="326" spans="1:16" x14ac:dyDescent="0.25">
      <c r="A326" t="s">
        <v>67</v>
      </c>
      <c r="B326" t="s">
        <v>69</v>
      </c>
      <c r="C326">
        <v>16</v>
      </c>
      <c r="D326" t="s">
        <v>157</v>
      </c>
      <c r="E326" t="s">
        <v>151</v>
      </c>
      <c r="F326" t="s">
        <v>86</v>
      </c>
      <c r="G326">
        <v>48.765300915941701</v>
      </c>
      <c r="H326">
        <v>0</v>
      </c>
      <c r="I326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17</v>
      </c>
      <c r="K326" s="5" cm="1">
        <f t="array" ref="K326">IFERROR(AVERAGE(IF((OutputTable[GroupByKey]=OutputTable[[#This Row],[GroupByKey]]),(OutputTable[GroupByKey]=OutputTable[[#This Row],[GroupByKey]])*OutputTable[RecordedValue])),0)</f>
        <v>133.66503743442436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79.508986996493206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326" s="5" cm="1">
        <f t="array" ref="O326">MIN(IF((OutputTable[GroupByKey]=OutputTable[[#This Row],[GroupByKey]]),(OutputTable[GroupByKey]=OutputTable[[#This Row],[GroupByKey]])*OutputTable[RecordedValue]))</f>
        <v>36.437518321990602</v>
      </c>
      <c r="P326" s="5" cm="1">
        <f t="array" ref="P326">MAX(IF((OutputTable[GroupByKey]=OutputTable[[#This Row],[GroupByKey]]),(OutputTable[GroupByKey]=OutputTable[[#This Row],[GroupByKey]])*OutputTable[RecordedValue]))</f>
        <v>324.91710015892198</v>
      </c>
    </row>
    <row r="327" spans="1:16" x14ac:dyDescent="0.25">
      <c r="A327" t="s">
        <v>67</v>
      </c>
      <c r="B327" t="s">
        <v>69</v>
      </c>
      <c r="C327">
        <v>16</v>
      </c>
      <c r="D327" t="s">
        <v>158</v>
      </c>
      <c r="E327" t="s">
        <v>145</v>
      </c>
      <c r="F327" t="s">
        <v>86</v>
      </c>
      <c r="G327">
        <v>110</v>
      </c>
      <c r="H327">
        <v>0</v>
      </c>
      <c r="I327" s="5" t="str">
        <f>OutputTable[[#This Row],[ProjectName]]&amp;OutputTable[[#This Row],[Name]]&amp;OutputTable[[#This Row],[Type]]&amp;OutputTable[[#This Row],[Source]]</f>
        <v>Weekend (base)Preparacion Number InNumber InProcess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17</v>
      </c>
      <c r="K327" s="5" cm="1">
        <f t="array" ref="K327">IFERROR(AVERAGE(IF((OutputTable[GroupByKey]=OutputTable[[#This Row],[GroupByKey]]),(OutputTable[GroupByKey]=OutputTable[[#This Row],[GroupByKey]])*OutputTable[RecordedValue])),0)</f>
        <v>117.35294117647059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7.1496606254299602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327" s="5" cm="1">
        <f t="array" ref="O327">MIN(IF((OutputTable[GroupByKey]=OutputTable[[#This Row],[GroupByKey]]),(OutputTable[GroupByKey]=OutputTable[[#This Row],[GroupByKey]])*OutputTable[RecordedValue]))</f>
        <v>105</v>
      </c>
      <c r="P327" s="5" cm="1">
        <f t="array" ref="P327">MAX(IF((OutputTable[GroupByKey]=OutputTable[[#This Row],[GroupByKey]]),(OutputTable[GroupByKey]=OutputTable[[#This Row],[GroupByKey]])*OutputTable[RecordedValue]))</f>
        <v>131</v>
      </c>
    </row>
    <row r="328" spans="1:16" x14ac:dyDescent="0.25">
      <c r="A328" t="s">
        <v>67</v>
      </c>
      <c r="B328" t="s">
        <v>69</v>
      </c>
      <c r="C328">
        <v>16</v>
      </c>
      <c r="D328" t="s">
        <v>159</v>
      </c>
      <c r="E328" t="s">
        <v>147</v>
      </c>
      <c r="F328" t="s">
        <v>86</v>
      </c>
      <c r="G328">
        <v>109</v>
      </c>
      <c r="H328">
        <v>0</v>
      </c>
      <c r="I328" s="5" t="str">
        <f>OutputTable[[#This Row],[ProjectName]]&amp;OutputTable[[#This Row],[Name]]&amp;OutputTable[[#This Row],[Type]]&amp;OutputTable[[#This Row],[Source]]</f>
        <v>Weekend (base)Preparacion Number OutNumber OutProcess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17</v>
      </c>
      <c r="K328" s="5" cm="1">
        <f t="array" ref="K328">IFERROR(AVERAGE(IF((OutputTable[GroupByKey]=OutputTable[[#This Row],[GroupByKey]]),(OutputTable[GroupByKey]=OutputTable[[#This Row],[GroupByKey]])*OutputTable[RecordedValue])),0)</f>
        <v>118.82352941176471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6.9931689358048459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328" s="5" cm="1">
        <f t="array" ref="O328">MIN(IF((OutputTable[GroupByKey]=OutputTable[[#This Row],[GroupByKey]]),(OutputTable[GroupByKey]=OutputTable[[#This Row],[GroupByKey]])*OutputTable[RecordedValue]))</f>
        <v>108</v>
      </c>
      <c r="P328" s="5" cm="1">
        <f t="array" ref="P328">MAX(IF((OutputTable[GroupByKey]=OutputTable[[#This Row],[GroupByKey]]),(OutputTable[GroupByKey]=OutputTable[[#This Row],[GroupByKey]])*OutputTable[RecordedValue]))</f>
        <v>132</v>
      </c>
    </row>
    <row r="329" spans="1:16" x14ac:dyDescent="0.25">
      <c r="A329" t="s">
        <v>67</v>
      </c>
      <c r="B329" t="s">
        <v>69</v>
      </c>
      <c r="C329">
        <v>16</v>
      </c>
      <c r="D329" t="s">
        <v>160</v>
      </c>
      <c r="E329" t="s">
        <v>147</v>
      </c>
      <c r="F329" t="s">
        <v>161</v>
      </c>
      <c r="G329">
        <v>113</v>
      </c>
      <c r="H329">
        <v>0</v>
      </c>
      <c r="I329" s="5" t="str">
        <f>OutputTable[[#This Row],[ProjectName]]&amp;OutputTable[[#This Row],[Name]]&amp;OutputTable[[#This Row],[Type]]&amp;OutputTable[[#This Row],[Source]]</f>
        <v>Weekend (base)System.NumberOutNumber OutSystem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17</v>
      </c>
      <c r="K329" s="5" cm="1">
        <f t="array" ref="K329">IFERROR(AVERAGE(IF((OutputTable[GroupByKey]=OutputTable[[#This Row],[GroupByKey]]),(OutputTable[GroupByKey]=OutputTable[[#This Row],[GroupByKey]])*OutputTable[RecordedValue])),0)</f>
        <v>121.76470588235294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7.0580575564802697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329" s="5" cm="1">
        <f t="array" ref="O329">MIN(IF((OutputTable[GroupByKey]=OutputTable[[#This Row],[GroupByKey]]),(OutputTable[GroupByKey]=OutputTable[[#This Row],[GroupByKey]])*OutputTable[RecordedValue]))</f>
        <v>110</v>
      </c>
      <c r="P329" s="5" cm="1">
        <f t="array" ref="P329">MAX(IF((OutputTable[GroupByKey]=OutputTable[[#This Row],[GroupByKey]]),(OutputTable[GroupByKey]=OutputTable[[#This Row],[GroupByKey]])*OutputTable[RecordedValue]))</f>
        <v>133</v>
      </c>
    </row>
    <row r="330" spans="1:16" x14ac:dyDescent="0.25">
      <c r="A330" t="s">
        <v>67</v>
      </c>
      <c r="B330" t="s">
        <v>69</v>
      </c>
      <c r="C330">
        <v>16</v>
      </c>
      <c r="D330" t="s">
        <v>162</v>
      </c>
      <c r="E330" t="s">
        <v>163</v>
      </c>
      <c r="F330" t="s">
        <v>136</v>
      </c>
      <c r="G330">
        <v>148</v>
      </c>
      <c r="H330">
        <v>0</v>
      </c>
      <c r="I330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17</v>
      </c>
      <c r="K330" s="5" cm="1">
        <f t="array" ref="K330">IFERROR(AVERAGE(IF((OutputTable[GroupByKey]=OutputTable[[#This Row],[GroupByKey]]),(OutputTable[GroupByKey]=OutputTable[[#This Row],[GroupByKey]])*OutputTable[RecordedValue])),0)</f>
        <v>162.1764705882353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10.100960932738323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330" s="5" cm="1">
        <f t="array" ref="O330">MIN(IF((OutputTable[GroupByKey]=OutputTable[[#This Row],[GroupByKey]]),(OutputTable[GroupByKey]=OutputTable[[#This Row],[GroupByKey]])*OutputTable[RecordedValue]))</f>
        <v>147</v>
      </c>
      <c r="P330" s="5" cm="1">
        <f t="array" ref="P330">MAX(IF((OutputTable[GroupByKey]=OutputTable[[#This Row],[GroupByKey]]),(OutputTable[GroupByKey]=OutputTable[[#This Row],[GroupByKey]])*OutputTable[RecordedValue]))</f>
        <v>183</v>
      </c>
    </row>
    <row r="331" spans="1:16" x14ac:dyDescent="0.25">
      <c r="A331" t="s">
        <v>67</v>
      </c>
      <c r="B331" t="s">
        <v>69</v>
      </c>
      <c r="C331">
        <v>16</v>
      </c>
      <c r="D331" t="s">
        <v>164</v>
      </c>
      <c r="E331" t="s">
        <v>165</v>
      </c>
      <c r="F331" t="s">
        <v>136</v>
      </c>
      <c r="G331">
        <v>0.73766612257745801</v>
      </c>
      <c r="H331">
        <v>0</v>
      </c>
      <c r="I331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17</v>
      </c>
      <c r="K331" s="5" cm="1">
        <f t="array" ref="K331">IFERROR(AVERAGE(IF((OutputTable[GroupByKey]=OutputTable[[#This Row],[GroupByKey]]),(OutputTable[GroupByKey]=OutputTable[[#This Row],[GroupByKey]])*OutputTable[RecordedValue])),0)</f>
        <v>0.82034721885470152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6.5495768324500853E-2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331" s="5" cm="1">
        <f t="array" ref="O331">MIN(IF((OutputTable[GroupByKey]=OutputTable[[#This Row],[GroupByKey]]),(OutputTable[GroupByKey]=OutputTable[[#This Row],[GroupByKey]])*OutputTable[RecordedValue]))</f>
        <v>0.73534383204610498</v>
      </c>
      <c r="P331" s="5" cm="1">
        <f t="array" ref="P331">MAX(IF((OutputTable[GroupByKey]=OutputTable[[#This Row],[GroupByKey]]),(OutputTable[GroupByKey]=OutputTable[[#This Row],[GroupByKey]])*OutputTable[RecordedValue]))</f>
        <v>0.95888680213271504</v>
      </c>
    </row>
    <row r="332" spans="1:16" x14ac:dyDescent="0.25">
      <c r="A332" t="s">
        <v>67</v>
      </c>
      <c r="B332" t="s">
        <v>69</v>
      </c>
      <c r="C332">
        <v>16</v>
      </c>
      <c r="D332" t="s">
        <v>166</v>
      </c>
      <c r="E332" t="s">
        <v>163</v>
      </c>
      <c r="F332" t="s">
        <v>136</v>
      </c>
      <c r="G332">
        <v>72</v>
      </c>
      <c r="H332">
        <v>0</v>
      </c>
      <c r="I332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17</v>
      </c>
      <c r="K332" s="5" cm="1">
        <f t="array" ref="K332">IFERROR(AVERAGE(IF((OutputTable[GroupByKey]=OutputTable[[#This Row],[GroupByKey]]),(OutputTable[GroupByKey]=OutputTable[[#This Row],[GroupByKey]])*OutputTable[RecordedValue])),0)</f>
        <v>73.764705882352942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6.2302629535669061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332" s="5" cm="1">
        <f t="array" ref="O332">MIN(IF((OutputTable[GroupByKey]=OutputTable[[#This Row],[GroupByKey]]),(OutputTable[GroupByKey]=OutputTable[[#This Row],[GroupByKey]])*OutputTable[RecordedValue]))</f>
        <v>60</v>
      </c>
      <c r="P332" s="5" cm="1">
        <f t="array" ref="P332">MAX(IF((OutputTable[GroupByKey]=OutputTable[[#This Row],[GroupByKey]]),(OutputTable[GroupByKey]=OutputTable[[#This Row],[GroupByKey]])*OutputTable[RecordedValue]))</f>
        <v>84</v>
      </c>
    </row>
    <row r="333" spans="1:16" x14ac:dyDescent="0.25">
      <c r="A333" t="s">
        <v>67</v>
      </c>
      <c r="B333" t="s">
        <v>69</v>
      </c>
      <c r="C333">
        <v>16</v>
      </c>
      <c r="D333" t="s">
        <v>167</v>
      </c>
      <c r="E333" t="s">
        <v>165</v>
      </c>
      <c r="F333" t="s">
        <v>136</v>
      </c>
      <c r="G333">
        <v>0.52223972091576099</v>
      </c>
      <c r="H333">
        <v>0</v>
      </c>
      <c r="I333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17</v>
      </c>
      <c r="K333" s="5" cm="1">
        <f t="array" ref="K333">IFERROR(AVERAGE(IF((OutputTable[GroupByKey]=OutputTable[[#This Row],[GroupByKey]]),(OutputTable[GroupByKey]=OutputTable[[#This Row],[GroupByKey]])*OutputTable[RecordedValue])),0)</f>
        <v>0.66010861965703893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6.6171154002911237E-2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333" s="5" cm="1">
        <f t="array" ref="O333">MIN(IF((OutputTable[GroupByKey]=OutputTable[[#This Row],[GroupByKey]]),(OutputTable[GroupByKey]=OutputTable[[#This Row],[GroupByKey]])*OutputTable[RecordedValue]))</f>
        <v>0.52223972091576099</v>
      </c>
      <c r="P333" s="5" cm="1">
        <f t="array" ref="P333">MAX(IF((OutputTable[GroupByKey]=OutputTable[[#This Row],[GroupByKey]]),(OutputTable[GroupByKey]=OutputTable[[#This Row],[GroupByKey]])*OutputTable[RecordedValue]))</f>
        <v>0.77852312806092006</v>
      </c>
    </row>
    <row r="334" spans="1:16" x14ac:dyDescent="0.25">
      <c r="A334" t="s">
        <v>67</v>
      </c>
      <c r="B334" t="s">
        <v>69</v>
      </c>
      <c r="C334">
        <v>16</v>
      </c>
      <c r="D334" t="s">
        <v>168</v>
      </c>
      <c r="E334" t="s">
        <v>163</v>
      </c>
      <c r="F334" t="s">
        <v>136</v>
      </c>
      <c r="G334">
        <v>17</v>
      </c>
      <c r="H334">
        <v>0</v>
      </c>
      <c r="I334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17</v>
      </c>
      <c r="K334" s="5" cm="1">
        <f t="array" ref="K334">IFERROR(AVERAGE(IF((OutputTable[GroupByKey]=OutputTable[[#This Row],[GroupByKey]]),(OutputTable[GroupByKey]=OutputTable[[#This Row],[GroupByKey]])*OutputTable[RecordedValue])),0)</f>
        <v>16.941176470588236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3.0097879542273018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334" s="5" cm="1">
        <f t="array" ref="O334">MIN(IF((OutputTable[GroupByKey]=OutputTable[[#This Row],[GroupByKey]]),(OutputTable[GroupByKey]=OutputTable[[#This Row],[GroupByKey]])*OutputTable[RecordedValue]))</f>
        <v>12</v>
      </c>
      <c r="P334" s="5" cm="1">
        <f t="array" ref="P334">MAX(IF((OutputTable[GroupByKey]=OutputTable[[#This Row],[GroupByKey]]),(OutputTable[GroupByKey]=OutputTable[[#This Row],[GroupByKey]])*OutputTable[RecordedValue]))</f>
        <v>22</v>
      </c>
    </row>
    <row r="335" spans="1:16" x14ac:dyDescent="0.25">
      <c r="A335" t="s">
        <v>67</v>
      </c>
      <c r="B335" t="s">
        <v>69</v>
      </c>
      <c r="C335">
        <v>16</v>
      </c>
      <c r="D335" t="s">
        <v>169</v>
      </c>
      <c r="E335" t="s">
        <v>165</v>
      </c>
      <c r="F335" t="s">
        <v>136</v>
      </c>
      <c r="G335">
        <v>0.29549705886623601</v>
      </c>
      <c r="H335">
        <v>0</v>
      </c>
      <c r="I335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17</v>
      </c>
      <c r="K335" s="5" cm="1">
        <f t="array" ref="K335">IFERROR(AVERAGE(IF((OutputTable[GroupByKey]=OutputTable[[#This Row],[GroupByKey]]),(OutputTable[GroupByKey]=OutputTable[[#This Row],[GroupByKey]])*OutputTable[RecordedValue])),0)</f>
        <v>0.34356399197544252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7.597675013665138E-2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335" s="5" cm="1">
        <f t="array" ref="O335">MIN(IF((OutputTable[GroupByKey]=OutputTable[[#This Row],[GroupByKey]]),(OutputTable[GroupByKey]=OutputTable[[#This Row],[GroupByKey]])*OutputTable[RecordedValue]))</f>
        <v>0.20879044077011299</v>
      </c>
      <c r="P335" s="5" cm="1">
        <f t="array" ref="P335">MAX(IF((OutputTable[GroupByKey]=OutputTable[[#This Row],[GroupByKey]]),(OutputTable[GroupByKey]=OutputTable[[#This Row],[GroupByKey]])*OutputTable[RecordedValue]))</f>
        <v>0.53820629377380302</v>
      </c>
    </row>
    <row r="336" spans="1:16" x14ac:dyDescent="0.25">
      <c r="A336" t="s">
        <v>67</v>
      </c>
      <c r="B336" t="s">
        <v>69</v>
      </c>
      <c r="C336">
        <v>16</v>
      </c>
      <c r="D336" t="s">
        <v>170</v>
      </c>
      <c r="E336" t="s">
        <v>145</v>
      </c>
      <c r="F336" t="s">
        <v>72</v>
      </c>
      <c r="G336">
        <v>3</v>
      </c>
      <c r="H336">
        <v>0</v>
      </c>
      <c r="I336" s="5" t="str">
        <f>OutputTable[[#This Row],[ProjectName]]&amp;OutputTable[[#This Row],[Name]]&amp;OutputTable[[#This Row],[Type]]&amp;OutputTable[[#This Row],[Source]]</f>
        <v>Weekend (base)reloj.NumberInNumber InEntity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17</v>
      </c>
      <c r="K336" s="5" cm="1">
        <f t="array" ref="K336">IFERROR(AVERAGE(IF((OutputTable[GroupByKey]=OutputTable[[#This Row],[GroupByKey]]),(OutputTable[GroupByKey]=OutputTable[[#This Row],[GroupByKey]])*OutputTable[RecordedValue])),0)</f>
        <v>3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0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6" s="5" cm="1">
        <f t="array" ref="O336">MIN(IF((OutputTable[GroupByKey]=OutputTable[[#This Row],[GroupByKey]]),(OutputTable[GroupByKey]=OutputTable[[#This Row],[GroupByKey]])*OutputTable[RecordedValue]))</f>
        <v>3</v>
      </c>
      <c r="P336" s="5" cm="1">
        <f t="array" ref="P336">MAX(IF((OutputTable[GroupByKey]=OutputTable[[#This Row],[GroupByKey]]),(OutputTable[GroupByKey]=OutputTable[[#This Row],[GroupByKey]])*OutputTable[RecordedValue]))</f>
        <v>3</v>
      </c>
    </row>
    <row r="337" spans="1:16" x14ac:dyDescent="0.25">
      <c r="A337" t="s">
        <v>67</v>
      </c>
      <c r="B337" t="s">
        <v>69</v>
      </c>
      <c r="C337">
        <v>16</v>
      </c>
      <c r="D337" t="s">
        <v>171</v>
      </c>
      <c r="E337" t="s">
        <v>147</v>
      </c>
      <c r="F337" t="s">
        <v>72</v>
      </c>
      <c r="G337">
        <v>3</v>
      </c>
      <c r="H337">
        <v>0</v>
      </c>
      <c r="I337" s="5" t="str">
        <f>OutputTable[[#This Row],[ProjectName]]&amp;OutputTable[[#This Row],[Name]]&amp;OutputTable[[#This Row],[Type]]&amp;OutputTable[[#This Row],[Source]]</f>
        <v>Weekend (base)reloj.NumberOutNumber OutEntity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17</v>
      </c>
      <c r="K337" s="5" cm="1">
        <f t="array" ref="K337">IFERROR(AVERAGE(IF((OutputTable[GroupByKey]=OutputTable[[#This Row],[GroupByKey]]),(OutputTable[GroupByKey]=OutputTable[[#This Row],[GroupByKey]])*OutputTable[RecordedValue])),0)</f>
        <v>3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s="5" cm="1">
        <f t="array" ref="O337">MIN(IF((OutputTable[GroupByKey]=OutputTable[[#This Row],[GroupByKey]]),(OutputTable[GroupByKey]=OutputTable[[#This Row],[GroupByKey]])*OutputTable[RecordedValue]))</f>
        <v>3</v>
      </c>
      <c r="P337" s="5" cm="1">
        <f t="array" ref="P337">MAX(IF((OutputTable[GroupByKey]=OutputTable[[#This Row],[GroupByKey]]),(OutputTable[GroupByKey]=OutputTable[[#This Row],[GroupByKey]])*OutputTable[RecordedValue]))</f>
        <v>3</v>
      </c>
    </row>
    <row r="338" spans="1:16" x14ac:dyDescent="0.25">
      <c r="A338" t="s">
        <v>67</v>
      </c>
      <c r="B338" t="s">
        <v>69</v>
      </c>
      <c r="C338">
        <v>17</v>
      </c>
      <c r="D338" t="s">
        <v>144</v>
      </c>
      <c r="E338" t="s">
        <v>145</v>
      </c>
      <c r="F338" t="s">
        <v>72</v>
      </c>
      <c r="G338">
        <v>364</v>
      </c>
      <c r="H338">
        <v>0</v>
      </c>
      <c r="I338" s="5" t="str">
        <f>OutputTable[[#This Row],[ProjectName]]&amp;OutputTable[[#This Row],[Name]]&amp;OutputTable[[#This Row],[Type]]&amp;OutputTable[[#This Row],[Source]]</f>
        <v>Weekend (base)Cliente.NumberInNumber InEntity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17</v>
      </c>
      <c r="K338" s="5" cm="1">
        <f t="array" ref="K338">IFERROR(AVERAGE(IF((OutputTable[GroupByKey]=OutputTable[[#This Row],[GroupByKey]]),(OutputTable[GroupByKey]=OutputTable[[#This Row],[GroupByKey]])*OutputTable[RecordedValue])),0)</f>
        <v>354.11764705882354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19.776508643277939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10.168142482815826</v>
      </c>
      <c r="O338" s="5" cm="1">
        <f t="array" ref="O338">MIN(IF((OutputTable[GroupByKey]=OutputTable[[#This Row],[GroupByKey]]),(OutputTable[GroupByKey]=OutputTable[[#This Row],[GroupByKey]])*OutputTable[RecordedValue]))</f>
        <v>316</v>
      </c>
      <c r="P338" s="5" cm="1">
        <f t="array" ref="P338">MAX(IF((OutputTable[GroupByKey]=OutputTable[[#This Row],[GroupByKey]]),(OutputTable[GroupByKey]=OutputTable[[#This Row],[GroupByKey]])*OutputTable[RecordedValue]))</f>
        <v>387</v>
      </c>
    </row>
    <row r="339" spans="1:16" x14ac:dyDescent="0.25">
      <c r="A339" t="s">
        <v>67</v>
      </c>
      <c r="B339" t="s">
        <v>69</v>
      </c>
      <c r="C339">
        <v>17</v>
      </c>
      <c r="D339" t="s">
        <v>146</v>
      </c>
      <c r="E339" t="s">
        <v>147</v>
      </c>
      <c r="F339" t="s">
        <v>72</v>
      </c>
      <c r="G339">
        <v>351</v>
      </c>
      <c r="H339">
        <v>0</v>
      </c>
      <c r="I339" s="5" t="str">
        <f>OutputTable[[#This Row],[ProjectName]]&amp;OutputTable[[#This Row],[Name]]&amp;OutputTable[[#This Row],[Type]]&amp;OutputTable[[#This Row],[Source]]</f>
        <v>Weekend (base)Cliente.NumberOutNumber OutEntity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17</v>
      </c>
      <c r="K339" s="5" cm="1">
        <f t="array" ref="K339">IFERROR(AVERAGE(IF((OutputTable[GroupByKey]=OutputTable[[#This Row],[GroupByKey]]),(OutputTable[GroupByKey]=OutputTable[[#This Row],[GroupByKey]])*OutputTable[RecordedValue])),0)</f>
        <v>354.88235294117646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20.951975900082719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10.772511978294911</v>
      </c>
      <c r="O339" s="5" cm="1">
        <f t="array" ref="O339">MIN(IF((OutputTable[GroupByKey]=OutputTable[[#This Row],[GroupByKey]]),(OutputTable[GroupByKey]=OutputTable[[#This Row],[GroupByKey]])*OutputTable[RecordedValue]))</f>
        <v>319</v>
      </c>
      <c r="P339" s="5" cm="1">
        <f t="array" ref="P339">MAX(IF((OutputTable[GroupByKey]=OutputTable[[#This Row],[GroupByKey]]),(OutputTable[GroupByKey]=OutputTable[[#This Row],[GroupByKey]])*OutputTable[RecordedValue]))</f>
        <v>391</v>
      </c>
    </row>
    <row r="340" spans="1:16" x14ac:dyDescent="0.25">
      <c r="A340" t="s">
        <v>67</v>
      </c>
      <c r="B340" t="s">
        <v>69</v>
      </c>
      <c r="C340">
        <v>17</v>
      </c>
      <c r="D340" t="s">
        <v>148</v>
      </c>
      <c r="E340" t="s">
        <v>149</v>
      </c>
      <c r="F340" t="s">
        <v>86</v>
      </c>
      <c r="G340">
        <v>324.59332343861797</v>
      </c>
      <c r="H340">
        <v>0</v>
      </c>
      <c r="I340" s="5" t="str">
        <f>OutputTable[[#This Row],[ProjectName]]&amp;OutputTable[[#This Row],[Name]]&amp;OutputTable[[#This Row],[Type]]&amp;OutputTable[[#This Row],[Source]]</f>
        <v>Weekend (base)Comer en Mesa Accum VA TimeAccum VA TimeProcess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17</v>
      </c>
      <c r="K340" s="5" cm="1">
        <f t="array" ref="K340">IFERROR(AVERAGE(IF((OutputTable[GroupByKey]=OutputTable[[#This Row],[GroupByKey]]),(OutputTable[GroupByKey]=OutputTable[[#This Row],[GroupByKey]])*OutputTable[RecordedValue])),0)</f>
        <v>308.63553444706355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57.365542312184125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29.49464024998937</v>
      </c>
      <c r="O340" s="5" cm="1">
        <f t="array" ref="O340">MIN(IF((OutputTable[GroupByKey]=OutputTable[[#This Row],[GroupByKey]]),(OutputTable[GroupByKey]=OutputTable[[#This Row],[GroupByKey]])*OutputTable[RecordedValue]))</f>
        <v>225.161235126317</v>
      </c>
      <c r="P340" s="5" cm="1">
        <f t="array" ref="P340">MAX(IF((OutputTable[GroupByKey]=OutputTable[[#This Row],[GroupByKey]]),(OutputTable[GroupByKey]=OutputTable[[#This Row],[GroupByKey]])*OutputTable[RecordedValue]))</f>
        <v>456.33427551718</v>
      </c>
    </row>
    <row r="341" spans="1:16" x14ac:dyDescent="0.25">
      <c r="A341" t="s">
        <v>67</v>
      </c>
      <c r="B341" t="s">
        <v>69</v>
      </c>
      <c r="C341">
        <v>17</v>
      </c>
      <c r="D341" t="s">
        <v>150</v>
      </c>
      <c r="E341" t="s">
        <v>151</v>
      </c>
      <c r="F341" t="s">
        <v>86</v>
      </c>
      <c r="G341">
        <v>0</v>
      </c>
      <c r="H341">
        <v>0</v>
      </c>
      <c r="I341" s="5" t="str">
        <f>OutputTable[[#This Row],[ProjectName]]&amp;OutputTable[[#This Row],[Name]]&amp;OutputTable[[#This Row],[Type]]&amp;OutputTable[[#This Row],[Source]]</f>
        <v>Weekend (base)Comer en Mesa Accum Wait TimeAccum Wait TimeProcess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17</v>
      </c>
      <c r="K341" s="5" cm="1">
        <f t="array" ref="K341">IFERROR(AVERAGE(IF((OutputTable[GroupByKey]=OutputTable[[#This Row],[GroupByKey]]),(OutputTable[GroupByKey]=OutputTable[[#This Row],[GroupByKey]])*OutputTable[RecordedValue])),0)</f>
        <v>0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0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1" s="5" cm="1">
        <f t="array" ref="O341">MIN(IF((OutputTable[GroupByKey]=OutputTable[[#This Row],[GroupByKey]]),(OutputTable[GroupByKey]=OutputTable[[#This Row],[GroupByKey]])*OutputTable[RecordedValue]))</f>
        <v>0</v>
      </c>
      <c r="P341" s="5" cm="1">
        <f t="array" ref="P341">MAX(IF((OutputTable[GroupByKey]=OutputTable[[#This Row],[GroupByKey]]),(OutputTable[GroupByKey]=OutputTable[[#This Row],[GroupByKey]])*OutputTable[RecordedValue]))</f>
        <v>0</v>
      </c>
    </row>
    <row r="342" spans="1:16" x14ac:dyDescent="0.25">
      <c r="A342" t="s">
        <v>67</v>
      </c>
      <c r="B342" t="s">
        <v>69</v>
      </c>
      <c r="C342">
        <v>17</v>
      </c>
      <c r="D342" t="s">
        <v>152</v>
      </c>
      <c r="E342" t="s">
        <v>145</v>
      </c>
      <c r="F342" t="s">
        <v>86</v>
      </c>
      <c r="G342">
        <v>20</v>
      </c>
      <c r="H342">
        <v>0</v>
      </c>
      <c r="I342" s="5" t="str">
        <f>OutputTable[[#This Row],[ProjectName]]&amp;OutputTable[[#This Row],[Name]]&amp;OutputTable[[#This Row],[Type]]&amp;OutputTable[[#This Row],[Source]]</f>
        <v>Weekend (base)Comer en Mesa Number InNumber InProcess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17</v>
      </c>
      <c r="K342" s="5" cm="1">
        <f t="array" ref="K342">IFERROR(AVERAGE(IF((OutputTable[GroupByKey]=OutputTable[[#This Row],[GroupByKey]]),(OutputTable[GroupByKey]=OutputTable[[#This Row],[GroupByKey]])*OutputTable[RecordedValue])),0)</f>
        <v>16.941176470588236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3.0097879542273018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342" s="5" cm="1">
        <f t="array" ref="O342">MIN(IF((OutputTable[GroupByKey]=OutputTable[[#This Row],[GroupByKey]]),(OutputTable[GroupByKey]=OutputTable[[#This Row],[GroupByKey]])*OutputTable[RecordedValue]))</f>
        <v>12</v>
      </c>
      <c r="P342" s="5" cm="1">
        <f t="array" ref="P342">MAX(IF((OutputTable[GroupByKey]=OutputTable[[#This Row],[GroupByKey]]),(OutputTable[GroupByKey]=OutputTable[[#This Row],[GroupByKey]])*OutputTable[RecordedValue]))</f>
        <v>22</v>
      </c>
    </row>
    <row r="343" spans="1:16" x14ac:dyDescent="0.25">
      <c r="A343" t="s">
        <v>67</v>
      </c>
      <c r="B343" t="s">
        <v>69</v>
      </c>
      <c r="C343">
        <v>17</v>
      </c>
      <c r="D343" t="s">
        <v>153</v>
      </c>
      <c r="E343" t="s">
        <v>147</v>
      </c>
      <c r="F343" t="s">
        <v>86</v>
      </c>
      <c r="G343">
        <v>18</v>
      </c>
      <c r="H343">
        <v>0</v>
      </c>
      <c r="I343" s="5" t="str">
        <f>OutputTable[[#This Row],[ProjectName]]&amp;OutputTable[[#This Row],[Name]]&amp;OutputTable[[#This Row],[Type]]&amp;OutputTable[[#This Row],[Source]]</f>
        <v>Weekend (base)Comer en Mesa Number OutNumber OutProcess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17</v>
      </c>
      <c r="K343" s="5" cm="1">
        <f t="array" ref="K343">IFERROR(AVERAGE(IF((OutputTable[GroupByKey]=OutputTable[[#This Row],[GroupByKey]]),(OutputTable[GroupByKey]=OutputTable[[#This Row],[GroupByKey]])*OutputTable[RecordedValue])),0)</f>
        <v>16.764705882352942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1.8550408272025261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0.95377398420864057</v>
      </c>
      <c r="O343" s="5" cm="1">
        <f t="array" ref="O343">MIN(IF((OutputTable[GroupByKey]=OutputTable[[#This Row],[GroupByKey]]),(OutputTable[GroupByKey]=OutputTable[[#This Row],[GroupByKey]])*OutputTable[RecordedValue]))</f>
        <v>13</v>
      </c>
      <c r="P343" s="5" cm="1">
        <f t="array" ref="P343">MAX(IF((OutputTable[GroupByKey]=OutputTable[[#This Row],[GroupByKey]]),(OutputTable[GroupByKey]=OutputTable[[#This Row],[GroupByKey]])*OutputTable[RecordedValue]))</f>
        <v>20</v>
      </c>
    </row>
    <row r="344" spans="1:16" x14ac:dyDescent="0.25">
      <c r="A344" t="s">
        <v>67</v>
      </c>
      <c r="B344" t="s">
        <v>69</v>
      </c>
      <c r="C344">
        <v>17</v>
      </c>
      <c r="D344" t="s">
        <v>154</v>
      </c>
      <c r="E344" t="s">
        <v>145</v>
      </c>
      <c r="F344" t="s">
        <v>72</v>
      </c>
      <c r="G344">
        <v>117</v>
      </c>
      <c r="H344">
        <v>0</v>
      </c>
      <c r="I344" s="5" t="str">
        <f>OutputTable[[#This Row],[ProjectName]]&amp;OutputTable[[#This Row],[Name]]&amp;OutputTable[[#This Row],[Type]]&amp;OutputTable[[#This Row],[Source]]</f>
        <v>Weekend (base)Orden.NumberInNumber InEntity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17</v>
      </c>
      <c r="K344" s="5" cm="1">
        <f t="array" ref="K344">IFERROR(AVERAGE(IF((OutputTable[GroupByKey]=OutputTable[[#This Row],[GroupByKey]]),(OutputTable[GroupByKey]=OutputTable[[#This Row],[GroupByKey]])*OutputTable[RecordedValue])),0)</f>
        <v>117.35294117647059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7.1496606254299602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344" s="5" cm="1">
        <f t="array" ref="O344">MIN(IF((OutputTable[GroupByKey]=OutputTable[[#This Row],[GroupByKey]]),(OutputTable[GroupByKey]=OutputTable[[#This Row],[GroupByKey]])*OutputTable[RecordedValue]))</f>
        <v>105</v>
      </c>
      <c r="P344" s="5" cm="1">
        <f t="array" ref="P344">MAX(IF((OutputTable[GroupByKey]=OutputTable[[#This Row],[GroupByKey]]),(OutputTable[GroupByKey]=OutputTable[[#This Row],[GroupByKey]])*OutputTable[RecordedValue]))</f>
        <v>131</v>
      </c>
    </row>
    <row r="345" spans="1:16" x14ac:dyDescent="0.25">
      <c r="A345" t="s">
        <v>67</v>
      </c>
      <c r="B345" t="s">
        <v>69</v>
      </c>
      <c r="C345">
        <v>17</v>
      </c>
      <c r="D345" t="s">
        <v>155</v>
      </c>
      <c r="E345" t="s">
        <v>147</v>
      </c>
      <c r="F345" t="s">
        <v>72</v>
      </c>
      <c r="G345">
        <v>117</v>
      </c>
      <c r="H345">
        <v>0</v>
      </c>
      <c r="I345" s="5" t="str">
        <f>OutputTable[[#This Row],[ProjectName]]&amp;OutputTable[[#This Row],[Name]]&amp;OutputTable[[#This Row],[Type]]&amp;OutputTable[[#This Row],[Source]]</f>
        <v>Weekend (base)Orden.NumberOutNumber OutEntity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17</v>
      </c>
      <c r="K345" s="5" cm="1">
        <f t="array" ref="K345">IFERROR(AVERAGE(IF((OutputTable[GroupByKey]=OutputTable[[#This Row],[GroupByKey]]),(OutputTable[GroupByKey]=OutputTable[[#This Row],[GroupByKey]])*OutputTable[RecordedValue])),0)</f>
        <v>118.76470588235294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7.0580575564802697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345" s="5" cm="1">
        <f t="array" ref="O345">MIN(IF((OutputTable[GroupByKey]=OutputTable[[#This Row],[GroupByKey]]),(OutputTable[GroupByKey]=OutputTable[[#This Row],[GroupByKey]])*OutputTable[RecordedValue]))</f>
        <v>107</v>
      </c>
      <c r="P345" s="5" cm="1">
        <f t="array" ref="P345">MAX(IF((OutputTable[GroupByKey]=OutputTable[[#This Row],[GroupByKey]]),(OutputTable[GroupByKey]=OutputTable[[#This Row],[GroupByKey]])*OutputTable[RecordedValue]))</f>
        <v>130</v>
      </c>
    </row>
    <row r="346" spans="1:16" x14ac:dyDescent="0.25">
      <c r="A346" t="s">
        <v>67</v>
      </c>
      <c r="B346" t="s">
        <v>69</v>
      </c>
      <c r="C346">
        <v>17</v>
      </c>
      <c r="D346" t="s">
        <v>156</v>
      </c>
      <c r="E346" t="s">
        <v>149</v>
      </c>
      <c r="F346" t="s">
        <v>86</v>
      </c>
      <c r="G346">
        <v>210.174684317161</v>
      </c>
      <c r="H346">
        <v>0</v>
      </c>
      <c r="I346" s="5" t="str">
        <f>OutputTable[[#This Row],[ProjectName]]&amp;OutputTable[[#This Row],[Name]]&amp;OutputTable[[#This Row],[Type]]&amp;OutputTable[[#This Row],[Source]]</f>
        <v>Weekend (base)Preparacion Accum VA TimeAccum VA TimeProcess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17</v>
      </c>
      <c r="K346" s="5" cm="1">
        <f t="array" ref="K346">IFERROR(AVERAGE(IF((OutputTable[GroupByKey]=OutputTable[[#This Row],[GroupByKey]]),(OutputTable[GroupByKey]=OutputTable[[#This Row],[GroupByKey]])*OutputTable[RecordedValue])),0)</f>
        <v>191.25148078330704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16.886201618463961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8.6820837361734355</v>
      </c>
      <c r="O346" s="5" cm="1">
        <f t="array" ref="O346">MIN(IF((OutputTable[GroupByKey]=OutputTable[[#This Row],[GroupByKey]]),(OutputTable[GroupByKey]=OutputTable[[#This Row],[GroupByKey]])*OutputTable[RecordedValue]))</f>
        <v>159.38722481493599</v>
      </c>
      <c r="P346" s="5" cm="1">
        <f t="array" ref="P346">MAX(IF((OutputTable[GroupByKey]=OutputTable[[#This Row],[GroupByKey]]),(OutputTable[GroupByKey]=OutputTable[[#This Row],[GroupByKey]])*OutputTable[RecordedValue]))</f>
        <v>225.02992874035499</v>
      </c>
    </row>
    <row r="347" spans="1:16" x14ac:dyDescent="0.25">
      <c r="A347" t="s">
        <v>67</v>
      </c>
      <c r="B347" t="s">
        <v>69</v>
      </c>
      <c r="C347">
        <v>17</v>
      </c>
      <c r="D347" t="s">
        <v>157</v>
      </c>
      <c r="E347" t="s">
        <v>151</v>
      </c>
      <c r="F347" t="s">
        <v>86</v>
      </c>
      <c r="G347">
        <v>221.92037741642099</v>
      </c>
      <c r="H347">
        <v>0</v>
      </c>
      <c r="I347" s="5" t="str">
        <f>OutputTable[[#This Row],[ProjectName]]&amp;OutputTable[[#This Row],[Name]]&amp;OutputTable[[#This Row],[Type]]&amp;OutputTable[[#This Row],[Source]]</f>
        <v>Weekend (base)Preparacion Accum Wait TimeAccum Wait TimeProcess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17</v>
      </c>
      <c r="K347" s="5" cm="1">
        <f t="array" ref="K347">IFERROR(AVERAGE(IF((OutputTable[GroupByKey]=OutputTable[[#This Row],[GroupByKey]]),(OutputTable[GroupByKey]=OutputTable[[#This Row],[GroupByKey]])*OutputTable[RecordedValue])),0)</f>
        <v>133.66503743442436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79.508986996493206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40.879748949999311</v>
      </c>
      <c r="O347" s="5" cm="1">
        <f t="array" ref="O347">MIN(IF((OutputTable[GroupByKey]=OutputTable[[#This Row],[GroupByKey]]),(OutputTable[GroupByKey]=OutputTable[[#This Row],[GroupByKey]])*OutputTable[RecordedValue]))</f>
        <v>36.437518321990602</v>
      </c>
      <c r="P347" s="5" cm="1">
        <f t="array" ref="P347">MAX(IF((OutputTable[GroupByKey]=OutputTable[[#This Row],[GroupByKey]]),(OutputTable[GroupByKey]=OutputTable[[#This Row],[GroupByKey]])*OutputTable[RecordedValue]))</f>
        <v>324.91710015892198</v>
      </c>
    </row>
    <row r="348" spans="1:16" x14ac:dyDescent="0.25">
      <c r="A348" t="s">
        <v>67</v>
      </c>
      <c r="B348" t="s">
        <v>69</v>
      </c>
      <c r="C348">
        <v>17</v>
      </c>
      <c r="D348" t="s">
        <v>158</v>
      </c>
      <c r="E348" t="s">
        <v>145</v>
      </c>
      <c r="F348" t="s">
        <v>86</v>
      </c>
      <c r="G348">
        <v>117</v>
      </c>
      <c r="H348">
        <v>0</v>
      </c>
      <c r="I348" s="5" t="str">
        <f>OutputTable[[#This Row],[ProjectName]]&amp;OutputTable[[#This Row],[Name]]&amp;OutputTable[[#This Row],[Type]]&amp;OutputTable[[#This Row],[Source]]</f>
        <v>Weekend (base)Preparacion Number InNumber InProcess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17</v>
      </c>
      <c r="K348" s="5" cm="1">
        <f t="array" ref="K348">IFERROR(AVERAGE(IF((OutputTable[GroupByKey]=OutputTable[[#This Row],[GroupByKey]]),(OutputTable[GroupByKey]=OutputTable[[#This Row],[GroupByKey]])*OutputTable[RecordedValue])),0)</f>
        <v>117.35294117647059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7.1496606254299602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3.6760162905630134</v>
      </c>
      <c r="O348" s="5" cm="1">
        <f t="array" ref="O348">MIN(IF((OutputTable[GroupByKey]=OutputTable[[#This Row],[GroupByKey]]),(OutputTable[GroupByKey]=OutputTable[[#This Row],[GroupByKey]])*OutputTable[RecordedValue]))</f>
        <v>105</v>
      </c>
      <c r="P348" s="5" cm="1">
        <f t="array" ref="P348">MAX(IF((OutputTable[GroupByKey]=OutputTable[[#This Row],[GroupByKey]]),(OutputTable[GroupByKey]=OutputTable[[#This Row],[GroupByKey]])*OutputTable[RecordedValue]))</f>
        <v>131</v>
      </c>
    </row>
    <row r="349" spans="1:16" x14ac:dyDescent="0.25">
      <c r="A349" t="s">
        <v>67</v>
      </c>
      <c r="B349" t="s">
        <v>69</v>
      </c>
      <c r="C349">
        <v>17</v>
      </c>
      <c r="D349" t="s">
        <v>159</v>
      </c>
      <c r="E349" t="s">
        <v>147</v>
      </c>
      <c r="F349" t="s">
        <v>86</v>
      </c>
      <c r="G349">
        <v>118</v>
      </c>
      <c r="H349">
        <v>0</v>
      </c>
      <c r="I349" s="5" t="str">
        <f>OutputTable[[#This Row],[ProjectName]]&amp;OutputTable[[#This Row],[Name]]&amp;OutputTable[[#This Row],[Type]]&amp;OutputTable[[#This Row],[Source]]</f>
        <v>Weekend (base)Preparacion Number OutNumber OutProcess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17</v>
      </c>
      <c r="K349" s="5" cm="1">
        <f t="array" ref="K349">IFERROR(AVERAGE(IF((OutputTable[GroupByKey]=OutputTable[[#This Row],[GroupByKey]]),(OutputTable[GroupByKey]=OutputTable[[#This Row],[GroupByKey]])*OutputTable[RecordedValue])),0)</f>
        <v>118.82352941176471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6.9931689358048459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3.5955556882298705</v>
      </c>
      <c r="O349" s="5" cm="1">
        <f t="array" ref="O349">MIN(IF((OutputTable[GroupByKey]=OutputTable[[#This Row],[GroupByKey]]),(OutputTable[GroupByKey]=OutputTable[[#This Row],[GroupByKey]])*OutputTable[RecordedValue]))</f>
        <v>108</v>
      </c>
      <c r="P349" s="5" cm="1">
        <f t="array" ref="P349">MAX(IF((OutputTable[GroupByKey]=OutputTable[[#This Row],[GroupByKey]]),(OutputTable[GroupByKey]=OutputTable[[#This Row],[GroupByKey]])*OutputTable[RecordedValue]))</f>
        <v>132</v>
      </c>
    </row>
    <row r="350" spans="1:16" x14ac:dyDescent="0.25">
      <c r="A350" t="s">
        <v>67</v>
      </c>
      <c r="B350" t="s">
        <v>69</v>
      </c>
      <c r="C350">
        <v>17</v>
      </c>
      <c r="D350" t="s">
        <v>160</v>
      </c>
      <c r="E350" t="s">
        <v>147</v>
      </c>
      <c r="F350" t="s">
        <v>161</v>
      </c>
      <c r="G350">
        <v>120</v>
      </c>
      <c r="H350">
        <v>0</v>
      </c>
      <c r="I350" s="5" t="str">
        <f>OutputTable[[#This Row],[ProjectName]]&amp;OutputTable[[#This Row],[Name]]&amp;OutputTable[[#This Row],[Type]]&amp;OutputTable[[#This Row],[Source]]</f>
        <v>Weekend (base)System.NumberOutNumber OutSystem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17</v>
      </c>
      <c r="K350" s="5" cm="1">
        <f t="array" ref="K350">IFERROR(AVERAGE(IF((OutputTable[GroupByKey]=OutputTable[[#This Row],[GroupByKey]]),(OutputTable[GroupByKey]=OutputTable[[#This Row],[GroupByKey]])*OutputTable[RecordedValue])),0)</f>
        <v>121.76470588235294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7.0580575564802697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3.6289183384550587</v>
      </c>
      <c r="O350" s="5" cm="1">
        <f t="array" ref="O350">MIN(IF((OutputTable[GroupByKey]=OutputTable[[#This Row],[GroupByKey]]),(OutputTable[GroupByKey]=OutputTable[[#This Row],[GroupByKey]])*OutputTable[RecordedValue]))</f>
        <v>110</v>
      </c>
      <c r="P350" s="5" cm="1">
        <f t="array" ref="P350">MAX(IF((OutputTable[GroupByKey]=OutputTable[[#This Row],[GroupByKey]]),(OutputTable[GroupByKey]=OutputTable[[#This Row],[GroupByKey]])*OutputTable[RecordedValue]))</f>
        <v>133</v>
      </c>
    </row>
    <row r="351" spans="1:16" x14ac:dyDescent="0.25">
      <c r="A351" t="s">
        <v>67</v>
      </c>
      <c r="B351" t="s">
        <v>69</v>
      </c>
      <c r="C351">
        <v>17</v>
      </c>
      <c r="D351" t="s">
        <v>162</v>
      </c>
      <c r="E351" t="s">
        <v>163</v>
      </c>
      <c r="F351" t="s">
        <v>136</v>
      </c>
      <c r="G351">
        <v>166</v>
      </c>
      <c r="H351">
        <v>0</v>
      </c>
      <c r="I351" s="5" t="str">
        <f>OutputTable[[#This Row],[ProjectName]]&amp;OutputTable[[#This Row],[Name]]&amp;OutputTable[[#This Row],[Type]]&amp;OutputTable[[#This Row],[Source]]</f>
        <v>Weekend (base)rCajero.NumberSeizedTotal Number SeizedResource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17</v>
      </c>
      <c r="K351" s="5" cm="1">
        <f t="array" ref="K351">IFERROR(AVERAGE(IF((OutputTable[GroupByKey]=OutputTable[[#This Row],[GroupByKey]]),(OutputTable[GroupByKey]=OutputTable[[#This Row],[GroupByKey]])*OutputTable[RecordedValue])),0)</f>
        <v>162.1764705882353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10.100960932738323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5.1934348893453492</v>
      </c>
      <c r="O351" s="5" cm="1">
        <f t="array" ref="O351">MIN(IF((OutputTable[GroupByKey]=OutputTable[[#This Row],[GroupByKey]]),(OutputTable[GroupByKey]=OutputTable[[#This Row],[GroupByKey]])*OutputTable[RecordedValue]))</f>
        <v>147</v>
      </c>
      <c r="P351" s="5" cm="1">
        <f t="array" ref="P351">MAX(IF((OutputTable[GroupByKey]=OutputTable[[#This Row],[GroupByKey]]),(OutputTable[GroupByKey]=OutputTable[[#This Row],[GroupByKey]])*OutputTable[RecordedValue]))</f>
        <v>183</v>
      </c>
    </row>
    <row r="352" spans="1:16" x14ac:dyDescent="0.25">
      <c r="A352" t="s">
        <v>67</v>
      </c>
      <c r="B352" t="s">
        <v>69</v>
      </c>
      <c r="C352">
        <v>17</v>
      </c>
      <c r="D352" t="s">
        <v>164</v>
      </c>
      <c r="E352" t="s">
        <v>165</v>
      </c>
      <c r="F352" t="s">
        <v>136</v>
      </c>
      <c r="G352">
        <v>0.87839421174033205</v>
      </c>
      <c r="H352">
        <v>0</v>
      </c>
      <c r="I352" s="5" t="str">
        <f>OutputTable[[#This Row],[ProjectName]]&amp;OutputTable[[#This Row],[Name]]&amp;OutputTable[[#This Row],[Type]]&amp;OutputTable[[#This Row],[Source]]</f>
        <v>Weekend (base)rCajero.ScheduledUtilizationScheduled UtilizationResource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17</v>
      </c>
      <c r="K352" s="5" cm="1">
        <f t="array" ref="K352">IFERROR(AVERAGE(IF((OutputTable[GroupByKey]=OutputTable[[#This Row],[GroupByKey]]),(OutputTable[GroupByKey]=OutputTable[[#This Row],[GroupByKey]])*OutputTable[RecordedValue])),0)</f>
        <v>0.82034721885470152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6.5495768324500853E-2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3.3674816741294945E-2</v>
      </c>
      <c r="O352" s="5" cm="1">
        <f t="array" ref="O352">MIN(IF((OutputTable[GroupByKey]=OutputTable[[#This Row],[GroupByKey]]),(OutputTable[GroupByKey]=OutputTable[[#This Row],[GroupByKey]])*OutputTable[RecordedValue]))</f>
        <v>0.73534383204610498</v>
      </c>
      <c r="P352" s="5" cm="1">
        <f t="array" ref="P352">MAX(IF((OutputTable[GroupByKey]=OutputTable[[#This Row],[GroupByKey]]),(OutputTable[GroupByKey]=OutputTable[[#This Row],[GroupByKey]])*OutputTable[RecordedValue]))</f>
        <v>0.95888680213271504</v>
      </c>
    </row>
    <row r="353" spans="1:16" x14ac:dyDescent="0.25">
      <c r="A353" t="s">
        <v>67</v>
      </c>
      <c r="B353" t="s">
        <v>69</v>
      </c>
      <c r="C353">
        <v>17</v>
      </c>
      <c r="D353" t="s">
        <v>166</v>
      </c>
      <c r="E353" t="s">
        <v>163</v>
      </c>
      <c r="F353" t="s">
        <v>136</v>
      </c>
      <c r="G353">
        <v>69</v>
      </c>
      <c r="H353">
        <v>0</v>
      </c>
      <c r="I353" s="5" t="str">
        <f>OutputTable[[#This Row],[ProjectName]]&amp;OutputTable[[#This Row],[Name]]&amp;OutputTable[[#This Row],[Type]]&amp;OutputTable[[#This Row],[Source]]</f>
        <v>Weekend (base)rCocina.NumberSeizedTotal Number SeizedResource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17</v>
      </c>
      <c r="K353" s="5" cm="1">
        <f t="array" ref="K353">IFERROR(AVERAGE(IF((OutputTable[GroupByKey]=OutputTable[[#This Row],[GroupByKey]]),(OutputTable[GroupByKey]=OutputTable[[#This Row],[GroupByKey]])*OutputTable[RecordedValue])),0)</f>
        <v>73.764705882352942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6.2302629535669061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3.2033056268913307</v>
      </c>
      <c r="O353" s="5" cm="1">
        <f t="array" ref="O353">MIN(IF((OutputTable[GroupByKey]=OutputTable[[#This Row],[GroupByKey]]),(OutputTable[GroupByKey]=OutputTable[[#This Row],[GroupByKey]])*OutputTable[RecordedValue]))</f>
        <v>60</v>
      </c>
      <c r="P353" s="5" cm="1">
        <f t="array" ref="P353">MAX(IF((OutputTable[GroupByKey]=OutputTable[[#This Row],[GroupByKey]]),(OutputTable[GroupByKey]=OutputTable[[#This Row],[GroupByKey]])*OutputTable[RecordedValue]))</f>
        <v>84</v>
      </c>
    </row>
    <row r="354" spans="1:16" x14ac:dyDescent="0.25">
      <c r="A354" t="s">
        <v>67</v>
      </c>
      <c r="B354" t="s">
        <v>69</v>
      </c>
      <c r="C354">
        <v>17</v>
      </c>
      <c r="D354" t="s">
        <v>167</v>
      </c>
      <c r="E354" t="s">
        <v>165</v>
      </c>
      <c r="F354" t="s">
        <v>136</v>
      </c>
      <c r="G354">
        <v>0.65981085089275904</v>
      </c>
      <c r="H354">
        <v>0</v>
      </c>
      <c r="I354" s="5" t="str">
        <f>OutputTable[[#This Row],[ProjectName]]&amp;OutputTable[[#This Row],[Name]]&amp;OutputTable[[#This Row],[Type]]&amp;OutputTable[[#This Row],[Source]]</f>
        <v>Weekend (base)rCocina.ScheduledUtilizationScheduled UtilizationResource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17</v>
      </c>
      <c r="K354" s="5" cm="1">
        <f t="array" ref="K354">IFERROR(AVERAGE(IF((OutputTable[GroupByKey]=OutputTable[[#This Row],[GroupByKey]]),(OutputTable[GroupByKey]=OutputTable[[#This Row],[GroupByKey]])*OutputTable[RecordedValue])),0)</f>
        <v>0.66010861965703893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6.6171154002911237E-2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3.4022068014651748E-2</v>
      </c>
      <c r="O354" s="5" cm="1">
        <f t="array" ref="O354">MIN(IF((OutputTable[GroupByKey]=OutputTable[[#This Row],[GroupByKey]]),(OutputTable[GroupByKey]=OutputTable[[#This Row],[GroupByKey]])*OutputTable[RecordedValue]))</f>
        <v>0.52223972091576099</v>
      </c>
      <c r="P354" s="5" cm="1">
        <f t="array" ref="P354">MAX(IF((OutputTable[GroupByKey]=OutputTable[[#This Row],[GroupByKey]]),(OutputTable[GroupByKey]=OutputTable[[#This Row],[GroupByKey]])*OutputTable[RecordedValue]))</f>
        <v>0.77852312806092006</v>
      </c>
    </row>
    <row r="355" spans="1:16" x14ac:dyDescent="0.25">
      <c r="A355" t="s">
        <v>67</v>
      </c>
      <c r="B355" t="s">
        <v>69</v>
      </c>
      <c r="C355">
        <v>17</v>
      </c>
      <c r="D355" t="s">
        <v>168</v>
      </c>
      <c r="E355" t="s">
        <v>163</v>
      </c>
      <c r="F355" t="s">
        <v>136</v>
      </c>
      <c r="G355">
        <v>20</v>
      </c>
      <c r="H355">
        <v>0</v>
      </c>
      <c r="I355" s="5" t="str">
        <f>OutputTable[[#This Row],[ProjectName]]&amp;OutputTable[[#This Row],[Name]]&amp;OutputTable[[#This Row],[Type]]&amp;OutputTable[[#This Row],[Source]]</f>
        <v>Weekend (base)rMesa.NumberSeizedTotal Number SeizedResource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17</v>
      </c>
      <c r="K355" s="5" cm="1">
        <f t="array" ref="K355">IFERROR(AVERAGE(IF((OutputTable[GroupByKey]=OutputTable[[#This Row],[GroupByKey]]),(OutputTable[GroupByKey]=OutputTable[[#This Row],[GroupByKey]])*OutputTable[RecordedValue])),0)</f>
        <v>16.941176470588236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3.0097879542273018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1.5474901719848453</v>
      </c>
      <c r="O355" s="5" cm="1">
        <f t="array" ref="O355">MIN(IF((OutputTable[GroupByKey]=OutputTable[[#This Row],[GroupByKey]]),(OutputTable[GroupByKey]=OutputTable[[#This Row],[GroupByKey]])*OutputTable[RecordedValue]))</f>
        <v>12</v>
      </c>
      <c r="P355" s="5" cm="1">
        <f t="array" ref="P355">MAX(IF((OutputTable[GroupByKey]=OutputTable[[#This Row],[GroupByKey]]),(OutputTable[GroupByKey]=OutputTable[[#This Row],[GroupByKey]])*OutputTable[RecordedValue]))</f>
        <v>22</v>
      </c>
    </row>
    <row r="356" spans="1:16" x14ac:dyDescent="0.25">
      <c r="A356" t="s">
        <v>67</v>
      </c>
      <c r="B356" t="s">
        <v>69</v>
      </c>
      <c r="C356">
        <v>17</v>
      </c>
      <c r="D356" t="s">
        <v>169</v>
      </c>
      <c r="E356" t="s">
        <v>165</v>
      </c>
      <c r="F356" t="s">
        <v>136</v>
      </c>
      <c r="G356">
        <v>0.40742074900349501</v>
      </c>
      <c r="H356">
        <v>0</v>
      </c>
      <c r="I356" s="5" t="str">
        <f>OutputTable[[#This Row],[ProjectName]]&amp;OutputTable[[#This Row],[Name]]&amp;OutputTable[[#This Row],[Type]]&amp;OutputTable[[#This Row],[Source]]</f>
        <v>Weekend (base)rMesa.ScheduledUtilizationScheduled UtilizationResource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17</v>
      </c>
      <c r="K356" s="5" cm="1">
        <f t="array" ref="K356">IFERROR(AVERAGE(IF((OutputTable[GroupByKey]=OutputTable[[#This Row],[GroupByKey]]),(OutputTable[GroupByKey]=OutputTable[[#This Row],[GroupByKey]])*OutputTable[RecordedValue])),0)</f>
        <v>0.34356399197544252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7.597675013665138E-2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3.9063640337413962E-2</v>
      </c>
      <c r="O356" s="5" cm="1">
        <f t="array" ref="O356">MIN(IF((OutputTable[GroupByKey]=OutputTable[[#This Row],[GroupByKey]]),(OutputTable[GroupByKey]=OutputTable[[#This Row],[GroupByKey]])*OutputTable[RecordedValue]))</f>
        <v>0.20879044077011299</v>
      </c>
      <c r="P356" s="5" cm="1">
        <f t="array" ref="P356">MAX(IF((OutputTable[GroupByKey]=OutputTable[[#This Row],[GroupByKey]]),(OutputTable[GroupByKey]=OutputTable[[#This Row],[GroupByKey]])*OutputTable[RecordedValue]))</f>
        <v>0.53820629377380302</v>
      </c>
    </row>
    <row r="357" spans="1:16" x14ac:dyDescent="0.25">
      <c r="A357" t="s">
        <v>67</v>
      </c>
      <c r="B357" t="s">
        <v>69</v>
      </c>
      <c r="C357">
        <v>17</v>
      </c>
      <c r="D357" t="s">
        <v>170</v>
      </c>
      <c r="E357" t="s">
        <v>145</v>
      </c>
      <c r="F357" t="s">
        <v>72</v>
      </c>
      <c r="G357">
        <v>3</v>
      </c>
      <c r="H357">
        <v>0</v>
      </c>
      <c r="I357" s="5" t="str">
        <f>OutputTable[[#This Row],[ProjectName]]&amp;OutputTable[[#This Row],[Name]]&amp;OutputTable[[#This Row],[Type]]&amp;OutputTable[[#This Row],[Source]]</f>
        <v>Weekend (base)reloj.NumberInNumber InEntity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17</v>
      </c>
      <c r="K357" s="5" cm="1">
        <f t="array" ref="K357">IFERROR(AVERAGE(IF((OutputTable[GroupByKey]=OutputTable[[#This Row],[GroupByKey]]),(OutputTable[GroupByKey]=OutputTable[[#This Row],[GroupByKey]])*OutputTable[RecordedValue])),0)</f>
        <v>3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0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7" s="5" cm="1">
        <f t="array" ref="O357">MIN(IF((OutputTable[GroupByKey]=OutputTable[[#This Row],[GroupByKey]]),(OutputTable[GroupByKey]=OutputTable[[#This Row],[GroupByKey]])*OutputTable[RecordedValue]))</f>
        <v>3</v>
      </c>
      <c r="P357" s="5" cm="1">
        <f t="array" ref="P357">MAX(IF((OutputTable[GroupByKey]=OutputTable[[#This Row],[GroupByKey]]),(OutputTable[GroupByKey]=OutputTable[[#This Row],[GroupByKey]])*OutputTable[RecordedValue]))</f>
        <v>3</v>
      </c>
    </row>
    <row r="358" spans="1:16" x14ac:dyDescent="0.25">
      <c r="A358" t="s">
        <v>67</v>
      </c>
      <c r="B358" t="s">
        <v>69</v>
      </c>
      <c r="C358">
        <v>17</v>
      </c>
      <c r="D358" t="s">
        <v>171</v>
      </c>
      <c r="E358" t="s">
        <v>147</v>
      </c>
      <c r="F358" t="s">
        <v>72</v>
      </c>
      <c r="G358">
        <v>3</v>
      </c>
      <c r="H358">
        <v>0</v>
      </c>
      <c r="I358" s="5" t="str">
        <f>OutputTable[[#This Row],[ProjectName]]&amp;OutputTable[[#This Row],[Name]]&amp;OutputTable[[#This Row],[Type]]&amp;OutputTable[[#This Row],[Source]]</f>
        <v>Weekend (base)reloj.NumberOutNumber OutEntity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17</v>
      </c>
      <c r="K358" s="5" cm="1">
        <f t="array" ref="K358">IFERROR(AVERAGE(IF((OutputTable[GroupByKey]=OutputTable[[#This Row],[GroupByKey]]),(OutputTable[GroupByKey]=OutputTable[[#This Row],[GroupByKey]])*OutputTable[RecordedValue])),0)</f>
        <v>3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0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8" s="5" cm="1">
        <f t="array" ref="O358">MIN(IF((OutputTable[GroupByKey]=OutputTable[[#This Row],[GroupByKey]]),(OutputTable[GroupByKey]=OutputTable[[#This Row],[GroupByKey]])*OutputTable[RecordedValue]))</f>
        <v>3</v>
      </c>
      <c r="P358" s="5" cm="1">
        <f t="array" ref="P358">MAX(IF((OutputTable[GroupByKey]=OutputTable[[#This Row],[GroupByKey]]),(OutputTable[GroupByKey]=OutputTable[[#This Row],[GroupByKey]])*OutputTable[RecordedValue]))</f>
        <v>3</v>
      </c>
    </row>
  </sheetData>
  <phoneticPr fontId="2" type="noConversion"/>
  <conditionalFormatting sqref="I2:P358">
    <cfRule type="expression" dxfId="3" priority="2">
      <formula>MOD(ROW(),2)=0</formula>
    </cfRule>
  </conditionalFormatting>
  <conditionalFormatting sqref="N2:N35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14.85546875" bestFit="1" customWidth="1"/>
    <col min="2" max="2" width="22.140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28515625" bestFit="1" customWidth="1"/>
    <col min="8" max="8" width="22.42578125" bestFit="1" customWidth="1"/>
    <col min="9" max="9" width="24.85546875" bestFit="1" customWidth="1"/>
    <col min="10" max="10" width="26" bestFit="1" customWidth="1"/>
    <col min="11" max="11" width="16" bestFit="1" customWidth="1"/>
    <col min="12" max="12" width="14.28515625" bestFit="1" customWidth="1"/>
    <col min="13" max="13" width="29.85546875" bestFit="1" customWidth="1"/>
    <col min="14" max="14" width="31" bestFit="1" customWidth="1"/>
    <col min="15" max="15" width="17.140625" bestFit="1" customWidth="1"/>
    <col min="16" max="16" width="28.85546875" bestFit="1" customWidth="1"/>
    <col min="17" max="17" width="30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66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Nicolas Joel Caceres Parra</cp:lastModifiedBy>
  <cp:lastPrinted>2022-03-22T10:33:10Z</cp:lastPrinted>
  <dcterms:created xsi:type="dcterms:W3CDTF">2020-06-29T21:30:31Z</dcterms:created>
  <dcterms:modified xsi:type="dcterms:W3CDTF">2025-05-18T04:41:47Z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
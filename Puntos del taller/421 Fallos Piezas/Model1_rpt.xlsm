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21 Fallos Piezas/"/>
    </mc:Choice>
  </mc:AlternateContent>
  <xr:revisionPtr revIDLastSave="1" documentId="13_ncr:1_{325E12FA-5483-41CA-B36F-0BB911A2EF96}" xr6:coauthVersionLast="47" xr6:coauthVersionMax="47" xr10:uidLastSave="{78E5FC70-1B05-47B0-A87D-FE7E20FB9C0A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ContinuousTimeStatsByRep!$A$1:$L$91</definedName>
    <definedName name="ExternalData_1" localSheetId="4" hidden="1">CounterStatsByRep!$A$1:$G$2</definedName>
    <definedName name="ExternalData_1" localSheetId="2" hidden="1">DiscreteTimeStatsByRep!$A$1:$K$75</definedName>
    <definedName name="ExternalData_1" localSheetId="6" hidden="1">FrequencyStatsByRep!$A$1:$K$2</definedName>
    <definedName name="ExternalData_1" localSheetId="5" hidden="1">OutputStatsByRep!$A$1:$H$141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L136" i="20" a="1"/>
  <c r="L136" i="20" s="1"/>
  <c r="M2" i="20" a="1"/>
  <c r="M2" i="20" s="1"/>
  <c r="M3" i="20" a="1"/>
  <c r="M3" i="20" s="1"/>
  <c r="M4" i="20" a="1"/>
  <c r="M4" i="20" s="1"/>
  <c r="M5" i="20" a="1"/>
  <c r="M5" i="20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/>
  <c r="M26" i="20" a="1"/>
  <c r="M26" i="20" s="1"/>
  <c r="M27" i="20" a="1"/>
  <c r="M27" i="20" s="1"/>
  <c r="M28" i="20" a="1"/>
  <c r="M28" i="20" s="1"/>
  <c r="M29" i="20" a="1"/>
  <c r="M29" i="20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/>
  <c r="M42" i="20" a="1"/>
  <c r="M42" i="20" s="1"/>
  <c r="M43" i="20" a="1"/>
  <c r="M43" i="20" s="1"/>
  <c r="M44" i="20" a="1"/>
  <c r="M44" i="20" s="1"/>
  <c r="M45" i="20" a="1"/>
  <c r="M45" i="20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/>
  <c r="M58" i="20" a="1"/>
  <c r="M58" i="20" s="1"/>
  <c r="M59" i="20" a="1"/>
  <c r="M59" i="20" s="1"/>
  <c r="M60" i="20" a="1"/>
  <c r="M60" i="20" s="1"/>
  <c r="M61" i="20" a="1"/>
  <c r="M61" i="20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/>
  <c r="M87" i="20" a="1"/>
  <c r="M87" i="20" s="1"/>
  <c r="M88" i="20" a="1"/>
  <c r="M88" i="20" s="1"/>
  <c r="M89" i="20" a="1"/>
  <c r="M89" i="20" s="1"/>
  <c r="M90" i="20" a="1"/>
  <c r="M90" i="20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/>
  <c r="M103" i="20" a="1"/>
  <c r="M103" i="20" s="1"/>
  <c r="M104" i="20" a="1"/>
  <c r="M104" i="20" s="1"/>
  <c r="M105" i="20" a="1"/>
  <c r="M105" i="20" s="1"/>
  <c r="M106" i="20" a="1"/>
  <c r="M106" i="20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/>
  <c r="M135" i="20" a="1"/>
  <c r="M135" i="20" s="1"/>
  <c r="M136" i="20" a="1"/>
  <c r="M136" i="20" s="1"/>
  <c r="M137" i="20" a="1"/>
  <c r="M137" i="20" s="1"/>
  <c r="M138" i="20" a="1"/>
  <c r="M138" i="20"/>
  <c r="M139" i="20" a="1"/>
  <c r="M139" i="20" s="1"/>
  <c r="M140" i="20" a="1"/>
  <c r="M140" i="20" s="1"/>
  <c r="M141" i="20" a="1"/>
  <c r="M141" i="20" s="1"/>
  <c r="O14" i="20" a="1"/>
  <c r="O14" i="20" s="1"/>
  <c r="O38" i="20" a="1"/>
  <c r="O38" i="20" s="1"/>
  <c r="O52" i="20" a="1"/>
  <c r="O52" i="20" s="1"/>
  <c r="O67" i="20" a="1"/>
  <c r="O67" i="20" s="1"/>
  <c r="O81" i="20" a="1"/>
  <c r="O81" i="20" s="1"/>
  <c r="O95" i="20" a="1"/>
  <c r="O95" i="20" s="1"/>
  <c r="O109" i="20" a="1"/>
  <c r="O109" i="20" s="1"/>
  <c r="O138" i="20" a="1"/>
  <c r="O138" i="20" s="1"/>
  <c r="P12" i="20" a="1"/>
  <c r="P12" i="20" s="1"/>
  <c r="P37" i="20" a="1"/>
  <c r="P37" i="20" s="1"/>
  <c r="P45" i="20" a="1"/>
  <c r="P45" i="20" s="1"/>
  <c r="P49" i="20" a="1"/>
  <c r="P49" i="20" s="1"/>
  <c r="P52" i="20" a="1"/>
  <c r="P52" i="20" s="1"/>
  <c r="P59" i="20" a="1"/>
  <c r="P59" i="20" s="1"/>
  <c r="P64" i="20" a="1"/>
  <c r="P64" i="20" s="1"/>
  <c r="P67" i="20" a="1"/>
  <c r="P67" i="20" s="1"/>
  <c r="P72" i="20" a="1"/>
  <c r="P72" i="20" s="1"/>
  <c r="P75" i="20" a="1"/>
  <c r="P75" i="20" s="1"/>
  <c r="P80" i="20" a="1"/>
  <c r="P80" i="20" s="1"/>
  <c r="P83" i="20" a="1"/>
  <c r="P83" i="20" s="1"/>
  <c r="P88" i="20" a="1"/>
  <c r="P88" i="20" s="1"/>
  <c r="P91" i="20" a="1"/>
  <c r="P91" i="20" s="1"/>
  <c r="P96" i="20" a="1"/>
  <c r="P96" i="20" s="1"/>
  <c r="P99" i="20" a="1"/>
  <c r="P99" i="20" s="1"/>
  <c r="P104" i="20" a="1"/>
  <c r="P104" i="20" s="1"/>
  <c r="P107" i="20" a="1"/>
  <c r="P107" i="20" s="1"/>
  <c r="P112" i="20" a="1"/>
  <c r="P112" i="20" s="1"/>
  <c r="P115" i="20" a="1"/>
  <c r="P115" i="20" s="1"/>
  <c r="P120" i="20" a="1"/>
  <c r="P120" i="20" s="1"/>
  <c r="P123" i="20" a="1"/>
  <c r="P123" i="20" s="1"/>
  <c r="P128" i="20" a="1"/>
  <c r="P128" i="20" s="1"/>
  <c r="P131" i="20" a="1"/>
  <c r="P131" i="20" s="1"/>
  <c r="P132" i="20" a="1"/>
  <c r="P132" i="20" s="1"/>
  <c r="P135" i="20" a="1"/>
  <c r="P135" i="20" s="1"/>
  <c r="P136" i="20" a="1"/>
  <c r="P136" i="20" s="1"/>
  <c r="P139" i="20" a="1"/>
  <c r="P139" i="20" s="1"/>
  <c r="P140" i="20" a="1"/>
  <c r="P140" i="20" s="1"/>
  <c r="M2" i="18"/>
  <c r="M3" i="18"/>
  <c r="M4" i="18"/>
  <c r="M5" i="18"/>
  <c r="M6" i="18"/>
  <c r="M7" i="18"/>
  <c r="M8" i="18"/>
  <c r="M9" i="18"/>
  <c r="P42" i="18" s="1" a="1"/>
  <c r="P42" i="18" s="1"/>
  <c r="M10" i="18"/>
  <c r="M11" i="18"/>
  <c r="M12" i="18"/>
  <c r="M13" i="18"/>
  <c r="P15" i="18" s="1" a="1"/>
  <c r="P15" i="18" s="1"/>
  <c r="M14" i="18"/>
  <c r="M15" i="18"/>
  <c r="M16" i="18"/>
  <c r="M17" i="18"/>
  <c r="O17" i="18" s="1" a="1"/>
  <c r="O17" i="18" s="1"/>
  <c r="M18" i="18"/>
  <c r="M19" i="18"/>
  <c r="M20" i="18"/>
  <c r="M21" i="18"/>
  <c r="O21" i="18" s="1" a="1"/>
  <c r="O21" i="18" s="1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O37" i="18" s="1" a="1"/>
  <c r="O37" i="18" s="1"/>
  <c r="M38" i="18"/>
  <c r="M39" i="18"/>
  <c r="M40" i="18"/>
  <c r="M41" i="18"/>
  <c r="M42" i="18"/>
  <c r="M43" i="18"/>
  <c r="M44" i="18"/>
  <c r="M45" i="18"/>
  <c r="P52" i="18" s="1" a="1"/>
  <c r="P52" i="18" s="1"/>
  <c r="M46" i="18"/>
  <c r="M47" i="18"/>
  <c r="M48" i="18"/>
  <c r="M49" i="18"/>
  <c r="O49" i="18" s="1" a="1"/>
  <c r="O49" i="18" s="1"/>
  <c r="M50" i="18"/>
  <c r="M51" i="18"/>
  <c r="M52" i="18"/>
  <c r="M53" i="18"/>
  <c r="O53" i="18" s="1" a="1"/>
  <c r="O53" i="18" s="1"/>
  <c r="M54" i="18"/>
  <c r="M55" i="18"/>
  <c r="M56" i="18"/>
  <c r="M57" i="18"/>
  <c r="O57" i="18" s="1" a="1"/>
  <c r="O57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O69" i="18" s="1" a="1"/>
  <c r="O69" i="18" s="1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O81" i="18" s="1" a="1"/>
  <c r="O81" i="18" s="1"/>
  <c r="M82" i="18"/>
  <c r="M83" i="18"/>
  <c r="M84" i="18"/>
  <c r="M85" i="18"/>
  <c r="O85" i="18" s="1" a="1"/>
  <c r="O85" i="18" s="1"/>
  <c r="M86" i="18"/>
  <c r="M87" i="18"/>
  <c r="M88" i="18"/>
  <c r="M89" i="18"/>
  <c r="O89" i="18" s="1" a="1"/>
  <c r="O89" i="18" s="1"/>
  <c r="M90" i="18"/>
  <c r="M91" i="18"/>
  <c r="N2" i="18" a="1"/>
  <c r="N2" i="18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/>
  <c r="N91" i="18" a="1"/>
  <c r="N91" i="18" s="1"/>
  <c r="O7" i="18" a="1"/>
  <c r="O7" i="18" s="1"/>
  <c r="O20" i="18" a="1"/>
  <c r="O20" i="18" s="1"/>
  <c r="O23" i="18" a="1"/>
  <c r="O23" i="18" s="1"/>
  <c r="O26" i="18" a="1"/>
  <c r="O26" i="18" s="1"/>
  <c r="O29" i="18" a="1"/>
  <c r="O29" i="18" s="1"/>
  <c r="O36" i="18" a="1"/>
  <c r="O36" i="18" s="1"/>
  <c r="O39" i="18" a="1"/>
  <c r="O39" i="18" s="1"/>
  <c r="O42" i="18" a="1"/>
  <c r="O42" i="18" s="1"/>
  <c r="O45" i="18" a="1"/>
  <c r="O45" i="18" s="1"/>
  <c r="O52" i="18" a="1"/>
  <c r="O52" i="18" s="1"/>
  <c r="O55" i="18" a="1"/>
  <c r="O55" i="18" s="1"/>
  <c r="O58" i="18" a="1"/>
  <c r="O58" i="18" s="1"/>
  <c r="O61" i="18" a="1"/>
  <c r="O61" i="18" s="1"/>
  <c r="O68" i="18" a="1"/>
  <c r="O68" i="18" s="1"/>
  <c r="O71" i="18" a="1"/>
  <c r="O71" i="18" s="1"/>
  <c r="O74" i="18" a="1"/>
  <c r="O74" i="18" s="1"/>
  <c r="O77" i="18" a="1"/>
  <c r="O77" i="18" s="1"/>
  <c r="O87" i="18" a="1"/>
  <c r="O87" i="18" s="1"/>
  <c r="O90" i="18" a="1"/>
  <c r="O90" i="18" s="1"/>
  <c r="P3" i="18" a="1"/>
  <c r="P3" i="18" s="1"/>
  <c r="P6" i="18" a="1"/>
  <c r="P6" i="18" s="1"/>
  <c r="P13" i="18" a="1"/>
  <c r="P13" i="18" s="1"/>
  <c r="P16" i="18" a="1"/>
  <c r="P16" i="18" s="1"/>
  <c r="R16" i="18" s="1"/>
  <c r="U16" i="18" s="1"/>
  <c r="P19" i="18" a="1"/>
  <c r="P19" i="18" s="1"/>
  <c r="P22" i="18" a="1"/>
  <c r="P22" i="18" s="1"/>
  <c r="P25" i="18" a="1"/>
  <c r="P25" i="18"/>
  <c r="P28" i="18" a="1"/>
  <c r="P28" i="18" s="1"/>
  <c r="P29" i="18" a="1"/>
  <c r="P29" i="18" s="1"/>
  <c r="P31" i="18" a="1"/>
  <c r="P31" i="18" s="1"/>
  <c r="P32" i="18" a="1"/>
  <c r="P32" i="18" s="1"/>
  <c r="P34" i="18" a="1"/>
  <c r="P34" i="18" s="1"/>
  <c r="P35" i="18" a="1"/>
  <c r="P35" i="18" s="1"/>
  <c r="P38" i="18" a="1"/>
  <c r="P38" i="18" s="1"/>
  <c r="P41" i="18" a="1"/>
  <c r="P41" i="18"/>
  <c r="P44" i="18" a="1"/>
  <c r="P44" i="18" s="1"/>
  <c r="P45" i="18" a="1"/>
  <c r="P45" i="18" s="1"/>
  <c r="P47" i="18" a="1"/>
  <c r="P47" i="18" s="1"/>
  <c r="P48" i="18" a="1"/>
  <c r="P48" i="18" s="1"/>
  <c r="P50" i="18" a="1"/>
  <c r="P50" i="18" s="1"/>
  <c r="P51" i="18" a="1"/>
  <c r="P51" i="18" s="1"/>
  <c r="P54" i="18" a="1"/>
  <c r="P54" i="18" s="1"/>
  <c r="P57" i="18" a="1"/>
  <c r="P57" i="18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R63" i="18" s="1"/>
  <c r="U63" i="18" s="1"/>
  <c r="P64" i="18" a="1"/>
  <c r="P64" i="18" s="1"/>
  <c r="P65" i="18" a="1"/>
  <c r="P65" i="18"/>
  <c r="P66" i="18" a="1"/>
  <c r="P66" i="18" s="1"/>
  <c r="P67" i="18" a="1"/>
  <c r="P67" i="18" s="1"/>
  <c r="P68" i="18" a="1"/>
  <c r="P68" i="18" s="1"/>
  <c r="P69" i="18" a="1"/>
  <c r="P69" i="18"/>
  <c r="R69" i="18" s="1"/>
  <c r="U69" i="18" s="1"/>
  <c r="P70" i="18" a="1"/>
  <c r="P70" i="18" s="1"/>
  <c r="P71" i="18" a="1"/>
  <c r="P71" i="18" s="1"/>
  <c r="P72" i="18" a="1"/>
  <c r="P72" i="18" s="1"/>
  <c r="P73" i="18" a="1"/>
  <c r="P73" i="18" s="1"/>
  <c r="R73" i="18" s="1"/>
  <c r="U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R83" i="18" s="1"/>
  <c r="U83" i="18" s="1"/>
  <c r="P84" i="18" a="1"/>
  <c r="P84" i="18" s="1"/>
  <c r="P85" i="18" a="1"/>
  <c r="P85" i="18"/>
  <c r="P86" i="18" a="1"/>
  <c r="P86" i="18" s="1"/>
  <c r="P87" i="18" a="1"/>
  <c r="P87" i="18" s="1"/>
  <c r="P88" i="18" a="1"/>
  <c r="P88" i="18" s="1"/>
  <c r="P89" i="18" a="1"/>
  <c r="P89" i="18"/>
  <c r="R89" i="18" s="1"/>
  <c r="U89" i="18" s="1"/>
  <c r="P90" i="18" a="1"/>
  <c r="P90" i="18" s="1"/>
  <c r="P91" i="18" a="1"/>
  <c r="P9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R6" i="18" s="1"/>
  <c r="U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R22" i="18" s="1"/>
  <c r="U22" i="18" s="1"/>
  <c r="Q23" i="18" a="1"/>
  <c r="Q23" i="18" s="1"/>
  <c r="Q24" i="18" a="1"/>
  <c r="Q24" i="18" s="1"/>
  <c r="Q25" i="18" a="1"/>
  <c r="Q25" i="18" s="1"/>
  <c r="R25" i="18" s="1"/>
  <c r="U25" i="18" s="1"/>
  <c r="Q26" i="18" a="1"/>
  <c r="Q26" i="18" s="1"/>
  <c r="Q27" i="18" a="1"/>
  <c r="Q27" i="18"/>
  <c r="Q28" i="18" a="1"/>
  <c r="Q28" i="18" s="1"/>
  <c r="R28" i="18" s="1"/>
  <c r="U28" i="18" s="1"/>
  <c r="Q29" i="18" a="1"/>
  <c r="Q29" i="18"/>
  <c r="Q30" i="18" a="1"/>
  <c r="Q30" i="18" s="1"/>
  <c r="Q31" i="18" a="1"/>
  <c r="Q31" i="18"/>
  <c r="Q32" i="18" a="1"/>
  <c r="Q32" i="18" s="1"/>
  <c r="Q33" i="18" a="1"/>
  <c r="Q33" i="18"/>
  <c r="Q34" i="18" a="1"/>
  <c r="Q34" i="18" s="1"/>
  <c r="R34" i="18" s="1"/>
  <c r="U34" i="18" s="1"/>
  <c r="Q35" i="18" a="1"/>
  <c r="Q35" i="18"/>
  <c r="Q36" i="18" a="1"/>
  <c r="Q36" i="18" s="1"/>
  <c r="Q37" i="18" a="1"/>
  <c r="Q37" i="18"/>
  <c r="Q38" i="18" a="1"/>
  <c r="Q38" i="18" s="1"/>
  <c r="Q39" i="18" a="1"/>
  <c r="Q39" i="18"/>
  <c r="Q40" i="18" a="1"/>
  <c r="Q40" i="18" s="1"/>
  <c r="Q41" i="18" a="1"/>
  <c r="Q41" i="18"/>
  <c r="Q42" i="18" a="1"/>
  <c r="Q42" i="18" s="1"/>
  <c r="R42" i="18" s="1"/>
  <c r="U42" i="18" s="1"/>
  <c r="Q43" i="18" a="1"/>
  <c r="Q43" i="18"/>
  <c r="Q44" i="18" a="1"/>
  <c r="Q44" i="18" s="1"/>
  <c r="R44" i="18" s="1"/>
  <c r="U44" i="18" s="1"/>
  <c r="Q45" i="18" a="1"/>
  <c r="Q45" i="18"/>
  <c r="Q46" i="18" a="1"/>
  <c r="Q46" i="18" s="1"/>
  <c r="Q47" i="18" a="1"/>
  <c r="Q47" i="18"/>
  <c r="Q48" i="18" a="1"/>
  <c r="Q48" i="18" s="1"/>
  <c r="R48" i="18" s="1"/>
  <c r="U48" i="18" s="1"/>
  <c r="Q49" i="18" a="1"/>
  <c r="Q49" i="18"/>
  <c r="Q50" i="18" a="1"/>
  <c r="Q50" i="18" s="1"/>
  <c r="R50" i="18" s="1"/>
  <c r="U50" i="18" s="1"/>
  <c r="Q51" i="18" a="1"/>
  <c r="Q51" i="18"/>
  <c r="Q52" i="18" a="1"/>
  <c r="Q52" i="18" s="1"/>
  <c r="Q53" i="18" a="1"/>
  <c r="Q53" i="18"/>
  <c r="Q54" i="18" a="1"/>
  <c r="Q54" i="18" s="1"/>
  <c r="Q55" i="18" a="1"/>
  <c r="Q55" i="18"/>
  <c r="Q56" i="18" a="1"/>
  <c r="Q56" i="18" s="1"/>
  <c r="Q57" i="18" a="1"/>
  <c r="Q57" i="18"/>
  <c r="Q58" i="18" a="1"/>
  <c r="Q58" i="18" s="1"/>
  <c r="R58" i="18" s="1"/>
  <c r="U58" i="18" s="1"/>
  <c r="Q59" i="18" a="1"/>
  <c r="Q59" i="18"/>
  <c r="Q60" i="18" a="1"/>
  <c r="Q60" i="18" s="1"/>
  <c r="R60" i="18" s="1"/>
  <c r="U60" i="18" s="1"/>
  <c r="Q61" i="18" a="1"/>
  <c r="Q61" i="18"/>
  <c r="Q62" i="18" a="1"/>
  <c r="Q62" i="18" s="1"/>
  <c r="R62" i="18" s="1"/>
  <c r="U62" i="18" s="1"/>
  <c r="Q63" i="18" a="1"/>
  <c r="Q63" i="18"/>
  <c r="Q64" i="18" a="1"/>
  <c r="Q64" i="18" s="1"/>
  <c r="R64" i="18" s="1"/>
  <c r="U64" i="18" s="1"/>
  <c r="Q65" i="18" a="1"/>
  <c r="Q65" i="18"/>
  <c r="Q66" i="18" a="1"/>
  <c r="Q66" i="18" s="1"/>
  <c r="Q67" i="18" a="1"/>
  <c r="Q67" i="18"/>
  <c r="Q68" i="18" a="1"/>
  <c r="Q68" i="18" s="1"/>
  <c r="R68" i="18" s="1"/>
  <c r="U68" i="18" s="1"/>
  <c r="Q69" i="18" a="1"/>
  <c r="Q69" i="18"/>
  <c r="Q70" i="18" a="1"/>
  <c r="Q70" i="18" s="1"/>
  <c r="Q71" i="18" a="1"/>
  <c r="Q71" i="18"/>
  <c r="Q72" i="18" a="1"/>
  <c r="Q72" i="18" s="1"/>
  <c r="R72" i="18" s="1"/>
  <c r="U72" i="18" s="1"/>
  <c r="Q73" i="18" a="1"/>
  <c r="Q73" i="18"/>
  <c r="Q74" i="18" a="1"/>
  <c r="Q74" i="18" s="1"/>
  <c r="R74" i="18" s="1"/>
  <c r="U74" i="18" s="1"/>
  <c r="Q75" i="18" a="1"/>
  <c r="Q75" i="18"/>
  <c r="Q76" i="18" a="1"/>
  <c r="Q76" i="18" s="1"/>
  <c r="R76" i="18" s="1"/>
  <c r="U76" i="18" s="1"/>
  <c r="Q77" i="18" a="1"/>
  <c r="Q77" i="18" s="1"/>
  <c r="R77" i="18" s="1"/>
  <c r="U77" i="18" s="1"/>
  <c r="Q78" i="18" a="1"/>
  <c r="Q78" i="18" s="1"/>
  <c r="R78" i="18" s="1"/>
  <c r="U78" i="18" s="1"/>
  <c r="Q79" i="18" a="1"/>
  <c r="Q79" i="18" s="1"/>
  <c r="Q80" i="18" a="1"/>
  <c r="Q80" i="18" s="1"/>
  <c r="Q81" i="18" a="1"/>
  <c r="Q81" i="18"/>
  <c r="Q82" i="18" a="1"/>
  <c r="Q82" i="18" s="1"/>
  <c r="R82" i="18" s="1"/>
  <c r="U82" i="18" s="1"/>
  <c r="Q83" i="18" a="1"/>
  <c r="Q83" i="18"/>
  <c r="Q84" i="18" a="1"/>
  <c r="Q84" i="18" s="1"/>
  <c r="R84" i="18" s="1"/>
  <c r="U84" i="18" s="1"/>
  <c r="Q85" i="18" a="1"/>
  <c r="Q85" i="18"/>
  <c r="Q86" i="18" a="1"/>
  <c r="Q86" i="18" s="1"/>
  <c r="R86" i="18" s="1"/>
  <c r="U86" i="18" s="1"/>
  <c r="Q87" i="18" a="1"/>
  <c r="Q87" i="18"/>
  <c r="Q88" i="18" a="1"/>
  <c r="Q88" i="18" s="1"/>
  <c r="R88" i="18" s="1"/>
  <c r="U88" i="18" s="1"/>
  <c r="Q89" i="18" a="1"/>
  <c r="Q89" i="18"/>
  <c r="Q90" i="18" a="1"/>
  <c r="Q90" i="18" s="1"/>
  <c r="R90" i="18" s="1"/>
  <c r="U90" i="18" s="1"/>
  <c r="Q91" i="18" a="1"/>
  <c r="Q91" i="18"/>
  <c r="R29" i="18"/>
  <c r="R45" i="18"/>
  <c r="R61" i="18"/>
  <c r="R85" i="18"/>
  <c r="S2" i="18" a="1"/>
  <c r="S2" i="18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/>
  <c r="S42" i="18" a="1"/>
  <c r="S42" i="18" s="1"/>
  <c r="S43" i="18" a="1"/>
  <c r="S43" i="18" s="1"/>
  <c r="S44" i="18" a="1"/>
  <c r="S44" i="18" s="1"/>
  <c r="S45" i="18" a="1"/>
  <c r="S45" i="18"/>
  <c r="S46" i="18" a="1"/>
  <c r="S46" i="18" s="1"/>
  <c r="S47" i="18" a="1"/>
  <c r="S47" i="18" s="1"/>
  <c r="S48" i="18" a="1"/>
  <c r="S48" i="18" s="1"/>
  <c r="S49" i="18" a="1"/>
  <c r="S49" i="18"/>
  <c r="S50" i="18" a="1"/>
  <c r="S50" i="18" s="1"/>
  <c r="S51" i="18" a="1"/>
  <c r="S51" i="18" s="1"/>
  <c r="S52" i="18" a="1"/>
  <c r="S52" i="18" s="1"/>
  <c r="S53" i="18" a="1"/>
  <c r="S53" i="18"/>
  <c r="S54" i="18" a="1"/>
  <c r="S54" i="18" s="1"/>
  <c r="S55" i="18" a="1"/>
  <c r="S55" i="18" s="1"/>
  <c r="S56" i="18" a="1"/>
  <c r="S56" i="18" s="1"/>
  <c r="S57" i="18" a="1"/>
  <c r="S57" i="18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/>
  <c r="S66" i="18" a="1"/>
  <c r="S66" i="18" s="1"/>
  <c r="S67" i="18" a="1"/>
  <c r="S67" i="18" s="1"/>
  <c r="S68" i="18" a="1"/>
  <c r="S68" i="18" s="1"/>
  <c r="S69" i="18" a="1"/>
  <c r="S69" i="18"/>
  <c r="S70" i="18" a="1"/>
  <c r="S70" i="18" s="1"/>
  <c r="S71" i="18" a="1"/>
  <c r="S71" i="18" s="1"/>
  <c r="S72" i="18" a="1"/>
  <c r="S72" i="18" s="1"/>
  <c r="S73" i="18" a="1"/>
  <c r="S73" i="18"/>
  <c r="S74" i="18" a="1"/>
  <c r="S74" i="18" s="1"/>
  <c r="S75" i="18" a="1"/>
  <c r="S75" i="18" s="1"/>
  <c r="S76" i="18" a="1"/>
  <c r="S76" i="18" s="1"/>
  <c r="S77" i="18" a="1"/>
  <c r="S77" i="18"/>
  <c r="S78" i="18" a="1"/>
  <c r="S78" i="18" s="1"/>
  <c r="S79" i="18" a="1"/>
  <c r="S79" i="18" s="1"/>
  <c r="S80" i="18" a="1"/>
  <c r="S80" i="18" s="1"/>
  <c r="S81" i="18" a="1"/>
  <c r="S81" i="18"/>
  <c r="S82" i="18" a="1"/>
  <c r="S82" i="18" s="1"/>
  <c r="S83" i="18" a="1"/>
  <c r="S83" i="18" s="1"/>
  <c r="S84" i="18" a="1"/>
  <c r="S84" i="18" s="1"/>
  <c r="S85" i="18" a="1"/>
  <c r="S85" i="18"/>
  <c r="S86" i="18" a="1"/>
  <c r="S86" i="18" s="1"/>
  <c r="S87" i="18" a="1"/>
  <c r="S87" i="18" s="1"/>
  <c r="S88" i="18" a="1"/>
  <c r="S88" i="18" s="1"/>
  <c r="S89" i="18" a="1"/>
  <c r="S89" i="18"/>
  <c r="S90" i="18" a="1"/>
  <c r="S90" i="18" s="1"/>
  <c r="S91" i="18" a="1"/>
  <c r="S91" i="18" s="1"/>
  <c r="T2" i="18" a="1"/>
  <c r="T2" i="18" s="1"/>
  <c r="T3" i="18" a="1"/>
  <c r="T3" i="18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 s="1"/>
  <c r="T26" i="18" a="1"/>
  <c r="T26" i="18" s="1"/>
  <c r="T27" i="18" a="1"/>
  <c r="T27" i="18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38" i="18" a="1"/>
  <c r="T38" i="18" s="1"/>
  <c r="T39" i="18" a="1"/>
  <c r="T39" i="18"/>
  <c r="T40" i="18" a="1"/>
  <c r="T40" i="18" s="1"/>
  <c r="T41" i="18" a="1"/>
  <c r="T41" i="18" s="1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 s="1"/>
  <c r="T62" i="18" a="1"/>
  <c r="T62" i="18" s="1"/>
  <c r="T63" i="18" a="1"/>
  <c r="T63" i="18"/>
  <c r="T64" i="18" a="1"/>
  <c r="T64" i="18" s="1"/>
  <c r="T65" i="18" a="1"/>
  <c r="T65" i="18" s="1"/>
  <c r="T66" i="18" a="1"/>
  <c r="T66" i="18" s="1"/>
  <c r="T67" i="18" a="1"/>
  <c r="T67" i="18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 s="1"/>
  <c r="T78" i="18" a="1"/>
  <c r="T78" i="18" s="1"/>
  <c r="T79" i="18" a="1"/>
  <c r="T79" i="18"/>
  <c r="T80" i="18" a="1"/>
  <c r="T80" i="18" s="1"/>
  <c r="T81" i="18" a="1"/>
  <c r="T81" i="18" s="1"/>
  <c r="T82" i="18" a="1"/>
  <c r="T82" i="18" s="1"/>
  <c r="T83" i="18" a="1"/>
  <c r="T83" i="18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/>
  <c r="U29" i="18"/>
  <c r="U45" i="18"/>
  <c r="U61" i="18"/>
  <c r="U85" i="18"/>
  <c r="L2" i="17"/>
  <c r="L3" i="17"/>
  <c r="L4" i="17"/>
  <c r="L5" i="17"/>
  <c r="L6" i="17"/>
  <c r="L7" i="17"/>
  <c r="L44" i="17"/>
  <c r="L51" i="17"/>
  <c r="L52" i="17"/>
  <c r="L69" i="17"/>
  <c r="L8" i="17"/>
  <c r="V8" i="17" s="1" a="1"/>
  <c r="V8" i="17" s="1"/>
  <c r="L9" i="17"/>
  <c r="L10" i="17"/>
  <c r="L11" i="17"/>
  <c r="L12" i="17"/>
  <c r="L13" i="17"/>
  <c r="L45" i="17"/>
  <c r="L53" i="17"/>
  <c r="L54" i="17"/>
  <c r="L70" i="17"/>
  <c r="X70" i="17" s="1" a="1"/>
  <c r="X70" i="17" s="1"/>
  <c r="Y70" i="17" s="1"/>
  <c r="L14" i="17"/>
  <c r="L15" i="17"/>
  <c r="L16" i="17"/>
  <c r="L17" i="17"/>
  <c r="L18" i="17"/>
  <c r="L19" i="17"/>
  <c r="L46" i="17"/>
  <c r="L55" i="17"/>
  <c r="L56" i="17"/>
  <c r="L71" i="17"/>
  <c r="L20" i="17"/>
  <c r="L21" i="17"/>
  <c r="L22" i="17"/>
  <c r="L23" i="17"/>
  <c r="L24" i="17"/>
  <c r="L25" i="17"/>
  <c r="L47" i="17"/>
  <c r="L57" i="17"/>
  <c r="L58" i="17"/>
  <c r="L65" i="17"/>
  <c r="L66" i="17"/>
  <c r="L67" i="17"/>
  <c r="L68" i="17"/>
  <c r="L72" i="17"/>
  <c r="L26" i="17"/>
  <c r="L27" i="17"/>
  <c r="L28" i="17"/>
  <c r="L29" i="17"/>
  <c r="X29" i="17" s="1" a="1"/>
  <c r="X29" i="17" s="1"/>
  <c r="Y29" i="17" s="1"/>
  <c r="L30" i="17"/>
  <c r="L31" i="17"/>
  <c r="L48" i="17"/>
  <c r="L59" i="17"/>
  <c r="L60" i="17"/>
  <c r="L73" i="17"/>
  <c r="L32" i="17"/>
  <c r="L33" i="17"/>
  <c r="X33" i="17" s="1" a="1"/>
  <c r="X33" i="17" s="1"/>
  <c r="Y33" i="17" s="1"/>
  <c r="L34" i="17"/>
  <c r="L35" i="17"/>
  <c r="L36" i="17"/>
  <c r="V36" i="17" s="1" a="1"/>
  <c r="V36" i="17" s="1"/>
  <c r="L37" i="17"/>
  <c r="L49" i="17"/>
  <c r="L61" i="17"/>
  <c r="L62" i="17"/>
  <c r="L74" i="17"/>
  <c r="X74" i="17" s="1" a="1"/>
  <c r="X74" i="17" s="1"/>
  <c r="Y74" i="17" s="1"/>
  <c r="L38" i="17"/>
  <c r="L39" i="17"/>
  <c r="L40" i="17"/>
  <c r="L41" i="17"/>
  <c r="L42" i="17"/>
  <c r="L43" i="17"/>
  <c r="L50" i="17"/>
  <c r="L63" i="17"/>
  <c r="L64" i="17"/>
  <c r="L75" i="17"/>
  <c r="M2" i="17" a="1"/>
  <c r="M2" i="17"/>
  <c r="M3" i="17" a="1"/>
  <c r="M3" i="17" s="1"/>
  <c r="M4" i="17" a="1"/>
  <c r="M4" i="17"/>
  <c r="M5" i="17" a="1"/>
  <c r="M5" i="17" s="1"/>
  <c r="M6" i="17" a="1"/>
  <c r="M6" i="17" s="1"/>
  <c r="M7" i="17" a="1"/>
  <c r="M7" i="17" s="1"/>
  <c r="M44" i="17" a="1"/>
  <c r="M44" i="17" s="1"/>
  <c r="M51" i="17" a="1"/>
  <c r="M51" i="17" s="1"/>
  <c r="M52" i="17" a="1"/>
  <c r="M52" i="17"/>
  <c r="M69" i="17" a="1"/>
  <c r="M69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45" i="17" a="1"/>
  <c r="M45" i="17" s="1"/>
  <c r="M53" i="17" a="1"/>
  <c r="M53" i="17" s="1"/>
  <c r="M54" i="17" a="1"/>
  <c r="M54" i="17" s="1"/>
  <c r="M70" i="17" a="1"/>
  <c r="M70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/>
  <c r="M19" i="17" a="1"/>
  <c r="M19" i="17" s="1"/>
  <c r="M46" i="17" a="1"/>
  <c r="M46" i="17" s="1"/>
  <c r="M55" i="17" a="1"/>
  <c r="M55" i="17" s="1"/>
  <c r="M56" i="17" a="1"/>
  <c r="M56" i="17" s="1"/>
  <c r="M71" i="17" a="1"/>
  <c r="M71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47" i="17" a="1"/>
  <c r="M47" i="17" s="1"/>
  <c r="M57" i="17" a="1"/>
  <c r="M57" i="17" s="1"/>
  <c r="M58" i="17" a="1"/>
  <c r="M58" i="17" s="1"/>
  <c r="M65" i="17" a="1"/>
  <c r="M65" i="17" s="1"/>
  <c r="M66" i="17" a="1"/>
  <c r="M66" i="17" s="1"/>
  <c r="M67" i="17" a="1"/>
  <c r="M67" i="17" s="1"/>
  <c r="M68" i="17" a="1"/>
  <c r="M68" i="17" s="1"/>
  <c r="M72" i="17" a="1"/>
  <c r="M72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/>
  <c r="M31" i="17" a="1"/>
  <c r="M31" i="17" s="1"/>
  <c r="M48" i="17" a="1"/>
  <c r="M48" i="17"/>
  <c r="M59" i="17" a="1"/>
  <c r="M59" i="17" s="1"/>
  <c r="M60" i="17" a="1"/>
  <c r="M60" i="17" s="1"/>
  <c r="M73" i="17" a="1"/>
  <c r="M73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49" i="17" a="1"/>
  <c r="M49" i="17" s="1"/>
  <c r="M61" i="17" a="1"/>
  <c r="M61" i="17" s="1"/>
  <c r="M62" i="17" a="1"/>
  <c r="M62" i="17" s="1"/>
  <c r="M74" i="17" a="1"/>
  <c r="M74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50" i="17" a="1"/>
  <c r="M50" i="17" s="1"/>
  <c r="M63" i="17" a="1"/>
  <c r="M63" i="17" s="1"/>
  <c r="M64" i="17" a="1"/>
  <c r="M64" i="17" s="1"/>
  <c r="M75" i="17" a="1"/>
  <c r="M75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44" i="17" a="1"/>
  <c r="P44" i="17" s="1"/>
  <c r="P51" i="17" a="1"/>
  <c r="P51" i="17" s="1"/>
  <c r="P52" i="17" a="1"/>
  <c r="P52" i="17" s="1"/>
  <c r="P69" i="17" a="1"/>
  <c r="P69" i="17"/>
  <c r="P8" i="17" a="1"/>
  <c r="P8" i="17" s="1"/>
  <c r="P9" i="17" a="1"/>
  <c r="P9" i="17" s="1"/>
  <c r="P10" i="17" a="1"/>
  <c r="P10" i="17" s="1"/>
  <c r="P11" i="17" a="1"/>
  <c r="P11" i="17"/>
  <c r="P12" i="17" a="1"/>
  <c r="P12" i="17" s="1"/>
  <c r="P13" i="17" a="1"/>
  <c r="P13" i="17" s="1"/>
  <c r="P45" i="17" a="1"/>
  <c r="P45" i="17" s="1"/>
  <c r="P53" i="17" a="1"/>
  <c r="P53" i="17" s="1"/>
  <c r="P54" i="17" a="1"/>
  <c r="P54" i="17" s="1"/>
  <c r="P70" i="17" a="1"/>
  <c r="P70" i="17" s="1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 s="1"/>
  <c r="P46" i="17" a="1"/>
  <c r="P46" i="17" s="1"/>
  <c r="P55" i="17" a="1"/>
  <c r="P55" i="17" s="1"/>
  <c r="P56" i="17" a="1"/>
  <c r="P56" i="17" s="1"/>
  <c r="P71" i="17" a="1"/>
  <c r="P71" i="17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47" i="17" a="1"/>
  <c r="P47" i="17" s="1"/>
  <c r="P57" i="17" a="1"/>
  <c r="P57" i="17"/>
  <c r="P58" i="17" a="1"/>
  <c r="P58" i="17" s="1"/>
  <c r="P65" i="17" a="1"/>
  <c r="P65" i="17" s="1"/>
  <c r="P66" i="17" a="1"/>
  <c r="P66" i="17" s="1"/>
  <c r="P67" i="17" a="1"/>
  <c r="P67" i="17" s="1"/>
  <c r="P68" i="17" a="1"/>
  <c r="P68" i="17" s="1"/>
  <c r="P72" i="17" a="1"/>
  <c r="P72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48" i="17" a="1"/>
  <c r="P48" i="17" s="1"/>
  <c r="P59" i="17" a="1"/>
  <c r="P59" i="17" s="1"/>
  <c r="P60" i="17" a="1"/>
  <c r="P60" i="17" s="1"/>
  <c r="P73" i="17" a="1"/>
  <c r="P73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49" i="17" a="1"/>
  <c r="P49" i="17" s="1"/>
  <c r="P61" i="17" a="1"/>
  <c r="P61" i="17" s="1"/>
  <c r="P62" i="17" a="1"/>
  <c r="P62" i="17" s="1"/>
  <c r="P74" i="17" a="1"/>
  <c r="P74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50" i="17" a="1"/>
  <c r="P50" i="17"/>
  <c r="P63" i="17" a="1"/>
  <c r="P63" i="17" s="1"/>
  <c r="P64" i="17" a="1"/>
  <c r="P64" i="17" s="1"/>
  <c r="P75" i="17" a="1"/>
  <c r="P75" i="17" s="1"/>
  <c r="T62" i="17" a="1"/>
  <c r="T62" i="17" s="1"/>
  <c r="U60" i="17" a="1"/>
  <c r="U60" i="17" s="1"/>
  <c r="V68" i="17" a="1"/>
  <c r="V68" i="17" s="1"/>
  <c r="X25" i="17" a="1"/>
  <c r="X25" i="17" s="1"/>
  <c r="X64" i="17" a="1"/>
  <c r="X64" i="17" s="1"/>
  <c r="G2" i="16"/>
  <c r="K141" i="20" l="1" a="1"/>
  <c r="K141" i="20" s="1"/>
  <c r="L141" i="20" a="1"/>
  <c r="L141" i="20" s="1"/>
  <c r="N141" i="20" s="1"/>
  <c r="K137" i="20" a="1"/>
  <c r="K137" i="20" s="1"/>
  <c r="L137" i="20" a="1"/>
  <c r="L137" i="20" s="1"/>
  <c r="N137" i="20" s="1"/>
  <c r="O137" i="20" a="1"/>
  <c r="O137" i="20" s="1"/>
  <c r="K133" i="20" a="1"/>
  <c r="K133" i="20" s="1"/>
  <c r="L133" i="20" a="1"/>
  <c r="L133" i="20" s="1"/>
  <c r="N133" i="20" s="1"/>
  <c r="O133" i="20" a="1"/>
  <c r="O133" i="20" s="1"/>
  <c r="K129" i="20" a="1"/>
  <c r="K129" i="20" s="1"/>
  <c r="L129" i="20" a="1"/>
  <c r="L129" i="20" s="1"/>
  <c r="O129" i="20" a="1"/>
  <c r="O129" i="20" s="1"/>
  <c r="K125" i="20" a="1"/>
  <c r="K125" i="20" s="1"/>
  <c r="L125" i="20" a="1"/>
  <c r="L125" i="20" s="1"/>
  <c r="O125" i="20" a="1"/>
  <c r="O125" i="20" s="1"/>
  <c r="K121" i="20" a="1"/>
  <c r="K121" i="20" s="1"/>
  <c r="L121" i="20" a="1"/>
  <c r="L121" i="20" s="1"/>
  <c r="N121" i="20" s="1"/>
  <c r="O121" i="20" a="1"/>
  <c r="O121" i="20" s="1"/>
  <c r="K117" i="20" a="1"/>
  <c r="K117" i="20" s="1"/>
  <c r="L117" i="20" a="1"/>
  <c r="L117" i="20" s="1"/>
  <c r="N117" i="20" s="1"/>
  <c r="O117" i="20" a="1"/>
  <c r="O117" i="20" s="1"/>
  <c r="L113" i="20" a="1"/>
  <c r="L113" i="20" s="1"/>
  <c r="N113" i="20" s="1"/>
  <c r="K109" i="20" a="1"/>
  <c r="K109" i="20" s="1"/>
  <c r="L109" i="20" a="1"/>
  <c r="L109" i="20" s="1"/>
  <c r="N109" i="20" s="1"/>
  <c r="K105" i="20" a="1"/>
  <c r="K105" i="20" s="1"/>
  <c r="L105" i="20" a="1"/>
  <c r="L105" i="20" s="1"/>
  <c r="N105" i="20" s="1"/>
  <c r="O105" i="20" a="1"/>
  <c r="O105" i="20" s="1"/>
  <c r="L101" i="20" a="1"/>
  <c r="L101" i="20" s="1"/>
  <c r="N101" i="20" s="1"/>
  <c r="K101" i="20" a="1"/>
  <c r="K101" i="20" s="1"/>
  <c r="O101" i="20" a="1"/>
  <c r="O101" i="20" s="1"/>
  <c r="K97" i="20" a="1"/>
  <c r="K97" i="20" s="1"/>
  <c r="O97" i="20" a="1"/>
  <c r="O97" i="20" s="1"/>
  <c r="L97" i="20" a="1"/>
  <c r="L97" i="20" s="1"/>
  <c r="K93" i="20" a="1"/>
  <c r="K93" i="20" s="1"/>
  <c r="L93" i="20" a="1"/>
  <c r="L93" i="20" s="1"/>
  <c r="N93" i="20" s="1"/>
  <c r="O93" i="20" a="1"/>
  <c r="O93" i="20" s="1"/>
  <c r="K89" i="20" a="1"/>
  <c r="K89" i="20" s="1"/>
  <c r="L89" i="20" a="1"/>
  <c r="L89" i="20" s="1"/>
  <c r="N89" i="20" s="1"/>
  <c r="O89" i="20" a="1"/>
  <c r="O89" i="20" s="1"/>
  <c r="K85" i="20" a="1"/>
  <c r="K85" i="20" s="1"/>
  <c r="L85" i="20" a="1"/>
  <c r="L85" i="20" s="1"/>
  <c r="N85" i="20" s="1"/>
  <c r="O85" i="20" a="1"/>
  <c r="O85" i="20" s="1"/>
  <c r="K81" i="20" a="1"/>
  <c r="K81" i="20" s="1"/>
  <c r="L81" i="20" a="1"/>
  <c r="L81" i="20" s="1"/>
  <c r="N81" i="20" s="1"/>
  <c r="K77" i="20" a="1"/>
  <c r="K77" i="20" s="1"/>
  <c r="L77" i="20" a="1"/>
  <c r="L77" i="20" s="1"/>
  <c r="N77" i="20" s="1"/>
  <c r="K73" i="20" a="1"/>
  <c r="K73" i="20" s="1"/>
  <c r="L73" i="20" a="1"/>
  <c r="L73" i="20" s="1"/>
  <c r="N73" i="20" s="1"/>
  <c r="O73" i="20" a="1"/>
  <c r="O73" i="20" s="1"/>
  <c r="K69" i="20" a="1"/>
  <c r="K69" i="20" s="1"/>
  <c r="L69" i="20" a="1"/>
  <c r="L69" i="20" s="1"/>
  <c r="O69" i="20" a="1"/>
  <c r="O69" i="20" s="1"/>
  <c r="L65" i="20" a="1"/>
  <c r="L65" i="20" s="1"/>
  <c r="K65" i="20" a="1"/>
  <c r="K65" i="20" s="1"/>
  <c r="O65" i="20" a="1"/>
  <c r="O65" i="20" s="1"/>
  <c r="K61" i="20" a="1"/>
  <c r="K61" i="20" s="1"/>
  <c r="L61" i="20" a="1"/>
  <c r="L61" i="20" s="1"/>
  <c r="N61" i="20" s="1"/>
  <c r="O61" i="20" a="1"/>
  <c r="O61" i="20" s="1"/>
  <c r="K57" i="20" a="1"/>
  <c r="K57" i="20" s="1"/>
  <c r="O57" i="20" a="1"/>
  <c r="O57" i="20" s="1"/>
  <c r="L57" i="20" a="1"/>
  <c r="L57" i="20" s="1"/>
  <c r="N57" i="20" s="1"/>
  <c r="K53" i="20" a="1"/>
  <c r="K53" i="20" s="1"/>
  <c r="L53" i="20" a="1"/>
  <c r="L53" i="20" s="1"/>
  <c r="N53" i="20" s="1"/>
  <c r="O53" i="20" a="1"/>
  <c r="O53" i="20" s="1"/>
  <c r="K49" i="20" a="1"/>
  <c r="K49" i="20" s="1"/>
  <c r="L49" i="20" a="1"/>
  <c r="L49" i="20" s="1"/>
  <c r="L45" i="20" a="1"/>
  <c r="L45" i="20" s="1"/>
  <c r="K45" i="20" a="1"/>
  <c r="K45" i="20" s="1"/>
  <c r="K41" i="20" a="1"/>
  <c r="K41" i="20" s="1"/>
  <c r="L41" i="20" a="1"/>
  <c r="L41" i="20" s="1"/>
  <c r="O41" i="20" a="1"/>
  <c r="O41" i="20" s="1"/>
  <c r="K37" i="20" a="1"/>
  <c r="K37" i="20" s="1"/>
  <c r="L37" i="20" a="1"/>
  <c r="L37" i="20" s="1"/>
  <c r="O37" i="20" a="1"/>
  <c r="O37" i="20" s="1"/>
  <c r="L33" i="20" a="1"/>
  <c r="L33" i="20" s="1"/>
  <c r="K33" i="20" a="1"/>
  <c r="K33" i="20" s="1"/>
  <c r="O33" i="20" a="1"/>
  <c r="O33" i="20" s="1"/>
  <c r="P33" i="20" a="1"/>
  <c r="P33" i="20" s="1"/>
  <c r="L29" i="20" a="1"/>
  <c r="L29" i="20" s="1"/>
  <c r="K29" i="20" a="1"/>
  <c r="K29" i="20" s="1"/>
  <c r="O29" i="20" a="1"/>
  <c r="O29" i="20" s="1"/>
  <c r="K25" i="20" a="1"/>
  <c r="K25" i="20" s="1"/>
  <c r="O25" i="20" a="1"/>
  <c r="O25" i="20" s="1"/>
  <c r="P25" i="20" a="1"/>
  <c r="P25" i="20" s="1"/>
  <c r="K21" i="20" a="1"/>
  <c r="K21" i="20" s="1"/>
  <c r="L21" i="20" a="1"/>
  <c r="L21" i="20" s="1"/>
  <c r="O21" i="20" a="1"/>
  <c r="O21" i="20" s="1"/>
  <c r="P21" i="20" a="1"/>
  <c r="P21" i="20" s="1"/>
  <c r="K17" i="20" a="1"/>
  <c r="K17" i="20" s="1"/>
  <c r="L17" i="20" a="1"/>
  <c r="L17" i="20" s="1"/>
  <c r="O17" i="20" a="1"/>
  <c r="O17" i="20" s="1"/>
  <c r="P17" i="20" a="1"/>
  <c r="P17" i="20" s="1"/>
  <c r="K13" i="20" a="1"/>
  <c r="K13" i="20" s="1"/>
  <c r="L13" i="20" a="1"/>
  <c r="L13" i="20" s="1"/>
  <c r="O13" i="20" a="1"/>
  <c r="O13" i="20" s="1"/>
  <c r="P13" i="20" a="1"/>
  <c r="P13" i="20" s="1"/>
  <c r="K9" i="20" a="1"/>
  <c r="K9" i="20" s="1"/>
  <c r="L9" i="20" a="1"/>
  <c r="L9" i="20" s="1"/>
  <c r="P9" i="20" a="1"/>
  <c r="P9" i="20" s="1"/>
  <c r="K66" i="20" a="1"/>
  <c r="K66" i="20" s="1"/>
  <c r="K76" i="20" a="1"/>
  <c r="K76" i="20" s="1"/>
  <c r="K80" i="20" a="1"/>
  <c r="K80" i="20" s="1"/>
  <c r="K84" i="20" a="1"/>
  <c r="K84" i="20" s="1"/>
  <c r="K88" i="20" a="1"/>
  <c r="K88" i="20" s="1"/>
  <c r="K92" i="20" a="1"/>
  <c r="K92" i="20" s="1"/>
  <c r="K96" i="20" a="1"/>
  <c r="K96" i="20" s="1"/>
  <c r="K103" i="20" a="1"/>
  <c r="K103" i="20" s="1"/>
  <c r="K107" i="20" a="1"/>
  <c r="K107" i="20" s="1"/>
  <c r="K110" i="20" a="1"/>
  <c r="K110" i="20" s="1"/>
  <c r="K114" i="20" a="1"/>
  <c r="K114" i="20" s="1"/>
  <c r="K120" i="20" a="1"/>
  <c r="K120" i="20" s="1"/>
  <c r="K126" i="20" a="1"/>
  <c r="K126" i="20" s="1"/>
  <c r="K130" i="20" a="1"/>
  <c r="K130" i="20" s="1"/>
  <c r="K136" i="20" a="1"/>
  <c r="K136" i="20" s="1"/>
  <c r="K140" i="20" a="1"/>
  <c r="K140" i="20" s="1"/>
  <c r="L3" i="20" a="1"/>
  <c r="L3" i="20" s="1"/>
  <c r="L7" i="20" a="1"/>
  <c r="L7" i="20" s="1"/>
  <c r="N7" i="20" s="1"/>
  <c r="L16" i="20" a="1"/>
  <c r="L16" i="20" s="1"/>
  <c r="L19" i="20" a="1"/>
  <c r="L19" i="20" s="1"/>
  <c r="N19" i="20" s="1"/>
  <c r="L23" i="20" a="1"/>
  <c r="L23" i="20" s="1"/>
  <c r="L32" i="20" a="1"/>
  <c r="L32" i="20" s="1"/>
  <c r="N32" i="20" s="1"/>
  <c r="L35" i="20" a="1"/>
  <c r="L35" i="20" s="1"/>
  <c r="L39" i="20" a="1"/>
  <c r="L39" i="20" s="1"/>
  <c r="L48" i="20" a="1"/>
  <c r="L48" i="20" s="1"/>
  <c r="N48" i="20" s="1"/>
  <c r="L51" i="20" a="1"/>
  <c r="L51" i="20" s="1"/>
  <c r="L55" i="20" a="1"/>
  <c r="L55" i="20" s="1"/>
  <c r="L58" i="20" a="1"/>
  <c r="L58" i="20" s="1"/>
  <c r="L62" i="20" a="1"/>
  <c r="L62" i="20" s="1"/>
  <c r="N62" i="20" s="1"/>
  <c r="L68" i="20" a="1"/>
  <c r="L68" i="20" s="1"/>
  <c r="L74" i="20" a="1"/>
  <c r="L74" i="20" s="1"/>
  <c r="K67" i="20" a="1"/>
  <c r="K67" i="20" s="1"/>
  <c r="K70" i="20" a="1"/>
  <c r="K70" i="20" s="1"/>
  <c r="K74" i="20" a="1"/>
  <c r="K74" i="20" s="1"/>
  <c r="K100" i="20" a="1"/>
  <c r="K100" i="20" s="1"/>
  <c r="K104" i="20" a="1"/>
  <c r="K104" i="20" s="1"/>
  <c r="K111" i="20" a="1"/>
  <c r="K111" i="20" s="1"/>
  <c r="K115" i="20" a="1"/>
  <c r="K115" i="20" s="1"/>
  <c r="K124" i="20" a="1"/>
  <c r="K124" i="20" s="1"/>
  <c r="K127" i="20" a="1"/>
  <c r="K127" i="20" s="1"/>
  <c r="K131" i="20" a="1"/>
  <c r="K131" i="20" s="1"/>
  <c r="L4" i="20" a="1"/>
  <c r="L4" i="20" s="1"/>
  <c r="N4" i="20" s="1"/>
  <c r="L10" i="20" a="1"/>
  <c r="L10" i="20" s="1"/>
  <c r="L14" i="20" a="1"/>
  <c r="L14" i="20" s="1"/>
  <c r="N14" i="20" s="1"/>
  <c r="L20" i="20" a="1"/>
  <c r="L20" i="20" s="1"/>
  <c r="N20" i="20" s="1"/>
  <c r="L26" i="20" a="1"/>
  <c r="L26" i="20" s="1"/>
  <c r="N26" i="20" s="1"/>
  <c r="L30" i="20" a="1"/>
  <c r="L30" i="20" s="1"/>
  <c r="N30" i="20" s="1"/>
  <c r="L36" i="20" a="1"/>
  <c r="L36" i="20" s="1"/>
  <c r="N36" i="20" s="1"/>
  <c r="L42" i="20" a="1"/>
  <c r="L42" i="20" s="1"/>
  <c r="N42" i="20" s="1"/>
  <c r="L46" i="20" a="1"/>
  <c r="L46" i="20" s="1"/>
  <c r="N46" i="20" s="1"/>
  <c r="L52" i="20" a="1"/>
  <c r="L52" i="20" s="1"/>
  <c r="N52" i="20" s="1"/>
  <c r="L56" i="20" a="1"/>
  <c r="L56" i="20" s="1"/>
  <c r="N56" i="20" s="1"/>
  <c r="L59" i="20" a="1"/>
  <c r="L59" i="20" s="1"/>
  <c r="L63" i="20" a="1"/>
  <c r="L63" i="20" s="1"/>
  <c r="N63" i="20" s="1"/>
  <c r="L72" i="20" a="1"/>
  <c r="L72" i="20" s="1"/>
  <c r="L75" i="20" a="1"/>
  <c r="L75" i="20" s="1"/>
  <c r="N75" i="20" s="1"/>
  <c r="L79" i="20" a="1"/>
  <c r="L79" i="20" s="1"/>
  <c r="N79" i="20" s="1"/>
  <c r="L88" i="20" a="1"/>
  <c r="L88" i="20" s="1"/>
  <c r="L91" i="20" a="1"/>
  <c r="L91" i="20" s="1"/>
  <c r="N91" i="20" s="1"/>
  <c r="L95" i="20" a="1"/>
  <c r="L95" i="20" s="1"/>
  <c r="N95" i="20" s="1"/>
  <c r="L104" i="20" a="1"/>
  <c r="L104" i="20" s="1"/>
  <c r="L107" i="20" a="1"/>
  <c r="L107" i="20" s="1"/>
  <c r="N107" i="20" s="1"/>
  <c r="L111" i="20" a="1"/>
  <c r="L111" i="20" s="1"/>
  <c r="N111" i="20" s="1"/>
  <c r="L114" i="20" a="1"/>
  <c r="L114" i="20" s="1"/>
  <c r="N114" i="20" s="1"/>
  <c r="L118" i="20" a="1"/>
  <c r="L118" i="20" s="1"/>
  <c r="L124" i="20" a="1"/>
  <c r="L124" i="20" s="1"/>
  <c r="L130" i="20" a="1"/>
  <c r="L130" i="20" s="1"/>
  <c r="N130" i="20" s="1"/>
  <c r="L134" i="20" a="1"/>
  <c r="L134" i="20" s="1"/>
  <c r="N134" i="20" s="1"/>
  <c r="K8" i="20" a="1"/>
  <c r="K8" i="20" s="1"/>
  <c r="K12" i="20" a="1"/>
  <c r="K12" i="20" s="1"/>
  <c r="K15" i="20" a="1"/>
  <c r="K15" i="20" s="1"/>
  <c r="K19" i="20" a="1"/>
  <c r="K19" i="20" s="1"/>
  <c r="K22" i="20" a="1"/>
  <c r="K22" i="20" s="1"/>
  <c r="K26" i="20" a="1"/>
  <c r="K26" i="20" s="1"/>
  <c r="K39" i="20" a="1"/>
  <c r="K39" i="20" s="1"/>
  <c r="K43" i="20" a="1"/>
  <c r="K43" i="20" s="1"/>
  <c r="K46" i="20" a="1"/>
  <c r="K46" i="20" s="1"/>
  <c r="K50" i="20" a="1"/>
  <c r="K50" i="20" s="1"/>
  <c r="K60" i="20" a="1"/>
  <c r="K60" i="20" s="1"/>
  <c r="K64" i="20" a="1"/>
  <c r="K64" i="20" s="1"/>
  <c r="K71" i="20" a="1"/>
  <c r="K71" i="20" s="1"/>
  <c r="K75" i="20" a="1"/>
  <c r="K75" i="20" s="1"/>
  <c r="K78" i="20" a="1"/>
  <c r="K78" i="20" s="1"/>
  <c r="K82" i="20" a="1"/>
  <c r="K82" i="20" s="1"/>
  <c r="K86" i="20" a="1"/>
  <c r="K86" i="20" s="1"/>
  <c r="K90" i="20" a="1"/>
  <c r="K90" i="20" s="1"/>
  <c r="K94" i="20" a="1"/>
  <c r="K94" i="20" s="1"/>
  <c r="K98" i="20" a="1"/>
  <c r="K98" i="20" s="1"/>
  <c r="K108" i="20" a="1"/>
  <c r="K108" i="20" s="1"/>
  <c r="K112" i="20" a="1"/>
  <c r="K112" i="20" s="1"/>
  <c r="K118" i="20" a="1"/>
  <c r="K118" i="20" s="1"/>
  <c r="K122" i="20" a="1"/>
  <c r="K122" i="20" s="1"/>
  <c r="K128" i="20" a="1"/>
  <c r="K128" i="20" s="1"/>
  <c r="K134" i="20" a="1"/>
  <c r="K134" i="20" s="1"/>
  <c r="K138" i="20" a="1"/>
  <c r="K138" i="20" s="1"/>
  <c r="L5" i="20" a="1"/>
  <c r="L5" i="20" s="1"/>
  <c r="L8" i="20" a="1"/>
  <c r="L8" i="20" s="1"/>
  <c r="N8" i="20" s="1"/>
  <c r="L11" i="20" a="1"/>
  <c r="L11" i="20" s="1"/>
  <c r="L15" i="20" a="1"/>
  <c r="L15" i="20" s="1"/>
  <c r="N15" i="20" s="1"/>
  <c r="L24" i="20" a="1"/>
  <c r="L24" i="20" s="1"/>
  <c r="N24" i="20" s="1"/>
  <c r="L27" i="20" a="1"/>
  <c r="L27" i="20" s="1"/>
  <c r="L31" i="20" a="1"/>
  <c r="L31" i="20" s="1"/>
  <c r="N31" i="20" s="1"/>
  <c r="L40" i="20" a="1"/>
  <c r="L40" i="20" s="1"/>
  <c r="N40" i="20" s="1"/>
  <c r="L43" i="20" a="1"/>
  <c r="L43" i="20" s="1"/>
  <c r="L47" i="20" a="1"/>
  <c r="L47" i="20" s="1"/>
  <c r="N47" i="20" s="1"/>
  <c r="K2" i="20" a="1"/>
  <c r="K2" i="20" s="1"/>
  <c r="K16" i="20" a="1"/>
  <c r="K16" i="20" s="1"/>
  <c r="K30" i="20" a="1"/>
  <c r="K30" i="20" s="1"/>
  <c r="K58" i="20" a="1"/>
  <c r="K58" i="20" s="1"/>
  <c r="K72" i="20" a="1"/>
  <c r="K72" i="20" s="1"/>
  <c r="K87" i="20" a="1"/>
  <c r="K87" i="20" s="1"/>
  <c r="K102" i="20" a="1"/>
  <c r="K102" i="20" s="1"/>
  <c r="K116" i="20" a="1"/>
  <c r="K116" i="20" s="1"/>
  <c r="L2" i="20" a="1"/>
  <c r="L2" i="20" s="1"/>
  <c r="N2" i="20" s="1"/>
  <c r="L28" i="20" a="1"/>
  <c r="L28" i="20" s="1"/>
  <c r="N28" i="20" s="1"/>
  <c r="L50" i="20" a="1"/>
  <c r="L50" i="20" s="1"/>
  <c r="N50" i="20" s="1"/>
  <c r="L64" i="20" a="1"/>
  <c r="L64" i="20" s="1"/>
  <c r="L71" i="20" a="1"/>
  <c r="L71" i="20" s="1"/>
  <c r="N71" i="20" s="1"/>
  <c r="L86" i="20" a="1"/>
  <c r="L86" i="20" s="1"/>
  <c r="N86" i="20" s="1"/>
  <c r="L94" i="20" a="1"/>
  <c r="L94" i="20" s="1"/>
  <c r="L98" i="20" a="1"/>
  <c r="L98" i="20" s="1"/>
  <c r="N98" i="20" s="1"/>
  <c r="L103" i="20" a="1"/>
  <c r="L103" i="20" s="1"/>
  <c r="N103" i="20" s="1"/>
  <c r="L106" i="20" a="1"/>
  <c r="L106" i="20" s="1"/>
  <c r="L112" i="20" a="1"/>
  <c r="L112" i="20" s="1"/>
  <c r="L116" i="20" a="1"/>
  <c r="L116" i="20" s="1"/>
  <c r="L120" i="20" a="1"/>
  <c r="L120" i="20" s="1"/>
  <c r="L140" i="20" a="1"/>
  <c r="L140" i="20" s="1"/>
  <c r="O2" i="20" a="1"/>
  <c r="O2" i="20" s="1"/>
  <c r="O5" i="20" a="1"/>
  <c r="O5" i="20" s="1"/>
  <c r="O10" i="20" a="1"/>
  <c r="O10" i="20" s="1"/>
  <c r="O18" i="20" a="1"/>
  <c r="O18" i="20" s="1"/>
  <c r="O22" i="20" a="1"/>
  <c r="O22" i="20" s="1"/>
  <c r="O36" i="20" a="1"/>
  <c r="O36" i="20" s="1"/>
  <c r="K5" i="20" a="1"/>
  <c r="K5" i="20" s="1"/>
  <c r="K20" i="20" a="1"/>
  <c r="K20" i="20" s="1"/>
  <c r="K47" i="20" a="1"/>
  <c r="K47" i="20" s="1"/>
  <c r="K91" i="20" a="1"/>
  <c r="K91" i="20" s="1"/>
  <c r="K106" i="20" a="1"/>
  <c r="K106" i="20" s="1"/>
  <c r="K119" i="20" a="1"/>
  <c r="K119" i="20" s="1"/>
  <c r="K132" i="20" a="1"/>
  <c r="K132" i="20" s="1"/>
  <c r="L6" i="20" a="1"/>
  <c r="L6" i="20" s="1"/>
  <c r="N6" i="20" s="1"/>
  <c r="L18" i="20" a="1"/>
  <c r="L18" i="20" s="1"/>
  <c r="N18" i="20" s="1"/>
  <c r="L44" i="20" a="1"/>
  <c r="L44" i="20" s="1"/>
  <c r="N44" i="20" s="1"/>
  <c r="L60" i="20" a="1"/>
  <c r="L60" i="20" s="1"/>
  <c r="N60" i="20" s="1"/>
  <c r="L66" i="20" a="1"/>
  <c r="L66" i="20" s="1"/>
  <c r="N66" i="20" s="1"/>
  <c r="L78" i="20" a="1"/>
  <c r="L78" i="20" s="1"/>
  <c r="L82" i="20" a="1"/>
  <c r="L82" i="20" s="1"/>
  <c r="N82" i="20" s="1"/>
  <c r="L87" i="20" a="1"/>
  <c r="L87" i="20" s="1"/>
  <c r="N87" i="20" s="1"/>
  <c r="L90" i="20" a="1"/>
  <c r="L90" i="20" s="1"/>
  <c r="L99" i="20" a="1"/>
  <c r="L99" i="20" s="1"/>
  <c r="L108" i="20" a="1"/>
  <c r="L108" i="20" s="1"/>
  <c r="L126" i="20" a="1"/>
  <c r="L126" i="20" s="1"/>
  <c r="L135" i="20" a="1"/>
  <c r="L135" i="20" s="1"/>
  <c r="N135" i="20" s="1"/>
  <c r="O3" i="20" a="1"/>
  <c r="O3" i="20" s="1"/>
  <c r="O8" i="20" a="1"/>
  <c r="O8" i="20" s="1"/>
  <c r="O11" i="20" a="1"/>
  <c r="O11" i="20" s="1"/>
  <c r="O16" i="20" a="1"/>
  <c r="O16" i="20" s="1"/>
  <c r="O19" i="20" a="1"/>
  <c r="O19" i="20" s="1"/>
  <c r="O23" i="20" a="1"/>
  <c r="O23" i="20" s="1"/>
  <c r="O26" i="20" a="1"/>
  <c r="O26" i="20" s="1"/>
  <c r="O30" i="20" a="1"/>
  <c r="O30" i="20" s="1"/>
  <c r="K23" i="20" a="1"/>
  <c r="K23" i="20" s="1"/>
  <c r="K36" i="20" a="1"/>
  <c r="K36" i="20" s="1"/>
  <c r="K51" i="20" a="1"/>
  <c r="K51" i="20" s="1"/>
  <c r="K79" i="20" a="1"/>
  <c r="K79" i="20" s="1"/>
  <c r="K95" i="20" a="1"/>
  <c r="K95" i="20" s="1"/>
  <c r="K123" i="20" a="1"/>
  <c r="K123" i="20" s="1"/>
  <c r="K135" i="20" a="1"/>
  <c r="K135" i="20" s="1"/>
  <c r="L22" i="20" a="1"/>
  <c r="L22" i="20" s="1"/>
  <c r="N22" i="20" s="1"/>
  <c r="L34" i="20" a="1"/>
  <c r="L34" i="20" s="1"/>
  <c r="N34" i="20" s="1"/>
  <c r="L54" i="20" a="1"/>
  <c r="L54" i="20" s="1"/>
  <c r="L67" i="20" a="1"/>
  <c r="L67" i="20" s="1"/>
  <c r="N67" i="20" s="1"/>
  <c r="L83" i="20" a="1"/>
  <c r="L83" i="20" s="1"/>
  <c r="N83" i="20" s="1"/>
  <c r="L92" i="20" a="1"/>
  <c r="L92" i="20" s="1"/>
  <c r="L96" i="20" a="1"/>
  <c r="L96" i="20" s="1"/>
  <c r="L100" i="20" a="1"/>
  <c r="L100" i="20" s="1"/>
  <c r="L119" i="20" a="1"/>
  <c r="L119" i="20" s="1"/>
  <c r="N119" i="20" s="1"/>
  <c r="L122" i="20" a="1"/>
  <c r="L122" i="20" s="1"/>
  <c r="L127" i="20" a="1"/>
  <c r="L127" i="20" s="1"/>
  <c r="N127" i="20" s="1"/>
  <c r="L131" i="20" a="1"/>
  <c r="L131" i="20" s="1"/>
  <c r="L138" i="20" a="1"/>
  <c r="L138" i="20" s="1"/>
  <c r="N138" i="20" s="1"/>
  <c r="K68" i="20" a="1"/>
  <c r="K68" i="20" s="1"/>
  <c r="L38" i="20" a="1"/>
  <c r="L38" i="20" s="1"/>
  <c r="N38" i="20" s="1"/>
  <c r="L70" i="20" a="1"/>
  <c r="L70" i="20" s="1"/>
  <c r="N70" i="20" s="1"/>
  <c r="L123" i="20" a="1"/>
  <c r="L123" i="20" s="1"/>
  <c r="N123" i="20" s="1"/>
  <c r="L139" i="20" a="1"/>
  <c r="L139" i="20" s="1"/>
  <c r="N139" i="20" s="1"/>
  <c r="O4" i="20" a="1"/>
  <c r="O4" i="20" s="1"/>
  <c r="O15" i="20" a="1"/>
  <c r="O15" i="20" s="1"/>
  <c r="O28" i="20" a="1"/>
  <c r="O28" i="20" s="1"/>
  <c r="O34" i="20" a="1"/>
  <c r="O34" i="20" s="1"/>
  <c r="O39" i="20" a="1"/>
  <c r="O39" i="20" s="1"/>
  <c r="O42" i="20" a="1"/>
  <c r="O42" i="20" s="1"/>
  <c r="O46" i="20" a="1"/>
  <c r="O46" i="20" s="1"/>
  <c r="O60" i="20" a="1"/>
  <c r="O60" i="20" s="1"/>
  <c r="O64" i="20" a="1"/>
  <c r="O64" i="20" s="1"/>
  <c r="O71" i="20" a="1"/>
  <c r="O71" i="20" s="1"/>
  <c r="O75" i="20" a="1"/>
  <c r="O75" i="20" s="1"/>
  <c r="O78" i="20" a="1"/>
  <c r="O78" i="20" s="1"/>
  <c r="O82" i="20" a="1"/>
  <c r="O82" i="20" s="1"/>
  <c r="O92" i="20" a="1"/>
  <c r="O92" i="20" s="1"/>
  <c r="O96" i="20" a="1"/>
  <c r="O96" i="20" s="1"/>
  <c r="O103" i="20" a="1"/>
  <c r="O103" i="20" s="1"/>
  <c r="O107" i="20" a="1"/>
  <c r="O107" i="20" s="1"/>
  <c r="O110" i="20" a="1"/>
  <c r="O110" i="20" s="1"/>
  <c r="O114" i="20" a="1"/>
  <c r="O114" i="20" s="1"/>
  <c r="O124" i="20" a="1"/>
  <c r="O124" i="20" s="1"/>
  <c r="O128" i="20" a="1"/>
  <c r="O128" i="20" s="1"/>
  <c r="O135" i="20" a="1"/>
  <c r="O135" i="20" s="1"/>
  <c r="O139" i="20" a="1"/>
  <c r="O139" i="20" s="1"/>
  <c r="P2" i="20" a="1"/>
  <c r="P2" i="20" s="1"/>
  <c r="P6" i="20" a="1"/>
  <c r="P6" i="20" s="1"/>
  <c r="P16" i="20" a="1"/>
  <c r="P16" i="20" s="1"/>
  <c r="P20" i="20" a="1"/>
  <c r="P20" i="20" s="1"/>
  <c r="P26" i="20" a="1"/>
  <c r="P26" i="20" s="1"/>
  <c r="K27" i="20" a="1"/>
  <c r="K27" i="20" s="1"/>
  <c r="K83" i="20" a="1"/>
  <c r="K83" i="20" s="1"/>
  <c r="K139" i="20" a="1"/>
  <c r="K139" i="20" s="1"/>
  <c r="L76" i="20" a="1"/>
  <c r="L76" i="20" s="1"/>
  <c r="L110" i="20" a="1"/>
  <c r="L110" i="20" s="1"/>
  <c r="L128" i="20" a="1"/>
  <c r="L128" i="20" s="1"/>
  <c r="O6" i="20" a="1"/>
  <c r="O6" i="20" s="1"/>
  <c r="O24" i="20" a="1"/>
  <c r="O24" i="20" s="1"/>
  <c r="O31" i="20" a="1"/>
  <c r="O31" i="20" s="1"/>
  <c r="O35" i="20" a="1"/>
  <c r="O35" i="20" s="1"/>
  <c r="O40" i="20" a="1"/>
  <c r="O40" i="20" s="1"/>
  <c r="O43" i="20" a="1"/>
  <c r="O43" i="20" s="1"/>
  <c r="O47" i="20" a="1"/>
  <c r="O47" i="20" s="1"/>
  <c r="O50" i="20" a="1"/>
  <c r="O50" i="20" s="1"/>
  <c r="O54" i="20" a="1"/>
  <c r="O54" i="20" s="1"/>
  <c r="O58" i="20" a="1"/>
  <c r="O58" i="20" s="1"/>
  <c r="O68" i="20" a="1"/>
  <c r="O68" i="20" s="1"/>
  <c r="O72" i="20" a="1"/>
  <c r="O72" i="20" s="1"/>
  <c r="O79" i="20" a="1"/>
  <c r="O79" i="20" s="1"/>
  <c r="O83" i="20" a="1"/>
  <c r="O83" i="20" s="1"/>
  <c r="O86" i="20" a="1"/>
  <c r="O86" i="20" s="1"/>
  <c r="O90" i="20" a="1"/>
  <c r="O90" i="20" s="1"/>
  <c r="O100" i="20" a="1"/>
  <c r="O100" i="20" s="1"/>
  <c r="O104" i="20" a="1"/>
  <c r="O104" i="20" s="1"/>
  <c r="O111" i="20" a="1"/>
  <c r="O111" i="20" s="1"/>
  <c r="O115" i="20" a="1"/>
  <c r="O115" i="20" s="1"/>
  <c r="O118" i="20" a="1"/>
  <c r="O118" i="20" s="1"/>
  <c r="O122" i="20" a="1"/>
  <c r="O122" i="20" s="1"/>
  <c r="O132" i="20" a="1"/>
  <c r="O132" i="20" s="1"/>
  <c r="O136" i="20" a="1"/>
  <c r="O136" i="20" s="1"/>
  <c r="P3" i="20" a="1"/>
  <c r="P3" i="20" s="1"/>
  <c r="P7" i="20" a="1"/>
  <c r="P7" i="20" s="1"/>
  <c r="P10" i="20" a="1"/>
  <c r="P10" i="20" s="1"/>
  <c r="P14" i="20" a="1"/>
  <c r="P14" i="20" s="1"/>
  <c r="P24" i="20" a="1"/>
  <c r="P24" i="20" s="1"/>
  <c r="P27" i="20" a="1"/>
  <c r="P27" i="20" s="1"/>
  <c r="P32" i="20" a="1"/>
  <c r="P32" i="20" s="1"/>
  <c r="P35" i="20" a="1"/>
  <c r="P35" i="20" s="1"/>
  <c r="P40" i="20" a="1"/>
  <c r="P40" i="20" s="1"/>
  <c r="P43" i="20" a="1"/>
  <c r="P43" i="20" s="1"/>
  <c r="P48" i="20" a="1"/>
  <c r="P48" i="20" s="1"/>
  <c r="P51" i="20" a="1"/>
  <c r="P51" i="20" s="1"/>
  <c r="P56" i="20" a="1"/>
  <c r="P56" i="20" s="1"/>
  <c r="K40" i="20" a="1"/>
  <c r="K40" i="20" s="1"/>
  <c r="K99" i="20" a="1"/>
  <c r="K99" i="20" s="1"/>
  <c r="L12" i="20" a="1"/>
  <c r="L12" i="20" s="1"/>
  <c r="N12" i="20" s="1"/>
  <c r="L80" i="20" a="1"/>
  <c r="L80" i="20" s="1"/>
  <c r="L115" i="20" a="1"/>
  <c r="L115" i="20" s="1"/>
  <c r="L132" i="20" a="1"/>
  <c r="L132" i="20" s="1"/>
  <c r="O7" i="20" a="1"/>
  <c r="O7" i="20" s="1"/>
  <c r="O12" i="20" a="1"/>
  <c r="O12" i="20" s="1"/>
  <c r="O32" i="20" a="1"/>
  <c r="O32" i="20" s="1"/>
  <c r="O44" i="20" a="1"/>
  <c r="O44" i="20" s="1"/>
  <c r="O48" i="20" a="1"/>
  <c r="O48" i="20" s="1"/>
  <c r="O51" i="20" a="1"/>
  <c r="O51" i="20" s="1"/>
  <c r="O55" i="20" a="1"/>
  <c r="O55" i="20" s="1"/>
  <c r="O59" i="20" a="1"/>
  <c r="O59" i="20" s="1"/>
  <c r="O62" i="20" a="1"/>
  <c r="O62" i="20" s="1"/>
  <c r="O66" i="20" a="1"/>
  <c r="O66" i="20" s="1"/>
  <c r="O76" i="20" a="1"/>
  <c r="O76" i="20" s="1"/>
  <c r="O80" i="20" a="1"/>
  <c r="O80" i="20" s="1"/>
  <c r="O87" i="20" a="1"/>
  <c r="O87" i="20" s="1"/>
  <c r="O91" i="20" a="1"/>
  <c r="O91" i="20" s="1"/>
  <c r="O94" i="20" a="1"/>
  <c r="O94" i="20" s="1"/>
  <c r="O98" i="20" a="1"/>
  <c r="O98" i="20" s="1"/>
  <c r="O108" i="20" a="1"/>
  <c r="O108" i="20" s="1"/>
  <c r="O112" i="20" a="1"/>
  <c r="O112" i="20" s="1"/>
  <c r="O119" i="20" a="1"/>
  <c r="O119" i="20" s="1"/>
  <c r="O123" i="20" a="1"/>
  <c r="O123" i="20" s="1"/>
  <c r="O126" i="20" a="1"/>
  <c r="O126" i="20" s="1"/>
  <c r="O130" i="20" a="1"/>
  <c r="O130" i="20" s="1"/>
  <c r="O140" i="20" a="1"/>
  <c r="O140" i="20" s="1"/>
  <c r="P4" i="20" a="1"/>
  <c r="P4" i="20" s="1"/>
  <c r="P11" i="20" a="1"/>
  <c r="P11" i="20" s="1"/>
  <c r="P15" i="20" a="1"/>
  <c r="P15" i="20" s="1"/>
  <c r="P18" i="20" a="1"/>
  <c r="P18" i="20" s="1"/>
  <c r="P22" i="20" a="1"/>
  <c r="P22" i="20" s="1"/>
  <c r="P30" i="20" a="1"/>
  <c r="P30" i="20" s="1"/>
  <c r="P38" i="20" a="1"/>
  <c r="P38" i="20" s="1"/>
  <c r="P141" i="20" a="1"/>
  <c r="P141" i="20" s="1"/>
  <c r="P138" i="20" a="1"/>
  <c r="P138" i="20" s="1"/>
  <c r="P133" i="20" a="1"/>
  <c r="P133" i="20" s="1"/>
  <c r="P130" i="20" a="1"/>
  <c r="P130" i="20" s="1"/>
  <c r="P125" i="20" a="1"/>
  <c r="P125" i="20" s="1"/>
  <c r="P122" i="20" a="1"/>
  <c r="P122" i="20" s="1"/>
  <c r="P117" i="20" a="1"/>
  <c r="P117" i="20" s="1"/>
  <c r="P114" i="20" a="1"/>
  <c r="P114" i="20" s="1"/>
  <c r="P109" i="20" a="1"/>
  <c r="P109" i="20" s="1"/>
  <c r="P106" i="20" a="1"/>
  <c r="P106" i="20" s="1"/>
  <c r="P101" i="20" a="1"/>
  <c r="P101" i="20" s="1"/>
  <c r="P98" i="20" a="1"/>
  <c r="P98" i="20" s="1"/>
  <c r="P93" i="20" a="1"/>
  <c r="P93" i="20" s="1"/>
  <c r="P90" i="20" a="1"/>
  <c r="P90" i="20" s="1"/>
  <c r="P85" i="20" a="1"/>
  <c r="P85" i="20" s="1"/>
  <c r="P82" i="20" a="1"/>
  <c r="P82" i="20" s="1"/>
  <c r="P77" i="20" a="1"/>
  <c r="P77" i="20" s="1"/>
  <c r="P74" i="20" a="1"/>
  <c r="P74" i="20" s="1"/>
  <c r="P69" i="20" a="1"/>
  <c r="P69" i="20" s="1"/>
  <c r="P66" i="20" a="1"/>
  <c r="P66" i="20" s="1"/>
  <c r="P61" i="20" a="1"/>
  <c r="P61" i="20" s="1"/>
  <c r="P58" i="20" a="1"/>
  <c r="P58" i="20" s="1"/>
  <c r="P55" i="20" a="1"/>
  <c r="P55" i="20" s="1"/>
  <c r="P44" i="20" a="1"/>
  <c r="P44" i="20" s="1"/>
  <c r="P41" i="20" a="1"/>
  <c r="P41" i="20" s="1"/>
  <c r="P36" i="20" a="1"/>
  <c r="P36" i="20" s="1"/>
  <c r="P31" i="20" a="1"/>
  <c r="P31" i="20" s="1"/>
  <c r="P23" i="20" a="1"/>
  <c r="P23" i="20" s="1"/>
  <c r="P8" i="20" a="1"/>
  <c r="P8" i="20" s="1"/>
  <c r="O134" i="20" a="1"/>
  <c r="O134" i="20" s="1"/>
  <c r="O120" i="20" a="1"/>
  <c r="O120" i="20" s="1"/>
  <c r="O106" i="20" a="1"/>
  <c r="O106" i="20" s="1"/>
  <c r="O77" i="20" a="1"/>
  <c r="O77" i="20" s="1"/>
  <c r="O63" i="20" a="1"/>
  <c r="O63" i="20" s="1"/>
  <c r="O49" i="20" a="1"/>
  <c r="O49" i="20" s="1"/>
  <c r="O9" i="20" a="1"/>
  <c r="O9" i="20" s="1"/>
  <c r="N122" i="20"/>
  <c r="N118" i="20"/>
  <c r="N115" i="20"/>
  <c r="N97" i="20"/>
  <c r="N68" i="20"/>
  <c r="N65" i="20"/>
  <c r="N58" i="20"/>
  <c r="N55" i="20"/>
  <c r="N51" i="20"/>
  <c r="N21" i="20"/>
  <c r="L25" i="20" a="1"/>
  <c r="L25" i="20" s="1"/>
  <c r="N25" i="20" s="1"/>
  <c r="P127" i="20" a="1"/>
  <c r="P127" i="20" s="1"/>
  <c r="P119" i="20" a="1"/>
  <c r="P119" i="20" s="1"/>
  <c r="P111" i="20" a="1"/>
  <c r="P111" i="20" s="1"/>
  <c r="P103" i="20" a="1"/>
  <c r="P103" i="20" s="1"/>
  <c r="P92" i="20" a="1"/>
  <c r="P92" i="20" s="1"/>
  <c r="P84" i="20" a="1"/>
  <c r="P84" i="20" s="1"/>
  <c r="P79" i="20" a="1"/>
  <c r="P79" i="20" s="1"/>
  <c r="P76" i="20" a="1"/>
  <c r="P76" i="20" s="1"/>
  <c r="P71" i="20" a="1"/>
  <c r="P71" i="20" s="1"/>
  <c r="P68" i="20" a="1"/>
  <c r="P68" i="20" s="1"/>
  <c r="P63" i="20" a="1"/>
  <c r="P63" i="20" s="1"/>
  <c r="P60" i="20" a="1"/>
  <c r="P60" i="20" s="1"/>
  <c r="P54" i="20" a="1"/>
  <c r="P54" i="20" s="1"/>
  <c r="P50" i="20" a="1"/>
  <c r="P50" i="20" s="1"/>
  <c r="P47" i="20" a="1"/>
  <c r="P47" i="20" s="1"/>
  <c r="P34" i="20" a="1"/>
  <c r="P34" i="20" s="1"/>
  <c r="P29" i="20" a="1"/>
  <c r="P29" i="20" s="1"/>
  <c r="P19" i="20" a="1"/>
  <c r="P19" i="20" s="1"/>
  <c r="P5" i="20" a="1"/>
  <c r="P5" i="20" s="1"/>
  <c r="O131" i="20" a="1"/>
  <c r="O131" i="20" s="1"/>
  <c r="O116" i="20" a="1"/>
  <c r="O116" i="20" s="1"/>
  <c r="O102" i="20" a="1"/>
  <c r="O102" i="20" s="1"/>
  <c r="O88" i="20" a="1"/>
  <c r="O88" i="20" s="1"/>
  <c r="O74" i="20" a="1"/>
  <c r="O74" i="20" s="1"/>
  <c r="O45" i="20" a="1"/>
  <c r="O45" i="20" s="1"/>
  <c r="O27" i="20" a="1"/>
  <c r="O27" i="20" s="1"/>
  <c r="N129" i="20"/>
  <c r="N125" i="20"/>
  <c r="L102" i="20" a="1"/>
  <c r="L102" i="20" s="1"/>
  <c r="N102" i="20" s="1"/>
  <c r="K113" i="20" a="1"/>
  <c r="K113" i="20" s="1"/>
  <c r="P124" i="20" a="1"/>
  <c r="P124" i="20" s="1"/>
  <c r="P116" i="20" a="1"/>
  <c r="P116" i="20" s="1"/>
  <c r="P108" i="20" a="1"/>
  <c r="P108" i="20" s="1"/>
  <c r="P100" i="20" a="1"/>
  <c r="P100" i="20" s="1"/>
  <c r="P95" i="20" a="1"/>
  <c r="P95" i="20" s="1"/>
  <c r="P87" i="20" a="1"/>
  <c r="P87" i="20" s="1"/>
  <c r="P137" i="20" a="1"/>
  <c r="P137" i="20" s="1"/>
  <c r="P134" i="20" a="1"/>
  <c r="P134" i="20" s="1"/>
  <c r="P129" i="20" a="1"/>
  <c r="P129" i="20" s="1"/>
  <c r="P126" i="20" a="1"/>
  <c r="P126" i="20" s="1"/>
  <c r="P121" i="20" a="1"/>
  <c r="P121" i="20" s="1"/>
  <c r="P118" i="20" a="1"/>
  <c r="P118" i="20" s="1"/>
  <c r="P113" i="20" a="1"/>
  <c r="P113" i="20" s="1"/>
  <c r="P110" i="20" a="1"/>
  <c r="P110" i="20" s="1"/>
  <c r="P105" i="20" a="1"/>
  <c r="P105" i="20" s="1"/>
  <c r="P102" i="20" a="1"/>
  <c r="P102" i="20" s="1"/>
  <c r="P97" i="20" a="1"/>
  <c r="P97" i="20" s="1"/>
  <c r="P94" i="20" a="1"/>
  <c r="P94" i="20" s="1"/>
  <c r="P89" i="20" a="1"/>
  <c r="P89" i="20" s="1"/>
  <c r="P86" i="20" a="1"/>
  <c r="P86" i="20" s="1"/>
  <c r="P81" i="20" a="1"/>
  <c r="P81" i="20" s="1"/>
  <c r="P78" i="20" a="1"/>
  <c r="P78" i="20" s="1"/>
  <c r="P73" i="20" a="1"/>
  <c r="P73" i="20" s="1"/>
  <c r="P70" i="20" a="1"/>
  <c r="P70" i="20" s="1"/>
  <c r="P65" i="20" a="1"/>
  <c r="P65" i="20" s="1"/>
  <c r="P62" i="20" a="1"/>
  <c r="P62" i="20" s="1"/>
  <c r="P57" i="20" a="1"/>
  <c r="P57" i="20" s="1"/>
  <c r="P53" i="20" a="1"/>
  <c r="P53" i="20" s="1"/>
  <c r="P46" i="20" a="1"/>
  <c r="P46" i="20" s="1"/>
  <c r="P42" i="20" a="1"/>
  <c r="P42" i="20" s="1"/>
  <c r="P39" i="20" a="1"/>
  <c r="P39" i="20" s="1"/>
  <c r="P28" i="20" a="1"/>
  <c r="P28" i="20" s="1"/>
  <c r="O141" i="20" a="1"/>
  <c r="O141" i="20" s="1"/>
  <c r="O127" i="20" a="1"/>
  <c r="O127" i="20" s="1"/>
  <c r="O113" i="20" a="1"/>
  <c r="O113" i="20" s="1"/>
  <c r="O99" i="20" a="1"/>
  <c r="O99" i="20" s="1"/>
  <c r="O84" i="20" a="1"/>
  <c r="O84" i="20" s="1"/>
  <c r="O70" i="20" a="1"/>
  <c r="O70" i="20" s="1"/>
  <c r="O56" i="20" a="1"/>
  <c r="O56" i="20" s="1"/>
  <c r="O20" i="20" a="1"/>
  <c r="O20" i="20" s="1"/>
  <c r="L84" i="20" a="1"/>
  <c r="L84" i="20" s="1"/>
  <c r="K54" i="20" a="1"/>
  <c r="K54" i="20" s="1"/>
  <c r="N132" i="20"/>
  <c r="N128" i="20"/>
  <c r="N110" i="20"/>
  <c r="N106" i="20"/>
  <c r="N100" i="20"/>
  <c r="N78" i="20"/>
  <c r="N74" i="20"/>
  <c r="N64" i="20"/>
  <c r="N54" i="20"/>
  <c r="N37" i="20"/>
  <c r="N17" i="20"/>
  <c r="N13" i="20"/>
  <c r="N10" i="20"/>
  <c r="N3" i="20"/>
  <c r="N131" i="20"/>
  <c r="N99" i="20"/>
  <c r="N33" i="20"/>
  <c r="N29" i="20"/>
  <c r="N23" i="20"/>
  <c r="N16" i="20"/>
  <c r="N126" i="20"/>
  <c r="N116" i="20"/>
  <c r="N94" i="20"/>
  <c r="N90" i="20"/>
  <c r="N84" i="20"/>
  <c r="N69" i="20"/>
  <c r="N49" i="20"/>
  <c r="N45" i="20"/>
  <c r="N39" i="20"/>
  <c r="N35" i="20"/>
  <c r="N112" i="20"/>
  <c r="N96" i="20"/>
  <c r="N80" i="20"/>
  <c r="N41" i="20"/>
  <c r="N9" i="20"/>
  <c r="N5" i="20"/>
  <c r="K56" i="20" a="1"/>
  <c r="K56" i="20" s="1"/>
  <c r="K52" i="20" a="1"/>
  <c r="K52" i="20" s="1"/>
  <c r="K48" i="20" a="1"/>
  <c r="K48" i="20" s="1"/>
  <c r="K44" i="20" a="1"/>
  <c r="K44" i="20" s="1"/>
  <c r="K32" i="20" a="1"/>
  <c r="K32" i="20" s="1"/>
  <c r="K28" i="20" a="1"/>
  <c r="K28" i="20" s="1"/>
  <c r="K24" i="20" a="1"/>
  <c r="K24" i="20" s="1"/>
  <c r="K3" i="20" a="1"/>
  <c r="K3" i="20" s="1"/>
  <c r="N140" i="20"/>
  <c r="N124" i="20"/>
  <c r="N108" i="20"/>
  <c r="N92" i="20"/>
  <c r="N76" i="20"/>
  <c r="N136" i="20"/>
  <c r="N120" i="20"/>
  <c r="N104" i="20"/>
  <c r="N88" i="20"/>
  <c r="N72" i="20"/>
  <c r="N59" i="20"/>
  <c r="N43" i="20"/>
  <c r="N27" i="20"/>
  <c r="N11" i="20"/>
  <c r="K63" i="20" a="1"/>
  <c r="K63" i="20" s="1"/>
  <c r="K42" i="20" a="1"/>
  <c r="K42" i="20" s="1"/>
  <c r="K38" i="20" a="1"/>
  <c r="K38" i="20" s="1"/>
  <c r="K35" i="20" a="1"/>
  <c r="K35" i="20" s="1"/>
  <c r="K18" i="20" a="1"/>
  <c r="K18" i="20" s="1"/>
  <c r="K14" i="20" a="1"/>
  <c r="K14" i="20" s="1"/>
  <c r="K11" i="20" a="1"/>
  <c r="K11" i="20" s="1"/>
  <c r="K7" i="20" a="1"/>
  <c r="K7" i="20" s="1"/>
  <c r="K4" i="20" a="1"/>
  <c r="K4" i="20" s="1"/>
  <c r="K62" i="20" a="1"/>
  <c r="K62" i="20" s="1"/>
  <c r="K59" i="20" a="1"/>
  <c r="K59" i="20" s="1"/>
  <c r="K55" i="20" a="1"/>
  <c r="K55" i="20" s="1"/>
  <c r="K34" i="20" a="1"/>
  <c r="K34" i="20" s="1"/>
  <c r="K31" i="20" a="1"/>
  <c r="K31" i="20" s="1"/>
  <c r="K10" i="20" a="1"/>
  <c r="K10" i="20" s="1"/>
  <c r="K6" i="20" a="1"/>
  <c r="K6" i="20" s="1"/>
  <c r="R3" i="18"/>
  <c r="U3" i="18" s="1"/>
  <c r="R15" i="18"/>
  <c r="U15" i="18" s="1"/>
  <c r="R54" i="18"/>
  <c r="U54" i="18" s="1"/>
  <c r="R79" i="18"/>
  <c r="U79" i="18" s="1"/>
  <c r="R51" i="18"/>
  <c r="U51" i="18" s="1"/>
  <c r="R80" i="18"/>
  <c r="U80" i="18" s="1"/>
  <c r="R32" i="18"/>
  <c r="U32" i="18" s="1"/>
  <c r="R57" i="18"/>
  <c r="U57" i="18" s="1"/>
  <c r="R35" i="18"/>
  <c r="U35" i="18" s="1"/>
  <c r="R66" i="18"/>
  <c r="U66" i="18" s="1"/>
  <c r="R67" i="18"/>
  <c r="U67" i="18" s="1"/>
  <c r="R41" i="18"/>
  <c r="U41" i="18" s="1"/>
  <c r="R19" i="18"/>
  <c r="U19" i="18" s="1"/>
  <c r="R70" i="18"/>
  <c r="U70" i="18" s="1"/>
  <c r="R52" i="18"/>
  <c r="R38" i="18"/>
  <c r="U38" i="18" s="1"/>
  <c r="O13" i="18" a="1"/>
  <c r="O13" i="18" s="1"/>
  <c r="O4" i="18" a="1"/>
  <c r="O4" i="18" s="1"/>
  <c r="R47" i="18"/>
  <c r="U47" i="18" s="1"/>
  <c r="R31" i="18"/>
  <c r="U31" i="18" s="1"/>
  <c r="P18" i="18" a="1"/>
  <c r="P18" i="18" s="1"/>
  <c r="R18" i="18" s="1"/>
  <c r="U18" i="18" s="1"/>
  <c r="P12" i="18" a="1"/>
  <c r="P12" i="18" s="1"/>
  <c r="R12" i="18" s="1"/>
  <c r="U12" i="18" s="1"/>
  <c r="P9" i="18" a="1"/>
  <c r="P9" i="18" s="1"/>
  <c r="R9" i="18" s="1"/>
  <c r="U9" i="18" s="1"/>
  <c r="P2" i="18" a="1"/>
  <c r="P2" i="18" s="1"/>
  <c r="R2" i="18" s="1"/>
  <c r="U2" i="18" s="1"/>
  <c r="O86" i="18" a="1"/>
  <c r="O86" i="18" s="1"/>
  <c r="O83" i="18" a="1"/>
  <c r="O83" i="18" s="1"/>
  <c r="O80" i="18" a="1"/>
  <c r="O80" i="18" s="1"/>
  <c r="O70" i="18" a="1"/>
  <c r="O70" i="18" s="1"/>
  <c r="O67" i="18" a="1"/>
  <c r="O67" i="18" s="1"/>
  <c r="O64" i="18" a="1"/>
  <c r="O64" i="18" s="1"/>
  <c r="O54" i="18" a="1"/>
  <c r="O54" i="18" s="1"/>
  <c r="O51" i="18" a="1"/>
  <c r="O51" i="18" s="1"/>
  <c r="O48" i="18" a="1"/>
  <c r="O48" i="18" s="1"/>
  <c r="O41" i="18" a="1"/>
  <c r="O41" i="18" s="1"/>
  <c r="O38" i="18" a="1"/>
  <c r="O38" i="18" s="1"/>
  <c r="O35" i="18" a="1"/>
  <c r="O35" i="18" s="1"/>
  <c r="O32" i="18" a="1"/>
  <c r="O32" i="18" s="1"/>
  <c r="O22" i="18" a="1"/>
  <c r="O22" i="18" s="1"/>
  <c r="O19" i="18" a="1"/>
  <c r="O19" i="18" s="1"/>
  <c r="O16" i="18" a="1"/>
  <c r="O16" i="18" s="1"/>
  <c r="O12" i="18" a="1"/>
  <c r="O12" i="18" s="1"/>
  <c r="O6" i="18" a="1"/>
  <c r="O6" i="18" s="1"/>
  <c r="R91" i="18"/>
  <c r="U91" i="18" s="1"/>
  <c r="R81" i="18"/>
  <c r="U81" i="18" s="1"/>
  <c r="R75" i="18"/>
  <c r="U75" i="18" s="1"/>
  <c r="R65" i="18"/>
  <c r="U65" i="18" s="1"/>
  <c r="R59" i="18"/>
  <c r="U59" i="18" s="1"/>
  <c r="P56" i="18" a="1"/>
  <c r="P56" i="18" s="1"/>
  <c r="R56" i="18" s="1"/>
  <c r="U56" i="18" s="1"/>
  <c r="P53" i="18" a="1"/>
  <c r="P53" i="18" s="1"/>
  <c r="R53" i="18" s="1"/>
  <c r="U53" i="18" s="1"/>
  <c r="P46" i="18" a="1"/>
  <c r="P46" i="18" s="1"/>
  <c r="R46" i="18" s="1"/>
  <c r="U46" i="18" s="1"/>
  <c r="P43" i="18" a="1"/>
  <c r="P43" i="18" s="1"/>
  <c r="R43" i="18" s="1"/>
  <c r="U43" i="18" s="1"/>
  <c r="P40" i="18" a="1"/>
  <c r="P40" i="18" s="1"/>
  <c r="R40" i="18" s="1"/>
  <c r="U40" i="18" s="1"/>
  <c r="P37" i="18" a="1"/>
  <c r="P37" i="18" s="1"/>
  <c r="R37" i="18" s="1"/>
  <c r="U37" i="18" s="1"/>
  <c r="P30" i="18" a="1"/>
  <c r="P30" i="18" s="1"/>
  <c r="R30" i="18" s="1"/>
  <c r="U30" i="18" s="1"/>
  <c r="P27" i="18" a="1"/>
  <c r="P27" i="18" s="1"/>
  <c r="R27" i="18" s="1"/>
  <c r="U27" i="18" s="1"/>
  <c r="P24" i="18" a="1"/>
  <c r="P24" i="18" s="1"/>
  <c r="R24" i="18" s="1"/>
  <c r="U24" i="18" s="1"/>
  <c r="P21" i="18" a="1"/>
  <c r="P21" i="18" s="1"/>
  <c r="R21" i="18" s="1"/>
  <c r="U21" i="18" s="1"/>
  <c r="P14" i="18" a="1"/>
  <c r="P14" i="18" s="1"/>
  <c r="R14" i="18" s="1"/>
  <c r="U14" i="18" s="1"/>
  <c r="P11" i="18" a="1"/>
  <c r="P11" i="18" s="1"/>
  <c r="R11" i="18" s="1"/>
  <c r="U11" i="18" s="1"/>
  <c r="P8" i="18" a="1"/>
  <c r="P8" i="18" s="1"/>
  <c r="R8" i="18" s="1"/>
  <c r="U8" i="18" s="1"/>
  <c r="P5" i="18" a="1"/>
  <c r="P5" i="18" s="1"/>
  <c r="R5" i="18" s="1"/>
  <c r="U5" i="18" s="1"/>
  <c r="O88" i="18" a="1"/>
  <c r="O88" i="18" s="1"/>
  <c r="O82" i="18" a="1"/>
  <c r="O82" i="18" s="1"/>
  <c r="O79" i="18" a="1"/>
  <c r="O79" i="18" s="1"/>
  <c r="O76" i="18" a="1"/>
  <c r="O76" i="18" s="1"/>
  <c r="O66" i="18" a="1"/>
  <c r="O66" i="18" s="1"/>
  <c r="O63" i="18" a="1"/>
  <c r="O63" i="18" s="1"/>
  <c r="O60" i="18" a="1"/>
  <c r="O60" i="18" s="1"/>
  <c r="O50" i="18" a="1"/>
  <c r="O50" i="18" s="1"/>
  <c r="O47" i="18" a="1"/>
  <c r="O47" i="18" s="1"/>
  <c r="O44" i="18" a="1"/>
  <c r="O44" i="18" s="1"/>
  <c r="O34" i="18" a="1"/>
  <c r="O34" i="18" s="1"/>
  <c r="O31" i="18" a="1"/>
  <c r="O31" i="18" s="1"/>
  <c r="O28" i="18" a="1"/>
  <c r="O28" i="18" s="1"/>
  <c r="O18" i="18" a="1"/>
  <c r="O18" i="18" s="1"/>
  <c r="O15" i="18" a="1"/>
  <c r="O15" i="18" s="1"/>
  <c r="O11" i="18" a="1"/>
  <c r="O11" i="18" s="1"/>
  <c r="O3" i="18" a="1"/>
  <c r="O3" i="18" s="1"/>
  <c r="R13" i="18"/>
  <c r="U13" i="18" s="1"/>
  <c r="R87" i="18"/>
  <c r="U87" i="18" s="1"/>
  <c r="R71" i="18"/>
  <c r="U71" i="18" s="1"/>
  <c r="P55" i="18" a="1"/>
  <c r="P55" i="18" s="1"/>
  <c r="R55" i="18" s="1"/>
  <c r="U55" i="18" s="1"/>
  <c r="P49" i="18" a="1"/>
  <c r="P49" i="18" s="1"/>
  <c r="R49" i="18" s="1"/>
  <c r="U49" i="18" s="1"/>
  <c r="P39" i="18" a="1"/>
  <c r="P39" i="18" s="1"/>
  <c r="R39" i="18" s="1"/>
  <c r="U39" i="18" s="1"/>
  <c r="P36" i="18" a="1"/>
  <c r="P36" i="18" s="1"/>
  <c r="R36" i="18" s="1"/>
  <c r="U36" i="18" s="1"/>
  <c r="P33" i="18" a="1"/>
  <c r="P33" i="18" s="1"/>
  <c r="R33" i="18" s="1"/>
  <c r="U33" i="18" s="1"/>
  <c r="P26" i="18" a="1"/>
  <c r="P26" i="18" s="1"/>
  <c r="R26" i="18" s="1"/>
  <c r="U26" i="18" s="1"/>
  <c r="P23" i="18" a="1"/>
  <c r="P23" i="18" s="1"/>
  <c r="R23" i="18" s="1"/>
  <c r="U23" i="18" s="1"/>
  <c r="P20" i="18" a="1"/>
  <c r="P20" i="18" s="1"/>
  <c r="R20" i="18" s="1"/>
  <c r="U20" i="18" s="1"/>
  <c r="P17" i="18" a="1"/>
  <c r="P17" i="18" s="1"/>
  <c r="R17" i="18" s="1"/>
  <c r="U17" i="18" s="1"/>
  <c r="P10" i="18" a="1"/>
  <c r="P10" i="18" s="1"/>
  <c r="R10" i="18" s="1"/>
  <c r="U10" i="18" s="1"/>
  <c r="P7" i="18" a="1"/>
  <c r="P7" i="18" s="1"/>
  <c r="R7" i="18" s="1"/>
  <c r="U7" i="18" s="1"/>
  <c r="P4" i="18" a="1"/>
  <c r="P4" i="18" s="1"/>
  <c r="R4" i="18" s="1"/>
  <c r="U4" i="18" s="1"/>
  <c r="O91" i="18" a="1"/>
  <c r="O91" i="18" s="1"/>
  <c r="O84" i="18" a="1"/>
  <c r="O84" i="18" s="1"/>
  <c r="O78" i="18" a="1"/>
  <c r="O78" i="18" s="1"/>
  <c r="O75" i="18" a="1"/>
  <c r="O75" i="18" s="1"/>
  <c r="O72" i="18" a="1"/>
  <c r="O72" i="18" s="1"/>
  <c r="O62" i="18" a="1"/>
  <c r="O62" i="18" s="1"/>
  <c r="O59" i="18" a="1"/>
  <c r="O59" i="18" s="1"/>
  <c r="O56" i="18" a="1"/>
  <c r="O56" i="18" s="1"/>
  <c r="O46" i="18" a="1"/>
  <c r="O46" i="18" s="1"/>
  <c r="O43" i="18" a="1"/>
  <c r="O43" i="18" s="1"/>
  <c r="O40" i="18" a="1"/>
  <c r="O40" i="18" s="1"/>
  <c r="O30" i="18" a="1"/>
  <c r="O30" i="18" s="1"/>
  <c r="O27" i="18" a="1"/>
  <c r="O27" i="18" s="1"/>
  <c r="O24" i="18" a="1"/>
  <c r="O24" i="18" s="1"/>
  <c r="O14" i="18" a="1"/>
  <c r="O14" i="18" s="1"/>
  <c r="O10" i="18" a="1"/>
  <c r="O10" i="18" s="1"/>
  <c r="U52" i="18"/>
  <c r="O8" i="18" a="1"/>
  <c r="O8" i="18" s="1"/>
  <c r="O5" i="18" a="1"/>
  <c r="O5" i="18" s="1"/>
  <c r="O2" i="18" a="1"/>
  <c r="O2" i="18" s="1"/>
  <c r="O9" i="18" a="1"/>
  <c r="O9" i="18" s="1"/>
  <c r="T59" i="17" a="1"/>
  <c r="T59" i="17" s="1"/>
  <c r="X65" i="17" a="1"/>
  <c r="X65" i="17" s="1"/>
  <c r="Y65" i="17" s="1"/>
  <c r="Q65" i="17" s="1"/>
  <c r="W65" i="17" s="1"/>
  <c r="X55" i="17" a="1"/>
  <c r="X55" i="17" s="1"/>
  <c r="Y55" i="17" s="1"/>
  <c r="X13" i="17" a="1"/>
  <c r="X13" i="17" s="1"/>
  <c r="Y13" i="17" s="1"/>
  <c r="X35" i="17" a="1"/>
  <c r="X35" i="17" s="1"/>
  <c r="Y35" i="17" s="1"/>
  <c r="V46" i="17" a="1"/>
  <c r="V46" i="17" s="1"/>
  <c r="S59" i="17" a="1"/>
  <c r="S59" i="17" s="1"/>
  <c r="T40" i="17" a="1"/>
  <c r="T40" i="17" s="1"/>
  <c r="V48" i="17" a="1"/>
  <c r="V48" i="17" s="1"/>
  <c r="V24" i="17" a="1"/>
  <c r="V24" i="17" s="1"/>
  <c r="V12" i="17" a="1"/>
  <c r="V12" i="17" s="1"/>
  <c r="T10" i="17" a="1"/>
  <c r="T10" i="17" s="1"/>
  <c r="X5" i="17" a="1"/>
  <c r="X5" i="17" s="1"/>
  <c r="U14" i="17" a="1"/>
  <c r="U14" i="17" s="1"/>
  <c r="X37" i="17" a="1"/>
  <c r="X37" i="17" s="1"/>
  <c r="Y37" i="17" s="1"/>
  <c r="X72" i="17" a="1"/>
  <c r="X72" i="17" s="1"/>
  <c r="Y72" i="17" s="1"/>
  <c r="X21" i="17" a="1"/>
  <c r="X21" i="17" s="1"/>
  <c r="Y21" i="17" s="1"/>
  <c r="X17" i="17" a="1"/>
  <c r="X17" i="17" s="1"/>
  <c r="Y17" i="17" s="1"/>
  <c r="X9" i="17" a="1"/>
  <c r="X9" i="17" s="1"/>
  <c r="X51" i="17" a="1"/>
  <c r="X51" i="17" s="1"/>
  <c r="Y51" i="17" s="1"/>
  <c r="U47" i="17" a="1"/>
  <c r="U47" i="17" s="1"/>
  <c r="T50" i="17" a="1"/>
  <c r="T50" i="17" s="1"/>
  <c r="V62" i="17" a="1"/>
  <c r="V62" i="17" s="1"/>
  <c r="V28" i="17" a="1"/>
  <c r="V28" i="17" s="1"/>
  <c r="V20" i="17" a="1"/>
  <c r="V20" i="17" s="1"/>
  <c r="V54" i="17" a="1"/>
  <c r="V54" i="17" s="1"/>
  <c r="U42" i="17" a="1"/>
  <c r="U42" i="17" s="1"/>
  <c r="U6" i="17" a="1"/>
  <c r="U6" i="17" s="1"/>
  <c r="Y64" i="17"/>
  <c r="X27" i="17" a="1"/>
  <c r="X27" i="17" s="1"/>
  <c r="Y27" i="17" s="1"/>
  <c r="V16" i="17" a="1"/>
  <c r="V16" i="17" s="1"/>
  <c r="X61" i="17" a="1"/>
  <c r="X61" i="17" s="1"/>
  <c r="Y61" i="17" s="1"/>
  <c r="V50" i="17" a="1"/>
  <c r="V50" i="17" s="1"/>
  <c r="V58" i="17" a="1"/>
  <c r="V58" i="17" s="1"/>
  <c r="U38" i="17" a="1"/>
  <c r="U38" i="17" s="1"/>
  <c r="U22" i="17" a="1"/>
  <c r="U22" i="17" s="1"/>
  <c r="U2" i="17" a="1"/>
  <c r="U2" i="17" s="1"/>
  <c r="S52" i="17" a="1"/>
  <c r="S52" i="17" s="1"/>
  <c r="X42" i="17" a="1"/>
  <c r="X42" i="17" s="1"/>
  <c r="Y42" i="17" s="1"/>
  <c r="X59" i="17" a="1"/>
  <c r="X59" i="17" s="1"/>
  <c r="Y59" i="17" s="1"/>
  <c r="V40" i="17" a="1"/>
  <c r="V40" i="17" s="1"/>
  <c r="V4" i="17" a="1"/>
  <c r="V4" i="17" s="1"/>
  <c r="U49" i="17" a="1"/>
  <c r="U49" i="17" s="1"/>
  <c r="U26" i="17" a="1"/>
  <c r="U26" i="17" s="1"/>
  <c r="U56" i="17" a="1"/>
  <c r="U56" i="17" s="1"/>
  <c r="U10" i="17" a="1"/>
  <c r="U10" i="17" s="1"/>
  <c r="X43" i="17" a="1"/>
  <c r="X43" i="17" s="1"/>
  <c r="Y43" i="17" s="1"/>
  <c r="X73" i="17" a="1"/>
  <c r="X73" i="17" s="1"/>
  <c r="Y73" i="17" s="1"/>
  <c r="V32" i="17" a="1"/>
  <c r="V32" i="17" s="1"/>
  <c r="V44" i="17" a="1"/>
  <c r="V44" i="17" s="1"/>
  <c r="U30" i="17" a="1"/>
  <c r="U30" i="17" s="1"/>
  <c r="U45" i="17" a="1"/>
  <c r="U45" i="17" s="1"/>
  <c r="T36" i="17" a="1"/>
  <c r="T36" i="17" s="1"/>
  <c r="X75" i="17" a="1"/>
  <c r="X75" i="17" s="1"/>
  <c r="Y75" i="17" s="1"/>
  <c r="X39" i="17" a="1"/>
  <c r="X39" i="17" s="1"/>
  <c r="Y39" i="17" s="1"/>
  <c r="X31" i="17" a="1"/>
  <c r="X31" i="17" s="1"/>
  <c r="Y31" i="17" s="1"/>
  <c r="U64" i="17" a="1"/>
  <c r="U64" i="17" s="1"/>
  <c r="U34" i="17" a="1"/>
  <c r="U34" i="17" s="1"/>
  <c r="U66" i="17" a="1"/>
  <c r="U66" i="17" s="1"/>
  <c r="U18" i="17" a="1"/>
  <c r="U18" i="17" s="1"/>
  <c r="U52" i="17" a="1"/>
  <c r="U52" i="17" s="1"/>
  <c r="Y25" i="17"/>
  <c r="Y9" i="17"/>
  <c r="Y5" i="17"/>
  <c r="N63" i="17" a="1"/>
  <c r="N63" i="17" s="1"/>
  <c r="O63" i="17" a="1"/>
  <c r="O63" i="17" s="1"/>
  <c r="S63" i="17" a="1"/>
  <c r="S63" i="17" s="1"/>
  <c r="R63" i="17" a="1"/>
  <c r="R63" i="17" s="1"/>
  <c r="N41" i="17" a="1"/>
  <c r="N41" i="17" s="1"/>
  <c r="O41" i="17" a="1"/>
  <c r="O41" i="17" s="1"/>
  <c r="R41" i="17" a="1"/>
  <c r="R41" i="17" s="1"/>
  <c r="S41" i="17" a="1"/>
  <c r="S41" i="17" s="1"/>
  <c r="N74" i="17" a="1"/>
  <c r="N74" i="17" s="1"/>
  <c r="O74" i="17" a="1"/>
  <c r="O74" i="17" s="1"/>
  <c r="Q74" i="17" s="1"/>
  <c r="W74" i="17" s="1"/>
  <c r="S74" i="17" a="1"/>
  <c r="S74" i="17" s="1"/>
  <c r="R74" i="17" a="1"/>
  <c r="R74" i="17" s="1"/>
  <c r="N37" i="17" a="1"/>
  <c r="N37" i="17" s="1"/>
  <c r="O37" i="17" a="1"/>
  <c r="O37" i="17" s="1"/>
  <c r="R37" i="17" a="1"/>
  <c r="R37" i="17" s="1"/>
  <c r="S37" i="17" a="1"/>
  <c r="S37" i="17" s="1"/>
  <c r="N33" i="17" a="1"/>
  <c r="N33" i="17" s="1"/>
  <c r="O33" i="17" a="1"/>
  <c r="O33" i="17" s="1"/>
  <c r="Q33" i="17" s="1"/>
  <c r="W33" i="17" s="1"/>
  <c r="S33" i="17" a="1"/>
  <c r="S33" i="17" s="1"/>
  <c r="R33" i="17" a="1"/>
  <c r="R33" i="17" s="1"/>
  <c r="N59" i="17" a="1"/>
  <c r="N59" i="17" s="1"/>
  <c r="O59" i="17" a="1"/>
  <c r="O59" i="17" s="1"/>
  <c r="R59" i="17" a="1"/>
  <c r="R59" i="17" s="1"/>
  <c r="N29" i="17" a="1"/>
  <c r="N29" i="17" s="1"/>
  <c r="O29" i="17" a="1"/>
  <c r="O29" i="17" s="1"/>
  <c r="S29" i="17" a="1"/>
  <c r="S29" i="17" s="1"/>
  <c r="R29" i="17" a="1"/>
  <c r="R29" i="17" s="1"/>
  <c r="N72" i="17" a="1"/>
  <c r="N72" i="17" s="1"/>
  <c r="O72" i="17" a="1"/>
  <c r="O72" i="17" s="1"/>
  <c r="R72" i="17" a="1"/>
  <c r="R72" i="17" s="1"/>
  <c r="S72" i="17" a="1"/>
  <c r="S72" i="17" s="1"/>
  <c r="T72" i="17" a="1"/>
  <c r="T72" i="17" s="1"/>
  <c r="N65" i="17" a="1"/>
  <c r="N65" i="17" s="1"/>
  <c r="O65" i="17" a="1"/>
  <c r="O65" i="17" s="1"/>
  <c r="S65" i="17" a="1"/>
  <c r="S65" i="17" s="1"/>
  <c r="R65" i="17" a="1"/>
  <c r="R65" i="17" s="1"/>
  <c r="T65" i="17" a="1"/>
  <c r="T65" i="17" s="1"/>
  <c r="N25" i="17" a="1"/>
  <c r="N25" i="17" s="1"/>
  <c r="O25" i="17" a="1"/>
  <c r="O25" i="17" s="1"/>
  <c r="R25" i="17" a="1"/>
  <c r="R25" i="17" s="1"/>
  <c r="T25" i="17" a="1"/>
  <c r="T25" i="17" s="1"/>
  <c r="S25" i="17" a="1"/>
  <c r="S25" i="17" s="1"/>
  <c r="N21" i="17" a="1"/>
  <c r="N21" i="17" s="1"/>
  <c r="O21" i="17" a="1"/>
  <c r="O21" i="17" s="1"/>
  <c r="S21" i="17" a="1"/>
  <c r="S21" i="17" s="1"/>
  <c r="R21" i="17" a="1"/>
  <c r="R21" i="17" s="1"/>
  <c r="N55" i="17" a="1"/>
  <c r="N55" i="17" s="1"/>
  <c r="O55" i="17" a="1"/>
  <c r="O55" i="17" s="1"/>
  <c r="R55" i="17" a="1"/>
  <c r="R55" i="17" s="1"/>
  <c r="T55" i="17" a="1"/>
  <c r="T55" i="17" s="1"/>
  <c r="S55" i="17" a="1"/>
  <c r="S55" i="17" s="1"/>
  <c r="N17" i="17" a="1"/>
  <c r="N17" i="17" s="1"/>
  <c r="O17" i="17" a="1"/>
  <c r="O17" i="17" s="1"/>
  <c r="Q17" i="17" s="1"/>
  <c r="W17" i="17" s="1"/>
  <c r="S17" i="17" a="1"/>
  <c r="S17" i="17" s="1"/>
  <c r="R17" i="17" a="1"/>
  <c r="R17" i="17" s="1"/>
  <c r="T17" i="17" a="1"/>
  <c r="T17" i="17" s="1"/>
  <c r="N70" i="17" a="1"/>
  <c r="N70" i="17" s="1"/>
  <c r="R70" i="17" a="1"/>
  <c r="R70" i="17" s="1"/>
  <c r="O70" i="17" a="1"/>
  <c r="O70" i="17" s="1"/>
  <c r="Q70" i="17" s="1"/>
  <c r="W70" i="17" s="1"/>
  <c r="T70" i="17" a="1"/>
  <c r="T70" i="17" s="1"/>
  <c r="N13" i="17" a="1"/>
  <c r="N13" i="17" s="1"/>
  <c r="O13" i="17" a="1"/>
  <c r="O13" i="17" s="1"/>
  <c r="S13" i="17" a="1"/>
  <c r="S13" i="17" s="1"/>
  <c r="R13" i="17" a="1"/>
  <c r="R13" i="17" s="1"/>
  <c r="T13" i="17" a="1"/>
  <c r="T13" i="17" s="1"/>
  <c r="X63" i="17" a="1"/>
  <c r="X63" i="17" s="1"/>
  <c r="Y63" i="17" s="1"/>
  <c r="Q63" i="17" s="1"/>
  <c r="W63" i="17" s="1"/>
  <c r="X40" i="17" a="1"/>
  <c r="X40" i="17" s="1"/>
  <c r="Y40" i="17" s="1"/>
  <c r="X62" i="17" a="1"/>
  <c r="X62" i="17" s="1"/>
  <c r="Y62" i="17" s="1"/>
  <c r="X36" i="17" a="1"/>
  <c r="X36" i="17" s="1"/>
  <c r="Y36" i="17" s="1"/>
  <c r="X32" i="17" a="1"/>
  <c r="X32" i="17" s="1"/>
  <c r="Y32" i="17" s="1"/>
  <c r="X48" i="17" a="1"/>
  <c r="X48" i="17" s="1"/>
  <c r="Y48" i="17" s="1"/>
  <c r="X28" i="17" a="1"/>
  <c r="X28" i="17" s="1"/>
  <c r="Y28" i="17" s="1"/>
  <c r="X68" i="17" a="1"/>
  <c r="X68" i="17" s="1"/>
  <c r="Y68" i="17" s="1"/>
  <c r="Q68" i="17" s="1"/>
  <c r="W68" i="17" s="1"/>
  <c r="X58" i="17" a="1"/>
  <c r="X58" i="17" s="1"/>
  <c r="Y58" i="17" s="1"/>
  <c r="X24" i="17" a="1"/>
  <c r="X24" i="17" s="1"/>
  <c r="Y24" i="17" s="1"/>
  <c r="X20" i="17" a="1"/>
  <c r="X20" i="17" s="1"/>
  <c r="Y20" i="17" s="1"/>
  <c r="X46" i="17" a="1"/>
  <c r="X46" i="17" s="1"/>
  <c r="Y46" i="17" s="1"/>
  <c r="X16" i="17" a="1"/>
  <c r="X16" i="17" s="1"/>
  <c r="Y16" i="17" s="1"/>
  <c r="X54" i="17" a="1"/>
  <c r="X54" i="17" s="1"/>
  <c r="Y54" i="17" s="1"/>
  <c r="X12" i="17" a="1"/>
  <c r="X12" i="17" s="1"/>
  <c r="Y12" i="17" s="1"/>
  <c r="X8" i="17" a="1"/>
  <c r="X8" i="17" s="1"/>
  <c r="Y8" i="17" s="1"/>
  <c r="X44" i="17" a="1"/>
  <c r="X44" i="17" s="1"/>
  <c r="Y44" i="17" s="1"/>
  <c r="X4" i="17" a="1"/>
  <c r="X4" i="17" s="1"/>
  <c r="Y4" i="17" s="1"/>
  <c r="V75" i="17" a="1"/>
  <c r="V75" i="17" s="1"/>
  <c r="V43" i="17" a="1"/>
  <c r="V43" i="17" s="1"/>
  <c r="V39" i="17" a="1"/>
  <c r="V39" i="17" s="1"/>
  <c r="V61" i="17" a="1"/>
  <c r="V61" i="17" s="1"/>
  <c r="V35" i="17" a="1"/>
  <c r="V35" i="17" s="1"/>
  <c r="V73" i="17" a="1"/>
  <c r="V73" i="17" s="1"/>
  <c r="V31" i="17" a="1"/>
  <c r="V31" i="17" s="1"/>
  <c r="V27" i="17" a="1"/>
  <c r="V27" i="17" s="1"/>
  <c r="V67" i="17" a="1"/>
  <c r="V67" i="17" s="1"/>
  <c r="V57" i="17" a="1"/>
  <c r="V57" i="17" s="1"/>
  <c r="V23" i="17" a="1"/>
  <c r="V23" i="17" s="1"/>
  <c r="V71" i="17" a="1"/>
  <c r="V71" i="17" s="1"/>
  <c r="V19" i="17" a="1"/>
  <c r="V19" i="17" s="1"/>
  <c r="V15" i="17" a="1"/>
  <c r="V15" i="17" s="1"/>
  <c r="V53" i="17" a="1"/>
  <c r="V53" i="17" s="1"/>
  <c r="V11" i="17" a="1"/>
  <c r="V11" i="17" s="1"/>
  <c r="V69" i="17" a="1"/>
  <c r="V69" i="17" s="1"/>
  <c r="V7" i="17" a="1"/>
  <c r="V7" i="17" s="1"/>
  <c r="V3" i="17" a="1"/>
  <c r="V3" i="17" s="1"/>
  <c r="U63" i="17" a="1"/>
  <c r="U63" i="17" s="1"/>
  <c r="U41" i="17" a="1"/>
  <c r="U41" i="17" s="1"/>
  <c r="U74" i="17" a="1"/>
  <c r="U74" i="17" s="1"/>
  <c r="U37" i="17" a="1"/>
  <c r="U37" i="17" s="1"/>
  <c r="U33" i="17" a="1"/>
  <c r="U33" i="17" s="1"/>
  <c r="U59" i="17" a="1"/>
  <c r="U59" i="17" s="1"/>
  <c r="U29" i="17" a="1"/>
  <c r="U29" i="17" s="1"/>
  <c r="U72" i="17" a="1"/>
  <c r="U72" i="17" s="1"/>
  <c r="U65" i="17" a="1"/>
  <c r="U65" i="17" s="1"/>
  <c r="U25" i="17" a="1"/>
  <c r="U25" i="17" s="1"/>
  <c r="U21" i="17" a="1"/>
  <c r="U21" i="17" s="1"/>
  <c r="U55" i="17" a="1"/>
  <c r="U55" i="17" s="1"/>
  <c r="U17" i="17" a="1"/>
  <c r="U17" i="17" s="1"/>
  <c r="U70" i="17" a="1"/>
  <c r="U70" i="17" s="1"/>
  <c r="U13" i="17" a="1"/>
  <c r="U13" i="17" s="1"/>
  <c r="U9" i="17" a="1"/>
  <c r="U9" i="17" s="1"/>
  <c r="U51" i="17" a="1"/>
  <c r="U51" i="17" s="1"/>
  <c r="U5" i="17" a="1"/>
  <c r="U5" i="17" s="1"/>
  <c r="T75" i="17" a="1"/>
  <c r="T75" i="17" s="1"/>
  <c r="T43" i="17" a="1"/>
  <c r="T43" i="17" s="1"/>
  <c r="T39" i="17" a="1"/>
  <c r="T39" i="17" s="1"/>
  <c r="T61" i="17" a="1"/>
  <c r="T61" i="17" s="1"/>
  <c r="T35" i="17" a="1"/>
  <c r="T35" i="17" s="1"/>
  <c r="T31" i="17" a="1"/>
  <c r="T31" i="17" s="1"/>
  <c r="T58" i="17" a="1"/>
  <c r="T58" i="17" s="1"/>
  <c r="T51" i="17" a="1"/>
  <c r="T51" i="17" s="1"/>
  <c r="S66" i="17" a="1"/>
  <c r="S66" i="17" s="1"/>
  <c r="R71" i="17" a="1"/>
  <c r="R71" i="17" s="1"/>
  <c r="N35" i="17" a="1"/>
  <c r="N35" i="17" s="1"/>
  <c r="X67" i="17" a="1"/>
  <c r="X67" i="17" s="1"/>
  <c r="Y67" i="17" s="1"/>
  <c r="Q67" i="17" s="1"/>
  <c r="W67" i="17" s="1"/>
  <c r="X23" i="17" a="1"/>
  <c r="X23" i="17" s="1"/>
  <c r="Y23" i="17" s="1"/>
  <c r="X19" i="17" a="1"/>
  <c r="X19" i="17" s="1"/>
  <c r="Y19" i="17" s="1"/>
  <c r="X53" i="17" a="1"/>
  <c r="X53" i="17" s="1"/>
  <c r="Y53" i="17" s="1"/>
  <c r="X69" i="17" a="1"/>
  <c r="X69" i="17" s="1"/>
  <c r="Y69" i="17" s="1"/>
  <c r="X7" i="17" a="1"/>
  <c r="X7" i="17" s="1"/>
  <c r="Y7" i="17" s="1"/>
  <c r="Q7" i="17" s="1"/>
  <c r="W7" i="17" s="1"/>
  <c r="X3" i="17" a="1"/>
  <c r="X3" i="17" s="1"/>
  <c r="Y3" i="17" s="1"/>
  <c r="V64" i="17" a="1"/>
  <c r="V64" i="17" s="1"/>
  <c r="V42" i="17" a="1"/>
  <c r="V42" i="17" s="1"/>
  <c r="V38" i="17" a="1"/>
  <c r="V38" i="17" s="1"/>
  <c r="V49" i="17" a="1"/>
  <c r="V49" i="17" s="1"/>
  <c r="V34" i="17" a="1"/>
  <c r="V34" i="17" s="1"/>
  <c r="V60" i="17" a="1"/>
  <c r="V60" i="17" s="1"/>
  <c r="V30" i="17" a="1"/>
  <c r="V30" i="17" s="1"/>
  <c r="V26" i="17" a="1"/>
  <c r="V26" i="17" s="1"/>
  <c r="V66" i="17" a="1"/>
  <c r="V66" i="17" s="1"/>
  <c r="V47" i="17" a="1"/>
  <c r="V47" i="17" s="1"/>
  <c r="V22" i="17" a="1"/>
  <c r="V22" i="17" s="1"/>
  <c r="V56" i="17" a="1"/>
  <c r="V56" i="17" s="1"/>
  <c r="V18" i="17" a="1"/>
  <c r="V18" i="17" s="1"/>
  <c r="V14" i="17" a="1"/>
  <c r="V14" i="17" s="1"/>
  <c r="V45" i="17" a="1"/>
  <c r="V45" i="17" s="1"/>
  <c r="V10" i="17" a="1"/>
  <c r="V10" i="17" s="1"/>
  <c r="V52" i="17" a="1"/>
  <c r="V52" i="17" s="1"/>
  <c r="V6" i="17" a="1"/>
  <c r="V6" i="17" s="1"/>
  <c r="V2" i="17" a="1"/>
  <c r="V2" i="17" s="1"/>
  <c r="U50" i="17" a="1"/>
  <c r="U50" i="17" s="1"/>
  <c r="U40" i="17" a="1"/>
  <c r="U40" i="17" s="1"/>
  <c r="U62" i="17" a="1"/>
  <c r="U62" i="17" s="1"/>
  <c r="U36" i="17" a="1"/>
  <c r="U36" i="17" s="1"/>
  <c r="U32" i="17" a="1"/>
  <c r="U32" i="17" s="1"/>
  <c r="U48" i="17" a="1"/>
  <c r="U48" i="17" s="1"/>
  <c r="U28" i="17" a="1"/>
  <c r="U28" i="17" s="1"/>
  <c r="U68" i="17" a="1"/>
  <c r="U68" i="17" s="1"/>
  <c r="U58" i="17" a="1"/>
  <c r="U58" i="17" s="1"/>
  <c r="U24" i="17" a="1"/>
  <c r="U24" i="17" s="1"/>
  <c r="U20" i="17" a="1"/>
  <c r="U20" i="17" s="1"/>
  <c r="U46" i="17" a="1"/>
  <c r="U46" i="17" s="1"/>
  <c r="U16" i="17" a="1"/>
  <c r="U16" i="17" s="1"/>
  <c r="U54" i="17" a="1"/>
  <c r="U54" i="17" s="1"/>
  <c r="U12" i="17" a="1"/>
  <c r="U12" i="17" s="1"/>
  <c r="U8" i="17" a="1"/>
  <c r="U8" i="17" s="1"/>
  <c r="U44" i="17" a="1"/>
  <c r="U44" i="17" s="1"/>
  <c r="U4" i="17" a="1"/>
  <c r="U4" i="17" s="1"/>
  <c r="T64" i="17" a="1"/>
  <c r="T64" i="17" s="1"/>
  <c r="T42" i="17" a="1"/>
  <c r="T42" i="17" s="1"/>
  <c r="T38" i="17" a="1"/>
  <c r="T38" i="17" s="1"/>
  <c r="T49" i="17" a="1"/>
  <c r="T49" i="17" s="1"/>
  <c r="T33" i="17" a="1"/>
  <c r="T33" i="17" s="1"/>
  <c r="T29" i="17" a="1"/>
  <c r="T29" i="17" s="1"/>
  <c r="T24" i="17" a="1"/>
  <c r="T24" i="17" s="1"/>
  <c r="T14" i="17" a="1"/>
  <c r="T14" i="17" s="1"/>
  <c r="S64" i="17" a="1"/>
  <c r="S64" i="17" s="1"/>
  <c r="R61" i="17" a="1"/>
  <c r="R61" i="17" s="1"/>
  <c r="R54" i="17" a="1"/>
  <c r="R54" i="17" s="1"/>
  <c r="Q29" i="17"/>
  <c r="W29" i="17" s="1"/>
  <c r="Q21" i="17"/>
  <c r="W21" i="17" s="1"/>
  <c r="X57" i="17" a="1"/>
  <c r="X57" i="17" s="1"/>
  <c r="Y57" i="17" s="1"/>
  <c r="X71" i="17" a="1"/>
  <c r="X71" i="17" s="1"/>
  <c r="Y71" i="17" s="1"/>
  <c r="X15" i="17" a="1"/>
  <c r="X15" i="17" s="1"/>
  <c r="Y15" i="17" s="1"/>
  <c r="X11" i="17" a="1"/>
  <c r="X11" i="17" s="1"/>
  <c r="Y11" i="17" s="1"/>
  <c r="X50" i="17" a="1"/>
  <c r="X50" i="17" s="1"/>
  <c r="Y50" i="17" s="1"/>
  <c r="X41" i="17" a="1"/>
  <c r="X41" i="17" s="1"/>
  <c r="Y41" i="17" s="1"/>
  <c r="Q41" i="17" s="1"/>
  <c r="W41" i="17" s="1"/>
  <c r="X38" i="17" a="1"/>
  <c r="X38" i="17" s="1"/>
  <c r="Y38" i="17" s="1"/>
  <c r="X49" i="17" a="1"/>
  <c r="X49" i="17" s="1"/>
  <c r="Y49" i="17" s="1"/>
  <c r="X34" i="17" a="1"/>
  <c r="X34" i="17" s="1"/>
  <c r="Y34" i="17" s="1"/>
  <c r="X60" i="17" a="1"/>
  <c r="X60" i="17" s="1"/>
  <c r="Y60" i="17" s="1"/>
  <c r="X30" i="17" a="1"/>
  <c r="X30" i="17" s="1"/>
  <c r="Y30" i="17" s="1"/>
  <c r="X26" i="17" a="1"/>
  <c r="X26" i="17" s="1"/>
  <c r="Y26" i="17" s="1"/>
  <c r="X66" i="17" a="1"/>
  <c r="X66" i="17" s="1"/>
  <c r="Y66" i="17" s="1"/>
  <c r="Q66" i="17" s="1"/>
  <c r="W66" i="17" s="1"/>
  <c r="X47" i="17" a="1"/>
  <c r="X47" i="17" s="1"/>
  <c r="Y47" i="17" s="1"/>
  <c r="X22" i="17" a="1"/>
  <c r="X22" i="17" s="1"/>
  <c r="Y22" i="17" s="1"/>
  <c r="X56" i="17" a="1"/>
  <c r="X56" i="17" s="1"/>
  <c r="Y56" i="17" s="1"/>
  <c r="X18" i="17" a="1"/>
  <c r="X18" i="17" s="1"/>
  <c r="Y18" i="17" s="1"/>
  <c r="X14" i="17" a="1"/>
  <c r="X14" i="17" s="1"/>
  <c r="Y14" i="17" s="1"/>
  <c r="X45" i="17" a="1"/>
  <c r="X45" i="17" s="1"/>
  <c r="Y45" i="17" s="1"/>
  <c r="X10" i="17" a="1"/>
  <c r="X10" i="17" s="1"/>
  <c r="Y10" i="17" s="1"/>
  <c r="X52" i="17" a="1"/>
  <c r="X52" i="17" s="1"/>
  <c r="Y52" i="17" s="1"/>
  <c r="X6" i="17" a="1"/>
  <c r="X6" i="17" s="1"/>
  <c r="Y6" i="17" s="1"/>
  <c r="X2" i="17" a="1"/>
  <c r="X2" i="17" s="1"/>
  <c r="Y2" i="17" s="1"/>
  <c r="V63" i="17" a="1"/>
  <c r="V63" i="17" s="1"/>
  <c r="V41" i="17" a="1"/>
  <c r="V41" i="17" s="1"/>
  <c r="V74" i="17" a="1"/>
  <c r="V74" i="17" s="1"/>
  <c r="V37" i="17" a="1"/>
  <c r="V37" i="17" s="1"/>
  <c r="V33" i="17" a="1"/>
  <c r="V33" i="17" s="1"/>
  <c r="V59" i="17" a="1"/>
  <c r="V59" i="17" s="1"/>
  <c r="V29" i="17" a="1"/>
  <c r="V29" i="17" s="1"/>
  <c r="V72" i="17" a="1"/>
  <c r="V72" i="17" s="1"/>
  <c r="V65" i="17" a="1"/>
  <c r="V65" i="17" s="1"/>
  <c r="V25" i="17" a="1"/>
  <c r="V25" i="17" s="1"/>
  <c r="V21" i="17" a="1"/>
  <c r="V21" i="17" s="1"/>
  <c r="V55" i="17" a="1"/>
  <c r="V55" i="17" s="1"/>
  <c r="V17" i="17" a="1"/>
  <c r="V17" i="17" s="1"/>
  <c r="V70" i="17" a="1"/>
  <c r="V70" i="17" s="1"/>
  <c r="V13" i="17" a="1"/>
  <c r="V13" i="17" s="1"/>
  <c r="V9" i="17" a="1"/>
  <c r="V9" i="17" s="1"/>
  <c r="V51" i="17" a="1"/>
  <c r="V51" i="17" s="1"/>
  <c r="V5" i="17" a="1"/>
  <c r="V5" i="17" s="1"/>
  <c r="U75" i="17" a="1"/>
  <c r="U75" i="17" s="1"/>
  <c r="U43" i="17" a="1"/>
  <c r="U43" i="17" s="1"/>
  <c r="U39" i="17" a="1"/>
  <c r="U39" i="17" s="1"/>
  <c r="U61" i="17" a="1"/>
  <c r="U61" i="17" s="1"/>
  <c r="U35" i="17" a="1"/>
  <c r="U35" i="17" s="1"/>
  <c r="U73" i="17" a="1"/>
  <c r="U73" i="17" s="1"/>
  <c r="U31" i="17" a="1"/>
  <c r="U31" i="17" s="1"/>
  <c r="U27" i="17" a="1"/>
  <c r="U27" i="17" s="1"/>
  <c r="U67" i="17" a="1"/>
  <c r="U67" i="17" s="1"/>
  <c r="U57" i="17" a="1"/>
  <c r="U57" i="17" s="1"/>
  <c r="U23" i="17" a="1"/>
  <c r="U23" i="17" s="1"/>
  <c r="U71" i="17" a="1"/>
  <c r="U71" i="17" s="1"/>
  <c r="U19" i="17" a="1"/>
  <c r="U19" i="17" s="1"/>
  <c r="U15" i="17" a="1"/>
  <c r="U15" i="17" s="1"/>
  <c r="U53" i="17" a="1"/>
  <c r="U53" i="17" s="1"/>
  <c r="U11" i="17" a="1"/>
  <c r="U11" i="17" s="1"/>
  <c r="U69" i="17" a="1"/>
  <c r="U69" i="17" s="1"/>
  <c r="U7" i="17" a="1"/>
  <c r="U7" i="17" s="1"/>
  <c r="U3" i="17" a="1"/>
  <c r="U3" i="17" s="1"/>
  <c r="T63" i="17" a="1"/>
  <c r="T63" i="17" s="1"/>
  <c r="T41" i="17" a="1"/>
  <c r="T41" i="17" s="1"/>
  <c r="T74" i="17" a="1"/>
  <c r="T74" i="17" s="1"/>
  <c r="T37" i="17" a="1"/>
  <c r="T37" i="17" s="1"/>
  <c r="T73" i="17" a="1"/>
  <c r="T73" i="17" s="1"/>
  <c r="T26" i="17" a="1"/>
  <c r="T26" i="17" s="1"/>
  <c r="T21" i="17" a="1"/>
  <c r="T21" i="17" s="1"/>
  <c r="T53" i="17" a="1"/>
  <c r="T53" i="17" s="1"/>
  <c r="S70" i="17" a="1"/>
  <c r="S70" i="17" s="1"/>
  <c r="R48" i="17" a="1"/>
  <c r="R48" i="17" s="1"/>
  <c r="N9" i="17" a="1"/>
  <c r="N9" i="17" s="1"/>
  <c r="O9" i="17" a="1"/>
  <c r="O9" i="17" s="1"/>
  <c r="R9" i="17" a="1"/>
  <c r="R9" i="17" s="1"/>
  <c r="T9" i="17" a="1"/>
  <c r="T9" i="17" s="1"/>
  <c r="N51" i="17" a="1"/>
  <c r="N51" i="17" s="1"/>
  <c r="O51" i="17" a="1"/>
  <c r="O51" i="17" s="1"/>
  <c r="S51" i="17" a="1"/>
  <c r="S51" i="17" s="1"/>
  <c r="R51" i="17" a="1"/>
  <c r="R51" i="17" s="1"/>
  <c r="N4" i="17" a="1"/>
  <c r="N4" i="17" s="1"/>
  <c r="N8" i="17" a="1"/>
  <c r="N8" i="17" s="1"/>
  <c r="N54" i="17" a="1"/>
  <c r="N54" i="17" s="1"/>
  <c r="N46" i="17" a="1"/>
  <c r="N46" i="17" s="1"/>
  <c r="N24" i="17" a="1"/>
  <c r="N24" i="17" s="1"/>
  <c r="N68" i="17" a="1"/>
  <c r="N68" i="17" s="1"/>
  <c r="N48" i="17" a="1"/>
  <c r="N48" i="17" s="1"/>
  <c r="N36" i="17" a="1"/>
  <c r="N36" i="17" s="1"/>
  <c r="N40" i="17" a="1"/>
  <c r="N40" i="17" s="1"/>
  <c r="O2" i="17" a="1"/>
  <c r="O2" i="17" s="1"/>
  <c r="O7" i="17" a="1"/>
  <c r="O7" i="17" s="1"/>
  <c r="O52" i="17" a="1"/>
  <c r="O52" i="17" s="1"/>
  <c r="O11" i="17" a="1"/>
  <c r="O11" i="17" s="1"/>
  <c r="O45" i="17" a="1"/>
  <c r="O45" i="17" s="1"/>
  <c r="O15" i="17" a="1"/>
  <c r="O15" i="17" s="1"/>
  <c r="N2" i="17" a="1"/>
  <c r="N2" i="17" s="1"/>
  <c r="N7" i="17" a="1"/>
  <c r="N7" i="17" s="1"/>
  <c r="N52" i="17" a="1"/>
  <c r="N52" i="17" s="1"/>
  <c r="N11" i="17" a="1"/>
  <c r="N11" i="17" s="1"/>
  <c r="N45" i="17" a="1"/>
  <c r="N45" i="17" s="1"/>
  <c r="N15" i="17" a="1"/>
  <c r="N15" i="17" s="1"/>
  <c r="N18" i="17" a="1"/>
  <c r="N18" i="17" s="1"/>
  <c r="N71" i="17" a="1"/>
  <c r="N71" i="17" s="1"/>
  <c r="N22" i="17" a="1"/>
  <c r="N22" i="17" s="1"/>
  <c r="N57" i="17" a="1"/>
  <c r="N57" i="17" s="1"/>
  <c r="N66" i="17" a="1"/>
  <c r="N66" i="17" s="1"/>
  <c r="N27" i="17" a="1"/>
  <c r="N27" i="17" s="1"/>
  <c r="N30" i="17" a="1"/>
  <c r="N30" i="17" s="1"/>
  <c r="N73" i="17" a="1"/>
  <c r="N73" i="17" s="1"/>
  <c r="N34" i="17" a="1"/>
  <c r="N34" i="17" s="1"/>
  <c r="N61" i="17" a="1"/>
  <c r="N61" i="17" s="1"/>
  <c r="N38" i="17" a="1"/>
  <c r="N38" i="17" s="1"/>
  <c r="N5" i="17" a="1"/>
  <c r="N5" i="17" s="1"/>
  <c r="N44" i="17" a="1"/>
  <c r="N44" i="17" s="1"/>
  <c r="N12" i="17" a="1"/>
  <c r="N12" i="17" s="1"/>
  <c r="N16" i="17" a="1"/>
  <c r="N16" i="17" s="1"/>
  <c r="N20" i="17" a="1"/>
  <c r="N20" i="17" s="1"/>
  <c r="N58" i="17" a="1"/>
  <c r="N58" i="17" s="1"/>
  <c r="N28" i="17" a="1"/>
  <c r="N28" i="17" s="1"/>
  <c r="N32" i="17" a="1"/>
  <c r="N32" i="17" s="1"/>
  <c r="N62" i="17" a="1"/>
  <c r="N62" i="17" s="1"/>
  <c r="N50" i="17" a="1"/>
  <c r="N50" i="17" s="1"/>
  <c r="O3" i="17" a="1"/>
  <c r="O3" i="17" s="1"/>
  <c r="O6" i="17" a="1"/>
  <c r="O6" i="17" s="1"/>
  <c r="O69" i="17" a="1"/>
  <c r="O69" i="17" s="1"/>
  <c r="O10" i="17" a="1"/>
  <c r="O10" i="17" s="1"/>
  <c r="O53" i="17" a="1"/>
  <c r="O53" i="17" s="1"/>
  <c r="O14" i="17" a="1"/>
  <c r="O14" i="17" s="1"/>
  <c r="N53" i="17" a="1"/>
  <c r="N53" i="17" s="1"/>
  <c r="N56" i="17" a="1"/>
  <c r="N56" i="17" s="1"/>
  <c r="N31" i="17" a="1"/>
  <c r="N31" i="17" s="1"/>
  <c r="N49" i="17" a="1"/>
  <c r="N49" i="17" s="1"/>
  <c r="N42" i="17" a="1"/>
  <c r="N42" i="17" s="1"/>
  <c r="N75" i="17" a="1"/>
  <c r="N75" i="17" s="1"/>
  <c r="O8" i="17" a="1"/>
  <c r="O8" i="17" s="1"/>
  <c r="O18" i="17" a="1"/>
  <c r="O18" i="17" s="1"/>
  <c r="O22" i="17" a="1"/>
  <c r="O22" i="17" s="1"/>
  <c r="O66" i="17" a="1"/>
  <c r="O66" i="17" s="1"/>
  <c r="O30" i="17" a="1"/>
  <c r="O30" i="17" s="1"/>
  <c r="O34" i="17" a="1"/>
  <c r="O34" i="17" s="1"/>
  <c r="O38" i="17" a="1"/>
  <c r="O38" i="17" s="1"/>
  <c r="O64" i="17" a="1"/>
  <c r="O64" i="17" s="1"/>
  <c r="Q64" i="17" s="1"/>
  <c r="W64" i="17" s="1"/>
  <c r="N69" i="17" a="1"/>
  <c r="N69" i="17" s="1"/>
  <c r="N14" i="17" a="1"/>
  <c r="N14" i="17" s="1"/>
  <c r="N67" i="17" a="1"/>
  <c r="N67" i="17" s="1"/>
  <c r="N60" i="17" a="1"/>
  <c r="N60" i="17" s="1"/>
  <c r="N43" i="17" a="1"/>
  <c r="N43" i="17" s="1"/>
  <c r="O44" i="17" a="1"/>
  <c r="O44" i="17" s="1"/>
  <c r="O16" i="17" a="1"/>
  <c r="O16" i="17" s="1"/>
  <c r="O19" i="17" a="1"/>
  <c r="O19" i="17" s="1"/>
  <c r="O20" i="17" a="1"/>
  <c r="O20" i="17" s="1"/>
  <c r="O23" i="17" a="1"/>
  <c r="O23" i="17" s="1"/>
  <c r="O58" i="17" a="1"/>
  <c r="O58" i="17" s="1"/>
  <c r="O67" i="17" a="1"/>
  <c r="O67" i="17" s="1"/>
  <c r="O28" i="17" a="1"/>
  <c r="O28" i="17" s="1"/>
  <c r="O31" i="17" a="1"/>
  <c r="O31" i="17" s="1"/>
  <c r="Q31" i="17" s="1"/>
  <c r="W31" i="17" s="1"/>
  <c r="O32" i="17" a="1"/>
  <c r="O32" i="17" s="1"/>
  <c r="O35" i="17" a="1"/>
  <c r="O35" i="17" s="1"/>
  <c r="Q35" i="17" s="1"/>
  <c r="W35" i="17" s="1"/>
  <c r="N3" i="17" a="1"/>
  <c r="N3" i="17" s="1"/>
  <c r="N10" i="17" a="1"/>
  <c r="N10" i="17" s="1"/>
  <c r="N23" i="17" a="1"/>
  <c r="N23" i="17" s="1"/>
  <c r="N26" i="17" a="1"/>
  <c r="N26" i="17" s="1"/>
  <c r="N39" i="17" a="1"/>
  <c r="N39" i="17" s="1"/>
  <c r="O4" i="17" a="1"/>
  <c r="O4" i="17" s="1"/>
  <c r="O54" i="17" a="1"/>
  <c r="O54" i="17" s="1"/>
  <c r="O56" i="17" a="1"/>
  <c r="O56" i="17" s="1"/>
  <c r="O47" i="17" a="1"/>
  <c r="O47" i="17" s="1"/>
  <c r="O26" i="17" a="1"/>
  <c r="O26" i="17" s="1"/>
  <c r="O60" i="17" a="1"/>
  <c r="O60" i="17" s="1"/>
  <c r="O49" i="17" a="1"/>
  <c r="O49" i="17" s="1"/>
  <c r="O42" i="17" a="1"/>
  <c r="O42" i="17" s="1"/>
  <c r="Q42" i="17" s="1"/>
  <c r="W42" i="17" s="1"/>
  <c r="N19" i="17" a="1"/>
  <c r="N19" i="17" s="1"/>
  <c r="O12" i="17" a="1"/>
  <c r="O12" i="17" s="1"/>
  <c r="O71" i="17" a="1"/>
  <c r="O71" i="17" s="1"/>
  <c r="O48" i="17" a="1"/>
  <c r="O48" i="17" s="1"/>
  <c r="O39" i="17" a="1"/>
  <c r="O39" i="17" s="1"/>
  <c r="Q39" i="17" s="1"/>
  <c r="W39" i="17" s="1"/>
  <c r="O50" i="17" a="1"/>
  <c r="O50" i="17" s="1"/>
  <c r="R2" i="17" a="1"/>
  <c r="R2" i="17" s="1"/>
  <c r="R5" i="17" a="1"/>
  <c r="R5" i="17" s="1"/>
  <c r="R52" i="17" a="1"/>
  <c r="R52" i="17" s="1"/>
  <c r="R45" i="17" a="1"/>
  <c r="R45" i="17" s="1"/>
  <c r="R18" i="17" a="1"/>
  <c r="R18" i="17" s="1"/>
  <c r="R22" i="17" a="1"/>
  <c r="R22" i="17" s="1"/>
  <c r="R66" i="17" a="1"/>
  <c r="R66" i="17" s="1"/>
  <c r="R30" i="17" a="1"/>
  <c r="R30" i="17" s="1"/>
  <c r="R34" i="17" a="1"/>
  <c r="R34" i="17" s="1"/>
  <c r="R38" i="17" a="1"/>
  <c r="R38" i="17" s="1"/>
  <c r="R64" i="17" a="1"/>
  <c r="R64" i="17" s="1"/>
  <c r="S3" i="17" a="1"/>
  <c r="S3" i="17" s="1"/>
  <c r="S44" i="17" a="1"/>
  <c r="S44" i="17" s="1"/>
  <c r="S69" i="17" a="1"/>
  <c r="S69" i="17" s="1"/>
  <c r="S12" i="17" a="1"/>
  <c r="S12" i="17" s="1"/>
  <c r="S53" i="17" a="1"/>
  <c r="S53" i="17" s="1"/>
  <c r="S16" i="17" a="1"/>
  <c r="S16" i="17" s="1"/>
  <c r="S19" i="17" a="1"/>
  <c r="S19" i="17" s="1"/>
  <c r="S20" i="17" a="1"/>
  <c r="S20" i="17" s="1"/>
  <c r="S23" i="17" a="1"/>
  <c r="S23" i="17" s="1"/>
  <c r="S58" i="17" a="1"/>
  <c r="S58" i="17" s="1"/>
  <c r="S67" i="17" a="1"/>
  <c r="S67" i="17" s="1"/>
  <c r="S28" i="17" a="1"/>
  <c r="S28" i="17" s="1"/>
  <c r="S31" i="17" a="1"/>
  <c r="S31" i="17" s="1"/>
  <c r="S32" i="17" a="1"/>
  <c r="S32" i="17" s="1"/>
  <c r="S35" i="17" a="1"/>
  <c r="S35" i="17" s="1"/>
  <c r="S62" i="17" a="1"/>
  <c r="S62" i="17" s="1"/>
  <c r="S39" i="17" a="1"/>
  <c r="S39" i="17" s="1"/>
  <c r="S50" i="17" a="1"/>
  <c r="S50" i="17" s="1"/>
  <c r="S75" i="17" a="1"/>
  <c r="S75" i="17" s="1"/>
  <c r="T6" i="17" a="1"/>
  <c r="T6" i="17" s="1"/>
  <c r="N47" i="17" a="1"/>
  <c r="N47" i="17" s="1"/>
  <c r="N64" i="17" a="1"/>
  <c r="N64" i="17" s="1"/>
  <c r="O68" i="17" a="1"/>
  <c r="O68" i="17" s="1"/>
  <c r="O73" i="17" a="1"/>
  <c r="O73" i="17" s="1"/>
  <c r="Q73" i="17" s="1"/>
  <c r="W73" i="17" s="1"/>
  <c r="O61" i="17" a="1"/>
  <c r="O61" i="17" s="1"/>
  <c r="O40" i="17" a="1"/>
  <c r="O40" i="17" s="1"/>
  <c r="R3" i="17" a="1"/>
  <c r="R3" i="17" s="1"/>
  <c r="R44" i="17" a="1"/>
  <c r="R44" i="17" s="1"/>
  <c r="R69" i="17" a="1"/>
  <c r="R69" i="17" s="1"/>
  <c r="R12" i="17" a="1"/>
  <c r="R12" i="17" s="1"/>
  <c r="R53" i="17" a="1"/>
  <c r="R53" i="17" s="1"/>
  <c r="R16" i="17" a="1"/>
  <c r="R16" i="17" s="1"/>
  <c r="R19" i="17" a="1"/>
  <c r="R19" i="17" s="1"/>
  <c r="R20" i="17" a="1"/>
  <c r="R20" i="17" s="1"/>
  <c r="R23" i="17" a="1"/>
  <c r="R23" i="17" s="1"/>
  <c r="R58" i="17" a="1"/>
  <c r="R58" i="17" s="1"/>
  <c r="R67" i="17" a="1"/>
  <c r="R67" i="17" s="1"/>
  <c r="R28" i="17" a="1"/>
  <c r="R28" i="17" s="1"/>
  <c r="R31" i="17" a="1"/>
  <c r="R31" i="17" s="1"/>
  <c r="R32" i="17" a="1"/>
  <c r="R32" i="17" s="1"/>
  <c r="R35" i="17" a="1"/>
  <c r="R35" i="17" s="1"/>
  <c r="R62" i="17" a="1"/>
  <c r="R62" i="17" s="1"/>
  <c r="R39" i="17" a="1"/>
  <c r="R39" i="17" s="1"/>
  <c r="R50" i="17" a="1"/>
  <c r="R50" i="17" s="1"/>
  <c r="R75" i="17" a="1"/>
  <c r="R75" i="17" s="1"/>
  <c r="S6" i="17" a="1"/>
  <c r="S6" i="17" s="1"/>
  <c r="S10" i="17" a="1"/>
  <c r="S10" i="17" s="1"/>
  <c r="S14" i="17" a="1"/>
  <c r="S14" i="17" s="1"/>
  <c r="S56" i="17" a="1"/>
  <c r="S56" i="17" s="1"/>
  <c r="S47" i="17" a="1"/>
  <c r="S47" i="17" s="1"/>
  <c r="S26" i="17" a="1"/>
  <c r="S26" i="17" s="1"/>
  <c r="S60" i="17" a="1"/>
  <c r="S60" i="17" s="1"/>
  <c r="S49" i="17" a="1"/>
  <c r="S49" i="17" s="1"/>
  <c r="S42" i="17" a="1"/>
  <c r="S42" i="17" s="1"/>
  <c r="T4" i="17" a="1"/>
  <c r="T4" i="17" s="1"/>
  <c r="T7" i="17" a="1"/>
  <c r="T7" i="17" s="1"/>
  <c r="T8" i="17" a="1"/>
  <c r="T8" i="17" s="1"/>
  <c r="T11" i="17" a="1"/>
  <c r="T11" i="17" s="1"/>
  <c r="N6" i="17" a="1"/>
  <c r="N6" i="17" s="1"/>
  <c r="O5" i="17" a="1"/>
  <c r="O5" i="17" s="1"/>
  <c r="O24" i="17" a="1"/>
  <c r="O24" i="17" s="1"/>
  <c r="O27" i="17" a="1"/>
  <c r="O27" i="17" s="1"/>
  <c r="Q27" i="17" s="1"/>
  <c r="W27" i="17" s="1"/>
  <c r="O62" i="17" a="1"/>
  <c r="O62" i="17" s="1"/>
  <c r="O75" i="17" a="1"/>
  <c r="O75" i="17" s="1"/>
  <c r="Q75" i="17" s="1"/>
  <c r="W75" i="17" s="1"/>
  <c r="R6" i="17" a="1"/>
  <c r="R6" i="17" s="1"/>
  <c r="R10" i="17" a="1"/>
  <c r="R10" i="17" s="1"/>
  <c r="R14" i="17" a="1"/>
  <c r="R14" i="17" s="1"/>
  <c r="R56" i="17" a="1"/>
  <c r="R56" i="17" s="1"/>
  <c r="R47" i="17" a="1"/>
  <c r="R47" i="17" s="1"/>
  <c r="R26" i="17" a="1"/>
  <c r="R26" i="17" s="1"/>
  <c r="R60" i="17" a="1"/>
  <c r="R60" i="17" s="1"/>
  <c r="R49" i="17" a="1"/>
  <c r="R49" i="17" s="1"/>
  <c r="R42" i="17" a="1"/>
  <c r="R42" i="17" s="1"/>
  <c r="S4" i="17" a="1"/>
  <c r="S4" i="17" s="1"/>
  <c r="S7" i="17" a="1"/>
  <c r="S7" i="17" s="1"/>
  <c r="S8" i="17" a="1"/>
  <c r="S8" i="17" s="1"/>
  <c r="S11" i="17" a="1"/>
  <c r="S11" i="17" s="1"/>
  <c r="S54" i="17" a="1"/>
  <c r="S54" i="17" s="1"/>
  <c r="S15" i="17" a="1"/>
  <c r="S15" i="17" s="1"/>
  <c r="S46" i="17" a="1"/>
  <c r="S46" i="17" s="1"/>
  <c r="S71" i="17" a="1"/>
  <c r="S71" i="17" s="1"/>
  <c r="S24" i="17" a="1"/>
  <c r="S24" i="17" s="1"/>
  <c r="S57" i="17" a="1"/>
  <c r="S57" i="17" s="1"/>
  <c r="S68" i="17" a="1"/>
  <c r="S68" i="17" s="1"/>
  <c r="S27" i="17" a="1"/>
  <c r="S27" i="17" s="1"/>
  <c r="S48" i="17" a="1"/>
  <c r="S48" i="17" s="1"/>
  <c r="S73" i="17" a="1"/>
  <c r="S73" i="17" s="1"/>
  <c r="S36" i="17" a="1"/>
  <c r="S36" i="17" s="1"/>
  <c r="S61" i="17" a="1"/>
  <c r="S61" i="17" s="1"/>
  <c r="S40" i="17" a="1"/>
  <c r="S40" i="17" s="1"/>
  <c r="S43" i="17" a="1"/>
  <c r="S43" i="17" s="1"/>
  <c r="T2" i="17" a="1"/>
  <c r="T2" i="17" s="1"/>
  <c r="T5" i="17" a="1"/>
  <c r="T5" i="17" s="1"/>
  <c r="T52" i="17" a="1"/>
  <c r="T52" i="17" s="1"/>
  <c r="T45" i="17" a="1"/>
  <c r="T45" i="17" s="1"/>
  <c r="T18" i="17" a="1"/>
  <c r="T18" i="17" s="1"/>
  <c r="T22" i="17" a="1"/>
  <c r="T22" i="17" s="1"/>
  <c r="T66" i="17" a="1"/>
  <c r="T66" i="17" s="1"/>
  <c r="T28" i="17" a="1"/>
  <c r="T28" i="17" s="1"/>
  <c r="T67" i="17" a="1"/>
  <c r="T67" i="17" s="1"/>
  <c r="T57" i="17" a="1"/>
  <c r="T57" i="17" s="1"/>
  <c r="T20" i="17" a="1"/>
  <c r="T20" i="17" s="1"/>
  <c r="T46" i="17" a="1"/>
  <c r="T46" i="17" s="1"/>
  <c r="T44" i="17" a="1"/>
  <c r="T44" i="17" s="1"/>
  <c r="S30" i="17" a="1"/>
  <c r="S30" i="17" s="1"/>
  <c r="S45" i="17" a="1"/>
  <c r="S45" i="17" s="1"/>
  <c r="R43" i="17" a="1"/>
  <c r="R43" i="17" s="1"/>
  <c r="R36" i="17" a="1"/>
  <c r="R36" i="17" s="1"/>
  <c r="R57" i="17" a="1"/>
  <c r="R57" i="17" s="1"/>
  <c r="R46" i="17" a="1"/>
  <c r="R46" i="17" s="1"/>
  <c r="R7" i="17" a="1"/>
  <c r="R7" i="17" s="1"/>
  <c r="O43" i="17" a="1"/>
  <c r="O43" i="17" s="1"/>
  <c r="Q43" i="17" s="1"/>
  <c r="W43" i="17" s="1"/>
  <c r="O57" i="17" a="1"/>
  <c r="O57" i="17" s="1"/>
  <c r="T34" i="17" a="1"/>
  <c r="T34" i="17" s="1"/>
  <c r="T32" i="17" a="1"/>
  <c r="T32" i="17" s="1"/>
  <c r="T60" i="17" a="1"/>
  <c r="T60" i="17" s="1"/>
  <c r="T48" i="17" a="1"/>
  <c r="T48" i="17" s="1"/>
  <c r="T30" i="17" a="1"/>
  <c r="T30" i="17" s="1"/>
  <c r="T47" i="17" a="1"/>
  <c r="T47" i="17" s="1"/>
  <c r="T23" i="17" a="1"/>
  <c r="T23" i="17" s="1"/>
  <c r="T71" i="17" a="1"/>
  <c r="T71" i="17" s="1"/>
  <c r="T16" i="17" a="1"/>
  <c r="T16" i="17" s="1"/>
  <c r="T54" i="17" a="1"/>
  <c r="T54" i="17" s="1"/>
  <c r="S34" i="17" a="1"/>
  <c r="S34" i="17" s="1"/>
  <c r="S18" i="17" a="1"/>
  <c r="S18" i="17" s="1"/>
  <c r="S5" i="17" a="1"/>
  <c r="S5" i="17" s="1"/>
  <c r="R40" i="17" a="1"/>
  <c r="R40" i="17" s="1"/>
  <c r="R27" i="17" a="1"/>
  <c r="R27" i="17" s="1"/>
  <c r="R24" i="17" a="1"/>
  <c r="R24" i="17" s="1"/>
  <c r="R11" i="17" a="1"/>
  <c r="R11" i="17" s="1"/>
  <c r="R4" i="17" a="1"/>
  <c r="R4" i="17" s="1"/>
  <c r="O46" i="17" a="1"/>
  <c r="O46" i="17" s="1"/>
  <c r="T27" i="17" a="1"/>
  <c r="T27" i="17" s="1"/>
  <c r="T68" i="17" a="1"/>
  <c r="T68" i="17" s="1"/>
  <c r="T56" i="17" a="1"/>
  <c r="T56" i="17" s="1"/>
  <c r="T19" i="17" a="1"/>
  <c r="T19" i="17" s="1"/>
  <c r="T15" i="17" a="1"/>
  <c r="T15" i="17" s="1"/>
  <c r="T12" i="17" a="1"/>
  <c r="T12" i="17" s="1"/>
  <c r="T69" i="17" a="1"/>
  <c r="T69" i="17" s="1"/>
  <c r="T3" i="17" a="1"/>
  <c r="T3" i="17" s="1"/>
  <c r="S38" i="17" a="1"/>
  <c r="S38" i="17" s="1"/>
  <c r="S22" i="17" a="1"/>
  <c r="S22" i="17" s="1"/>
  <c r="S9" i="17" a="1"/>
  <c r="S9" i="17" s="1"/>
  <c r="S2" i="17" a="1"/>
  <c r="S2" i="17" s="1"/>
  <c r="R73" i="17" a="1"/>
  <c r="R73" i="17" s="1"/>
  <c r="R68" i="17" a="1"/>
  <c r="R68" i="17" s="1"/>
  <c r="R15" i="17" a="1"/>
  <c r="R15" i="17" s="1"/>
  <c r="R8" i="17" a="1"/>
  <c r="R8" i="17" s="1"/>
  <c r="O36" i="17" a="1"/>
  <c r="O36" i="17" s="1"/>
  <c r="Q52" i="17" l="1"/>
  <c r="W52" i="17" s="1"/>
  <c r="Q51" i="17"/>
  <c r="W51" i="17" s="1"/>
  <c r="Q13" i="17"/>
  <c r="W13" i="17" s="1"/>
  <c r="Q72" i="17"/>
  <c r="W72" i="17" s="1"/>
  <c r="Q30" i="17"/>
  <c r="W30" i="17" s="1"/>
  <c r="Q37" i="17"/>
  <c r="W37" i="17" s="1"/>
  <c r="Q55" i="17"/>
  <c r="W55" i="17" s="1"/>
  <c r="Q23" i="17"/>
  <c r="W23" i="17" s="1"/>
  <c r="Q26" i="17"/>
  <c r="W26" i="17" s="1"/>
  <c r="Q54" i="17"/>
  <c r="W54" i="17" s="1"/>
  <c r="Q57" i="17"/>
  <c r="W57" i="17" s="1"/>
  <c r="Q61" i="17"/>
  <c r="W61" i="17" s="1"/>
  <c r="Q2" i="17"/>
  <c r="W2" i="17" s="1"/>
  <c r="Q22" i="17"/>
  <c r="W22" i="17" s="1"/>
  <c r="Q38" i="17"/>
  <c r="W38" i="17" s="1"/>
  <c r="Q8" i="17"/>
  <c r="W8" i="17" s="1"/>
  <c r="Q56" i="17"/>
  <c r="W56" i="17" s="1"/>
  <c r="Q46" i="17"/>
  <c r="W46" i="17" s="1"/>
  <c r="Q36" i="17"/>
  <c r="W36" i="17" s="1"/>
  <c r="Q10" i="17"/>
  <c r="W10" i="17" s="1"/>
  <c r="Q49" i="17"/>
  <c r="W49" i="17" s="1"/>
  <c r="Q45" i="17"/>
  <c r="W45" i="17" s="1"/>
  <c r="Q11" i="17"/>
  <c r="W11" i="17" s="1"/>
  <c r="Q69" i="17"/>
  <c r="W69" i="17" s="1"/>
  <c r="Q12" i="17"/>
  <c r="W12" i="17" s="1"/>
  <c r="Q20" i="17"/>
  <c r="W20" i="17" s="1"/>
  <c r="Q28" i="17"/>
  <c r="W28" i="17" s="1"/>
  <c r="Q62" i="17"/>
  <c r="W62" i="17" s="1"/>
  <c r="Q5" i="17"/>
  <c r="W5" i="17" s="1"/>
  <c r="Q25" i="17"/>
  <c r="W25" i="17" s="1"/>
  <c r="Q6" i="17"/>
  <c r="W6" i="17" s="1"/>
  <c r="Q14" i="17"/>
  <c r="W14" i="17" s="1"/>
  <c r="Q47" i="17"/>
  <c r="W47" i="17" s="1"/>
  <c r="Q60" i="17"/>
  <c r="W60" i="17" s="1"/>
  <c r="Q15" i="17"/>
  <c r="W15" i="17" s="1"/>
  <c r="Q53" i="17"/>
  <c r="W53" i="17" s="1"/>
  <c r="Q4" i="17"/>
  <c r="W4" i="17" s="1"/>
  <c r="Q24" i="17"/>
  <c r="W24" i="17" s="1"/>
  <c r="Q48" i="17"/>
  <c r="W48" i="17" s="1"/>
  <c r="Q40" i="17"/>
  <c r="W40" i="17" s="1"/>
  <c r="Q18" i="17"/>
  <c r="W18" i="17" s="1"/>
  <c r="Q34" i="17"/>
  <c r="W34" i="17" s="1"/>
  <c r="Q50" i="17"/>
  <c r="W50" i="17" s="1"/>
  <c r="Q71" i="17"/>
  <c r="W71" i="17" s="1"/>
  <c r="Q3" i="17"/>
  <c r="W3" i="17" s="1"/>
  <c r="Q19" i="17"/>
  <c r="W19" i="17" s="1"/>
  <c r="Q44" i="17"/>
  <c r="W44" i="17" s="1"/>
  <c r="Q16" i="17"/>
  <c r="W16" i="17" s="1"/>
  <c r="Q58" i="17"/>
  <c r="W58" i="17" s="1"/>
  <c r="Q32" i="17"/>
  <c r="W32" i="17" s="1"/>
  <c r="Q9" i="17"/>
  <c r="W9" i="17" s="1"/>
  <c r="Q59" i="17"/>
  <c r="W5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21 fallos piezas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<sst xmlns="http://schemas.openxmlformats.org/spreadsheetml/2006/main" count="1787" uniqueCount="121">
  <si>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</si>
  <si>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</si>
  <si>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</si>
  <si>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</si>
  <si>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</si>
  <si>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</si>
  <si>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</si>
  <si>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</si>
  <si>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</si>
  <si>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</si>
  <si>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</si>
  <si>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</si>
  <si>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</si>
  <si>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</si>
  <si>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</si>
  <si>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</si>
  <si>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</si>
  <si>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</si>
  <si>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</si>
  <si>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</si>
  <si>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</si>
  <si>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</si>
  <si>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</si>
  <si>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</si>
  <si>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</si>
  <si>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</si>
  <si>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</si>
  <si>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</si>
  <si>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</si>
  <si>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</si>
  <si>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</si>
  <si>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</si>
  <si>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</si>
  <si>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</si>
  <si>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</si>
  <si>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</si>
  <si>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</si>
  <si>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</si>
  <si>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</si>
  <si>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</si>
  <si>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</si>
  <si>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</si>
  <si>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</si>
  <si>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</si>
  <si>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</si>
  <si>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</si>
  <si>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</si>
  <si>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</si>
  <si>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</si>
  <si>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</si>
  <si>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</si>
  <si>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</si>
  <si>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</si>
  <si>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</si>
  <si>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</si>
  <si>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</si>
  <si>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</si>
  <si>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</si>
  <si>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</si>
  <si>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</si>
  <si>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</si>
  <si>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</si>
  <si>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</si>
  <si>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</si>
  <si>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</si>
  <si>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</si>
  <si>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</si>
  <si>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</si>
  <si>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Escenario A</t>
  </si>
  <si>
    <t>Model1.p</t>
  </si>
  <si>
    <t>2025-05-22 11:03:52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</si>
  <si>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</si>
  <si>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</si>
  <si>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</si>
  <si>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</si>
  <si>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</si>
  <si>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</si>
  <si>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</si>
  <si>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</si>
  <si>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Ocupar enfermea.Queue</t>
  </si>
  <si>
    <t>Waiting Time</t>
  </si>
  <si>
    <t>Queue</t>
  </si>
  <si>
    <t>Process 1</t>
  </si>
  <si>
    <t>Total Time Per Entity</t>
  </si>
  <si>
    <t>Process</t>
  </si>
  <si>
    <t>VA Time Per Entity</t>
  </si>
  <si>
    <t>TiempoSistema</t>
  </si>
  <si>
    <t>Interval</t>
  </si>
  <si>
    <t>User Specified</t>
  </si>
  <si>
    <t>Seguimiemto</t>
  </si>
  <si>
    <t>Wait Time Per Entity</t>
  </si>
  <si>
    <t>Seguimiemto.Queue</t>
  </si>
  <si>
    <t>WIP</t>
  </si>
  <si>
    <t>Number Waiting</t>
  </si>
  <si>
    <t>rEnfermera</t>
  </si>
  <si>
    <t>Instantaneous Utilization</t>
  </si>
  <si>
    <t>Resource</t>
  </si>
  <si>
    <t>Number Busy</t>
  </si>
  <si>
    <t>Number Scheduled</t>
  </si>
  <si>
    <t>rSeguimiento</t>
  </si>
  <si>
    <t>Entity 1.NumberIn</t>
  </si>
  <si>
    <t>Number In</t>
  </si>
  <si>
    <t>Entity 1.NumberOut</t>
  </si>
  <si>
    <t>Number Out</t>
  </si>
  <si>
    <t>Process 1 Accum VA Time</t>
  </si>
  <si>
    <t>Accum VA Time</t>
  </si>
  <si>
    <t>Process 1 Number In</t>
  </si>
  <si>
    <t>Process 1 Number Out</t>
  </si>
  <si>
    <t>Seguimiemto Accum VA Time</t>
  </si>
  <si>
    <t>Seguimiemto Accum Wait Time</t>
  </si>
  <si>
    <t>Accum Wait Time</t>
  </si>
  <si>
    <t>Seguimiemto Number In</t>
  </si>
  <si>
    <t>Seguimiemto Number Out</t>
  </si>
  <si>
    <t>System.NumberOut</t>
  </si>
  <si>
    <t>System</t>
  </si>
  <si>
    <t>rEnfermera.NumberSeized</t>
  </si>
  <si>
    <t>Total Number Seized</t>
  </si>
  <si>
    <t>rEnfermera.ScheduledUtilization</t>
  </si>
  <si>
    <t>Scheduled Utilization</t>
  </si>
  <si>
    <t>rSeguimiento.NumberSeized</t>
  </si>
  <si>
    <t>rSeguimiento.ScheduledUtilization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</si>
</sst>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6128368055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61284027777" createdVersion="7" refreshedVersion="8" minRefreshableVersion="3" recordCount="74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4">
        <s v="Entity 1"/>
        <s v="Ocupar enfermea.Queue"/>
        <s v="Process 1"/>
        <s v="Seguimiemto"/>
        <s v="Seguimiemto.Queue"/>
        <s v="TiempoSistema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s v="Total Time Per Entity"/>
        <s v="VA Time Per Entity"/>
        <s v="Wait Time Per Entity"/>
        <s v="Interval"/>
        <m u="1"/>
      </sharedItems>
    </cacheField>
    <cacheField name="Source" numFmtId="0">
      <sharedItems containsBlank="1" count="5">
        <s v="Entity"/>
        <s v="Queue"/>
        <s v="Process"/>
        <s v="User Specified"/>
        <m u="1"/>
      </sharedItems>
    </cacheField>
    <cacheField name="Average" numFmtId="0">
      <sharedItems containsSemiMixedTypes="0" containsString="0" containsNumber="1" minValue="0" maxValue="1.29668472254399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2966847225439999"/>
    </cacheField>
    <cacheField name="Maximum" numFmtId="0">
      <sharedItems containsSemiMixedTypes="0" containsString="0" containsNumber="1" minValue="0" maxValue="1.4482512660618201"/>
    </cacheField>
    <cacheField name="NumberObservations" numFmtId="0">
      <sharedItems containsSemiMixedTypes="0" containsString="0" containsNumber="1" containsInteger="1" minValue="1" maxValue="3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.1549560362247422"/>
    </cacheField>
    <cacheField name="StDevOfAverage" numFmtId="0">
      <sharedItems containsSemiMixedTypes="0" containsString="0" containsNumber="1" minValue="0" maxValue="0.198950048139125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E+20"/>
    </cacheField>
    <cacheField name="MinimumAverage" numFmtId="0">
      <sharedItems containsSemiMixedTypes="0" containsString="0" containsNumber="1" minValue="0" maxValue="0.90670050851207395"/>
    </cacheField>
    <cacheField name="MaximumAverage" numFmtId="0">
      <sharedItems containsSemiMixedTypes="0" containsString="0" containsNumber="1" minValue="0" maxValue="1.2966847225439999"/>
    </cacheField>
    <cacheField name="OverallMinimum" numFmtId="0">
      <sharedItems containsSemiMixedTypes="0" containsString="0" containsNumber="1" minValue="0" maxValue="0.90670050851207395"/>
    </cacheField>
    <cacheField name="OverallMaximum" numFmtId="0">
      <sharedItems containsSemiMixedTypes="0" containsString="0" containsNumber="1" minValue="0" maxValue="1.4482512660618201"/>
    </cacheField>
    <cacheField name="AverageNumberObservations" numFmtId="0">
      <sharedItems containsSemiMixedTypes="0" containsString="0" containsNumber="1" minValue="1" maxValue="1.8571428571428572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7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61284606485" createdVersion="7" refreshedVersion="8" minRefreshableVersion="3" recordCount="14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0">
        <s v="Entity 1.NumberIn"/>
        <s v="Entity 1.NumberOut"/>
        <s v="Process 1 Accum VA Time"/>
        <s v="Process 1 Number In"/>
        <s v="Process 1 Number Out"/>
        <s v="Seguimiemto Accum VA Time"/>
        <s v="Seguimiemto Accum Wait Time"/>
        <s v="Seguimiemto Number In"/>
        <s v="Seguimiemto Number Out"/>
        <s v="System.NumberOut"/>
        <s v="rEnfermera.NumberSeized"/>
        <s v="rEnfermera.ScheduledUtilization"/>
        <s v="rSeguimiento.NumberSeized"/>
        <s v="rSeguimiento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" maxValue="3.794048422542419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" maxValue="1.3"/>
    </cacheField>
    <cacheField name="StandardDeviation" numFmtId="0">
      <sharedItems containsSemiMixedTypes="0" containsString="0" containsNumber="1" minValue="0" maxValue="1.280501322662893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1601546427147096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3.79404842254241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6128506944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461285763886" createdVersion="7" refreshedVersion="8" minRefreshableVersion="3" recordCount="9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Escenario A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28">
        <s v="Entity 1"/>
        <s v="Ocupar enfermea.Queue"/>
        <s v="Seguimiemto.Queue"/>
        <s v="rEnfermera"/>
        <s v="rSeguimient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2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"/>
    </cacheField>
    <cacheField name="StDevOfAverage" numFmtId="0">
      <sharedItems containsSemiMixedTypes="0" containsString="0" containsNumber="1" minValue="0" maxValue="0.1561427904259117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1169782344870617"/>
    </cacheField>
    <cacheField name="MinimumAverage" numFmtId="0">
      <sharedItems containsSemiMixedTypes="0" containsString="0" containsNumber="1" containsInteger="1" minValue="0" maxValue="1"/>
    </cacheField>
    <cacheField name="MaximumAverage" numFmtId="0">
      <sharedItems containsSemiMixedTypes="0" containsString="0" containsNumber="1" minValue="0" maxValue="1"/>
    </cacheField>
    <cacheField name="SummaryHalfWidth" numFmtId="0">
      <sharedItems containsSemiMixedTypes="0" containsString="0" containsNumber="1" minValue="0" maxValue="0.111697823448706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s v="2025-05-22 11:03:52"/>
    <n v="1"/>
    <x v="0"/>
    <x v="0"/>
    <x v="0"/>
    <n v="0"/>
    <n v="2E+20"/>
    <n v="0"/>
    <n v="0"/>
    <n v="3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"/>
    <x v="0"/>
    <x v="1"/>
    <x v="0"/>
    <n v="0.31476749836679901"/>
    <n v="2E+20"/>
    <n v="0.30540879469462401"/>
    <n v="0.32384291309847901"/>
    <n v="3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1"/>
    <x v="0"/>
    <x v="2"/>
    <x v="0"/>
    <n v="1.1982488653007599"/>
    <n v="2E+20"/>
    <n v="1.16793665926422"/>
    <n v="1.2389124258359101"/>
    <n v="3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1"/>
    <x v="0"/>
    <x v="3"/>
    <x v="0"/>
    <n v="0"/>
    <n v="2E+20"/>
    <n v="0"/>
    <n v="0"/>
    <n v="3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"/>
    <x v="0"/>
    <x v="4"/>
    <x v="0"/>
    <n v="0.88348136693396495"/>
    <n v="2E+20"/>
    <n v="0.84409374616574295"/>
    <n v="0.92386163852861503"/>
    <n v="3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1"/>
    <x v="0"/>
    <x v="5"/>
    <x v="0"/>
    <n v="0"/>
    <n v="2E+20"/>
    <n v="0"/>
    <n v="0"/>
    <n v="3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2"/>
    <x v="0"/>
    <x v="0"/>
    <x v="0"/>
    <n v="0"/>
    <n v="2E+20"/>
    <n v="0"/>
    <n v="0"/>
    <n v="2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2"/>
    <x v="0"/>
    <x v="1"/>
    <x v="0"/>
    <n v="0.29563517302185399"/>
    <n v="2E+20"/>
    <n v="0.29156027015187802"/>
    <n v="0.29971007589182902"/>
    <n v="2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2"/>
    <x v="0"/>
    <x v="2"/>
    <x v="0"/>
    <n v="1.2349223120231101"/>
    <n v="2E+20"/>
    <n v="1.02539936308283"/>
    <n v="1.44444526096339"/>
    <n v="2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2"/>
    <x v="0"/>
    <x v="3"/>
    <x v="0"/>
    <n v="0"/>
    <n v="2E+20"/>
    <n v="0"/>
    <n v="0"/>
    <n v="2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2"/>
    <x v="0"/>
    <x v="4"/>
    <x v="0"/>
    <n v="0.93928713900125504"/>
    <n v="2E+20"/>
    <n v="0.72568928719099701"/>
    <n v="1.15288499081151"/>
    <n v="2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2"/>
    <x v="0"/>
    <x v="5"/>
    <x v="0"/>
    <n v="0"/>
    <n v="2E+20"/>
    <n v="0"/>
    <n v="0"/>
    <n v="2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3"/>
    <x v="0"/>
    <x v="0"/>
    <x v="0"/>
    <n v="0"/>
    <n v="2E+20"/>
    <n v="0"/>
    <n v="0"/>
    <n v="1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3"/>
    <x v="0"/>
    <x v="1"/>
    <x v="0"/>
    <n v="0.29205643334124298"/>
    <n v="2E+20"/>
    <n v="0.29205643334124298"/>
    <n v="0.29205643334124298"/>
    <n v="1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3"/>
    <x v="0"/>
    <x v="2"/>
    <x v="0"/>
    <n v="1.0453723319117101"/>
    <n v="2E+20"/>
    <n v="1.0453723319117101"/>
    <n v="1.0453723319117101"/>
    <n v="1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3"/>
    <x v="0"/>
    <x v="3"/>
    <x v="0"/>
    <n v="0"/>
    <n v="2E+20"/>
    <n v="0"/>
    <n v="0"/>
    <n v="1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3"/>
    <x v="0"/>
    <x v="4"/>
    <x v="0"/>
    <n v="0.75331589857046299"/>
    <n v="2E+20"/>
    <n v="0.75331589857046299"/>
    <n v="0.75331589857046299"/>
    <n v="1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3"/>
    <x v="0"/>
    <x v="5"/>
    <x v="0"/>
    <n v="0"/>
    <n v="2E+20"/>
    <n v="0"/>
    <n v="0"/>
    <n v="1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4"/>
    <x v="0"/>
    <x v="0"/>
    <x v="0"/>
    <n v="0"/>
    <n v="2E+20"/>
    <n v="0"/>
    <n v="0"/>
    <n v="1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4"/>
    <x v="0"/>
    <x v="1"/>
    <x v="0"/>
    <n v="0.31219084696633498"/>
    <n v="2E+20"/>
    <n v="0.31219084696633498"/>
    <n v="0.31219084696633498"/>
    <n v="1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4"/>
    <x v="0"/>
    <x v="2"/>
    <x v="0"/>
    <n v="1.2966847225439999"/>
    <n v="2E+20"/>
    <n v="1.2966847225439999"/>
    <n v="1.2966847225439999"/>
    <n v="1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4"/>
    <x v="0"/>
    <x v="3"/>
    <x v="0"/>
    <n v="0"/>
    <n v="2E+20"/>
    <n v="0"/>
    <n v="0"/>
    <n v="1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4"/>
    <x v="0"/>
    <x v="4"/>
    <x v="0"/>
    <n v="0.98449387557766699"/>
    <n v="2E+20"/>
    <n v="0.98449387557766699"/>
    <n v="0.98449387557766699"/>
    <n v="1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4"/>
    <x v="0"/>
    <x v="5"/>
    <x v="0"/>
    <n v="0"/>
    <n v="2E+20"/>
    <n v="0"/>
    <n v="0"/>
    <n v="1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7"/>
    <x v="0"/>
    <x v="0"/>
    <x v="0"/>
    <n v="0"/>
    <n v="2E+20"/>
    <n v="0"/>
    <n v="0"/>
    <n v="1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7"/>
    <x v="0"/>
    <x v="1"/>
    <x v="0"/>
    <n v="0.28120841699082899"/>
    <n v="2E+20"/>
    <n v="0.28120841699082899"/>
    <n v="0.28120841699082899"/>
    <n v="1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7"/>
    <x v="0"/>
    <x v="2"/>
    <x v="0"/>
    <n v="0.90670050851207395"/>
    <n v="2E+20"/>
    <n v="0.90670050851207395"/>
    <n v="0.90670050851207395"/>
    <n v="1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7"/>
    <x v="0"/>
    <x v="3"/>
    <x v="0"/>
    <n v="0"/>
    <n v="2E+20"/>
    <n v="0"/>
    <n v="0"/>
    <n v="1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7"/>
    <x v="0"/>
    <x v="4"/>
    <x v="0"/>
    <n v="0.62549209152124496"/>
    <n v="2E+20"/>
    <n v="0.62549209152124496"/>
    <n v="0.62549209152124496"/>
    <n v="1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7"/>
    <x v="0"/>
    <x v="5"/>
    <x v="0"/>
    <n v="0"/>
    <n v="2E+20"/>
    <n v="0"/>
    <n v="0"/>
    <n v="1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8"/>
    <x v="0"/>
    <x v="0"/>
    <x v="0"/>
    <n v="0"/>
    <n v="2E+20"/>
    <n v="0"/>
    <n v="0"/>
    <n v="1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8"/>
    <x v="0"/>
    <x v="1"/>
    <x v="0"/>
    <n v="0.27789899851861599"/>
    <n v="2E+20"/>
    <n v="0.27789899851861599"/>
    <n v="0.27789899851861599"/>
    <n v="1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8"/>
    <x v="0"/>
    <x v="2"/>
    <x v="0"/>
    <n v="1.12803841514036"/>
    <n v="2E+20"/>
    <n v="1.12803841514036"/>
    <n v="1.12803841514036"/>
    <n v="1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8"/>
    <x v="0"/>
    <x v="3"/>
    <x v="0"/>
    <n v="0"/>
    <n v="2E+20"/>
    <n v="0"/>
    <n v="0"/>
    <n v="1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8"/>
    <x v="0"/>
    <x v="4"/>
    <x v="0"/>
    <n v="0.85013941662174697"/>
    <n v="2E+20"/>
    <n v="0.85013941662174697"/>
    <n v="0.85013941662174697"/>
    <n v="1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8"/>
    <x v="0"/>
    <x v="5"/>
    <x v="0"/>
    <n v="0"/>
    <n v="2E+20"/>
    <n v="0"/>
    <n v="0"/>
    <n v="1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0"/>
    <x v="0"/>
    <x v="0"/>
    <x v="0"/>
    <n v="0"/>
    <n v="2E+20"/>
    <n v="0"/>
    <n v="0"/>
    <n v="2"/>
    <s v="Escenario AEntity 1NVA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0"/>
    <x v="0"/>
    <x v="1"/>
    <x v="0"/>
    <n v="0.316324216597824"/>
    <n v="2E+20"/>
    <n v="0.30569624328940098"/>
    <n v="0.32695218990624703"/>
    <n v="2"/>
    <s v="Escenario AEntity 1Other TimeEntity"/>
    <n v="10"/>
    <n v="0.29858308340050005"/>
    <n v="1.6035648105783368E-2"/>
    <n v="0.95"/>
    <n v="1.4830500972157991E-2"/>
    <n v="0.27789899851861599"/>
    <n v="0.316324216597824"/>
    <n v="0.27789899851861599"/>
    <n v="0.32695218990624703"/>
    <n v="1.5714285714285714"/>
    <n v="1.4830500972157991E-2"/>
    <n v="7"/>
    <n v="0"/>
  </r>
  <r>
    <x v="0"/>
    <s v="2025-05-22 11:03:52"/>
    <n v="10"/>
    <x v="0"/>
    <x v="2"/>
    <x v="0"/>
    <n v="1.27472509814118"/>
    <n v="2E+20"/>
    <n v="1.25692358449859"/>
    <n v="1.2925266117837699"/>
    <n v="2"/>
    <s v="Escenario AEntity 1Total TimeEntity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10"/>
    <x v="0"/>
    <x v="3"/>
    <x v="0"/>
    <n v="0"/>
    <n v="2E+20"/>
    <n v="0"/>
    <n v="0"/>
    <n v="2"/>
    <s v="Escenario AEntity 1Transfer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0"/>
    <x v="0"/>
    <x v="4"/>
    <x v="0"/>
    <n v="0.95840088154336001"/>
    <n v="2E+20"/>
    <n v="0.95122734120919294"/>
    <n v="0.96557442187752596"/>
    <n v="2"/>
    <s v="Escenario AEntity 1VA TimeEntity"/>
    <n v="10"/>
    <n v="0.85637295282424319"/>
    <n v="0.12806240860866075"/>
    <n v="0.95"/>
    <n v="0.11843797412108756"/>
    <n v="0.62549209152124496"/>
    <n v="0.98449387557766699"/>
    <n v="0.62549209152124496"/>
    <n v="1.15288499081151"/>
    <n v="1.5714285714285714"/>
    <n v="0.11843797412108756"/>
    <n v="7"/>
    <n v="0"/>
  </r>
  <r>
    <x v="0"/>
    <s v="2025-05-22 11:03:52"/>
    <n v="10"/>
    <x v="0"/>
    <x v="5"/>
    <x v="0"/>
    <n v="0"/>
    <n v="2E+20"/>
    <n v="0"/>
    <n v="0"/>
    <n v="2"/>
    <s v="Escenario AEntity 1Wait TimeEntity"/>
    <n v="10"/>
    <n v="0"/>
    <n v="0"/>
    <n v="0.95"/>
    <n v="0"/>
    <n v="0"/>
    <n v="0"/>
    <n v="0"/>
    <n v="0"/>
    <n v="1.5714285714285714"/>
    <n v="0"/>
    <n v="7"/>
    <n v="0"/>
  </r>
  <r>
    <x v="0"/>
    <s v="2025-05-22 11:03:52"/>
    <n v="1"/>
    <x v="1"/>
    <x v="6"/>
    <x v="1"/>
    <n v="0"/>
    <n v="2E+20"/>
    <n v="0"/>
    <n v="0"/>
    <n v="3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2"/>
    <x v="1"/>
    <x v="6"/>
    <x v="1"/>
    <n v="0"/>
    <n v="2E+20"/>
    <n v="0"/>
    <n v="0"/>
    <n v="2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3"/>
    <x v="1"/>
    <x v="6"/>
    <x v="1"/>
    <n v="0"/>
    <n v="2E+20"/>
    <n v="0"/>
    <n v="0"/>
    <n v="1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4"/>
    <x v="1"/>
    <x v="6"/>
    <x v="1"/>
    <n v="0"/>
    <n v="2E+20"/>
    <n v="0"/>
    <n v="0"/>
    <n v="2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7"/>
    <x v="1"/>
    <x v="6"/>
    <x v="1"/>
    <n v="0"/>
    <n v="2E+20"/>
    <n v="0"/>
    <n v="0"/>
    <n v="1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8"/>
    <x v="1"/>
    <x v="6"/>
    <x v="1"/>
    <n v="0"/>
    <n v="2E+20"/>
    <n v="0"/>
    <n v="0"/>
    <n v="1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10"/>
    <x v="1"/>
    <x v="6"/>
    <x v="1"/>
    <n v="0"/>
    <n v="2E+20"/>
    <n v="0"/>
    <n v="0"/>
    <n v="2"/>
    <s v="Escenario AOcupar enfermea.QueueWaiting TimeQueue"/>
    <n v="10"/>
    <n v="0"/>
    <n v="0"/>
    <n v="0.95"/>
    <n v="0"/>
    <n v="0"/>
    <n v="0"/>
    <n v="0"/>
    <n v="0"/>
    <n v="1.7142857142857142"/>
    <n v="0"/>
    <n v="7"/>
    <n v="0"/>
  </r>
  <r>
    <x v="0"/>
    <s v="2025-05-22 11:03:52"/>
    <n v="1"/>
    <x v="2"/>
    <x v="7"/>
    <x v="2"/>
    <n v="0.88348136693396495"/>
    <n v="2E+20"/>
    <n v="0.84409374616574295"/>
    <n v="0.92386163852861503"/>
    <n v="3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1"/>
    <x v="2"/>
    <x v="8"/>
    <x v="2"/>
    <n v="0.88348136693396495"/>
    <n v="2E+20"/>
    <n v="0.84409374616574295"/>
    <n v="0.92386163852861503"/>
    <n v="3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2"/>
    <x v="2"/>
    <x v="7"/>
    <x v="2"/>
    <n v="0.93928713900125504"/>
    <n v="2E+20"/>
    <n v="0.72568928719099701"/>
    <n v="1.15288499081151"/>
    <n v="2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2"/>
    <x v="2"/>
    <x v="8"/>
    <x v="2"/>
    <n v="0.93928713900125504"/>
    <n v="2E+20"/>
    <n v="0.72568928719099701"/>
    <n v="1.15288499081151"/>
    <n v="2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3"/>
    <x v="2"/>
    <x v="7"/>
    <x v="2"/>
    <n v="0.75331589857046299"/>
    <n v="2E+20"/>
    <n v="0.75331589857046299"/>
    <n v="0.75331589857046299"/>
    <n v="1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3"/>
    <x v="2"/>
    <x v="8"/>
    <x v="2"/>
    <n v="0.75331589857046299"/>
    <n v="2E+20"/>
    <n v="0.75331589857046299"/>
    <n v="0.75331589857046299"/>
    <n v="1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4"/>
    <x v="2"/>
    <x v="7"/>
    <x v="2"/>
    <n v="1.2646828075141401"/>
    <n v="2E+20"/>
    <n v="0.941672985715306"/>
    <n v="1.4482512660618201"/>
    <n v="3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4"/>
    <x v="2"/>
    <x v="8"/>
    <x v="2"/>
    <n v="1.2646828075141401"/>
    <n v="2E+20"/>
    <n v="0.941672985715306"/>
    <n v="1.4482512660618201"/>
    <n v="3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7"/>
    <x v="2"/>
    <x v="7"/>
    <x v="2"/>
    <n v="0.62549209152124496"/>
    <n v="2E+20"/>
    <n v="0.62549209152124496"/>
    <n v="0.62549209152124496"/>
    <n v="1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7"/>
    <x v="2"/>
    <x v="8"/>
    <x v="2"/>
    <n v="0.62549209152124496"/>
    <n v="2E+20"/>
    <n v="0.62549209152124496"/>
    <n v="0.62549209152124496"/>
    <n v="1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8"/>
    <x v="2"/>
    <x v="7"/>
    <x v="2"/>
    <n v="0.85013941662174697"/>
    <n v="2E+20"/>
    <n v="0.85013941662174697"/>
    <n v="0.85013941662174697"/>
    <n v="1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8"/>
    <x v="2"/>
    <x v="8"/>
    <x v="2"/>
    <n v="0.85013941662174697"/>
    <n v="2E+20"/>
    <n v="0.85013941662174697"/>
    <n v="0.85013941662174697"/>
    <n v="1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10"/>
    <x v="2"/>
    <x v="7"/>
    <x v="2"/>
    <n v="0.95840088154336001"/>
    <n v="2E+20"/>
    <n v="0.95122734120919294"/>
    <n v="0.96557442187752596"/>
    <n v="2"/>
    <s v="Escenario AProcess 1Total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10"/>
    <x v="2"/>
    <x v="8"/>
    <x v="2"/>
    <n v="0.95840088154336001"/>
    <n v="2E+20"/>
    <n v="0.95122734120919294"/>
    <n v="0.96557442187752596"/>
    <n v="2"/>
    <s v="Escenario AProcess 1VA Time Per EntityProcess"/>
    <n v="10"/>
    <n v="0.89639994310088222"/>
    <n v="0.1989500481391257"/>
    <n v="0.95"/>
    <n v="0.18399810614913994"/>
    <n v="0.62549209152124496"/>
    <n v="1.2646828075141401"/>
    <n v="0.62549209152124496"/>
    <n v="1.4482512660618201"/>
    <n v="1.8571428571428572"/>
    <n v="0.18399810614913994"/>
    <n v="7"/>
    <n v="0"/>
  </r>
  <r>
    <x v="0"/>
    <s v="2025-05-22 11:03:52"/>
    <n v="4"/>
    <x v="3"/>
    <x v="7"/>
    <x v="2"/>
    <n v="4.2820889862360503E-2"/>
    <n v="2E+20"/>
    <n v="4.2820889862360503E-2"/>
    <n v="4.2820889862360503E-2"/>
    <n v="1"/>
    <s v="Escenario ASeguimiemtoTotal Time Per EntityProcess"/>
    <n v="10"/>
    <n v="4.2820889862360503E-2"/>
    <n v="0"/>
    <n v="0.95"/>
    <n v="2E+20"/>
    <n v="4.2820889862360503E-2"/>
    <n v="4.2820889862360503E-2"/>
    <n v="4.2820889862360503E-2"/>
    <n v="4.2820889862360503E-2"/>
    <n v="1"/>
    <n v="2E+20"/>
    <n v="1"/>
    <n v="0"/>
  </r>
  <r>
    <x v="0"/>
    <s v="2025-05-22 11:03:52"/>
    <n v="4"/>
    <x v="3"/>
    <x v="8"/>
    <x v="2"/>
    <n v="4.2820889862360503E-2"/>
    <n v="2E+20"/>
    <n v="4.2820889862360503E-2"/>
    <n v="4.2820889862360503E-2"/>
    <n v="1"/>
    <s v="Escenario ASeguimiemtoVA Time Per EntityProcess"/>
    <n v="10"/>
    <n v="4.2820889862360503E-2"/>
    <n v="0"/>
    <n v="0.95"/>
    <n v="2E+20"/>
    <n v="4.2820889862360503E-2"/>
    <n v="4.2820889862360503E-2"/>
    <n v="4.2820889862360503E-2"/>
    <n v="4.2820889862360503E-2"/>
    <n v="1"/>
    <n v="2E+20"/>
    <n v="1"/>
    <n v="0"/>
  </r>
  <r>
    <x v="0"/>
    <s v="2025-05-22 11:03:52"/>
    <n v="4"/>
    <x v="3"/>
    <x v="9"/>
    <x v="2"/>
    <n v="0"/>
    <n v="2E+20"/>
    <n v="0"/>
    <n v="0"/>
    <n v="1"/>
    <s v="Escenario ASeguimiemtoWait Time Per EntityProcess"/>
    <n v="10"/>
    <n v="0"/>
    <n v="0"/>
    <n v="0.95"/>
    <n v="2E+20"/>
    <n v="0"/>
    <n v="0"/>
    <n v="0"/>
    <n v="0"/>
    <n v="1"/>
    <n v="2E+20"/>
    <n v="1"/>
    <n v="0"/>
  </r>
  <r>
    <x v="0"/>
    <s v="2025-05-22 11:03:52"/>
    <n v="4"/>
    <x v="4"/>
    <x v="6"/>
    <x v="1"/>
    <n v="0"/>
    <n v="2E+20"/>
    <n v="0"/>
    <n v="0"/>
    <n v="1"/>
    <s v="Escenario ASeguimiemto.QueueWaiting TimeQueue"/>
    <n v="10"/>
    <n v="0"/>
    <n v="0"/>
    <n v="0.95"/>
    <n v="2E+20"/>
    <n v="0"/>
    <n v="0"/>
    <n v="0"/>
    <n v="0"/>
    <n v="1"/>
    <n v="2E+20"/>
    <n v="1"/>
    <n v="0"/>
  </r>
  <r>
    <x v="0"/>
    <s v="2025-05-22 11:03:52"/>
    <n v="1"/>
    <x v="5"/>
    <x v="10"/>
    <x v="3"/>
    <n v="1.1982488653007599"/>
    <n v="2E+20"/>
    <n v="1.16793665926422"/>
    <n v="1.2389124258359101"/>
    <n v="3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2"/>
    <x v="5"/>
    <x v="10"/>
    <x v="3"/>
    <n v="1.2349223120231101"/>
    <n v="2E+20"/>
    <n v="1.02539936308283"/>
    <n v="1.44444526096339"/>
    <n v="2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3"/>
    <x v="5"/>
    <x v="10"/>
    <x v="3"/>
    <n v="1.0453723319117101"/>
    <n v="2E+20"/>
    <n v="1.0453723319117101"/>
    <n v="1.0453723319117101"/>
    <n v="1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4"/>
    <x v="5"/>
    <x v="10"/>
    <x v="3"/>
    <n v="1.2966847225439999"/>
    <n v="2E+20"/>
    <n v="1.2966847225439999"/>
    <n v="1.2966847225439999"/>
    <n v="1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7"/>
    <x v="5"/>
    <x v="10"/>
    <x v="3"/>
    <n v="0.90670050851207395"/>
    <n v="2E+20"/>
    <n v="0.90670050851207395"/>
    <n v="0.90670050851207395"/>
    <n v="1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8"/>
    <x v="5"/>
    <x v="10"/>
    <x v="3"/>
    <n v="1.12803841514036"/>
    <n v="2E+20"/>
    <n v="1.12803841514036"/>
    <n v="1.12803841514036"/>
    <n v="1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  <r>
    <x v="0"/>
    <s v="2025-05-22 11:03:52"/>
    <n v="10"/>
    <x v="5"/>
    <x v="10"/>
    <x v="3"/>
    <n v="1.27472509814118"/>
    <n v="2E+20"/>
    <n v="1.25692358449859"/>
    <n v="1.2925266117837699"/>
    <n v="2"/>
    <s v="Escenario ATiempoSistemaIntervalUser Specified"/>
    <n v="10"/>
    <n v="1.1549560362247422"/>
    <n v="0.1396808723771748"/>
    <n v="0.95"/>
    <n v="0.12918326093938498"/>
    <n v="0.90670050851207395"/>
    <n v="1.2966847225439999"/>
    <n v="0.90670050851207395"/>
    <n v="1.44444526096339"/>
    <n v="1.5714285714285714"/>
    <n v="0.12918326093938498"/>
    <n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s v="2025-05-22 11:03:52"/>
    <n v="1"/>
    <x v="0"/>
    <x v="0"/>
    <x v="0"/>
    <n v="3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1"/>
    <x v="1"/>
    <x v="1"/>
    <x v="0"/>
    <n v="3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1"/>
    <x v="2"/>
    <x v="2"/>
    <x v="1"/>
    <n v="2.6504441008019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1"/>
    <x v="3"/>
    <x v="0"/>
    <x v="1"/>
    <n v="3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1"/>
    <x v="4"/>
    <x v="1"/>
    <x v="1"/>
    <n v="3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1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1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1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1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1"/>
    <x v="9"/>
    <x v="1"/>
    <x v="2"/>
    <n v="3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1"/>
    <x v="10"/>
    <x v="4"/>
    <x v="3"/>
    <n v="3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1"/>
    <x v="11"/>
    <x v="5"/>
    <x v="3"/>
    <n v="9.4430249510039699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1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1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2"/>
    <x v="0"/>
    <x v="0"/>
    <x v="0"/>
    <n v="2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2"/>
    <x v="1"/>
    <x v="1"/>
    <x v="0"/>
    <n v="2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2"/>
    <x v="2"/>
    <x v="2"/>
    <x v="1"/>
    <n v="1.8785742780025101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2"/>
    <x v="3"/>
    <x v="0"/>
    <x v="1"/>
    <n v="2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2"/>
    <x v="4"/>
    <x v="1"/>
    <x v="1"/>
    <n v="2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2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2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2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2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2"/>
    <x v="9"/>
    <x v="1"/>
    <x v="2"/>
    <n v="2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2"/>
    <x v="10"/>
    <x v="4"/>
    <x v="3"/>
    <n v="2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2"/>
    <x v="11"/>
    <x v="5"/>
    <x v="3"/>
    <n v="5.9127034604370798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2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2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3"/>
    <x v="0"/>
    <x v="0"/>
    <x v="0"/>
    <n v="1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3"/>
    <x v="1"/>
    <x v="1"/>
    <x v="0"/>
    <n v="1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3"/>
    <x v="2"/>
    <x v="2"/>
    <x v="1"/>
    <n v="0.75331589857046299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3"/>
    <x v="3"/>
    <x v="0"/>
    <x v="1"/>
    <n v="1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3"/>
    <x v="4"/>
    <x v="1"/>
    <x v="1"/>
    <n v="1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3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3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3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3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3"/>
    <x v="9"/>
    <x v="1"/>
    <x v="2"/>
    <n v="1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3"/>
    <x v="10"/>
    <x v="4"/>
    <x v="3"/>
    <n v="1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3"/>
    <x v="11"/>
    <x v="5"/>
    <x v="3"/>
    <n v="2.9205643334124301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3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3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4"/>
    <x v="0"/>
    <x v="0"/>
    <x v="0"/>
    <n v="3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4"/>
    <x v="1"/>
    <x v="1"/>
    <x v="0"/>
    <n v="1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4"/>
    <x v="2"/>
    <x v="2"/>
    <x v="1"/>
    <n v="3.7940484225424198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4"/>
    <x v="3"/>
    <x v="0"/>
    <x v="1"/>
    <n v="3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4"/>
    <x v="4"/>
    <x v="1"/>
    <x v="1"/>
    <n v="3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4"/>
    <x v="5"/>
    <x v="2"/>
    <x v="1"/>
    <n v="4.2820889862360503E-2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4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4"/>
    <x v="7"/>
    <x v="0"/>
    <x v="1"/>
    <n v="1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4"/>
    <x v="8"/>
    <x v="1"/>
    <x v="1"/>
    <n v="1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4"/>
    <x v="9"/>
    <x v="1"/>
    <x v="2"/>
    <n v="1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4"/>
    <x v="10"/>
    <x v="4"/>
    <x v="3"/>
    <n v="2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4"/>
    <x v="11"/>
    <x v="5"/>
    <x v="3"/>
    <n v="5.0275829145292002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4"/>
    <x v="12"/>
    <x v="4"/>
    <x v="3"/>
    <n v="1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4"/>
    <x v="13"/>
    <x v="5"/>
    <x v="3"/>
    <n v="4.2820889862360502E-3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5"/>
    <x v="0"/>
    <x v="0"/>
    <x v="0"/>
    <n v="0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5"/>
    <x v="1"/>
    <x v="1"/>
    <x v="0"/>
    <n v="0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5"/>
    <x v="2"/>
    <x v="2"/>
    <x v="1"/>
    <n v="0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5"/>
    <x v="3"/>
    <x v="0"/>
    <x v="1"/>
    <n v="0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5"/>
    <x v="4"/>
    <x v="1"/>
    <x v="1"/>
    <n v="0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5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5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5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5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5"/>
    <x v="9"/>
    <x v="1"/>
    <x v="2"/>
    <n v="0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5"/>
    <x v="10"/>
    <x v="4"/>
    <x v="3"/>
    <n v="0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5"/>
    <x v="11"/>
    <x v="5"/>
    <x v="3"/>
    <n v="0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5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5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6"/>
    <x v="0"/>
    <x v="0"/>
    <x v="0"/>
    <n v="0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6"/>
    <x v="1"/>
    <x v="1"/>
    <x v="0"/>
    <n v="0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6"/>
    <x v="2"/>
    <x v="2"/>
    <x v="1"/>
    <n v="0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6"/>
    <x v="3"/>
    <x v="0"/>
    <x v="1"/>
    <n v="0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6"/>
    <x v="4"/>
    <x v="1"/>
    <x v="1"/>
    <n v="0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6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6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6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6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6"/>
    <x v="9"/>
    <x v="1"/>
    <x v="2"/>
    <n v="0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6"/>
    <x v="10"/>
    <x v="4"/>
    <x v="3"/>
    <n v="0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6"/>
    <x v="11"/>
    <x v="5"/>
    <x v="3"/>
    <n v="0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6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6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7"/>
    <x v="0"/>
    <x v="0"/>
    <x v="0"/>
    <n v="1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7"/>
    <x v="1"/>
    <x v="1"/>
    <x v="0"/>
    <n v="1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7"/>
    <x v="2"/>
    <x v="2"/>
    <x v="1"/>
    <n v="0.62549209152124496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7"/>
    <x v="3"/>
    <x v="0"/>
    <x v="1"/>
    <n v="1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7"/>
    <x v="4"/>
    <x v="1"/>
    <x v="1"/>
    <n v="1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7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7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7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7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7"/>
    <x v="9"/>
    <x v="1"/>
    <x v="2"/>
    <n v="1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7"/>
    <x v="10"/>
    <x v="4"/>
    <x v="3"/>
    <n v="1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7"/>
    <x v="11"/>
    <x v="5"/>
    <x v="3"/>
    <n v="2.81208416990829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7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7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8"/>
    <x v="0"/>
    <x v="0"/>
    <x v="0"/>
    <n v="1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8"/>
    <x v="1"/>
    <x v="1"/>
    <x v="0"/>
    <n v="1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8"/>
    <x v="2"/>
    <x v="2"/>
    <x v="1"/>
    <n v="0.85013941662174697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8"/>
    <x v="3"/>
    <x v="0"/>
    <x v="1"/>
    <n v="1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8"/>
    <x v="4"/>
    <x v="1"/>
    <x v="1"/>
    <n v="1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8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8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8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8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8"/>
    <x v="9"/>
    <x v="1"/>
    <x v="2"/>
    <n v="1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8"/>
    <x v="10"/>
    <x v="4"/>
    <x v="3"/>
    <n v="1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8"/>
    <x v="11"/>
    <x v="5"/>
    <x v="3"/>
    <n v="2.7789899851861598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8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8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9"/>
    <x v="0"/>
    <x v="0"/>
    <x v="0"/>
    <n v="0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9"/>
    <x v="1"/>
    <x v="1"/>
    <x v="0"/>
    <n v="0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9"/>
    <x v="2"/>
    <x v="2"/>
    <x v="1"/>
    <n v="0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9"/>
    <x v="3"/>
    <x v="0"/>
    <x v="1"/>
    <n v="0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9"/>
    <x v="4"/>
    <x v="1"/>
    <x v="1"/>
    <n v="0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9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9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9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9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9"/>
    <x v="9"/>
    <x v="1"/>
    <x v="2"/>
    <n v="0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9"/>
    <x v="10"/>
    <x v="4"/>
    <x v="3"/>
    <n v="0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9"/>
    <x v="11"/>
    <x v="5"/>
    <x v="3"/>
    <n v="0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9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9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  <r>
    <x v="0"/>
    <s v="2025-05-22 11:03:52"/>
    <n v="10"/>
    <x v="0"/>
    <x v="0"/>
    <x v="0"/>
    <n v="2"/>
    <n v="0"/>
    <s v="Escenario AEntity 1.NumberInNumber InEntity"/>
    <n v="10"/>
    <n v="1.3"/>
    <n v="1.1595018087284057"/>
    <n v="0.95"/>
    <n v="0.82945762635934173"/>
    <n v="0"/>
    <n v="3"/>
  </r>
  <r>
    <x v="0"/>
    <s v="2025-05-22 11:03:52"/>
    <n v="10"/>
    <x v="1"/>
    <x v="1"/>
    <x v="0"/>
    <n v="2"/>
    <n v="0"/>
    <s v="Escenario AEntity 1.NumberOutNumber OutEntity"/>
    <n v="10"/>
    <n v="1.1000000000000001"/>
    <n v="0.99442892601175326"/>
    <n v="0.95"/>
    <n v="0.71137159971949881"/>
    <n v="0"/>
    <n v="3"/>
  </r>
  <r>
    <x v="0"/>
    <s v="2025-05-22 11:03:52"/>
    <n v="10"/>
    <x v="2"/>
    <x v="2"/>
    <x v="1"/>
    <n v="1.91680176308672"/>
    <n v="0"/>
    <s v="Escenario AProcess 1 Accum VA TimeAccum VA TimeProcess"/>
    <n v="10"/>
    <n v="1.2468815971147005"/>
    <n v="1.2805013226628932"/>
    <n v="0.95"/>
    <n v="0.91601546427147096"/>
    <n v="0"/>
    <n v="3.7940484225424198"/>
  </r>
  <r>
    <x v="0"/>
    <s v="2025-05-22 11:03:52"/>
    <n v="10"/>
    <x v="3"/>
    <x v="0"/>
    <x v="1"/>
    <n v="2"/>
    <n v="0"/>
    <s v="Escenario AProcess 1 Number InNumber InProcess"/>
    <n v="10"/>
    <n v="1.3"/>
    <n v="1.1595018087284057"/>
    <n v="0.95"/>
    <n v="0.82945762635934173"/>
    <n v="0"/>
    <n v="3"/>
  </r>
  <r>
    <x v="0"/>
    <s v="2025-05-22 11:03:52"/>
    <n v="10"/>
    <x v="4"/>
    <x v="1"/>
    <x v="1"/>
    <n v="2"/>
    <n v="0"/>
    <s v="Escenario AProcess 1 Number OutNumber OutProcess"/>
    <n v="10"/>
    <n v="1.3"/>
    <n v="1.1595018087284057"/>
    <n v="0.95"/>
    <n v="0.82945762635934173"/>
    <n v="0"/>
    <n v="3"/>
  </r>
  <r>
    <x v="0"/>
    <s v="2025-05-22 11:03:52"/>
    <n v="10"/>
    <x v="5"/>
    <x v="2"/>
    <x v="1"/>
    <n v="0"/>
    <n v="0"/>
    <s v="Escenario ASeguimiemto Accum VA TimeAccum VA TimeProcess"/>
    <n v="10"/>
    <n v="4.2820889862360502E-3"/>
    <n v="1.3541154340027324E-2"/>
    <n v="0.95"/>
    <n v="9.6867582719531841E-3"/>
    <n v="0"/>
    <n v="4.2820889862360503E-2"/>
  </r>
  <r>
    <x v="0"/>
    <s v="2025-05-22 11:03:52"/>
    <n v="10"/>
    <x v="6"/>
    <x v="3"/>
    <x v="1"/>
    <n v="0"/>
    <n v="0"/>
    <s v="Escenario ASeguimiemto Accum Wait TimeAccum Wait TimeProcess"/>
    <n v="10"/>
    <n v="0"/>
    <n v="0"/>
    <n v="0.95"/>
    <n v="0"/>
    <n v="0"/>
    <n v="0"/>
  </r>
  <r>
    <x v="0"/>
    <s v="2025-05-22 11:03:52"/>
    <n v="10"/>
    <x v="7"/>
    <x v="0"/>
    <x v="1"/>
    <n v="0"/>
    <n v="0"/>
    <s v="Escenario ASeguimiemto Number InNumber InProcess"/>
    <n v="10"/>
    <n v="0.1"/>
    <n v="0.31622776601683794"/>
    <n v="0.95"/>
    <n v="0.22621571627982048"/>
    <n v="0"/>
    <n v="1"/>
  </r>
  <r>
    <x v="0"/>
    <s v="2025-05-22 11:03:52"/>
    <n v="10"/>
    <x v="8"/>
    <x v="1"/>
    <x v="1"/>
    <n v="0"/>
    <n v="0"/>
    <s v="Escenario ASeguimiemto Number OutNumber OutProcess"/>
    <n v="10"/>
    <n v="0.1"/>
    <n v="0.31622776601683794"/>
    <n v="0.95"/>
    <n v="0.22621571627982048"/>
    <n v="0"/>
    <n v="1"/>
  </r>
  <r>
    <x v="0"/>
    <s v="2025-05-22 11:03:52"/>
    <n v="10"/>
    <x v="9"/>
    <x v="1"/>
    <x v="2"/>
    <n v="2"/>
    <n v="0"/>
    <s v="Escenario ASystem.NumberOutNumber OutSystem"/>
    <n v="10"/>
    <n v="1.1000000000000001"/>
    <n v="0.99442892601175326"/>
    <n v="0.95"/>
    <n v="0.71137159971949881"/>
    <n v="0"/>
    <n v="3"/>
  </r>
  <r>
    <x v="0"/>
    <s v="2025-05-22 11:03:52"/>
    <n v="10"/>
    <x v="10"/>
    <x v="4"/>
    <x v="3"/>
    <n v="2"/>
    <n v="0"/>
    <s v="Escenario ArEnfermera.NumberSeizedTotal Number SeizedResource"/>
    <n v="10"/>
    <n v="1.2"/>
    <n v="1.0327955589886444"/>
    <n v="0.95"/>
    <n v="0.73881743557835977"/>
    <n v="0"/>
    <n v="3"/>
  </r>
  <r>
    <x v="0"/>
    <s v="2025-05-22 11:03:52"/>
    <n v="10"/>
    <x v="11"/>
    <x v="5"/>
    <x v="3"/>
    <n v="6.3264843319564695E-2"/>
    <n v="0"/>
    <s v="Escenario ArEnfermera.ScheduledUtilizationScheduled UtilizationResource"/>
    <n v="10"/>
    <n v="3.5221434146433597E-2"/>
    <n v="3.1541354302313002E-2"/>
    <n v="0.95"/>
    <n v="2.2563325623827138E-2"/>
    <n v="0"/>
    <n v="9.4430249510039699E-2"/>
  </r>
  <r>
    <x v="0"/>
    <s v="2025-05-22 11:03:52"/>
    <n v="10"/>
    <x v="12"/>
    <x v="4"/>
    <x v="3"/>
    <n v="0"/>
    <n v="0"/>
    <s v="Escenario ArSeguimiento.NumberSeizedTotal Number SeizedResource"/>
    <n v="10"/>
    <n v="0.1"/>
    <n v="0.31622776601683794"/>
    <n v="0.95"/>
    <n v="0.22621571627982048"/>
    <n v="0"/>
    <n v="1"/>
  </r>
  <r>
    <x v="0"/>
    <s v="2025-05-22 11:03:52"/>
    <n v="10"/>
    <x v="13"/>
    <x v="5"/>
    <x v="3"/>
    <n v="0"/>
    <n v="0"/>
    <s v="Escenario ArSeguimiento.ScheduledUtilizationScheduled UtilizationResource"/>
    <n v="10"/>
    <n v="4.2820889862360502E-4"/>
    <n v="1.3541154340027323E-3"/>
    <n v="0.95"/>
    <n v="9.6867582719531832E-4"/>
    <n v="0"/>
    <n v="4.2820889862360502E-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s v="2025-05-22 11:03:52"/>
    <n v="1"/>
    <x v="0"/>
    <x v="0"/>
    <x v="0"/>
    <n v="0.35947465959022901"/>
    <n v="2E+20"/>
    <n v="0"/>
    <n v="1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1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1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1"/>
    <x v="3"/>
    <x v="2"/>
    <x v="2"/>
    <n v="9.4430249510039699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1"/>
    <x v="3"/>
    <x v="3"/>
    <x v="2"/>
    <n v="9.4430249510039699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1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1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1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1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2"/>
    <x v="0"/>
    <x v="0"/>
    <x v="0"/>
    <n v="0.24698446240462199"/>
    <n v="2E+20"/>
    <n v="0"/>
    <n v="1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2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2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2"/>
    <x v="3"/>
    <x v="2"/>
    <x v="2"/>
    <n v="5.9127034604370798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2"/>
    <x v="3"/>
    <x v="3"/>
    <x v="2"/>
    <n v="5.9127034604370798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2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2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2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2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3"/>
    <x v="0"/>
    <x v="0"/>
    <x v="0"/>
    <n v="0.104537233191171"/>
    <n v="2E+20"/>
    <n v="0"/>
    <n v="1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3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3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3"/>
    <x v="3"/>
    <x v="2"/>
    <x v="2"/>
    <n v="2.9205643334124301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3"/>
    <x v="3"/>
    <x v="3"/>
    <x v="2"/>
    <n v="2.9205643334124301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3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3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3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3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4"/>
    <x v="0"/>
    <x v="0"/>
    <x v="0"/>
    <n v="0.43594706645033499"/>
    <n v="2E+20"/>
    <n v="0"/>
    <n v="2"/>
    <n v="2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4"/>
    <x v="1"/>
    <x v="1"/>
    <x v="1"/>
    <n v="1.98430606456448E-3"/>
    <n v="2E+20"/>
    <n v="0"/>
    <n v="1"/>
    <n v="1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4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4"/>
    <x v="3"/>
    <x v="2"/>
    <x v="2"/>
    <n v="5.0275829145292002E-2"/>
    <n v="2E+20"/>
    <n v="0"/>
    <n v="1"/>
    <n v="1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4"/>
    <x v="3"/>
    <x v="3"/>
    <x v="2"/>
    <n v="5.0275829145292002E-2"/>
    <n v="2E+20"/>
    <n v="0"/>
    <n v="1"/>
    <n v="1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4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4"/>
    <x v="4"/>
    <x v="2"/>
    <x v="2"/>
    <n v="4.2820889862360502E-3"/>
    <n v="2E+20"/>
    <n v="0"/>
    <n v="1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4"/>
    <x v="4"/>
    <x v="3"/>
    <x v="2"/>
    <n v="4.2820889862360502E-3"/>
    <n v="2E+20"/>
    <n v="0"/>
    <n v="1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4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5"/>
    <x v="0"/>
    <x v="0"/>
    <x v="0"/>
    <n v="0"/>
    <n v="2E+20"/>
    <n v="0"/>
    <n v="0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5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5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5"/>
    <x v="3"/>
    <x v="2"/>
    <x v="2"/>
    <n v="0"/>
    <n v="2E+20"/>
    <n v="0"/>
    <n v="0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5"/>
    <x v="3"/>
    <x v="3"/>
    <x v="2"/>
    <n v="0"/>
    <n v="2E+20"/>
    <n v="0"/>
    <n v="0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5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5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5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5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6"/>
    <x v="0"/>
    <x v="0"/>
    <x v="0"/>
    <n v="0"/>
    <n v="2E+20"/>
    <n v="0"/>
    <n v="0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6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6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6"/>
    <x v="3"/>
    <x v="2"/>
    <x v="2"/>
    <n v="0"/>
    <n v="2E+20"/>
    <n v="0"/>
    <n v="0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6"/>
    <x v="3"/>
    <x v="3"/>
    <x v="2"/>
    <n v="0"/>
    <n v="2E+20"/>
    <n v="0"/>
    <n v="0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6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6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6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6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7"/>
    <x v="0"/>
    <x v="0"/>
    <x v="0"/>
    <n v="9.0670050851207398E-2"/>
    <n v="2E+20"/>
    <n v="0"/>
    <n v="1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7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7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7"/>
    <x v="3"/>
    <x v="2"/>
    <x v="2"/>
    <n v="2.81208416990829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7"/>
    <x v="3"/>
    <x v="3"/>
    <x v="2"/>
    <n v="2.81208416990829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7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7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7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7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8"/>
    <x v="0"/>
    <x v="0"/>
    <x v="0"/>
    <n v="0.112803841514036"/>
    <n v="2E+20"/>
    <n v="0"/>
    <n v="1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8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8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8"/>
    <x v="3"/>
    <x v="2"/>
    <x v="2"/>
    <n v="2.7789899851861598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8"/>
    <x v="3"/>
    <x v="3"/>
    <x v="2"/>
    <n v="2.7789899851861598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8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8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8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8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9"/>
    <x v="0"/>
    <x v="0"/>
    <x v="0"/>
    <n v="0"/>
    <n v="2E+20"/>
    <n v="0"/>
    <n v="0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9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9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9"/>
    <x v="3"/>
    <x v="2"/>
    <x v="2"/>
    <n v="0"/>
    <n v="2E+20"/>
    <n v="0"/>
    <n v="0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9"/>
    <x v="3"/>
    <x v="3"/>
    <x v="2"/>
    <n v="0"/>
    <n v="2E+20"/>
    <n v="0"/>
    <n v="0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9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9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9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9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  <r>
    <x v="0"/>
    <s v="2025-05-22 11:03:52"/>
    <n v="10"/>
    <x v="0"/>
    <x v="0"/>
    <x v="0"/>
    <n v="0.25494501962823701"/>
    <n v="2E+20"/>
    <n v="0"/>
    <n v="2"/>
    <n v="0"/>
    <n v="0"/>
    <s v="Escenario AEntity 1WIPEntity"/>
    <n v="10"/>
    <n v="0.16053623336298375"/>
    <n v="0.15614279042591178"/>
    <n v="0.95"/>
    <n v="0.11169782344870617"/>
    <n v="0"/>
    <n v="0.43594706645033499"/>
    <n v="0.11169782344870617"/>
  </r>
  <r>
    <x v="0"/>
    <s v="2025-05-22 11:03:52"/>
    <n v="10"/>
    <x v="1"/>
    <x v="1"/>
    <x v="1"/>
    <n v="0"/>
    <n v="2E+20"/>
    <n v="0"/>
    <n v="0"/>
    <n v="0"/>
    <n v="0"/>
    <s v="Escenario AOcupar enfermea.QueueNumber WaitingQueue"/>
    <n v="10"/>
    <n v="1.98430606456448E-4"/>
    <n v="6.2749267389088884E-4"/>
    <n v="0.95"/>
    <n v="4.4888121771384553E-4"/>
    <n v="0"/>
    <n v="1.98430606456448E-3"/>
    <n v="4.4888121771384553E-4"/>
  </r>
  <r>
    <x v="0"/>
    <s v="2025-05-22 11:03:52"/>
    <n v="10"/>
    <x v="2"/>
    <x v="1"/>
    <x v="1"/>
    <n v="0"/>
    <n v="2E+20"/>
    <n v="0"/>
    <n v="0"/>
    <n v="0"/>
    <n v="0"/>
    <s v="Escenario ASeguimiemto.QueueNumber WaitingQueue"/>
    <n v="10"/>
    <n v="0"/>
    <n v="0"/>
    <n v="0.95"/>
    <n v="0"/>
    <n v="0"/>
    <n v="0"/>
    <n v="0"/>
  </r>
  <r>
    <x v="0"/>
    <s v="2025-05-22 11:03:52"/>
    <n v="10"/>
    <x v="3"/>
    <x v="2"/>
    <x v="2"/>
    <n v="6.3264843319564695E-2"/>
    <n v="2E+20"/>
    <n v="0"/>
    <n v="1"/>
    <n v="0"/>
    <n v="0"/>
    <s v="Escenario ArEnfermeraInstantaneous Utilization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10"/>
    <x v="3"/>
    <x v="3"/>
    <x v="2"/>
    <n v="6.3264843319564695E-2"/>
    <n v="2E+20"/>
    <n v="0"/>
    <n v="1"/>
    <n v="0"/>
    <n v="0"/>
    <s v="Escenario ArEnfermeraNumber BusyResource"/>
    <n v="10"/>
    <n v="3.5221434146433597E-2"/>
    <n v="3.1541354302313002E-2"/>
    <n v="0.95"/>
    <n v="2.2563325623827138E-2"/>
    <n v="0"/>
    <n v="9.4430249510039699E-2"/>
    <n v="2.2563325623827138E-2"/>
  </r>
  <r>
    <x v="0"/>
    <s v="2025-05-22 11:03:52"/>
    <n v="10"/>
    <x v="3"/>
    <x v="4"/>
    <x v="2"/>
    <n v="1"/>
    <n v="2E+20"/>
    <n v="1"/>
    <n v="1"/>
    <n v="1"/>
    <n v="0"/>
    <s v="Escenario ArEnfermeraNumber ScheduledResource"/>
    <n v="10"/>
    <n v="1"/>
    <n v="0"/>
    <n v="0.95"/>
    <n v="0"/>
    <n v="1"/>
    <n v="1"/>
    <n v="0"/>
  </r>
  <r>
    <x v="0"/>
    <s v="2025-05-22 11:03:52"/>
    <n v="10"/>
    <x v="4"/>
    <x v="2"/>
    <x v="2"/>
    <n v="0"/>
    <n v="2E+20"/>
    <n v="0"/>
    <n v="0"/>
    <n v="0"/>
    <n v="0"/>
    <s v="Escenario ArSeguimientoInstantaneous Utilization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10"/>
    <x v="4"/>
    <x v="3"/>
    <x v="2"/>
    <n v="0"/>
    <n v="2E+20"/>
    <n v="0"/>
    <n v="0"/>
    <n v="0"/>
    <n v="0"/>
    <s v="Escenario ArSeguimientoNumber BusyResource"/>
    <n v="10"/>
    <n v="4.2820889862360502E-4"/>
    <n v="1.3541154340027323E-3"/>
    <n v="0.95"/>
    <n v="9.6867582719531832E-4"/>
    <n v="0"/>
    <n v="4.2820889862360502E-3"/>
    <n v="9.6867582719531832E-4"/>
  </r>
  <r>
    <x v="0"/>
    <s v="2025-05-22 11:03:52"/>
    <n v="10"/>
    <x v="4"/>
    <x v="4"/>
    <x v="2"/>
    <n v="1"/>
    <n v="2E+20"/>
    <n v="1"/>
    <n v="1"/>
    <n v="1"/>
    <n v="0"/>
    <s v="Escenario ArSeguimientoNumber ScheduledResource"/>
    <n v="10"/>
    <n v="1"/>
    <n v="0"/>
    <n v="0.95"/>
    <n v="0"/>
    <n v="1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6"/>
        <item m="1" x="39"/>
        <item m="1" x="11"/>
        <item m="1" x="91"/>
        <item m="1" x="74"/>
        <item m="1" x="44"/>
        <item m="1" x="100"/>
        <item m="1" x="32"/>
        <item m="1" x="36"/>
        <item x="0"/>
        <item m="1" x="69"/>
        <item m="1" x="81"/>
        <item m="1" x="86"/>
        <item m="1" x="10"/>
        <item m="1" x="38"/>
        <item m="1" x="28"/>
        <item m="1" x="103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1"/>
        <item x="2"/>
        <item x="3"/>
        <item x="4"/>
        <item x="5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m="1" x="11"/>
      </items>
    </pivotField>
    <pivotField axis="axisRow" compact="0" outline="0" showAll="0" defaultSubtotal="0">
      <items count="5">
        <item x="0"/>
        <item x="1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8"/>
      <x v="3"/>
    </i>
    <i r="2">
      <x v="9"/>
      <x v="3"/>
    </i>
    <i r="1">
      <x v="101"/>
      <x v="8"/>
      <x v="3"/>
    </i>
    <i r="2">
      <x v="9"/>
      <x v="3"/>
    </i>
    <i r="2">
      <x v="10"/>
      <x v="3"/>
    </i>
    <i r="1">
      <x v="102"/>
      <x v="7"/>
      <x v="1"/>
    </i>
    <i r="1">
      <x v="103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6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0">
        <item m="1" x="39"/>
        <item m="1" x="15"/>
        <item m="1" x="40"/>
        <item m="1" x="16"/>
        <item m="1" x="41"/>
        <item m="1" x="17"/>
        <item m="1" x="42"/>
        <item m="1" x="18"/>
        <item m="1" x="74"/>
        <item m="1" x="29"/>
        <item x="9"/>
        <item m="1" x="73"/>
        <item m="1" x="60"/>
        <item m="1" x="77"/>
        <item m="1" x="62"/>
        <item x="0"/>
        <item x="1"/>
        <item m="1" x="54"/>
        <item m="1" x="22"/>
        <item m="1" x="71"/>
        <item m="1" x="61"/>
        <item m="1" x="59"/>
        <item m="1" x="25"/>
        <item m="1" x="69"/>
        <item m="1" x="34"/>
        <item m="1" x="70"/>
        <item m="1" x="35"/>
        <item m="1" x="68"/>
        <item m="1" x="86"/>
        <item m="1" x="28"/>
        <item m="1" x="89"/>
        <item m="1" x="56"/>
        <item m="1" x="23"/>
        <item m="1" x="84"/>
        <item m="1" x="80"/>
        <item m="1" x="57"/>
        <item m="1" x="24"/>
        <item m="1" x="85"/>
        <item m="1" x="81"/>
        <item m="1" x="19"/>
        <item m="1" x="53"/>
        <item m="1" x="37"/>
        <item m="1" x="27"/>
        <item m="1" x="78"/>
        <item m="1" x="49"/>
        <item m="1" x="79"/>
        <item m="1" x="50"/>
        <item m="1" x="36"/>
        <item m="1" x="31"/>
        <item m="1" x="58"/>
        <item m="1" x="33"/>
        <item m="1" x="88"/>
        <item m="1" x="82"/>
        <item m="1" x="32"/>
        <item m="1" x="30"/>
        <item m="1" x="75"/>
        <item m="1" x="83"/>
        <item m="1" x="20"/>
        <item m="1" x="38"/>
        <item m="1" x="51"/>
        <item m="1" x="72"/>
        <item m="1" x="87"/>
        <item m="1" x="21"/>
        <item m="1" x="48"/>
        <item m="1" x="52"/>
        <item m="1" x="76"/>
        <item m="1" x="55"/>
        <item m="1" x="26"/>
        <item m="1" x="43"/>
        <item m="1" x="63"/>
        <item m="1" x="44"/>
        <item m="1" x="64"/>
        <item m="1" x="45"/>
        <item m="1" x="65"/>
        <item m="1" x="46"/>
        <item m="1" x="66"/>
        <item m="1" x="47"/>
        <item m="1" x="67"/>
        <item m="1" x="14"/>
        <item x="2"/>
        <item x="3"/>
        <item x="4"/>
        <item x="5"/>
        <item x="6"/>
        <item x="7"/>
        <item x="8"/>
        <item x="10"/>
        <item x="11"/>
        <item x="12"/>
        <item x="13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4">
    <i>
      <x v="4"/>
      <x v="10"/>
      <x v="1"/>
      <x v="2"/>
    </i>
    <i r="1">
      <x v="15"/>
      <x/>
      <x/>
    </i>
    <i r="1">
      <x v="16"/>
      <x v="1"/>
      <x/>
    </i>
    <i r="1">
      <x v="79"/>
      <x v="4"/>
      <x v="3"/>
    </i>
    <i r="1">
      <x v="80"/>
      <x/>
      <x v="3"/>
    </i>
    <i r="1">
      <x v="81"/>
      <x v="1"/>
      <x v="3"/>
    </i>
    <i r="1">
      <x v="82"/>
      <x v="4"/>
      <x v="3"/>
    </i>
    <i r="1">
      <x v="83"/>
      <x v="5"/>
      <x v="3"/>
    </i>
    <i r="1">
      <x v="84"/>
      <x/>
      <x v="3"/>
    </i>
    <i r="1">
      <x v="85"/>
      <x v="1"/>
      <x v="3"/>
    </i>
    <i r="1">
      <x v="86"/>
      <x v="3"/>
      <x v="1"/>
    </i>
    <i r="1">
      <x v="87"/>
      <x v="2"/>
      <x v="1"/>
    </i>
    <i r="1">
      <x v="88"/>
      <x v="3"/>
      <x v="1"/>
    </i>
    <i r="1">
      <x v="89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x="0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7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1"/>
        <item x="2"/>
        <item x="3"/>
        <item x="4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5" tableType="queryTable" totalsRowShown="0">
  <autoFilter ref="A1:Y75" xr:uid="{C3D003CA-1AFF-426C-A03D-D3AF5760DF1A}"/>
  <sortState xmlns:xlrd2="http://schemas.microsoft.com/office/spreadsheetml/2017/richdata2" ref="A2:Y75">
    <sortCondition ref="D1:D7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91" tableType="queryTable" totalsRowShown="0">
  <autoFilter ref="A1:U9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1" tableType="queryTable" totalsRowShown="0">
  <autoFilter ref="A1:P14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4.85546875" bestFit="1" customWidth="1"/>
    <col min="2" max="2" width="12.42578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3</v>
      </c>
      <c r="E2">
        <v>10</v>
      </c>
      <c r="F2">
        <v>10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71</v>
      </c>
      <c r="C3" t="s">
        <v>72</v>
      </c>
      <c r="D3" t="s">
        <v>73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1.5714285714285714</v>
      </c>
      <c r="O3" t="s">
        <v>68</v>
      </c>
      <c r="P3" t="s">
        <v>71</v>
      </c>
      <c r="Q3" t="s">
        <v>92</v>
      </c>
      <c r="R3" t="s">
        <v>73</v>
      </c>
      <c r="S3" s="5">
        <v>0.16053623336298375</v>
      </c>
      <c r="T3" s="5">
        <v>0.11169782344870617</v>
      </c>
      <c r="U3" s="5">
        <v>0.15614279042591178</v>
      </c>
      <c r="V3" s="5">
        <v>0</v>
      </c>
      <c r="W3" s="5">
        <v>0.43594706645033499</v>
      </c>
      <c r="X3" s="5">
        <v>0</v>
      </c>
      <c r="Y3" s="5">
        <v>2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113</v>
      </c>
      <c r="AM3" t="s">
        <v>103</v>
      </c>
      <c r="AN3" t="s">
        <v>114</v>
      </c>
      <c r="AO3" s="5">
        <v>1.1000000000000001</v>
      </c>
      <c r="AP3" s="5">
        <v>0.71137159971949881</v>
      </c>
      <c r="AQ3" s="5">
        <v>0.99442892601175326</v>
      </c>
      <c r="AR3" s="5">
        <v>0</v>
      </c>
      <c r="AS3" s="5">
        <v>3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0.29858308340050005</v>
      </c>
      <c r="F4" s="5">
        <v>0</v>
      </c>
      <c r="G4" s="5">
        <v>1.4830500972157991E-2</v>
      </c>
      <c r="H4" s="5">
        <v>1.6035648105783368E-2</v>
      </c>
      <c r="I4" s="5">
        <v>0.27789899851861599</v>
      </c>
      <c r="J4" s="5">
        <v>0.316324216597824</v>
      </c>
      <c r="K4" s="5">
        <v>0.27789899851861599</v>
      </c>
      <c r="L4" s="5">
        <v>0.32695218990624703</v>
      </c>
      <c r="M4" s="5">
        <v>1.5714285714285714</v>
      </c>
      <c r="P4" t="s">
        <v>79</v>
      </c>
      <c r="Q4" t="s">
        <v>93</v>
      </c>
      <c r="R4" t="s">
        <v>81</v>
      </c>
      <c r="S4" s="5">
        <v>1.98430606456448E-4</v>
      </c>
      <c r="T4" s="5">
        <v>4.4888121771384553E-4</v>
      </c>
      <c r="U4" s="5">
        <v>6.2749267389088884E-4</v>
      </c>
      <c r="V4" s="5">
        <v>0</v>
      </c>
      <c r="W4" s="5">
        <v>1.98430606456448E-3</v>
      </c>
      <c r="X4" s="5">
        <v>0</v>
      </c>
      <c r="Y4" s="5">
        <v>1</v>
      </c>
      <c r="AL4" t="s">
        <v>100</v>
      </c>
      <c r="AM4" t="s">
        <v>101</v>
      </c>
      <c r="AN4" t="s">
        <v>73</v>
      </c>
      <c r="AO4" s="5">
        <v>1.3</v>
      </c>
      <c r="AP4" s="5">
        <v>0.82945762635934173</v>
      </c>
      <c r="AQ4" s="5">
        <v>1.1595018087284057</v>
      </c>
      <c r="AR4" s="5">
        <v>0</v>
      </c>
      <c r="AS4" s="5">
        <v>3</v>
      </c>
    </row>
    <row r="5" spans="1:52" x14ac:dyDescent="0.25">
      <c r="C5" t="s">
        <v>75</v>
      </c>
      <c r="D5" t="s">
        <v>73</v>
      </c>
      <c r="E5" s="5">
        <v>1.1549560362247422</v>
      </c>
      <c r="F5" s="5">
        <v>0</v>
      </c>
      <c r="G5" s="5">
        <v>0.12918326093938498</v>
      </c>
      <c r="H5" s="5">
        <v>0.1396808723771748</v>
      </c>
      <c r="I5" s="5">
        <v>0.90670050851207395</v>
      </c>
      <c r="J5" s="5">
        <v>1.2966847225439999</v>
      </c>
      <c r="K5" s="5">
        <v>0.90670050851207395</v>
      </c>
      <c r="L5" s="5">
        <v>1.44444526096339</v>
      </c>
      <c r="M5" s="5">
        <v>1.5714285714285714</v>
      </c>
      <c r="P5" t="s">
        <v>91</v>
      </c>
      <c r="Q5" t="s">
        <v>93</v>
      </c>
      <c r="R5" t="s">
        <v>81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102</v>
      </c>
      <c r="AM5" t="s">
        <v>103</v>
      </c>
      <c r="AN5" t="s">
        <v>73</v>
      </c>
      <c r="AO5" s="5">
        <v>1.1000000000000001</v>
      </c>
      <c r="AP5" s="5">
        <v>0.71137159971949881</v>
      </c>
      <c r="AQ5" s="5">
        <v>0.99442892601175326</v>
      </c>
      <c r="AR5" s="5">
        <v>0</v>
      </c>
      <c r="AS5" s="5">
        <v>3</v>
      </c>
    </row>
    <row r="6" spans="1:52" x14ac:dyDescent="0.25">
      <c r="C6" t="s">
        <v>76</v>
      </c>
      <c r="D6" t="s">
        <v>73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1.5714285714285714</v>
      </c>
      <c r="P6" t="s">
        <v>94</v>
      </c>
      <c r="Q6" t="s">
        <v>95</v>
      </c>
      <c r="R6" t="s">
        <v>96</v>
      </c>
      <c r="S6" s="5">
        <v>3.5221434146433597E-2</v>
      </c>
      <c r="T6" s="5">
        <v>2.2563325623827138E-2</v>
      </c>
      <c r="U6" s="5">
        <v>3.1541354302313002E-2</v>
      </c>
      <c r="V6" s="5">
        <v>0</v>
      </c>
      <c r="W6" s="5">
        <v>9.4430249510039699E-2</v>
      </c>
      <c r="X6" s="5">
        <v>0</v>
      </c>
      <c r="Y6" s="5">
        <v>1</v>
      </c>
      <c r="AL6" t="s">
        <v>104</v>
      </c>
      <c r="AM6" t="s">
        <v>105</v>
      </c>
      <c r="AN6" t="s">
        <v>84</v>
      </c>
      <c r="AO6" s="5">
        <v>1.2468815971147005</v>
      </c>
      <c r="AP6" s="5">
        <v>0.91601546427147096</v>
      </c>
      <c r="AQ6" s="5">
        <v>1.2805013226628932</v>
      </c>
      <c r="AR6" s="5">
        <v>0</v>
      </c>
      <c r="AS6" s="5">
        <v>3.7940484225424198</v>
      </c>
    </row>
    <row r="7" spans="1:52" x14ac:dyDescent="0.25">
      <c r="C7" t="s">
        <v>77</v>
      </c>
      <c r="D7" t="s">
        <v>73</v>
      </c>
      <c r="E7" s="5">
        <v>0.85637295282424319</v>
      </c>
      <c r="F7" s="5">
        <v>0</v>
      </c>
      <c r="G7" s="5">
        <v>0.11843797412108756</v>
      </c>
      <c r="H7" s="5">
        <v>0.12806240860866075</v>
      </c>
      <c r="I7" s="5">
        <v>0.62549209152124496</v>
      </c>
      <c r="J7" s="5">
        <v>0.98449387557766699</v>
      </c>
      <c r="K7" s="5">
        <v>0.62549209152124496</v>
      </c>
      <c r="L7" s="5">
        <v>1.15288499081151</v>
      </c>
      <c r="M7" s="5">
        <v>1.5714285714285714</v>
      </c>
      <c r="Q7" t="s">
        <v>97</v>
      </c>
      <c r="R7" t="s">
        <v>96</v>
      </c>
      <c r="S7" s="5">
        <v>3.5221434146433597E-2</v>
      </c>
      <c r="T7" s="5">
        <v>2.2563325623827138E-2</v>
      </c>
      <c r="U7" s="5">
        <v>3.1541354302313002E-2</v>
      </c>
      <c r="V7" s="5">
        <v>0</v>
      </c>
      <c r="W7" s="5">
        <v>9.4430249510039699E-2</v>
      </c>
      <c r="X7" s="5">
        <v>0</v>
      </c>
      <c r="Y7" s="5">
        <v>1</v>
      </c>
      <c r="AL7" t="s">
        <v>106</v>
      </c>
      <c r="AM7" t="s">
        <v>101</v>
      </c>
      <c r="AN7" t="s">
        <v>84</v>
      </c>
      <c r="AO7" s="5">
        <v>1.3</v>
      </c>
      <c r="AP7" s="5">
        <v>0.82945762635934173</v>
      </c>
      <c r="AQ7" s="5">
        <v>1.1595018087284057</v>
      </c>
      <c r="AR7" s="5">
        <v>0</v>
      </c>
      <c r="AS7" s="5">
        <v>3</v>
      </c>
    </row>
    <row r="8" spans="1:52" x14ac:dyDescent="0.25">
      <c r="C8" t="s">
        <v>78</v>
      </c>
      <c r="D8" t="s">
        <v>73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1.5714285714285714</v>
      </c>
      <c r="Q8" t="s">
        <v>98</v>
      </c>
      <c r="R8" t="s">
        <v>96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107</v>
      </c>
      <c r="AM8" t="s">
        <v>103</v>
      </c>
      <c r="AN8" t="s">
        <v>84</v>
      </c>
      <c r="AO8" s="5">
        <v>1.3</v>
      </c>
      <c r="AP8" s="5">
        <v>0.82945762635934173</v>
      </c>
      <c r="AQ8" s="5">
        <v>1.1595018087284057</v>
      </c>
      <c r="AR8" s="5">
        <v>0</v>
      </c>
      <c r="AS8" s="5">
        <v>3</v>
      </c>
    </row>
    <row r="9" spans="1:52" x14ac:dyDescent="0.25">
      <c r="B9" t="s">
        <v>79</v>
      </c>
      <c r="C9" t="s">
        <v>80</v>
      </c>
      <c r="D9" t="s">
        <v>81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1.7142857142857142</v>
      </c>
      <c r="P9" t="s">
        <v>99</v>
      </c>
      <c r="Q9" t="s">
        <v>95</v>
      </c>
      <c r="R9" t="s">
        <v>96</v>
      </c>
      <c r="S9" s="5">
        <v>4.2820889862360502E-4</v>
      </c>
      <c r="T9" s="5">
        <v>9.6867582719531832E-4</v>
      </c>
      <c r="U9" s="5">
        <v>1.3541154340027323E-3</v>
      </c>
      <c r="V9" s="5">
        <v>0</v>
      </c>
      <c r="W9" s="5">
        <v>4.2820889862360502E-3</v>
      </c>
      <c r="X9" s="5">
        <v>0</v>
      </c>
      <c r="Y9" s="5">
        <v>1</v>
      </c>
      <c r="AL9" t="s">
        <v>108</v>
      </c>
      <c r="AM9" t="s">
        <v>105</v>
      </c>
      <c r="AN9" t="s">
        <v>84</v>
      </c>
      <c r="AO9" s="5">
        <v>4.2820889862360502E-3</v>
      </c>
      <c r="AP9" s="5">
        <v>9.6867582719531841E-3</v>
      </c>
      <c r="AQ9" s="5">
        <v>1.3541154340027324E-2</v>
      </c>
      <c r="AR9" s="5">
        <v>0</v>
      </c>
      <c r="AS9" s="5">
        <v>4.2820889862360503E-2</v>
      </c>
    </row>
    <row r="10" spans="1:52" x14ac:dyDescent="0.25">
      <c r="B10" t="s">
        <v>82</v>
      </c>
      <c r="C10" t="s">
        <v>83</v>
      </c>
      <c r="D10" t="s">
        <v>84</v>
      </c>
      <c r="E10" s="5">
        <v>0.89639994310088222</v>
      </c>
      <c r="F10" s="5">
        <v>0</v>
      </c>
      <c r="G10" s="5">
        <v>0.18399810614913994</v>
      </c>
      <c r="H10" s="5">
        <v>0.1989500481391257</v>
      </c>
      <c r="I10" s="5">
        <v>0.62549209152124496</v>
      </c>
      <c r="J10" s="5">
        <v>1.2646828075141401</v>
      </c>
      <c r="K10" s="5">
        <v>0.62549209152124496</v>
      </c>
      <c r="L10" s="5">
        <v>1.4482512660618201</v>
      </c>
      <c r="M10" s="5">
        <v>1.8571428571428572</v>
      </c>
      <c r="Q10" t="s">
        <v>97</v>
      </c>
      <c r="R10" t="s">
        <v>96</v>
      </c>
      <c r="S10" s="5">
        <v>4.2820889862360502E-4</v>
      </c>
      <c r="T10" s="5">
        <v>9.6867582719531832E-4</v>
      </c>
      <c r="U10" s="5">
        <v>1.3541154340027323E-3</v>
      </c>
      <c r="V10" s="5">
        <v>0</v>
      </c>
      <c r="W10" s="5">
        <v>4.2820889862360502E-3</v>
      </c>
      <c r="X10" s="5">
        <v>0</v>
      </c>
      <c r="Y10" s="5">
        <v>1</v>
      </c>
      <c r="AL10" t="s">
        <v>109</v>
      </c>
      <c r="AM10" t="s">
        <v>110</v>
      </c>
      <c r="AN10" t="s">
        <v>84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</row>
    <row r="11" spans="1:52" x14ac:dyDescent="0.25">
      <c r="C11" t="s">
        <v>85</v>
      </c>
      <c r="D11" t="s">
        <v>84</v>
      </c>
      <c r="E11" s="5">
        <v>0.89639994310088222</v>
      </c>
      <c r="F11" s="5">
        <v>0</v>
      </c>
      <c r="G11" s="5">
        <v>0.18399810614913994</v>
      </c>
      <c r="H11" s="5">
        <v>0.1989500481391257</v>
      </c>
      <c r="I11" s="5">
        <v>0.62549209152124496</v>
      </c>
      <c r="J11" s="5">
        <v>1.2646828075141401</v>
      </c>
      <c r="K11" s="5">
        <v>0.62549209152124496</v>
      </c>
      <c r="L11" s="5">
        <v>1.4482512660618201</v>
      </c>
      <c r="M11" s="5">
        <v>1.8571428571428572</v>
      </c>
      <c r="Q11" t="s">
        <v>98</v>
      </c>
      <c r="R11" t="s">
        <v>96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111</v>
      </c>
      <c r="AM11" t="s">
        <v>101</v>
      </c>
      <c r="AN11" t="s">
        <v>84</v>
      </c>
      <c r="AO11" s="5">
        <v>0.1</v>
      </c>
      <c r="AP11" s="5">
        <v>0.22621571627982048</v>
      </c>
      <c r="AQ11" s="5">
        <v>0.31622776601683794</v>
      </c>
      <c r="AR11" s="5">
        <v>0</v>
      </c>
      <c r="AS11" s="5">
        <v>1</v>
      </c>
    </row>
    <row r="12" spans="1:52" x14ac:dyDescent="0.25">
      <c r="B12" t="s">
        <v>89</v>
      </c>
      <c r="C12" t="s">
        <v>83</v>
      </c>
      <c r="D12" t="s">
        <v>84</v>
      </c>
      <c r="E12" s="5">
        <v>4.2820889862360503E-2</v>
      </c>
      <c r="F12" s="5">
        <v>0</v>
      </c>
      <c r="G12" s="5">
        <v>2E+20</v>
      </c>
      <c r="H12" s="5">
        <v>0</v>
      </c>
      <c r="I12" s="5">
        <v>4.2820889862360503E-2</v>
      </c>
      <c r="J12" s="5">
        <v>4.2820889862360503E-2</v>
      </c>
      <c r="K12" s="5">
        <v>4.2820889862360503E-2</v>
      </c>
      <c r="L12" s="5">
        <v>4.2820889862360503E-2</v>
      </c>
      <c r="M12" s="5">
        <v>1</v>
      </c>
      <c r="AL12" t="s">
        <v>112</v>
      </c>
      <c r="AM12" t="s">
        <v>103</v>
      </c>
      <c r="AN12" t="s">
        <v>84</v>
      </c>
      <c r="AO12" s="5">
        <v>0.1</v>
      </c>
      <c r="AP12" s="5">
        <v>0.22621571627982048</v>
      </c>
      <c r="AQ12" s="5">
        <v>0.31622776601683794</v>
      </c>
      <c r="AR12" s="5">
        <v>0</v>
      </c>
      <c r="AS12" s="5">
        <v>1</v>
      </c>
    </row>
    <row r="13" spans="1:52" x14ac:dyDescent="0.25">
      <c r="C13" t="s">
        <v>85</v>
      </c>
      <c r="D13" t="s">
        <v>84</v>
      </c>
      <c r="E13" s="5">
        <v>4.2820889862360503E-2</v>
      </c>
      <c r="F13" s="5">
        <v>0</v>
      </c>
      <c r="G13" s="5">
        <v>2E+20</v>
      </c>
      <c r="H13" s="5">
        <v>0</v>
      </c>
      <c r="I13" s="5">
        <v>4.2820889862360503E-2</v>
      </c>
      <c r="J13" s="5">
        <v>4.2820889862360503E-2</v>
      </c>
      <c r="K13" s="5">
        <v>4.2820889862360503E-2</v>
      </c>
      <c r="L13" s="5">
        <v>4.2820889862360503E-2</v>
      </c>
      <c r="M13" s="5">
        <v>1</v>
      </c>
      <c r="AL13" t="s">
        <v>115</v>
      </c>
      <c r="AM13" t="s">
        <v>116</v>
      </c>
      <c r="AN13" t="s">
        <v>96</v>
      </c>
      <c r="AO13" s="5">
        <v>1.2</v>
      </c>
      <c r="AP13" s="5">
        <v>0.73881743557835977</v>
      </c>
      <c r="AQ13" s="5">
        <v>1.0327955589886444</v>
      </c>
      <c r="AR13" s="5">
        <v>0</v>
      </c>
      <c r="AS13" s="5">
        <v>3</v>
      </c>
    </row>
    <row r="14" spans="1:52" x14ac:dyDescent="0.25">
      <c r="C14" t="s">
        <v>90</v>
      </c>
      <c r="D14" t="s">
        <v>84</v>
      </c>
      <c r="E14" s="5">
        <v>0</v>
      </c>
      <c r="F14" s="5">
        <v>0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AL14" t="s">
        <v>117</v>
      </c>
      <c r="AM14" t="s">
        <v>118</v>
      </c>
      <c r="AN14" t="s">
        <v>96</v>
      </c>
      <c r="AO14" s="5">
        <v>3.5221434146433597E-2</v>
      </c>
      <c r="AP14" s="5">
        <v>2.2563325623827138E-2</v>
      </c>
      <c r="AQ14" s="5">
        <v>3.1541354302313002E-2</v>
      </c>
      <c r="AR14" s="5">
        <v>0</v>
      </c>
      <c r="AS14" s="5">
        <v>9.4430249510039699E-2</v>
      </c>
    </row>
    <row r="15" spans="1:52" x14ac:dyDescent="0.25">
      <c r="B15" t="s">
        <v>91</v>
      </c>
      <c r="C15" t="s">
        <v>80</v>
      </c>
      <c r="D15" t="s">
        <v>81</v>
      </c>
      <c r="E15" s="5">
        <v>0</v>
      </c>
      <c r="F15" s="5">
        <v>0</v>
      </c>
      <c r="G15" s="5">
        <v>2E+20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AL15" t="s">
        <v>119</v>
      </c>
      <c r="AM15" t="s">
        <v>116</v>
      </c>
      <c r="AN15" t="s">
        <v>96</v>
      </c>
      <c r="AO15" s="5">
        <v>0.1</v>
      </c>
      <c r="AP15" s="5">
        <v>0.22621571627982048</v>
      </c>
      <c r="AQ15" s="5">
        <v>0.31622776601683794</v>
      </c>
      <c r="AR15" s="5">
        <v>0</v>
      </c>
      <c r="AS15" s="5">
        <v>1</v>
      </c>
    </row>
    <row r="16" spans="1:52" x14ac:dyDescent="0.25">
      <c r="B16" t="s">
        <v>86</v>
      </c>
      <c r="C16" t="s">
        <v>87</v>
      </c>
      <c r="D16" t="s">
        <v>88</v>
      </c>
      <c r="E16" s="5">
        <v>1.1549560362247422</v>
      </c>
      <c r="F16" s="5">
        <v>0</v>
      </c>
      <c r="G16" s="5">
        <v>0.12918326093938498</v>
      </c>
      <c r="H16" s="5">
        <v>0.1396808723771748</v>
      </c>
      <c r="I16" s="5">
        <v>0.90670050851207395</v>
      </c>
      <c r="J16" s="5">
        <v>1.2966847225439999</v>
      </c>
      <c r="K16" s="5">
        <v>0.90670050851207395</v>
      </c>
      <c r="L16" s="5">
        <v>1.44444526096339</v>
      </c>
      <c r="M16" s="5">
        <v>1.5714285714285714</v>
      </c>
      <c r="AL16" t="s">
        <v>120</v>
      </c>
      <c r="AM16" t="s">
        <v>118</v>
      </c>
      <c r="AN16" t="s">
        <v>96</v>
      </c>
      <c r="AO16" s="5">
        <v>4.2820889862360502E-4</v>
      </c>
      <c r="AP16" s="5">
        <v>9.6867582719531832E-4</v>
      </c>
      <c r="AQ16" s="5">
        <v>1.3541154340027323E-3</v>
      </c>
      <c r="AR16" s="5">
        <v>0</v>
      </c>
      <c r="AS16" s="5">
        <v>4.2820889862360502E-3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16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5"/>
  <sheetViews>
    <sheetView workbookViewId="0">
      <selection activeCell="A2" sqref="A2:K6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3.4257812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2.285156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3</v>
      </c>
      <c r="L2" t="str">
        <f>DiscreteStatsTable[[#This Row],[ProjectName]]&amp;DiscreteStatsTable[[#This Row],[Name]]&amp;DiscreteStatsTable[[#This Row],[Type]]&amp;DiscreteStatsTable[[#This Row],[Source]]</f>
        <v>Escenario AEntity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7</v>
      </c>
      <c r="Y2">
        <f>IF(DiscreteStatsTable[[#This Row],[RepsRequested]]=DiscreteStatsTable[[#This Row],[RepsWithStatObserved]],1,0)</f>
        <v>0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0.31476749836679901</v>
      </c>
      <c r="H3">
        <v>2E+20</v>
      </c>
      <c r="I3">
        <v>0.30540879469462401</v>
      </c>
      <c r="J3">
        <v>0.32384291309847901</v>
      </c>
      <c r="K3">
        <v>3</v>
      </c>
      <c r="L3" t="str">
        <f>DiscreteStatsTable[[#This Row],[ProjectName]]&amp;DiscreteStatsTable[[#This Row],[Name]]&amp;DiscreteStatsTable[[#This Row],[Type]]&amp;DiscreteStatsTable[[#This Row],[Source]]</f>
        <v>Escenario AEntity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0.29858308340050005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0.27789899851861599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0.316324216597824</v>
      </c>
      <c r="T3" cm="1">
        <f t="array" ref="T3">MIN(IF((DiscreteStatsTable[GroupByKey]=DiscreteStatsTable[[#This Row],[GroupByKey]]),(DiscreteStatsTable[GroupByKey]=DiscreteStatsTable[[#This Row],[GroupByKey]])*DiscreteStatsTable[Minimum]))</f>
        <v>0.27789899851861599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0.32695218990624703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">
        <f>IF((DiscreteStatsTable[[#This Row],[RepsRequested]]&gt;1),DiscreteStatsTable[[#This Row],[HalfWidth]],DiscreteStatsTable[[#This Row],[BatchMeansHalfWidth]])</f>
        <v>1.4830500972157991E-2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7</v>
      </c>
      <c r="Y3">
        <f>IF(DiscreteStatsTable[[#This Row],[RepsRequested]]=DiscreteStatsTable[[#This Row],[RepsWithStatObserved]],1,0)</f>
        <v>0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1.1982488653007599</v>
      </c>
      <c r="H4">
        <v>2E+20</v>
      </c>
      <c r="I4">
        <v>1.16793665926422</v>
      </c>
      <c r="J4">
        <v>1.2389124258359101</v>
      </c>
      <c r="K4">
        <v>3</v>
      </c>
      <c r="L4" t="str">
        <f>DiscreteStatsTable[[#This Row],[ProjectName]]&amp;DiscreteStatsTable[[#This Row],[Name]]&amp;DiscreteStatsTable[[#This Row],[Type]]&amp;DiscreteStatsTable[[#This Row],[Source]]</f>
        <v>Escenario AEntity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1.1549560362247422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0.1396808723771748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0.90670050851207395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1.2966847225439999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0.90670050851207395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1.44444526096339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4">
        <f>IF((DiscreteStatsTable[[#This Row],[RepsRequested]]&gt;1),DiscreteStatsTable[[#This Row],[HalfWidth]],DiscreteStatsTable[[#This Row],[BatchMeansHalfWidth]])</f>
        <v>0.12918326093938498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7</v>
      </c>
      <c r="Y4">
        <f>IF(DiscreteStatsTable[[#This Row],[RepsRequested]]=DiscreteStatsTable[[#This Row],[RepsWithStatObserved]],1,0)</f>
        <v>0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3</v>
      </c>
      <c r="L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7</v>
      </c>
      <c r="Y5">
        <f>IF(DiscreteStatsTable[[#This Row],[RepsRequested]]=DiscreteStatsTable[[#This Row],[RepsWithStatObserved]],1,0)</f>
        <v>0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0.88348136693396495</v>
      </c>
      <c r="H6">
        <v>2E+20</v>
      </c>
      <c r="I6">
        <v>0.84409374616574295</v>
      </c>
      <c r="J6">
        <v>0.92386163852861503</v>
      </c>
      <c r="K6">
        <v>3</v>
      </c>
      <c r="L6" t="str">
        <f>DiscreteStatsTable[[#This Row],[ProjectName]]&amp;DiscreteStatsTable[[#This Row],[Name]]&amp;DiscreteStatsTable[[#This Row],[Type]]&amp;DiscreteStatsTable[[#This Row],[Source]]</f>
        <v>Escenario AEntity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0.85637295282424319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0.12806240860866075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0.62549209152124496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0.98449387557766699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0.62549209152124496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1.15288499081151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6">
        <f>IF((DiscreteStatsTable[[#This Row],[RepsRequested]]&gt;1),DiscreteStatsTable[[#This Row],[HalfWidth]],DiscreteStatsTable[[#This Row],[BatchMeansHalfWidth]])</f>
        <v>0.11843797412108756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7</v>
      </c>
      <c r="Y6">
        <f>IF(DiscreteStatsTable[[#This Row],[RepsRequested]]=DiscreteStatsTable[[#This Row],[RepsWithStatObserved]],1,0)</f>
        <v>0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3</v>
      </c>
      <c r="L7" t="str">
        <f>DiscreteStatsTable[[#This Row],[ProjectName]]&amp;DiscreteStatsTable[[#This Row],[Name]]&amp;DiscreteStatsTable[[#This Row],[Type]]&amp;DiscreteStatsTable[[#This Row],[Source]]</f>
        <v>Escenario AEntity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7</v>
      </c>
      <c r="Y7">
        <f>IF(DiscreteStatsTable[[#This Row],[RepsRequested]]=DiscreteStatsTable[[#This Row],[RepsWithStatObserved]],1,0)</f>
        <v>0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2</v>
      </c>
      <c r="L8" t="str">
        <f>DiscreteStatsTable[[#This Row],[ProjectName]]&amp;DiscreteStatsTable[[#This Row],[Name]]&amp;DiscreteStatsTable[[#This Row],[Type]]&amp;DiscreteStatsTable[[#This Row],[Source]]</f>
        <v>Escenario AEntity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7</v>
      </c>
      <c r="Y8">
        <f>IF(DiscreteStatsTable[[#This Row],[RepsRequested]]=DiscreteStatsTable[[#This Row],[RepsWithStatObserved]],1,0)</f>
        <v>0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0.29563517302185399</v>
      </c>
      <c r="H9">
        <v>2E+20</v>
      </c>
      <c r="I9">
        <v>0.29156027015187802</v>
      </c>
      <c r="J9">
        <v>0.29971007589182902</v>
      </c>
      <c r="K9">
        <v>2</v>
      </c>
      <c r="L9" t="str">
        <f>DiscreteStatsTable[[#This Row],[ProjectName]]&amp;DiscreteStatsTable[[#This Row],[Name]]&amp;DiscreteStatsTable[[#This Row],[Type]]&amp;DiscreteStatsTable[[#This Row],[Source]]</f>
        <v>Escenario AEntity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0.29858308340050005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0.27789899851861599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0.316324216597824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0.27789899851861599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0.32695218990624703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9">
        <f>IF((DiscreteStatsTable[[#This Row],[RepsRequested]]&gt;1),DiscreteStatsTable[[#This Row],[HalfWidth]],DiscreteStatsTable[[#This Row],[BatchMeansHalfWidth]])</f>
        <v>1.4830500972157991E-2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7</v>
      </c>
      <c r="Y9">
        <f>IF(DiscreteStatsTable[[#This Row],[RepsRequested]]=DiscreteStatsTable[[#This Row],[RepsWithStatObserved]],1,0)</f>
        <v>0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1.2349223120231101</v>
      </c>
      <c r="H10">
        <v>2E+20</v>
      </c>
      <c r="I10">
        <v>1.02539936308283</v>
      </c>
      <c r="J10">
        <v>1.44444526096339</v>
      </c>
      <c r="K10">
        <v>2</v>
      </c>
      <c r="L10" t="str">
        <f>DiscreteStatsTable[[#This Row],[ProjectName]]&amp;DiscreteStatsTable[[#This Row],[Name]]&amp;DiscreteStatsTable[[#This Row],[Type]]&amp;DiscreteStatsTable[[#This Row],[Source]]</f>
        <v>Escenario AEntity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1.1549560362247422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0.1396808723771748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0.90670050851207395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1.2966847225439999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0.90670050851207395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1.44444526096339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0">
        <f>IF((DiscreteStatsTable[[#This Row],[RepsRequested]]&gt;1),DiscreteStatsTable[[#This Row],[HalfWidth]],DiscreteStatsTable[[#This Row],[BatchMeansHalfWidth]])</f>
        <v>0.12918326093938498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7</v>
      </c>
      <c r="Y10">
        <f>IF(DiscreteStatsTable[[#This Row],[RepsRequested]]=DiscreteStatsTable[[#This Row],[RepsWithStatObserved]],1,0)</f>
        <v>0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2</v>
      </c>
      <c r="L11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7</v>
      </c>
      <c r="Y11">
        <f>IF(DiscreteStatsTable[[#This Row],[RepsRequested]]=DiscreteStatsTable[[#This Row],[RepsWithStatObserved]],1,0)</f>
        <v>0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0.93928713900125504</v>
      </c>
      <c r="H12">
        <v>2E+20</v>
      </c>
      <c r="I12">
        <v>0.72568928719099701</v>
      </c>
      <c r="J12">
        <v>1.15288499081151</v>
      </c>
      <c r="K12">
        <v>2</v>
      </c>
      <c r="L12" t="str">
        <f>DiscreteStatsTable[[#This Row],[ProjectName]]&amp;DiscreteStatsTable[[#This Row],[Name]]&amp;DiscreteStatsTable[[#This Row],[Type]]&amp;DiscreteStatsTable[[#This Row],[Source]]</f>
        <v>Escenario AEntity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0.85637295282424319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0.12806240860866075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0.62549209152124496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0.98449387557766699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0.62549209152124496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1.15288499081151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2">
        <f>IF((DiscreteStatsTable[[#This Row],[RepsRequested]]&gt;1),DiscreteStatsTable[[#This Row],[HalfWidth]],DiscreteStatsTable[[#This Row],[BatchMeansHalfWidth]])</f>
        <v>0.11843797412108756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7</v>
      </c>
      <c r="Y12">
        <f>IF(DiscreteStatsTable[[#This Row],[RepsRequested]]=DiscreteStatsTable[[#This Row],[RepsWithStatObserved]],1,0)</f>
        <v>0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2</v>
      </c>
      <c r="L13" t="str">
        <f>DiscreteStatsTable[[#This Row],[ProjectName]]&amp;DiscreteStatsTable[[#This Row],[Name]]&amp;DiscreteStatsTable[[#This Row],[Type]]&amp;DiscreteStatsTable[[#This Row],[Source]]</f>
        <v>Escenario AEntity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7</v>
      </c>
      <c r="Y13">
        <f>IF(DiscreteStatsTable[[#This Row],[RepsRequested]]=DiscreteStatsTable[[#This Row],[RepsWithStatObserved]],1,0)</f>
        <v>0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1</v>
      </c>
      <c r="L14" t="str">
        <f>DiscreteStatsTable[[#This Row],[ProjectName]]&amp;DiscreteStatsTable[[#This Row],[Name]]&amp;DiscreteStatsTable[[#This Row],[Type]]&amp;DiscreteStatsTable[[#This Row],[Source]]</f>
        <v>Escenario AEntity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7</v>
      </c>
      <c r="Y14">
        <f>IF(DiscreteStatsTable[[#This Row],[RepsRequested]]=DiscreteStatsTable[[#This Row],[RepsWithStatObserved]],1,0)</f>
        <v>0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0.29205643334124298</v>
      </c>
      <c r="H15">
        <v>2E+20</v>
      </c>
      <c r="I15">
        <v>0.29205643334124298</v>
      </c>
      <c r="J15">
        <v>0.29205643334124298</v>
      </c>
      <c r="K15">
        <v>1</v>
      </c>
      <c r="L15" t="str">
        <f>DiscreteStatsTable[[#This Row],[ProjectName]]&amp;DiscreteStatsTable[[#This Row],[Name]]&amp;DiscreteStatsTable[[#This Row],[Type]]&amp;DiscreteStatsTable[[#This Row],[Source]]</f>
        <v>Escenario AEntity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0.29858308340050005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0.27789899851861599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0.316324216597824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0.27789899851861599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0.32695218990624703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5">
        <f>IF((DiscreteStatsTable[[#This Row],[RepsRequested]]&gt;1),DiscreteStatsTable[[#This Row],[HalfWidth]],DiscreteStatsTable[[#This Row],[BatchMeansHalfWidth]])</f>
        <v>1.4830500972157991E-2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7</v>
      </c>
      <c r="Y15">
        <f>IF(DiscreteStatsTable[[#This Row],[RepsRequested]]=DiscreteStatsTable[[#This Row],[RepsWithStatObserved]],1,0)</f>
        <v>0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1.0453723319117101</v>
      </c>
      <c r="H16">
        <v>2E+20</v>
      </c>
      <c r="I16">
        <v>1.0453723319117101</v>
      </c>
      <c r="J16">
        <v>1.0453723319117101</v>
      </c>
      <c r="K16">
        <v>1</v>
      </c>
      <c r="L16" t="str">
        <f>DiscreteStatsTable[[#This Row],[ProjectName]]&amp;DiscreteStatsTable[[#This Row],[Name]]&amp;DiscreteStatsTable[[#This Row],[Type]]&amp;DiscreteStatsTable[[#This Row],[Source]]</f>
        <v>Escenario AEntity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1.1549560362247422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0.1396808723771748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0.90670050851207395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1.2966847225439999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0.90670050851207395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1.44444526096339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6">
        <f>IF((DiscreteStatsTable[[#This Row],[RepsRequested]]&gt;1),DiscreteStatsTable[[#This Row],[HalfWidth]],DiscreteStatsTable[[#This Row],[BatchMeansHalfWidth]])</f>
        <v>0.12918326093938498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7</v>
      </c>
      <c r="Y16">
        <f>IF(DiscreteStatsTable[[#This Row],[RepsRequested]]=DiscreteStatsTable[[#This Row],[RepsWithStatObserved]],1,0)</f>
        <v>0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1</v>
      </c>
      <c r="L17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7</v>
      </c>
      <c r="Y17">
        <f>IF(DiscreteStatsTable[[#This Row],[RepsRequested]]=DiscreteStatsTable[[#This Row],[RepsWithStatObserved]],1,0)</f>
        <v>0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0.75331589857046299</v>
      </c>
      <c r="H18">
        <v>2E+20</v>
      </c>
      <c r="I18">
        <v>0.75331589857046299</v>
      </c>
      <c r="J18">
        <v>0.75331589857046299</v>
      </c>
      <c r="K18">
        <v>1</v>
      </c>
      <c r="L18" t="str">
        <f>DiscreteStatsTable[[#This Row],[ProjectName]]&amp;DiscreteStatsTable[[#This Row],[Name]]&amp;DiscreteStatsTable[[#This Row],[Type]]&amp;DiscreteStatsTable[[#This Row],[Source]]</f>
        <v>Escenario AEntity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0.85637295282424319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0.12806240860866075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0.62549209152124496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0.98449387557766699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0.62549209152124496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1.15288499081151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8">
        <f>IF((DiscreteStatsTable[[#This Row],[RepsRequested]]&gt;1),DiscreteStatsTable[[#This Row],[HalfWidth]],DiscreteStatsTable[[#This Row],[BatchMeansHalfWidth]])</f>
        <v>0.11843797412108756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7</v>
      </c>
      <c r="Y18">
        <f>IF(DiscreteStatsTable[[#This Row],[RepsRequested]]=DiscreteStatsTable[[#This Row],[RepsWithStatObserved]],1,0)</f>
        <v>0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1</v>
      </c>
      <c r="L19" t="str">
        <f>DiscreteStatsTable[[#This Row],[ProjectName]]&amp;DiscreteStatsTable[[#This Row],[Name]]&amp;DiscreteStatsTable[[#This Row],[Type]]&amp;DiscreteStatsTable[[#This Row],[Source]]</f>
        <v>Escenario AEntity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7</v>
      </c>
      <c r="Y19">
        <f>IF(DiscreteStatsTable[[#This Row],[RepsRequested]]=DiscreteStatsTable[[#This Row],[RepsWithStatObserved]],1,0)</f>
        <v>0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1</v>
      </c>
      <c r="L20" t="str">
        <f>DiscreteStatsTable[[#This Row],[ProjectName]]&amp;DiscreteStatsTable[[#This Row],[Name]]&amp;DiscreteStatsTable[[#This Row],[Type]]&amp;DiscreteStatsTable[[#This Row],[Source]]</f>
        <v>Escenario AEntity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7</v>
      </c>
      <c r="Y20">
        <f>IF(DiscreteStatsTable[[#This Row],[RepsRequested]]=DiscreteStatsTable[[#This Row],[RepsWithStatObserved]],1,0)</f>
        <v>0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0.31219084696633498</v>
      </c>
      <c r="H21">
        <v>2E+20</v>
      </c>
      <c r="I21">
        <v>0.31219084696633498</v>
      </c>
      <c r="J21">
        <v>0.31219084696633498</v>
      </c>
      <c r="K21">
        <v>1</v>
      </c>
      <c r="L21" t="str">
        <f>DiscreteStatsTable[[#This Row],[ProjectName]]&amp;DiscreteStatsTable[[#This Row],[Name]]&amp;DiscreteStatsTable[[#This Row],[Type]]&amp;DiscreteStatsTable[[#This Row],[Source]]</f>
        <v>Escenario AEntity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0.29858308340050005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0.27789899851861599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0.316324216597824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0.27789899851861599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0.32695218990624703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1">
        <f>IF((DiscreteStatsTable[[#This Row],[RepsRequested]]&gt;1),DiscreteStatsTable[[#This Row],[HalfWidth]],DiscreteStatsTable[[#This Row],[BatchMeansHalfWidth]])</f>
        <v>1.4830500972157991E-2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7</v>
      </c>
      <c r="Y21">
        <f>IF(DiscreteStatsTable[[#This Row],[RepsRequested]]=DiscreteStatsTable[[#This Row],[RepsWithStatObserved]],1,0)</f>
        <v>0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1.2966847225439999</v>
      </c>
      <c r="H22">
        <v>2E+20</v>
      </c>
      <c r="I22">
        <v>1.2966847225439999</v>
      </c>
      <c r="J22">
        <v>1.2966847225439999</v>
      </c>
      <c r="K22">
        <v>1</v>
      </c>
      <c r="L22" t="str">
        <f>DiscreteStatsTable[[#This Row],[ProjectName]]&amp;DiscreteStatsTable[[#This Row],[Name]]&amp;DiscreteStatsTable[[#This Row],[Type]]&amp;DiscreteStatsTable[[#This Row],[Source]]</f>
        <v>Escenario AEntity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1.1549560362247422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0.1396808723771748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0.90670050851207395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1.2966847225439999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0.90670050851207395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1.44444526096339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2">
        <f>IF((DiscreteStatsTable[[#This Row],[RepsRequested]]&gt;1),DiscreteStatsTable[[#This Row],[HalfWidth]],DiscreteStatsTable[[#This Row],[BatchMeansHalfWidth]])</f>
        <v>0.12918326093938498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7</v>
      </c>
      <c r="Y22">
        <f>IF(DiscreteStatsTable[[#This Row],[RepsRequested]]=DiscreteStatsTable[[#This Row],[RepsWithStatObserved]],1,0)</f>
        <v>0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0</v>
      </c>
      <c r="H23">
        <v>2E+20</v>
      </c>
      <c r="I23">
        <v>0</v>
      </c>
      <c r="J23">
        <v>0</v>
      </c>
      <c r="K23">
        <v>1</v>
      </c>
      <c r="L23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7</v>
      </c>
      <c r="Y23">
        <f>IF(DiscreteStatsTable[[#This Row],[RepsRequested]]=DiscreteStatsTable[[#This Row],[RepsWithStatObserved]],1,0)</f>
        <v>0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0.98449387557766699</v>
      </c>
      <c r="H24">
        <v>2E+20</v>
      </c>
      <c r="I24">
        <v>0.98449387557766699</v>
      </c>
      <c r="J24">
        <v>0.98449387557766699</v>
      </c>
      <c r="K24">
        <v>1</v>
      </c>
      <c r="L24" t="str">
        <f>DiscreteStatsTable[[#This Row],[ProjectName]]&amp;DiscreteStatsTable[[#This Row],[Name]]&amp;DiscreteStatsTable[[#This Row],[Type]]&amp;DiscreteStatsTable[[#This Row],[Source]]</f>
        <v>Escenario AEntity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0.85637295282424319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0.12806240860866075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0.62549209152124496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0.98449387557766699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0.62549209152124496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1.15288499081151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4">
        <f>IF((DiscreteStatsTable[[#This Row],[RepsRequested]]&gt;1),DiscreteStatsTable[[#This Row],[HalfWidth]],DiscreteStatsTable[[#This Row],[BatchMeansHalfWidth]])</f>
        <v>0.11843797412108756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7</v>
      </c>
      <c r="Y24">
        <f>IF(DiscreteStatsTable[[#This Row],[RepsRequested]]=DiscreteStatsTable[[#This Row],[RepsWithStatObserved]],1,0)</f>
        <v>0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0</v>
      </c>
      <c r="H25">
        <v>2E+20</v>
      </c>
      <c r="I25">
        <v>0</v>
      </c>
      <c r="J25">
        <v>0</v>
      </c>
      <c r="K25">
        <v>1</v>
      </c>
      <c r="L25" t="str">
        <f>DiscreteStatsTable[[#This Row],[ProjectName]]&amp;DiscreteStatsTable[[#This Row],[Name]]&amp;DiscreteStatsTable[[#This Row],[Type]]&amp;DiscreteStatsTable[[#This Row],[Source]]</f>
        <v>Escenario AEntity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7</v>
      </c>
      <c r="Y25">
        <f>IF(DiscreteStatsTable[[#This Row],[RepsRequested]]=DiscreteStatsTable[[#This Row],[RepsWithStatObserved]],1,0)</f>
        <v>0</v>
      </c>
    </row>
    <row r="26" spans="1:25" x14ac:dyDescent="0.25">
      <c r="A26" t="s">
        <v>68</v>
      </c>
      <c r="B26" t="s">
        <v>70</v>
      </c>
      <c r="C26">
        <v>7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1</v>
      </c>
      <c r="L26" t="str">
        <f>DiscreteStatsTable[[#This Row],[ProjectName]]&amp;DiscreteStatsTable[[#This Row],[Name]]&amp;DiscreteStatsTable[[#This Row],[Type]]&amp;DiscreteStatsTable[[#This Row],[Source]]</f>
        <v>Escenario AEntity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7</v>
      </c>
      <c r="Y26">
        <f>IF(DiscreteStatsTable[[#This Row],[RepsRequested]]=DiscreteStatsTable[[#This Row],[RepsWithStatObserved]],1,0)</f>
        <v>0</v>
      </c>
    </row>
    <row r="27" spans="1:25" x14ac:dyDescent="0.25">
      <c r="A27" t="s">
        <v>68</v>
      </c>
      <c r="B27" t="s">
        <v>70</v>
      </c>
      <c r="C27">
        <v>7</v>
      </c>
      <c r="D27" t="s">
        <v>71</v>
      </c>
      <c r="E27" t="s">
        <v>74</v>
      </c>
      <c r="F27" t="s">
        <v>73</v>
      </c>
      <c r="G27">
        <v>0.28120841699082899</v>
      </c>
      <c r="H27">
        <v>2E+20</v>
      </c>
      <c r="I27">
        <v>0.28120841699082899</v>
      </c>
      <c r="J27">
        <v>0.28120841699082899</v>
      </c>
      <c r="K27">
        <v>1</v>
      </c>
      <c r="L27" t="str">
        <f>DiscreteStatsTable[[#This Row],[ProjectName]]&amp;DiscreteStatsTable[[#This Row],[Name]]&amp;DiscreteStatsTable[[#This Row],[Type]]&amp;DiscreteStatsTable[[#This Row],[Source]]</f>
        <v>Escenario AEntity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0.29858308340050005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0.27789899851861599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0.316324216597824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0.27789899851861599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0.32695218990624703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7">
        <f>IF((DiscreteStatsTable[[#This Row],[RepsRequested]]&gt;1),DiscreteStatsTable[[#This Row],[HalfWidth]],DiscreteStatsTable[[#This Row],[BatchMeansHalfWidth]])</f>
        <v>1.4830500972157991E-2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7</v>
      </c>
      <c r="Y27">
        <f>IF(DiscreteStatsTable[[#This Row],[RepsRequested]]=DiscreteStatsTable[[#This Row],[RepsWithStatObserved]],1,0)</f>
        <v>0</v>
      </c>
    </row>
    <row r="28" spans="1:25" x14ac:dyDescent="0.25">
      <c r="A28" t="s">
        <v>68</v>
      </c>
      <c r="B28" t="s">
        <v>70</v>
      </c>
      <c r="C28">
        <v>7</v>
      </c>
      <c r="D28" t="s">
        <v>71</v>
      </c>
      <c r="E28" t="s">
        <v>75</v>
      </c>
      <c r="F28" t="s">
        <v>73</v>
      </c>
      <c r="G28">
        <v>0.90670050851207395</v>
      </c>
      <c r="H28">
        <v>2E+20</v>
      </c>
      <c r="I28">
        <v>0.90670050851207395</v>
      </c>
      <c r="J28">
        <v>0.90670050851207395</v>
      </c>
      <c r="K28">
        <v>1</v>
      </c>
      <c r="L28" t="str">
        <f>DiscreteStatsTable[[#This Row],[ProjectName]]&amp;DiscreteStatsTable[[#This Row],[Name]]&amp;DiscreteStatsTable[[#This Row],[Type]]&amp;DiscreteStatsTable[[#This Row],[Source]]</f>
        <v>Escenario AEntity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1.1549560362247422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0.1396808723771748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0.90670050851207395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1.2966847225439999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0.90670050851207395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1.44444526096339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8">
        <f>IF((DiscreteStatsTable[[#This Row],[RepsRequested]]&gt;1),DiscreteStatsTable[[#This Row],[HalfWidth]],DiscreteStatsTable[[#This Row],[BatchMeansHalfWidth]])</f>
        <v>0.12918326093938498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7</v>
      </c>
      <c r="Y28">
        <f>IF(DiscreteStatsTable[[#This Row],[RepsRequested]]=DiscreteStatsTable[[#This Row],[RepsWithStatObserved]],1,0)</f>
        <v>0</v>
      </c>
    </row>
    <row r="29" spans="1:25" x14ac:dyDescent="0.25">
      <c r="A29" t="s">
        <v>68</v>
      </c>
      <c r="B29" t="s">
        <v>70</v>
      </c>
      <c r="C29">
        <v>7</v>
      </c>
      <c r="D29" t="s">
        <v>71</v>
      </c>
      <c r="E29" t="s">
        <v>76</v>
      </c>
      <c r="F29" t="s">
        <v>73</v>
      </c>
      <c r="G29">
        <v>0</v>
      </c>
      <c r="H29">
        <v>2E+20</v>
      </c>
      <c r="I29">
        <v>0</v>
      </c>
      <c r="J29">
        <v>0</v>
      </c>
      <c r="K29">
        <v>1</v>
      </c>
      <c r="L29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7</v>
      </c>
      <c r="Y29">
        <f>IF(DiscreteStatsTable[[#This Row],[RepsRequested]]=DiscreteStatsTable[[#This Row],[RepsWithStatObserved]],1,0)</f>
        <v>0</v>
      </c>
    </row>
    <row r="30" spans="1:25" x14ac:dyDescent="0.25">
      <c r="A30" t="s">
        <v>68</v>
      </c>
      <c r="B30" t="s">
        <v>70</v>
      </c>
      <c r="C30">
        <v>7</v>
      </c>
      <c r="D30" t="s">
        <v>71</v>
      </c>
      <c r="E30" t="s">
        <v>77</v>
      </c>
      <c r="F30" t="s">
        <v>73</v>
      </c>
      <c r="G30">
        <v>0.62549209152124496</v>
      </c>
      <c r="H30">
        <v>2E+20</v>
      </c>
      <c r="I30">
        <v>0.62549209152124496</v>
      </c>
      <c r="J30">
        <v>0.62549209152124496</v>
      </c>
      <c r="K30">
        <v>1</v>
      </c>
      <c r="L30" t="str">
        <f>DiscreteStatsTable[[#This Row],[ProjectName]]&amp;DiscreteStatsTable[[#This Row],[Name]]&amp;DiscreteStatsTable[[#This Row],[Type]]&amp;DiscreteStatsTable[[#This Row],[Source]]</f>
        <v>Escenario AEntity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0.85637295282424319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0.12806240860866075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0.62549209152124496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0.98449387557766699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0.62549209152124496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1.15288499081151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0">
        <f>IF((DiscreteStatsTable[[#This Row],[RepsRequested]]&gt;1),DiscreteStatsTable[[#This Row],[HalfWidth]],DiscreteStatsTable[[#This Row],[BatchMeansHalfWidth]])</f>
        <v>0.11843797412108756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7</v>
      </c>
      <c r="Y30">
        <f>IF(DiscreteStatsTable[[#This Row],[RepsRequested]]=DiscreteStatsTable[[#This Row],[RepsWithStatObserved]],1,0)</f>
        <v>0</v>
      </c>
    </row>
    <row r="31" spans="1:25" x14ac:dyDescent="0.25">
      <c r="A31" t="s">
        <v>68</v>
      </c>
      <c r="B31" t="s">
        <v>70</v>
      </c>
      <c r="C31">
        <v>7</v>
      </c>
      <c r="D31" t="s">
        <v>71</v>
      </c>
      <c r="E31" t="s">
        <v>78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1</v>
      </c>
      <c r="L31" t="str">
        <f>DiscreteStatsTable[[#This Row],[ProjectName]]&amp;DiscreteStatsTable[[#This Row],[Name]]&amp;DiscreteStatsTable[[#This Row],[Type]]&amp;DiscreteStatsTable[[#This Row],[Source]]</f>
        <v>Escenario AEntity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7</v>
      </c>
      <c r="Y31">
        <f>IF(DiscreteStatsTable[[#This Row],[RepsRequested]]=DiscreteStatsTable[[#This Row],[RepsWithStatObserved]],1,0)</f>
        <v>0</v>
      </c>
    </row>
    <row r="32" spans="1:25" x14ac:dyDescent="0.25">
      <c r="A32" t="s">
        <v>68</v>
      </c>
      <c r="B32" t="s">
        <v>70</v>
      </c>
      <c r="C32">
        <v>8</v>
      </c>
      <c r="D32" t="s">
        <v>71</v>
      </c>
      <c r="E32" t="s">
        <v>72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1</v>
      </c>
      <c r="L32" t="str">
        <f>DiscreteStatsTable[[#This Row],[ProjectName]]&amp;DiscreteStatsTable[[#This Row],[Name]]&amp;DiscreteStatsTable[[#This Row],[Type]]&amp;DiscreteStatsTable[[#This Row],[Source]]</f>
        <v>Escenario AEntity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7</v>
      </c>
      <c r="Y32">
        <f>IF(DiscreteStatsTable[[#This Row],[RepsRequested]]=DiscreteStatsTable[[#This Row],[RepsWithStatObserved]],1,0)</f>
        <v>0</v>
      </c>
    </row>
    <row r="33" spans="1:25" x14ac:dyDescent="0.25">
      <c r="A33" t="s">
        <v>68</v>
      </c>
      <c r="B33" t="s">
        <v>70</v>
      </c>
      <c r="C33">
        <v>8</v>
      </c>
      <c r="D33" t="s">
        <v>71</v>
      </c>
      <c r="E33" t="s">
        <v>74</v>
      </c>
      <c r="F33" t="s">
        <v>73</v>
      </c>
      <c r="G33">
        <v>0.27789899851861599</v>
      </c>
      <c r="H33">
        <v>2E+20</v>
      </c>
      <c r="I33">
        <v>0.27789899851861599</v>
      </c>
      <c r="J33">
        <v>0.27789899851861599</v>
      </c>
      <c r="K33">
        <v>1</v>
      </c>
      <c r="L33" t="str">
        <f>DiscreteStatsTable[[#This Row],[ProjectName]]&amp;DiscreteStatsTable[[#This Row],[Name]]&amp;DiscreteStatsTable[[#This Row],[Type]]&amp;DiscreteStatsTable[[#This Row],[Source]]</f>
        <v>Escenario AEntity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0.29858308340050005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0.27789899851861599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0.316324216597824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0.27789899851861599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0.32695218990624703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3">
        <f>IF((DiscreteStatsTable[[#This Row],[RepsRequested]]&gt;1),DiscreteStatsTable[[#This Row],[HalfWidth]],DiscreteStatsTable[[#This Row],[BatchMeansHalfWidth]])</f>
        <v>1.4830500972157991E-2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7</v>
      </c>
      <c r="Y33">
        <f>IF(DiscreteStatsTable[[#This Row],[RepsRequested]]=DiscreteStatsTable[[#This Row],[RepsWithStatObserved]],1,0)</f>
        <v>0</v>
      </c>
    </row>
    <row r="34" spans="1:25" x14ac:dyDescent="0.25">
      <c r="A34" t="s">
        <v>68</v>
      </c>
      <c r="B34" t="s">
        <v>70</v>
      </c>
      <c r="C34">
        <v>8</v>
      </c>
      <c r="D34" t="s">
        <v>71</v>
      </c>
      <c r="E34" t="s">
        <v>75</v>
      </c>
      <c r="F34" t="s">
        <v>73</v>
      </c>
      <c r="G34">
        <v>1.12803841514036</v>
      </c>
      <c r="H34">
        <v>2E+20</v>
      </c>
      <c r="I34">
        <v>1.12803841514036</v>
      </c>
      <c r="J34">
        <v>1.12803841514036</v>
      </c>
      <c r="K34">
        <v>1</v>
      </c>
      <c r="L34" t="str">
        <f>DiscreteStatsTable[[#This Row],[ProjectName]]&amp;DiscreteStatsTable[[#This Row],[Name]]&amp;DiscreteStatsTable[[#This Row],[Type]]&amp;DiscreteStatsTable[[#This Row],[Source]]</f>
        <v>Escenario AEntity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1.1549560362247422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0.1396808723771748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0.90670050851207395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1.2966847225439999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0.90670050851207395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1.44444526096339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4">
        <f>IF((DiscreteStatsTable[[#This Row],[RepsRequested]]&gt;1),DiscreteStatsTable[[#This Row],[HalfWidth]],DiscreteStatsTable[[#This Row],[BatchMeansHalfWidth]])</f>
        <v>0.12918326093938498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7</v>
      </c>
      <c r="Y34">
        <f>IF(DiscreteStatsTable[[#This Row],[RepsRequested]]=DiscreteStatsTable[[#This Row],[RepsWithStatObserved]],1,0)</f>
        <v>0</v>
      </c>
    </row>
    <row r="35" spans="1:25" x14ac:dyDescent="0.25">
      <c r="A35" t="s">
        <v>68</v>
      </c>
      <c r="B35" t="s">
        <v>70</v>
      </c>
      <c r="C35">
        <v>8</v>
      </c>
      <c r="D35" t="s">
        <v>71</v>
      </c>
      <c r="E35" t="s">
        <v>76</v>
      </c>
      <c r="F35" t="s">
        <v>73</v>
      </c>
      <c r="G35">
        <v>0</v>
      </c>
      <c r="H35">
        <v>2E+20</v>
      </c>
      <c r="I35">
        <v>0</v>
      </c>
      <c r="J35">
        <v>0</v>
      </c>
      <c r="K35">
        <v>1</v>
      </c>
      <c r="L35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7</v>
      </c>
      <c r="Y35">
        <f>IF(DiscreteStatsTable[[#This Row],[RepsRequested]]=DiscreteStatsTable[[#This Row],[RepsWithStatObserved]],1,0)</f>
        <v>0</v>
      </c>
    </row>
    <row r="36" spans="1:25" x14ac:dyDescent="0.25">
      <c r="A36" t="s">
        <v>68</v>
      </c>
      <c r="B36" t="s">
        <v>70</v>
      </c>
      <c r="C36">
        <v>8</v>
      </c>
      <c r="D36" t="s">
        <v>71</v>
      </c>
      <c r="E36" t="s">
        <v>77</v>
      </c>
      <c r="F36" t="s">
        <v>73</v>
      </c>
      <c r="G36">
        <v>0.85013941662174697</v>
      </c>
      <c r="H36">
        <v>2E+20</v>
      </c>
      <c r="I36">
        <v>0.85013941662174697</v>
      </c>
      <c r="J36">
        <v>0.85013941662174697</v>
      </c>
      <c r="K36">
        <v>1</v>
      </c>
      <c r="L36" t="str">
        <f>DiscreteStatsTable[[#This Row],[ProjectName]]&amp;DiscreteStatsTable[[#This Row],[Name]]&amp;DiscreteStatsTable[[#This Row],[Type]]&amp;DiscreteStatsTable[[#This Row],[Source]]</f>
        <v>Escenario AEntity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0.85637295282424319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0.12806240860866075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0.62549209152124496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0.98449387557766699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0.62549209152124496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1.15288499081151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6">
        <f>IF((DiscreteStatsTable[[#This Row],[RepsRequested]]&gt;1),DiscreteStatsTable[[#This Row],[HalfWidth]],DiscreteStatsTable[[#This Row],[BatchMeansHalfWidth]])</f>
        <v>0.11843797412108756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7</v>
      </c>
      <c r="Y36">
        <f>IF(DiscreteStatsTable[[#This Row],[RepsRequested]]=DiscreteStatsTable[[#This Row],[RepsWithStatObserved]],1,0)</f>
        <v>0</v>
      </c>
    </row>
    <row r="37" spans="1:25" x14ac:dyDescent="0.25">
      <c r="A37" t="s">
        <v>68</v>
      </c>
      <c r="B37" t="s">
        <v>70</v>
      </c>
      <c r="C37">
        <v>8</v>
      </c>
      <c r="D37" t="s">
        <v>71</v>
      </c>
      <c r="E37" t="s">
        <v>78</v>
      </c>
      <c r="F37" t="s">
        <v>73</v>
      </c>
      <c r="G37">
        <v>0</v>
      </c>
      <c r="H37">
        <v>2E+20</v>
      </c>
      <c r="I37">
        <v>0</v>
      </c>
      <c r="J37">
        <v>0</v>
      </c>
      <c r="K37">
        <v>1</v>
      </c>
      <c r="L37" t="str">
        <f>DiscreteStatsTable[[#This Row],[ProjectName]]&amp;DiscreteStatsTable[[#This Row],[Name]]&amp;DiscreteStatsTable[[#This Row],[Type]]&amp;DiscreteStatsTable[[#This Row],[Source]]</f>
        <v>Escenario AEntity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7</v>
      </c>
      <c r="Y37">
        <f>IF(DiscreteStatsTable[[#This Row],[RepsRequested]]=DiscreteStatsTable[[#This Row],[RepsWithStatObserved]],1,0)</f>
        <v>0</v>
      </c>
    </row>
    <row r="38" spans="1:25" x14ac:dyDescent="0.25">
      <c r="A38" t="s">
        <v>68</v>
      </c>
      <c r="B38" t="s">
        <v>70</v>
      </c>
      <c r="C38">
        <v>10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2</v>
      </c>
      <c r="L38" t="str">
        <f>DiscreteStatsTable[[#This Row],[ProjectName]]&amp;DiscreteStatsTable[[#This Row],[Name]]&amp;DiscreteStatsTable[[#This Row],[Type]]&amp;DiscreteStatsTable[[#This Row],[Source]]</f>
        <v>Escenario AEntity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7</v>
      </c>
      <c r="Y38">
        <f>IF(DiscreteStatsTable[[#This Row],[RepsRequested]]=DiscreteStatsTable[[#This Row],[RepsWithStatObserved]],1,0)</f>
        <v>0</v>
      </c>
    </row>
    <row r="39" spans="1:25" x14ac:dyDescent="0.25">
      <c r="A39" t="s">
        <v>68</v>
      </c>
      <c r="B39" t="s">
        <v>70</v>
      </c>
      <c r="C39">
        <v>10</v>
      </c>
      <c r="D39" t="s">
        <v>71</v>
      </c>
      <c r="E39" t="s">
        <v>74</v>
      </c>
      <c r="F39" t="s">
        <v>73</v>
      </c>
      <c r="G39">
        <v>0.316324216597824</v>
      </c>
      <c r="H39">
        <v>2E+20</v>
      </c>
      <c r="I39">
        <v>0.30569624328940098</v>
      </c>
      <c r="J39">
        <v>0.32695218990624703</v>
      </c>
      <c r="K39">
        <v>2</v>
      </c>
      <c r="L39" t="str">
        <f>DiscreteStatsTable[[#This Row],[ProjectName]]&amp;DiscreteStatsTable[[#This Row],[Name]]&amp;DiscreteStatsTable[[#This Row],[Type]]&amp;DiscreteStatsTable[[#This Row],[Source]]</f>
        <v>Escenario AEntity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0.29858308340050005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1.6035648105783368E-2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1.4830500972157991E-2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0.27789899851861599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0.316324216597824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0.27789899851861599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0.32695218990624703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39">
        <f>IF((DiscreteStatsTable[[#This Row],[RepsRequested]]&gt;1),DiscreteStatsTable[[#This Row],[HalfWidth]],DiscreteStatsTable[[#This Row],[BatchMeansHalfWidth]])</f>
        <v>1.4830500972157991E-2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7</v>
      </c>
      <c r="Y39">
        <f>IF(DiscreteStatsTable[[#This Row],[RepsRequested]]=DiscreteStatsTable[[#This Row],[RepsWithStatObserved]],1,0)</f>
        <v>0</v>
      </c>
    </row>
    <row r="40" spans="1:25" x14ac:dyDescent="0.25">
      <c r="A40" t="s">
        <v>68</v>
      </c>
      <c r="B40" t="s">
        <v>70</v>
      </c>
      <c r="C40">
        <v>10</v>
      </c>
      <c r="D40" t="s">
        <v>71</v>
      </c>
      <c r="E40" t="s">
        <v>75</v>
      </c>
      <c r="F40" t="s">
        <v>73</v>
      </c>
      <c r="G40">
        <v>1.27472509814118</v>
      </c>
      <c r="H40">
        <v>2E+20</v>
      </c>
      <c r="I40">
        <v>1.25692358449859</v>
      </c>
      <c r="J40">
        <v>1.2925266117837699</v>
      </c>
      <c r="K40">
        <v>2</v>
      </c>
      <c r="L40" t="str">
        <f>DiscreteStatsTable[[#This Row],[ProjectName]]&amp;DiscreteStatsTable[[#This Row],[Name]]&amp;DiscreteStatsTable[[#This Row],[Type]]&amp;DiscreteStatsTable[[#This Row],[Source]]</f>
        <v>Escenario AEntity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1.1549560362247422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0.1396808723771748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0.90670050851207395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1.2966847225439999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0.90670050851207395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1.44444526096339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40">
        <f>IF((DiscreteStatsTable[[#This Row],[RepsRequested]]&gt;1),DiscreteStatsTable[[#This Row],[HalfWidth]],DiscreteStatsTable[[#This Row],[BatchMeansHalfWidth]])</f>
        <v>0.12918326093938498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7</v>
      </c>
      <c r="Y40">
        <f>IF(DiscreteStatsTable[[#This Row],[RepsRequested]]=DiscreteStatsTable[[#This Row],[RepsWithStatObserved]],1,0)</f>
        <v>0</v>
      </c>
    </row>
    <row r="41" spans="1:25" x14ac:dyDescent="0.25">
      <c r="A41" t="s">
        <v>68</v>
      </c>
      <c r="B41" t="s">
        <v>70</v>
      </c>
      <c r="C41">
        <v>10</v>
      </c>
      <c r="D41" t="s">
        <v>71</v>
      </c>
      <c r="E41" t="s">
        <v>76</v>
      </c>
      <c r="F41" t="s">
        <v>73</v>
      </c>
      <c r="G41">
        <v>0</v>
      </c>
      <c r="H41">
        <v>2E+20</v>
      </c>
      <c r="I41">
        <v>0</v>
      </c>
      <c r="J41">
        <v>0</v>
      </c>
      <c r="K41">
        <v>2</v>
      </c>
      <c r="L41" t="str">
        <f>DiscreteStatsTable[[#This Row],[ProjectName]]&amp;DiscreteStatsTable[[#This Row],[Name]]&amp;DiscreteStatsTable[[#This Row],[Type]]&amp;DiscreteStatsTable[[#This Row],[Source]]</f>
        <v>Escenario AEntity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7</v>
      </c>
      <c r="Y41">
        <f>IF(DiscreteStatsTable[[#This Row],[RepsRequested]]=DiscreteStatsTable[[#This Row],[RepsWithStatObserved]],1,0)</f>
        <v>0</v>
      </c>
    </row>
    <row r="42" spans="1:25" x14ac:dyDescent="0.25">
      <c r="A42" t="s">
        <v>68</v>
      </c>
      <c r="B42" t="s">
        <v>70</v>
      </c>
      <c r="C42">
        <v>10</v>
      </c>
      <c r="D42" t="s">
        <v>71</v>
      </c>
      <c r="E42" t="s">
        <v>77</v>
      </c>
      <c r="F42" t="s">
        <v>73</v>
      </c>
      <c r="G42">
        <v>0.95840088154336001</v>
      </c>
      <c r="H42">
        <v>2E+20</v>
      </c>
      <c r="I42">
        <v>0.95122734120919294</v>
      </c>
      <c r="J42">
        <v>0.96557442187752596</v>
      </c>
      <c r="K42">
        <v>2</v>
      </c>
      <c r="L42" t="str">
        <f>DiscreteStatsTable[[#This Row],[ProjectName]]&amp;DiscreteStatsTable[[#This Row],[Name]]&amp;DiscreteStatsTable[[#This Row],[Type]]&amp;DiscreteStatsTable[[#This Row],[Source]]</f>
        <v>Escenario AEntity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0.85637295282424319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0.12806240860866075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0.11843797412108756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0.62549209152124496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0.98449387557766699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0.62549209152124496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1.15288499081151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42">
        <f>IF((DiscreteStatsTable[[#This Row],[RepsRequested]]&gt;1),DiscreteStatsTable[[#This Row],[HalfWidth]],DiscreteStatsTable[[#This Row],[BatchMeansHalfWidth]])</f>
        <v>0.11843797412108756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7</v>
      </c>
      <c r="Y42">
        <f>IF(DiscreteStatsTable[[#This Row],[RepsRequested]]=DiscreteStatsTable[[#This Row],[RepsWithStatObserved]],1,0)</f>
        <v>0</v>
      </c>
    </row>
    <row r="43" spans="1:25" x14ac:dyDescent="0.25">
      <c r="A43" t="s">
        <v>68</v>
      </c>
      <c r="B43" t="s">
        <v>70</v>
      </c>
      <c r="C43">
        <v>10</v>
      </c>
      <c r="D43" t="s">
        <v>71</v>
      </c>
      <c r="E43" t="s">
        <v>78</v>
      </c>
      <c r="F43" t="s">
        <v>73</v>
      </c>
      <c r="G43">
        <v>0</v>
      </c>
      <c r="H43">
        <v>2E+20</v>
      </c>
      <c r="I43">
        <v>0</v>
      </c>
      <c r="J43">
        <v>0</v>
      </c>
      <c r="K43">
        <v>2</v>
      </c>
      <c r="L43" t="str">
        <f>DiscreteStatsTable[[#This Row],[ProjectName]]&amp;DiscreteStatsTable[[#This Row],[Name]]&amp;DiscreteStatsTable[[#This Row],[Type]]&amp;DiscreteStatsTable[[#This Row],[Source]]</f>
        <v>Escenario AEntity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7</v>
      </c>
      <c r="Y43">
        <f>IF(DiscreteStatsTable[[#This Row],[RepsRequested]]=DiscreteStatsTable[[#This Row],[RepsWithStatObserved]],1,0)</f>
        <v>0</v>
      </c>
    </row>
    <row r="44" spans="1:25" x14ac:dyDescent="0.25">
      <c r="A44" t="s">
        <v>68</v>
      </c>
      <c r="B44" t="s">
        <v>70</v>
      </c>
      <c r="C44">
        <v>1</v>
      </c>
      <c r="D44" t="s">
        <v>79</v>
      </c>
      <c r="E44" t="s">
        <v>80</v>
      </c>
      <c r="F44" t="s">
        <v>81</v>
      </c>
      <c r="G44">
        <v>0</v>
      </c>
      <c r="H44">
        <v>2E+20</v>
      </c>
      <c r="I44">
        <v>0</v>
      </c>
      <c r="J44">
        <v>0</v>
      </c>
      <c r="K44">
        <v>3</v>
      </c>
      <c r="L44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7</v>
      </c>
      <c r="Y44">
        <f>IF(DiscreteStatsTable[[#This Row],[RepsRequested]]=DiscreteStatsTable[[#This Row],[RepsWithStatObserved]],1,0)</f>
        <v>0</v>
      </c>
    </row>
    <row r="45" spans="1:25" x14ac:dyDescent="0.25">
      <c r="A45" t="s">
        <v>68</v>
      </c>
      <c r="B45" t="s">
        <v>70</v>
      </c>
      <c r="C45">
        <v>2</v>
      </c>
      <c r="D45" t="s">
        <v>79</v>
      </c>
      <c r="E45" t="s">
        <v>80</v>
      </c>
      <c r="F45" t="s">
        <v>81</v>
      </c>
      <c r="G45">
        <v>0</v>
      </c>
      <c r="H45">
        <v>2E+20</v>
      </c>
      <c r="I45">
        <v>0</v>
      </c>
      <c r="J45">
        <v>0</v>
      </c>
      <c r="K45">
        <v>2</v>
      </c>
      <c r="L45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7</v>
      </c>
      <c r="Y45">
        <f>IF(DiscreteStatsTable[[#This Row],[RepsRequested]]=DiscreteStatsTable[[#This Row],[RepsWithStatObserved]],1,0)</f>
        <v>0</v>
      </c>
    </row>
    <row r="46" spans="1:25" x14ac:dyDescent="0.25">
      <c r="A46" t="s">
        <v>68</v>
      </c>
      <c r="B46" t="s">
        <v>70</v>
      </c>
      <c r="C46">
        <v>3</v>
      </c>
      <c r="D46" t="s">
        <v>79</v>
      </c>
      <c r="E46" t="s">
        <v>80</v>
      </c>
      <c r="F46" t="s">
        <v>81</v>
      </c>
      <c r="G46">
        <v>0</v>
      </c>
      <c r="H46">
        <v>2E+20</v>
      </c>
      <c r="I46">
        <v>0</v>
      </c>
      <c r="J46">
        <v>0</v>
      </c>
      <c r="K46">
        <v>1</v>
      </c>
      <c r="L46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7</v>
      </c>
      <c r="Y46">
        <f>IF(DiscreteStatsTable[[#This Row],[RepsRequested]]=DiscreteStatsTable[[#This Row],[RepsWithStatObserved]],1,0)</f>
        <v>0</v>
      </c>
    </row>
    <row r="47" spans="1:25" x14ac:dyDescent="0.25">
      <c r="A47" t="s">
        <v>68</v>
      </c>
      <c r="B47" t="s">
        <v>70</v>
      </c>
      <c r="C47">
        <v>4</v>
      </c>
      <c r="D47" t="s">
        <v>79</v>
      </c>
      <c r="E47" t="s">
        <v>80</v>
      </c>
      <c r="F47" t="s">
        <v>81</v>
      </c>
      <c r="G47">
        <v>0</v>
      </c>
      <c r="H47">
        <v>2E+20</v>
      </c>
      <c r="I47">
        <v>0</v>
      </c>
      <c r="J47">
        <v>0</v>
      </c>
      <c r="K47">
        <v>2</v>
      </c>
      <c r="L47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7</v>
      </c>
      <c r="Y47">
        <f>IF(DiscreteStatsTable[[#This Row],[RepsRequested]]=DiscreteStatsTable[[#This Row],[RepsWithStatObserved]],1,0)</f>
        <v>0</v>
      </c>
    </row>
    <row r="48" spans="1:25" x14ac:dyDescent="0.25">
      <c r="A48" t="s">
        <v>68</v>
      </c>
      <c r="B48" t="s">
        <v>70</v>
      </c>
      <c r="C48">
        <v>7</v>
      </c>
      <c r="D48" t="s">
        <v>79</v>
      </c>
      <c r="E48" t="s">
        <v>80</v>
      </c>
      <c r="F48" t="s">
        <v>81</v>
      </c>
      <c r="G48">
        <v>0</v>
      </c>
      <c r="H48">
        <v>2E+20</v>
      </c>
      <c r="I48">
        <v>0</v>
      </c>
      <c r="J48">
        <v>0</v>
      </c>
      <c r="K48">
        <v>1</v>
      </c>
      <c r="L48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7</v>
      </c>
      <c r="Y48">
        <f>IF(DiscreteStatsTable[[#This Row],[RepsRequested]]=DiscreteStatsTable[[#This Row],[RepsWithStatObserved]],1,0)</f>
        <v>0</v>
      </c>
    </row>
    <row r="49" spans="1:25" x14ac:dyDescent="0.25">
      <c r="A49" t="s">
        <v>68</v>
      </c>
      <c r="B49" t="s">
        <v>70</v>
      </c>
      <c r="C49">
        <v>8</v>
      </c>
      <c r="D49" t="s">
        <v>79</v>
      </c>
      <c r="E49" t="s">
        <v>80</v>
      </c>
      <c r="F49" t="s">
        <v>81</v>
      </c>
      <c r="G49">
        <v>0</v>
      </c>
      <c r="H49">
        <v>2E+20</v>
      </c>
      <c r="I49">
        <v>0</v>
      </c>
      <c r="J49">
        <v>0</v>
      </c>
      <c r="K49">
        <v>1</v>
      </c>
      <c r="L49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7</v>
      </c>
      <c r="Y49">
        <f>IF(DiscreteStatsTable[[#This Row],[RepsRequested]]=DiscreteStatsTable[[#This Row],[RepsWithStatObserved]],1,0)</f>
        <v>0</v>
      </c>
    </row>
    <row r="50" spans="1:25" x14ac:dyDescent="0.25">
      <c r="A50" t="s">
        <v>68</v>
      </c>
      <c r="B50" t="s">
        <v>70</v>
      </c>
      <c r="C50">
        <v>10</v>
      </c>
      <c r="D50" t="s">
        <v>79</v>
      </c>
      <c r="E50" t="s">
        <v>80</v>
      </c>
      <c r="F50" t="s">
        <v>81</v>
      </c>
      <c r="G50">
        <v>0</v>
      </c>
      <c r="H50">
        <v>2E+20</v>
      </c>
      <c r="I50">
        <v>0</v>
      </c>
      <c r="J50">
        <v>0</v>
      </c>
      <c r="K50">
        <v>2</v>
      </c>
      <c r="L50" t="str">
        <f>DiscreteStatsTable[[#This Row],[ProjectName]]&amp;DiscreteStatsTable[[#This Row],[Name]]&amp;DiscreteStatsTable[[#This Row],[Type]]&amp;DiscreteStatsTable[[#This Row],[Source]]</f>
        <v>Escenario AOcupar enfermea.QueueWaiting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1.7142857142857142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7</v>
      </c>
      <c r="Y50">
        <f>IF(DiscreteStatsTable[[#This Row],[RepsRequested]]=DiscreteStatsTable[[#This Row],[RepsWithStatObserved]],1,0)</f>
        <v>0</v>
      </c>
    </row>
    <row r="51" spans="1:25" x14ac:dyDescent="0.25">
      <c r="A51" t="s">
        <v>68</v>
      </c>
      <c r="B51" t="s">
        <v>70</v>
      </c>
      <c r="C51">
        <v>1</v>
      </c>
      <c r="D51" t="s">
        <v>82</v>
      </c>
      <c r="E51" t="s">
        <v>83</v>
      </c>
      <c r="F51" t="s">
        <v>84</v>
      </c>
      <c r="G51">
        <v>0.88348136693396495</v>
      </c>
      <c r="H51">
        <v>2E+20</v>
      </c>
      <c r="I51">
        <v>0.84409374616574295</v>
      </c>
      <c r="J51">
        <v>0.92386163852861503</v>
      </c>
      <c r="K51">
        <v>3</v>
      </c>
      <c r="L51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0.89639994310088222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0.1989500481391257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0.62549209152124496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1.2646828075141401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0.62549209152124496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1.4482512660618201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1">
        <f>IF((DiscreteStatsTable[[#This Row],[RepsRequested]]&gt;1),DiscreteStatsTable[[#This Row],[HalfWidth]],DiscreteStatsTable[[#This Row],[BatchMeansHalfWidth]])</f>
        <v>0.18399810614913994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7</v>
      </c>
      <c r="Y51">
        <f>IF(DiscreteStatsTable[[#This Row],[RepsRequested]]=DiscreteStatsTable[[#This Row],[RepsWithStatObserved]],1,0)</f>
        <v>0</v>
      </c>
    </row>
    <row r="52" spans="1:25" x14ac:dyDescent="0.25">
      <c r="A52" t="s">
        <v>68</v>
      </c>
      <c r="B52" t="s">
        <v>70</v>
      </c>
      <c r="C52">
        <v>1</v>
      </c>
      <c r="D52" t="s">
        <v>82</v>
      </c>
      <c r="E52" t="s">
        <v>85</v>
      </c>
      <c r="F52" t="s">
        <v>84</v>
      </c>
      <c r="G52">
        <v>0.88348136693396495</v>
      </c>
      <c r="H52">
        <v>2E+20</v>
      </c>
      <c r="I52">
        <v>0.84409374616574295</v>
      </c>
      <c r="J52">
        <v>0.92386163852861503</v>
      </c>
      <c r="K52">
        <v>3</v>
      </c>
      <c r="L52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0.89639994310088222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0.1989500481391257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0.62549209152124496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1.2646828075141401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0.62549209152124496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1.4482512660618201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2">
        <f>IF((DiscreteStatsTable[[#This Row],[RepsRequested]]&gt;1),DiscreteStatsTable[[#This Row],[HalfWidth]],DiscreteStatsTable[[#This Row],[BatchMeansHalfWidth]])</f>
        <v>0.18399810614913994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7</v>
      </c>
      <c r="Y52">
        <f>IF(DiscreteStatsTable[[#This Row],[RepsRequested]]=DiscreteStatsTable[[#This Row],[RepsWithStatObserved]],1,0)</f>
        <v>0</v>
      </c>
    </row>
    <row r="53" spans="1:25" x14ac:dyDescent="0.25">
      <c r="A53" t="s">
        <v>68</v>
      </c>
      <c r="B53" t="s">
        <v>70</v>
      </c>
      <c r="C53">
        <v>2</v>
      </c>
      <c r="D53" t="s">
        <v>82</v>
      </c>
      <c r="E53" t="s">
        <v>83</v>
      </c>
      <c r="F53" t="s">
        <v>84</v>
      </c>
      <c r="G53">
        <v>0.93928713900125504</v>
      </c>
      <c r="H53">
        <v>2E+20</v>
      </c>
      <c r="I53">
        <v>0.72568928719099701</v>
      </c>
      <c r="J53">
        <v>1.15288499081151</v>
      </c>
      <c r="K53">
        <v>2</v>
      </c>
      <c r="L53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0.89639994310088222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0.1989500481391257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0.62549209152124496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1.2646828075141401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0.62549209152124496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1.4482512660618201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3">
        <f>IF((DiscreteStatsTable[[#This Row],[RepsRequested]]&gt;1),DiscreteStatsTable[[#This Row],[HalfWidth]],DiscreteStatsTable[[#This Row],[BatchMeansHalfWidth]])</f>
        <v>0.18399810614913994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7</v>
      </c>
      <c r="Y53">
        <f>IF(DiscreteStatsTable[[#This Row],[RepsRequested]]=DiscreteStatsTable[[#This Row],[RepsWithStatObserved]],1,0)</f>
        <v>0</v>
      </c>
    </row>
    <row r="54" spans="1:25" x14ac:dyDescent="0.25">
      <c r="A54" t="s">
        <v>68</v>
      </c>
      <c r="B54" t="s">
        <v>70</v>
      </c>
      <c r="C54">
        <v>2</v>
      </c>
      <c r="D54" t="s">
        <v>82</v>
      </c>
      <c r="E54" t="s">
        <v>85</v>
      </c>
      <c r="F54" t="s">
        <v>84</v>
      </c>
      <c r="G54">
        <v>0.93928713900125504</v>
      </c>
      <c r="H54">
        <v>2E+20</v>
      </c>
      <c r="I54">
        <v>0.72568928719099701</v>
      </c>
      <c r="J54">
        <v>1.15288499081151</v>
      </c>
      <c r="K54">
        <v>2</v>
      </c>
      <c r="L54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0.89639994310088222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0.1989500481391257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0.62549209152124496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1.2646828075141401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0.62549209152124496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1.4482512660618201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4">
        <f>IF((DiscreteStatsTable[[#This Row],[RepsRequested]]&gt;1),DiscreteStatsTable[[#This Row],[HalfWidth]],DiscreteStatsTable[[#This Row],[BatchMeansHalfWidth]])</f>
        <v>0.18399810614913994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7</v>
      </c>
      <c r="Y54">
        <f>IF(DiscreteStatsTable[[#This Row],[RepsRequested]]=DiscreteStatsTable[[#This Row],[RepsWithStatObserved]],1,0)</f>
        <v>0</v>
      </c>
    </row>
    <row r="55" spans="1:25" x14ac:dyDescent="0.25">
      <c r="A55" t="s">
        <v>68</v>
      </c>
      <c r="B55" t="s">
        <v>70</v>
      </c>
      <c r="C55">
        <v>3</v>
      </c>
      <c r="D55" t="s">
        <v>82</v>
      </c>
      <c r="E55" t="s">
        <v>83</v>
      </c>
      <c r="F55" t="s">
        <v>84</v>
      </c>
      <c r="G55">
        <v>0.75331589857046299</v>
      </c>
      <c r="H55">
        <v>2E+20</v>
      </c>
      <c r="I55">
        <v>0.75331589857046299</v>
      </c>
      <c r="J55">
        <v>0.75331589857046299</v>
      </c>
      <c r="K55">
        <v>1</v>
      </c>
      <c r="L55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0.89639994310088222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0.1989500481391257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0.62549209152124496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1.2646828075141401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0.62549209152124496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1.4482512660618201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5">
        <f>IF((DiscreteStatsTable[[#This Row],[RepsRequested]]&gt;1),DiscreteStatsTable[[#This Row],[HalfWidth]],DiscreteStatsTable[[#This Row],[BatchMeansHalfWidth]])</f>
        <v>0.18399810614913994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7</v>
      </c>
      <c r="Y55">
        <f>IF(DiscreteStatsTable[[#This Row],[RepsRequested]]=DiscreteStatsTable[[#This Row],[RepsWithStatObserved]],1,0)</f>
        <v>0</v>
      </c>
    </row>
    <row r="56" spans="1:25" x14ac:dyDescent="0.25">
      <c r="A56" t="s">
        <v>68</v>
      </c>
      <c r="B56" t="s">
        <v>70</v>
      </c>
      <c r="C56">
        <v>3</v>
      </c>
      <c r="D56" t="s">
        <v>82</v>
      </c>
      <c r="E56" t="s">
        <v>85</v>
      </c>
      <c r="F56" t="s">
        <v>84</v>
      </c>
      <c r="G56">
        <v>0.75331589857046299</v>
      </c>
      <c r="H56">
        <v>2E+20</v>
      </c>
      <c r="I56">
        <v>0.75331589857046299</v>
      </c>
      <c r="J56">
        <v>0.75331589857046299</v>
      </c>
      <c r="K56">
        <v>1</v>
      </c>
      <c r="L56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0.89639994310088222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0.1989500481391257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0.62549209152124496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1.2646828075141401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0.62549209152124496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1.4482512660618201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6">
        <f>IF((DiscreteStatsTable[[#This Row],[RepsRequested]]&gt;1),DiscreteStatsTable[[#This Row],[HalfWidth]],DiscreteStatsTable[[#This Row],[BatchMeansHalfWidth]])</f>
        <v>0.18399810614913994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7</v>
      </c>
      <c r="Y56">
        <f>IF(DiscreteStatsTable[[#This Row],[RepsRequested]]=DiscreteStatsTable[[#This Row],[RepsWithStatObserved]],1,0)</f>
        <v>0</v>
      </c>
    </row>
    <row r="57" spans="1:25" x14ac:dyDescent="0.25">
      <c r="A57" t="s">
        <v>68</v>
      </c>
      <c r="B57" t="s">
        <v>70</v>
      </c>
      <c r="C57">
        <v>4</v>
      </c>
      <c r="D57" t="s">
        <v>82</v>
      </c>
      <c r="E57" t="s">
        <v>83</v>
      </c>
      <c r="F57" t="s">
        <v>84</v>
      </c>
      <c r="G57">
        <v>1.2646828075141401</v>
      </c>
      <c r="H57">
        <v>2E+20</v>
      </c>
      <c r="I57">
        <v>0.941672985715306</v>
      </c>
      <c r="J57">
        <v>1.4482512660618201</v>
      </c>
      <c r="K57">
        <v>3</v>
      </c>
      <c r="L57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0.89639994310088222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0.1989500481391257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0.62549209152124496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1.2646828075141401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0.62549209152124496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1.4482512660618201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7">
        <f>IF((DiscreteStatsTable[[#This Row],[RepsRequested]]&gt;1),DiscreteStatsTable[[#This Row],[HalfWidth]],DiscreteStatsTable[[#This Row],[BatchMeansHalfWidth]])</f>
        <v>0.18399810614913994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7</v>
      </c>
      <c r="Y57">
        <f>IF(DiscreteStatsTable[[#This Row],[RepsRequested]]=DiscreteStatsTable[[#This Row],[RepsWithStatObserved]],1,0)</f>
        <v>0</v>
      </c>
    </row>
    <row r="58" spans="1:25" x14ac:dyDescent="0.25">
      <c r="A58" t="s">
        <v>68</v>
      </c>
      <c r="B58" t="s">
        <v>70</v>
      </c>
      <c r="C58">
        <v>4</v>
      </c>
      <c r="D58" t="s">
        <v>82</v>
      </c>
      <c r="E58" t="s">
        <v>85</v>
      </c>
      <c r="F58" t="s">
        <v>84</v>
      </c>
      <c r="G58">
        <v>1.2646828075141401</v>
      </c>
      <c r="H58">
        <v>2E+20</v>
      </c>
      <c r="I58">
        <v>0.941672985715306</v>
      </c>
      <c r="J58">
        <v>1.4482512660618201</v>
      </c>
      <c r="K58">
        <v>3</v>
      </c>
      <c r="L58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0.89639994310088222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0.1989500481391257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0.62549209152124496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1.2646828075141401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0.62549209152124496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1.4482512660618201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8">
        <f>IF((DiscreteStatsTable[[#This Row],[RepsRequested]]&gt;1),DiscreteStatsTable[[#This Row],[HalfWidth]],DiscreteStatsTable[[#This Row],[BatchMeansHalfWidth]])</f>
        <v>0.18399810614913994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7</v>
      </c>
      <c r="Y58">
        <f>IF(DiscreteStatsTable[[#This Row],[RepsRequested]]=DiscreteStatsTable[[#This Row],[RepsWithStatObserved]],1,0)</f>
        <v>0</v>
      </c>
    </row>
    <row r="59" spans="1:25" x14ac:dyDescent="0.25">
      <c r="A59" t="s">
        <v>68</v>
      </c>
      <c r="B59" t="s">
        <v>70</v>
      </c>
      <c r="C59">
        <v>7</v>
      </c>
      <c r="D59" t="s">
        <v>82</v>
      </c>
      <c r="E59" t="s">
        <v>83</v>
      </c>
      <c r="F59" t="s">
        <v>84</v>
      </c>
      <c r="G59">
        <v>0.62549209152124496</v>
      </c>
      <c r="H59">
        <v>2E+20</v>
      </c>
      <c r="I59">
        <v>0.62549209152124496</v>
      </c>
      <c r="J59">
        <v>0.62549209152124496</v>
      </c>
      <c r="K59">
        <v>1</v>
      </c>
      <c r="L59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0.89639994310088222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0.1989500481391257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0.62549209152124496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1.2646828075141401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0.62549209152124496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1.4482512660618201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59">
        <f>IF((DiscreteStatsTable[[#This Row],[RepsRequested]]&gt;1),DiscreteStatsTable[[#This Row],[HalfWidth]],DiscreteStatsTable[[#This Row],[BatchMeansHalfWidth]])</f>
        <v>0.18399810614913994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7</v>
      </c>
      <c r="Y59">
        <f>IF(DiscreteStatsTable[[#This Row],[RepsRequested]]=DiscreteStatsTable[[#This Row],[RepsWithStatObserved]],1,0)</f>
        <v>0</v>
      </c>
    </row>
    <row r="60" spans="1:25" x14ac:dyDescent="0.25">
      <c r="A60" t="s">
        <v>68</v>
      </c>
      <c r="B60" t="s">
        <v>70</v>
      </c>
      <c r="C60">
        <v>7</v>
      </c>
      <c r="D60" t="s">
        <v>82</v>
      </c>
      <c r="E60" t="s">
        <v>85</v>
      </c>
      <c r="F60" t="s">
        <v>84</v>
      </c>
      <c r="G60">
        <v>0.62549209152124496</v>
      </c>
      <c r="H60">
        <v>2E+20</v>
      </c>
      <c r="I60">
        <v>0.62549209152124496</v>
      </c>
      <c r="J60">
        <v>0.62549209152124496</v>
      </c>
      <c r="K60">
        <v>1</v>
      </c>
      <c r="L60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0.89639994310088222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0.1989500481391257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0.62549209152124496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1.2646828075141401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0.62549209152124496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1.4482512660618201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60">
        <f>IF((DiscreteStatsTable[[#This Row],[RepsRequested]]&gt;1),DiscreteStatsTable[[#This Row],[HalfWidth]],DiscreteStatsTable[[#This Row],[BatchMeansHalfWidth]])</f>
        <v>0.18399810614913994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7</v>
      </c>
      <c r="Y60">
        <f>IF(DiscreteStatsTable[[#This Row],[RepsRequested]]=DiscreteStatsTable[[#This Row],[RepsWithStatObserved]],1,0)</f>
        <v>0</v>
      </c>
    </row>
    <row r="61" spans="1:25" x14ac:dyDescent="0.25">
      <c r="A61" t="s">
        <v>68</v>
      </c>
      <c r="B61" t="s">
        <v>70</v>
      </c>
      <c r="C61">
        <v>8</v>
      </c>
      <c r="D61" t="s">
        <v>82</v>
      </c>
      <c r="E61" t="s">
        <v>83</v>
      </c>
      <c r="F61" t="s">
        <v>84</v>
      </c>
      <c r="G61">
        <v>0.85013941662174697</v>
      </c>
      <c r="H61">
        <v>2E+20</v>
      </c>
      <c r="I61">
        <v>0.85013941662174697</v>
      </c>
      <c r="J61">
        <v>0.85013941662174697</v>
      </c>
      <c r="K61">
        <v>1</v>
      </c>
      <c r="L61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0.89639994310088222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0.1989500481391257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0.62549209152124496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1.2646828075141401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0.62549209152124496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1.4482512660618201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61">
        <f>IF((DiscreteStatsTable[[#This Row],[RepsRequested]]&gt;1),DiscreteStatsTable[[#This Row],[HalfWidth]],DiscreteStatsTable[[#This Row],[BatchMeansHalfWidth]])</f>
        <v>0.18399810614913994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7</v>
      </c>
      <c r="Y61">
        <f>IF(DiscreteStatsTable[[#This Row],[RepsRequested]]=DiscreteStatsTable[[#This Row],[RepsWithStatObserved]],1,0)</f>
        <v>0</v>
      </c>
    </row>
    <row r="62" spans="1:25" x14ac:dyDescent="0.25">
      <c r="A62" t="s">
        <v>68</v>
      </c>
      <c r="B62" t="s">
        <v>70</v>
      </c>
      <c r="C62">
        <v>8</v>
      </c>
      <c r="D62" t="s">
        <v>82</v>
      </c>
      <c r="E62" t="s">
        <v>85</v>
      </c>
      <c r="F62" t="s">
        <v>84</v>
      </c>
      <c r="G62">
        <v>0.85013941662174697</v>
      </c>
      <c r="H62">
        <v>2E+20</v>
      </c>
      <c r="I62">
        <v>0.85013941662174697</v>
      </c>
      <c r="J62">
        <v>0.85013941662174697</v>
      </c>
      <c r="K62">
        <v>1</v>
      </c>
      <c r="L62" s="5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0.89639994310088222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0.1989500481391257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0.62549209152124496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1.2646828075141401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0.62549209152124496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1.4482512660618201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62" s="5">
        <f>IF((DiscreteStatsTable[[#This Row],[RepsRequested]]&gt;1),DiscreteStatsTable[[#This Row],[HalfWidth]],DiscreteStatsTable[[#This Row],[BatchMeansHalfWidth]])</f>
        <v>0.18399810614913994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7</v>
      </c>
      <c r="Y62" s="5">
        <f>IF(DiscreteStatsTable[[#This Row],[RepsRequested]]=DiscreteStatsTable[[#This Row],[RepsWithStatObserved]],1,0)</f>
        <v>0</v>
      </c>
    </row>
    <row r="63" spans="1:25" x14ac:dyDescent="0.25">
      <c r="A63" t="s">
        <v>68</v>
      </c>
      <c r="B63" t="s">
        <v>70</v>
      </c>
      <c r="C63">
        <v>10</v>
      </c>
      <c r="D63" t="s">
        <v>82</v>
      </c>
      <c r="E63" t="s">
        <v>83</v>
      </c>
      <c r="F63" t="s">
        <v>84</v>
      </c>
      <c r="G63">
        <v>0.95840088154336001</v>
      </c>
      <c r="H63">
        <v>2E+20</v>
      </c>
      <c r="I63">
        <v>0.95122734120919294</v>
      </c>
      <c r="J63">
        <v>0.96557442187752596</v>
      </c>
      <c r="K63">
        <v>2</v>
      </c>
      <c r="L63" s="5" t="str">
        <f>DiscreteStatsTable[[#This Row],[ProjectName]]&amp;DiscreteStatsTable[[#This Row],[Name]]&amp;DiscreteStatsTable[[#This Row],[Type]]&amp;DiscreteStatsTable[[#This Row],[Source]]</f>
        <v>Escenario AProcess 1Total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0.89639994310088222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0.1989500481391257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0.62549209152124496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1.2646828075141401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0.62549209152124496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1.4482512660618201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63" s="5">
        <f>IF((DiscreteStatsTable[[#This Row],[RepsRequested]]&gt;1),DiscreteStatsTable[[#This Row],[HalfWidth]],DiscreteStatsTable[[#This Row],[BatchMeansHalfWidth]])</f>
        <v>0.18399810614913994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7</v>
      </c>
      <c r="Y63" s="5">
        <f>IF(DiscreteStatsTable[[#This Row],[RepsRequested]]=DiscreteStatsTable[[#This Row],[RepsWithStatObserved]],1,0)</f>
        <v>0</v>
      </c>
    </row>
    <row r="64" spans="1:25" x14ac:dyDescent="0.25">
      <c r="A64" t="s">
        <v>68</v>
      </c>
      <c r="B64" t="s">
        <v>70</v>
      </c>
      <c r="C64">
        <v>10</v>
      </c>
      <c r="D64" t="s">
        <v>82</v>
      </c>
      <c r="E64" t="s">
        <v>85</v>
      </c>
      <c r="F64" t="s">
        <v>84</v>
      </c>
      <c r="G64">
        <v>0.95840088154336001</v>
      </c>
      <c r="H64">
        <v>2E+20</v>
      </c>
      <c r="I64">
        <v>0.95122734120919294</v>
      </c>
      <c r="J64">
        <v>0.96557442187752596</v>
      </c>
      <c r="K64">
        <v>2</v>
      </c>
      <c r="L64" s="5" t="str">
        <f>DiscreteStatsTable[[#This Row],[ProjectName]]&amp;DiscreteStatsTable[[#This Row],[Name]]&amp;DiscreteStatsTable[[#This Row],[Type]]&amp;DiscreteStatsTable[[#This Row],[Source]]</f>
        <v>Escenario AProcess 1VA Time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0.89639994310088222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0.1989500481391257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0.18399810614913994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0.62549209152124496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1.2646828075141401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0.62549209152124496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1.4482512660618201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1.8571428571428572</v>
      </c>
      <c r="W64" s="5">
        <f>IF((DiscreteStatsTable[[#This Row],[RepsRequested]]&gt;1),DiscreteStatsTable[[#This Row],[HalfWidth]],DiscreteStatsTable[[#This Row],[BatchMeansHalfWidth]])</f>
        <v>0.18399810614913994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7</v>
      </c>
      <c r="Y64" s="5">
        <f>IF(DiscreteStatsTable[[#This Row],[RepsRequested]]=DiscreteStatsTable[[#This Row],[RepsWithStatObserved]],1,0)</f>
        <v>0</v>
      </c>
    </row>
    <row r="65" spans="1:25" x14ac:dyDescent="0.25">
      <c r="A65" t="s">
        <v>68</v>
      </c>
      <c r="B65" t="s">
        <v>70</v>
      </c>
      <c r="C65">
        <v>4</v>
      </c>
      <c r="D65" t="s">
        <v>89</v>
      </c>
      <c r="E65" t="s">
        <v>83</v>
      </c>
      <c r="F65" t="s">
        <v>84</v>
      </c>
      <c r="G65">
        <v>4.2820889862360503E-2</v>
      </c>
      <c r="H65">
        <v>2E+20</v>
      </c>
      <c r="I65">
        <v>4.2820889862360503E-2</v>
      </c>
      <c r="J65">
        <v>4.2820889862360503E-2</v>
      </c>
      <c r="K65">
        <v>1</v>
      </c>
      <c r="L65" s="5" t="str">
        <f>DiscreteStatsTable[[#This Row],[ProjectName]]&amp;DiscreteStatsTable[[#This Row],[Name]]&amp;DiscreteStatsTable[[#This Row],[Type]]&amp;DiscreteStatsTable[[#This Row],[Source]]</f>
        <v>Escenario ASeguimiemtoTotal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4.2820889862360503E-2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4.2820889862360503E-2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4.2820889862360503E-2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4.2820889862360503E-2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4.2820889862360503E-2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</v>
      </c>
      <c r="W65" s="5">
        <f>IF((DiscreteStatsTable[[#This Row],[RepsRequested]]&gt;1),DiscreteStatsTable[[#This Row],[HalfWidth]],DiscreteStatsTable[[#This Row],[BatchMeansHalfWidth]])</f>
        <v>2E+20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</v>
      </c>
      <c r="Y65" s="5">
        <f>IF(DiscreteStatsTable[[#This Row],[RepsRequested]]=DiscreteStatsTable[[#This Row],[RepsWithStatObserved]],1,0)</f>
        <v>0</v>
      </c>
    </row>
    <row r="66" spans="1:25" x14ac:dyDescent="0.25">
      <c r="A66" t="s">
        <v>68</v>
      </c>
      <c r="B66" t="s">
        <v>70</v>
      </c>
      <c r="C66">
        <v>4</v>
      </c>
      <c r="D66" t="s">
        <v>89</v>
      </c>
      <c r="E66" t="s">
        <v>85</v>
      </c>
      <c r="F66" t="s">
        <v>84</v>
      </c>
      <c r="G66">
        <v>4.2820889862360503E-2</v>
      </c>
      <c r="H66">
        <v>2E+20</v>
      </c>
      <c r="I66">
        <v>4.2820889862360503E-2</v>
      </c>
      <c r="J66">
        <v>4.2820889862360503E-2</v>
      </c>
      <c r="K66">
        <v>1</v>
      </c>
      <c r="L66" s="5" t="str">
        <f>DiscreteStatsTable[[#This Row],[ProjectName]]&amp;DiscreteStatsTable[[#This Row],[Name]]&amp;DiscreteStatsTable[[#This Row],[Type]]&amp;DiscreteStatsTable[[#This Row],[Source]]</f>
        <v>Escenario ASeguimiemtoVA Time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4.2820889862360503E-2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4.2820889862360503E-2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4.2820889862360503E-2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4.2820889862360503E-2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4.2820889862360503E-2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</v>
      </c>
      <c r="W66" s="5">
        <f>IF((DiscreteStatsTable[[#This Row],[RepsRequested]]&gt;1),DiscreteStatsTable[[#This Row],[HalfWidth]],DiscreteStatsTable[[#This Row],[BatchMeansHalfWidth]])</f>
        <v>2E+20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</v>
      </c>
      <c r="Y66" s="5">
        <f>IF(DiscreteStatsTable[[#This Row],[RepsRequested]]=DiscreteStatsTable[[#This Row],[RepsWithStatObserved]],1,0)</f>
        <v>0</v>
      </c>
    </row>
    <row r="67" spans="1:25" x14ac:dyDescent="0.25">
      <c r="A67" t="s">
        <v>68</v>
      </c>
      <c r="B67" t="s">
        <v>70</v>
      </c>
      <c r="C67">
        <v>4</v>
      </c>
      <c r="D67" t="s">
        <v>89</v>
      </c>
      <c r="E67" t="s">
        <v>90</v>
      </c>
      <c r="F67" t="s">
        <v>84</v>
      </c>
      <c r="G67">
        <v>0</v>
      </c>
      <c r="H67">
        <v>2E+20</v>
      </c>
      <c r="I67">
        <v>0</v>
      </c>
      <c r="J67">
        <v>0</v>
      </c>
      <c r="K67">
        <v>1</v>
      </c>
      <c r="L67" s="5" t="str">
        <f>DiscreteStatsTable[[#This Row],[ProjectName]]&amp;DiscreteStatsTable[[#This Row],[Name]]&amp;DiscreteStatsTable[[#This Row],[Type]]&amp;DiscreteStatsTable[[#This Row],[Source]]</f>
        <v>Escenario ASeguimiemtoWait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</v>
      </c>
      <c r="W67" s="5">
        <f>IF((DiscreteStatsTable[[#This Row],[RepsRequested]]&gt;1),DiscreteStatsTable[[#This Row],[HalfWidth]],DiscreteStatsTable[[#This Row],[BatchMeansHalfWidth]])</f>
        <v>2E+20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</v>
      </c>
      <c r="Y67" s="5">
        <f>IF(DiscreteStatsTable[[#This Row],[RepsRequested]]=DiscreteStatsTable[[#This Row],[RepsWithStatObserved]],1,0)</f>
        <v>0</v>
      </c>
    </row>
    <row r="68" spans="1:25" x14ac:dyDescent="0.25">
      <c r="A68" t="s">
        <v>68</v>
      </c>
      <c r="B68" t="s">
        <v>70</v>
      </c>
      <c r="C68">
        <v>4</v>
      </c>
      <c r="D68" t="s">
        <v>91</v>
      </c>
      <c r="E68" t="s">
        <v>80</v>
      </c>
      <c r="F68" t="s">
        <v>81</v>
      </c>
      <c r="G68">
        <v>0</v>
      </c>
      <c r="H68">
        <v>2E+20</v>
      </c>
      <c r="I68">
        <v>0</v>
      </c>
      <c r="J68">
        <v>0</v>
      </c>
      <c r="K68">
        <v>1</v>
      </c>
      <c r="L68" s="5" t="str">
        <f>DiscreteStatsTable[[#This Row],[ProjectName]]&amp;DiscreteStatsTable[[#This Row],[Name]]&amp;DiscreteStatsTable[[#This Row],[Type]]&amp;DiscreteStatsTable[[#This Row],[Source]]</f>
        <v>Escenario ASeguimiemto.QueueWaiting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2E+20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</v>
      </c>
      <c r="W68" s="5">
        <f>IF((DiscreteStatsTable[[#This Row],[RepsRequested]]&gt;1),DiscreteStatsTable[[#This Row],[HalfWidth]],DiscreteStatsTable[[#This Row],[BatchMeansHalfWidth]])</f>
        <v>2E+20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</v>
      </c>
      <c r="Y68" s="5">
        <f>IF(DiscreteStatsTable[[#This Row],[RepsRequested]]=DiscreteStatsTable[[#This Row],[RepsWithStatObserved]],1,0)</f>
        <v>0</v>
      </c>
    </row>
    <row r="69" spans="1:25" x14ac:dyDescent="0.25">
      <c r="A69" t="s">
        <v>68</v>
      </c>
      <c r="B69" t="s">
        <v>70</v>
      </c>
      <c r="C69">
        <v>1</v>
      </c>
      <c r="D69" t="s">
        <v>86</v>
      </c>
      <c r="E69" t="s">
        <v>87</v>
      </c>
      <c r="F69" t="s">
        <v>88</v>
      </c>
      <c r="G69">
        <v>1.1982488653007599</v>
      </c>
      <c r="H69">
        <v>2E+20</v>
      </c>
      <c r="I69">
        <v>1.16793665926422</v>
      </c>
      <c r="J69">
        <v>1.2389124258359101</v>
      </c>
      <c r="K69">
        <v>3</v>
      </c>
      <c r="L69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1.1549560362247422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0.1396808723771748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0.90670050851207395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1.2966847225439999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0.90670050851207395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1.44444526096339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69" s="5">
        <f>IF((DiscreteStatsTable[[#This Row],[RepsRequested]]&gt;1),DiscreteStatsTable[[#This Row],[HalfWidth]],DiscreteStatsTable[[#This Row],[BatchMeansHalfWidth]])</f>
        <v>0.12918326093938498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7</v>
      </c>
      <c r="Y69" s="5">
        <f>IF(DiscreteStatsTable[[#This Row],[RepsRequested]]=DiscreteStatsTable[[#This Row],[RepsWithStatObserved]],1,0)</f>
        <v>0</v>
      </c>
    </row>
    <row r="70" spans="1:25" x14ac:dyDescent="0.25">
      <c r="A70" t="s">
        <v>68</v>
      </c>
      <c r="B70" t="s">
        <v>70</v>
      </c>
      <c r="C70">
        <v>2</v>
      </c>
      <c r="D70" t="s">
        <v>86</v>
      </c>
      <c r="E70" t="s">
        <v>87</v>
      </c>
      <c r="F70" t="s">
        <v>88</v>
      </c>
      <c r="G70">
        <v>1.2349223120231101</v>
      </c>
      <c r="H70">
        <v>2E+20</v>
      </c>
      <c r="I70">
        <v>1.02539936308283</v>
      </c>
      <c r="J70">
        <v>1.44444526096339</v>
      </c>
      <c r="K70">
        <v>2</v>
      </c>
      <c r="L70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1.1549560362247422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0.1396808723771748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0.90670050851207395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1.2966847225439999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0.90670050851207395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1.44444526096339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0" s="5">
        <f>IF((DiscreteStatsTable[[#This Row],[RepsRequested]]&gt;1),DiscreteStatsTable[[#This Row],[HalfWidth]],DiscreteStatsTable[[#This Row],[BatchMeansHalfWidth]])</f>
        <v>0.12918326093938498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7</v>
      </c>
      <c r="Y70" s="5">
        <f>IF(DiscreteStatsTable[[#This Row],[RepsRequested]]=DiscreteStatsTable[[#This Row],[RepsWithStatObserved]],1,0)</f>
        <v>0</v>
      </c>
    </row>
    <row r="71" spans="1:25" x14ac:dyDescent="0.25">
      <c r="A71" t="s">
        <v>68</v>
      </c>
      <c r="B71" t="s">
        <v>70</v>
      </c>
      <c r="C71">
        <v>3</v>
      </c>
      <c r="D71" t="s">
        <v>86</v>
      </c>
      <c r="E71" t="s">
        <v>87</v>
      </c>
      <c r="F71" t="s">
        <v>88</v>
      </c>
      <c r="G71">
        <v>1.0453723319117101</v>
      </c>
      <c r="H71">
        <v>2E+20</v>
      </c>
      <c r="I71">
        <v>1.0453723319117101</v>
      </c>
      <c r="J71">
        <v>1.0453723319117101</v>
      </c>
      <c r="K71">
        <v>1</v>
      </c>
      <c r="L71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1.1549560362247422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0.1396808723771748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0.90670050851207395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1.2966847225439999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0.90670050851207395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1.44444526096339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1" s="5">
        <f>IF((DiscreteStatsTable[[#This Row],[RepsRequested]]&gt;1),DiscreteStatsTable[[#This Row],[HalfWidth]],DiscreteStatsTable[[#This Row],[BatchMeansHalfWidth]])</f>
        <v>0.12918326093938498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7</v>
      </c>
      <c r="Y71" s="5">
        <f>IF(DiscreteStatsTable[[#This Row],[RepsRequested]]=DiscreteStatsTable[[#This Row],[RepsWithStatObserved]],1,0)</f>
        <v>0</v>
      </c>
    </row>
    <row r="72" spans="1:25" x14ac:dyDescent="0.25">
      <c r="A72" t="s">
        <v>68</v>
      </c>
      <c r="B72" t="s">
        <v>70</v>
      </c>
      <c r="C72">
        <v>4</v>
      </c>
      <c r="D72" t="s">
        <v>86</v>
      </c>
      <c r="E72" t="s">
        <v>87</v>
      </c>
      <c r="F72" t="s">
        <v>88</v>
      </c>
      <c r="G72">
        <v>1.2966847225439999</v>
      </c>
      <c r="H72">
        <v>2E+20</v>
      </c>
      <c r="I72">
        <v>1.2966847225439999</v>
      </c>
      <c r="J72">
        <v>1.2966847225439999</v>
      </c>
      <c r="K72">
        <v>1</v>
      </c>
      <c r="L72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1.1549560362247422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0.1396808723771748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0.90670050851207395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1.2966847225439999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0.90670050851207395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1.44444526096339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2" s="5">
        <f>IF((DiscreteStatsTable[[#This Row],[RepsRequested]]&gt;1),DiscreteStatsTable[[#This Row],[HalfWidth]],DiscreteStatsTable[[#This Row],[BatchMeansHalfWidth]])</f>
        <v>0.12918326093938498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7</v>
      </c>
      <c r="Y72" s="5">
        <f>IF(DiscreteStatsTable[[#This Row],[RepsRequested]]=DiscreteStatsTable[[#This Row],[RepsWithStatObserved]],1,0)</f>
        <v>0</v>
      </c>
    </row>
    <row r="73" spans="1:25" x14ac:dyDescent="0.25">
      <c r="A73" t="s">
        <v>68</v>
      </c>
      <c r="B73" t="s">
        <v>70</v>
      </c>
      <c r="C73">
        <v>7</v>
      </c>
      <c r="D73" t="s">
        <v>86</v>
      </c>
      <c r="E73" t="s">
        <v>87</v>
      </c>
      <c r="F73" t="s">
        <v>88</v>
      </c>
      <c r="G73">
        <v>0.90670050851207395</v>
      </c>
      <c r="H73">
        <v>2E+20</v>
      </c>
      <c r="I73">
        <v>0.90670050851207395</v>
      </c>
      <c r="J73">
        <v>0.90670050851207395</v>
      </c>
      <c r="K73">
        <v>1</v>
      </c>
      <c r="L73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1.1549560362247422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0.1396808723771748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0.90670050851207395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1.2966847225439999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0.90670050851207395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1.44444526096339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3" s="5">
        <f>IF((DiscreteStatsTable[[#This Row],[RepsRequested]]&gt;1),DiscreteStatsTable[[#This Row],[HalfWidth]],DiscreteStatsTable[[#This Row],[BatchMeansHalfWidth]])</f>
        <v>0.12918326093938498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7</v>
      </c>
      <c r="Y73" s="5">
        <f>IF(DiscreteStatsTable[[#This Row],[RepsRequested]]=DiscreteStatsTable[[#This Row],[RepsWithStatObserved]],1,0)</f>
        <v>0</v>
      </c>
    </row>
    <row r="74" spans="1:25" x14ac:dyDescent="0.25">
      <c r="A74" t="s">
        <v>68</v>
      </c>
      <c r="B74" t="s">
        <v>70</v>
      </c>
      <c r="C74">
        <v>8</v>
      </c>
      <c r="D74" t="s">
        <v>86</v>
      </c>
      <c r="E74" t="s">
        <v>87</v>
      </c>
      <c r="F74" t="s">
        <v>88</v>
      </c>
      <c r="G74">
        <v>1.12803841514036</v>
      </c>
      <c r="H74">
        <v>2E+20</v>
      </c>
      <c r="I74">
        <v>1.12803841514036</v>
      </c>
      <c r="J74">
        <v>1.12803841514036</v>
      </c>
      <c r="K74">
        <v>1</v>
      </c>
      <c r="L74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1.1549560362247422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0.1396808723771748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0.90670050851207395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1.2966847225439999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0.90670050851207395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1.44444526096339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4" s="5">
        <f>IF((DiscreteStatsTable[[#This Row],[RepsRequested]]&gt;1),DiscreteStatsTable[[#This Row],[HalfWidth]],DiscreteStatsTable[[#This Row],[BatchMeansHalfWidth]])</f>
        <v>0.12918326093938498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7</v>
      </c>
      <c r="Y74" s="5">
        <f>IF(DiscreteStatsTable[[#This Row],[RepsRequested]]=DiscreteStatsTable[[#This Row],[RepsWithStatObserved]],1,0)</f>
        <v>0</v>
      </c>
    </row>
    <row r="75" spans="1:25" x14ac:dyDescent="0.25">
      <c r="A75" t="s">
        <v>68</v>
      </c>
      <c r="B75" t="s">
        <v>70</v>
      </c>
      <c r="C75">
        <v>10</v>
      </c>
      <c r="D75" t="s">
        <v>86</v>
      </c>
      <c r="E75" t="s">
        <v>87</v>
      </c>
      <c r="F75" t="s">
        <v>88</v>
      </c>
      <c r="G75">
        <v>1.27472509814118</v>
      </c>
      <c r="H75">
        <v>2E+20</v>
      </c>
      <c r="I75">
        <v>1.25692358449859</v>
      </c>
      <c r="J75">
        <v>1.2925266117837699</v>
      </c>
      <c r="K75">
        <v>2</v>
      </c>
      <c r="L75" s="5" t="str">
        <f>DiscreteStatsTable[[#This Row],[ProjectName]]&amp;DiscreteStatsTable[[#This Row],[Name]]&amp;DiscreteStatsTable[[#This Row],[Type]]&amp;DiscreteStatsTable[[#This Row],[Source]]</f>
        <v>Escenario ATiempoSistemaIntervalUser Specified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1.1549560362247422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0.1396808723771748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0.12918326093938498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0.90670050851207395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1.2966847225439999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0.90670050851207395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1.44444526096339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1.5714285714285714</v>
      </c>
      <c r="W75" s="5">
        <f>IF((DiscreteStatsTable[[#This Row],[RepsRequested]]&gt;1),DiscreteStatsTable[[#This Row],[HalfWidth]],DiscreteStatsTable[[#This Row],[BatchMeansHalfWidth]])</f>
        <v>0.12918326093938498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7</v>
      </c>
      <c r="Y75" s="5">
        <f>IF(DiscreteStatsTable[[#This Row],[RepsRequested]]=DiscreteStatsTable[[#This Row],[RepsWithStatObserved]],1,0)</f>
        <v>0</v>
      </c>
    </row>
  </sheetData>
  <phoneticPr fontId="2" type="noConversion"/>
  <conditionalFormatting sqref="H2:H75 Q2:Q75">
    <cfRule type="expression" dxfId="20" priority="23">
      <formula>H2=200000000000000000000</formula>
    </cfRule>
  </conditionalFormatting>
  <conditionalFormatting sqref="H2:H75">
    <cfRule type="expression" dxfId="19" priority="21">
      <formula>H2=300000000000000000000</formula>
    </cfRule>
  </conditionalFormatting>
  <conditionalFormatting sqref="L2:Y75">
    <cfRule type="expression" dxfId="18" priority="19">
      <formula>MOD(ROW(),2)=0</formula>
    </cfRule>
  </conditionalFormatting>
  <conditionalFormatting sqref="Y2:Y75">
    <cfRule type="expression" dxfId="17" priority="14">
      <formula>Y2=0</formula>
    </cfRule>
    <cfRule type="expression" dxfId="16" priority="16">
      <formula>Y2=1</formula>
    </cfRule>
  </conditionalFormatting>
  <conditionalFormatting sqref="Y3:Y75">
    <cfRule type="expression" dxfId="15" priority="15">
      <formula>Y3=1</formula>
    </cfRule>
  </conditionalFormatting>
  <conditionalFormatting sqref="W2:W7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75 W2:W7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91"/>
  <sheetViews>
    <sheetView workbookViewId="0">
      <selection activeCell="A2" sqref="A2:L1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3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5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71</v>
      </c>
      <c r="E2" t="s">
        <v>92</v>
      </c>
      <c r="F2" t="s">
        <v>73</v>
      </c>
      <c r="G2">
        <v>0.35947465959022901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0.43594706645033499</v>
      </c>
      <c r="U2">
        <f>IF((ContinuousStatsTable[[#This Row],[RepsRequested]]&gt;1),ContinuousStatsTable[[#This Row],[HalfWidth]],ContinuousStatsTable[[#This Row],[BatchMeansHalfWidth]])</f>
        <v>0.11169782344870617</v>
      </c>
    </row>
    <row r="3" spans="1:21" x14ac:dyDescent="0.25">
      <c r="A3" t="s">
        <v>68</v>
      </c>
      <c r="B3" t="s">
        <v>70</v>
      </c>
      <c r="C3">
        <v>1</v>
      </c>
      <c r="D3" t="s">
        <v>79</v>
      </c>
      <c r="E3" t="s">
        <v>93</v>
      </c>
      <c r="F3" t="s">
        <v>81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1.98430606456448E-3</v>
      </c>
      <c r="U3">
        <f>IF((ContinuousStatsTable[[#This Row],[RepsRequested]]&gt;1),ContinuousStatsTable[[#This Row],[HalfWidth]],ContinuousStatsTable[[#This Row],[BatchMeansHalfWidth]])</f>
        <v>4.4888121771384553E-4</v>
      </c>
    </row>
    <row r="4" spans="1:21" x14ac:dyDescent="0.25">
      <c r="A4" t="s">
        <v>68</v>
      </c>
      <c r="B4" t="s">
        <v>70</v>
      </c>
      <c r="C4">
        <v>1</v>
      </c>
      <c r="D4" t="s">
        <v>91</v>
      </c>
      <c r="E4" t="s">
        <v>93</v>
      </c>
      <c r="F4" t="s">
        <v>81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A5" t="s">
        <v>68</v>
      </c>
      <c r="B5" t="s">
        <v>70</v>
      </c>
      <c r="C5">
        <v>1</v>
      </c>
      <c r="D5" t="s">
        <v>94</v>
      </c>
      <c r="E5" t="s">
        <v>95</v>
      </c>
      <c r="F5" t="s">
        <v>96</v>
      </c>
      <c r="G5">
        <v>9.4430249510039699E-2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9.4430249510039699E-2</v>
      </c>
      <c r="U5">
        <f>IF((ContinuousStatsTable[[#This Row],[RepsRequested]]&gt;1),ContinuousStatsTable[[#This Row],[HalfWidth]],ContinuousStatsTable[[#This Row],[BatchMeansHalfWidth]])</f>
        <v>2.2563325623827138E-2</v>
      </c>
    </row>
    <row r="6" spans="1:21" x14ac:dyDescent="0.25">
      <c r="A6" t="s">
        <v>68</v>
      </c>
      <c r="B6" t="s">
        <v>70</v>
      </c>
      <c r="C6">
        <v>1</v>
      </c>
      <c r="D6" t="s">
        <v>94</v>
      </c>
      <c r="E6" t="s">
        <v>97</v>
      </c>
      <c r="F6" t="s">
        <v>96</v>
      </c>
      <c r="G6">
        <v>9.4430249510039699E-2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9.4430249510039699E-2</v>
      </c>
      <c r="U6">
        <f>IF((ContinuousStatsTable[[#This Row],[RepsRequested]]&gt;1),ContinuousStatsTable[[#This Row],[HalfWidth]],ContinuousStatsTable[[#This Row],[BatchMeansHalfWidth]])</f>
        <v>2.2563325623827138E-2</v>
      </c>
    </row>
    <row r="7" spans="1:21" x14ac:dyDescent="0.25">
      <c r="A7" t="s">
        <v>68</v>
      </c>
      <c r="B7" t="s">
        <v>70</v>
      </c>
      <c r="C7">
        <v>1</v>
      </c>
      <c r="D7" t="s">
        <v>94</v>
      </c>
      <c r="E7" t="s">
        <v>98</v>
      </c>
      <c r="F7" t="s">
        <v>96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99</v>
      </c>
      <c r="E8" t="s">
        <v>95</v>
      </c>
      <c r="F8" t="s">
        <v>96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4.2820889862360502E-3</v>
      </c>
      <c r="U8">
        <f>IF((ContinuousStatsTable[[#This Row],[RepsRequested]]&gt;1),ContinuousStatsTable[[#This Row],[HalfWidth]],ContinuousStatsTable[[#This Row],[BatchMeansHalfWidth]])</f>
        <v>9.6867582719531832E-4</v>
      </c>
    </row>
    <row r="9" spans="1:21" x14ac:dyDescent="0.25">
      <c r="A9" t="s">
        <v>68</v>
      </c>
      <c r="B9" t="s">
        <v>70</v>
      </c>
      <c r="C9">
        <v>1</v>
      </c>
      <c r="D9" t="s">
        <v>99</v>
      </c>
      <c r="E9" t="s">
        <v>97</v>
      </c>
      <c r="F9" t="s">
        <v>96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4.2820889862360502E-3</v>
      </c>
      <c r="U9">
        <f>IF((ContinuousStatsTable[[#This Row],[RepsRequested]]&gt;1),ContinuousStatsTable[[#This Row],[HalfWidth]],ContinuousStatsTable[[#This Row],[BatchMeansHalfWidth]])</f>
        <v>9.6867582719531832E-4</v>
      </c>
    </row>
    <row r="10" spans="1:21" x14ac:dyDescent="0.25">
      <c r="A10" t="s">
        <v>68</v>
      </c>
      <c r="B10" t="s">
        <v>70</v>
      </c>
      <c r="C10">
        <v>1</v>
      </c>
      <c r="D10" t="s">
        <v>99</v>
      </c>
      <c r="E10" t="s">
        <v>98</v>
      </c>
      <c r="F10" t="s">
        <v>96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2</v>
      </c>
      <c r="D11" t="s">
        <v>71</v>
      </c>
      <c r="E11" t="s">
        <v>92</v>
      </c>
      <c r="F11" t="s">
        <v>73</v>
      </c>
      <c r="G11">
        <v>0.24698446240462199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Escenario AEntity 1WIPEntity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0.43594706645033499</v>
      </c>
      <c r="U11">
        <f>IF((ContinuousStatsTable[[#This Row],[RepsRequested]]&gt;1),ContinuousStatsTable[[#This Row],[HalfWidth]],ContinuousStatsTable[[#This Row],[BatchMeansHalfWidth]])</f>
        <v>0.11169782344870617</v>
      </c>
    </row>
    <row r="12" spans="1:21" x14ac:dyDescent="0.25">
      <c r="A12" t="s">
        <v>68</v>
      </c>
      <c r="B12" t="s">
        <v>70</v>
      </c>
      <c r="C12">
        <v>2</v>
      </c>
      <c r="D12" t="s">
        <v>79</v>
      </c>
      <c r="E12" t="s">
        <v>93</v>
      </c>
      <c r="F12" t="s">
        <v>81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1.98430606456448E-3</v>
      </c>
      <c r="U12" s="5">
        <f>IF((ContinuousStatsTable[[#This Row],[RepsRequested]]&gt;1),ContinuousStatsTable[[#This Row],[HalfWidth]],ContinuousStatsTable[[#This Row],[BatchMeansHalfWidth]])</f>
        <v>4.4888121771384553E-4</v>
      </c>
    </row>
    <row r="13" spans="1:21" x14ac:dyDescent="0.25">
      <c r="A13" t="s">
        <v>68</v>
      </c>
      <c r="B13" t="s">
        <v>70</v>
      </c>
      <c r="C13">
        <v>2</v>
      </c>
      <c r="D13" t="s">
        <v>91</v>
      </c>
      <c r="E13" t="s">
        <v>93</v>
      </c>
      <c r="F13" t="s">
        <v>81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25">
      <c r="A14" t="s">
        <v>68</v>
      </c>
      <c r="B14" t="s">
        <v>70</v>
      </c>
      <c r="C14">
        <v>2</v>
      </c>
      <c r="D14" t="s">
        <v>94</v>
      </c>
      <c r="E14" t="s">
        <v>95</v>
      </c>
      <c r="F14" t="s">
        <v>96</v>
      </c>
      <c r="G14">
        <v>5.9127034604370798E-2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9.4430249510039699E-2</v>
      </c>
      <c r="U14" s="5">
        <f>IF((ContinuousStatsTable[[#This Row],[RepsRequested]]&gt;1),ContinuousStatsTable[[#This Row],[HalfWidth]],ContinuousStatsTable[[#This Row],[BatchMeansHalfWidth]])</f>
        <v>2.2563325623827138E-2</v>
      </c>
    </row>
    <row r="15" spans="1:21" x14ac:dyDescent="0.25">
      <c r="A15" t="s">
        <v>68</v>
      </c>
      <c r="B15" t="s">
        <v>70</v>
      </c>
      <c r="C15">
        <v>2</v>
      </c>
      <c r="D15" t="s">
        <v>94</v>
      </c>
      <c r="E15" t="s">
        <v>97</v>
      </c>
      <c r="F15" t="s">
        <v>96</v>
      </c>
      <c r="G15">
        <v>5.9127034604370798E-2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9.4430249510039699E-2</v>
      </c>
      <c r="U15" s="5">
        <f>IF((ContinuousStatsTable[[#This Row],[RepsRequested]]&gt;1),ContinuousStatsTable[[#This Row],[HalfWidth]],ContinuousStatsTable[[#This Row],[BatchMeansHalfWidth]])</f>
        <v>2.2563325623827138E-2</v>
      </c>
    </row>
    <row r="16" spans="1:21" x14ac:dyDescent="0.25">
      <c r="A16" t="s">
        <v>68</v>
      </c>
      <c r="B16" t="s">
        <v>70</v>
      </c>
      <c r="C16">
        <v>2</v>
      </c>
      <c r="D16" t="s">
        <v>94</v>
      </c>
      <c r="E16" t="s">
        <v>98</v>
      </c>
      <c r="F16" t="s">
        <v>96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68</v>
      </c>
      <c r="B17" t="s">
        <v>70</v>
      </c>
      <c r="C17">
        <v>2</v>
      </c>
      <c r="D17" t="s">
        <v>99</v>
      </c>
      <c r="E17" t="s">
        <v>95</v>
      </c>
      <c r="F17" t="s">
        <v>96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4.2820889862360502E-3</v>
      </c>
      <c r="U17" s="5">
        <f>IF((ContinuousStatsTable[[#This Row],[RepsRequested]]&gt;1),ContinuousStatsTable[[#This Row],[HalfWidth]],ContinuousStatsTable[[#This Row],[BatchMeansHalfWidth]])</f>
        <v>9.6867582719531832E-4</v>
      </c>
    </row>
    <row r="18" spans="1:21" x14ac:dyDescent="0.25">
      <c r="A18" t="s">
        <v>68</v>
      </c>
      <c r="B18" t="s">
        <v>70</v>
      </c>
      <c r="C18">
        <v>2</v>
      </c>
      <c r="D18" t="s">
        <v>99</v>
      </c>
      <c r="E18" t="s">
        <v>97</v>
      </c>
      <c r="F18" t="s">
        <v>96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4.2820889862360502E-3</v>
      </c>
      <c r="U18" s="5">
        <f>IF((ContinuousStatsTable[[#This Row],[RepsRequested]]&gt;1),ContinuousStatsTable[[#This Row],[HalfWidth]],ContinuousStatsTable[[#This Row],[BatchMeansHalfWidth]])</f>
        <v>9.6867582719531832E-4</v>
      </c>
    </row>
    <row r="19" spans="1:21" x14ac:dyDescent="0.25">
      <c r="A19" t="s">
        <v>68</v>
      </c>
      <c r="B19" t="s">
        <v>70</v>
      </c>
      <c r="C19">
        <v>2</v>
      </c>
      <c r="D19" t="s">
        <v>99</v>
      </c>
      <c r="E19" t="s">
        <v>98</v>
      </c>
      <c r="F19" t="s">
        <v>96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3</v>
      </c>
      <c r="D20" t="s">
        <v>71</v>
      </c>
      <c r="E20" t="s">
        <v>92</v>
      </c>
      <c r="F20" t="s">
        <v>73</v>
      </c>
      <c r="G20">
        <v>0.104537233191171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0.43594706645033499</v>
      </c>
      <c r="U20" s="5">
        <f>IF((ContinuousStatsTable[[#This Row],[RepsRequested]]&gt;1),ContinuousStatsTable[[#This Row],[HalfWidth]],ContinuousStatsTable[[#This Row],[BatchMeansHalfWidth]])</f>
        <v>0.11169782344870617</v>
      </c>
    </row>
    <row r="21" spans="1:21" x14ac:dyDescent="0.25">
      <c r="A21" t="s">
        <v>68</v>
      </c>
      <c r="B21" t="s">
        <v>70</v>
      </c>
      <c r="C21">
        <v>3</v>
      </c>
      <c r="D21" t="s">
        <v>79</v>
      </c>
      <c r="E21" t="s">
        <v>93</v>
      </c>
      <c r="F21" t="s">
        <v>81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1.98430606456448E-3</v>
      </c>
      <c r="U21" s="5">
        <f>IF((ContinuousStatsTable[[#This Row],[RepsRequested]]&gt;1),ContinuousStatsTable[[#This Row],[HalfWidth]],ContinuousStatsTable[[#This Row],[BatchMeansHalfWidth]])</f>
        <v>4.4888121771384553E-4</v>
      </c>
    </row>
    <row r="22" spans="1:21" x14ac:dyDescent="0.25">
      <c r="A22" t="s">
        <v>68</v>
      </c>
      <c r="B22" t="s">
        <v>70</v>
      </c>
      <c r="C22">
        <v>3</v>
      </c>
      <c r="D22" t="s">
        <v>91</v>
      </c>
      <c r="E22" t="s">
        <v>93</v>
      </c>
      <c r="F22" t="s">
        <v>81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68</v>
      </c>
      <c r="B23" t="s">
        <v>70</v>
      </c>
      <c r="C23">
        <v>3</v>
      </c>
      <c r="D23" t="s">
        <v>94</v>
      </c>
      <c r="E23" t="s">
        <v>95</v>
      </c>
      <c r="F23" t="s">
        <v>96</v>
      </c>
      <c r="G23">
        <v>2.9205643334124301E-2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9.4430249510039699E-2</v>
      </c>
      <c r="U23" s="5">
        <f>IF((ContinuousStatsTable[[#This Row],[RepsRequested]]&gt;1),ContinuousStatsTable[[#This Row],[HalfWidth]],ContinuousStatsTable[[#This Row],[BatchMeansHalfWidth]])</f>
        <v>2.2563325623827138E-2</v>
      </c>
    </row>
    <row r="24" spans="1:21" x14ac:dyDescent="0.25">
      <c r="A24" t="s">
        <v>68</v>
      </c>
      <c r="B24" t="s">
        <v>70</v>
      </c>
      <c r="C24">
        <v>3</v>
      </c>
      <c r="D24" t="s">
        <v>94</v>
      </c>
      <c r="E24" t="s">
        <v>97</v>
      </c>
      <c r="F24" t="s">
        <v>96</v>
      </c>
      <c r="G24">
        <v>2.9205643334124301E-2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9.4430249510039699E-2</v>
      </c>
      <c r="U24" s="5">
        <f>IF((ContinuousStatsTable[[#This Row],[RepsRequested]]&gt;1),ContinuousStatsTable[[#This Row],[HalfWidth]],ContinuousStatsTable[[#This Row],[BatchMeansHalfWidth]])</f>
        <v>2.2563325623827138E-2</v>
      </c>
    </row>
    <row r="25" spans="1:21" x14ac:dyDescent="0.25">
      <c r="A25" t="s">
        <v>68</v>
      </c>
      <c r="B25" t="s">
        <v>70</v>
      </c>
      <c r="C25">
        <v>3</v>
      </c>
      <c r="D25" t="s">
        <v>94</v>
      </c>
      <c r="E25" t="s">
        <v>98</v>
      </c>
      <c r="F25" t="s">
        <v>96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25">
      <c r="A26" t="s">
        <v>68</v>
      </c>
      <c r="B26" t="s">
        <v>70</v>
      </c>
      <c r="C26">
        <v>3</v>
      </c>
      <c r="D26" t="s">
        <v>99</v>
      </c>
      <c r="E26" t="s">
        <v>95</v>
      </c>
      <c r="F26" t="s">
        <v>96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4.2820889862360502E-3</v>
      </c>
      <c r="U26" s="5">
        <f>IF((ContinuousStatsTable[[#This Row],[RepsRequested]]&gt;1),ContinuousStatsTable[[#This Row],[HalfWidth]],ContinuousStatsTable[[#This Row],[BatchMeansHalfWidth]])</f>
        <v>9.6867582719531832E-4</v>
      </c>
    </row>
    <row r="27" spans="1:21" x14ac:dyDescent="0.25">
      <c r="A27" t="s">
        <v>68</v>
      </c>
      <c r="B27" t="s">
        <v>70</v>
      </c>
      <c r="C27">
        <v>3</v>
      </c>
      <c r="D27" t="s">
        <v>99</v>
      </c>
      <c r="E27" t="s">
        <v>97</v>
      </c>
      <c r="F27" t="s">
        <v>96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4.2820889862360502E-3</v>
      </c>
      <c r="U27" s="5">
        <f>IF((ContinuousStatsTable[[#This Row],[RepsRequested]]&gt;1),ContinuousStatsTable[[#This Row],[HalfWidth]],ContinuousStatsTable[[#This Row],[BatchMeansHalfWidth]])</f>
        <v>9.6867582719531832E-4</v>
      </c>
    </row>
    <row r="28" spans="1:21" x14ac:dyDescent="0.25">
      <c r="A28" t="s">
        <v>68</v>
      </c>
      <c r="B28" t="s">
        <v>70</v>
      </c>
      <c r="C28">
        <v>3</v>
      </c>
      <c r="D28" t="s">
        <v>99</v>
      </c>
      <c r="E28" t="s">
        <v>98</v>
      </c>
      <c r="F28" t="s">
        <v>96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25">
      <c r="A29" t="s">
        <v>68</v>
      </c>
      <c r="B29" t="s">
        <v>70</v>
      </c>
      <c r="C29">
        <v>4</v>
      </c>
      <c r="D29" t="s">
        <v>71</v>
      </c>
      <c r="E29" t="s">
        <v>92</v>
      </c>
      <c r="F29" t="s">
        <v>73</v>
      </c>
      <c r="G29">
        <v>0.43594706645033499</v>
      </c>
      <c r="H29">
        <v>2E+20</v>
      </c>
      <c r="I29">
        <v>0</v>
      </c>
      <c r="J29">
        <v>2</v>
      </c>
      <c r="K29">
        <v>2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0.43594706645033499</v>
      </c>
      <c r="U29" s="5">
        <f>IF((ContinuousStatsTable[[#This Row],[RepsRequested]]&gt;1),ContinuousStatsTable[[#This Row],[HalfWidth]],ContinuousStatsTable[[#This Row],[BatchMeansHalfWidth]])</f>
        <v>0.11169782344870617</v>
      </c>
    </row>
    <row r="30" spans="1:21" x14ac:dyDescent="0.25">
      <c r="A30" t="s">
        <v>68</v>
      </c>
      <c r="B30" t="s">
        <v>70</v>
      </c>
      <c r="C30">
        <v>4</v>
      </c>
      <c r="D30" t="s">
        <v>79</v>
      </c>
      <c r="E30" t="s">
        <v>93</v>
      </c>
      <c r="F30" t="s">
        <v>81</v>
      </c>
      <c r="G30">
        <v>1.98430606456448E-3</v>
      </c>
      <c r="H30">
        <v>2E+20</v>
      </c>
      <c r="I30">
        <v>0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1.98430606456448E-3</v>
      </c>
      <c r="U30" s="5">
        <f>IF((ContinuousStatsTable[[#This Row],[RepsRequested]]&gt;1),ContinuousStatsTable[[#This Row],[HalfWidth]],ContinuousStatsTable[[#This Row],[BatchMeansHalfWidth]])</f>
        <v>4.4888121771384553E-4</v>
      </c>
    </row>
    <row r="31" spans="1:21" x14ac:dyDescent="0.25">
      <c r="A31" t="s">
        <v>68</v>
      </c>
      <c r="B31" t="s">
        <v>70</v>
      </c>
      <c r="C31">
        <v>4</v>
      </c>
      <c r="D31" t="s">
        <v>91</v>
      </c>
      <c r="E31" t="s">
        <v>93</v>
      </c>
      <c r="F31" t="s">
        <v>81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70</v>
      </c>
      <c r="C32">
        <v>4</v>
      </c>
      <c r="D32" t="s">
        <v>94</v>
      </c>
      <c r="E32" t="s">
        <v>95</v>
      </c>
      <c r="F32" t="s">
        <v>96</v>
      </c>
      <c r="G32">
        <v>5.0275829145292002E-2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9.4430249510039699E-2</v>
      </c>
      <c r="U32" s="5">
        <f>IF((ContinuousStatsTable[[#This Row],[RepsRequested]]&gt;1),ContinuousStatsTable[[#This Row],[HalfWidth]],ContinuousStatsTable[[#This Row],[BatchMeansHalfWidth]])</f>
        <v>2.2563325623827138E-2</v>
      </c>
    </row>
    <row r="33" spans="1:21" x14ac:dyDescent="0.25">
      <c r="A33" t="s">
        <v>68</v>
      </c>
      <c r="B33" t="s">
        <v>70</v>
      </c>
      <c r="C33">
        <v>4</v>
      </c>
      <c r="D33" t="s">
        <v>94</v>
      </c>
      <c r="E33" t="s">
        <v>97</v>
      </c>
      <c r="F33" t="s">
        <v>96</v>
      </c>
      <c r="G33">
        <v>5.0275829145292002E-2</v>
      </c>
      <c r="H33">
        <v>2E+20</v>
      </c>
      <c r="I33">
        <v>0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9.4430249510039699E-2</v>
      </c>
      <c r="U33" s="5">
        <f>IF((ContinuousStatsTable[[#This Row],[RepsRequested]]&gt;1),ContinuousStatsTable[[#This Row],[HalfWidth]],ContinuousStatsTable[[#This Row],[BatchMeansHalfWidth]])</f>
        <v>2.2563325623827138E-2</v>
      </c>
    </row>
    <row r="34" spans="1:21" x14ac:dyDescent="0.25">
      <c r="A34" t="s">
        <v>68</v>
      </c>
      <c r="B34" t="s">
        <v>70</v>
      </c>
      <c r="C34">
        <v>4</v>
      </c>
      <c r="D34" t="s">
        <v>94</v>
      </c>
      <c r="E34" t="s">
        <v>98</v>
      </c>
      <c r="F34" t="s">
        <v>96</v>
      </c>
      <c r="G34">
        <v>1</v>
      </c>
      <c r="H34">
        <v>2E+20</v>
      </c>
      <c r="I34">
        <v>1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1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 x14ac:dyDescent="0.25">
      <c r="A35" t="s">
        <v>68</v>
      </c>
      <c r="B35" t="s">
        <v>70</v>
      </c>
      <c r="C35">
        <v>4</v>
      </c>
      <c r="D35" t="s">
        <v>99</v>
      </c>
      <c r="E35" t="s">
        <v>95</v>
      </c>
      <c r="F35" t="s">
        <v>96</v>
      </c>
      <c r="G35">
        <v>4.2820889862360502E-3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4.2820889862360502E-3</v>
      </c>
      <c r="U35" s="5">
        <f>IF((ContinuousStatsTable[[#This Row],[RepsRequested]]&gt;1),ContinuousStatsTable[[#This Row],[HalfWidth]],ContinuousStatsTable[[#This Row],[BatchMeansHalfWidth]])</f>
        <v>9.6867582719531832E-4</v>
      </c>
    </row>
    <row r="36" spans="1:21" x14ac:dyDescent="0.25">
      <c r="A36" t="s">
        <v>68</v>
      </c>
      <c r="B36" t="s">
        <v>70</v>
      </c>
      <c r="C36">
        <v>4</v>
      </c>
      <c r="D36" t="s">
        <v>99</v>
      </c>
      <c r="E36" t="s">
        <v>97</v>
      </c>
      <c r="F36" t="s">
        <v>96</v>
      </c>
      <c r="G36">
        <v>4.2820889862360502E-3</v>
      </c>
      <c r="H36">
        <v>2E+20</v>
      </c>
      <c r="I36">
        <v>0</v>
      </c>
      <c r="J36">
        <v>1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4.2820889862360502E-3</v>
      </c>
      <c r="U36" s="5">
        <f>IF((ContinuousStatsTable[[#This Row],[RepsRequested]]&gt;1),ContinuousStatsTable[[#This Row],[HalfWidth]],ContinuousStatsTable[[#This Row],[BatchMeansHalfWidth]])</f>
        <v>9.6867582719531832E-4</v>
      </c>
    </row>
    <row r="37" spans="1:21" x14ac:dyDescent="0.25">
      <c r="A37" t="s">
        <v>68</v>
      </c>
      <c r="B37" t="s">
        <v>70</v>
      </c>
      <c r="C37">
        <v>4</v>
      </c>
      <c r="D37" t="s">
        <v>99</v>
      </c>
      <c r="E37" t="s">
        <v>98</v>
      </c>
      <c r="F37" t="s">
        <v>96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68</v>
      </c>
      <c r="B38" t="s">
        <v>70</v>
      </c>
      <c r="C38">
        <v>5</v>
      </c>
      <c r="D38" t="s">
        <v>71</v>
      </c>
      <c r="E38" t="s">
        <v>92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0.43594706645033499</v>
      </c>
      <c r="U38" s="5">
        <f>IF((ContinuousStatsTable[[#This Row],[RepsRequested]]&gt;1),ContinuousStatsTable[[#This Row],[HalfWidth]],ContinuousStatsTable[[#This Row],[BatchMeansHalfWidth]])</f>
        <v>0.11169782344870617</v>
      </c>
    </row>
    <row r="39" spans="1:21" x14ac:dyDescent="0.25">
      <c r="A39" t="s">
        <v>68</v>
      </c>
      <c r="B39" t="s">
        <v>70</v>
      </c>
      <c r="C39">
        <v>5</v>
      </c>
      <c r="D39" t="s">
        <v>79</v>
      </c>
      <c r="E39" t="s">
        <v>93</v>
      </c>
      <c r="F39" t="s">
        <v>81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1.98430606456448E-3</v>
      </c>
      <c r="U39" s="5">
        <f>IF((ContinuousStatsTable[[#This Row],[RepsRequested]]&gt;1),ContinuousStatsTable[[#This Row],[HalfWidth]],ContinuousStatsTable[[#This Row],[BatchMeansHalfWidth]])</f>
        <v>4.4888121771384553E-4</v>
      </c>
    </row>
    <row r="40" spans="1:21" x14ac:dyDescent="0.25">
      <c r="A40" t="s">
        <v>68</v>
      </c>
      <c r="B40" t="s">
        <v>70</v>
      </c>
      <c r="C40">
        <v>5</v>
      </c>
      <c r="D40" t="s">
        <v>91</v>
      </c>
      <c r="E40" t="s">
        <v>93</v>
      </c>
      <c r="F40" t="s">
        <v>81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5</v>
      </c>
      <c r="D41" t="s">
        <v>94</v>
      </c>
      <c r="E41" t="s">
        <v>95</v>
      </c>
      <c r="F41" t="s">
        <v>96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9.4430249510039699E-2</v>
      </c>
      <c r="U41" s="5">
        <f>IF((ContinuousStatsTable[[#This Row],[RepsRequested]]&gt;1),ContinuousStatsTable[[#This Row],[HalfWidth]],ContinuousStatsTable[[#This Row],[BatchMeansHalfWidth]])</f>
        <v>2.2563325623827138E-2</v>
      </c>
    </row>
    <row r="42" spans="1:21" x14ac:dyDescent="0.25">
      <c r="A42" t="s">
        <v>68</v>
      </c>
      <c r="B42" t="s">
        <v>70</v>
      </c>
      <c r="C42">
        <v>5</v>
      </c>
      <c r="D42" t="s">
        <v>94</v>
      </c>
      <c r="E42" t="s">
        <v>97</v>
      </c>
      <c r="F42" t="s">
        <v>96</v>
      </c>
      <c r="G42">
        <v>0</v>
      </c>
      <c r="H42">
        <v>2E+20</v>
      </c>
      <c r="I42">
        <v>0</v>
      </c>
      <c r="J42">
        <v>0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9.4430249510039699E-2</v>
      </c>
      <c r="U42" s="5">
        <f>IF((ContinuousStatsTable[[#This Row],[RepsRequested]]&gt;1),ContinuousStatsTable[[#This Row],[HalfWidth]],ContinuousStatsTable[[#This Row],[BatchMeansHalfWidth]])</f>
        <v>2.2563325623827138E-2</v>
      </c>
    </row>
    <row r="43" spans="1:21" x14ac:dyDescent="0.25">
      <c r="A43" t="s">
        <v>68</v>
      </c>
      <c r="B43" t="s">
        <v>70</v>
      </c>
      <c r="C43">
        <v>5</v>
      </c>
      <c r="D43" t="s">
        <v>94</v>
      </c>
      <c r="E43" t="s">
        <v>98</v>
      </c>
      <c r="F43" t="s">
        <v>96</v>
      </c>
      <c r="G43">
        <v>1</v>
      </c>
      <c r="H43">
        <v>2E+20</v>
      </c>
      <c r="I43">
        <v>1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1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70</v>
      </c>
      <c r="C44">
        <v>5</v>
      </c>
      <c r="D44" t="s">
        <v>99</v>
      </c>
      <c r="E44" t="s">
        <v>95</v>
      </c>
      <c r="F44" t="s">
        <v>96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4.2820889862360502E-3</v>
      </c>
      <c r="U44" s="5">
        <f>IF((ContinuousStatsTable[[#This Row],[RepsRequested]]&gt;1),ContinuousStatsTable[[#This Row],[HalfWidth]],ContinuousStatsTable[[#This Row],[BatchMeansHalfWidth]])</f>
        <v>9.6867582719531832E-4</v>
      </c>
    </row>
    <row r="45" spans="1:21" x14ac:dyDescent="0.25">
      <c r="A45" t="s">
        <v>68</v>
      </c>
      <c r="B45" t="s">
        <v>70</v>
      </c>
      <c r="C45">
        <v>5</v>
      </c>
      <c r="D45" t="s">
        <v>99</v>
      </c>
      <c r="E45" t="s">
        <v>97</v>
      </c>
      <c r="F45" t="s">
        <v>96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4.2820889862360502E-3</v>
      </c>
      <c r="U45" s="5">
        <f>IF((ContinuousStatsTable[[#This Row],[RepsRequested]]&gt;1),ContinuousStatsTable[[#This Row],[HalfWidth]],ContinuousStatsTable[[#This Row],[BatchMeansHalfWidth]])</f>
        <v>9.6867582719531832E-4</v>
      </c>
    </row>
    <row r="46" spans="1:21" x14ac:dyDescent="0.25">
      <c r="A46" t="s">
        <v>68</v>
      </c>
      <c r="B46" t="s">
        <v>70</v>
      </c>
      <c r="C46">
        <v>5</v>
      </c>
      <c r="D46" t="s">
        <v>99</v>
      </c>
      <c r="E46" t="s">
        <v>98</v>
      </c>
      <c r="F46" t="s">
        <v>96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6</v>
      </c>
      <c r="D47" t="s">
        <v>71</v>
      </c>
      <c r="E47" t="s">
        <v>92</v>
      </c>
      <c r="F47" t="s">
        <v>73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0.43594706645033499</v>
      </c>
      <c r="U47" s="5">
        <f>IF((ContinuousStatsTable[[#This Row],[RepsRequested]]&gt;1),ContinuousStatsTable[[#This Row],[HalfWidth]],ContinuousStatsTable[[#This Row],[BatchMeansHalfWidth]])</f>
        <v>0.11169782344870617</v>
      </c>
    </row>
    <row r="48" spans="1:21" x14ac:dyDescent="0.25">
      <c r="A48" t="s">
        <v>68</v>
      </c>
      <c r="B48" t="s">
        <v>70</v>
      </c>
      <c r="C48">
        <v>6</v>
      </c>
      <c r="D48" t="s">
        <v>79</v>
      </c>
      <c r="E48" t="s">
        <v>93</v>
      </c>
      <c r="F48" t="s">
        <v>81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1.98430606456448E-3</v>
      </c>
      <c r="U48" s="5">
        <f>IF((ContinuousStatsTable[[#This Row],[RepsRequested]]&gt;1),ContinuousStatsTable[[#This Row],[HalfWidth]],ContinuousStatsTable[[#This Row],[BatchMeansHalfWidth]])</f>
        <v>4.4888121771384553E-4</v>
      </c>
    </row>
    <row r="49" spans="1:21" x14ac:dyDescent="0.25">
      <c r="A49" t="s">
        <v>68</v>
      </c>
      <c r="B49" t="s">
        <v>70</v>
      </c>
      <c r="C49">
        <v>6</v>
      </c>
      <c r="D49" t="s">
        <v>91</v>
      </c>
      <c r="E49" t="s">
        <v>93</v>
      </c>
      <c r="F49" t="s">
        <v>81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6</v>
      </c>
      <c r="D50" t="s">
        <v>94</v>
      </c>
      <c r="E50" t="s">
        <v>95</v>
      </c>
      <c r="F50" t="s">
        <v>96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9.4430249510039699E-2</v>
      </c>
      <c r="U50" s="5">
        <f>IF((ContinuousStatsTable[[#This Row],[RepsRequested]]&gt;1),ContinuousStatsTable[[#This Row],[HalfWidth]],ContinuousStatsTable[[#This Row],[BatchMeansHalfWidth]])</f>
        <v>2.2563325623827138E-2</v>
      </c>
    </row>
    <row r="51" spans="1:21" x14ac:dyDescent="0.25">
      <c r="A51" t="s">
        <v>68</v>
      </c>
      <c r="B51" t="s">
        <v>70</v>
      </c>
      <c r="C51">
        <v>6</v>
      </c>
      <c r="D51" t="s">
        <v>94</v>
      </c>
      <c r="E51" t="s">
        <v>97</v>
      </c>
      <c r="F51" t="s">
        <v>96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9.4430249510039699E-2</v>
      </c>
      <c r="U51" s="5">
        <f>IF((ContinuousStatsTable[[#This Row],[RepsRequested]]&gt;1),ContinuousStatsTable[[#This Row],[HalfWidth]],ContinuousStatsTable[[#This Row],[BatchMeansHalfWidth]])</f>
        <v>2.2563325623827138E-2</v>
      </c>
    </row>
    <row r="52" spans="1:21" x14ac:dyDescent="0.25">
      <c r="A52" t="s">
        <v>68</v>
      </c>
      <c r="B52" t="s">
        <v>70</v>
      </c>
      <c r="C52">
        <v>6</v>
      </c>
      <c r="D52" t="s">
        <v>94</v>
      </c>
      <c r="E52" t="s">
        <v>98</v>
      </c>
      <c r="F52" t="s">
        <v>96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25">
      <c r="A53" t="s">
        <v>68</v>
      </c>
      <c r="B53" t="s">
        <v>70</v>
      </c>
      <c r="C53">
        <v>6</v>
      </c>
      <c r="D53" t="s">
        <v>99</v>
      </c>
      <c r="E53" t="s">
        <v>95</v>
      </c>
      <c r="F53" t="s">
        <v>96</v>
      </c>
      <c r="G53">
        <v>0</v>
      </c>
      <c r="H53">
        <v>2E+20</v>
      </c>
      <c r="I53">
        <v>0</v>
      </c>
      <c r="J53">
        <v>0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4.2820889862360502E-3</v>
      </c>
      <c r="U53" s="5">
        <f>IF((ContinuousStatsTable[[#This Row],[RepsRequested]]&gt;1),ContinuousStatsTable[[#This Row],[HalfWidth]],ContinuousStatsTable[[#This Row],[BatchMeansHalfWidth]])</f>
        <v>9.6867582719531832E-4</v>
      </c>
    </row>
    <row r="54" spans="1:21" x14ac:dyDescent="0.25">
      <c r="A54" t="s">
        <v>68</v>
      </c>
      <c r="B54" t="s">
        <v>70</v>
      </c>
      <c r="C54">
        <v>6</v>
      </c>
      <c r="D54" t="s">
        <v>99</v>
      </c>
      <c r="E54" t="s">
        <v>97</v>
      </c>
      <c r="F54" t="s">
        <v>96</v>
      </c>
      <c r="G54">
        <v>0</v>
      </c>
      <c r="H54">
        <v>2E+20</v>
      </c>
      <c r="I54">
        <v>0</v>
      </c>
      <c r="J54">
        <v>0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4.2820889862360502E-3</v>
      </c>
      <c r="U54" s="5">
        <f>IF((ContinuousStatsTable[[#This Row],[RepsRequested]]&gt;1),ContinuousStatsTable[[#This Row],[HalfWidth]],ContinuousStatsTable[[#This Row],[BatchMeansHalfWidth]])</f>
        <v>9.6867582719531832E-4</v>
      </c>
    </row>
    <row r="55" spans="1:21" x14ac:dyDescent="0.25">
      <c r="A55" t="s">
        <v>68</v>
      </c>
      <c r="B55" t="s">
        <v>70</v>
      </c>
      <c r="C55">
        <v>6</v>
      </c>
      <c r="D55" t="s">
        <v>99</v>
      </c>
      <c r="E55" t="s">
        <v>98</v>
      </c>
      <c r="F55" t="s">
        <v>96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68</v>
      </c>
      <c r="B56" t="s">
        <v>70</v>
      </c>
      <c r="C56">
        <v>7</v>
      </c>
      <c r="D56" t="s">
        <v>71</v>
      </c>
      <c r="E56" t="s">
        <v>92</v>
      </c>
      <c r="F56" t="s">
        <v>73</v>
      </c>
      <c r="G56">
        <v>9.0670050851207398E-2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0.43594706645033499</v>
      </c>
      <c r="U56" s="5">
        <f>IF((ContinuousStatsTable[[#This Row],[RepsRequested]]&gt;1),ContinuousStatsTable[[#This Row],[HalfWidth]],ContinuousStatsTable[[#This Row],[BatchMeansHalfWidth]])</f>
        <v>0.11169782344870617</v>
      </c>
    </row>
    <row r="57" spans="1:21" x14ac:dyDescent="0.25">
      <c r="A57" t="s">
        <v>68</v>
      </c>
      <c r="B57" t="s">
        <v>70</v>
      </c>
      <c r="C57">
        <v>7</v>
      </c>
      <c r="D57" t="s">
        <v>79</v>
      </c>
      <c r="E57" t="s">
        <v>93</v>
      </c>
      <c r="F57" t="s">
        <v>81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1.98430606456448E-3</v>
      </c>
      <c r="U57" s="5">
        <f>IF((ContinuousStatsTable[[#This Row],[RepsRequested]]&gt;1),ContinuousStatsTable[[#This Row],[HalfWidth]],ContinuousStatsTable[[#This Row],[BatchMeansHalfWidth]])</f>
        <v>4.4888121771384553E-4</v>
      </c>
    </row>
    <row r="58" spans="1:21" x14ac:dyDescent="0.25">
      <c r="A58" t="s">
        <v>68</v>
      </c>
      <c r="B58" t="s">
        <v>70</v>
      </c>
      <c r="C58">
        <v>7</v>
      </c>
      <c r="D58" t="s">
        <v>91</v>
      </c>
      <c r="E58" t="s">
        <v>93</v>
      </c>
      <c r="F58" t="s">
        <v>81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70</v>
      </c>
      <c r="C59">
        <v>7</v>
      </c>
      <c r="D59" t="s">
        <v>94</v>
      </c>
      <c r="E59" t="s">
        <v>95</v>
      </c>
      <c r="F59" t="s">
        <v>96</v>
      </c>
      <c r="G59">
        <v>2.81208416990829E-2</v>
      </c>
      <c r="H59">
        <v>2E+20</v>
      </c>
      <c r="I59">
        <v>0</v>
      </c>
      <c r="J59">
        <v>1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9.4430249510039699E-2</v>
      </c>
      <c r="U59" s="5">
        <f>IF((ContinuousStatsTable[[#This Row],[RepsRequested]]&gt;1),ContinuousStatsTable[[#This Row],[HalfWidth]],ContinuousStatsTable[[#This Row],[BatchMeansHalfWidth]])</f>
        <v>2.2563325623827138E-2</v>
      </c>
    </row>
    <row r="60" spans="1:21" x14ac:dyDescent="0.25">
      <c r="A60" t="s">
        <v>68</v>
      </c>
      <c r="B60" t="s">
        <v>70</v>
      </c>
      <c r="C60">
        <v>7</v>
      </c>
      <c r="D60" t="s">
        <v>94</v>
      </c>
      <c r="E60" t="s">
        <v>97</v>
      </c>
      <c r="F60" t="s">
        <v>96</v>
      </c>
      <c r="G60">
        <v>2.81208416990829E-2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9.4430249510039699E-2</v>
      </c>
      <c r="U60" s="5">
        <f>IF((ContinuousStatsTable[[#This Row],[RepsRequested]]&gt;1),ContinuousStatsTable[[#This Row],[HalfWidth]],ContinuousStatsTable[[#This Row],[BatchMeansHalfWidth]])</f>
        <v>2.2563325623827138E-2</v>
      </c>
    </row>
    <row r="61" spans="1:21" x14ac:dyDescent="0.25">
      <c r="A61" t="s">
        <v>68</v>
      </c>
      <c r="B61" t="s">
        <v>70</v>
      </c>
      <c r="C61">
        <v>7</v>
      </c>
      <c r="D61" t="s">
        <v>94</v>
      </c>
      <c r="E61" t="s">
        <v>98</v>
      </c>
      <c r="F61" t="s">
        <v>96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 x14ac:dyDescent="0.25">
      <c r="A62" t="s">
        <v>68</v>
      </c>
      <c r="B62" t="s">
        <v>70</v>
      </c>
      <c r="C62">
        <v>7</v>
      </c>
      <c r="D62" t="s">
        <v>99</v>
      </c>
      <c r="E62" t="s">
        <v>95</v>
      </c>
      <c r="F62" t="s">
        <v>96</v>
      </c>
      <c r="G62">
        <v>0</v>
      </c>
      <c r="H62">
        <v>2E+20</v>
      </c>
      <c r="I62">
        <v>0</v>
      </c>
      <c r="J62">
        <v>0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4.2820889862360502E-3</v>
      </c>
      <c r="U62" s="5">
        <f>IF((ContinuousStatsTable[[#This Row],[RepsRequested]]&gt;1),ContinuousStatsTable[[#This Row],[HalfWidth]],ContinuousStatsTable[[#This Row],[BatchMeansHalfWidth]])</f>
        <v>9.6867582719531832E-4</v>
      </c>
    </row>
    <row r="63" spans="1:21" x14ac:dyDescent="0.25">
      <c r="A63" t="s">
        <v>68</v>
      </c>
      <c r="B63" t="s">
        <v>70</v>
      </c>
      <c r="C63">
        <v>7</v>
      </c>
      <c r="D63" t="s">
        <v>99</v>
      </c>
      <c r="E63" t="s">
        <v>97</v>
      </c>
      <c r="F63" t="s">
        <v>96</v>
      </c>
      <c r="G63">
        <v>0</v>
      </c>
      <c r="H63">
        <v>2E+20</v>
      </c>
      <c r="I63">
        <v>0</v>
      </c>
      <c r="J63">
        <v>0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4.2820889862360502E-3</v>
      </c>
      <c r="U63" s="5">
        <f>IF((ContinuousStatsTable[[#This Row],[RepsRequested]]&gt;1),ContinuousStatsTable[[#This Row],[HalfWidth]],ContinuousStatsTable[[#This Row],[BatchMeansHalfWidth]])</f>
        <v>9.6867582719531832E-4</v>
      </c>
    </row>
    <row r="64" spans="1:21" x14ac:dyDescent="0.25">
      <c r="A64" t="s">
        <v>68</v>
      </c>
      <c r="B64" t="s">
        <v>70</v>
      </c>
      <c r="C64">
        <v>7</v>
      </c>
      <c r="D64" t="s">
        <v>99</v>
      </c>
      <c r="E64" t="s">
        <v>98</v>
      </c>
      <c r="F64" t="s">
        <v>96</v>
      </c>
      <c r="G64">
        <v>1</v>
      </c>
      <c r="H64">
        <v>2E+20</v>
      </c>
      <c r="I64">
        <v>1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1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1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25">
      <c r="A65" t="s">
        <v>68</v>
      </c>
      <c r="B65" t="s">
        <v>70</v>
      </c>
      <c r="C65">
        <v>8</v>
      </c>
      <c r="D65" t="s">
        <v>71</v>
      </c>
      <c r="E65" t="s">
        <v>92</v>
      </c>
      <c r="F65" t="s">
        <v>73</v>
      </c>
      <c r="G65">
        <v>0.112803841514036</v>
      </c>
      <c r="H65">
        <v>2E+20</v>
      </c>
      <c r="I65">
        <v>0</v>
      </c>
      <c r="J65">
        <v>1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0.43594706645033499</v>
      </c>
      <c r="U65" s="5">
        <f>IF((ContinuousStatsTable[[#This Row],[RepsRequested]]&gt;1),ContinuousStatsTable[[#This Row],[HalfWidth]],ContinuousStatsTable[[#This Row],[BatchMeansHalfWidth]])</f>
        <v>0.11169782344870617</v>
      </c>
    </row>
    <row r="66" spans="1:21" x14ac:dyDescent="0.25">
      <c r="A66" t="s">
        <v>68</v>
      </c>
      <c r="B66" t="s">
        <v>70</v>
      </c>
      <c r="C66">
        <v>8</v>
      </c>
      <c r="D66" t="s">
        <v>79</v>
      </c>
      <c r="E66" t="s">
        <v>93</v>
      </c>
      <c r="F66" t="s">
        <v>81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1.98430606456448E-3</v>
      </c>
      <c r="U66" s="5">
        <f>IF((ContinuousStatsTable[[#This Row],[RepsRequested]]&gt;1),ContinuousStatsTable[[#This Row],[HalfWidth]],ContinuousStatsTable[[#This Row],[BatchMeansHalfWidth]])</f>
        <v>4.4888121771384553E-4</v>
      </c>
    </row>
    <row r="67" spans="1:21" x14ac:dyDescent="0.25">
      <c r="A67" t="s">
        <v>68</v>
      </c>
      <c r="B67" t="s">
        <v>70</v>
      </c>
      <c r="C67">
        <v>8</v>
      </c>
      <c r="D67" t="s">
        <v>91</v>
      </c>
      <c r="E67" t="s">
        <v>93</v>
      </c>
      <c r="F67" t="s">
        <v>81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</v>
      </c>
      <c r="U67" s="5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68</v>
      </c>
      <c r="B68" t="s">
        <v>70</v>
      </c>
      <c r="C68">
        <v>8</v>
      </c>
      <c r="D68" t="s">
        <v>94</v>
      </c>
      <c r="E68" t="s">
        <v>95</v>
      </c>
      <c r="F68" t="s">
        <v>96</v>
      </c>
      <c r="G68">
        <v>2.7789899851861598E-2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9.4430249510039699E-2</v>
      </c>
      <c r="U68" s="5">
        <f>IF((ContinuousStatsTable[[#This Row],[RepsRequested]]&gt;1),ContinuousStatsTable[[#This Row],[HalfWidth]],ContinuousStatsTable[[#This Row],[BatchMeansHalfWidth]])</f>
        <v>2.2563325623827138E-2</v>
      </c>
    </row>
    <row r="69" spans="1:21" x14ac:dyDescent="0.25">
      <c r="A69" t="s">
        <v>68</v>
      </c>
      <c r="B69" t="s">
        <v>70</v>
      </c>
      <c r="C69">
        <v>8</v>
      </c>
      <c r="D69" t="s">
        <v>94</v>
      </c>
      <c r="E69" t="s">
        <v>97</v>
      </c>
      <c r="F69" t="s">
        <v>96</v>
      </c>
      <c r="G69">
        <v>2.7789899851861598E-2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9.4430249510039699E-2</v>
      </c>
      <c r="U69" s="5">
        <f>IF((ContinuousStatsTable[[#This Row],[RepsRequested]]&gt;1),ContinuousStatsTable[[#This Row],[HalfWidth]],ContinuousStatsTable[[#This Row],[BatchMeansHalfWidth]])</f>
        <v>2.2563325623827138E-2</v>
      </c>
    </row>
    <row r="70" spans="1:21" x14ac:dyDescent="0.25">
      <c r="A70" t="s">
        <v>68</v>
      </c>
      <c r="B70" t="s">
        <v>70</v>
      </c>
      <c r="C70">
        <v>8</v>
      </c>
      <c r="D70" t="s">
        <v>94</v>
      </c>
      <c r="E70" t="s">
        <v>98</v>
      </c>
      <c r="F70" t="s">
        <v>96</v>
      </c>
      <c r="G70">
        <v>1</v>
      </c>
      <c r="H70">
        <v>2E+20</v>
      </c>
      <c r="I70">
        <v>1</v>
      </c>
      <c r="J70">
        <v>1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1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70</v>
      </c>
      <c r="C71">
        <v>8</v>
      </c>
      <c r="D71" t="s">
        <v>99</v>
      </c>
      <c r="E71" t="s">
        <v>95</v>
      </c>
      <c r="F71" t="s">
        <v>96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4.2820889862360502E-3</v>
      </c>
      <c r="U71" s="5">
        <f>IF((ContinuousStatsTable[[#This Row],[RepsRequested]]&gt;1),ContinuousStatsTable[[#This Row],[HalfWidth]],ContinuousStatsTable[[#This Row],[BatchMeansHalfWidth]])</f>
        <v>9.6867582719531832E-4</v>
      </c>
    </row>
    <row r="72" spans="1:21" x14ac:dyDescent="0.25">
      <c r="A72" t="s">
        <v>68</v>
      </c>
      <c r="B72" t="s">
        <v>70</v>
      </c>
      <c r="C72">
        <v>8</v>
      </c>
      <c r="D72" t="s">
        <v>99</v>
      </c>
      <c r="E72" t="s">
        <v>97</v>
      </c>
      <c r="F72" t="s">
        <v>96</v>
      </c>
      <c r="G72">
        <v>0</v>
      </c>
      <c r="H72">
        <v>2E+20</v>
      </c>
      <c r="I72">
        <v>0</v>
      </c>
      <c r="J72">
        <v>0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4.2820889862360502E-3</v>
      </c>
      <c r="U72" s="5">
        <f>IF((ContinuousStatsTable[[#This Row],[RepsRequested]]&gt;1),ContinuousStatsTable[[#This Row],[HalfWidth]],ContinuousStatsTable[[#This Row],[BatchMeansHalfWidth]])</f>
        <v>9.6867582719531832E-4</v>
      </c>
    </row>
    <row r="73" spans="1:21" x14ac:dyDescent="0.25">
      <c r="A73" t="s">
        <v>68</v>
      </c>
      <c r="B73" t="s">
        <v>70</v>
      </c>
      <c r="C73">
        <v>8</v>
      </c>
      <c r="D73" t="s">
        <v>99</v>
      </c>
      <c r="E73" t="s">
        <v>98</v>
      </c>
      <c r="F73" t="s">
        <v>96</v>
      </c>
      <c r="G73">
        <v>1</v>
      </c>
      <c r="H73">
        <v>2E+20</v>
      </c>
      <c r="I73">
        <v>1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25">
      <c r="A74" t="s">
        <v>68</v>
      </c>
      <c r="B74" t="s">
        <v>70</v>
      </c>
      <c r="C74">
        <v>9</v>
      </c>
      <c r="D74" t="s">
        <v>71</v>
      </c>
      <c r="E74" t="s">
        <v>92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0.43594706645033499</v>
      </c>
      <c r="U74" s="5">
        <f>IF((ContinuousStatsTable[[#This Row],[RepsRequested]]&gt;1),ContinuousStatsTable[[#This Row],[HalfWidth]],ContinuousStatsTable[[#This Row],[BatchMeansHalfWidth]])</f>
        <v>0.11169782344870617</v>
      </c>
    </row>
    <row r="75" spans="1:21" x14ac:dyDescent="0.25">
      <c r="A75" t="s">
        <v>68</v>
      </c>
      <c r="B75" t="s">
        <v>70</v>
      </c>
      <c r="C75">
        <v>9</v>
      </c>
      <c r="D75" t="s">
        <v>79</v>
      </c>
      <c r="E75" t="s">
        <v>93</v>
      </c>
      <c r="F75" t="s">
        <v>81</v>
      </c>
      <c r="G75">
        <v>0</v>
      </c>
      <c r="H75">
        <v>2E+20</v>
      </c>
      <c r="I75">
        <v>0</v>
      </c>
      <c r="J75">
        <v>0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1.98430606456448E-3</v>
      </c>
      <c r="U75" s="5">
        <f>IF((ContinuousStatsTable[[#This Row],[RepsRequested]]&gt;1),ContinuousStatsTable[[#This Row],[HalfWidth]],ContinuousStatsTable[[#This Row],[BatchMeansHalfWidth]])</f>
        <v>4.4888121771384553E-4</v>
      </c>
    </row>
    <row r="76" spans="1:21" x14ac:dyDescent="0.25">
      <c r="A76" t="s">
        <v>68</v>
      </c>
      <c r="B76" t="s">
        <v>70</v>
      </c>
      <c r="C76">
        <v>9</v>
      </c>
      <c r="D76" t="s">
        <v>91</v>
      </c>
      <c r="E76" t="s">
        <v>93</v>
      </c>
      <c r="F76" t="s">
        <v>81</v>
      </c>
      <c r="G76">
        <v>0</v>
      </c>
      <c r="H76">
        <v>2E+20</v>
      </c>
      <c r="I76">
        <v>0</v>
      </c>
      <c r="J76">
        <v>0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</v>
      </c>
      <c r="U76" s="5">
        <f>IF((ContinuousStatsTable[[#This Row],[RepsRequested]]&gt;1),ContinuousStatsTable[[#This Row],[HalfWidth]],ContinuousStatsTable[[#This Row],[BatchMeansHalfWidth]])</f>
        <v>0</v>
      </c>
    </row>
    <row r="77" spans="1:21" x14ac:dyDescent="0.25">
      <c r="A77" t="s">
        <v>68</v>
      </c>
      <c r="B77" t="s">
        <v>70</v>
      </c>
      <c r="C77">
        <v>9</v>
      </c>
      <c r="D77" t="s">
        <v>94</v>
      </c>
      <c r="E77" t="s">
        <v>95</v>
      </c>
      <c r="F77" t="s">
        <v>96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9.4430249510039699E-2</v>
      </c>
      <c r="U77" s="5">
        <f>IF((ContinuousStatsTable[[#This Row],[RepsRequested]]&gt;1),ContinuousStatsTable[[#This Row],[HalfWidth]],ContinuousStatsTable[[#This Row],[BatchMeansHalfWidth]])</f>
        <v>2.2563325623827138E-2</v>
      </c>
    </row>
    <row r="78" spans="1:21" x14ac:dyDescent="0.25">
      <c r="A78" t="s">
        <v>68</v>
      </c>
      <c r="B78" t="s">
        <v>70</v>
      </c>
      <c r="C78">
        <v>9</v>
      </c>
      <c r="D78" t="s">
        <v>94</v>
      </c>
      <c r="E78" t="s">
        <v>97</v>
      </c>
      <c r="F78" t="s">
        <v>96</v>
      </c>
      <c r="G78">
        <v>0</v>
      </c>
      <c r="H78">
        <v>2E+20</v>
      </c>
      <c r="I78">
        <v>0</v>
      </c>
      <c r="J78">
        <v>0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9.4430249510039699E-2</v>
      </c>
      <c r="U78" s="5">
        <f>IF((ContinuousStatsTable[[#This Row],[RepsRequested]]&gt;1),ContinuousStatsTable[[#This Row],[HalfWidth]],ContinuousStatsTable[[#This Row],[BatchMeansHalfWidth]])</f>
        <v>2.2563325623827138E-2</v>
      </c>
    </row>
    <row r="79" spans="1:21" x14ac:dyDescent="0.25">
      <c r="A79" t="s">
        <v>68</v>
      </c>
      <c r="B79" t="s">
        <v>70</v>
      </c>
      <c r="C79">
        <v>9</v>
      </c>
      <c r="D79" t="s">
        <v>94</v>
      </c>
      <c r="E79" t="s">
        <v>98</v>
      </c>
      <c r="F79" t="s">
        <v>96</v>
      </c>
      <c r="G79">
        <v>1</v>
      </c>
      <c r="H79">
        <v>2E+20</v>
      </c>
      <c r="I79">
        <v>1</v>
      </c>
      <c r="J79">
        <v>1</v>
      </c>
      <c r="K79">
        <v>1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1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1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9</v>
      </c>
      <c r="D80" t="s">
        <v>99</v>
      </c>
      <c r="E80" t="s">
        <v>95</v>
      </c>
      <c r="F80" t="s">
        <v>96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4.2820889862360502E-3</v>
      </c>
      <c r="U80" s="5">
        <f>IF((ContinuousStatsTable[[#This Row],[RepsRequested]]&gt;1),ContinuousStatsTable[[#This Row],[HalfWidth]],ContinuousStatsTable[[#This Row],[BatchMeansHalfWidth]])</f>
        <v>9.6867582719531832E-4</v>
      </c>
    </row>
    <row r="81" spans="1:21" x14ac:dyDescent="0.25">
      <c r="A81" t="s">
        <v>68</v>
      </c>
      <c r="B81" t="s">
        <v>70</v>
      </c>
      <c r="C81">
        <v>9</v>
      </c>
      <c r="D81" t="s">
        <v>99</v>
      </c>
      <c r="E81" t="s">
        <v>97</v>
      </c>
      <c r="F81" t="s">
        <v>96</v>
      </c>
      <c r="G81">
        <v>0</v>
      </c>
      <c r="H81">
        <v>2E+20</v>
      </c>
      <c r="I81">
        <v>0</v>
      </c>
      <c r="J81">
        <v>0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4.2820889862360502E-3</v>
      </c>
      <c r="U81" s="5">
        <f>IF((ContinuousStatsTable[[#This Row],[RepsRequested]]&gt;1),ContinuousStatsTable[[#This Row],[HalfWidth]],ContinuousStatsTable[[#This Row],[BatchMeansHalfWidth]])</f>
        <v>9.6867582719531832E-4</v>
      </c>
    </row>
    <row r="82" spans="1:21" x14ac:dyDescent="0.25">
      <c r="A82" t="s">
        <v>68</v>
      </c>
      <c r="B82" t="s">
        <v>70</v>
      </c>
      <c r="C82">
        <v>9</v>
      </c>
      <c r="D82" t="s">
        <v>99</v>
      </c>
      <c r="E82" t="s">
        <v>98</v>
      </c>
      <c r="F82" t="s">
        <v>96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68</v>
      </c>
      <c r="B83" t="s">
        <v>70</v>
      </c>
      <c r="C83">
        <v>10</v>
      </c>
      <c r="D83" t="s">
        <v>71</v>
      </c>
      <c r="E83" t="s">
        <v>92</v>
      </c>
      <c r="F83" t="s">
        <v>73</v>
      </c>
      <c r="G83">
        <v>0.25494501962823701</v>
      </c>
      <c r="H83">
        <v>2E+20</v>
      </c>
      <c r="I83">
        <v>0</v>
      </c>
      <c r="J83">
        <v>2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Escenario AEntity 1WIPEntity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0.16053623336298375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0.15614279042591178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0.11169782344870617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0.43594706645033499</v>
      </c>
      <c r="U83" s="5">
        <f>IF((ContinuousStatsTable[[#This Row],[RepsRequested]]&gt;1),ContinuousStatsTable[[#This Row],[HalfWidth]],ContinuousStatsTable[[#This Row],[BatchMeansHalfWidth]])</f>
        <v>0.11169782344870617</v>
      </c>
    </row>
    <row r="84" spans="1:21" x14ac:dyDescent="0.25">
      <c r="A84" t="s">
        <v>68</v>
      </c>
      <c r="B84" t="s">
        <v>70</v>
      </c>
      <c r="C84">
        <v>10</v>
      </c>
      <c r="D84" t="s">
        <v>79</v>
      </c>
      <c r="E84" t="s">
        <v>93</v>
      </c>
      <c r="F84" t="s">
        <v>81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Escenario AOcupar enfermea.QueueNumber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1.98430606456448E-4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6.2749267389088884E-4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4.4888121771384553E-4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1.98430606456448E-3</v>
      </c>
      <c r="U84" s="5">
        <f>IF((ContinuousStatsTable[[#This Row],[RepsRequested]]&gt;1),ContinuousStatsTable[[#This Row],[HalfWidth]],ContinuousStatsTable[[#This Row],[BatchMeansHalfWidth]])</f>
        <v>4.4888121771384553E-4</v>
      </c>
    </row>
    <row r="85" spans="1:21" x14ac:dyDescent="0.25">
      <c r="A85" t="s">
        <v>68</v>
      </c>
      <c r="B85" t="s">
        <v>70</v>
      </c>
      <c r="C85">
        <v>10</v>
      </c>
      <c r="D85" t="s">
        <v>91</v>
      </c>
      <c r="E85" t="s">
        <v>93</v>
      </c>
      <c r="F85" t="s">
        <v>81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Escenario ASeguimiemto.QueueNumber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10</v>
      </c>
      <c r="D86" t="s">
        <v>94</v>
      </c>
      <c r="E86" t="s">
        <v>95</v>
      </c>
      <c r="F86" t="s">
        <v>96</v>
      </c>
      <c r="G86">
        <v>6.3264843319564695E-2</v>
      </c>
      <c r="H86">
        <v>2E+20</v>
      </c>
      <c r="I86">
        <v>0</v>
      </c>
      <c r="J86">
        <v>1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Escenario ArEnfermeraInstantaneous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9.4430249510039699E-2</v>
      </c>
      <c r="U86" s="5">
        <f>IF((ContinuousStatsTable[[#This Row],[RepsRequested]]&gt;1),ContinuousStatsTable[[#This Row],[HalfWidth]],ContinuousStatsTable[[#This Row],[BatchMeansHalfWidth]])</f>
        <v>2.2563325623827138E-2</v>
      </c>
    </row>
    <row r="87" spans="1:21" x14ac:dyDescent="0.25">
      <c r="A87" t="s">
        <v>68</v>
      </c>
      <c r="B87" t="s">
        <v>70</v>
      </c>
      <c r="C87">
        <v>10</v>
      </c>
      <c r="D87" t="s">
        <v>94</v>
      </c>
      <c r="E87" t="s">
        <v>97</v>
      </c>
      <c r="F87" t="s">
        <v>96</v>
      </c>
      <c r="G87">
        <v>6.3264843319564695E-2</v>
      </c>
      <c r="H87">
        <v>2E+20</v>
      </c>
      <c r="I87">
        <v>0</v>
      </c>
      <c r="J87">
        <v>1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Escenario ArEnfermeraNumber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3.5221434146433597E-2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3.1541354302313002E-2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2.2563325623827138E-2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9.4430249510039699E-2</v>
      </c>
      <c r="U87" s="5">
        <f>IF((ContinuousStatsTable[[#This Row],[RepsRequested]]&gt;1),ContinuousStatsTable[[#This Row],[HalfWidth]],ContinuousStatsTable[[#This Row],[BatchMeansHalfWidth]])</f>
        <v>2.2563325623827138E-2</v>
      </c>
    </row>
    <row r="88" spans="1:21" x14ac:dyDescent="0.25">
      <c r="A88" t="s">
        <v>68</v>
      </c>
      <c r="B88" t="s">
        <v>70</v>
      </c>
      <c r="C88">
        <v>10</v>
      </c>
      <c r="D88" t="s">
        <v>94</v>
      </c>
      <c r="E88" t="s">
        <v>98</v>
      </c>
      <c r="F88" t="s">
        <v>96</v>
      </c>
      <c r="G88">
        <v>1</v>
      </c>
      <c r="H88">
        <v>2E+20</v>
      </c>
      <c r="I88">
        <v>1</v>
      </c>
      <c r="J88">
        <v>1</v>
      </c>
      <c r="K88">
        <v>1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Escenario ArEnfermeraNumber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1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1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1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10</v>
      </c>
      <c r="D89" t="s">
        <v>99</v>
      </c>
      <c r="E89" t="s">
        <v>95</v>
      </c>
      <c r="F89" t="s">
        <v>96</v>
      </c>
      <c r="G89">
        <v>0</v>
      </c>
      <c r="H89">
        <v>2E+20</v>
      </c>
      <c r="I89">
        <v>0</v>
      </c>
      <c r="J89">
        <v>0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Escenario ArSeguimientoInstantaneous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4.2820889862360502E-3</v>
      </c>
      <c r="U89" s="5">
        <f>IF((ContinuousStatsTable[[#This Row],[RepsRequested]]&gt;1),ContinuousStatsTable[[#This Row],[HalfWidth]],ContinuousStatsTable[[#This Row],[BatchMeansHalfWidth]])</f>
        <v>9.6867582719531832E-4</v>
      </c>
    </row>
    <row r="90" spans="1:21" x14ac:dyDescent="0.25">
      <c r="A90" t="s">
        <v>68</v>
      </c>
      <c r="B90" t="s">
        <v>70</v>
      </c>
      <c r="C90">
        <v>10</v>
      </c>
      <c r="D90" t="s">
        <v>99</v>
      </c>
      <c r="E90" t="s">
        <v>97</v>
      </c>
      <c r="F90" t="s">
        <v>96</v>
      </c>
      <c r="G90">
        <v>0</v>
      </c>
      <c r="H90">
        <v>2E+20</v>
      </c>
      <c r="I90">
        <v>0</v>
      </c>
      <c r="J90">
        <v>0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Escenario ArSeguimientoNumber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4.2820889862360502E-4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1.3541154340027323E-3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9.6867582719531832E-4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4.2820889862360502E-3</v>
      </c>
      <c r="U90" s="5">
        <f>IF((ContinuousStatsTable[[#This Row],[RepsRequested]]&gt;1),ContinuousStatsTable[[#This Row],[HalfWidth]],ContinuousStatsTable[[#This Row],[BatchMeansHalfWidth]])</f>
        <v>9.6867582719531832E-4</v>
      </c>
    </row>
    <row r="91" spans="1:21" x14ac:dyDescent="0.25">
      <c r="A91" t="s">
        <v>68</v>
      </c>
      <c r="B91" t="s">
        <v>70</v>
      </c>
      <c r="C91">
        <v>10</v>
      </c>
      <c r="D91" t="s">
        <v>99</v>
      </c>
      <c r="E91" t="s">
        <v>98</v>
      </c>
      <c r="F91" t="s">
        <v>96</v>
      </c>
      <c r="G91">
        <v>1</v>
      </c>
      <c r="H91">
        <v>2E+20</v>
      </c>
      <c r="I91">
        <v>1</v>
      </c>
      <c r="J91">
        <v>1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Escenario ArSeguimientoNumber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</v>
      </c>
      <c r="U9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91">
    <cfRule type="expression" dxfId="11" priority="9">
      <formula>H2=200000000000000000000</formula>
    </cfRule>
  </conditionalFormatting>
  <conditionalFormatting sqref="H2:H91">
    <cfRule type="expression" dxfId="10" priority="7">
      <formula>H2=300000000000000000000</formula>
    </cfRule>
  </conditionalFormatting>
  <conditionalFormatting sqref="M2:U91">
    <cfRule type="expression" dxfId="9" priority="5">
      <formula>MOD(ROW(),2)=0</formula>
    </cfRule>
  </conditionalFormatting>
  <conditionalFormatting sqref="U2:U9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91 U2:U9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1"/>
  <sheetViews>
    <sheetView workbookViewId="0">
      <selection activeCell="A2" sqref="A2:H3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32.71093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1.28515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100</v>
      </c>
      <c r="E2" t="s">
        <v>101</v>
      </c>
      <c r="F2" t="s">
        <v>73</v>
      </c>
      <c r="G2">
        <v>3</v>
      </c>
      <c r="H2">
        <v>0</v>
      </c>
      <c r="I2" t="str">
        <f>OutputTable[[#This Row],[ProjectName]]&amp;OutputTable[[#This Row],[Name]]&amp;OutputTable[[#This Row],[Type]]&amp;OutputTable[[#This Row],[Source]]</f>
        <v>Escenario AEntity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1.3</v>
      </c>
      <c r="L2" cm="1">
        <f t="array" ref="L2">IFERROR(_xlfn.STDEV.S(IF((OutputTable[GroupByKey]=OutputTable[[#This Row],[GroupByKey]]),(OutputTable[GroupByKey]=OutputTable[[#This Row],[GroupByKey]])*OutputTable[RecordedValue])),0)</f>
        <v>1.1595018087284057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3</v>
      </c>
    </row>
    <row r="3" spans="1:16" x14ac:dyDescent="0.25">
      <c r="A3" t="s">
        <v>68</v>
      </c>
      <c r="B3" t="s">
        <v>70</v>
      </c>
      <c r="C3">
        <v>1</v>
      </c>
      <c r="D3" t="s">
        <v>102</v>
      </c>
      <c r="E3" t="s">
        <v>103</v>
      </c>
      <c r="F3" t="s">
        <v>73</v>
      </c>
      <c r="G3">
        <v>3</v>
      </c>
      <c r="H3">
        <v>0</v>
      </c>
      <c r="I3" t="str">
        <f>OutputTable[[#This Row],[ProjectName]]&amp;OutputTable[[#This Row],[Name]]&amp;OutputTable[[#This Row],[Type]]&amp;OutputTable[[#This Row],[Source]]</f>
        <v>Escenario AEntity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1.1000000000000001</v>
      </c>
      <c r="L3" cm="1">
        <f t="array" ref="L3">IFERROR(_xlfn.STDEV.S(IF((OutputTable[GroupByKey]=OutputTable[[#This Row],[GroupByKey]]),(OutputTable[GroupByKey]=OutputTable[[#This Row],[GroupByKey]])*OutputTable[RecordedValue])),0)</f>
        <v>0.99442892601175326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3</v>
      </c>
    </row>
    <row r="4" spans="1:16" x14ac:dyDescent="0.25">
      <c r="A4" t="s">
        <v>68</v>
      </c>
      <c r="B4" t="s">
        <v>70</v>
      </c>
      <c r="C4">
        <v>1</v>
      </c>
      <c r="D4" t="s">
        <v>104</v>
      </c>
      <c r="E4" t="s">
        <v>105</v>
      </c>
      <c r="F4" t="s">
        <v>84</v>
      </c>
      <c r="G4">
        <v>2.6504441008019</v>
      </c>
      <c r="H4">
        <v>0</v>
      </c>
      <c r="I4" t="str">
        <f>OutputTable[[#This Row],[ProjectName]]&amp;OutputTable[[#This Row],[Name]]&amp;OutputTable[[#This Row],[Type]]&amp;OutputTable[[#This Row],[Source]]</f>
        <v>Escenario AProcess 1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1.2468815971147005</v>
      </c>
      <c r="L4" cm="1">
        <f t="array" ref="L4">IFERROR(_xlfn.STDEV.S(IF((OutputTable[GroupByKey]=OutputTable[[#This Row],[GroupByKey]]),(OutputTable[GroupByKey]=OutputTable[[#This Row],[GroupByKey]])*OutputTable[RecordedValue])),0)</f>
        <v>1.2805013226628932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3.7940484225424198</v>
      </c>
    </row>
    <row r="5" spans="1:16" x14ac:dyDescent="0.25">
      <c r="A5" t="s">
        <v>68</v>
      </c>
      <c r="B5" t="s">
        <v>70</v>
      </c>
      <c r="C5">
        <v>1</v>
      </c>
      <c r="D5" t="s">
        <v>106</v>
      </c>
      <c r="E5" t="s">
        <v>101</v>
      </c>
      <c r="F5" t="s">
        <v>84</v>
      </c>
      <c r="G5">
        <v>3</v>
      </c>
      <c r="H5">
        <v>0</v>
      </c>
      <c r="I5" t="str">
        <f>OutputTable[[#This Row],[ProjectName]]&amp;OutputTable[[#This Row],[Name]]&amp;OutputTable[[#This Row],[Type]]&amp;OutputTable[[#This Row],[Source]]</f>
        <v>Escenario AProcess 1 Number InNumber InProcess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1.3</v>
      </c>
      <c r="L5" cm="1">
        <f t="array" ref="L5">IFERROR(_xlfn.STDEV.S(IF((OutputTable[GroupByKey]=OutputTable[[#This Row],[GroupByKey]]),(OutputTable[GroupByKey]=OutputTable[[#This Row],[GroupByKey]])*OutputTable[RecordedValue])),0)</f>
        <v>1.1595018087284057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3</v>
      </c>
    </row>
    <row r="6" spans="1:16" x14ac:dyDescent="0.25">
      <c r="A6" t="s">
        <v>68</v>
      </c>
      <c r="B6" t="s">
        <v>70</v>
      </c>
      <c r="C6">
        <v>1</v>
      </c>
      <c r="D6" t="s">
        <v>107</v>
      </c>
      <c r="E6" t="s">
        <v>103</v>
      </c>
      <c r="F6" t="s">
        <v>84</v>
      </c>
      <c r="G6">
        <v>3</v>
      </c>
      <c r="H6">
        <v>0</v>
      </c>
      <c r="I6" t="str">
        <f>OutputTable[[#This Row],[ProjectName]]&amp;OutputTable[[#This Row],[Name]]&amp;OutputTable[[#This Row],[Type]]&amp;OutputTable[[#This Row],[Source]]</f>
        <v>Escenario AProcess 1 Number OutNumber OutProcess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1.3</v>
      </c>
      <c r="L6" cm="1">
        <f t="array" ref="L6">IFERROR(_xlfn.STDEV.S(IF((OutputTable[GroupByKey]=OutputTable[[#This Row],[GroupByKey]]),(OutputTable[GroupByKey]=OutputTable[[#This Row],[GroupByKey]])*OutputTable[RecordedValue])),0)</f>
        <v>1.1595018087284057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3</v>
      </c>
    </row>
    <row r="7" spans="1:16" x14ac:dyDescent="0.25">
      <c r="A7" t="s">
        <v>68</v>
      </c>
      <c r="B7" t="s">
        <v>70</v>
      </c>
      <c r="C7">
        <v>1</v>
      </c>
      <c r="D7" t="s">
        <v>108</v>
      </c>
      <c r="E7" t="s">
        <v>105</v>
      </c>
      <c r="F7" t="s">
        <v>84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Escenario ASeguimiemto Accum VA TimeAccum VA TimeProcess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4.2820889862360502E-3</v>
      </c>
      <c r="L7" cm="1">
        <f t="array" ref="L7">IFERROR(_xlfn.STDEV.S(IF((OutputTable[GroupByKey]=OutputTable[[#This Row],[GroupByKey]]),(OutputTable[GroupByKey]=OutputTable[[#This Row],[GroupByKey]])*OutputTable[RecordedValue])),0)</f>
        <v>1.3541154340027324E-2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4.2820889862360503E-2</v>
      </c>
    </row>
    <row r="8" spans="1:16" x14ac:dyDescent="0.25">
      <c r="A8" t="s">
        <v>68</v>
      </c>
      <c r="B8" t="s">
        <v>70</v>
      </c>
      <c r="C8">
        <v>1</v>
      </c>
      <c r="D8" t="s">
        <v>109</v>
      </c>
      <c r="E8" t="s">
        <v>110</v>
      </c>
      <c r="F8" t="s">
        <v>84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Escenario ASeguimiemto Accum Wait TimeAccum Wait TimeProcess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68</v>
      </c>
      <c r="B9" t="s">
        <v>70</v>
      </c>
      <c r="C9">
        <v>1</v>
      </c>
      <c r="D9" t="s">
        <v>111</v>
      </c>
      <c r="E9" t="s">
        <v>101</v>
      </c>
      <c r="F9" t="s">
        <v>84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Escenario ASeguimiemto Number InNumber InProcess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0.1</v>
      </c>
      <c r="L9" cm="1">
        <f t="array" ref="L9">IFERROR(_xlfn.STDEV.S(IF((OutputTable[GroupByKey]=OutputTable[[#This Row],[GroupByKey]]),(OutputTable[GroupByKey]=OutputTable[[#This Row],[GroupByKey]])*OutputTable[RecordedValue])),0)</f>
        <v>0.31622776601683794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1</v>
      </c>
    </row>
    <row r="10" spans="1:16" x14ac:dyDescent="0.25">
      <c r="A10" t="s">
        <v>68</v>
      </c>
      <c r="B10" t="s">
        <v>70</v>
      </c>
      <c r="C10">
        <v>1</v>
      </c>
      <c r="D10" t="s">
        <v>112</v>
      </c>
      <c r="E10" t="s">
        <v>103</v>
      </c>
      <c r="F10" t="s">
        <v>84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Escenario ASeguimiemto Number OutNumber OutProcess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0.1</v>
      </c>
      <c r="L10" cm="1">
        <f t="array" ref="L10">IFERROR(_xlfn.STDEV.S(IF((OutputTable[GroupByKey]=OutputTable[[#This Row],[GroupByKey]]),(OutputTable[GroupByKey]=OutputTable[[#This Row],[GroupByKey]])*OutputTable[RecordedValue])),0)</f>
        <v>0.31622776601683794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1</v>
      </c>
    </row>
    <row r="11" spans="1:16" x14ac:dyDescent="0.25">
      <c r="A11" t="s">
        <v>68</v>
      </c>
      <c r="B11" t="s">
        <v>70</v>
      </c>
      <c r="C11">
        <v>1</v>
      </c>
      <c r="D11" t="s">
        <v>113</v>
      </c>
      <c r="E11" t="s">
        <v>103</v>
      </c>
      <c r="F11" t="s">
        <v>114</v>
      </c>
      <c r="G11">
        <v>3</v>
      </c>
      <c r="H11">
        <v>0</v>
      </c>
      <c r="I11" t="str">
        <f>OutputTable[[#This Row],[ProjectName]]&amp;OutputTable[[#This Row],[Name]]&amp;OutputTable[[#This Row],[Type]]&amp;OutputTable[[#This Row],[Source]]</f>
        <v>Escenario ASystem.NumberOutNumber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1.1000000000000001</v>
      </c>
      <c r="L11" cm="1">
        <f t="array" ref="L11">IFERROR(_xlfn.STDEV.S(IF((OutputTable[GroupByKey]=OutputTable[[#This Row],[GroupByKey]]),(OutputTable[GroupByKey]=OutputTable[[#This Row],[GroupByKey]])*OutputTable[RecordedValue])),0)</f>
        <v>0.99442892601175326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3</v>
      </c>
    </row>
    <row r="12" spans="1:16" x14ac:dyDescent="0.25">
      <c r="A12" t="s">
        <v>68</v>
      </c>
      <c r="B12" t="s">
        <v>70</v>
      </c>
      <c r="C12">
        <v>1</v>
      </c>
      <c r="D12" t="s">
        <v>115</v>
      </c>
      <c r="E12" t="s">
        <v>116</v>
      </c>
      <c r="F12" t="s">
        <v>96</v>
      </c>
      <c r="G12">
        <v>3</v>
      </c>
      <c r="H12">
        <v>0</v>
      </c>
      <c r="I12" t="str">
        <f>OutputTable[[#This Row],[ProjectName]]&amp;OutputTable[[#This Row],[Name]]&amp;OutputTable[[#This Row],[Type]]&amp;OutputTable[[#This Row],[Source]]</f>
        <v>Escenario ArEnfermera.NumberSeizedTotal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1.2</v>
      </c>
      <c r="L12" cm="1">
        <f t="array" ref="L12">IFERROR(_xlfn.STDEV.S(IF((OutputTable[GroupByKey]=OutputTable[[#This Row],[GroupByKey]]),(OutputTable[GroupByKey]=OutputTable[[#This Row],[GroupByKey]])*OutputTable[RecordedValue])),0)</f>
        <v>1.0327955589886444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3</v>
      </c>
    </row>
    <row r="13" spans="1:16" x14ac:dyDescent="0.25">
      <c r="A13" t="s">
        <v>68</v>
      </c>
      <c r="B13" t="s">
        <v>70</v>
      </c>
      <c r="C13">
        <v>1</v>
      </c>
      <c r="D13" t="s">
        <v>117</v>
      </c>
      <c r="E13" t="s">
        <v>118</v>
      </c>
      <c r="F13" t="s">
        <v>96</v>
      </c>
      <c r="G13">
        <v>9.4430249510039699E-2</v>
      </c>
      <c r="H13">
        <v>0</v>
      </c>
      <c r="I13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3.5221434146433597E-2</v>
      </c>
      <c r="L13" cm="1">
        <f t="array" ref="L13">IFERROR(_xlfn.STDEV.S(IF((OutputTable[GroupByKey]=OutputTable[[#This Row],[GroupByKey]]),(OutputTable[GroupByKey]=OutputTable[[#This Row],[GroupByKey]])*OutputTable[RecordedValue])),0)</f>
        <v>3.1541354302313002E-2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9.4430249510039699E-2</v>
      </c>
    </row>
    <row r="14" spans="1:16" x14ac:dyDescent="0.25">
      <c r="A14" t="s">
        <v>68</v>
      </c>
      <c r="B14" t="s">
        <v>70</v>
      </c>
      <c r="C14">
        <v>1</v>
      </c>
      <c r="D14" t="s">
        <v>119</v>
      </c>
      <c r="E14" t="s">
        <v>116</v>
      </c>
      <c r="F14" t="s">
        <v>96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Escenario ArSeguimiento.NumberSeizedTotal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0.1</v>
      </c>
      <c r="L14" cm="1">
        <f t="array" ref="L14">IFERROR(_xlfn.STDEV.S(IF((OutputTable[GroupByKey]=OutputTable[[#This Row],[GroupByKey]]),(OutputTable[GroupByKey]=OutputTable[[#This Row],[GroupByKey]])*OutputTable[RecordedValue])),0)</f>
        <v>0.31622776601683794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4" cm="1">
        <f t="array" ref="O14">MIN(IF((OutputTable[GroupByKey]=OutputTable[[#This Row],[GroupByKey]]),(OutputTable[GroupByKey]=OutputTable[[#This Row],[GroupByKey]])*OutputTable[RecordedValue]))</f>
        <v>0</v>
      </c>
      <c r="P14" cm="1">
        <f t="array" ref="P14">MAX(IF((OutputTable[GroupByKey]=OutputTable[[#This Row],[GroupByKey]]),(OutputTable[GroupByKey]=OutputTable[[#This Row],[GroupByKey]])*OutputTable[RecordedValue]))</f>
        <v>1</v>
      </c>
    </row>
    <row r="15" spans="1:16" x14ac:dyDescent="0.25">
      <c r="A15" t="s">
        <v>68</v>
      </c>
      <c r="B15" t="s">
        <v>70</v>
      </c>
      <c r="C15">
        <v>1</v>
      </c>
      <c r="D15" t="s">
        <v>120</v>
      </c>
      <c r="E15" t="s">
        <v>118</v>
      </c>
      <c r="F15" t="s">
        <v>96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4.2820889862360502E-4</v>
      </c>
      <c r="L15" cm="1">
        <f t="array" ref="L15">IFERROR(_xlfn.STDEV.S(IF((OutputTable[GroupByKey]=OutputTable[[#This Row],[GroupByKey]]),(OutputTable[GroupByKey]=OutputTable[[#This Row],[GroupByKey]])*OutputTable[RecordedValue])),0)</f>
        <v>1.3541154340027323E-3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4.2820889862360502E-3</v>
      </c>
    </row>
    <row r="16" spans="1:16" x14ac:dyDescent="0.25">
      <c r="A16" t="s">
        <v>68</v>
      </c>
      <c r="B16" t="s">
        <v>70</v>
      </c>
      <c r="C16">
        <v>2</v>
      </c>
      <c r="D16" t="s">
        <v>100</v>
      </c>
      <c r="E16" t="s">
        <v>101</v>
      </c>
      <c r="F16" t="s">
        <v>73</v>
      </c>
      <c r="G16">
        <v>2</v>
      </c>
      <c r="H16">
        <v>0</v>
      </c>
      <c r="I16" t="str">
        <f>OutputTable[[#This Row],[ProjectName]]&amp;OutputTable[[#This Row],[Name]]&amp;OutputTable[[#This Row],[Type]]&amp;OutputTable[[#This Row],[Source]]</f>
        <v>Escenario AEntity 1.NumberInNumber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1.3</v>
      </c>
      <c r="L16" cm="1">
        <f t="array" ref="L16">IFERROR(_xlfn.STDEV.S(IF((OutputTable[GroupByKey]=OutputTable[[#This Row],[GroupByKey]]),(OutputTable[GroupByKey]=OutputTable[[#This Row],[GroupByKey]])*OutputTable[RecordedValue])),0)</f>
        <v>1.1595018087284057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3</v>
      </c>
    </row>
    <row r="17" spans="1:16" x14ac:dyDescent="0.25">
      <c r="A17" t="s">
        <v>68</v>
      </c>
      <c r="B17" t="s">
        <v>70</v>
      </c>
      <c r="C17">
        <v>2</v>
      </c>
      <c r="D17" t="s">
        <v>102</v>
      </c>
      <c r="E17" t="s">
        <v>103</v>
      </c>
      <c r="F17" t="s">
        <v>73</v>
      </c>
      <c r="G17">
        <v>2</v>
      </c>
      <c r="H17">
        <v>0</v>
      </c>
      <c r="I17" t="str">
        <f>OutputTable[[#This Row],[ProjectName]]&amp;OutputTable[[#This Row],[Name]]&amp;OutputTable[[#This Row],[Type]]&amp;OutputTable[[#This Row],[Source]]</f>
        <v>Escenario AEntity 1.NumberOutNumber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1.1000000000000001</v>
      </c>
      <c r="L17" cm="1">
        <f t="array" ref="L17">IFERROR(_xlfn.STDEV.S(IF((OutputTable[GroupByKey]=OutputTable[[#This Row],[GroupByKey]]),(OutputTable[GroupByKey]=OutputTable[[#This Row],[GroupByKey]])*OutputTable[RecordedValue])),0)</f>
        <v>0.99442892601175326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3</v>
      </c>
    </row>
    <row r="18" spans="1:16" x14ac:dyDescent="0.25">
      <c r="A18" t="s">
        <v>68</v>
      </c>
      <c r="B18" t="s">
        <v>70</v>
      </c>
      <c r="C18">
        <v>2</v>
      </c>
      <c r="D18" t="s">
        <v>104</v>
      </c>
      <c r="E18" t="s">
        <v>105</v>
      </c>
      <c r="F18" t="s">
        <v>84</v>
      </c>
      <c r="G18">
        <v>1.8785742780025101</v>
      </c>
      <c r="H18">
        <v>0</v>
      </c>
      <c r="I18" t="str">
        <f>OutputTable[[#This Row],[ProjectName]]&amp;OutputTable[[#This Row],[Name]]&amp;OutputTable[[#This Row],[Type]]&amp;OutputTable[[#This Row],[Source]]</f>
        <v>Escenario AProcess 1 Accum VA TimeAccum VA TimeProcess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1.2468815971147005</v>
      </c>
      <c r="L18" cm="1">
        <f t="array" ref="L18">IFERROR(_xlfn.STDEV.S(IF((OutputTable[GroupByKey]=OutputTable[[#This Row],[GroupByKey]]),(OutputTable[GroupByKey]=OutputTable[[#This Row],[GroupByKey]])*OutputTable[RecordedValue])),0)</f>
        <v>1.2805013226628932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3.7940484225424198</v>
      </c>
    </row>
    <row r="19" spans="1:16" x14ac:dyDescent="0.25">
      <c r="A19" t="s">
        <v>68</v>
      </c>
      <c r="B19" t="s">
        <v>70</v>
      </c>
      <c r="C19">
        <v>2</v>
      </c>
      <c r="D19" t="s">
        <v>106</v>
      </c>
      <c r="E19" t="s">
        <v>101</v>
      </c>
      <c r="F19" t="s">
        <v>84</v>
      </c>
      <c r="G19">
        <v>2</v>
      </c>
      <c r="H19">
        <v>0</v>
      </c>
      <c r="I19" t="str">
        <f>OutputTable[[#This Row],[ProjectName]]&amp;OutputTable[[#This Row],[Name]]&amp;OutputTable[[#This Row],[Type]]&amp;OutputTable[[#This Row],[Source]]</f>
        <v>Escenario AProcess 1 Number InNumber InProcess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1.3</v>
      </c>
      <c r="L19" cm="1">
        <f t="array" ref="L19">IFERROR(_xlfn.STDEV.S(IF((OutputTable[GroupByKey]=OutputTable[[#This Row],[GroupByKey]]),(OutputTable[GroupByKey]=OutputTable[[#This Row],[GroupByKey]])*OutputTable[RecordedValue])),0)</f>
        <v>1.1595018087284057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3</v>
      </c>
    </row>
    <row r="20" spans="1:16" x14ac:dyDescent="0.25">
      <c r="A20" t="s">
        <v>68</v>
      </c>
      <c r="B20" t="s">
        <v>70</v>
      </c>
      <c r="C20">
        <v>2</v>
      </c>
      <c r="D20" t="s">
        <v>107</v>
      </c>
      <c r="E20" t="s">
        <v>103</v>
      </c>
      <c r="F20" t="s">
        <v>84</v>
      </c>
      <c r="G20">
        <v>2</v>
      </c>
      <c r="H20">
        <v>0</v>
      </c>
      <c r="I20" t="str">
        <f>OutputTable[[#This Row],[ProjectName]]&amp;OutputTable[[#This Row],[Name]]&amp;OutputTable[[#This Row],[Type]]&amp;OutputTable[[#This Row],[Source]]</f>
        <v>Escenario AProcess 1 Number OutNumber OutProcess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1.3</v>
      </c>
      <c r="L20" cm="1">
        <f t="array" ref="L20">IFERROR(_xlfn.STDEV.S(IF((OutputTable[GroupByKey]=OutputTable[[#This Row],[GroupByKey]]),(OutputTable[GroupByKey]=OutputTable[[#This Row],[GroupByKey]])*OutputTable[RecordedValue])),0)</f>
        <v>1.1595018087284057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3</v>
      </c>
    </row>
    <row r="21" spans="1:16" x14ac:dyDescent="0.25">
      <c r="A21" t="s">
        <v>68</v>
      </c>
      <c r="B21" t="s">
        <v>70</v>
      </c>
      <c r="C21">
        <v>2</v>
      </c>
      <c r="D21" t="s">
        <v>108</v>
      </c>
      <c r="E21" t="s">
        <v>105</v>
      </c>
      <c r="F21" t="s">
        <v>84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Escenario ASeguimiemto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4.2820889862360502E-3</v>
      </c>
      <c r="L21" cm="1">
        <f t="array" ref="L21">IFERROR(_xlfn.STDEV.S(IF((OutputTable[GroupByKey]=OutputTable[[#This Row],[GroupByKey]]),(OutputTable[GroupByKey]=OutputTable[[#This Row],[GroupByKey]])*OutputTable[RecordedValue])),0)</f>
        <v>1.3541154340027324E-2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4.2820889862360503E-2</v>
      </c>
    </row>
    <row r="22" spans="1:16" x14ac:dyDescent="0.25">
      <c r="A22" t="s">
        <v>68</v>
      </c>
      <c r="B22" t="s">
        <v>70</v>
      </c>
      <c r="C22">
        <v>2</v>
      </c>
      <c r="D22" t="s">
        <v>109</v>
      </c>
      <c r="E22" t="s">
        <v>110</v>
      </c>
      <c r="F22" t="s">
        <v>84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Escenario ASeguimiemto Accum Wait TimeAccum Wait TimeProcess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70</v>
      </c>
      <c r="C23">
        <v>2</v>
      </c>
      <c r="D23" t="s">
        <v>111</v>
      </c>
      <c r="E23" t="s">
        <v>101</v>
      </c>
      <c r="F23" t="s">
        <v>84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Escenario ASeguimiemto Number InNumber InProcess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0.1</v>
      </c>
      <c r="L23" cm="1">
        <f t="array" ref="L23">IFERROR(_xlfn.STDEV.S(IF((OutputTable[GroupByKey]=OutputTable[[#This Row],[GroupByKey]]),(OutputTable[GroupByKey]=OutputTable[[#This Row],[GroupByKey]])*OutputTable[RecordedValue])),0)</f>
        <v>0.31622776601683794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1</v>
      </c>
    </row>
    <row r="24" spans="1:16" x14ac:dyDescent="0.25">
      <c r="A24" t="s">
        <v>68</v>
      </c>
      <c r="B24" t="s">
        <v>70</v>
      </c>
      <c r="C24">
        <v>2</v>
      </c>
      <c r="D24" t="s">
        <v>112</v>
      </c>
      <c r="E24" t="s">
        <v>103</v>
      </c>
      <c r="F24" t="s">
        <v>84</v>
      </c>
      <c r="G24">
        <v>0</v>
      </c>
      <c r="H24">
        <v>0</v>
      </c>
      <c r="I24" t="str">
        <f>OutputTable[[#This Row],[ProjectName]]&amp;OutputTable[[#This Row],[Name]]&amp;OutputTable[[#This Row],[Type]]&amp;OutputTable[[#This Row],[Source]]</f>
        <v>Escenario ASeguimiemto Number OutNumber OutProcess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0.1</v>
      </c>
      <c r="L24" cm="1">
        <f t="array" ref="L24">IFERROR(_xlfn.STDEV.S(IF((OutputTable[GroupByKey]=OutputTable[[#This Row],[GroupByKey]]),(OutputTable[GroupByKey]=OutputTable[[#This Row],[GroupByKey]])*OutputTable[RecordedValue])),0)</f>
        <v>0.31622776601683794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1</v>
      </c>
    </row>
    <row r="25" spans="1:16" x14ac:dyDescent="0.25">
      <c r="A25" t="s">
        <v>68</v>
      </c>
      <c r="B25" t="s">
        <v>70</v>
      </c>
      <c r="C25">
        <v>2</v>
      </c>
      <c r="D25" t="s">
        <v>113</v>
      </c>
      <c r="E25" t="s">
        <v>103</v>
      </c>
      <c r="F25" t="s">
        <v>114</v>
      </c>
      <c r="G25">
        <v>2</v>
      </c>
      <c r="H25">
        <v>0</v>
      </c>
      <c r="I25" t="str">
        <f>OutputTable[[#This Row],[ProjectName]]&amp;OutputTable[[#This Row],[Name]]&amp;OutputTable[[#This Row],[Type]]&amp;OutputTable[[#This Row],[Source]]</f>
        <v>Escenario ASystem.NumberOutNumber OutSystem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1.1000000000000001</v>
      </c>
      <c r="L25" cm="1">
        <f t="array" ref="L25">IFERROR(_xlfn.STDEV.S(IF((OutputTable[GroupByKey]=OutputTable[[#This Row],[GroupByKey]]),(OutputTable[GroupByKey]=OutputTable[[#This Row],[GroupByKey]])*OutputTable[RecordedValue])),0)</f>
        <v>0.99442892601175326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25" cm="1">
        <f t="array" ref="O25">MIN(IF((OutputTable[GroupByKey]=OutputTable[[#This Row],[GroupByKey]]),(OutputTable[GroupByKey]=OutputTable[[#This Row],[GroupByKey]])*OutputTable[RecordedValue]))</f>
        <v>0</v>
      </c>
      <c r="P25" cm="1">
        <f t="array" ref="P25">MAX(IF((OutputTable[GroupByKey]=OutputTable[[#This Row],[GroupByKey]]),(OutputTable[GroupByKey]=OutputTable[[#This Row],[GroupByKey]])*OutputTable[RecordedValue]))</f>
        <v>3</v>
      </c>
    </row>
    <row r="26" spans="1:16" x14ac:dyDescent="0.25">
      <c r="A26" t="s">
        <v>68</v>
      </c>
      <c r="B26" t="s">
        <v>70</v>
      </c>
      <c r="C26">
        <v>2</v>
      </c>
      <c r="D26" t="s">
        <v>115</v>
      </c>
      <c r="E26" t="s">
        <v>116</v>
      </c>
      <c r="F26" t="s">
        <v>96</v>
      </c>
      <c r="G26">
        <v>2</v>
      </c>
      <c r="H26">
        <v>0</v>
      </c>
      <c r="I26" t="str">
        <f>OutputTable[[#This Row],[ProjectName]]&amp;OutputTable[[#This Row],[Name]]&amp;OutputTable[[#This Row],[Type]]&amp;OutputTable[[#This Row],[Source]]</f>
        <v>Escenario ArEnfermera.NumberSeizedTotal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1.2</v>
      </c>
      <c r="L26" cm="1">
        <f t="array" ref="L26">IFERROR(_xlfn.STDEV.S(IF((OutputTable[GroupByKey]=OutputTable[[#This Row],[GroupByKey]]),(OutputTable[GroupByKey]=OutputTable[[#This Row],[GroupByKey]])*OutputTable[RecordedValue])),0)</f>
        <v>1.0327955589886444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3</v>
      </c>
    </row>
    <row r="27" spans="1:16" x14ac:dyDescent="0.25">
      <c r="A27" t="s">
        <v>68</v>
      </c>
      <c r="B27" t="s">
        <v>70</v>
      </c>
      <c r="C27">
        <v>2</v>
      </c>
      <c r="D27" t="s">
        <v>117</v>
      </c>
      <c r="E27" t="s">
        <v>118</v>
      </c>
      <c r="F27" t="s">
        <v>96</v>
      </c>
      <c r="G27">
        <v>5.9127034604370798E-2</v>
      </c>
      <c r="H27">
        <v>0</v>
      </c>
      <c r="I27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3.5221434146433597E-2</v>
      </c>
      <c r="L27" cm="1">
        <f t="array" ref="L27">IFERROR(_xlfn.STDEV.S(IF((OutputTable[GroupByKey]=OutputTable[[#This Row],[GroupByKey]]),(OutputTable[GroupByKey]=OutputTable[[#This Row],[GroupByKey]])*OutputTable[RecordedValue])),0)</f>
        <v>3.1541354302313002E-2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27" cm="1">
        <f t="array" ref="O27">MIN(IF((OutputTable[GroupByKey]=OutputTable[[#This Row],[GroupByKey]]),(OutputTable[GroupByKey]=OutputTable[[#This Row],[GroupByKey]])*OutputTable[RecordedValue]))</f>
        <v>0</v>
      </c>
      <c r="P27" cm="1">
        <f t="array" ref="P27">MAX(IF((OutputTable[GroupByKey]=OutputTable[[#This Row],[GroupByKey]]),(OutputTable[GroupByKey]=OutputTable[[#This Row],[GroupByKey]])*OutputTable[RecordedValue]))</f>
        <v>9.4430249510039699E-2</v>
      </c>
    </row>
    <row r="28" spans="1:16" x14ac:dyDescent="0.25">
      <c r="A28" t="s">
        <v>68</v>
      </c>
      <c r="B28" t="s">
        <v>70</v>
      </c>
      <c r="C28">
        <v>2</v>
      </c>
      <c r="D28" t="s">
        <v>119</v>
      </c>
      <c r="E28" t="s">
        <v>116</v>
      </c>
      <c r="F28" t="s">
        <v>96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Escenario ArSeguimiento.NumberSeizedTotal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0.1</v>
      </c>
      <c r="L28" cm="1">
        <f t="array" ref="L28">IFERROR(_xlfn.STDEV.S(IF((OutputTable[GroupByKey]=OutputTable[[#This Row],[GroupByKey]]),(OutputTable[GroupByKey]=OutputTable[[#This Row],[GroupByKey]])*OutputTable[RecordedValue])),0)</f>
        <v>0.31622776601683794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28" cm="1">
        <f t="array" ref="O28">MIN(IF((OutputTable[GroupByKey]=OutputTable[[#This Row],[GroupByKey]]),(OutputTable[GroupByKey]=OutputTable[[#This Row],[GroupByKey]])*OutputTable[RecordedValue]))</f>
        <v>0</v>
      </c>
      <c r="P28" cm="1">
        <f t="array" ref="P28">MAX(IF((OutputTable[GroupByKey]=OutputTable[[#This Row],[GroupByKey]]),(OutputTable[GroupByKey]=OutputTable[[#This Row],[GroupByKey]])*OutputTable[RecordedValue]))</f>
        <v>1</v>
      </c>
    </row>
    <row r="29" spans="1:16" x14ac:dyDescent="0.25">
      <c r="A29" t="s">
        <v>68</v>
      </c>
      <c r="B29" t="s">
        <v>70</v>
      </c>
      <c r="C29">
        <v>2</v>
      </c>
      <c r="D29" t="s">
        <v>120</v>
      </c>
      <c r="E29" t="s">
        <v>118</v>
      </c>
      <c r="F29" t="s">
        <v>96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4.2820889862360502E-4</v>
      </c>
      <c r="L29" cm="1">
        <f t="array" ref="L29">IFERROR(_xlfn.STDEV.S(IF((OutputTable[GroupByKey]=OutputTable[[#This Row],[GroupByKey]]),(OutputTable[GroupByKey]=OutputTable[[#This Row],[GroupByKey]])*OutputTable[RecordedValue])),0)</f>
        <v>1.3541154340027323E-3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4.2820889862360502E-3</v>
      </c>
    </row>
    <row r="30" spans="1:16" x14ac:dyDescent="0.25">
      <c r="A30" t="s">
        <v>68</v>
      </c>
      <c r="B30" t="s">
        <v>70</v>
      </c>
      <c r="C30">
        <v>3</v>
      </c>
      <c r="D30" t="s">
        <v>100</v>
      </c>
      <c r="E30" t="s">
        <v>101</v>
      </c>
      <c r="F30" t="s">
        <v>73</v>
      </c>
      <c r="G30">
        <v>1</v>
      </c>
      <c r="H30">
        <v>0</v>
      </c>
      <c r="I30" t="str">
        <f>OutputTable[[#This Row],[ProjectName]]&amp;OutputTable[[#This Row],[Name]]&amp;OutputTable[[#This Row],[Type]]&amp;OutputTable[[#This Row],[Source]]</f>
        <v>Escenario AEntity 1.NumberInNumber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1.3</v>
      </c>
      <c r="L30" cm="1">
        <f t="array" ref="L30">IFERROR(_xlfn.STDEV.S(IF((OutputTable[GroupByKey]=OutputTable[[#This Row],[GroupByKey]]),(OutputTable[GroupByKey]=OutputTable[[#This Row],[GroupByKey]])*OutputTable[RecordedValue])),0)</f>
        <v>1.1595018087284057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3</v>
      </c>
    </row>
    <row r="31" spans="1:16" x14ac:dyDescent="0.25">
      <c r="A31" t="s">
        <v>68</v>
      </c>
      <c r="B31" t="s">
        <v>70</v>
      </c>
      <c r="C31">
        <v>3</v>
      </c>
      <c r="D31" t="s">
        <v>102</v>
      </c>
      <c r="E31" t="s">
        <v>103</v>
      </c>
      <c r="F31" t="s">
        <v>73</v>
      </c>
      <c r="G31">
        <v>1</v>
      </c>
      <c r="H31">
        <v>0</v>
      </c>
      <c r="I31" t="str">
        <f>OutputTable[[#This Row],[ProjectName]]&amp;OutputTable[[#This Row],[Name]]&amp;OutputTable[[#This Row],[Type]]&amp;OutputTable[[#This Row],[Source]]</f>
        <v>Escenario AEntity 1.NumberOutNumber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1.1000000000000001</v>
      </c>
      <c r="L31" cm="1">
        <f t="array" ref="L31">IFERROR(_xlfn.STDEV.S(IF((OutputTable[GroupByKey]=OutputTable[[#This Row],[GroupByKey]]),(OutputTable[GroupByKey]=OutputTable[[#This Row],[GroupByKey]])*OutputTable[RecordedValue])),0)</f>
        <v>0.99442892601175326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3</v>
      </c>
    </row>
    <row r="32" spans="1:16" x14ac:dyDescent="0.25">
      <c r="A32" t="s">
        <v>68</v>
      </c>
      <c r="B32" t="s">
        <v>70</v>
      </c>
      <c r="C32">
        <v>3</v>
      </c>
      <c r="D32" t="s">
        <v>104</v>
      </c>
      <c r="E32" t="s">
        <v>105</v>
      </c>
      <c r="F32" t="s">
        <v>84</v>
      </c>
      <c r="G32">
        <v>0.75331589857046299</v>
      </c>
      <c r="H32">
        <v>0</v>
      </c>
      <c r="I32" s="5" t="str">
        <f>OutputTable[[#This Row],[ProjectName]]&amp;OutputTable[[#This Row],[Name]]&amp;OutputTable[[#This Row],[Type]]&amp;OutputTable[[#This Row],[Source]]</f>
        <v>Escenario AProcess 1 Accum VA TimeAccum VA TimeProcess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s="5" cm="1">
        <f t="array" ref="K32">IFERROR(AVERAGE(IF((OutputTable[GroupByKey]=OutputTable[[#This Row],[GroupByKey]]),(OutputTable[GroupByKey]=OutputTable[[#This Row],[GroupByKey]])*OutputTable[RecordedValue])),0)</f>
        <v>1.2468815971147005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1.2805013226628932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32" s="5" cm="1">
        <f t="array" ref="O32">MIN(IF((OutputTable[GroupByKey]=OutputTable[[#This Row],[GroupByKey]]),(OutputTable[GroupByKey]=OutputTable[[#This Row],[GroupByKey]])*OutputTable[RecordedValue]))</f>
        <v>0</v>
      </c>
      <c r="P32" s="5" cm="1">
        <f t="array" ref="P32">MAX(IF((OutputTable[GroupByKey]=OutputTable[[#This Row],[GroupByKey]]),(OutputTable[GroupByKey]=OutputTable[[#This Row],[GroupByKey]])*OutputTable[RecordedValue]))</f>
        <v>3.7940484225424198</v>
      </c>
    </row>
    <row r="33" spans="1:16" x14ac:dyDescent="0.25">
      <c r="A33" t="s">
        <v>68</v>
      </c>
      <c r="B33" t="s">
        <v>70</v>
      </c>
      <c r="C33">
        <v>3</v>
      </c>
      <c r="D33" t="s">
        <v>106</v>
      </c>
      <c r="E33" t="s">
        <v>101</v>
      </c>
      <c r="F33" t="s">
        <v>84</v>
      </c>
      <c r="G33">
        <v>1</v>
      </c>
      <c r="H33">
        <v>0</v>
      </c>
      <c r="I33" s="5" t="str">
        <f>OutputTable[[#This Row],[ProjectName]]&amp;OutputTable[[#This Row],[Name]]&amp;OutputTable[[#This Row],[Type]]&amp;OutputTable[[#This Row],[Source]]</f>
        <v>Escenario AProcess 1 Number InNumber InProcess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s="5" cm="1">
        <f t="array" ref="K33">IFERROR(AVERAGE(IF((OutputTable[GroupByKey]=OutputTable[[#This Row],[GroupByKey]]),(OutputTable[GroupByKey]=OutputTable[[#This Row],[GroupByKey]])*OutputTable[RecordedValue])),0)</f>
        <v>1.3</v>
      </c>
      <c r="L33" s="5" cm="1">
        <f t="array" ref="L33">IFERROR(_xlfn.STDEV.S(IF((OutputTable[GroupByKey]=OutputTable[[#This Row],[GroupByKey]]),(OutputTable[GroupByKey]=OutputTable[[#This Row],[GroupByKey]])*OutputTable[RecordedValue])),0)</f>
        <v>1.1595018087284057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3</v>
      </c>
    </row>
    <row r="34" spans="1:16" x14ac:dyDescent="0.25">
      <c r="A34" t="s">
        <v>68</v>
      </c>
      <c r="B34" t="s">
        <v>70</v>
      </c>
      <c r="C34">
        <v>3</v>
      </c>
      <c r="D34" t="s">
        <v>107</v>
      </c>
      <c r="E34" t="s">
        <v>103</v>
      </c>
      <c r="F34" t="s">
        <v>84</v>
      </c>
      <c r="G34">
        <v>1</v>
      </c>
      <c r="H34">
        <v>0</v>
      </c>
      <c r="I34" s="5" t="str">
        <f>OutputTable[[#This Row],[ProjectName]]&amp;OutputTable[[#This Row],[Name]]&amp;OutputTable[[#This Row],[Type]]&amp;OutputTable[[#This Row],[Source]]</f>
        <v>Escenario AProcess 1 Number OutNumber OutProcess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s="5" cm="1">
        <f t="array" ref="K34">IFERROR(AVERAGE(IF((OutputTable[GroupByKey]=OutputTable[[#This Row],[GroupByKey]]),(OutputTable[GroupByKey]=OutputTable[[#This Row],[GroupByKey]])*OutputTable[RecordedValue])),0)</f>
        <v>1.3</v>
      </c>
      <c r="L34" s="5" cm="1">
        <f t="array" ref="L34">IFERROR(_xlfn.STDEV.S(IF((OutputTable[GroupByKey]=OutputTable[[#This Row],[GroupByKey]]),(OutputTable[GroupByKey]=OutputTable[[#This Row],[GroupByKey]])*OutputTable[RecordedValue])),0)</f>
        <v>1.1595018087284057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3</v>
      </c>
    </row>
    <row r="35" spans="1:16" x14ac:dyDescent="0.25">
      <c r="A35" t="s">
        <v>68</v>
      </c>
      <c r="B35" t="s">
        <v>70</v>
      </c>
      <c r="C35">
        <v>3</v>
      </c>
      <c r="D35" t="s">
        <v>108</v>
      </c>
      <c r="E35" t="s">
        <v>105</v>
      </c>
      <c r="F35" t="s">
        <v>84</v>
      </c>
      <c r="G35">
        <v>0</v>
      </c>
      <c r="H35">
        <v>0</v>
      </c>
      <c r="I35" s="5" t="str">
        <f>OutputTable[[#This Row],[ProjectName]]&amp;OutputTable[[#This Row],[Name]]&amp;OutputTable[[#This Row],[Type]]&amp;OutputTable[[#This Row],[Source]]</f>
        <v>Escenario ASeguimiemto Accum VA TimeAccum VA TimeProcess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s="5" cm="1">
        <f t="array" ref="K35">IFERROR(AVERAGE(IF((OutputTable[GroupByKey]=OutputTable[[#This Row],[GroupByKey]]),(OutputTable[GroupByKey]=OutputTable[[#This Row],[GroupByKey]])*OutputTable[RecordedValue])),0)</f>
        <v>4.2820889862360502E-3</v>
      </c>
      <c r="L35" s="5" cm="1">
        <f t="array" ref="L35">IFERROR(_xlfn.STDEV.S(IF((OutputTable[GroupByKey]=OutputTable[[#This Row],[GroupByKey]]),(OutputTable[GroupByKey]=OutputTable[[#This Row],[GroupByKey]])*OutputTable[RecordedValue])),0)</f>
        <v>1.3541154340027324E-2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35" s="5" cm="1">
        <f t="array" ref="O35">MIN(IF((OutputTable[GroupByKey]=OutputTable[[#This Row],[GroupByKey]]),(OutputTable[GroupByKey]=OutputTable[[#This Row],[GroupByKey]])*OutputTable[RecordedValue]))</f>
        <v>0</v>
      </c>
      <c r="P35" s="5" cm="1">
        <f t="array" ref="P35">MAX(IF((OutputTable[GroupByKey]=OutputTable[[#This Row],[GroupByKey]]),(OutputTable[GroupByKey]=OutputTable[[#This Row],[GroupByKey]])*OutputTable[RecordedValue]))</f>
        <v>4.2820889862360503E-2</v>
      </c>
    </row>
    <row r="36" spans="1:16" x14ac:dyDescent="0.25">
      <c r="A36" t="s">
        <v>68</v>
      </c>
      <c r="B36" t="s">
        <v>70</v>
      </c>
      <c r="C36">
        <v>3</v>
      </c>
      <c r="D36" t="s">
        <v>109</v>
      </c>
      <c r="E36" t="s">
        <v>110</v>
      </c>
      <c r="F36" t="s">
        <v>84</v>
      </c>
      <c r="G36">
        <v>0</v>
      </c>
      <c r="H36">
        <v>0</v>
      </c>
      <c r="I36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s="5" cm="1">
        <f t="array" ref="K36">IFERROR(AVERAGE(IF((OutputTable[GroupByKey]=OutputTable[[#This Row],[GroupByKey]]),(OutputTable[GroupByKey]=OutputTable[[#This Row],[GroupByKey]])*OutputTable[RecordedValue])),0)</f>
        <v>0</v>
      </c>
      <c r="L36" s="5" cm="1">
        <f t="array" ref="L36">IFERROR(_xlfn.STDEV.S(IF((OutputTable[GroupByKey]=OutputTable[[#This Row],[GroupByKey]]),(OutputTable[GroupByKey]=OutputTable[[#This Row],[GroupByKey]])*OutputTable[RecordedValue])),0)</f>
        <v>0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 cm="1">
        <f t="array" ref="O36">MIN(IF((OutputTable[GroupByKey]=OutputTable[[#This Row],[GroupByKey]]),(OutputTable[GroupByKey]=OutputTable[[#This Row],[GroupByKey]])*OutputTable[RecordedValue]))</f>
        <v>0</v>
      </c>
      <c r="P36" s="5" cm="1">
        <f t="array" ref="P36">MAX(IF((OutputTable[GroupByKey]=OutputTable[[#This Row],[GroupByKey]]),(OutputTable[GroupByKey]=OutputTable[[#This Row],[GroupByKey]])*OutputTable[RecordedValue]))</f>
        <v>0</v>
      </c>
    </row>
    <row r="37" spans="1:16" x14ac:dyDescent="0.25">
      <c r="A37" t="s">
        <v>68</v>
      </c>
      <c r="B37" t="s">
        <v>70</v>
      </c>
      <c r="C37">
        <v>3</v>
      </c>
      <c r="D37" t="s">
        <v>111</v>
      </c>
      <c r="E37" t="s">
        <v>101</v>
      </c>
      <c r="F37" t="s">
        <v>84</v>
      </c>
      <c r="G37">
        <v>0</v>
      </c>
      <c r="H37">
        <v>0</v>
      </c>
      <c r="I37" s="5" t="str">
        <f>OutputTable[[#This Row],[ProjectName]]&amp;OutputTable[[#This Row],[Name]]&amp;OutputTable[[#This Row],[Type]]&amp;OutputTable[[#This Row],[Source]]</f>
        <v>Escenario ASeguimiemto Number InNumber InProcess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s="5" cm="1">
        <f t="array" ref="K37">IFERROR(AVERAGE(IF((OutputTable[GroupByKey]=OutputTable[[#This Row],[GroupByKey]]),(OutputTable[GroupByKey]=OutputTable[[#This Row],[GroupByKey]])*OutputTable[RecordedValue])),0)</f>
        <v>0.1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0.31622776601683794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37" s="5" cm="1">
        <f t="array" ref="O37">MIN(IF((OutputTable[GroupByKey]=OutputTable[[#This Row],[GroupByKey]]),(OutputTable[GroupByKey]=OutputTable[[#This Row],[GroupByKey]])*OutputTable[RecordedValue]))</f>
        <v>0</v>
      </c>
      <c r="P37" s="5" cm="1">
        <f t="array" ref="P37">MAX(IF((OutputTable[GroupByKey]=OutputTable[[#This Row],[GroupByKey]]),(OutputTable[GroupByKey]=OutputTable[[#This Row],[GroupByKey]])*OutputTable[RecordedValue]))</f>
        <v>1</v>
      </c>
    </row>
    <row r="38" spans="1:16" x14ac:dyDescent="0.25">
      <c r="A38" t="s">
        <v>68</v>
      </c>
      <c r="B38" t="s">
        <v>70</v>
      </c>
      <c r="C38">
        <v>3</v>
      </c>
      <c r="D38" t="s">
        <v>112</v>
      </c>
      <c r="E38" t="s">
        <v>103</v>
      </c>
      <c r="F38" t="s">
        <v>84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Escenario ASeguimiemto Number OutNumber OutProcess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s="5" cm="1">
        <f t="array" ref="K38">IFERROR(AVERAGE(IF((OutputTable[GroupByKey]=OutputTable[[#This Row],[GroupByKey]]),(OutputTable[GroupByKey]=OutputTable[[#This Row],[GroupByKey]])*OutputTable[RecordedValue])),0)</f>
        <v>0.1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0.31622776601683794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1</v>
      </c>
    </row>
    <row r="39" spans="1:16" x14ac:dyDescent="0.25">
      <c r="A39" t="s">
        <v>68</v>
      </c>
      <c r="B39" t="s">
        <v>70</v>
      </c>
      <c r="C39">
        <v>3</v>
      </c>
      <c r="D39" t="s">
        <v>113</v>
      </c>
      <c r="E39" t="s">
        <v>103</v>
      </c>
      <c r="F39" t="s">
        <v>114</v>
      </c>
      <c r="G39">
        <v>1</v>
      </c>
      <c r="H39">
        <v>0</v>
      </c>
      <c r="I39" s="5" t="str">
        <f>OutputTable[[#This Row],[ProjectName]]&amp;OutputTable[[#This Row],[Name]]&amp;OutputTable[[#This Row],[Type]]&amp;OutputTable[[#This Row],[Source]]</f>
        <v>Escenario ASystem.NumberOutNumber OutSystem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s="5" cm="1">
        <f t="array" ref="K39">IFERROR(AVERAGE(IF((OutputTable[GroupByKey]=OutputTable[[#This Row],[GroupByKey]]),(OutputTable[GroupByKey]=OutputTable[[#This Row],[GroupByKey]])*OutputTable[RecordedValue])),0)</f>
        <v>1.1000000000000001</v>
      </c>
      <c r="L39" s="5" cm="1">
        <f t="array" ref="L39">IFERROR(_xlfn.STDEV.S(IF((OutputTable[GroupByKey]=OutputTable[[#This Row],[GroupByKey]]),(OutputTable[GroupByKey]=OutputTable[[#This Row],[GroupByKey]])*OutputTable[RecordedValue])),0)</f>
        <v>0.99442892601175326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3</v>
      </c>
    </row>
    <row r="40" spans="1:16" x14ac:dyDescent="0.25">
      <c r="A40" t="s">
        <v>68</v>
      </c>
      <c r="B40" t="s">
        <v>70</v>
      </c>
      <c r="C40">
        <v>3</v>
      </c>
      <c r="D40" t="s">
        <v>115</v>
      </c>
      <c r="E40" t="s">
        <v>116</v>
      </c>
      <c r="F40" t="s">
        <v>96</v>
      </c>
      <c r="G40">
        <v>1</v>
      </c>
      <c r="H40">
        <v>0</v>
      </c>
      <c r="I40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s="5" cm="1">
        <f t="array" ref="K40">IFERROR(AVERAGE(IF((OutputTable[GroupByKey]=OutputTable[[#This Row],[GroupByKey]]),(OutputTable[GroupByKey]=OutputTable[[#This Row],[GroupByKey]])*OutputTable[RecordedValue])),0)</f>
        <v>1.2</v>
      </c>
      <c r="L40" s="5" cm="1">
        <f t="array" ref="L40">IFERROR(_xlfn.STDEV.S(IF((OutputTable[GroupByKey]=OutputTable[[#This Row],[GroupByKey]]),(OutputTable[GroupByKey]=OutputTable[[#This Row],[GroupByKey]])*OutputTable[RecordedValue])),0)</f>
        <v>1.0327955589886444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3</v>
      </c>
    </row>
    <row r="41" spans="1:16" x14ac:dyDescent="0.25">
      <c r="A41" t="s">
        <v>68</v>
      </c>
      <c r="B41" t="s">
        <v>70</v>
      </c>
      <c r="C41">
        <v>3</v>
      </c>
      <c r="D41" t="s">
        <v>117</v>
      </c>
      <c r="E41" t="s">
        <v>118</v>
      </c>
      <c r="F41" t="s">
        <v>96</v>
      </c>
      <c r="G41">
        <v>2.9205643334124301E-2</v>
      </c>
      <c r="H41">
        <v>0</v>
      </c>
      <c r="I41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s="5" cm="1">
        <f t="array" ref="K41">IFERROR(AVERAGE(IF((OutputTable[GroupByKey]=OutputTable[[#This Row],[GroupByKey]]),(OutputTable[GroupByKey]=OutputTable[[#This Row],[GroupByKey]])*OutputTable[RecordedValue])),0)</f>
        <v>3.5221434146433597E-2</v>
      </c>
      <c r="L41" s="5" cm="1">
        <f t="array" ref="L41">IFERROR(_xlfn.STDEV.S(IF((OutputTable[GroupByKey]=OutputTable[[#This Row],[GroupByKey]]),(OutputTable[GroupByKey]=OutputTable[[#This Row],[GroupByKey]])*OutputTable[RecordedValue])),0)</f>
        <v>3.1541354302313002E-2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9.4430249510039699E-2</v>
      </c>
    </row>
    <row r="42" spans="1:16" x14ac:dyDescent="0.25">
      <c r="A42" t="s">
        <v>68</v>
      </c>
      <c r="B42" t="s">
        <v>70</v>
      </c>
      <c r="C42">
        <v>3</v>
      </c>
      <c r="D42" t="s">
        <v>119</v>
      </c>
      <c r="E42" t="s">
        <v>116</v>
      </c>
      <c r="F42" t="s">
        <v>96</v>
      </c>
      <c r="G42">
        <v>0</v>
      </c>
      <c r="H42">
        <v>0</v>
      </c>
      <c r="I42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s="5" cm="1">
        <f t="array" ref="K42">IFERROR(AVERAGE(IF((OutputTable[GroupByKey]=OutputTable[[#This Row],[GroupByKey]]),(OutputTable[GroupByKey]=OutputTable[[#This Row],[GroupByKey]])*OutputTable[RecordedValue])),0)</f>
        <v>0.1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0.31622776601683794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42" s="5" cm="1">
        <f t="array" ref="O42">MIN(IF((OutputTable[GroupByKey]=OutputTable[[#This Row],[GroupByKey]]),(OutputTable[GroupByKey]=OutputTable[[#This Row],[GroupByKey]])*OutputTable[RecordedValue]))</f>
        <v>0</v>
      </c>
      <c r="P42" s="5" cm="1">
        <f t="array" ref="P42">MAX(IF((OutputTable[GroupByKey]=OutputTable[[#This Row],[GroupByKey]]),(OutputTable[GroupByKey]=OutputTable[[#This Row],[GroupByKey]])*OutputTable[RecordedValue]))</f>
        <v>1</v>
      </c>
    </row>
    <row r="43" spans="1:16" x14ac:dyDescent="0.25">
      <c r="A43" t="s">
        <v>68</v>
      </c>
      <c r="B43" t="s">
        <v>70</v>
      </c>
      <c r="C43">
        <v>3</v>
      </c>
      <c r="D43" t="s">
        <v>120</v>
      </c>
      <c r="E43" t="s">
        <v>118</v>
      </c>
      <c r="F43" t="s">
        <v>96</v>
      </c>
      <c r="G43">
        <v>0</v>
      </c>
      <c r="H43">
        <v>0</v>
      </c>
      <c r="I43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s="5" cm="1">
        <f t="array" ref="K43">IFERROR(AVERAGE(IF((OutputTable[GroupByKey]=OutputTable[[#This Row],[GroupByKey]]),(OutputTable[GroupByKey]=OutputTable[[#This Row],[GroupByKey]])*OutputTable[RecordedValue])),0)</f>
        <v>4.2820889862360502E-4</v>
      </c>
      <c r="L43" s="5" cm="1">
        <f t="array" ref="L43">IFERROR(_xlfn.STDEV.S(IF((OutputTable[GroupByKey]=OutputTable[[#This Row],[GroupByKey]]),(OutputTable[GroupByKey]=OutputTable[[#This Row],[GroupByKey]])*OutputTable[RecordedValue])),0)</f>
        <v>1.3541154340027323E-3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43" s="5" cm="1">
        <f t="array" ref="O43">MIN(IF((OutputTable[GroupByKey]=OutputTable[[#This Row],[GroupByKey]]),(OutputTable[GroupByKey]=OutputTable[[#This Row],[GroupByKey]])*OutputTable[RecordedValue]))</f>
        <v>0</v>
      </c>
      <c r="P43" s="5" cm="1">
        <f t="array" ref="P43">MAX(IF((OutputTable[GroupByKey]=OutputTable[[#This Row],[GroupByKey]]),(OutputTable[GroupByKey]=OutputTable[[#This Row],[GroupByKey]])*OutputTable[RecordedValue]))</f>
        <v>4.2820889862360502E-3</v>
      </c>
    </row>
    <row r="44" spans="1:16" x14ac:dyDescent="0.25">
      <c r="A44" t="s">
        <v>68</v>
      </c>
      <c r="B44" t="s">
        <v>70</v>
      </c>
      <c r="C44">
        <v>4</v>
      </c>
      <c r="D44" t="s">
        <v>100</v>
      </c>
      <c r="E44" t="s">
        <v>101</v>
      </c>
      <c r="F44" t="s">
        <v>73</v>
      </c>
      <c r="G44">
        <v>3</v>
      </c>
      <c r="H44">
        <v>0</v>
      </c>
      <c r="I44" s="5" t="str">
        <f>OutputTable[[#This Row],[ProjectName]]&amp;OutputTable[[#This Row],[Name]]&amp;OutputTable[[#This Row],[Type]]&amp;OutputTable[[#This Row],[Source]]</f>
        <v>Escenario AEntity 1.NumberInNumber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s="5" cm="1">
        <f t="array" ref="K44">IFERROR(AVERAGE(IF((OutputTable[GroupByKey]=OutputTable[[#This Row],[GroupByKey]]),(OutputTable[GroupByKey]=OutputTable[[#This Row],[GroupByKey]])*OutputTable[RecordedValue])),0)</f>
        <v>1.3</v>
      </c>
      <c r="L44" s="5" cm="1">
        <f t="array" ref="L44">IFERROR(_xlfn.STDEV.S(IF((OutputTable[GroupByKey]=OutputTable[[#This Row],[GroupByKey]]),(OutputTable[GroupByKey]=OutputTable[[#This Row],[GroupByKey]])*OutputTable[RecordedValue])),0)</f>
        <v>1.1595018087284057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3</v>
      </c>
    </row>
    <row r="45" spans="1:16" x14ac:dyDescent="0.25">
      <c r="A45" t="s">
        <v>68</v>
      </c>
      <c r="B45" t="s">
        <v>70</v>
      </c>
      <c r="C45">
        <v>4</v>
      </c>
      <c r="D45" t="s">
        <v>102</v>
      </c>
      <c r="E45" t="s">
        <v>103</v>
      </c>
      <c r="F45" t="s">
        <v>73</v>
      </c>
      <c r="G45">
        <v>1</v>
      </c>
      <c r="H45">
        <v>0</v>
      </c>
      <c r="I45" s="5" t="str">
        <f>OutputTable[[#This Row],[ProjectName]]&amp;OutputTable[[#This Row],[Name]]&amp;OutputTable[[#This Row],[Type]]&amp;OutputTable[[#This Row],[Source]]</f>
        <v>Escenario AEntity 1.NumberOutNumber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s="5" cm="1">
        <f t="array" ref="K45">IFERROR(AVERAGE(IF((OutputTable[GroupByKey]=OutputTable[[#This Row],[GroupByKey]]),(OutputTable[GroupByKey]=OutputTable[[#This Row],[GroupByKey]])*OutputTable[RecordedValue])),0)</f>
        <v>1.1000000000000001</v>
      </c>
      <c r="L45" s="5" cm="1">
        <f t="array" ref="L45">IFERROR(_xlfn.STDEV.S(IF((OutputTable[GroupByKey]=OutputTable[[#This Row],[GroupByKey]]),(OutputTable[GroupByKey]=OutputTable[[#This Row],[GroupByKey]])*OutputTable[RecordedValue])),0)</f>
        <v>0.99442892601175326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45" s="5" cm="1">
        <f t="array" ref="O45">MIN(IF((OutputTable[GroupByKey]=OutputTable[[#This Row],[GroupByKey]]),(OutputTable[GroupByKey]=OutputTable[[#This Row],[GroupByKey]])*OutputTable[RecordedValue]))</f>
        <v>0</v>
      </c>
      <c r="P45" s="5" cm="1">
        <f t="array" ref="P45">MAX(IF((OutputTable[GroupByKey]=OutputTable[[#This Row],[GroupByKey]]),(OutputTable[GroupByKey]=OutputTable[[#This Row],[GroupByKey]])*OutputTable[RecordedValue]))</f>
        <v>3</v>
      </c>
    </row>
    <row r="46" spans="1:16" x14ac:dyDescent="0.25">
      <c r="A46" t="s">
        <v>68</v>
      </c>
      <c r="B46" t="s">
        <v>70</v>
      </c>
      <c r="C46">
        <v>4</v>
      </c>
      <c r="D46" t="s">
        <v>104</v>
      </c>
      <c r="E46" t="s">
        <v>105</v>
      </c>
      <c r="F46" t="s">
        <v>84</v>
      </c>
      <c r="G46">
        <v>3.7940484225424198</v>
      </c>
      <c r="H46">
        <v>0</v>
      </c>
      <c r="I46" s="5" t="str">
        <f>OutputTable[[#This Row],[ProjectName]]&amp;OutputTable[[#This Row],[Name]]&amp;OutputTable[[#This Row],[Type]]&amp;OutputTable[[#This Row],[Source]]</f>
        <v>Escenario AProcess 1 Accum VA TimeAccum VA TimeProcess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s="5" cm="1">
        <f t="array" ref="K46">IFERROR(AVERAGE(IF((OutputTable[GroupByKey]=OutputTable[[#This Row],[GroupByKey]]),(OutputTable[GroupByKey]=OutputTable[[#This Row],[GroupByKey]])*OutputTable[RecordedValue])),0)</f>
        <v>1.2468815971147005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1.2805013226628932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46" s="5" cm="1">
        <f t="array" ref="O46">MIN(IF((OutputTable[GroupByKey]=OutputTable[[#This Row],[GroupByKey]]),(OutputTable[GroupByKey]=OutputTable[[#This Row],[GroupByKey]])*OutputTable[RecordedValue]))</f>
        <v>0</v>
      </c>
      <c r="P46" s="5" cm="1">
        <f t="array" ref="P46">MAX(IF((OutputTable[GroupByKey]=OutputTable[[#This Row],[GroupByKey]]),(OutputTable[GroupByKey]=OutputTable[[#This Row],[GroupByKey]])*OutputTable[RecordedValue]))</f>
        <v>3.7940484225424198</v>
      </c>
    </row>
    <row r="47" spans="1:16" x14ac:dyDescent="0.25">
      <c r="A47" t="s">
        <v>68</v>
      </c>
      <c r="B47" t="s">
        <v>70</v>
      </c>
      <c r="C47">
        <v>4</v>
      </c>
      <c r="D47" t="s">
        <v>106</v>
      </c>
      <c r="E47" t="s">
        <v>101</v>
      </c>
      <c r="F47" t="s">
        <v>84</v>
      </c>
      <c r="G47">
        <v>3</v>
      </c>
      <c r="H47">
        <v>0</v>
      </c>
      <c r="I47" s="5" t="str">
        <f>OutputTable[[#This Row],[ProjectName]]&amp;OutputTable[[#This Row],[Name]]&amp;OutputTable[[#This Row],[Type]]&amp;OutputTable[[#This Row],[Source]]</f>
        <v>Escenario AProcess 1 Number InNumber InProcess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s="5" cm="1">
        <f t="array" ref="K47">IFERROR(AVERAGE(IF((OutputTable[GroupByKey]=OutputTable[[#This Row],[GroupByKey]]),(OutputTable[GroupByKey]=OutputTable[[#This Row],[GroupByKey]])*OutputTable[RecordedValue])),0)</f>
        <v>1.3</v>
      </c>
      <c r="L47" s="5" cm="1">
        <f t="array" ref="L47">IFERROR(_xlfn.STDEV.S(IF((OutputTable[GroupByKey]=OutputTable[[#This Row],[GroupByKey]]),(OutputTable[GroupByKey]=OutputTable[[#This Row],[GroupByKey]])*OutputTable[RecordedValue])),0)</f>
        <v>1.1595018087284057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3</v>
      </c>
    </row>
    <row r="48" spans="1:16" x14ac:dyDescent="0.25">
      <c r="A48" t="s">
        <v>68</v>
      </c>
      <c r="B48" t="s">
        <v>70</v>
      </c>
      <c r="C48">
        <v>4</v>
      </c>
      <c r="D48" t="s">
        <v>107</v>
      </c>
      <c r="E48" t="s">
        <v>103</v>
      </c>
      <c r="F48" t="s">
        <v>84</v>
      </c>
      <c r="G48">
        <v>3</v>
      </c>
      <c r="H48">
        <v>0</v>
      </c>
      <c r="I48" s="5" t="str">
        <f>OutputTable[[#This Row],[ProjectName]]&amp;OutputTable[[#This Row],[Name]]&amp;OutputTable[[#This Row],[Type]]&amp;OutputTable[[#This Row],[Source]]</f>
        <v>Escenario AProcess 1 Number OutNumber OutProcess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s="5" cm="1">
        <f t="array" ref="K48">IFERROR(AVERAGE(IF((OutputTable[GroupByKey]=OutputTable[[#This Row],[GroupByKey]]),(OutputTable[GroupByKey]=OutputTable[[#This Row],[GroupByKey]])*OutputTable[RecordedValue])),0)</f>
        <v>1.3</v>
      </c>
      <c r="L48" s="5" cm="1">
        <f t="array" ref="L48">IFERROR(_xlfn.STDEV.S(IF((OutputTable[GroupByKey]=OutputTable[[#This Row],[GroupByKey]]),(OutputTable[GroupByKey]=OutputTable[[#This Row],[GroupByKey]])*OutputTable[RecordedValue])),0)</f>
        <v>1.1595018087284057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48" s="5" cm="1">
        <f t="array" ref="O48">MIN(IF((OutputTable[GroupByKey]=OutputTable[[#This Row],[GroupByKey]]),(OutputTable[GroupByKey]=OutputTable[[#This Row],[GroupByKey]])*OutputTable[RecordedValue]))</f>
        <v>0</v>
      </c>
      <c r="P48" s="5" cm="1">
        <f t="array" ref="P48">MAX(IF((OutputTable[GroupByKey]=OutputTable[[#This Row],[GroupByKey]]),(OutputTable[GroupByKey]=OutputTable[[#This Row],[GroupByKey]])*OutputTable[RecordedValue]))</f>
        <v>3</v>
      </c>
    </row>
    <row r="49" spans="1:16" x14ac:dyDescent="0.25">
      <c r="A49" t="s">
        <v>68</v>
      </c>
      <c r="B49" t="s">
        <v>70</v>
      </c>
      <c r="C49">
        <v>4</v>
      </c>
      <c r="D49" t="s">
        <v>108</v>
      </c>
      <c r="E49" t="s">
        <v>105</v>
      </c>
      <c r="F49" t="s">
        <v>84</v>
      </c>
      <c r="G49">
        <v>4.2820889862360503E-2</v>
      </c>
      <c r="H49">
        <v>0</v>
      </c>
      <c r="I49" s="5" t="str">
        <f>OutputTable[[#This Row],[ProjectName]]&amp;OutputTable[[#This Row],[Name]]&amp;OutputTable[[#This Row],[Type]]&amp;OutputTable[[#This Row],[Source]]</f>
        <v>Escenario ASeguimiemto Accum VA TimeAccum VA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s="5" cm="1">
        <f t="array" ref="K49">IFERROR(AVERAGE(IF((OutputTable[GroupByKey]=OutputTable[[#This Row],[GroupByKey]]),(OutputTable[GroupByKey]=OutputTable[[#This Row],[GroupByKey]])*OutputTable[RecordedValue])),0)</f>
        <v>4.2820889862360502E-3</v>
      </c>
      <c r="L49" s="5" cm="1">
        <f t="array" ref="L49">IFERROR(_xlfn.STDEV.S(IF((OutputTable[GroupByKey]=OutputTable[[#This Row],[GroupByKey]]),(OutputTable[GroupByKey]=OutputTable[[#This Row],[GroupByKey]])*OutputTable[RecordedValue])),0)</f>
        <v>1.3541154340027324E-2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49" s="5" cm="1">
        <f t="array" ref="O49">MIN(IF((OutputTable[GroupByKey]=OutputTable[[#This Row],[GroupByKey]]),(OutputTable[GroupByKey]=OutputTable[[#This Row],[GroupByKey]])*OutputTable[RecordedValue]))</f>
        <v>0</v>
      </c>
      <c r="P49" s="5" cm="1">
        <f t="array" ref="P49">MAX(IF((OutputTable[GroupByKey]=OutputTable[[#This Row],[GroupByKey]]),(OutputTable[GroupByKey]=OutputTable[[#This Row],[GroupByKey]])*OutputTable[RecordedValue]))</f>
        <v>4.2820889862360503E-2</v>
      </c>
    </row>
    <row r="50" spans="1:16" x14ac:dyDescent="0.25">
      <c r="A50" t="s">
        <v>68</v>
      </c>
      <c r="B50" t="s">
        <v>70</v>
      </c>
      <c r="C50">
        <v>4</v>
      </c>
      <c r="D50" t="s">
        <v>109</v>
      </c>
      <c r="E50" t="s">
        <v>110</v>
      </c>
      <c r="F50" t="s">
        <v>84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s="5" cm="1">
        <f t="array" ref="K50">IFERROR(AVERAGE(IF((OutputTable[GroupByKey]=OutputTable[[#This Row],[GroupByKey]]),(OutputTable[GroupByKey]=OutputTable[[#This Row],[GroupByKey]])*OutputTable[RecordedValue])),0)</f>
        <v>0</v>
      </c>
      <c r="L50" s="5" cm="1">
        <f t="array" ref="L50">IFERROR(_xlfn.STDEV.S(IF((OutputTable[GroupByKey]=OutputTable[[#This Row],[GroupByKey]]),(OutputTable[GroupByKey]=OutputTable[[#This Row],[GroupByKey]])*OutputTable[RecordedValue])),0)</f>
        <v>0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" s="5" cm="1">
        <f t="array" ref="O50">MIN(IF((OutputTable[GroupByKey]=OutputTable[[#This Row],[GroupByKey]]),(OutputTable[GroupByKey]=OutputTable[[#This Row],[GroupByKey]])*OutputTable[RecordedValue]))</f>
        <v>0</v>
      </c>
      <c r="P50" s="5" cm="1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68</v>
      </c>
      <c r="B51" t="s">
        <v>70</v>
      </c>
      <c r="C51">
        <v>4</v>
      </c>
      <c r="D51" t="s">
        <v>111</v>
      </c>
      <c r="E51" t="s">
        <v>101</v>
      </c>
      <c r="F51" t="s">
        <v>84</v>
      </c>
      <c r="G51">
        <v>1</v>
      </c>
      <c r="H51">
        <v>0</v>
      </c>
      <c r="I51" s="5" t="str">
        <f>OutputTable[[#This Row],[ProjectName]]&amp;OutputTable[[#This Row],[Name]]&amp;OutputTable[[#This Row],[Type]]&amp;OutputTable[[#This Row],[Source]]</f>
        <v>Escenario ASeguimiemto Number InNumber InProcess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s="5" cm="1">
        <f t="array" ref="K51">IFERROR(AVERAGE(IF((OutputTable[GroupByKey]=OutputTable[[#This Row],[GroupByKey]]),(OutputTable[GroupByKey]=OutputTable[[#This Row],[GroupByKey]])*OutputTable[RecordedValue])),0)</f>
        <v>0.1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0.31622776601683794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51" s="5" cm="1">
        <f t="array" ref="O51">MIN(IF((OutputTable[GroupByKey]=OutputTable[[#This Row],[GroupByKey]]),(OutputTable[GroupByKey]=OutputTable[[#This Row],[GroupByKey]])*OutputTable[RecordedValue]))</f>
        <v>0</v>
      </c>
      <c r="P51" s="5" cm="1">
        <f t="array" ref="P51">MAX(IF((OutputTable[GroupByKey]=OutputTable[[#This Row],[GroupByKey]]),(OutputTable[GroupByKey]=OutputTable[[#This Row],[GroupByKey]])*OutputTable[RecordedValue]))</f>
        <v>1</v>
      </c>
    </row>
    <row r="52" spans="1:16" x14ac:dyDescent="0.25">
      <c r="A52" t="s">
        <v>68</v>
      </c>
      <c r="B52" t="s">
        <v>70</v>
      </c>
      <c r="C52">
        <v>4</v>
      </c>
      <c r="D52" t="s">
        <v>112</v>
      </c>
      <c r="E52" t="s">
        <v>103</v>
      </c>
      <c r="F52" t="s">
        <v>84</v>
      </c>
      <c r="G52">
        <v>1</v>
      </c>
      <c r="H52">
        <v>0</v>
      </c>
      <c r="I52" s="5" t="str">
        <f>OutputTable[[#This Row],[ProjectName]]&amp;OutputTable[[#This Row],[Name]]&amp;OutputTable[[#This Row],[Type]]&amp;OutputTable[[#This Row],[Source]]</f>
        <v>Escenario ASeguimiemto Number OutNumber OutProcess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s="5" cm="1">
        <f t="array" ref="K52">IFERROR(AVERAGE(IF((OutputTable[GroupByKey]=OutputTable[[#This Row],[GroupByKey]]),(OutputTable[GroupByKey]=OutputTable[[#This Row],[GroupByKey]])*OutputTable[RecordedValue])),0)</f>
        <v>0.1</v>
      </c>
      <c r="L52" s="5" cm="1">
        <f t="array" ref="L52">IFERROR(_xlfn.STDEV.S(IF((OutputTable[GroupByKey]=OutputTable[[#This Row],[GroupByKey]]),(OutputTable[GroupByKey]=OutputTable[[#This Row],[GroupByKey]])*OutputTable[RecordedValue])),0)</f>
        <v>0.31622776601683794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52" s="5" cm="1">
        <f t="array" ref="O52">MIN(IF((OutputTable[GroupByKey]=OutputTable[[#This Row],[GroupByKey]]),(OutputTable[GroupByKey]=OutputTable[[#This Row],[GroupByKey]])*OutputTable[RecordedValue]))</f>
        <v>0</v>
      </c>
      <c r="P52" s="5" cm="1">
        <f t="array" ref="P52">MAX(IF((OutputTable[GroupByKey]=OutputTable[[#This Row],[GroupByKey]]),(OutputTable[GroupByKey]=OutputTable[[#This Row],[GroupByKey]])*OutputTable[RecordedValue]))</f>
        <v>1</v>
      </c>
    </row>
    <row r="53" spans="1:16" x14ac:dyDescent="0.25">
      <c r="A53" t="s">
        <v>68</v>
      </c>
      <c r="B53" t="s">
        <v>70</v>
      </c>
      <c r="C53">
        <v>4</v>
      </c>
      <c r="D53" t="s">
        <v>113</v>
      </c>
      <c r="E53" t="s">
        <v>103</v>
      </c>
      <c r="F53" t="s">
        <v>114</v>
      </c>
      <c r="G53">
        <v>1</v>
      </c>
      <c r="H53">
        <v>0</v>
      </c>
      <c r="I53" s="5" t="str">
        <f>OutputTable[[#This Row],[ProjectName]]&amp;OutputTable[[#This Row],[Name]]&amp;OutputTable[[#This Row],[Type]]&amp;OutputTable[[#This Row],[Source]]</f>
        <v>Escenario ASystem.NumberOutNumber OutSystem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s="5" cm="1">
        <f t="array" ref="K53">IFERROR(AVERAGE(IF((OutputTable[GroupByKey]=OutputTable[[#This Row],[GroupByKey]]),(OutputTable[GroupByKey]=OutputTable[[#This Row],[GroupByKey]])*OutputTable[RecordedValue])),0)</f>
        <v>1.1000000000000001</v>
      </c>
      <c r="L53" s="5" cm="1">
        <f t="array" ref="L53">IFERROR(_xlfn.STDEV.S(IF((OutputTable[GroupByKey]=OutputTable[[#This Row],[GroupByKey]]),(OutputTable[GroupByKey]=OutputTable[[#This Row],[GroupByKey]])*OutputTable[RecordedValue])),0)</f>
        <v>0.99442892601175326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53" s="5" cm="1">
        <f t="array" ref="O53">MIN(IF((OutputTable[GroupByKey]=OutputTable[[#This Row],[GroupByKey]]),(OutputTable[GroupByKey]=OutputTable[[#This Row],[GroupByKey]])*OutputTable[RecordedValue]))</f>
        <v>0</v>
      </c>
      <c r="P53" s="5" cm="1">
        <f t="array" ref="P53">MAX(IF((OutputTable[GroupByKey]=OutputTable[[#This Row],[GroupByKey]]),(OutputTable[GroupByKey]=OutputTable[[#This Row],[GroupByKey]])*OutputTable[RecordedValue]))</f>
        <v>3</v>
      </c>
    </row>
    <row r="54" spans="1:16" x14ac:dyDescent="0.25">
      <c r="A54" t="s">
        <v>68</v>
      </c>
      <c r="B54" t="s">
        <v>70</v>
      </c>
      <c r="C54">
        <v>4</v>
      </c>
      <c r="D54" t="s">
        <v>115</v>
      </c>
      <c r="E54" t="s">
        <v>116</v>
      </c>
      <c r="F54" t="s">
        <v>96</v>
      </c>
      <c r="G54">
        <v>2</v>
      </c>
      <c r="H54">
        <v>0</v>
      </c>
      <c r="I54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s="5" cm="1">
        <f t="array" ref="K54">IFERROR(AVERAGE(IF((OutputTable[GroupByKey]=OutputTable[[#This Row],[GroupByKey]]),(OutputTable[GroupByKey]=OutputTable[[#This Row],[GroupByKey]])*OutputTable[RecordedValue])),0)</f>
        <v>1.2</v>
      </c>
      <c r="L54" s="5" cm="1">
        <f t="array" ref="L54">IFERROR(_xlfn.STDEV.S(IF((OutputTable[GroupByKey]=OutputTable[[#This Row],[GroupByKey]]),(OutputTable[GroupByKey]=OutputTable[[#This Row],[GroupByKey]])*OutputTable[RecordedValue])),0)</f>
        <v>1.0327955589886444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54" s="5" cm="1">
        <f t="array" ref="O54">MIN(IF((OutputTable[GroupByKey]=OutputTable[[#This Row],[GroupByKey]]),(OutputTable[GroupByKey]=OutputTable[[#This Row],[GroupByKey]])*OutputTable[RecordedValue]))</f>
        <v>0</v>
      </c>
      <c r="P54" s="5" cm="1">
        <f t="array" ref="P54">MAX(IF((OutputTable[GroupByKey]=OutputTable[[#This Row],[GroupByKey]]),(OutputTable[GroupByKey]=OutputTable[[#This Row],[GroupByKey]])*OutputTable[RecordedValue]))</f>
        <v>3</v>
      </c>
    </row>
    <row r="55" spans="1:16" x14ac:dyDescent="0.25">
      <c r="A55" t="s">
        <v>68</v>
      </c>
      <c r="B55" t="s">
        <v>70</v>
      </c>
      <c r="C55">
        <v>4</v>
      </c>
      <c r="D55" t="s">
        <v>117</v>
      </c>
      <c r="E55" t="s">
        <v>118</v>
      </c>
      <c r="F55" t="s">
        <v>96</v>
      </c>
      <c r="G55">
        <v>5.0275829145292002E-2</v>
      </c>
      <c r="H55">
        <v>0</v>
      </c>
      <c r="I55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s="5" cm="1">
        <f t="array" ref="K55">IFERROR(AVERAGE(IF((OutputTable[GroupByKey]=OutputTable[[#This Row],[GroupByKey]]),(OutputTable[GroupByKey]=OutputTable[[#This Row],[GroupByKey]])*OutputTable[RecordedValue])),0)</f>
        <v>3.5221434146433597E-2</v>
      </c>
      <c r="L55" s="5" cm="1">
        <f t="array" ref="L55">IFERROR(_xlfn.STDEV.S(IF((OutputTable[GroupByKey]=OutputTable[[#This Row],[GroupByKey]]),(OutputTable[GroupByKey]=OutputTable[[#This Row],[GroupByKey]])*OutputTable[RecordedValue])),0)</f>
        <v>3.1541354302313002E-2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9.4430249510039699E-2</v>
      </c>
    </row>
    <row r="56" spans="1:16" x14ac:dyDescent="0.25">
      <c r="A56" t="s">
        <v>68</v>
      </c>
      <c r="B56" t="s">
        <v>70</v>
      </c>
      <c r="C56">
        <v>4</v>
      </c>
      <c r="D56" t="s">
        <v>119</v>
      </c>
      <c r="E56" t="s">
        <v>116</v>
      </c>
      <c r="F56" t="s">
        <v>96</v>
      </c>
      <c r="G56">
        <v>1</v>
      </c>
      <c r="H56">
        <v>0</v>
      </c>
      <c r="I56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s="5" cm="1">
        <f t="array" ref="K56">IFERROR(AVERAGE(IF((OutputTable[GroupByKey]=OutputTable[[#This Row],[GroupByKey]]),(OutputTable[GroupByKey]=OutputTable[[#This Row],[GroupByKey]])*OutputTable[RecordedValue])),0)</f>
        <v>0.1</v>
      </c>
      <c r="L56" s="5" cm="1">
        <f t="array" ref="L56">IFERROR(_xlfn.STDEV.S(IF((OutputTable[GroupByKey]=OutputTable[[#This Row],[GroupByKey]]),(OutputTable[GroupByKey]=OutputTable[[#This Row],[GroupByKey]])*OutputTable[RecordedValue])),0)</f>
        <v>0.31622776601683794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1</v>
      </c>
    </row>
    <row r="57" spans="1:16" x14ac:dyDescent="0.25">
      <c r="A57" t="s">
        <v>68</v>
      </c>
      <c r="B57" t="s">
        <v>70</v>
      </c>
      <c r="C57">
        <v>4</v>
      </c>
      <c r="D57" t="s">
        <v>120</v>
      </c>
      <c r="E57" t="s">
        <v>118</v>
      </c>
      <c r="F57" t="s">
        <v>96</v>
      </c>
      <c r="G57">
        <v>4.2820889862360502E-3</v>
      </c>
      <c r="H57">
        <v>0</v>
      </c>
      <c r="I57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s="5" cm="1">
        <f t="array" ref="K57">IFERROR(AVERAGE(IF((OutputTable[GroupByKey]=OutputTable[[#This Row],[GroupByKey]]),(OutputTable[GroupByKey]=OutputTable[[#This Row],[GroupByKey]])*OutputTable[RecordedValue])),0)</f>
        <v>4.2820889862360502E-4</v>
      </c>
      <c r="L57" s="5" cm="1">
        <f t="array" ref="L57">IFERROR(_xlfn.STDEV.S(IF((OutputTable[GroupByKey]=OutputTable[[#This Row],[GroupByKey]]),(OutputTable[GroupByKey]=OutputTable[[#This Row],[GroupByKey]])*OutputTable[RecordedValue])),0)</f>
        <v>1.3541154340027323E-3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4.2820889862360502E-3</v>
      </c>
    </row>
    <row r="58" spans="1:16" x14ac:dyDescent="0.25">
      <c r="A58" t="s">
        <v>68</v>
      </c>
      <c r="B58" t="s">
        <v>70</v>
      </c>
      <c r="C58">
        <v>5</v>
      </c>
      <c r="D58" t="s">
        <v>100</v>
      </c>
      <c r="E58" t="s">
        <v>101</v>
      </c>
      <c r="F58" t="s">
        <v>73</v>
      </c>
      <c r="G58">
        <v>0</v>
      </c>
      <c r="H58">
        <v>0</v>
      </c>
      <c r="I58" s="5" t="str">
        <f>OutputTable[[#This Row],[ProjectName]]&amp;OutputTable[[#This Row],[Name]]&amp;OutputTable[[#This Row],[Type]]&amp;OutputTable[[#This Row],[Source]]</f>
        <v>Escenario AEntity 1.NumberInNumber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s="5" cm="1">
        <f t="array" ref="K58">IFERROR(AVERAGE(IF((OutputTable[GroupByKey]=OutputTable[[#This Row],[GroupByKey]]),(OutputTable[GroupByKey]=OutputTable[[#This Row],[GroupByKey]])*OutputTable[RecordedValue])),0)</f>
        <v>1.3</v>
      </c>
      <c r="L58" s="5" cm="1">
        <f t="array" ref="L58">IFERROR(_xlfn.STDEV.S(IF((OutputTable[GroupByKey]=OutputTable[[#This Row],[GroupByKey]]),(OutputTable[GroupByKey]=OutputTable[[#This Row],[GroupByKey]])*OutputTable[RecordedValue])),0)</f>
        <v>1.1595018087284057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58" s="5" cm="1">
        <f t="array" ref="O58">MIN(IF((OutputTable[GroupByKey]=OutputTable[[#This Row],[GroupByKey]]),(OutputTable[GroupByKey]=OutputTable[[#This Row],[GroupByKey]])*OutputTable[RecordedValue]))</f>
        <v>0</v>
      </c>
      <c r="P58" s="5" cm="1">
        <f t="array" ref="P58">MAX(IF((OutputTable[GroupByKey]=OutputTable[[#This Row],[GroupByKey]]),(OutputTable[GroupByKey]=OutputTable[[#This Row],[GroupByKey]])*OutputTable[RecordedValue]))</f>
        <v>3</v>
      </c>
    </row>
    <row r="59" spans="1:16" x14ac:dyDescent="0.25">
      <c r="A59" t="s">
        <v>68</v>
      </c>
      <c r="B59" t="s">
        <v>70</v>
      </c>
      <c r="C59">
        <v>5</v>
      </c>
      <c r="D59" t="s">
        <v>102</v>
      </c>
      <c r="E59" t="s">
        <v>103</v>
      </c>
      <c r="F59" t="s">
        <v>73</v>
      </c>
      <c r="G59">
        <v>0</v>
      </c>
      <c r="H59">
        <v>0</v>
      </c>
      <c r="I59" s="5" t="str">
        <f>OutputTable[[#This Row],[ProjectName]]&amp;OutputTable[[#This Row],[Name]]&amp;OutputTable[[#This Row],[Type]]&amp;OutputTable[[#This Row],[Source]]</f>
        <v>Escenario AEntity 1.NumberOutNumber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s="5" cm="1">
        <f t="array" ref="K59">IFERROR(AVERAGE(IF((OutputTable[GroupByKey]=OutputTable[[#This Row],[GroupByKey]]),(OutputTable[GroupByKey]=OutputTable[[#This Row],[GroupByKey]])*OutputTable[RecordedValue])),0)</f>
        <v>1.1000000000000001</v>
      </c>
      <c r="L59" s="5" cm="1">
        <f t="array" ref="L59">IFERROR(_xlfn.STDEV.S(IF((OutputTable[GroupByKey]=OutputTable[[#This Row],[GroupByKey]]),(OutputTable[GroupByKey]=OutputTable[[#This Row],[GroupByKey]])*OutputTable[RecordedValue])),0)</f>
        <v>0.99442892601175326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59" s="5" cm="1">
        <f t="array" ref="O59">MIN(IF((OutputTable[GroupByKey]=OutputTable[[#This Row],[GroupByKey]]),(OutputTable[GroupByKey]=OutputTable[[#This Row],[GroupByKey]])*OutputTable[RecordedValue]))</f>
        <v>0</v>
      </c>
      <c r="P59" s="5" cm="1">
        <f t="array" ref="P59">MAX(IF((OutputTable[GroupByKey]=OutputTable[[#This Row],[GroupByKey]]),(OutputTable[GroupByKey]=OutputTable[[#This Row],[GroupByKey]])*OutputTable[RecordedValue]))</f>
        <v>3</v>
      </c>
    </row>
    <row r="60" spans="1:16" x14ac:dyDescent="0.25">
      <c r="A60" t="s">
        <v>68</v>
      </c>
      <c r="B60" t="s">
        <v>70</v>
      </c>
      <c r="C60">
        <v>5</v>
      </c>
      <c r="D60" t="s">
        <v>104</v>
      </c>
      <c r="E60" t="s">
        <v>105</v>
      </c>
      <c r="F60" t="s">
        <v>84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Escenario AProcess 1 Accum VA TimeAccum VA TimeProcess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s="5" cm="1">
        <f t="array" ref="K60">IFERROR(AVERAGE(IF((OutputTable[GroupByKey]=OutputTable[[#This Row],[GroupByKey]]),(OutputTable[GroupByKey]=OutputTable[[#This Row],[GroupByKey]])*OutputTable[RecordedValue])),0)</f>
        <v>1.2468815971147005</v>
      </c>
      <c r="L60" s="5" cm="1">
        <f t="array" ref="L60">IFERROR(_xlfn.STDEV.S(IF((OutputTable[GroupByKey]=OutputTable[[#This Row],[GroupByKey]]),(OutputTable[GroupByKey]=OutputTable[[#This Row],[GroupByKey]])*OutputTable[RecordedValue])),0)</f>
        <v>1.2805013226628932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60" s="5" cm="1">
        <f t="array" ref="O60">MIN(IF((OutputTable[GroupByKey]=OutputTable[[#This Row],[GroupByKey]]),(OutputTable[GroupByKey]=OutputTable[[#This Row],[GroupByKey]])*OutputTable[RecordedValue]))</f>
        <v>0</v>
      </c>
      <c r="P60" s="5" cm="1">
        <f t="array" ref="P60">MAX(IF((OutputTable[GroupByKey]=OutputTable[[#This Row],[GroupByKey]]),(OutputTable[GroupByKey]=OutputTable[[#This Row],[GroupByKey]])*OutputTable[RecordedValue]))</f>
        <v>3.7940484225424198</v>
      </c>
    </row>
    <row r="61" spans="1:16" x14ac:dyDescent="0.25">
      <c r="A61" t="s">
        <v>68</v>
      </c>
      <c r="B61" t="s">
        <v>70</v>
      </c>
      <c r="C61">
        <v>5</v>
      </c>
      <c r="D61" t="s">
        <v>106</v>
      </c>
      <c r="E61" t="s">
        <v>101</v>
      </c>
      <c r="F61" t="s">
        <v>84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Escenario AProcess 1 Number InNumber InProcess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s="5" cm="1">
        <f t="array" ref="K61">IFERROR(AVERAGE(IF((OutputTable[GroupByKey]=OutputTable[[#This Row],[GroupByKey]]),(OutputTable[GroupByKey]=OutputTable[[#This Row],[GroupByKey]])*OutputTable[RecordedValue])),0)</f>
        <v>1.3</v>
      </c>
      <c r="L61" s="5" cm="1">
        <f t="array" ref="L61">IFERROR(_xlfn.STDEV.S(IF((OutputTable[GroupByKey]=OutputTable[[#This Row],[GroupByKey]]),(OutputTable[GroupByKey]=OutputTable[[#This Row],[GroupByKey]])*OutputTable[RecordedValue])),0)</f>
        <v>1.1595018087284057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3</v>
      </c>
    </row>
    <row r="62" spans="1:16" x14ac:dyDescent="0.25">
      <c r="A62" t="s">
        <v>68</v>
      </c>
      <c r="B62" t="s">
        <v>70</v>
      </c>
      <c r="C62">
        <v>5</v>
      </c>
      <c r="D62" t="s">
        <v>107</v>
      </c>
      <c r="E62" t="s">
        <v>103</v>
      </c>
      <c r="F62" t="s">
        <v>84</v>
      </c>
      <c r="G62">
        <v>0</v>
      </c>
      <c r="H62">
        <v>0</v>
      </c>
      <c r="I62" s="5" t="str">
        <f>OutputTable[[#This Row],[ProjectName]]&amp;OutputTable[[#This Row],[Name]]&amp;OutputTable[[#This Row],[Type]]&amp;OutputTable[[#This Row],[Source]]</f>
        <v>Escenario AProcess 1 Number OutNumber OutProcess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s="5" cm="1">
        <f t="array" ref="K62">IFERROR(AVERAGE(IF((OutputTable[GroupByKey]=OutputTable[[#This Row],[GroupByKey]]),(OutputTable[GroupByKey]=OutputTable[[#This Row],[GroupByKey]])*OutputTable[RecordedValue])),0)</f>
        <v>1.3</v>
      </c>
      <c r="L62" s="5" cm="1">
        <f t="array" ref="L62">IFERROR(_xlfn.STDEV.S(IF((OutputTable[GroupByKey]=OutputTable[[#This Row],[GroupByKey]]),(OutputTable[GroupByKey]=OutputTable[[#This Row],[GroupByKey]])*OutputTable[RecordedValue])),0)</f>
        <v>1.1595018087284057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62" s="5" cm="1">
        <f t="array" ref="O62">MIN(IF((OutputTable[GroupByKey]=OutputTable[[#This Row],[GroupByKey]]),(OutputTable[GroupByKey]=OutputTable[[#This Row],[GroupByKey]])*OutputTable[RecordedValue]))</f>
        <v>0</v>
      </c>
      <c r="P62" s="5" cm="1">
        <f t="array" ref="P62">MAX(IF((OutputTable[GroupByKey]=OutputTable[[#This Row],[GroupByKey]]),(OutputTable[GroupByKey]=OutputTable[[#This Row],[GroupByKey]])*OutputTable[RecordedValue]))</f>
        <v>3</v>
      </c>
    </row>
    <row r="63" spans="1:16" x14ac:dyDescent="0.25">
      <c r="A63" t="s">
        <v>68</v>
      </c>
      <c r="B63" t="s">
        <v>70</v>
      </c>
      <c r="C63">
        <v>5</v>
      </c>
      <c r="D63" t="s">
        <v>108</v>
      </c>
      <c r="E63" t="s">
        <v>105</v>
      </c>
      <c r="F63" t="s">
        <v>84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Escenario ASeguimiemto Accum VA TimeAccum VA TimeProcess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s="5" cm="1">
        <f t="array" ref="K63">IFERROR(AVERAGE(IF((OutputTable[GroupByKey]=OutputTable[[#This Row],[GroupByKey]]),(OutputTable[GroupByKey]=OutputTable[[#This Row],[GroupByKey]])*OutputTable[RecordedValue])),0)</f>
        <v>4.2820889862360502E-3</v>
      </c>
      <c r="L63" s="5" cm="1">
        <f t="array" ref="L63">IFERROR(_xlfn.STDEV.S(IF((OutputTable[GroupByKey]=OutputTable[[#This Row],[GroupByKey]]),(OutputTable[GroupByKey]=OutputTable[[#This Row],[GroupByKey]])*OutputTable[RecordedValue])),0)</f>
        <v>1.3541154340027324E-2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4.2820889862360503E-2</v>
      </c>
    </row>
    <row r="64" spans="1:16" x14ac:dyDescent="0.25">
      <c r="A64" t="s">
        <v>68</v>
      </c>
      <c r="B64" t="s">
        <v>70</v>
      </c>
      <c r="C64">
        <v>5</v>
      </c>
      <c r="D64" t="s">
        <v>109</v>
      </c>
      <c r="E64" t="s">
        <v>110</v>
      </c>
      <c r="F64" t="s">
        <v>84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70</v>
      </c>
      <c r="C65">
        <v>5</v>
      </c>
      <c r="D65" t="s">
        <v>111</v>
      </c>
      <c r="E65" t="s">
        <v>101</v>
      </c>
      <c r="F65" t="s">
        <v>84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Escenario ASeguimiemto Number InNumber InProcess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s="5" cm="1">
        <f t="array" ref="K65">IFERROR(AVERAGE(IF((OutputTable[GroupByKey]=OutputTable[[#This Row],[GroupByKey]]),(OutputTable[GroupByKey]=OutputTable[[#This Row],[GroupByKey]])*OutputTable[RecordedValue])),0)</f>
        <v>0.1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0.31622776601683794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1</v>
      </c>
    </row>
    <row r="66" spans="1:16" x14ac:dyDescent="0.25">
      <c r="A66" t="s">
        <v>68</v>
      </c>
      <c r="B66" t="s">
        <v>70</v>
      </c>
      <c r="C66">
        <v>5</v>
      </c>
      <c r="D66" t="s">
        <v>112</v>
      </c>
      <c r="E66" t="s">
        <v>103</v>
      </c>
      <c r="F66" t="s">
        <v>84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Escenario ASeguimiemto Number OutNumber OutProcess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s="5" cm="1">
        <f t="array" ref="K66">IFERROR(AVERAGE(IF((OutputTable[GroupByKey]=OutputTable[[#This Row],[GroupByKey]]),(OutputTable[GroupByKey]=OutputTable[[#This Row],[GroupByKey]])*OutputTable[RecordedValue])),0)</f>
        <v>0.1</v>
      </c>
      <c r="L66" s="5" cm="1">
        <f t="array" ref="L66">IFERROR(_xlfn.STDEV.S(IF((OutputTable[GroupByKey]=OutputTable[[#This Row],[GroupByKey]]),(OutputTable[GroupByKey]=OutputTable[[#This Row],[GroupByKey]])*OutputTable[RecordedValue])),0)</f>
        <v>0.31622776601683794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1</v>
      </c>
    </row>
    <row r="67" spans="1:16" x14ac:dyDescent="0.25">
      <c r="A67" t="s">
        <v>68</v>
      </c>
      <c r="B67" t="s">
        <v>70</v>
      </c>
      <c r="C67">
        <v>5</v>
      </c>
      <c r="D67" t="s">
        <v>113</v>
      </c>
      <c r="E67" t="s">
        <v>103</v>
      </c>
      <c r="F67" t="s">
        <v>114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Escenario ASystem.NumberOutNumber OutSystem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s="5" cm="1">
        <f t="array" ref="K67">IFERROR(AVERAGE(IF((OutputTable[GroupByKey]=OutputTable[[#This Row],[GroupByKey]]),(OutputTable[GroupByKey]=OutputTable[[#This Row],[GroupByKey]])*OutputTable[RecordedValue])),0)</f>
        <v>1.1000000000000001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0.99442892601175326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67" s="5" cm="1">
        <f t="array" ref="O67">MIN(IF((OutputTable[GroupByKey]=OutputTable[[#This Row],[GroupByKey]]),(OutputTable[GroupByKey]=OutputTable[[#This Row],[GroupByKey]])*OutputTable[RecordedValue]))</f>
        <v>0</v>
      </c>
      <c r="P67" s="5" cm="1">
        <f t="array" ref="P67">MAX(IF((OutputTable[GroupByKey]=OutputTable[[#This Row],[GroupByKey]]),(OutputTable[GroupByKey]=OutputTable[[#This Row],[GroupByKey]])*OutputTable[RecordedValue]))</f>
        <v>3</v>
      </c>
    </row>
    <row r="68" spans="1:16" x14ac:dyDescent="0.25">
      <c r="A68" t="s">
        <v>68</v>
      </c>
      <c r="B68" t="s">
        <v>70</v>
      </c>
      <c r="C68">
        <v>5</v>
      </c>
      <c r="D68" t="s">
        <v>115</v>
      </c>
      <c r="E68" t="s">
        <v>116</v>
      </c>
      <c r="F68" t="s">
        <v>96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s="5" cm="1">
        <f t="array" ref="K68">IFERROR(AVERAGE(IF((OutputTable[GroupByKey]=OutputTable[[#This Row],[GroupByKey]]),(OutputTable[GroupByKey]=OutputTable[[#This Row],[GroupByKey]])*OutputTable[RecordedValue])),0)</f>
        <v>1.2</v>
      </c>
      <c r="L68" s="5" cm="1">
        <f t="array" ref="L68">IFERROR(_xlfn.STDEV.S(IF((OutputTable[GroupByKey]=OutputTable[[#This Row],[GroupByKey]]),(OutputTable[GroupByKey]=OutputTable[[#This Row],[GroupByKey]])*OutputTable[RecordedValue])),0)</f>
        <v>1.0327955589886444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3</v>
      </c>
    </row>
    <row r="69" spans="1:16" x14ac:dyDescent="0.25">
      <c r="A69" t="s">
        <v>68</v>
      </c>
      <c r="B69" t="s">
        <v>70</v>
      </c>
      <c r="C69">
        <v>5</v>
      </c>
      <c r="D69" t="s">
        <v>117</v>
      </c>
      <c r="E69" t="s">
        <v>118</v>
      </c>
      <c r="F69" t="s">
        <v>96</v>
      </c>
      <c r="G69">
        <v>0</v>
      </c>
      <c r="H69">
        <v>0</v>
      </c>
      <c r="I69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s="5" cm="1">
        <f t="array" ref="K69">IFERROR(AVERAGE(IF((OutputTable[GroupByKey]=OutputTable[[#This Row],[GroupByKey]]),(OutputTable[GroupByKey]=OutputTable[[#This Row],[GroupByKey]])*OutputTable[RecordedValue])),0)</f>
        <v>3.5221434146433597E-2</v>
      </c>
      <c r="L69" s="5" cm="1">
        <f t="array" ref="L69">IFERROR(_xlfn.STDEV.S(IF((OutputTable[GroupByKey]=OutputTable[[#This Row],[GroupByKey]]),(OutputTable[GroupByKey]=OutputTable[[#This Row],[GroupByKey]])*OutputTable[RecordedValue])),0)</f>
        <v>3.1541354302313002E-2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69" s="5" cm="1">
        <f t="array" ref="O69">MIN(IF((OutputTable[GroupByKey]=OutputTable[[#This Row],[GroupByKey]]),(OutputTable[GroupByKey]=OutputTable[[#This Row],[GroupByKey]])*OutputTable[RecordedValue]))</f>
        <v>0</v>
      </c>
      <c r="P69" s="5" cm="1">
        <f t="array" ref="P69">MAX(IF((OutputTable[GroupByKey]=OutputTable[[#This Row],[GroupByKey]]),(OutputTable[GroupByKey]=OutputTable[[#This Row],[GroupByKey]])*OutputTable[RecordedValue]))</f>
        <v>9.4430249510039699E-2</v>
      </c>
    </row>
    <row r="70" spans="1:16" x14ac:dyDescent="0.25">
      <c r="A70" t="s">
        <v>68</v>
      </c>
      <c r="B70" t="s">
        <v>70</v>
      </c>
      <c r="C70">
        <v>5</v>
      </c>
      <c r="D70" t="s">
        <v>119</v>
      </c>
      <c r="E70" t="s">
        <v>116</v>
      </c>
      <c r="F70" t="s">
        <v>96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s="5" cm="1">
        <f t="array" ref="K70">IFERROR(AVERAGE(IF((OutputTable[GroupByKey]=OutputTable[[#This Row],[GroupByKey]]),(OutputTable[GroupByKey]=OutputTable[[#This Row],[GroupByKey]])*OutputTable[RecordedValue])),0)</f>
        <v>0.1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0.31622776601683794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1</v>
      </c>
    </row>
    <row r="71" spans="1:16" x14ac:dyDescent="0.25">
      <c r="A71" t="s">
        <v>68</v>
      </c>
      <c r="B71" t="s">
        <v>70</v>
      </c>
      <c r="C71">
        <v>5</v>
      </c>
      <c r="D71" t="s">
        <v>120</v>
      </c>
      <c r="E71" t="s">
        <v>118</v>
      </c>
      <c r="F71" t="s">
        <v>96</v>
      </c>
      <c r="G71">
        <v>0</v>
      </c>
      <c r="H71">
        <v>0</v>
      </c>
      <c r="I71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s="5" cm="1">
        <f t="array" ref="K71">IFERROR(AVERAGE(IF((OutputTable[GroupByKey]=OutputTable[[#This Row],[GroupByKey]]),(OutputTable[GroupByKey]=OutputTable[[#This Row],[GroupByKey]])*OutputTable[RecordedValue])),0)</f>
        <v>4.2820889862360502E-4</v>
      </c>
      <c r="L71" s="5" cm="1">
        <f t="array" ref="L71">IFERROR(_xlfn.STDEV.S(IF((OutputTable[GroupByKey]=OutputTable[[#This Row],[GroupByKey]]),(OutputTable[GroupByKey]=OutputTable[[#This Row],[GroupByKey]])*OutputTable[RecordedValue])),0)</f>
        <v>1.3541154340027323E-3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71" s="5" cm="1">
        <f t="array" ref="O71">MIN(IF((OutputTable[GroupByKey]=OutputTable[[#This Row],[GroupByKey]]),(OutputTable[GroupByKey]=OutputTable[[#This Row],[GroupByKey]])*OutputTable[RecordedValue]))</f>
        <v>0</v>
      </c>
      <c r="P71" s="5" cm="1">
        <f t="array" ref="P71">MAX(IF((OutputTable[GroupByKey]=OutputTable[[#This Row],[GroupByKey]]),(OutputTable[GroupByKey]=OutputTable[[#This Row],[GroupByKey]])*OutputTable[RecordedValue]))</f>
        <v>4.2820889862360502E-3</v>
      </c>
    </row>
    <row r="72" spans="1:16" x14ac:dyDescent="0.25">
      <c r="A72" t="s">
        <v>68</v>
      </c>
      <c r="B72" t="s">
        <v>70</v>
      </c>
      <c r="C72">
        <v>6</v>
      </c>
      <c r="D72" t="s">
        <v>100</v>
      </c>
      <c r="E72" t="s">
        <v>101</v>
      </c>
      <c r="F72" t="s">
        <v>73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Escenario AEntity 1.NumberInNumber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s="5" cm="1">
        <f t="array" ref="K72">IFERROR(AVERAGE(IF((OutputTable[GroupByKey]=OutputTable[[#This Row],[GroupByKey]]),(OutputTable[GroupByKey]=OutputTable[[#This Row],[GroupByKey]])*OutputTable[RecordedValue])),0)</f>
        <v>1.3</v>
      </c>
      <c r="L72" s="5" cm="1">
        <f t="array" ref="L72">IFERROR(_xlfn.STDEV.S(IF((OutputTable[GroupByKey]=OutputTable[[#This Row],[GroupByKey]]),(OutputTable[GroupByKey]=OutputTable[[#This Row],[GroupByKey]])*OutputTable[RecordedValue])),0)</f>
        <v>1.1595018087284057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3</v>
      </c>
    </row>
    <row r="73" spans="1:16" x14ac:dyDescent="0.25">
      <c r="A73" t="s">
        <v>68</v>
      </c>
      <c r="B73" t="s">
        <v>70</v>
      </c>
      <c r="C73">
        <v>6</v>
      </c>
      <c r="D73" t="s">
        <v>102</v>
      </c>
      <c r="E73" t="s">
        <v>103</v>
      </c>
      <c r="F73" t="s">
        <v>73</v>
      </c>
      <c r="G73">
        <v>0</v>
      </c>
      <c r="H73">
        <v>0</v>
      </c>
      <c r="I73" s="5" t="str">
        <f>OutputTable[[#This Row],[ProjectName]]&amp;OutputTable[[#This Row],[Name]]&amp;OutputTable[[#This Row],[Type]]&amp;OutputTable[[#This Row],[Source]]</f>
        <v>Escenario AEntity 1.NumberOutNumber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s="5" cm="1">
        <f t="array" ref="K73">IFERROR(AVERAGE(IF((OutputTable[GroupByKey]=OutputTable[[#This Row],[GroupByKey]]),(OutputTable[GroupByKey]=OutputTable[[#This Row],[GroupByKey]])*OutputTable[RecordedValue])),0)</f>
        <v>1.1000000000000001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0.99442892601175326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73" s="5" cm="1">
        <f t="array" ref="O73">MIN(IF((OutputTable[GroupByKey]=OutputTable[[#This Row],[GroupByKey]]),(OutputTable[GroupByKey]=OutputTable[[#This Row],[GroupByKey]])*OutputTable[RecordedValue]))</f>
        <v>0</v>
      </c>
      <c r="P73" s="5" cm="1">
        <f t="array" ref="P73">MAX(IF((OutputTable[GroupByKey]=OutputTable[[#This Row],[GroupByKey]]),(OutputTable[GroupByKey]=OutputTable[[#This Row],[GroupByKey]])*OutputTable[RecordedValue]))</f>
        <v>3</v>
      </c>
    </row>
    <row r="74" spans="1:16" x14ac:dyDescent="0.25">
      <c r="A74" t="s">
        <v>68</v>
      </c>
      <c r="B74" t="s">
        <v>70</v>
      </c>
      <c r="C74">
        <v>6</v>
      </c>
      <c r="D74" t="s">
        <v>104</v>
      </c>
      <c r="E74" t="s">
        <v>105</v>
      </c>
      <c r="F74" t="s">
        <v>84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Escenario AProcess 1 Accum VA TimeAccum VA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s="5" cm="1">
        <f t="array" ref="K74">IFERROR(AVERAGE(IF((OutputTable[GroupByKey]=OutputTable[[#This Row],[GroupByKey]]),(OutputTable[GroupByKey]=OutputTable[[#This Row],[GroupByKey]])*OutputTable[RecordedValue])),0)</f>
        <v>1.2468815971147005</v>
      </c>
      <c r="L74" s="5" cm="1">
        <f t="array" ref="L74">IFERROR(_xlfn.STDEV.S(IF((OutputTable[GroupByKey]=OutputTable[[#This Row],[GroupByKey]]),(OutputTable[GroupByKey]=OutputTable[[#This Row],[GroupByKey]])*OutputTable[RecordedValue])),0)</f>
        <v>1.2805013226628932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3.7940484225424198</v>
      </c>
    </row>
    <row r="75" spans="1:16" x14ac:dyDescent="0.25">
      <c r="A75" t="s">
        <v>68</v>
      </c>
      <c r="B75" t="s">
        <v>70</v>
      </c>
      <c r="C75">
        <v>6</v>
      </c>
      <c r="D75" t="s">
        <v>106</v>
      </c>
      <c r="E75" t="s">
        <v>101</v>
      </c>
      <c r="F75" t="s">
        <v>84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Escenario AProcess 1 Number InNumber InProcess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s="5" cm="1">
        <f t="array" ref="K75">IFERROR(AVERAGE(IF((OutputTable[GroupByKey]=OutputTable[[#This Row],[GroupByKey]]),(OutputTable[GroupByKey]=OutputTable[[#This Row],[GroupByKey]])*OutputTable[RecordedValue])),0)</f>
        <v>1.3</v>
      </c>
      <c r="L75" s="5" cm="1">
        <f t="array" ref="L75">IFERROR(_xlfn.STDEV.S(IF((OutputTable[GroupByKey]=OutputTable[[#This Row],[GroupByKey]]),(OutputTable[GroupByKey]=OutputTable[[#This Row],[GroupByKey]])*OutputTable[RecordedValue])),0)</f>
        <v>1.1595018087284057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3</v>
      </c>
    </row>
    <row r="76" spans="1:16" x14ac:dyDescent="0.25">
      <c r="A76" t="s">
        <v>68</v>
      </c>
      <c r="B76" t="s">
        <v>70</v>
      </c>
      <c r="C76">
        <v>6</v>
      </c>
      <c r="D76" t="s">
        <v>107</v>
      </c>
      <c r="E76" t="s">
        <v>103</v>
      </c>
      <c r="F76" t="s">
        <v>84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Escenario AProcess 1 Number OutNumber OutProcess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s="5" cm="1">
        <f t="array" ref="K76">IFERROR(AVERAGE(IF((OutputTable[GroupByKey]=OutputTable[[#This Row],[GroupByKey]]),(OutputTable[GroupByKey]=OutputTable[[#This Row],[GroupByKey]])*OutputTable[RecordedValue])),0)</f>
        <v>1.3</v>
      </c>
      <c r="L76" s="5" cm="1">
        <f t="array" ref="L76">IFERROR(_xlfn.STDEV.S(IF((OutputTable[GroupByKey]=OutputTable[[#This Row],[GroupByKey]]),(OutputTable[GroupByKey]=OutputTable[[#This Row],[GroupByKey]])*OutputTable[RecordedValue])),0)</f>
        <v>1.1595018087284057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3</v>
      </c>
    </row>
    <row r="77" spans="1:16" x14ac:dyDescent="0.25">
      <c r="A77" t="s">
        <v>68</v>
      </c>
      <c r="B77" t="s">
        <v>70</v>
      </c>
      <c r="C77">
        <v>6</v>
      </c>
      <c r="D77" t="s">
        <v>108</v>
      </c>
      <c r="E77" t="s">
        <v>105</v>
      </c>
      <c r="F77" t="s">
        <v>84</v>
      </c>
      <c r="G77">
        <v>0</v>
      </c>
      <c r="H77">
        <v>0</v>
      </c>
      <c r="I77" s="5" t="str">
        <f>OutputTable[[#This Row],[ProjectName]]&amp;OutputTable[[#This Row],[Name]]&amp;OutputTable[[#This Row],[Type]]&amp;OutputTable[[#This Row],[Source]]</f>
        <v>Escenario ASeguimiemto Accum VA TimeAccum VA TimeProcess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s="5" cm="1">
        <f t="array" ref="K77">IFERROR(AVERAGE(IF((OutputTable[GroupByKey]=OutputTable[[#This Row],[GroupByKey]]),(OutputTable[GroupByKey]=OutputTable[[#This Row],[GroupByKey]])*OutputTable[RecordedValue])),0)</f>
        <v>4.2820889862360502E-3</v>
      </c>
      <c r="L77" s="5" cm="1">
        <f t="array" ref="L77">IFERROR(_xlfn.STDEV.S(IF((OutputTable[GroupByKey]=OutputTable[[#This Row],[GroupByKey]]),(OutputTable[GroupByKey]=OutputTable[[#This Row],[GroupByKey]])*OutputTable[RecordedValue])),0)</f>
        <v>1.3541154340027324E-2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77" s="5" cm="1">
        <f t="array" ref="O77">MIN(IF((OutputTable[GroupByKey]=OutputTable[[#This Row],[GroupByKey]]),(OutputTable[GroupByKey]=OutputTable[[#This Row],[GroupByKey]])*OutputTable[RecordedValue]))</f>
        <v>0</v>
      </c>
      <c r="P77" s="5" cm="1">
        <f t="array" ref="P77">MAX(IF((OutputTable[GroupByKey]=OutputTable[[#This Row],[GroupByKey]]),(OutputTable[GroupByKey]=OutputTable[[#This Row],[GroupByKey]])*OutputTable[RecordedValue]))</f>
        <v>4.2820889862360503E-2</v>
      </c>
    </row>
    <row r="78" spans="1:16" x14ac:dyDescent="0.25">
      <c r="A78" t="s">
        <v>68</v>
      </c>
      <c r="B78" t="s">
        <v>70</v>
      </c>
      <c r="C78">
        <v>6</v>
      </c>
      <c r="D78" t="s">
        <v>109</v>
      </c>
      <c r="E78" t="s">
        <v>110</v>
      </c>
      <c r="F78" t="s">
        <v>84</v>
      </c>
      <c r="G78">
        <v>0</v>
      </c>
      <c r="H78">
        <v>0</v>
      </c>
      <c r="I78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s="5" cm="1">
        <f t="array" ref="K78">IFERROR(AVERAGE(IF((OutputTable[GroupByKey]=OutputTable[[#This Row],[GroupByKey]]),(OutputTable[GroupByKey]=OutputTable[[#This Row],[GroupByKey]])*OutputTable[RecordedValue])),0)</f>
        <v>0</v>
      </c>
      <c r="L78" s="5" cm="1">
        <f t="array" ref="L78">IFERROR(_xlfn.STDEV.S(IF((OutputTable[GroupByKey]=OutputTable[[#This Row],[GroupByKey]]),(OutputTable[GroupByKey]=OutputTable[[#This Row],[GroupByKey]])*OutputTable[RecordedValue])),0)</f>
        <v>0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" s="5" cm="1">
        <f t="array" ref="O78">MIN(IF((OutputTable[GroupByKey]=OutputTable[[#This Row],[GroupByKey]]),(OutputTable[GroupByKey]=OutputTable[[#This Row],[GroupByKey]])*OutputTable[RecordedValue]))</f>
        <v>0</v>
      </c>
      <c r="P78" s="5" cm="1">
        <f t="array" ref="P78">MAX(IF((OutputTable[GroupByKey]=OutputTable[[#This Row],[GroupByKey]]),(OutputTable[GroupByKey]=OutputTable[[#This Row],[GroupByKey]])*OutputTable[RecordedValue]))</f>
        <v>0</v>
      </c>
    </row>
    <row r="79" spans="1:16" x14ac:dyDescent="0.25">
      <c r="A79" t="s">
        <v>68</v>
      </c>
      <c r="B79" t="s">
        <v>70</v>
      </c>
      <c r="C79">
        <v>6</v>
      </c>
      <c r="D79" t="s">
        <v>111</v>
      </c>
      <c r="E79" t="s">
        <v>101</v>
      </c>
      <c r="F79" t="s">
        <v>84</v>
      </c>
      <c r="G79">
        <v>0</v>
      </c>
      <c r="H79">
        <v>0</v>
      </c>
      <c r="I79" s="5" t="str">
        <f>OutputTable[[#This Row],[ProjectName]]&amp;OutputTable[[#This Row],[Name]]&amp;OutputTable[[#This Row],[Type]]&amp;OutputTable[[#This Row],[Source]]</f>
        <v>Escenario ASeguimiemto Number InNumber InProcess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s="5" cm="1">
        <f t="array" ref="K79">IFERROR(AVERAGE(IF((OutputTable[GroupByKey]=OutputTable[[#This Row],[GroupByKey]]),(OutputTable[GroupByKey]=OutputTable[[#This Row],[GroupByKey]])*OutputTable[RecordedValue])),0)</f>
        <v>0.1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0.31622776601683794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79" s="5" cm="1">
        <f t="array" ref="O79">MIN(IF((OutputTable[GroupByKey]=OutputTable[[#This Row],[GroupByKey]]),(OutputTable[GroupByKey]=OutputTable[[#This Row],[GroupByKey]])*OutputTable[RecordedValue]))</f>
        <v>0</v>
      </c>
      <c r="P79" s="5" cm="1">
        <f t="array" ref="P79">MAX(IF((OutputTable[GroupByKey]=OutputTable[[#This Row],[GroupByKey]]),(OutputTable[GroupByKey]=OutputTable[[#This Row],[GroupByKey]])*OutputTable[RecordedValue]))</f>
        <v>1</v>
      </c>
    </row>
    <row r="80" spans="1:16" x14ac:dyDescent="0.25">
      <c r="A80" t="s">
        <v>68</v>
      </c>
      <c r="B80" t="s">
        <v>70</v>
      </c>
      <c r="C80">
        <v>6</v>
      </c>
      <c r="D80" t="s">
        <v>112</v>
      </c>
      <c r="E80" t="s">
        <v>103</v>
      </c>
      <c r="F80" t="s">
        <v>84</v>
      </c>
      <c r="G80">
        <v>0</v>
      </c>
      <c r="H80">
        <v>0</v>
      </c>
      <c r="I80" s="5" t="str">
        <f>OutputTable[[#This Row],[ProjectName]]&amp;OutputTable[[#This Row],[Name]]&amp;OutputTable[[#This Row],[Type]]&amp;OutputTable[[#This Row],[Source]]</f>
        <v>Escenario ASeguimiemto Number OutNumber OutProcess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s="5" cm="1">
        <f t="array" ref="K80">IFERROR(AVERAGE(IF((OutputTable[GroupByKey]=OutputTable[[#This Row],[GroupByKey]]),(OutputTable[GroupByKey]=OutputTable[[#This Row],[GroupByKey]])*OutputTable[RecordedValue])),0)</f>
        <v>0.1</v>
      </c>
      <c r="L80" s="5" cm="1">
        <f t="array" ref="L80">IFERROR(_xlfn.STDEV.S(IF((OutputTable[GroupByKey]=OutputTable[[#This Row],[GroupByKey]]),(OutputTable[GroupByKey]=OutputTable[[#This Row],[GroupByKey]])*OutputTable[RecordedValue])),0)</f>
        <v>0.31622776601683794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80" s="5" cm="1">
        <f t="array" ref="O80">MIN(IF((OutputTable[GroupByKey]=OutputTable[[#This Row],[GroupByKey]]),(OutputTable[GroupByKey]=OutputTable[[#This Row],[GroupByKey]])*OutputTable[RecordedValue]))</f>
        <v>0</v>
      </c>
      <c r="P80" s="5" cm="1">
        <f t="array" ref="P80">MAX(IF((OutputTable[GroupByKey]=OutputTable[[#This Row],[GroupByKey]]),(OutputTable[GroupByKey]=OutputTable[[#This Row],[GroupByKey]])*OutputTable[RecordedValue]))</f>
        <v>1</v>
      </c>
    </row>
    <row r="81" spans="1:16" x14ac:dyDescent="0.25">
      <c r="A81" t="s">
        <v>68</v>
      </c>
      <c r="B81" t="s">
        <v>70</v>
      </c>
      <c r="C81">
        <v>6</v>
      </c>
      <c r="D81" t="s">
        <v>113</v>
      </c>
      <c r="E81" t="s">
        <v>103</v>
      </c>
      <c r="F81" t="s">
        <v>114</v>
      </c>
      <c r="G81">
        <v>0</v>
      </c>
      <c r="H81">
        <v>0</v>
      </c>
      <c r="I81" s="5" t="str">
        <f>OutputTable[[#This Row],[ProjectName]]&amp;OutputTable[[#This Row],[Name]]&amp;OutputTable[[#This Row],[Type]]&amp;OutputTable[[#This Row],[Source]]</f>
        <v>Escenario ASystem.NumberOutNumber OutSystem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s="5" cm="1">
        <f t="array" ref="K81">IFERROR(AVERAGE(IF((OutputTable[GroupByKey]=OutputTable[[#This Row],[GroupByKey]]),(OutputTable[GroupByKey]=OutputTable[[#This Row],[GroupByKey]])*OutputTable[RecordedValue])),0)</f>
        <v>1.1000000000000001</v>
      </c>
      <c r="L81" s="5" cm="1">
        <f t="array" ref="L81">IFERROR(_xlfn.STDEV.S(IF((OutputTable[GroupByKey]=OutputTable[[#This Row],[GroupByKey]]),(OutputTable[GroupByKey]=OutputTable[[#This Row],[GroupByKey]])*OutputTable[RecordedValue])),0)</f>
        <v>0.99442892601175326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81" s="5" cm="1">
        <f t="array" ref="O81">MIN(IF((OutputTable[GroupByKey]=OutputTable[[#This Row],[GroupByKey]]),(OutputTable[GroupByKey]=OutputTable[[#This Row],[GroupByKey]])*OutputTable[RecordedValue]))</f>
        <v>0</v>
      </c>
      <c r="P81" s="5" cm="1">
        <f t="array" ref="P81">MAX(IF((OutputTable[GroupByKey]=OutputTable[[#This Row],[GroupByKey]]),(OutputTable[GroupByKey]=OutputTable[[#This Row],[GroupByKey]])*OutputTable[RecordedValue]))</f>
        <v>3</v>
      </c>
    </row>
    <row r="82" spans="1:16" x14ac:dyDescent="0.25">
      <c r="A82" t="s">
        <v>68</v>
      </c>
      <c r="B82" t="s">
        <v>70</v>
      </c>
      <c r="C82">
        <v>6</v>
      </c>
      <c r="D82" t="s">
        <v>115</v>
      </c>
      <c r="E82" t="s">
        <v>116</v>
      </c>
      <c r="F82" t="s">
        <v>96</v>
      </c>
      <c r="G82">
        <v>0</v>
      </c>
      <c r="H82">
        <v>0</v>
      </c>
      <c r="I82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s="5" cm="1">
        <f t="array" ref="K82">IFERROR(AVERAGE(IF((OutputTable[GroupByKey]=OutputTable[[#This Row],[GroupByKey]]),(OutputTable[GroupByKey]=OutputTable[[#This Row],[GroupByKey]])*OutputTable[RecordedValue])),0)</f>
        <v>1.2</v>
      </c>
      <c r="L82" s="5" cm="1">
        <f t="array" ref="L82">IFERROR(_xlfn.STDEV.S(IF((OutputTable[GroupByKey]=OutputTable[[#This Row],[GroupByKey]]),(OutputTable[GroupByKey]=OutputTable[[#This Row],[GroupByKey]])*OutputTable[RecordedValue])),0)</f>
        <v>1.0327955589886444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82" s="5" cm="1">
        <f t="array" ref="O82">MIN(IF((OutputTable[GroupByKey]=OutputTable[[#This Row],[GroupByKey]]),(OutputTable[GroupByKey]=OutputTable[[#This Row],[GroupByKey]])*OutputTable[RecordedValue]))</f>
        <v>0</v>
      </c>
      <c r="P82" s="5" cm="1">
        <f t="array" ref="P82">MAX(IF((OutputTable[GroupByKey]=OutputTable[[#This Row],[GroupByKey]]),(OutputTable[GroupByKey]=OutputTable[[#This Row],[GroupByKey]])*OutputTable[RecordedValue]))</f>
        <v>3</v>
      </c>
    </row>
    <row r="83" spans="1:16" x14ac:dyDescent="0.25">
      <c r="A83" t="s">
        <v>68</v>
      </c>
      <c r="B83" t="s">
        <v>70</v>
      </c>
      <c r="C83">
        <v>6</v>
      </c>
      <c r="D83" t="s">
        <v>117</v>
      </c>
      <c r="E83" t="s">
        <v>118</v>
      </c>
      <c r="F83" t="s">
        <v>96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s="5" cm="1">
        <f t="array" ref="K83">IFERROR(AVERAGE(IF((OutputTable[GroupByKey]=OutputTable[[#This Row],[GroupByKey]]),(OutputTable[GroupByKey]=OutputTable[[#This Row],[GroupByKey]])*OutputTable[RecordedValue])),0)</f>
        <v>3.5221434146433597E-2</v>
      </c>
      <c r="L83" s="5" cm="1">
        <f t="array" ref="L83">IFERROR(_xlfn.STDEV.S(IF((OutputTable[GroupByKey]=OutputTable[[#This Row],[GroupByKey]]),(OutputTable[GroupByKey]=OutputTable[[#This Row],[GroupByKey]])*OutputTable[RecordedValue])),0)</f>
        <v>3.1541354302313002E-2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83" s="5" cm="1">
        <f t="array" ref="O83">MIN(IF((OutputTable[GroupByKey]=OutputTable[[#This Row],[GroupByKey]]),(OutputTable[GroupByKey]=OutputTable[[#This Row],[GroupByKey]])*OutputTable[RecordedValue]))</f>
        <v>0</v>
      </c>
      <c r="P83" s="5" cm="1">
        <f t="array" ref="P83">MAX(IF((OutputTable[GroupByKey]=OutputTable[[#This Row],[GroupByKey]]),(OutputTable[GroupByKey]=OutputTable[[#This Row],[GroupByKey]])*OutputTable[RecordedValue]))</f>
        <v>9.4430249510039699E-2</v>
      </c>
    </row>
    <row r="84" spans="1:16" x14ac:dyDescent="0.25">
      <c r="A84" t="s">
        <v>68</v>
      </c>
      <c r="B84" t="s">
        <v>70</v>
      </c>
      <c r="C84">
        <v>6</v>
      </c>
      <c r="D84" t="s">
        <v>119</v>
      </c>
      <c r="E84" t="s">
        <v>116</v>
      </c>
      <c r="F84" t="s">
        <v>96</v>
      </c>
      <c r="G84">
        <v>0</v>
      </c>
      <c r="H84">
        <v>0</v>
      </c>
      <c r="I84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s="5" cm="1">
        <f t="array" ref="K84">IFERROR(AVERAGE(IF((OutputTable[GroupByKey]=OutputTable[[#This Row],[GroupByKey]]),(OutputTable[GroupByKey]=OutputTable[[#This Row],[GroupByKey]])*OutputTable[RecordedValue])),0)</f>
        <v>0.1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0.31622776601683794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84" s="5" cm="1">
        <f t="array" ref="O84">MIN(IF((OutputTable[GroupByKey]=OutputTable[[#This Row],[GroupByKey]]),(OutputTable[GroupByKey]=OutputTable[[#This Row],[GroupByKey]])*OutputTable[RecordedValue]))</f>
        <v>0</v>
      </c>
      <c r="P84" s="5" cm="1">
        <f t="array" ref="P84">MAX(IF((OutputTable[GroupByKey]=OutputTable[[#This Row],[GroupByKey]]),(OutputTable[GroupByKey]=OutputTable[[#This Row],[GroupByKey]])*OutputTable[RecordedValue]))</f>
        <v>1</v>
      </c>
    </row>
    <row r="85" spans="1:16" x14ac:dyDescent="0.25">
      <c r="A85" t="s">
        <v>68</v>
      </c>
      <c r="B85" t="s">
        <v>70</v>
      </c>
      <c r="C85">
        <v>6</v>
      </c>
      <c r="D85" t="s">
        <v>120</v>
      </c>
      <c r="E85" t="s">
        <v>118</v>
      </c>
      <c r="F85" t="s">
        <v>96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s="5" cm="1">
        <f t="array" ref="K85">IFERROR(AVERAGE(IF((OutputTable[GroupByKey]=OutputTable[[#This Row],[GroupByKey]]),(OutputTable[GroupByKey]=OutputTable[[#This Row],[GroupByKey]])*OutputTable[RecordedValue])),0)</f>
        <v>4.2820889862360502E-4</v>
      </c>
      <c r="L85" s="5" cm="1">
        <f t="array" ref="L85">IFERROR(_xlfn.STDEV.S(IF((OutputTable[GroupByKey]=OutputTable[[#This Row],[GroupByKey]]),(OutputTable[GroupByKey]=OutputTable[[#This Row],[GroupByKey]])*OutputTable[RecordedValue])),0)</f>
        <v>1.3541154340027323E-3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85" s="5" cm="1">
        <f t="array" ref="O85">MIN(IF((OutputTable[GroupByKey]=OutputTable[[#This Row],[GroupByKey]]),(OutputTable[GroupByKey]=OutputTable[[#This Row],[GroupByKey]])*OutputTable[RecordedValue]))</f>
        <v>0</v>
      </c>
      <c r="P85" s="5" cm="1">
        <f t="array" ref="P85">MAX(IF((OutputTable[GroupByKey]=OutputTable[[#This Row],[GroupByKey]]),(OutputTable[GroupByKey]=OutputTable[[#This Row],[GroupByKey]])*OutputTable[RecordedValue]))</f>
        <v>4.2820889862360502E-3</v>
      </c>
    </row>
    <row r="86" spans="1:16" x14ac:dyDescent="0.25">
      <c r="A86" t="s">
        <v>68</v>
      </c>
      <c r="B86" t="s">
        <v>70</v>
      </c>
      <c r="C86">
        <v>7</v>
      </c>
      <c r="D86" t="s">
        <v>100</v>
      </c>
      <c r="E86" t="s">
        <v>101</v>
      </c>
      <c r="F86" t="s">
        <v>73</v>
      </c>
      <c r="G86">
        <v>1</v>
      </c>
      <c r="H86">
        <v>0</v>
      </c>
      <c r="I86" s="5" t="str">
        <f>OutputTable[[#This Row],[ProjectName]]&amp;OutputTable[[#This Row],[Name]]&amp;OutputTable[[#This Row],[Type]]&amp;OutputTable[[#This Row],[Source]]</f>
        <v>Escenario AEntity 1.NumberInNumber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s="5" cm="1">
        <f t="array" ref="K86">IFERROR(AVERAGE(IF((OutputTable[GroupByKey]=OutputTable[[#This Row],[GroupByKey]]),(OutputTable[GroupByKey]=OutputTable[[#This Row],[GroupByKey]])*OutputTable[RecordedValue])),0)</f>
        <v>1.3</v>
      </c>
      <c r="L86" s="5" cm="1">
        <f t="array" ref="L86">IFERROR(_xlfn.STDEV.S(IF((OutputTable[GroupByKey]=OutputTable[[#This Row],[GroupByKey]]),(OutputTable[GroupByKey]=OutputTable[[#This Row],[GroupByKey]])*OutputTable[RecordedValue])),0)</f>
        <v>1.1595018087284057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86" s="5" cm="1">
        <f t="array" ref="O86">MIN(IF((OutputTable[GroupByKey]=OutputTable[[#This Row],[GroupByKey]]),(OutputTable[GroupByKey]=OutputTable[[#This Row],[GroupByKey]])*OutputTable[RecordedValue]))</f>
        <v>0</v>
      </c>
      <c r="P86" s="5" cm="1">
        <f t="array" ref="P86">MAX(IF((OutputTable[GroupByKey]=OutputTable[[#This Row],[GroupByKey]]),(OutputTable[GroupByKey]=OutputTable[[#This Row],[GroupByKey]])*OutputTable[RecordedValue]))</f>
        <v>3</v>
      </c>
    </row>
    <row r="87" spans="1:16" x14ac:dyDescent="0.25">
      <c r="A87" t="s">
        <v>68</v>
      </c>
      <c r="B87" t="s">
        <v>70</v>
      </c>
      <c r="C87">
        <v>7</v>
      </c>
      <c r="D87" t="s">
        <v>102</v>
      </c>
      <c r="E87" t="s">
        <v>103</v>
      </c>
      <c r="F87" t="s">
        <v>73</v>
      </c>
      <c r="G87">
        <v>1</v>
      </c>
      <c r="H87">
        <v>0</v>
      </c>
      <c r="I87" s="5" t="str">
        <f>OutputTable[[#This Row],[ProjectName]]&amp;OutputTable[[#This Row],[Name]]&amp;OutputTable[[#This Row],[Type]]&amp;OutputTable[[#This Row],[Source]]</f>
        <v>Escenario AEntity 1.NumberOutNumber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s="5" cm="1">
        <f t="array" ref="K87">IFERROR(AVERAGE(IF((OutputTable[GroupByKey]=OutputTable[[#This Row],[GroupByKey]]),(OutputTable[GroupByKey]=OutputTable[[#This Row],[GroupByKey]])*OutputTable[RecordedValue])),0)</f>
        <v>1.1000000000000001</v>
      </c>
      <c r="L87" s="5" cm="1">
        <f t="array" ref="L87">IFERROR(_xlfn.STDEV.S(IF((OutputTable[GroupByKey]=OutputTable[[#This Row],[GroupByKey]]),(OutputTable[GroupByKey]=OutputTable[[#This Row],[GroupByKey]])*OutputTable[RecordedValue])),0)</f>
        <v>0.99442892601175326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3</v>
      </c>
    </row>
    <row r="88" spans="1:16" x14ac:dyDescent="0.25">
      <c r="A88" t="s">
        <v>68</v>
      </c>
      <c r="B88" t="s">
        <v>70</v>
      </c>
      <c r="C88">
        <v>7</v>
      </c>
      <c r="D88" t="s">
        <v>104</v>
      </c>
      <c r="E88" t="s">
        <v>105</v>
      </c>
      <c r="F88" t="s">
        <v>84</v>
      </c>
      <c r="G88">
        <v>0.62549209152124496</v>
      </c>
      <c r="H88">
        <v>0</v>
      </c>
      <c r="I88" s="5" t="str">
        <f>OutputTable[[#This Row],[ProjectName]]&amp;OutputTable[[#This Row],[Name]]&amp;OutputTable[[#This Row],[Type]]&amp;OutputTable[[#This Row],[Source]]</f>
        <v>Escenario AProcess 1 Accum VA TimeAccum VA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s="5" cm="1">
        <f t="array" ref="K88">IFERROR(AVERAGE(IF((OutputTable[GroupByKey]=OutputTable[[#This Row],[GroupByKey]]),(OutputTable[GroupByKey]=OutputTable[[#This Row],[GroupByKey]])*OutputTable[RecordedValue])),0)</f>
        <v>1.2468815971147005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1.2805013226628932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88" s="5" cm="1">
        <f t="array" ref="O88">MIN(IF((OutputTable[GroupByKey]=OutputTable[[#This Row],[GroupByKey]]),(OutputTable[GroupByKey]=OutputTable[[#This Row],[GroupByKey]])*OutputTable[RecordedValue]))</f>
        <v>0</v>
      </c>
      <c r="P88" s="5" cm="1">
        <f t="array" ref="P88">MAX(IF((OutputTable[GroupByKey]=OutputTable[[#This Row],[GroupByKey]]),(OutputTable[GroupByKey]=OutputTable[[#This Row],[GroupByKey]])*OutputTable[RecordedValue]))</f>
        <v>3.7940484225424198</v>
      </c>
    </row>
    <row r="89" spans="1:16" x14ac:dyDescent="0.25">
      <c r="A89" t="s">
        <v>68</v>
      </c>
      <c r="B89" t="s">
        <v>70</v>
      </c>
      <c r="C89">
        <v>7</v>
      </c>
      <c r="D89" t="s">
        <v>106</v>
      </c>
      <c r="E89" t="s">
        <v>101</v>
      </c>
      <c r="F89" t="s">
        <v>84</v>
      </c>
      <c r="G89">
        <v>1</v>
      </c>
      <c r="H89">
        <v>0</v>
      </c>
      <c r="I89" s="5" t="str">
        <f>OutputTable[[#This Row],[ProjectName]]&amp;OutputTable[[#This Row],[Name]]&amp;OutputTable[[#This Row],[Type]]&amp;OutputTable[[#This Row],[Source]]</f>
        <v>Escenario AProcess 1 Number InNumber InProcess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s="5" cm="1">
        <f t="array" ref="K89">IFERROR(AVERAGE(IF((OutputTable[GroupByKey]=OutputTable[[#This Row],[GroupByKey]]),(OutputTable[GroupByKey]=OutputTable[[#This Row],[GroupByKey]])*OutputTable[RecordedValue])),0)</f>
        <v>1.3</v>
      </c>
      <c r="L89" s="5" cm="1">
        <f t="array" ref="L89">IFERROR(_xlfn.STDEV.S(IF((OutputTable[GroupByKey]=OutputTable[[#This Row],[GroupByKey]]),(OutputTable[GroupByKey]=OutputTable[[#This Row],[GroupByKey]])*OutputTable[RecordedValue])),0)</f>
        <v>1.1595018087284057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3</v>
      </c>
    </row>
    <row r="90" spans="1:16" x14ac:dyDescent="0.25">
      <c r="A90" t="s">
        <v>68</v>
      </c>
      <c r="B90" t="s">
        <v>70</v>
      </c>
      <c r="C90">
        <v>7</v>
      </c>
      <c r="D90" t="s">
        <v>107</v>
      </c>
      <c r="E90" t="s">
        <v>103</v>
      </c>
      <c r="F90" t="s">
        <v>84</v>
      </c>
      <c r="G90">
        <v>1</v>
      </c>
      <c r="H90">
        <v>0</v>
      </c>
      <c r="I90" s="5" t="str">
        <f>OutputTable[[#This Row],[ProjectName]]&amp;OutputTable[[#This Row],[Name]]&amp;OutputTable[[#This Row],[Type]]&amp;OutputTable[[#This Row],[Source]]</f>
        <v>Escenario AProcess 1 Number OutNumber OutProcess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s="5" cm="1">
        <f t="array" ref="K90">IFERROR(AVERAGE(IF((OutputTable[GroupByKey]=OutputTable[[#This Row],[GroupByKey]]),(OutputTable[GroupByKey]=OutputTable[[#This Row],[GroupByKey]])*OutputTable[RecordedValue])),0)</f>
        <v>1.3</v>
      </c>
      <c r="L90" s="5" cm="1">
        <f t="array" ref="L90">IFERROR(_xlfn.STDEV.S(IF((OutputTable[GroupByKey]=OutputTable[[#This Row],[GroupByKey]]),(OutputTable[GroupByKey]=OutputTable[[#This Row],[GroupByKey]])*OutputTable[RecordedValue])),0)</f>
        <v>1.1595018087284057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3</v>
      </c>
    </row>
    <row r="91" spans="1:16" x14ac:dyDescent="0.25">
      <c r="A91" t="s">
        <v>68</v>
      </c>
      <c r="B91" t="s">
        <v>70</v>
      </c>
      <c r="C91">
        <v>7</v>
      </c>
      <c r="D91" t="s">
        <v>108</v>
      </c>
      <c r="E91" t="s">
        <v>105</v>
      </c>
      <c r="F91" t="s">
        <v>84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Escenario ASeguimiemto Accum VA TimeAccum VA TimeProcess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s="5" cm="1">
        <f t="array" ref="K91">IFERROR(AVERAGE(IF((OutputTable[GroupByKey]=OutputTable[[#This Row],[GroupByKey]]),(OutputTable[GroupByKey]=OutputTable[[#This Row],[GroupByKey]])*OutputTable[RecordedValue])),0)</f>
        <v>4.2820889862360502E-3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1.3541154340027324E-2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4.2820889862360503E-2</v>
      </c>
    </row>
    <row r="92" spans="1:16" x14ac:dyDescent="0.25">
      <c r="A92" t="s">
        <v>68</v>
      </c>
      <c r="B92" t="s">
        <v>70</v>
      </c>
      <c r="C92">
        <v>7</v>
      </c>
      <c r="D92" t="s">
        <v>109</v>
      </c>
      <c r="E92" t="s">
        <v>110</v>
      </c>
      <c r="F92" t="s">
        <v>84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s="5" cm="1">
        <f t="array" ref="K92">IFERROR(AVERAGE(IF((OutputTable[GroupByKey]=OutputTable[[#This Row],[GroupByKey]]),(OutputTable[GroupByKey]=OutputTable[[#This Row],[GroupByKey]])*OutputTable[RecordedValue])),0)</f>
        <v>0</v>
      </c>
      <c r="L92" s="5" cm="1">
        <f t="array" ref="L92">IFERROR(_xlfn.STDEV.S(IF((OutputTable[GroupByKey]=OutputTable[[#This Row],[GroupByKey]]),(OutputTable[GroupByKey]=OutputTable[[#This Row],[GroupByKey]])*OutputTable[RecordedValue])),0)</f>
        <v>0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0</v>
      </c>
    </row>
    <row r="93" spans="1:16" x14ac:dyDescent="0.25">
      <c r="A93" t="s">
        <v>68</v>
      </c>
      <c r="B93" t="s">
        <v>70</v>
      </c>
      <c r="C93">
        <v>7</v>
      </c>
      <c r="D93" t="s">
        <v>111</v>
      </c>
      <c r="E93" t="s">
        <v>101</v>
      </c>
      <c r="F93" t="s">
        <v>84</v>
      </c>
      <c r="G93">
        <v>0</v>
      </c>
      <c r="H93">
        <v>0</v>
      </c>
      <c r="I93" s="5" t="str">
        <f>OutputTable[[#This Row],[ProjectName]]&amp;OutputTable[[#This Row],[Name]]&amp;OutputTable[[#This Row],[Type]]&amp;OutputTable[[#This Row],[Source]]</f>
        <v>Escenario ASeguimiemto Number InNumber InProcess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s="5" cm="1">
        <f t="array" ref="K93">IFERROR(AVERAGE(IF((OutputTable[GroupByKey]=OutputTable[[#This Row],[GroupByKey]]),(OutputTable[GroupByKey]=OutputTable[[#This Row],[GroupByKey]])*OutputTable[RecordedValue])),0)</f>
        <v>0.1</v>
      </c>
      <c r="L93" s="5" cm="1">
        <f t="array" ref="L93">IFERROR(_xlfn.STDEV.S(IF((OutputTable[GroupByKey]=OutputTable[[#This Row],[GroupByKey]]),(OutputTable[GroupByKey]=OutputTable[[#This Row],[GroupByKey]])*OutputTable[RecordedValue])),0)</f>
        <v>0.31622776601683794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93" s="5" cm="1">
        <f t="array" ref="O93">MIN(IF((OutputTable[GroupByKey]=OutputTable[[#This Row],[GroupByKey]]),(OutputTable[GroupByKey]=OutputTable[[#This Row],[GroupByKey]])*OutputTable[RecordedValue]))</f>
        <v>0</v>
      </c>
      <c r="P93" s="5" cm="1">
        <f t="array" ref="P93">MAX(IF((OutputTable[GroupByKey]=OutputTable[[#This Row],[GroupByKey]]),(OutputTable[GroupByKey]=OutputTable[[#This Row],[GroupByKey]])*OutputTable[RecordedValue]))</f>
        <v>1</v>
      </c>
    </row>
    <row r="94" spans="1:16" x14ac:dyDescent="0.25">
      <c r="A94" t="s">
        <v>68</v>
      </c>
      <c r="B94" t="s">
        <v>70</v>
      </c>
      <c r="C94">
        <v>7</v>
      </c>
      <c r="D94" t="s">
        <v>112</v>
      </c>
      <c r="E94" t="s">
        <v>103</v>
      </c>
      <c r="F94" t="s">
        <v>84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Escenario ASeguimiemto Number OutNumber OutProcess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s="5" cm="1">
        <f t="array" ref="K94">IFERROR(AVERAGE(IF((OutputTable[GroupByKey]=OutputTable[[#This Row],[GroupByKey]]),(OutputTable[GroupByKey]=OutputTable[[#This Row],[GroupByKey]])*OutputTable[RecordedValue])),0)</f>
        <v>0.1</v>
      </c>
      <c r="L94" s="5" cm="1">
        <f t="array" ref="L94">IFERROR(_xlfn.STDEV.S(IF((OutputTable[GroupByKey]=OutputTable[[#This Row],[GroupByKey]]),(OutputTable[GroupByKey]=OutputTable[[#This Row],[GroupByKey]])*OutputTable[RecordedValue])),0)</f>
        <v>0.31622776601683794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1</v>
      </c>
    </row>
    <row r="95" spans="1:16" x14ac:dyDescent="0.25">
      <c r="A95" t="s">
        <v>68</v>
      </c>
      <c r="B95" t="s">
        <v>70</v>
      </c>
      <c r="C95">
        <v>7</v>
      </c>
      <c r="D95" t="s">
        <v>113</v>
      </c>
      <c r="E95" t="s">
        <v>103</v>
      </c>
      <c r="F95" t="s">
        <v>114</v>
      </c>
      <c r="G95">
        <v>1</v>
      </c>
      <c r="H95">
        <v>0</v>
      </c>
      <c r="I95" s="5" t="str">
        <f>OutputTable[[#This Row],[ProjectName]]&amp;OutputTable[[#This Row],[Name]]&amp;OutputTable[[#This Row],[Type]]&amp;OutputTable[[#This Row],[Source]]</f>
        <v>Escenario ASystem.NumberOutNumber OutSystem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s="5" cm="1">
        <f t="array" ref="K95">IFERROR(AVERAGE(IF((OutputTable[GroupByKey]=OutputTable[[#This Row],[GroupByKey]]),(OutputTable[GroupByKey]=OutputTable[[#This Row],[GroupByKey]])*OutputTable[RecordedValue])),0)</f>
        <v>1.1000000000000001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0.99442892601175326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3</v>
      </c>
    </row>
    <row r="96" spans="1:16" x14ac:dyDescent="0.25">
      <c r="A96" t="s">
        <v>68</v>
      </c>
      <c r="B96" t="s">
        <v>70</v>
      </c>
      <c r="C96">
        <v>7</v>
      </c>
      <c r="D96" t="s">
        <v>115</v>
      </c>
      <c r="E96" t="s">
        <v>116</v>
      </c>
      <c r="F96" t="s">
        <v>96</v>
      </c>
      <c r="G96">
        <v>1</v>
      </c>
      <c r="H96">
        <v>0</v>
      </c>
      <c r="I96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s="5" cm="1">
        <f t="array" ref="K96">IFERROR(AVERAGE(IF((OutputTable[GroupByKey]=OutputTable[[#This Row],[GroupByKey]]),(OutputTable[GroupByKey]=OutputTable[[#This Row],[GroupByKey]])*OutputTable[RecordedValue])),0)</f>
        <v>1.2</v>
      </c>
      <c r="L96" s="5" cm="1">
        <f t="array" ref="L96">IFERROR(_xlfn.STDEV.S(IF((OutputTable[GroupByKey]=OutputTable[[#This Row],[GroupByKey]]),(OutputTable[GroupByKey]=OutputTable[[#This Row],[GroupByKey]])*OutputTable[RecordedValue])),0)</f>
        <v>1.0327955589886444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96" s="5" cm="1">
        <f t="array" ref="O96">MIN(IF((OutputTable[GroupByKey]=OutputTable[[#This Row],[GroupByKey]]),(OutputTable[GroupByKey]=OutputTable[[#This Row],[GroupByKey]])*OutputTable[RecordedValue]))</f>
        <v>0</v>
      </c>
      <c r="P96" s="5" cm="1">
        <f t="array" ref="P96">MAX(IF((OutputTable[GroupByKey]=OutputTable[[#This Row],[GroupByKey]]),(OutputTable[GroupByKey]=OutputTable[[#This Row],[GroupByKey]])*OutputTable[RecordedValue]))</f>
        <v>3</v>
      </c>
    </row>
    <row r="97" spans="1:16" x14ac:dyDescent="0.25">
      <c r="A97" t="s">
        <v>68</v>
      </c>
      <c r="B97" t="s">
        <v>70</v>
      </c>
      <c r="C97">
        <v>7</v>
      </c>
      <c r="D97" t="s">
        <v>117</v>
      </c>
      <c r="E97" t="s">
        <v>118</v>
      </c>
      <c r="F97" t="s">
        <v>96</v>
      </c>
      <c r="G97">
        <v>2.81208416990829E-2</v>
      </c>
      <c r="H97">
        <v>0</v>
      </c>
      <c r="I97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s="5" cm="1">
        <f t="array" ref="K97">IFERROR(AVERAGE(IF((OutputTable[GroupByKey]=OutputTable[[#This Row],[GroupByKey]]),(OutputTable[GroupByKey]=OutputTable[[#This Row],[GroupByKey]])*OutputTable[RecordedValue])),0)</f>
        <v>3.5221434146433597E-2</v>
      </c>
      <c r="L97" s="5" cm="1">
        <f t="array" ref="L97">IFERROR(_xlfn.STDEV.S(IF((OutputTable[GroupByKey]=OutputTable[[#This Row],[GroupByKey]]),(OutputTable[GroupByKey]=OutputTable[[#This Row],[GroupByKey]])*OutputTable[RecordedValue])),0)</f>
        <v>3.1541354302313002E-2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9.4430249510039699E-2</v>
      </c>
    </row>
    <row r="98" spans="1:16" x14ac:dyDescent="0.25">
      <c r="A98" t="s">
        <v>68</v>
      </c>
      <c r="B98" t="s">
        <v>70</v>
      </c>
      <c r="C98">
        <v>7</v>
      </c>
      <c r="D98" t="s">
        <v>119</v>
      </c>
      <c r="E98" t="s">
        <v>116</v>
      </c>
      <c r="F98" t="s">
        <v>96</v>
      </c>
      <c r="G98">
        <v>0</v>
      </c>
      <c r="H98">
        <v>0</v>
      </c>
      <c r="I98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s="5" cm="1">
        <f t="array" ref="K98">IFERROR(AVERAGE(IF((OutputTable[GroupByKey]=OutputTable[[#This Row],[GroupByKey]]),(OutputTable[GroupByKey]=OutputTable[[#This Row],[GroupByKey]])*OutputTable[RecordedValue])),0)</f>
        <v>0.1</v>
      </c>
      <c r="L98" s="5" cm="1">
        <f t="array" ref="L98">IFERROR(_xlfn.STDEV.S(IF((OutputTable[GroupByKey]=OutputTable[[#This Row],[GroupByKey]]),(OutputTable[GroupByKey]=OutputTable[[#This Row],[GroupByKey]])*OutputTable[RecordedValue])),0)</f>
        <v>0.31622776601683794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98" s="5" cm="1">
        <f t="array" ref="O98">MIN(IF((OutputTable[GroupByKey]=OutputTable[[#This Row],[GroupByKey]]),(OutputTable[GroupByKey]=OutputTable[[#This Row],[GroupByKey]])*OutputTable[RecordedValue]))</f>
        <v>0</v>
      </c>
      <c r="P98" s="5" cm="1">
        <f t="array" ref="P98">MAX(IF((OutputTable[GroupByKey]=OutputTable[[#This Row],[GroupByKey]]),(OutputTable[GroupByKey]=OutputTable[[#This Row],[GroupByKey]])*OutputTable[RecordedValue]))</f>
        <v>1</v>
      </c>
    </row>
    <row r="99" spans="1:16" x14ac:dyDescent="0.25">
      <c r="A99" t="s">
        <v>68</v>
      </c>
      <c r="B99" t="s">
        <v>70</v>
      </c>
      <c r="C99">
        <v>7</v>
      </c>
      <c r="D99" t="s">
        <v>120</v>
      </c>
      <c r="E99" t="s">
        <v>118</v>
      </c>
      <c r="F99" t="s">
        <v>96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s="5" cm="1">
        <f t="array" ref="K99">IFERROR(AVERAGE(IF((OutputTable[GroupByKey]=OutputTable[[#This Row],[GroupByKey]]),(OutputTable[GroupByKey]=OutputTable[[#This Row],[GroupByKey]])*OutputTable[RecordedValue])),0)</f>
        <v>4.2820889862360502E-4</v>
      </c>
      <c r="L99" s="5" cm="1">
        <f t="array" ref="L99">IFERROR(_xlfn.STDEV.S(IF((OutputTable[GroupByKey]=OutputTable[[#This Row],[GroupByKey]]),(OutputTable[GroupByKey]=OutputTable[[#This Row],[GroupByKey]])*OutputTable[RecordedValue])),0)</f>
        <v>1.3541154340027323E-3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99" s="5" cm="1">
        <f t="array" ref="O99">MIN(IF((OutputTable[GroupByKey]=OutputTable[[#This Row],[GroupByKey]]),(OutputTable[GroupByKey]=OutputTable[[#This Row],[GroupByKey]])*OutputTable[RecordedValue]))</f>
        <v>0</v>
      </c>
      <c r="P99" s="5" cm="1">
        <f t="array" ref="P99">MAX(IF((OutputTable[GroupByKey]=OutputTable[[#This Row],[GroupByKey]]),(OutputTable[GroupByKey]=OutputTable[[#This Row],[GroupByKey]])*OutputTable[RecordedValue]))</f>
        <v>4.2820889862360502E-3</v>
      </c>
    </row>
    <row r="100" spans="1:16" x14ac:dyDescent="0.25">
      <c r="A100" t="s">
        <v>68</v>
      </c>
      <c r="B100" t="s">
        <v>70</v>
      </c>
      <c r="C100">
        <v>8</v>
      </c>
      <c r="D100" t="s">
        <v>100</v>
      </c>
      <c r="E100" t="s">
        <v>101</v>
      </c>
      <c r="F100" t="s">
        <v>73</v>
      </c>
      <c r="G100">
        <v>1</v>
      </c>
      <c r="H100">
        <v>0</v>
      </c>
      <c r="I100" s="5" t="str">
        <f>OutputTable[[#This Row],[ProjectName]]&amp;OutputTable[[#This Row],[Name]]&amp;OutputTable[[#This Row],[Type]]&amp;OutputTable[[#This Row],[Source]]</f>
        <v>Escenario AEntity 1.NumberInNumber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s="5" cm="1">
        <f t="array" ref="K100">IFERROR(AVERAGE(IF((OutputTable[GroupByKey]=OutputTable[[#This Row],[GroupByKey]]),(OutputTable[GroupByKey]=OutputTable[[#This Row],[GroupByKey]])*OutputTable[RecordedValue])),0)</f>
        <v>1.3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1.1595018087284057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00" s="5" cm="1">
        <f t="array" ref="O100">MIN(IF((OutputTable[GroupByKey]=OutputTable[[#This Row],[GroupByKey]]),(OutputTable[GroupByKey]=OutputTable[[#This Row],[GroupByKey]])*OutputTable[RecordedValue]))</f>
        <v>0</v>
      </c>
      <c r="P100" s="5" cm="1">
        <f t="array" ref="P100">MAX(IF((OutputTable[GroupByKey]=OutputTable[[#This Row],[GroupByKey]]),(OutputTable[GroupByKey]=OutputTable[[#This Row],[GroupByKey]])*OutputTable[RecordedValue]))</f>
        <v>3</v>
      </c>
    </row>
    <row r="101" spans="1:16" x14ac:dyDescent="0.25">
      <c r="A101" t="s">
        <v>68</v>
      </c>
      <c r="B101" t="s">
        <v>70</v>
      </c>
      <c r="C101">
        <v>8</v>
      </c>
      <c r="D101" t="s">
        <v>102</v>
      </c>
      <c r="E101" t="s">
        <v>103</v>
      </c>
      <c r="F101" t="s">
        <v>73</v>
      </c>
      <c r="G101">
        <v>1</v>
      </c>
      <c r="H101">
        <v>0</v>
      </c>
      <c r="I101" s="5" t="str">
        <f>OutputTable[[#This Row],[ProjectName]]&amp;OutputTable[[#This Row],[Name]]&amp;OutputTable[[#This Row],[Type]]&amp;OutputTable[[#This Row],[Source]]</f>
        <v>Escenario AEntity 1.NumberOutNumber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s="5" cm="1">
        <f t="array" ref="K101">IFERROR(AVERAGE(IF((OutputTable[GroupByKey]=OutputTable[[#This Row],[GroupByKey]]),(OutputTable[GroupByKey]=OutputTable[[#This Row],[GroupByKey]])*OutputTable[RecordedValue])),0)</f>
        <v>1.1000000000000001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0.99442892601175326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01" s="5" cm="1">
        <f t="array" ref="O101">MIN(IF((OutputTable[GroupByKey]=OutputTable[[#This Row],[GroupByKey]]),(OutputTable[GroupByKey]=OutputTable[[#This Row],[GroupByKey]])*OutputTable[RecordedValue]))</f>
        <v>0</v>
      </c>
      <c r="P101" s="5" cm="1">
        <f t="array" ref="P101">MAX(IF((OutputTable[GroupByKey]=OutputTable[[#This Row],[GroupByKey]]),(OutputTable[GroupByKey]=OutputTable[[#This Row],[GroupByKey]])*OutputTable[RecordedValue]))</f>
        <v>3</v>
      </c>
    </row>
    <row r="102" spans="1:16" x14ac:dyDescent="0.25">
      <c r="A102" t="s">
        <v>68</v>
      </c>
      <c r="B102" t="s">
        <v>70</v>
      </c>
      <c r="C102">
        <v>8</v>
      </c>
      <c r="D102" t="s">
        <v>104</v>
      </c>
      <c r="E102" t="s">
        <v>105</v>
      </c>
      <c r="F102" t="s">
        <v>84</v>
      </c>
      <c r="G102">
        <v>0.85013941662174697</v>
      </c>
      <c r="H102">
        <v>0</v>
      </c>
      <c r="I102" s="5" t="str">
        <f>OutputTable[[#This Row],[ProjectName]]&amp;OutputTable[[#This Row],[Name]]&amp;OutputTable[[#This Row],[Type]]&amp;OutputTable[[#This Row],[Source]]</f>
        <v>Escenario AProcess 1 Accum VA TimeAccum VA TimeProcess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s="5" cm="1">
        <f t="array" ref="K102">IFERROR(AVERAGE(IF((OutputTable[GroupByKey]=OutputTable[[#This Row],[GroupByKey]]),(OutputTable[GroupByKey]=OutputTable[[#This Row],[GroupByKey]])*OutputTable[RecordedValue])),0)</f>
        <v>1.2468815971147005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1.2805013226628932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102" s="5" cm="1">
        <f t="array" ref="O102">MIN(IF((OutputTable[GroupByKey]=OutputTable[[#This Row],[GroupByKey]]),(OutputTable[GroupByKey]=OutputTable[[#This Row],[GroupByKey]])*OutputTable[RecordedValue]))</f>
        <v>0</v>
      </c>
      <c r="P102" s="5" cm="1">
        <f t="array" ref="P102">MAX(IF((OutputTable[GroupByKey]=OutputTable[[#This Row],[GroupByKey]]),(OutputTable[GroupByKey]=OutputTable[[#This Row],[GroupByKey]])*OutputTable[RecordedValue]))</f>
        <v>3.7940484225424198</v>
      </c>
    </row>
    <row r="103" spans="1:16" x14ac:dyDescent="0.25">
      <c r="A103" t="s">
        <v>68</v>
      </c>
      <c r="B103" t="s">
        <v>70</v>
      </c>
      <c r="C103">
        <v>8</v>
      </c>
      <c r="D103" t="s">
        <v>106</v>
      </c>
      <c r="E103" t="s">
        <v>101</v>
      </c>
      <c r="F103" t="s">
        <v>84</v>
      </c>
      <c r="G103">
        <v>1</v>
      </c>
      <c r="H103">
        <v>0</v>
      </c>
      <c r="I103" s="5" t="str">
        <f>OutputTable[[#This Row],[ProjectName]]&amp;OutputTable[[#This Row],[Name]]&amp;OutputTable[[#This Row],[Type]]&amp;OutputTable[[#This Row],[Source]]</f>
        <v>Escenario AProcess 1 Number InNumber InProcess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s="5" cm="1">
        <f t="array" ref="K103">IFERROR(AVERAGE(IF((OutputTable[GroupByKey]=OutputTable[[#This Row],[GroupByKey]]),(OutputTable[GroupByKey]=OutputTable[[#This Row],[GroupByKey]])*OutputTable[RecordedValue])),0)</f>
        <v>1.3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1.1595018087284057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03" s="5" cm="1">
        <f t="array" ref="O103">MIN(IF((OutputTable[GroupByKey]=OutputTable[[#This Row],[GroupByKey]]),(OutputTable[GroupByKey]=OutputTable[[#This Row],[GroupByKey]])*OutputTable[RecordedValue]))</f>
        <v>0</v>
      </c>
      <c r="P103" s="5" cm="1">
        <f t="array" ref="P103">MAX(IF((OutputTable[GroupByKey]=OutputTable[[#This Row],[GroupByKey]]),(OutputTable[GroupByKey]=OutputTable[[#This Row],[GroupByKey]])*OutputTable[RecordedValue]))</f>
        <v>3</v>
      </c>
    </row>
    <row r="104" spans="1:16" x14ac:dyDescent="0.25">
      <c r="A104" t="s">
        <v>68</v>
      </c>
      <c r="B104" t="s">
        <v>70</v>
      </c>
      <c r="C104">
        <v>8</v>
      </c>
      <c r="D104" t="s">
        <v>107</v>
      </c>
      <c r="E104" t="s">
        <v>103</v>
      </c>
      <c r="F104" t="s">
        <v>84</v>
      </c>
      <c r="G104">
        <v>1</v>
      </c>
      <c r="H104">
        <v>0</v>
      </c>
      <c r="I104" s="5" t="str">
        <f>OutputTable[[#This Row],[ProjectName]]&amp;OutputTable[[#This Row],[Name]]&amp;OutputTable[[#This Row],[Type]]&amp;OutputTable[[#This Row],[Source]]</f>
        <v>Escenario AProcess 1 Number OutNumber OutProcess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s="5" cm="1">
        <f t="array" ref="K104">IFERROR(AVERAGE(IF((OutputTable[GroupByKey]=OutputTable[[#This Row],[GroupByKey]]),(OutputTable[GroupByKey]=OutputTable[[#This Row],[GroupByKey]])*OutputTable[RecordedValue])),0)</f>
        <v>1.3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1.1595018087284057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04" s="5" cm="1">
        <f t="array" ref="O104">MIN(IF((OutputTable[GroupByKey]=OutputTable[[#This Row],[GroupByKey]]),(OutputTable[GroupByKey]=OutputTable[[#This Row],[GroupByKey]])*OutputTable[RecordedValue]))</f>
        <v>0</v>
      </c>
      <c r="P104" s="5" cm="1">
        <f t="array" ref="P104">MAX(IF((OutputTable[GroupByKey]=OutputTable[[#This Row],[GroupByKey]]),(OutputTable[GroupByKey]=OutputTable[[#This Row],[GroupByKey]])*OutputTable[RecordedValue]))</f>
        <v>3</v>
      </c>
    </row>
    <row r="105" spans="1:16" x14ac:dyDescent="0.25">
      <c r="A105" t="s">
        <v>68</v>
      </c>
      <c r="B105" t="s">
        <v>70</v>
      </c>
      <c r="C105">
        <v>8</v>
      </c>
      <c r="D105" t="s">
        <v>108</v>
      </c>
      <c r="E105" t="s">
        <v>105</v>
      </c>
      <c r="F105" t="s">
        <v>84</v>
      </c>
      <c r="G105">
        <v>0</v>
      </c>
      <c r="H105">
        <v>0</v>
      </c>
      <c r="I105" s="5" t="str">
        <f>OutputTable[[#This Row],[ProjectName]]&amp;OutputTable[[#This Row],[Name]]&amp;OutputTable[[#This Row],[Type]]&amp;OutputTable[[#This Row],[Source]]</f>
        <v>Escenario ASeguimiemto Accum VA TimeAccum VA TimeProcess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s="5" cm="1">
        <f t="array" ref="K105">IFERROR(AVERAGE(IF((OutputTable[GroupByKey]=OutputTable[[#This Row],[GroupByKey]]),(OutputTable[GroupByKey]=OutputTable[[#This Row],[GroupByKey]])*OutputTable[RecordedValue])),0)</f>
        <v>4.2820889862360502E-3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1.3541154340027324E-2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105" s="5" cm="1">
        <f t="array" ref="O105">MIN(IF((OutputTable[GroupByKey]=OutputTable[[#This Row],[GroupByKey]]),(OutputTable[GroupByKey]=OutputTable[[#This Row],[GroupByKey]])*OutputTable[RecordedValue]))</f>
        <v>0</v>
      </c>
      <c r="P105" s="5" cm="1">
        <f t="array" ref="P105">MAX(IF((OutputTable[GroupByKey]=OutputTable[[#This Row],[GroupByKey]]),(OutputTable[GroupByKey]=OutputTable[[#This Row],[GroupByKey]])*OutputTable[RecordedValue]))</f>
        <v>4.2820889862360503E-2</v>
      </c>
    </row>
    <row r="106" spans="1:16" x14ac:dyDescent="0.25">
      <c r="A106" t="s">
        <v>68</v>
      </c>
      <c r="B106" t="s">
        <v>70</v>
      </c>
      <c r="C106">
        <v>8</v>
      </c>
      <c r="D106" t="s">
        <v>109</v>
      </c>
      <c r="E106" t="s">
        <v>110</v>
      </c>
      <c r="F106" t="s">
        <v>84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25">
      <c r="A107" t="s">
        <v>68</v>
      </c>
      <c r="B107" t="s">
        <v>70</v>
      </c>
      <c r="C107">
        <v>8</v>
      </c>
      <c r="D107" t="s">
        <v>111</v>
      </c>
      <c r="E107" t="s">
        <v>101</v>
      </c>
      <c r="F107" t="s">
        <v>84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Escenario ASeguimiemto Number InNumber InProcess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s="5" cm="1">
        <f t="array" ref="K107">IFERROR(AVERAGE(IF((OutputTable[GroupByKey]=OutputTable[[#This Row],[GroupByKey]]),(OutputTable[GroupByKey]=OutputTable[[#This Row],[GroupByKey]])*OutputTable[RecordedValue])),0)</f>
        <v>0.1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0.31622776601683794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1</v>
      </c>
    </row>
    <row r="108" spans="1:16" x14ac:dyDescent="0.25">
      <c r="A108" t="s">
        <v>68</v>
      </c>
      <c r="B108" t="s">
        <v>70</v>
      </c>
      <c r="C108">
        <v>8</v>
      </c>
      <c r="D108" t="s">
        <v>112</v>
      </c>
      <c r="E108" t="s">
        <v>103</v>
      </c>
      <c r="F108" t="s">
        <v>84</v>
      </c>
      <c r="G108">
        <v>0</v>
      </c>
      <c r="H108">
        <v>0</v>
      </c>
      <c r="I108" s="5" t="str">
        <f>OutputTable[[#This Row],[ProjectName]]&amp;OutputTable[[#This Row],[Name]]&amp;OutputTable[[#This Row],[Type]]&amp;OutputTable[[#This Row],[Source]]</f>
        <v>Escenario ASeguimiemto Number OutNumber OutProcess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s="5" cm="1">
        <f t="array" ref="K108">IFERROR(AVERAGE(IF((OutputTable[GroupByKey]=OutputTable[[#This Row],[GroupByKey]]),(OutputTable[GroupByKey]=OutputTable[[#This Row],[GroupByKey]])*OutputTable[RecordedValue])),0)</f>
        <v>0.1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0.31622776601683794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08" s="5" cm="1">
        <f t="array" ref="O108">MIN(IF((OutputTable[GroupByKey]=OutputTable[[#This Row],[GroupByKey]]),(OutputTable[GroupByKey]=OutputTable[[#This Row],[GroupByKey]])*OutputTable[RecordedValue]))</f>
        <v>0</v>
      </c>
      <c r="P108" s="5" cm="1">
        <f t="array" ref="P108">MAX(IF((OutputTable[GroupByKey]=OutputTable[[#This Row],[GroupByKey]]),(OutputTable[GroupByKey]=OutputTable[[#This Row],[GroupByKey]])*OutputTable[RecordedValue]))</f>
        <v>1</v>
      </c>
    </row>
    <row r="109" spans="1:16" x14ac:dyDescent="0.25">
      <c r="A109" t="s">
        <v>68</v>
      </c>
      <c r="B109" t="s">
        <v>70</v>
      </c>
      <c r="C109">
        <v>8</v>
      </c>
      <c r="D109" t="s">
        <v>113</v>
      </c>
      <c r="E109" t="s">
        <v>103</v>
      </c>
      <c r="F109" t="s">
        <v>114</v>
      </c>
      <c r="G109">
        <v>1</v>
      </c>
      <c r="H109">
        <v>0</v>
      </c>
      <c r="I109" s="5" t="str">
        <f>OutputTable[[#This Row],[ProjectName]]&amp;OutputTable[[#This Row],[Name]]&amp;OutputTable[[#This Row],[Type]]&amp;OutputTable[[#This Row],[Source]]</f>
        <v>Escenario ASystem.NumberOutNumber OutSystem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s="5" cm="1">
        <f t="array" ref="K109">IFERROR(AVERAGE(IF((OutputTable[GroupByKey]=OutputTable[[#This Row],[GroupByKey]]),(OutputTable[GroupByKey]=OutputTable[[#This Row],[GroupByKey]])*OutputTable[RecordedValue])),0)</f>
        <v>1.1000000000000001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0.99442892601175326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3</v>
      </c>
    </row>
    <row r="110" spans="1:16" x14ac:dyDescent="0.25">
      <c r="A110" t="s">
        <v>68</v>
      </c>
      <c r="B110" t="s">
        <v>70</v>
      </c>
      <c r="C110">
        <v>8</v>
      </c>
      <c r="D110" t="s">
        <v>115</v>
      </c>
      <c r="E110" t="s">
        <v>116</v>
      </c>
      <c r="F110" t="s">
        <v>96</v>
      </c>
      <c r="G110">
        <v>1</v>
      </c>
      <c r="H110">
        <v>0</v>
      </c>
      <c r="I110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s="5" cm="1">
        <f t="array" ref="K110">IFERROR(AVERAGE(IF((OutputTable[GroupByKey]=OutputTable[[#This Row],[GroupByKey]]),(OutputTable[GroupByKey]=OutputTable[[#This Row],[GroupByKey]])*OutputTable[RecordedValue])),0)</f>
        <v>1.2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1.0327955589886444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3</v>
      </c>
    </row>
    <row r="111" spans="1:16" x14ac:dyDescent="0.25">
      <c r="A111" t="s">
        <v>68</v>
      </c>
      <c r="B111" t="s">
        <v>70</v>
      </c>
      <c r="C111">
        <v>8</v>
      </c>
      <c r="D111" t="s">
        <v>117</v>
      </c>
      <c r="E111" t="s">
        <v>118</v>
      </c>
      <c r="F111" t="s">
        <v>96</v>
      </c>
      <c r="G111">
        <v>2.7789899851861598E-2</v>
      </c>
      <c r="H111">
        <v>0</v>
      </c>
      <c r="I111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s="5" cm="1">
        <f t="array" ref="K111">IFERROR(AVERAGE(IF((OutputTable[GroupByKey]=OutputTable[[#This Row],[GroupByKey]]),(OutputTable[GroupByKey]=OutputTable[[#This Row],[GroupByKey]])*OutputTable[RecordedValue])),0)</f>
        <v>3.5221434146433597E-2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3.1541354302313002E-2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111" s="5" cm="1">
        <f t="array" ref="O111">MIN(IF((OutputTable[GroupByKey]=OutputTable[[#This Row],[GroupByKey]]),(OutputTable[GroupByKey]=OutputTable[[#This Row],[GroupByKey]])*OutputTable[RecordedValue]))</f>
        <v>0</v>
      </c>
      <c r="P111" s="5" cm="1">
        <f t="array" ref="P111">MAX(IF((OutputTable[GroupByKey]=OutputTable[[#This Row],[GroupByKey]]),(OutputTable[GroupByKey]=OutputTable[[#This Row],[GroupByKey]])*OutputTable[RecordedValue]))</f>
        <v>9.4430249510039699E-2</v>
      </c>
    </row>
    <row r="112" spans="1:16" x14ac:dyDescent="0.25">
      <c r="A112" t="s">
        <v>68</v>
      </c>
      <c r="B112" t="s">
        <v>70</v>
      </c>
      <c r="C112">
        <v>8</v>
      </c>
      <c r="D112" t="s">
        <v>119</v>
      </c>
      <c r="E112" t="s">
        <v>116</v>
      </c>
      <c r="F112" t="s">
        <v>96</v>
      </c>
      <c r="G112">
        <v>0</v>
      </c>
      <c r="H112">
        <v>0</v>
      </c>
      <c r="I112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0.1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0.31622776601683794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12" s="5" cm="1">
        <f t="array" ref="O112">MIN(IF((OutputTable[GroupByKey]=OutputTable[[#This Row],[GroupByKey]]),(OutputTable[GroupByKey]=OutputTable[[#This Row],[GroupByKey]])*OutputTable[RecordedValue]))</f>
        <v>0</v>
      </c>
      <c r="P112" s="5" cm="1">
        <f t="array" ref="P112">MAX(IF((OutputTable[GroupByKey]=OutputTable[[#This Row],[GroupByKey]]),(OutputTable[GroupByKey]=OutputTable[[#This Row],[GroupByKey]])*OutputTable[RecordedValue]))</f>
        <v>1</v>
      </c>
    </row>
    <row r="113" spans="1:16" x14ac:dyDescent="0.25">
      <c r="A113" t="s">
        <v>68</v>
      </c>
      <c r="B113" t="s">
        <v>70</v>
      </c>
      <c r="C113">
        <v>8</v>
      </c>
      <c r="D113" t="s">
        <v>120</v>
      </c>
      <c r="E113" t="s">
        <v>118</v>
      </c>
      <c r="F113" t="s">
        <v>96</v>
      </c>
      <c r="G113">
        <v>0</v>
      </c>
      <c r="H113">
        <v>0</v>
      </c>
      <c r="I113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4.2820889862360502E-4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1.3541154340027323E-3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113" s="5" cm="1">
        <f t="array" ref="O113">MIN(IF((OutputTable[GroupByKey]=OutputTable[[#This Row],[GroupByKey]]),(OutputTable[GroupByKey]=OutputTable[[#This Row],[GroupByKey]])*OutputTable[RecordedValue]))</f>
        <v>0</v>
      </c>
      <c r="P113" s="5" cm="1">
        <f t="array" ref="P113">MAX(IF((OutputTable[GroupByKey]=OutputTable[[#This Row],[GroupByKey]]),(OutputTable[GroupByKey]=OutputTable[[#This Row],[GroupByKey]])*OutputTable[RecordedValue]))</f>
        <v>4.2820889862360502E-3</v>
      </c>
    </row>
    <row r="114" spans="1:16" x14ac:dyDescent="0.25">
      <c r="A114" t="s">
        <v>68</v>
      </c>
      <c r="B114" t="s">
        <v>70</v>
      </c>
      <c r="C114">
        <v>9</v>
      </c>
      <c r="D114" t="s">
        <v>100</v>
      </c>
      <c r="E114" t="s">
        <v>101</v>
      </c>
      <c r="F114" t="s">
        <v>73</v>
      </c>
      <c r="G114">
        <v>0</v>
      </c>
      <c r="H114">
        <v>0</v>
      </c>
      <c r="I114" s="5" t="str">
        <f>OutputTable[[#This Row],[ProjectName]]&amp;OutputTable[[#This Row],[Name]]&amp;OutputTable[[#This Row],[Type]]&amp;OutputTable[[#This Row],[Source]]</f>
        <v>Escenario AEntity 1.NumberInNumber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1.3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1.1595018087284057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14" s="5" cm="1">
        <f t="array" ref="O114">MIN(IF((OutputTable[GroupByKey]=OutputTable[[#This Row],[GroupByKey]]),(OutputTable[GroupByKey]=OutputTable[[#This Row],[GroupByKey]])*OutputTable[RecordedValue]))</f>
        <v>0</v>
      </c>
      <c r="P114" s="5" cm="1">
        <f t="array" ref="P114">MAX(IF((OutputTable[GroupByKey]=OutputTable[[#This Row],[GroupByKey]]),(OutputTable[GroupByKey]=OutputTable[[#This Row],[GroupByKey]])*OutputTable[RecordedValue]))</f>
        <v>3</v>
      </c>
    </row>
    <row r="115" spans="1:16" x14ac:dyDescent="0.25">
      <c r="A115" t="s">
        <v>68</v>
      </c>
      <c r="B115" t="s">
        <v>70</v>
      </c>
      <c r="C115">
        <v>9</v>
      </c>
      <c r="D115" t="s">
        <v>102</v>
      </c>
      <c r="E115" t="s">
        <v>103</v>
      </c>
      <c r="F115" t="s">
        <v>73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Escenario AEntity 1.NumberOutNumber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1.1000000000000001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0.99442892601175326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15" s="5" cm="1">
        <f t="array" ref="O115">MIN(IF((OutputTable[GroupByKey]=OutputTable[[#This Row],[GroupByKey]]),(OutputTable[GroupByKey]=OutputTable[[#This Row],[GroupByKey]])*OutputTable[RecordedValue]))</f>
        <v>0</v>
      </c>
      <c r="P115" s="5" cm="1">
        <f t="array" ref="P115">MAX(IF((OutputTable[GroupByKey]=OutputTable[[#This Row],[GroupByKey]]),(OutputTable[GroupByKey]=OutputTable[[#This Row],[GroupByKey]])*OutputTable[RecordedValue]))</f>
        <v>3</v>
      </c>
    </row>
    <row r="116" spans="1:16" x14ac:dyDescent="0.25">
      <c r="A116" t="s">
        <v>68</v>
      </c>
      <c r="B116" t="s">
        <v>70</v>
      </c>
      <c r="C116">
        <v>9</v>
      </c>
      <c r="D116" t="s">
        <v>104</v>
      </c>
      <c r="E116" t="s">
        <v>105</v>
      </c>
      <c r="F116" t="s">
        <v>84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Escenario AProcess 1 Accum VA TimeAccum VA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1.2468815971147005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1.2805013226628932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3.7940484225424198</v>
      </c>
    </row>
    <row r="117" spans="1:16" x14ac:dyDescent="0.25">
      <c r="A117" t="s">
        <v>68</v>
      </c>
      <c r="B117" t="s">
        <v>70</v>
      </c>
      <c r="C117">
        <v>9</v>
      </c>
      <c r="D117" t="s">
        <v>106</v>
      </c>
      <c r="E117" t="s">
        <v>101</v>
      </c>
      <c r="F117" t="s">
        <v>84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Escenario AProcess 1 Number InNumber InProcess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1.3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1.1595018087284057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3</v>
      </c>
    </row>
    <row r="118" spans="1:16" x14ac:dyDescent="0.25">
      <c r="A118" t="s">
        <v>68</v>
      </c>
      <c r="B118" t="s">
        <v>70</v>
      </c>
      <c r="C118">
        <v>9</v>
      </c>
      <c r="D118" t="s">
        <v>107</v>
      </c>
      <c r="E118" t="s">
        <v>103</v>
      </c>
      <c r="F118" t="s">
        <v>84</v>
      </c>
      <c r="G118">
        <v>0</v>
      </c>
      <c r="H118">
        <v>0</v>
      </c>
      <c r="I118" s="5" t="str">
        <f>OutputTable[[#This Row],[ProjectName]]&amp;OutputTable[[#This Row],[Name]]&amp;OutputTable[[#This Row],[Type]]&amp;OutputTable[[#This Row],[Source]]</f>
        <v>Escenario AProcess 1 Number OutNumber OutProcess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1.3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1.1595018087284057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18" s="5" cm="1">
        <f t="array" ref="O118">MIN(IF((OutputTable[GroupByKey]=OutputTable[[#This Row],[GroupByKey]]),(OutputTable[GroupByKey]=OutputTable[[#This Row],[GroupByKey]])*OutputTable[RecordedValue]))</f>
        <v>0</v>
      </c>
      <c r="P118" s="5" cm="1">
        <f t="array" ref="P118">MAX(IF((OutputTable[GroupByKey]=OutputTable[[#This Row],[GroupByKey]]),(OutputTable[GroupByKey]=OutputTable[[#This Row],[GroupByKey]])*OutputTable[RecordedValue]))</f>
        <v>3</v>
      </c>
    </row>
    <row r="119" spans="1:16" x14ac:dyDescent="0.25">
      <c r="A119" t="s">
        <v>68</v>
      </c>
      <c r="B119" t="s">
        <v>70</v>
      </c>
      <c r="C119">
        <v>9</v>
      </c>
      <c r="D119" t="s">
        <v>108</v>
      </c>
      <c r="E119" t="s">
        <v>105</v>
      </c>
      <c r="F119" t="s">
        <v>84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Escenario ASeguimiemto Accum VA TimeAccum VA TimeProcess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4.2820889862360502E-3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1.3541154340027324E-2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4.2820889862360503E-2</v>
      </c>
    </row>
    <row r="120" spans="1:16" x14ac:dyDescent="0.25">
      <c r="A120" t="s">
        <v>68</v>
      </c>
      <c r="B120" t="s">
        <v>70</v>
      </c>
      <c r="C120">
        <v>9</v>
      </c>
      <c r="D120" t="s">
        <v>109</v>
      </c>
      <c r="E120" t="s">
        <v>110</v>
      </c>
      <c r="F120" t="s">
        <v>84</v>
      </c>
      <c r="G120">
        <v>0</v>
      </c>
      <c r="H120">
        <v>0</v>
      </c>
      <c r="I120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0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" s="5" cm="1">
        <f t="array" ref="O120">MIN(IF((OutputTable[GroupByKey]=OutputTable[[#This Row],[GroupByKey]]),(OutputTable[GroupByKey]=OutputTable[[#This Row],[GroupByKey]])*OutputTable[RecordedValue]))</f>
        <v>0</v>
      </c>
      <c r="P120" s="5" cm="1">
        <f t="array" ref="P120">MAX(IF((OutputTable[GroupByKey]=OutputTable[[#This Row],[GroupByKey]]),(OutputTable[GroupByKey]=OutputTable[[#This Row],[GroupByKey]])*OutputTable[RecordedValue]))</f>
        <v>0</v>
      </c>
    </row>
    <row r="121" spans="1:16" x14ac:dyDescent="0.25">
      <c r="A121" t="s">
        <v>68</v>
      </c>
      <c r="B121" t="s">
        <v>70</v>
      </c>
      <c r="C121">
        <v>9</v>
      </c>
      <c r="D121" t="s">
        <v>111</v>
      </c>
      <c r="E121" t="s">
        <v>101</v>
      </c>
      <c r="F121" t="s">
        <v>84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Escenario ASeguimiemto Number InNumber InProcess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0.1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0.31622776601683794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21" s="5" cm="1">
        <f t="array" ref="O121">MIN(IF((OutputTable[GroupByKey]=OutputTable[[#This Row],[GroupByKey]]),(OutputTable[GroupByKey]=OutputTable[[#This Row],[GroupByKey]])*OutputTable[RecordedValue]))</f>
        <v>0</v>
      </c>
      <c r="P121" s="5" cm="1">
        <f t="array" ref="P121">MAX(IF((OutputTable[GroupByKey]=OutputTable[[#This Row],[GroupByKey]]),(OutputTable[GroupByKey]=OutputTable[[#This Row],[GroupByKey]])*OutputTable[RecordedValue]))</f>
        <v>1</v>
      </c>
    </row>
    <row r="122" spans="1:16" x14ac:dyDescent="0.25">
      <c r="A122" t="s">
        <v>68</v>
      </c>
      <c r="B122" t="s">
        <v>70</v>
      </c>
      <c r="C122">
        <v>9</v>
      </c>
      <c r="D122" t="s">
        <v>112</v>
      </c>
      <c r="E122" t="s">
        <v>103</v>
      </c>
      <c r="F122" t="s">
        <v>84</v>
      </c>
      <c r="G122">
        <v>0</v>
      </c>
      <c r="H122">
        <v>0</v>
      </c>
      <c r="I122" s="5" t="str">
        <f>OutputTable[[#This Row],[ProjectName]]&amp;OutputTable[[#This Row],[Name]]&amp;OutputTable[[#This Row],[Type]]&amp;OutputTable[[#This Row],[Source]]</f>
        <v>Escenario ASeguimiemto Number OutNumber OutProcess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0.1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0.31622776601683794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22" s="5" cm="1">
        <f t="array" ref="O122">MIN(IF((OutputTable[GroupByKey]=OutputTable[[#This Row],[GroupByKey]]),(OutputTable[GroupByKey]=OutputTable[[#This Row],[GroupByKey]])*OutputTable[RecordedValue]))</f>
        <v>0</v>
      </c>
      <c r="P122" s="5" cm="1">
        <f t="array" ref="P122">MAX(IF((OutputTable[GroupByKey]=OutputTable[[#This Row],[GroupByKey]]),(OutputTable[GroupByKey]=OutputTable[[#This Row],[GroupByKey]])*OutputTable[RecordedValue]))</f>
        <v>1</v>
      </c>
    </row>
    <row r="123" spans="1:16" x14ac:dyDescent="0.25">
      <c r="A123" t="s">
        <v>68</v>
      </c>
      <c r="B123" t="s">
        <v>70</v>
      </c>
      <c r="C123">
        <v>9</v>
      </c>
      <c r="D123" t="s">
        <v>113</v>
      </c>
      <c r="E123" t="s">
        <v>103</v>
      </c>
      <c r="F123" t="s">
        <v>114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Escenario ASystem.NumberOutNumber OutSystem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1.1000000000000001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0.99442892601175326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3</v>
      </c>
    </row>
    <row r="124" spans="1:16" x14ac:dyDescent="0.25">
      <c r="A124" t="s">
        <v>68</v>
      </c>
      <c r="B124" t="s">
        <v>70</v>
      </c>
      <c r="C124">
        <v>9</v>
      </c>
      <c r="D124" t="s">
        <v>115</v>
      </c>
      <c r="E124" t="s">
        <v>116</v>
      </c>
      <c r="F124" t="s">
        <v>96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1.2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1.0327955589886444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3</v>
      </c>
    </row>
    <row r="125" spans="1:16" x14ac:dyDescent="0.25">
      <c r="A125" t="s">
        <v>68</v>
      </c>
      <c r="B125" t="s">
        <v>70</v>
      </c>
      <c r="C125">
        <v>9</v>
      </c>
      <c r="D125" t="s">
        <v>117</v>
      </c>
      <c r="E125" t="s">
        <v>118</v>
      </c>
      <c r="F125" t="s">
        <v>96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3.5221434146433597E-2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3.1541354302313002E-2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9.4430249510039699E-2</v>
      </c>
    </row>
    <row r="126" spans="1:16" x14ac:dyDescent="0.25">
      <c r="A126" t="s">
        <v>68</v>
      </c>
      <c r="B126" t="s">
        <v>70</v>
      </c>
      <c r="C126">
        <v>9</v>
      </c>
      <c r="D126" t="s">
        <v>119</v>
      </c>
      <c r="E126" t="s">
        <v>116</v>
      </c>
      <c r="F126" t="s">
        <v>96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0.31622776601683794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1</v>
      </c>
    </row>
    <row r="127" spans="1:16" x14ac:dyDescent="0.25">
      <c r="A127" t="s">
        <v>68</v>
      </c>
      <c r="B127" t="s">
        <v>70</v>
      </c>
      <c r="C127">
        <v>9</v>
      </c>
      <c r="D127" t="s">
        <v>120</v>
      </c>
      <c r="E127" t="s">
        <v>118</v>
      </c>
      <c r="F127" t="s">
        <v>96</v>
      </c>
      <c r="G127">
        <v>0</v>
      </c>
      <c r="H127">
        <v>0</v>
      </c>
      <c r="I127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4.2820889862360502E-4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1.3541154340027323E-3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127" s="5" cm="1">
        <f t="array" ref="O127">MIN(IF((OutputTable[GroupByKey]=OutputTable[[#This Row],[GroupByKey]]),(OutputTable[GroupByKey]=OutputTable[[#This Row],[GroupByKey]])*OutputTable[RecordedValue]))</f>
        <v>0</v>
      </c>
      <c r="P127" s="5" cm="1">
        <f t="array" ref="P127">MAX(IF((OutputTable[GroupByKey]=OutputTable[[#This Row],[GroupByKey]]),(OutputTable[GroupByKey]=OutputTable[[#This Row],[GroupByKey]])*OutputTable[RecordedValue]))</f>
        <v>4.2820889862360502E-3</v>
      </c>
    </row>
    <row r="128" spans="1:16" x14ac:dyDescent="0.25">
      <c r="A128" t="s">
        <v>68</v>
      </c>
      <c r="B128" t="s">
        <v>70</v>
      </c>
      <c r="C128">
        <v>10</v>
      </c>
      <c r="D128" t="s">
        <v>100</v>
      </c>
      <c r="E128" t="s">
        <v>101</v>
      </c>
      <c r="F128" t="s">
        <v>73</v>
      </c>
      <c r="G128">
        <v>2</v>
      </c>
      <c r="H128">
        <v>0</v>
      </c>
      <c r="I128" s="5" t="str">
        <f>OutputTable[[#This Row],[ProjectName]]&amp;OutputTable[[#This Row],[Name]]&amp;OutputTable[[#This Row],[Type]]&amp;OutputTable[[#This Row],[Source]]</f>
        <v>Escenario AEntity 1.NumberInNumber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1.3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1.1595018087284057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28" s="5" cm="1">
        <f t="array" ref="O128">MIN(IF((OutputTable[GroupByKey]=OutputTable[[#This Row],[GroupByKey]]),(OutputTable[GroupByKey]=OutputTable[[#This Row],[GroupByKey]])*OutputTable[RecordedValue]))</f>
        <v>0</v>
      </c>
      <c r="P128" s="5" cm="1">
        <f t="array" ref="P128">MAX(IF((OutputTable[GroupByKey]=OutputTable[[#This Row],[GroupByKey]]),(OutputTable[GroupByKey]=OutputTable[[#This Row],[GroupByKey]])*OutputTable[RecordedValue]))</f>
        <v>3</v>
      </c>
    </row>
    <row r="129" spans="1:16" x14ac:dyDescent="0.25">
      <c r="A129" t="s">
        <v>68</v>
      </c>
      <c r="B129" t="s">
        <v>70</v>
      </c>
      <c r="C129">
        <v>10</v>
      </c>
      <c r="D129" t="s">
        <v>102</v>
      </c>
      <c r="E129" t="s">
        <v>103</v>
      </c>
      <c r="F129" t="s">
        <v>73</v>
      </c>
      <c r="G129">
        <v>2</v>
      </c>
      <c r="H129">
        <v>0</v>
      </c>
      <c r="I129" s="5" t="str">
        <f>OutputTable[[#This Row],[ProjectName]]&amp;OutputTable[[#This Row],[Name]]&amp;OutputTable[[#This Row],[Type]]&amp;OutputTable[[#This Row],[Source]]</f>
        <v>Escenario AEntity 1.NumberOutNumber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1.1000000000000001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0.99442892601175326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29" s="5" cm="1">
        <f t="array" ref="O129">MIN(IF((OutputTable[GroupByKey]=OutputTable[[#This Row],[GroupByKey]]),(OutputTable[GroupByKey]=OutputTable[[#This Row],[GroupByKey]])*OutputTable[RecordedValue]))</f>
        <v>0</v>
      </c>
      <c r="P129" s="5" cm="1">
        <f t="array" ref="P129">MAX(IF((OutputTable[GroupByKey]=OutputTable[[#This Row],[GroupByKey]]),(OutputTable[GroupByKey]=OutputTable[[#This Row],[GroupByKey]])*OutputTable[RecordedValue]))</f>
        <v>3</v>
      </c>
    </row>
    <row r="130" spans="1:16" x14ac:dyDescent="0.25">
      <c r="A130" t="s">
        <v>68</v>
      </c>
      <c r="B130" t="s">
        <v>70</v>
      </c>
      <c r="C130">
        <v>10</v>
      </c>
      <c r="D130" t="s">
        <v>104</v>
      </c>
      <c r="E130" t="s">
        <v>105</v>
      </c>
      <c r="F130" t="s">
        <v>84</v>
      </c>
      <c r="G130">
        <v>1.91680176308672</v>
      </c>
      <c r="H130">
        <v>0</v>
      </c>
      <c r="I130" s="5" t="str">
        <f>OutputTable[[#This Row],[ProjectName]]&amp;OutputTable[[#This Row],[Name]]&amp;OutputTable[[#This Row],[Type]]&amp;OutputTable[[#This Row],[Source]]</f>
        <v>Escenario AProcess 1 Accum VA TimeAccum VA TimeProcess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1.2468815971147005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1.2805013226628932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0.91601546427147096</v>
      </c>
      <c r="O130" s="5" cm="1">
        <f t="array" ref="O130">MIN(IF((OutputTable[GroupByKey]=OutputTable[[#This Row],[GroupByKey]]),(OutputTable[GroupByKey]=OutputTable[[#This Row],[GroupByKey]])*OutputTable[RecordedValue]))</f>
        <v>0</v>
      </c>
      <c r="P130" s="5" cm="1">
        <f t="array" ref="P130">MAX(IF((OutputTable[GroupByKey]=OutputTable[[#This Row],[GroupByKey]]),(OutputTable[GroupByKey]=OutputTable[[#This Row],[GroupByKey]])*OutputTable[RecordedValue]))</f>
        <v>3.7940484225424198</v>
      </c>
    </row>
    <row r="131" spans="1:16" x14ac:dyDescent="0.25">
      <c r="A131" t="s">
        <v>68</v>
      </c>
      <c r="B131" t="s">
        <v>70</v>
      </c>
      <c r="C131">
        <v>10</v>
      </c>
      <c r="D131" t="s">
        <v>106</v>
      </c>
      <c r="E131" t="s">
        <v>101</v>
      </c>
      <c r="F131" t="s">
        <v>84</v>
      </c>
      <c r="G131">
        <v>2</v>
      </c>
      <c r="H131">
        <v>0</v>
      </c>
      <c r="I131" s="5" t="str">
        <f>OutputTable[[#This Row],[ProjectName]]&amp;OutputTable[[#This Row],[Name]]&amp;OutputTable[[#This Row],[Type]]&amp;OutputTable[[#This Row],[Source]]</f>
        <v>Escenario AProcess 1 Number InNumber InProcess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1.3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1.1595018087284057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3</v>
      </c>
    </row>
    <row r="132" spans="1:16" x14ac:dyDescent="0.25">
      <c r="A132" t="s">
        <v>68</v>
      </c>
      <c r="B132" t="s">
        <v>70</v>
      </c>
      <c r="C132">
        <v>10</v>
      </c>
      <c r="D132" t="s">
        <v>107</v>
      </c>
      <c r="E132" t="s">
        <v>103</v>
      </c>
      <c r="F132" t="s">
        <v>84</v>
      </c>
      <c r="G132">
        <v>2</v>
      </c>
      <c r="H132">
        <v>0</v>
      </c>
      <c r="I132" s="5" t="str">
        <f>OutputTable[[#This Row],[ProjectName]]&amp;OutputTable[[#This Row],[Name]]&amp;OutputTable[[#This Row],[Type]]&amp;OutputTable[[#This Row],[Source]]</f>
        <v>Escenario AProcess 1 Number OutNumber OutProcess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1.3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1.1595018087284057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0.82945762635934173</v>
      </c>
      <c r="O132" s="5" cm="1">
        <f t="array" ref="O132">MIN(IF((OutputTable[GroupByKey]=OutputTable[[#This Row],[GroupByKey]]),(OutputTable[GroupByKey]=OutputTable[[#This Row],[GroupByKey]])*OutputTable[RecordedValue]))</f>
        <v>0</v>
      </c>
      <c r="P132" s="5" cm="1">
        <f t="array" ref="P132">MAX(IF((OutputTable[GroupByKey]=OutputTable[[#This Row],[GroupByKey]]),(OutputTable[GroupByKey]=OutputTable[[#This Row],[GroupByKey]])*OutputTable[RecordedValue]))</f>
        <v>3</v>
      </c>
    </row>
    <row r="133" spans="1:16" x14ac:dyDescent="0.25">
      <c r="A133" t="s">
        <v>68</v>
      </c>
      <c r="B133" t="s">
        <v>70</v>
      </c>
      <c r="C133">
        <v>10</v>
      </c>
      <c r="D133" t="s">
        <v>108</v>
      </c>
      <c r="E133" t="s">
        <v>105</v>
      </c>
      <c r="F133" t="s">
        <v>84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Escenario ASeguimiemto Accum VA TimeAccum VA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4.2820889862360502E-3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1.3541154340027324E-2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9.6867582719531841E-3</v>
      </c>
      <c r="O133" s="5" cm="1">
        <f t="array" ref="O133">MIN(IF((OutputTable[GroupByKey]=OutputTable[[#This Row],[GroupByKey]]),(OutputTable[GroupByKey]=OutputTable[[#This Row],[GroupByKey]])*OutputTable[RecordedValue]))</f>
        <v>0</v>
      </c>
      <c r="P133" s="5" cm="1">
        <f t="array" ref="P133">MAX(IF((OutputTable[GroupByKey]=OutputTable[[#This Row],[GroupByKey]]),(OutputTable[GroupByKey]=OutputTable[[#This Row],[GroupByKey]])*OutputTable[RecordedValue]))</f>
        <v>4.2820889862360503E-2</v>
      </c>
    </row>
    <row r="134" spans="1:16" x14ac:dyDescent="0.25">
      <c r="A134" t="s">
        <v>68</v>
      </c>
      <c r="B134" t="s">
        <v>70</v>
      </c>
      <c r="C134">
        <v>10</v>
      </c>
      <c r="D134" t="s">
        <v>109</v>
      </c>
      <c r="E134" t="s">
        <v>110</v>
      </c>
      <c r="F134" t="s">
        <v>84</v>
      </c>
      <c r="G134">
        <v>0</v>
      </c>
      <c r="H134">
        <v>0</v>
      </c>
      <c r="I134" s="5" t="str">
        <f>OutputTable[[#This Row],[ProjectName]]&amp;OutputTable[[#This Row],[Name]]&amp;OutputTable[[#This Row],[Type]]&amp;OutputTable[[#This Row],[Source]]</f>
        <v>Escenario ASeguimiemto Accum Wait TimeAccum Wait TimeProcess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0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0</v>
      </c>
      <c r="P134" s="5" cm="1">
        <f t="array" ref="P134">MAX(IF((OutputTable[GroupByKey]=OutputTable[[#This Row],[GroupByKey]]),(OutputTable[GroupByKey]=OutputTable[[#This Row],[GroupByKey]])*OutputTable[RecordedValue]))</f>
        <v>0</v>
      </c>
    </row>
    <row r="135" spans="1:16" x14ac:dyDescent="0.25">
      <c r="A135" t="s">
        <v>68</v>
      </c>
      <c r="B135" t="s">
        <v>70</v>
      </c>
      <c r="C135">
        <v>10</v>
      </c>
      <c r="D135" t="s">
        <v>111</v>
      </c>
      <c r="E135" t="s">
        <v>101</v>
      </c>
      <c r="F135" t="s">
        <v>84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Escenario ASeguimiemto Number InNumber InProcess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0.1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0.31622776601683794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1</v>
      </c>
    </row>
    <row r="136" spans="1:16" x14ac:dyDescent="0.25">
      <c r="A136" t="s">
        <v>68</v>
      </c>
      <c r="B136" t="s">
        <v>70</v>
      </c>
      <c r="C136">
        <v>10</v>
      </c>
      <c r="D136" t="s">
        <v>112</v>
      </c>
      <c r="E136" t="s">
        <v>103</v>
      </c>
      <c r="F136" t="s">
        <v>84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Escenario ASeguimiemto Number OutNumber OutProcess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0.1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0.31622776601683794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36" s="5" cm="1">
        <f t="array" ref="O136">MIN(IF((OutputTable[GroupByKey]=OutputTable[[#This Row],[GroupByKey]]),(OutputTable[GroupByKey]=OutputTable[[#This Row],[GroupByKey]])*OutputTable[RecordedValue]))</f>
        <v>0</v>
      </c>
      <c r="P136" s="5" cm="1">
        <f t="array" ref="P136">MAX(IF((OutputTable[GroupByKey]=OutputTable[[#This Row],[GroupByKey]]),(OutputTable[GroupByKey]=OutputTable[[#This Row],[GroupByKey]])*OutputTable[RecordedValue]))</f>
        <v>1</v>
      </c>
    </row>
    <row r="137" spans="1:16" x14ac:dyDescent="0.25">
      <c r="A137" t="s">
        <v>68</v>
      </c>
      <c r="B137" t="s">
        <v>70</v>
      </c>
      <c r="C137">
        <v>10</v>
      </c>
      <c r="D137" t="s">
        <v>113</v>
      </c>
      <c r="E137" t="s">
        <v>103</v>
      </c>
      <c r="F137" t="s">
        <v>114</v>
      </c>
      <c r="G137">
        <v>2</v>
      </c>
      <c r="H137">
        <v>0</v>
      </c>
      <c r="I137" s="5" t="str">
        <f>OutputTable[[#This Row],[ProjectName]]&amp;OutputTable[[#This Row],[Name]]&amp;OutputTable[[#This Row],[Type]]&amp;OutputTable[[#This Row],[Source]]</f>
        <v>Escenario ASystem.NumberOutNumber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1.1000000000000001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0.99442892601175326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0.71137159971949881</v>
      </c>
      <c r="O137" s="5" cm="1">
        <f t="array" ref="O137">MIN(IF((OutputTable[GroupByKey]=OutputTable[[#This Row],[GroupByKey]]),(OutputTable[GroupByKey]=OutputTable[[#This Row],[GroupByKey]])*OutputTable[RecordedValue]))</f>
        <v>0</v>
      </c>
      <c r="P137" s="5" cm="1">
        <f t="array" ref="P137">MAX(IF((OutputTable[GroupByKey]=OutputTable[[#This Row],[GroupByKey]]),(OutputTable[GroupByKey]=OutputTable[[#This Row],[GroupByKey]])*OutputTable[RecordedValue]))</f>
        <v>3</v>
      </c>
    </row>
    <row r="138" spans="1:16" x14ac:dyDescent="0.25">
      <c r="A138" t="s">
        <v>68</v>
      </c>
      <c r="B138" t="s">
        <v>70</v>
      </c>
      <c r="C138">
        <v>10</v>
      </c>
      <c r="D138" t="s">
        <v>115</v>
      </c>
      <c r="E138" t="s">
        <v>116</v>
      </c>
      <c r="F138" t="s">
        <v>96</v>
      </c>
      <c r="G138">
        <v>2</v>
      </c>
      <c r="H138">
        <v>0</v>
      </c>
      <c r="I138" s="5" t="str">
        <f>OutputTable[[#This Row],[ProjectName]]&amp;OutputTable[[#This Row],[Name]]&amp;OutputTable[[#This Row],[Type]]&amp;OutputTable[[#This Row],[Source]]</f>
        <v>Escenario ArEnfermera.NumberSeizedTotal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1.2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1.0327955589886444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0.73881743557835977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3</v>
      </c>
    </row>
    <row r="139" spans="1:16" x14ac:dyDescent="0.25">
      <c r="A139" t="s">
        <v>68</v>
      </c>
      <c r="B139" t="s">
        <v>70</v>
      </c>
      <c r="C139">
        <v>10</v>
      </c>
      <c r="D139" t="s">
        <v>117</v>
      </c>
      <c r="E139" t="s">
        <v>118</v>
      </c>
      <c r="F139" t="s">
        <v>96</v>
      </c>
      <c r="G139">
        <v>6.3264843319564695E-2</v>
      </c>
      <c r="H139">
        <v>0</v>
      </c>
      <c r="I139" s="5" t="str">
        <f>OutputTable[[#This Row],[ProjectName]]&amp;OutputTable[[#This Row],[Name]]&amp;OutputTable[[#This Row],[Type]]&amp;OutputTable[[#This Row],[Source]]</f>
        <v>Escenario ArEnfermera.ScheduledUtilizationScheduled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3.5221434146433597E-2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3.1541354302313002E-2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2.2563325623827138E-2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9.4430249510039699E-2</v>
      </c>
    </row>
    <row r="140" spans="1:16" x14ac:dyDescent="0.25">
      <c r="A140" t="s">
        <v>68</v>
      </c>
      <c r="B140" t="s">
        <v>70</v>
      </c>
      <c r="C140">
        <v>10</v>
      </c>
      <c r="D140" t="s">
        <v>119</v>
      </c>
      <c r="E140" t="s">
        <v>116</v>
      </c>
      <c r="F140" t="s">
        <v>96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Escenario ArSeguimiento.NumberSeizedTotal Number SeizedResource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0.1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0.31622776601683794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0.22621571627982048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1</v>
      </c>
    </row>
    <row r="141" spans="1:16" x14ac:dyDescent="0.25">
      <c r="A141" t="s">
        <v>68</v>
      </c>
      <c r="B141" t="s">
        <v>70</v>
      </c>
      <c r="C141">
        <v>10</v>
      </c>
      <c r="D141" t="s">
        <v>120</v>
      </c>
      <c r="E141" t="s">
        <v>118</v>
      </c>
      <c r="F141" t="s">
        <v>96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Escenario ArSeguimiento.ScheduledUtilizationScheduled UtilizationResource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4.2820889862360502E-4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1.3541154340027323E-3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9.6867582719531832E-4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4.2820889862360502E-3</v>
      </c>
    </row>
  </sheetData>
  <phoneticPr fontId="2" type="noConversion"/>
  <conditionalFormatting sqref="I2:P141">
    <cfRule type="expression" dxfId="3" priority="2">
      <formula>MOD(ROW(),2)=0</formula>
    </cfRule>
  </conditionalFormatting>
  <conditionalFormatting sqref="N2:N14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2025-05-22T16:04:15Z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
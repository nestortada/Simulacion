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unisabanaedu-my.sharepoint.com/personal/nestortada_unisabana_edu_co/Documents/Universidad/2025-1/Simulación/Puntos del taller/422 pacientesSeguimiento/"/>
    </mc:Choice>
  </mc:AlternateContent>
  <xr:revisionPtr revIDLastSave="1" documentId="13_ncr:1_{325E12FA-5483-41CA-B36F-0BB911A2EF96}" xr6:coauthVersionLast="47" xr6:coauthVersionMax="47" xr10:uidLastSave="{3D6B9000-7980-4131-B0B3-4E0BA3548A3A}"/>
  <bookViews>
    <workbookView xWindow="-120" yWindow="-120" windowWidth="20730" windowHeight="1116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ContinuousTimeStatsByRep!$A$1:$L$244</definedName>
    <definedName name="ExternalData_1" localSheetId="4" hidden="1">CounterStatsByRep!$A$1:$G$2</definedName>
    <definedName name="ExternalData_1" localSheetId="2" hidden="1">DiscreteTimeStatsByRep!$A$1:$K$166</definedName>
    <definedName name="ExternalData_1" localSheetId="6" hidden="1">FrequencyStatsByRep!$A$1:$K$2</definedName>
    <definedName name="ExternalData_1" localSheetId="5" hidden="1">OutputStatsByRep!$A$1:$H$298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 s="1"/>
  <c r="J155" i="20" a="1"/>
  <c r="J155" i="20" s="1"/>
  <c r="J156" i="20" a="1"/>
  <c r="J156" i="20" s="1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 s="1"/>
  <c r="J162" i="20" a="1"/>
  <c r="J162" i="20" s="1"/>
  <c r="J163" i="20" a="1"/>
  <c r="J163" i="20" s="1"/>
  <c r="J164" i="20" a="1"/>
  <c r="J164" i="20" s="1"/>
  <c r="J165" i="20" a="1"/>
  <c r="J165" i="20" s="1"/>
  <c r="J166" i="20" a="1"/>
  <c r="J166" i="20" s="1"/>
  <c r="J167" i="20" a="1"/>
  <c r="J167" i="20" s="1"/>
  <c r="J168" i="20" a="1"/>
  <c r="J168" i="20" s="1"/>
  <c r="J169" i="20" a="1"/>
  <c r="J169" i="20" s="1"/>
  <c r="J170" i="20" a="1"/>
  <c r="J170" i="20" s="1"/>
  <c r="J171" i="20" a="1"/>
  <c r="J171" i="20" s="1"/>
  <c r="J172" i="20" a="1"/>
  <c r="J172" i="20" s="1"/>
  <c r="J173" i="20" a="1"/>
  <c r="J173" i="20" s="1"/>
  <c r="J174" i="20" a="1"/>
  <c r="J174" i="20" s="1"/>
  <c r="J175" i="20" a="1"/>
  <c r="J175" i="20" s="1"/>
  <c r="J176" i="20" a="1"/>
  <c r="J176" i="20" s="1"/>
  <c r="J177" i="20" a="1"/>
  <c r="J177" i="20" s="1"/>
  <c r="J178" i="20" a="1"/>
  <c r="J178" i="20" s="1"/>
  <c r="J179" i="20" a="1"/>
  <c r="J179" i="20" s="1"/>
  <c r="J180" i="20" a="1"/>
  <c r="J180" i="20" s="1"/>
  <c r="J181" i="20" a="1"/>
  <c r="J181" i="20" s="1"/>
  <c r="J182" i="20" a="1"/>
  <c r="J182" i="20" s="1"/>
  <c r="J183" i="20" a="1"/>
  <c r="J183" i="20" s="1"/>
  <c r="J184" i="20" a="1"/>
  <c r="J184" i="20" s="1"/>
  <c r="J185" i="20" a="1"/>
  <c r="J185" i="20" s="1"/>
  <c r="J186" i="20" a="1"/>
  <c r="J186" i="20" s="1"/>
  <c r="J187" i="20" a="1"/>
  <c r="J187" i="20" s="1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 s="1"/>
  <c r="J194" i="20" a="1"/>
  <c r="J194" i="20" s="1"/>
  <c r="J195" i="20" a="1"/>
  <c r="J195" i="20" s="1"/>
  <c r="J196" i="20" a="1"/>
  <c r="J196" i="20" s="1"/>
  <c r="J197" i="20" a="1"/>
  <c r="J197" i="20" s="1"/>
  <c r="J198" i="20" a="1"/>
  <c r="J198" i="20" s="1"/>
  <c r="J199" i="20" a="1"/>
  <c r="J199" i="20" s="1"/>
  <c r="J200" i="20" a="1"/>
  <c r="J200" i="20" s="1"/>
  <c r="J201" i="20" a="1"/>
  <c r="J201" i="20" s="1"/>
  <c r="J202" i="20" a="1"/>
  <c r="J202" i="20" s="1"/>
  <c r="J203" i="20" a="1"/>
  <c r="J203" i="20" s="1"/>
  <c r="J204" i="20" a="1"/>
  <c r="J204" i="20" s="1"/>
  <c r="J205" i="20" a="1"/>
  <c r="J205" i="20" s="1"/>
  <c r="J206" i="20" a="1"/>
  <c r="J206" i="20" s="1"/>
  <c r="J207" i="20" a="1"/>
  <c r="J207" i="20" s="1"/>
  <c r="J208" i="20" a="1"/>
  <c r="J208" i="20" s="1"/>
  <c r="J209" i="20" a="1"/>
  <c r="J209" i="20" s="1"/>
  <c r="J210" i="20" a="1"/>
  <c r="J210" i="20" s="1"/>
  <c r="J211" i="20" a="1"/>
  <c r="J211" i="20" s="1"/>
  <c r="J212" i="20" a="1"/>
  <c r="J212" i="20" s="1"/>
  <c r="J213" i="20" a="1"/>
  <c r="J213" i="20" s="1"/>
  <c r="J214" i="20" a="1"/>
  <c r="J214" i="20" s="1"/>
  <c r="J215" i="20" a="1"/>
  <c r="J215" i="20" s="1"/>
  <c r="J216" i="20" a="1"/>
  <c r="J216" i="20" s="1"/>
  <c r="J217" i="20" a="1"/>
  <c r="J217" i="20" s="1"/>
  <c r="J218" i="20" a="1"/>
  <c r="J218" i="20" s="1"/>
  <c r="J219" i="20" a="1"/>
  <c r="J219" i="20" s="1"/>
  <c r="J220" i="20" a="1"/>
  <c r="J220" i="20" s="1"/>
  <c r="J221" i="20" a="1"/>
  <c r="J221" i="20" s="1"/>
  <c r="J222" i="20" a="1"/>
  <c r="J222" i="20" s="1"/>
  <c r="J223" i="20" a="1"/>
  <c r="J223" i="20" s="1"/>
  <c r="J224" i="20" a="1"/>
  <c r="J224" i="20" s="1"/>
  <c r="J225" i="20" a="1"/>
  <c r="J225" i="20" s="1"/>
  <c r="J226" i="20" a="1"/>
  <c r="J226" i="20" s="1"/>
  <c r="J227" i="20" a="1"/>
  <c r="J227" i="20" s="1"/>
  <c r="J228" i="20" a="1"/>
  <c r="J228" i="20" s="1"/>
  <c r="J229" i="20" a="1"/>
  <c r="J229" i="20" s="1"/>
  <c r="J230" i="20" a="1"/>
  <c r="J230" i="20" s="1"/>
  <c r="J231" i="20" a="1"/>
  <c r="J231" i="20" s="1"/>
  <c r="J232" i="20" a="1"/>
  <c r="J232" i="20" s="1"/>
  <c r="J233" i="20" a="1"/>
  <c r="J233" i="20" s="1"/>
  <c r="J234" i="20" a="1"/>
  <c r="J234" i="20" s="1"/>
  <c r="J235" i="20" a="1"/>
  <c r="J235" i="20" s="1"/>
  <c r="J236" i="20" a="1"/>
  <c r="J236" i="20" s="1"/>
  <c r="J237" i="20" a="1"/>
  <c r="J237" i="20" s="1"/>
  <c r="J238" i="20" a="1"/>
  <c r="J238" i="20" s="1"/>
  <c r="J239" i="20" a="1"/>
  <c r="J239" i="20" s="1"/>
  <c r="J240" i="20" a="1"/>
  <c r="J240" i="20" s="1"/>
  <c r="J241" i="20" a="1"/>
  <c r="J241" i="20" s="1"/>
  <c r="J242" i="20" a="1"/>
  <c r="J242" i="20" s="1"/>
  <c r="J243" i="20" a="1"/>
  <c r="J243" i="20" s="1"/>
  <c r="J244" i="20" a="1"/>
  <c r="J244" i="20" s="1"/>
  <c r="J245" i="20" a="1"/>
  <c r="J245" i="20" s="1"/>
  <c r="J246" i="20" a="1"/>
  <c r="J246" i="20" s="1"/>
  <c r="J247" i="20" a="1"/>
  <c r="J247" i="20" s="1"/>
  <c r="J248" i="20" a="1"/>
  <c r="J248" i="20" s="1"/>
  <c r="J249" i="20" a="1"/>
  <c r="J249" i="20" s="1"/>
  <c r="J250" i="20" a="1"/>
  <c r="J250" i="20" s="1"/>
  <c r="J251" i="20" a="1"/>
  <c r="J251" i="20" s="1"/>
  <c r="J252" i="20" a="1"/>
  <c r="J252" i="20" s="1"/>
  <c r="J253" i="20" a="1"/>
  <c r="J253" i="20" s="1"/>
  <c r="J254" i="20" a="1"/>
  <c r="J254" i="20" s="1"/>
  <c r="J255" i="20" a="1"/>
  <c r="J255" i="20" s="1"/>
  <c r="J256" i="20" a="1"/>
  <c r="J256" i="20" s="1"/>
  <c r="J257" i="20" a="1"/>
  <c r="J257" i="20" s="1"/>
  <c r="J258" i="20" a="1"/>
  <c r="J258" i="20" s="1"/>
  <c r="J259" i="20" a="1"/>
  <c r="J259" i="20" s="1"/>
  <c r="J260" i="20" a="1"/>
  <c r="J260" i="20" s="1"/>
  <c r="J261" i="20" a="1"/>
  <c r="J261" i="20" s="1"/>
  <c r="J262" i="20" a="1"/>
  <c r="J262" i="20" s="1"/>
  <c r="J263" i="20" a="1"/>
  <c r="J263" i="20" s="1"/>
  <c r="J264" i="20" a="1"/>
  <c r="J264" i="20" s="1"/>
  <c r="J265" i="20" a="1"/>
  <c r="J265" i="20" s="1"/>
  <c r="J266" i="20" a="1"/>
  <c r="J266" i="20" s="1"/>
  <c r="J267" i="20" a="1"/>
  <c r="J267" i="20" s="1"/>
  <c r="J268" i="20" a="1"/>
  <c r="J268" i="20" s="1"/>
  <c r="J269" i="20" a="1"/>
  <c r="J269" i="20" s="1"/>
  <c r="J270" i="20" a="1"/>
  <c r="J270" i="20" s="1"/>
  <c r="J271" i="20" a="1"/>
  <c r="J271" i="20" s="1"/>
  <c r="J272" i="20" a="1"/>
  <c r="J272" i="20" s="1"/>
  <c r="J273" i="20" a="1"/>
  <c r="J273" i="20" s="1"/>
  <c r="J274" i="20" a="1"/>
  <c r="J274" i="20" s="1"/>
  <c r="J275" i="20" a="1"/>
  <c r="J275" i="20" s="1"/>
  <c r="J276" i="20" a="1"/>
  <c r="J276" i="20" s="1"/>
  <c r="J277" i="20" a="1"/>
  <c r="J277" i="20" s="1"/>
  <c r="J278" i="20" a="1"/>
  <c r="J278" i="20" s="1"/>
  <c r="J279" i="20" a="1"/>
  <c r="J279" i="20" s="1"/>
  <c r="J280" i="20" a="1"/>
  <c r="J280" i="20" s="1"/>
  <c r="J281" i="20" a="1"/>
  <c r="J281" i="20" s="1"/>
  <c r="J282" i="20" a="1"/>
  <c r="J282" i="20" s="1"/>
  <c r="J283" i="20" a="1"/>
  <c r="J283" i="20" s="1"/>
  <c r="J284" i="20" a="1"/>
  <c r="J284" i="20" s="1"/>
  <c r="J285" i="20" a="1"/>
  <c r="J285" i="20" s="1"/>
  <c r="J286" i="20" a="1"/>
  <c r="J286" i="20" s="1"/>
  <c r="J287" i="20" a="1"/>
  <c r="J287" i="20" s="1"/>
  <c r="J288" i="20" a="1"/>
  <c r="J288" i="20" s="1"/>
  <c r="J289" i="20" a="1"/>
  <c r="J289" i="20" s="1"/>
  <c r="J290" i="20" a="1"/>
  <c r="J290" i="20" s="1"/>
  <c r="J291" i="20" a="1"/>
  <c r="J291" i="20" s="1"/>
  <c r="J292" i="20" a="1"/>
  <c r="J292" i="20" s="1"/>
  <c r="J293" i="20" a="1"/>
  <c r="J293" i="20" s="1"/>
  <c r="J294" i="20" a="1"/>
  <c r="J294" i="20" s="1"/>
  <c r="J295" i="20" a="1"/>
  <c r="J295" i="20" s="1"/>
  <c r="J296" i="20" a="1"/>
  <c r="J296" i="20" s="1"/>
  <c r="J297" i="20" a="1"/>
  <c r="J297" i="20" s="1"/>
  <c r="J298" i="20" a="1"/>
  <c r="J298" i="20" s="1"/>
  <c r="K2" i="20" a="1"/>
  <c r="K2" i="20" s="1"/>
  <c r="K3" i="20" a="1"/>
  <c r="K3" i="20" s="1"/>
  <c r="K4" i="20" a="1"/>
  <c r="K4" i="20" s="1"/>
  <c r="K5" i="20" a="1"/>
  <c r="K5" i="20" s="1"/>
  <c r="K6" i="20" a="1"/>
  <c r="K6" i="20" s="1"/>
  <c r="K7" i="20" a="1"/>
  <c r="K7" i="20" s="1"/>
  <c r="K8" i="20" a="1"/>
  <c r="K8" i="20" s="1"/>
  <c r="K9" i="20" a="1"/>
  <c r="K9" i="20" s="1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K15" i="20" a="1"/>
  <c r="K15" i="20" s="1"/>
  <c r="K16" i="20" a="1"/>
  <c r="K16" i="20" s="1"/>
  <c r="K17" i="20" a="1"/>
  <c r="K17" i="20" s="1"/>
  <c r="K18" i="20" a="1"/>
  <c r="K18" i="20" s="1"/>
  <c r="K19" i="20" a="1"/>
  <c r="K19" i="20" s="1"/>
  <c r="K20" i="20" a="1"/>
  <c r="K20" i="20" s="1"/>
  <c r="K21" i="20" a="1"/>
  <c r="K21" i="20" s="1"/>
  <c r="K22" i="20" a="1"/>
  <c r="K22" i="20" s="1"/>
  <c r="K23" i="20" a="1"/>
  <c r="K23" i="20" s="1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 s="1"/>
  <c r="K31" i="20" a="1"/>
  <c r="K31" i="20" s="1"/>
  <c r="K32" i="20" a="1"/>
  <c r="K32" i="20" s="1"/>
  <c r="K33" i="20" a="1"/>
  <c r="K33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 s="1"/>
  <c r="K39" i="20" a="1"/>
  <c r="K39" i="20" s="1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 s="1"/>
  <c r="K50" i="20" a="1"/>
  <c r="K50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K152" i="20" a="1"/>
  <c r="K152" i="20" s="1"/>
  <c r="K153" i="20" a="1"/>
  <c r="K153" i="20" s="1"/>
  <c r="K154" i="20" a="1"/>
  <c r="K154" i="20" s="1"/>
  <c r="K155" i="20" a="1"/>
  <c r="K155" i="20" s="1"/>
  <c r="K156" i="20" a="1"/>
  <c r="K156" i="20" s="1"/>
  <c r="K157" i="20" a="1"/>
  <c r="K157" i="20" s="1"/>
  <c r="K158" i="20" a="1"/>
  <c r="K158" i="20" s="1"/>
  <c r="K159" i="20" a="1"/>
  <c r="K159" i="20" s="1"/>
  <c r="K160" i="20" a="1"/>
  <c r="K160" i="20" s="1"/>
  <c r="K161" i="20" a="1"/>
  <c r="K161" i="20" s="1"/>
  <c r="K162" i="20" a="1"/>
  <c r="K162" i="20" s="1"/>
  <c r="K163" i="20" a="1"/>
  <c r="K163" i="20" s="1"/>
  <c r="K164" i="20" a="1"/>
  <c r="K164" i="20" s="1"/>
  <c r="K165" i="20" a="1"/>
  <c r="K165" i="20" s="1"/>
  <c r="K166" i="20" a="1"/>
  <c r="K166" i="20" s="1"/>
  <c r="K167" i="20" a="1"/>
  <c r="K167" i="20" s="1"/>
  <c r="K168" i="20" a="1"/>
  <c r="K168" i="20" s="1"/>
  <c r="K169" i="20" a="1"/>
  <c r="K169" i="20" s="1"/>
  <c r="K170" i="20" a="1"/>
  <c r="K170" i="20" s="1"/>
  <c r="K171" i="20" a="1"/>
  <c r="K171" i="20" s="1"/>
  <c r="K172" i="20" a="1"/>
  <c r="K172" i="20" s="1"/>
  <c r="K173" i="20" a="1"/>
  <c r="K173" i="20" s="1"/>
  <c r="K174" i="20" a="1"/>
  <c r="K174" i="20" s="1"/>
  <c r="K175" i="20" a="1"/>
  <c r="K175" i="20" s="1"/>
  <c r="K176" i="20" a="1"/>
  <c r="K176" i="20" s="1"/>
  <c r="K177" i="20" a="1"/>
  <c r="K177" i="20" s="1"/>
  <c r="K178" i="20" a="1"/>
  <c r="K178" i="20" s="1"/>
  <c r="K179" i="20" a="1"/>
  <c r="K179" i="20" s="1"/>
  <c r="K180" i="20" a="1"/>
  <c r="K180" i="20" s="1"/>
  <c r="K181" i="20" a="1"/>
  <c r="K181" i="20" s="1"/>
  <c r="K182" i="20" a="1"/>
  <c r="K182" i="20" s="1"/>
  <c r="K183" i="20" a="1"/>
  <c r="K183" i="20" s="1"/>
  <c r="K184" i="20" a="1"/>
  <c r="K184" i="20" s="1"/>
  <c r="K185" i="20" a="1"/>
  <c r="K185" i="20" s="1"/>
  <c r="K186" i="20" a="1"/>
  <c r="K186" i="20" s="1"/>
  <c r="K187" i="20" a="1"/>
  <c r="K187" i="20" s="1"/>
  <c r="K188" i="20" a="1"/>
  <c r="K188" i="20" s="1"/>
  <c r="K189" i="20" a="1"/>
  <c r="K189" i="20" s="1"/>
  <c r="K190" i="20" a="1"/>
  <c r="K190" i="20" s="1"/>
  <c r="K191" i="20" a="1"/>
  <c r="K191" i="20" s="1"/>
  <c r="K192" i="20" a="1"/>
  <c r="K192" i="20" s="1"/>
  <c r="K193" i="20" a="1"/>
  <c r="K193" i="20" s="1"/>
  <c r="K194" i="20" a="1"/>
  <c r="K194" i="20" s="1"/>
  <c r="K195" i="20" a="1"/>
  <c r="K195" i="20" s="1"/>
  <c r="K196" i="20" a="1"/>
  <c r="K196" i="20" s="1"/>
  <c r="K197" i="20" a="1"/>
  <c r="K197" i="20" s="1"/>
  <c r="K198" i="20" a="1"/>
  <c r="K198" i="20" s="1"/>
  <c r="K199" i="20" a="1"/>
  <c r="K199" i="20" s="1"/>
  <c r="K200" i="20" a="1"/>
  <c r="K200" i="20" s="1"/>
  <c r="K201" i="20" a="1"/>
  <c r="K201" i="20" s="1"/>
  <c r="K202" i="20" a="1"/>
  <c r="K202" i="20" s="1"/>
  <c r="K203" i="20" a="1"/>
  <c r="K203" i="20" s="1"/>
  <c r="K204" i="20" a="1"/>
  <c r="K204" i="20" s="1"/>
  <c r="K205" i="20" a="1"/>
  <c r="K205" i="20" s="1"/>
  <c r="K206" i="20" a="1"/>
  <c r="K206" i="20" s="1"/>
  <c r="K207" i="20" a="1"/>
  <c r="K207" i="20" s="1"/>
  <c r="K208" i="20" a="1"/>
  <c r="K208" i="20" s="1"/>
  <c r="K209" i="20" a="1"/>
  <c r="K209" i="20" s="1"/>
  <c r="K210" i="20" a="1"/>
  <c r="K210" i="20" s="1"/>
  <c r="K211" i="20" a="1"/>
  <c r="K211" i="20" s="1"/>
  <c r="K212" i="20" a="1"/>
  <c r="K212" i="20" s="1"/>
  <c r="K213" i="20" a="1"/>
  <c r="K213" i="20" s="1"/>
  <c r="K214" i="20" a="1"/>
  <c r="K214" i="20" s="1"/>
  <c r="K215" i="20" a="1"/>
  <c r="K215" i="20" s="1"/>
  <c r="K216" i="20" a="1"/>
  <c r="K216" i="20"/>
  <c r="K217" i="20" a="1"/>
  <c r="K217" i="20" s="1"/>
  <c r="K218" i="20" a="1"/>
  <c r="K218" i="20" s="1"/>
  <c r="K219" i="20" a="1"/>
  <c r="K219" i="20" s="1"/>
  <c r="K220" i="20" a="1"/>
  <c r="K220" i="20" s="1"/>
  <c r="K221" i="20" a="1"/>
  <c r="K221" i="20" s="1"/>
  <c r="K222" i="20" a="1"/>
  <c r="K222" i="20" s="1"/>
  <c r="K223" i="20" a="1"/>
  <c r="K223" i="20" s="1"/>
  <c r="K224" i="20" a="1"/>
  <c r="K224" i="20"/>
  <c r="K225" i="20" a="1"/>
  <c r="K225" i="20" s="1"/>
  <c r="K226" i="20" a="1"/>
  <c r="K226" i="20" s="1"/>
  <c r="K227" i="20" a="1"/>
  <c r="K227" i="20" s="1"/>
  <c r="K228" i="20" a="1"/>
  <c r="K228" i="20" s="1"/>
  <c r="K229" i="20" a="1"/>
  <c r="K229" i="20" s="1"/>
  <c r="K230" i="20" a="1"/>
  <c r="K230" i="20" s="1"/>
  <c r="K231" i="20" a="1"/>
  <c r="K231" i="20" s="1"/>
  <c r="K232" i="20" a="1"/>
  <c r="K232" i="20" s="1"/>
  <c r="K233" i="20" a="1"/>
  <c r="K233" i="20" s="1"/>
  <c r="K234" i="20" a="1"/>
  <c r="K234" i="20" s="1"/>
  <c r="K235" i="20" a="1"/>
  <c r="K235" i="20" s="1"/>
  <c r="K236" i="20" a="1"/>
  <c r="K236" i="20" s="1"/>
  <c r="K237" i="20" a="1"/>
  <c r="K237" i="20" s="1"/>
  <c r="K238" i="20" a="1"/>
  <c r="K238" i="20" s="1"/>
  <c r="K239" i="20" a="1"/>
  <c r="K239" i="20" s="1"/>
  <c r="K240" i="20" a="1"/>
  <c r="K240" i="20" s="1"/>
  <c r="K241" i="20" a="1"/>
  <c r="K241" i="20" s="1"/>
  <c r="K242" i="20" a="1"/>
  <c r="K242" i="20" s="1"/>
  <c r="K243" i="20" a="1"/>
  <c r="K243" i="20" s="1"/>
  <c r="K244" i="20" a="1"/>
  <c r="K244" i="20" s="1"/>
  <c r="K245" i="20" a="1"/>
  <c r="K245" i="20" s="1"/>
  <c r="K246" i="20" a="1"/>
  <c r="K246" i="20" s="1"/>
  <c r="K247" i="20" a="1"/>
  <c r="K247" i="20" s="1"/>
  <c r="K248" i="20" a="1"/>
  <c r="K248" i="20" s="1"/>
  <c r="K249" i="20" a="1"/>
  <c r="K249" i="20" s="1"/>
  <c r="K250" i="20" a="1"/>
  <c r="K250" i="20" s="1"/>
  <c r="K251" i="20" a="1"/>
  <c r="K251" i="20" s="1"/>
  <c r="K252" i="20" a="1"/>
  <c r="K252" i="20" s="1"/>
  <c r="K253" i="20" a="1"/>
  <c r="K253" i="20" s="1"/>
  <c r="K254" i="20" a="1"/>
  <c r="K254" i="20" s="1"/>
  <c r="K255" i="20" a="1"/>
  <c r="K255" i="20" s="1"/>
  <c r="K256" i="20" a="1"/>
  <c r="K256" i="20"/>
  <c r="K257" i="20" a="1"/>
  <c r="K257" i="20" s="1"/>
  <c r="K258" i="20" a="1"/>
  <c r="K258" i="20" s="1"/>
  <c r="K259" i="20" a="1"/>
  <c r="K259" i="20" s="1"/>
  <c r="K260" i="20" a="1"/>
  <c r="K260" i="20" s="1"/>
  <c r="K261" i="20" a="1"/>
  <c r="K261" i="20" s="1"/>
  <c r="K262" i="20" a="1"/>
  <c r="K262" i="20" s="1"/>
  <c r="K263" i="20" a="1"/>
  <c r="K263" i="20" s="1"/>
  <c r="K264" i="20" a="1"/>
  <c r="K264" i="20" s="1"/>
  <c r="K265" i="20" a="1"/>
  <c r="K265" i="20" s="1"/>
  <c r="K266" i="20" a="1"/>
  <c r="K266" i="20" s="1"/>
  <c r="K267" i="20" a="1"/>
  <c r="K267" i="20" s="1"/>
  <c r="K268" i="20" a="1"/>
  <c r="K268" i="20" s="1"/>
  <c r="K269" i="20" a="1"/>
  <c r="K269" i="20" s="1"/>
  <c r="K270" i="20" a="1"/>
  <c r="K270" i="20" s="1"/>
  <c r="K271" i="20" a="1"/>
  <c r="K271" i="20" s="1"/>
  <c r="K272" i="20" a="1"/>
  <c r="K272" i="20"/>
  <c r="K273" i="20" a="1"/>
  <c r="K273" i="20" s="1"/>
  <c r="K274" i="20" a="1"/>
  <c r="K274" i="20" s="1"/>
  <c r="K275" i="20" a="1"/>
  <c r="K275" i="20" s="1"/>
  <c r="K276" i="20" a="1"/>
  <c r="K276" i="20" s="1"/>
  <c r="K277" i="20" a="1"/>
  <c r="K277" i="20" s="1"/>
  <c r="K278" i="20" a="1"/>
  <c r="K278" i="20" s="1"/>
  <c r="K279" i="20" a="1"/>
  <c r="K279" i="20" s="1"/>
  <c r="K280" i="20" a="1"/>
  <c r="K280" i="20" s="1"/>
  <c r="K281" i="20" a="1"/>
  <c r="K281" i="20" s="1"/>
  <c r="K282" i="20" a="1"/>
  <c r="K282" i="20" s="1"/>
  <c r="K283" i="20" a="1"/>
  <c r="K283" i="20" s="1"/>
  <c r="K284" i="20" a="1"/>
  <c r="K284" i="20" s="1"/>
  <c r="K285" i="20" a="1"/>
  <c r="K285" i="20" s="1"/>
  <c r="K286" i="20" a="1"/>
  <c r="K286" i="20" s="1"/>
  <c r="K287" i="20" a="1"/>
  <c r="K287" i="20" s="1"/>
  <c r="K288" i="20" a="1"/>
  <c r="K288" i="20"/>
  <c r="K289" i="20" a="1"/>
  <c r="K289" i="20" s="1"/>
  <c r="K290" i="20" a="1"/>
  <c r="K290" i="20" s="1"/>
  <c r="K291" i="20" a="1"/>
  <c r="K291" i="20" s="1"/>
  <c r="K292" i="20" a="1"/>
  <c r="K292" i="20" s="1"/>
  <c r="K293" i="20" a="1"/>
  <c r="K293" i="20" s="1"/>
  <c r="K294" i="20" a="1"/>
  <c r="K294" i="20" s="1"/>
  <c r="K295" i="20" a="1"/>
  <c r="K295" i="20" s="1"/>
  <c r="K296" i="20" a="1"/>
  <c r="K296" i="20" s="1"/>
  <c r="K297" i="20" a="1"/>
  <c r="K297" i="20" s="1"/>
  <c r="K298" i="20" a="1"/>
  <c r="K298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 s="1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/>
  <c r="L118" i="20" a="1"/>
  <c r="L118" i="20" s="1"/>
  <c r="L119" i="20" a="1"/>
  <c r="L119" i="20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/>
  <c r="L128" i="20" a="1"/>
  <c r="L128" i="20" s="1"/>
  <c r="L129" i="20" a="1"/>
  <c r="L129" i="20" s="1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 s="1"/>
  <c r="L142" i="20" a="1"/>
  <c r="L142" i="20" s="1"/>
  <c r="L143" i="20" a="1"/>
  <c r="L143" i="20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/>
  <c r="L152" i="20" a="1"/>
  <c r="L152" i="20" s="1"/>
  <c r="L153" i="20" a="1"/>
  <c r="L153" i="20" s="1"/>
  <c r="L154" i="20" a="1"/>
  <c r="L154" i="20" s="1"/>
  <c r="L155" i="20" a="1"/>
  <c r="L155" i="20" s="1"/>
  <c r="L156" i="20" a="1"/>
  <c r="L156" i="20" s="1"/>
  <c r="L157" i="20" a="1"/>
  <c r="L157" i="20" s="1"/>
  <c r="L158" i="20" a="1"/>
  <c r="L158" i="20" s="1"/>
  <c r="L159" i="20" a="1"/>
  <c r="L159" i="20"/>
  <c r="L160" i="20" a="1"/>
  <c r="L160" i="20" s="1"/>
  <c r="L161" i="20" a="1"/>
  <c r="L161" i="20" s="1"/>
  <c r="L162" i="20" a="1"/>
  <c r="L162" i="20" s="1"/>
  <c r="L163" i="20" a="1"/>
  <c r="L163" i="20" s="1"/>
  <c r="L164" i="20" a="1"/>
  <c r="L164" i="20" s="1"/>
  <c r="L165" i="20" a="1"/>
  <c r="L165" i="20" s="1"/>
  <c r="L166" i="20" a="1"/>
  <c r="L166" i="20" s="1"/>
  <c r="L167" i="20" a="1"/>
  <c r="L167" i="20"/>
  <c r="L168" i="20" a="1"/>
  <c r="L168" i="20" s="1"/>
  <c r="L169" i="20" a="1"/>
  <c r="L169" i="20" s="1"/>
  <c r="L170" i="20" a="1"/>
  <c r="L170" i="20" s="1"/>
  <c r="L171" i="20" a="1"/>
  <c r="L171" i="20" s="1"/>
  <c r="L172" i="20" a="1"/>
  <c r="L172" i="20" s="1"/>
  <c r="L173" i="20" a="1"/>
  <c r="L173" i="20" s="1"/>
  <c r="L174" i="20" a="1"/>
  <c r="L174" i="20" s="1"/>
  <c r="L175" i="20" a="1"/>
  <c r="L175" i="20"/>
  <c r="L176" i="20" a="1"/>
  <c r="L176" i="20" s="1"/>
  <c r="L177" i="20" a="1"/>
  <c r="L177" i="20" s="1"/>
  <c r="L178" i="20" a="1"/>
  <c r="L178" i="20" s="1"/>
  <c r="L179" i="20" a="1"/>
  <c r="L179" i="20" s="1"/>
  <c r="L180" i="20" a="1"/>
  <c r="L180" i="20" s="1"/>
  <c r="L181" i="20" a="1"/>
  <c r="L181" i="20" s="1"/>
  <c r="L182" i="20" a="1"/>
  <c r="L182" i="20" s="1"/>
  <c r="L183" i="20" a="1"/>
  <c r="L183" i="20" s="1"/>
  <c r="L184" i="20" a="1"/>
  <c r="L184" i="20" s="1"/>
  <c r="L185" i="20" a="1"/>
  <c r="L185" i="20" s="1"/>
  <c r="L186" i="20" a="1"/>
  <c r="L186" i="20" s="1"/>
  <c r="L187" i="20" a="1"/>
  <c r="L187" i="20" s="1"/>
  <c r="L188" i="20" a="1"/>
  <c r="L188" i="20" s="1"/>
  <c r="L189" i="20" a="1"/>
  <c r="L189" i="20" s="1"/>
  <c r="L190" i="20" a="1"/>
  <c r="L190" i="20" s="1"/>
  <c r="L191" i="20" a="1"/>
  <c r="L191" i="20" s="1"/>
  <c r="L192" i="20" a="1"/>
  <c r="L192" i="20" s="1"/>
  <c r="L193" i="20" a="1"/>
  <c r="L193" i="20" s="1"/>
  <c r="L194" i="20" a="1"/>
  <c r="L194" i="20" s="1"/>
  <c r="L195" i="20" a="1"/>
  <c r="L195" i="20" s="1"/>
  <c r="L196" i="20" a="1"/>
  <c r="L196" i="20" s="1"/>
  <c r="L197" i="20" a="1"/>
  <c r="L197" i="20" s="1"/>
  <c r="L198" i="20" a="1"/>
  <c r="L198" i="20" s="1"/>
  <c r="L199" i="20" a="1"/>
  <c r="L199" i="20"/>
  <c r="L200" i="20" a="1"/>
  <c r="L200" i="20" s="1"/>
  <c r="L201" i="20" a="1"/>
  <c r="L201" i="20" s="1"/>
  <c r="L202" i="20" a="1"/>
  <c r="L202" i="20" s="1"/>
  <c r="L203" i="20" a="1"/>
  <c r="L203" i="20" s="1"/>
  <c r="L204" i="20" a="1"/>
  <c r="L204" i="20" s="1"/>
  <c r="L205" i="20" a="1"/>
  <c r="L205" i="20" s="1"/>
  <c r="L206" i="20" a="1"/>
  <c r="L206" i="20" s="1"/>
  <c r="L207" i="20" a="1"/>
  <c r="L207" i="20"/>
  <c r="L208" i="20" a="1"/>
  <c r="L208" i="20" s="1"/>
  <c r="L209" i="20" a="1"/>
  <c r="L209" i="20" s="1"/>
  <c r="L210" i="20" a="1"/>
  <c r="L210" i="20" s="1"/>
  <c r="L211" i="20" a="1"/>
  <c r="L211" i="20" s="1"/>
  <c r="L212" i="20" a="1"/>
  <c r="L212" i="20" s="1"/>
  <c r="L213" i="20" a="1"/>
  <c r="L213" i="20" s="1"/>
  <c r="L214" i="20" a="1"/>
  <c r="L214" i="20" s="1"/>
  <c r="L215" i="20" a="1"/>
  <c r="L215" i="20" s="1"/>
  <c r="L216" i="20" a="1"/>
  <c r="L216" i="20" s="1"/>
  <c r="L217" i="20" a="1"/>
  <c r="L217" i="20" s="1"/>
  <c r="L218" i="20" a="1"/>
  <c r="L218" i="20" s="1"/>
  <c r="L219" i="20" a="1"/>
  <c r="L219" i="20" s="1"/>
  <c r="L220" i="20" a="1"/>
  <c r="L220" i="20" s="1"/>
  <c r="L221" i="20" a="1"/>
  <c r="L221" i="20"/>
  <c r="L222" i="20" a="1"/>
  <c r="L222" i="20" s="1"/>
  <c r="L223" i="20" a="1"/>
  <c r="L223" i="20" s="1"/>
  <c r="L224" i="20" a="1"/>
  <c r="L224" i="20" s="1"/>
  <c r="L225" i="20" a="1"/>
  <c r="L225" i="20" s="1"/>
  <c r="L226" i="20" a="1"/>
  <c r="L226" i="20" s="1"/>
  <c r="L227" i="20" a="1"/>
  <c r="L227" i="20" s="1"/>
  <c r="L228" i="20" a="1"/>
  <c r="L228" i="20" s="1"/>
  <c r="L229" i="20" a="1"/>
  <c r="L229" i="20"/>
  <c r="L230" i="20" a="1"/>
  <c r="L230" i="20" s="1"/>
  <c r="L231" i="20" a="1"/>
  <c r="L231" i="20" s="1"/>
  <c r="L232" i="20" a="1"/>
  <c r="L232" i="20" s="1"/>
  <c r="L233" i="20" a="1"/>
  <c r="L233" i="20" s="1"/>
  <c r="L234" i="20" a="1"/>
  <c r="L234" i="20" s="1"/>
  <c r="L235" i="20" a="1"/>
  <c r="L235" i="20" s="1"/>
  <c r="L236" i="20" a="1"/>
  <c r="L236" i="20" s="1"/>
  <c r="L237" i="20" a="1"/>
  <c r="L237" i="20"/>
  <c r="L238" i="20" a="1"/>
  <c r="L238" i="20" s="1"/>
  <c r="L239" i="20" a="1"/>
  <c r="L239" i="20" s="1"/>
  <c r="L240" i="20" a="1"/>
  <c r="L240" i="20" s="1"/>
  <c r="L241" i="20" a="1"/>
  <c r="L241" i="20" s="1"/>
  <c r="L242" i="20" a="1"/>
  <c r="L242" i="20" s="1"/>
  <c r="L243" i="20" a="1"/>
  <c r="L243" i="20" s="1"/>
  <c r="L244" i="20" a="1"/>
  <c r="L244" i="20" s="1"/>
  <c r="L245" i="20" a="1"/>
  <c r="L245" i="20"/>
  <c r="L246" i="20" a="1"/>
  <c r="L246" i="20" s="1"/>
  <c r="L247" i="20" a="1"/>
  <c r="L247" i="20" s="1"/>
  <c r="L248" i="20" a="1"/>
  <c r="L248" i="20" s="1"/>
  <c r="L249" i="20" a="1"/>
  <c r="L249" i="20" s="1"/>
  <c r="L250" i="20" a="1"/>
  <c r="L250" i="20" s="1"/>
  <c r="L251" i="20" a="1"/>
  <c r="L251" i="20" s="1"/>
  <c r="L252" i="20" a="1"/>
  <c r="L252" i="20" s="1"/>
  <c r="L253" i="20" a="1"/>
  <c r="L253" i="20"/>
  <c r="L254" i="20" a="1"/>
  <c r="L254" i="20" s="1"/>
  <c r="L255" i="20" a="1"/>
  <c r="L255" i="20" s="1"/>
  <c r="L256" i="20" a="1"/>
  <c r="L256" i="20" s="1"/>
  <c r="L257" i="20" a="1"/>
  <c r="L257" i="20" s="1"/>
  <c r="L258" i="20" a="1"/>
  <c r="L258" i="20" s="1"/>
  <c r="L259" i="20" a="1"/>
  <c r="L259" i="20" s="1"/>
  <c r="L260" i="20" a="1"/>
  <c r="L260" i="20" s="1"/>
  <c r="L261" i="20" a="1"/>
  <c r="L261" i="20"/>
  <c r="L262" i="20" a="1"/>
  <c r="L262" i="20" s="1"/>
  <c r="L263" i="20" a="1"/>
  <c r="L263" i="20" s="1"/>
  <c r="L264" i="20" a="1"/>
  <c r="L264" i="20" s="1"/>
  <c r="L265" i="20" a="1"/>
  <c r="L265" i="20" s="1"/>
  <c r="L266" i="20" a="1"/>
  <c r="L266" i="20" s="1"/>
  <c r="L267" i="20" a="1"/>
  <c r="L267" i="20" s="1"/>
  <c r="L268" i="20" a="1"/>
  <c r="L268" i="20" s="1"/>
  <c r="L269" i="20" a="1"/>
  <c r="L269" i="20" s="1"/>
  <c r="L270" i="20" a="1"/>
  <c r="L270" i="20" s="1"/>
  <c r="L271" i="20" a="1"/>
  <c r="L271" i="20"/>
  <c r="L272" i="20" a="1"/>
  <c r="L272" i="20" s="1"/>
  <c r="L273" i="20" a="1"/>
  <c r="L273" i="20" s="1"/>
  <c r="L274" i="20" a="1"/>
  <c r="L274" i="20" s="1"/>
  <c r="L275" i="20" a="1"/>
  <c r="L275" i="20" s="1"/>
  <c r="L276" i="20" a="1"/>
  <c r="L276" i="20" s="1"/>
  <c r="L277" i="20" a="1"/>
  <c r="L277" i="20" s="1"/>
  <c r="L278" i="20" a="1"/>
  <c r="L278" i="20" s="1"/>
  <c r="L279" i="20" a="1"/>
  <c r="L279" i="20" s="1"/>
  <c r="L280" i="20" a="1"/>
  <c r="L280" i="20" s="1"/>
  <c r="L281" i="20" a="1"/>
  <c r="L281" i="20" s="1"/>
  <c r="L282" i="20" a="1"/>
  <c r="L282" i="20" s="1"/>
  <c r="L283" i="20" a="1"/>
  <c r="L283" i="20" s="1"/>
  <c r="L284" i="20" a="1"/>
  <c r="L284" i="20" s="1"/>
  <c r="L285" i="20" a="1"/>
  <c r="L285" i="20" s="1"/>
  <c r="L286" i="20" a="1"/>
  <c r="L286" i="20" s="1"/>
  <c r="L287" i="20" a="1"/>
  <c r="L287" i="20"/>
  <c r="L288" i="20" a="1"/>
  <c r="L288" i="20" s="1"/>
  <c r="L289" i="20" a="1"/>
  <c r="L289" i="20" s="1"/>
  <c r="L290" i="20" a="1"/>
  <c r="L290" i="20" s="1"/>
  <c r="L291" i="20" a="1"/>
  <c r="L291" i="20" s="1"/>
  <c r="L292" i="20" a="1"/>
  <c r="L292" i="20" s="1"/>
  <c r="L293" i="20" a="1"/>
  <c r="L293" i="20" s="1"/>
  <c r="L294" i="20" a="1"/>
  <c r="L294" i="20" s="1"/>
  <c r="L295" i="20" a="1"/>
  <c r="L295" i="20"/>
  <c r="L296" i="20" a="1"/>
  <c r="L296" i="20" s="1"/>
  <c r="L297" i="20" a="1"/>
  <c r="L297" i="20" s="1"/>
  <c r="L298" i="20" a="1"/>
  <c r="L298" i="20" s="1"/>
  <c r="M2" i="20" a="1"/>
  <c r="M2" i="20" s="1"/>
  <c r="N2" i="20" s="1"/>
  <c r="M3" i="20" a="1"/>
  <c r="M3" i="20" s="1"/>
  <c r="M4" i="20" a="1"/>
  <c r="M4" i="20" s="1"/>
  <c r="M5" i="20" a="1"/>
  <c r="M5" i="20" s="1"/>
  <c r="M6" i="20" a="1"/>
  <c r="M6" i="20"/>
  <c r="M7" i="20" a="1"/>
  <c r="M7" i="20" s="1"/>
  <c r="M8" i="20" a="1"/>
  <c r="M8" i="20" s="1"/>
  <c r="N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N13" i="20" s="1"/>
  <c r="M14" i="20" a="1"/>
  <c r="M14" i="20"/>
  <c r="M15" i="20" a="1"/>
  <c r="M15" i="20" s="1"/>
  <c r="M16" i="20" a="1"/>
  <c r="M16" i="20" s="1"/>
  <c r="N16" i="20" s="1"/>
  <c r="M17" i="20" a="1"/>
  <c r="M17" i="20" s="1"/>
  <c r="M18" i="20" a="1"/>
  <c r="M18" i="20" s="1"/>
  <c r="N18" i="20" s="1"/>
  <c r="M19" i="20" a="1"/>
  <c r="M19" i="20" s="1"/>
  <c r="M20" i="20" a="1"/>
  <c r="M20" i="20" s="1"/>
  <c r="M21" i="20" a="1"/>
  <c r="M21" i="20" s="1"/>
  <c r="M22" i="20" a="1"/>
  <c r="M22" i="20"/>
  <c r="N22" i="20" s="1"/>
  <c r="M23" i="20" a="1"/>
  <c r="M23" i="20" s="1"/>
  <c r="M24" i="20" a="1"/>
  <c r="M24" i="20" s="1"/>
  <c r="M25" i="20" a="1"/>
  <c r="M25" i="20" s="1"/>
  <c r="M26" i="20" a="1"/>
  <c r="M26" i="20" s="1"/>
  <c r="N26" i="20" s="1"/>
  <c r="M27" i="20" a="1"/>
  <c r="M27" i="20" s="1"/>
  <c r="M28" i="20" a="1"/>
  <c r="M28" i="20" s="1"/>
  <c r="M29" i="20" a="1"/>
  <c r="M29" i="20" s="1"/>
  <c r="M30" i="20" a="1"/>
  <c r="M30" i="20"/>
  <c r="N30" i="20" s="1"/>
  <c r="M31" i="20" a="1"/>
  <c r="M31" i="20" s="1"/>
  <c r="M32" i="20" a="1"/>
  <c r="M32" i="20" s="1"/>
  <c r="M33" i="20" a="1"/>
  <c r="M33" i="20" s="1"/>
  <c r="M34" i="20" a="1"/>
  <c r="M34" i="20" s="1"/>
  <c r="N34" i="20" s="1"/>
  <c r="M35" i="20" a="1"/>
  <c r="M35" i="20" s="1"/>
  <c r="M36" i="20" a="1"/>
  <c r="M36" i="20" s="1"/>
  <c r="M37" i="20" a="1"/>
  <c r="M37" i="20" s="1"/>
  <c r="M38" i="20" a="1"/>
  <c r="M38" i="20"/>
  <c r="N38" i="20" s="1"/>
  <c r="M39" i="20" a="1"/>
  <c r="M39" i="20" s="1"/>
  <c r="M40" i="20" a="1"/>
  <c r="M40" i="20" s="1"/>
  <c r="M41" i="20" a="1"/>
  <c r="M41" i="20" s="1"/>
  <c r="M42" i="20" a="1"/>
  <c r="M42" i="20" s="1"/>
  <c r="N42" i="20" s="1"/>
  <c r="M43" i="20" a="1"/>
  <c r="M43" i="20" s="1"/>
  <c r="M44" i="20" a="1"/>
  <c r="M44" i="20" s="1"/>
  <c r="M45" i="20" a="1"/>
  <c r="M45" i="20" s="1"/>
  <c r="M46" i="20" a="1"/>
  <c r="M46" i="20"/>
  <c r="N46" i="20" s="1"/>
  <c r="M47" i="20" a="1"/>
  <c r="M47" i="20" s="1"/>
  <c r="M48" i="20" a="1"/>
  <c r="M48" i="20" s="1"/>
  <c r="M49" i="20" a="1"/>
  <c r="M49" i="20" s="1"/>
  <c r="M50" i="20" a="1"/>
  <c r="M50" i="20" s="1"/>
  <c r="N50" i="20" s="1"/>
  <c r="M51" i="20" a="1"/>
  <c r="M51" i="20" s="1"/>
  <c r="M52" i="20" a="1"/>
  <c r="M52" i="20" s="1"/>
  <c r="M53" i="20" a="1"/>
  <c r="M53" i="20" s="1"/>
  <c r="M54" i="20" a="1"/>
  <c r="M54" i="20"/>
  <c r="N54" i="20" s="1"/>
  <c r="M55" i="20" a="1"/>
  <c r="M55" i="20" s="1"/>
  <c r="M56" i="20" a="1"/>
  <c r="M56" i="20" s="1"/>
  <c r="M57" i="20" a="1"/>
  <c r="M57" i="20" s="1"/>
  <c r="M58" i="20" a="1"/>
  <c r="M58" i="20" s="1"/>
  <c r="N58" i="20" s="1"/>
  <c r="M59" i="20" a="1"/>
  <c r="M59" i="20" s="1"/>
  <c r="M60" i="20" a="1"/>
  <c r="M60" i="20" s="1"/>
  <c r="M61" i="20" a="1"/>
  <c r="M61" i="20" s="1"/>
  <c r="M62" i="20" a="1"/>
  <c r="M62" i="20"/>
  <c r="N62" i="20" s="1"/>
  <c r="M63" i="20" a="1"/>
  <c r="M63" i="20" s="1"/>
  <c r="M64" i="20" a="1"/>
  <c r="M64" i="20" s="1"/>
  <c r="M65" i="20" a="1"/>
  <c r="M65" i="20" s="1"/>
  <c r="M66" i="20" a="1"/>
  <c r="M66" i="20" s="1"/>
  <c r="N66" i="20" s="1"/>
  <c r="M67" i="20" a="1"/>
  <c r="M67" i="20" s="1"/>
  <c r="M68" i="20" a="1"/>
  <c r="M68" i="20" s="1"/>
  <c r="M69" i="20" a="1"/>
  <c r="M69" i="20" s="1"/>
  <c r="M70" i="20" a="1"/>
  <c r="M70" i="20"/>
  <c r="N70" i="20" s="1"/>
  <c r="M71" i="20" a="1"/>
  <c r="M71" i="20" s="1"/>
  <c r="M72" i="20" a="1"/>
  <c r="M72" i="20" s="1"/>
  <c r="M73" i="20" a="1"/>
  <c r="M73" i="20" s="1"/>
  <c r="M74" i="20" a="1"/>
  <c r="M74" i="20" s="1"/>
  <c r="N74" i="20" s="1"/>
  <c r="M75" i="20" a="1"/>
  <c r="M75" i="20" s="1"/>
  <c r="M76" i="20" a="1"/>
  <c r="M76" i="20" s="1"/>
  <c r="M77" i="20" a="1"/>
  <c r="M77" i="20" s="1"/>
  <c r="M78" i="20" a="1"/>
  <c r="M78" i="20"/>
  <c r="N78" i="20" s="1"/>
  <c r="M79" i="20" a="1"/>
  <c r="M79" i="20" s="1"/>
  <c r="M80" i="20" a="1"/>
  <c r="M80" i="20" s="1"/>
  <c r="M81" i="20" a="1"/>
  <c r="M81" i="20" s="1"/>
  <c r="M82" i="20" a="1"/>
  <c r="M82" i="20" s="1"/>
  <c r="N82" i="20" s="1"/>
  <c r="M83" i="20" a="1"/>
  <c r="M83" i="20" s="1"/>
  <c r="M84" i="20" a="1"/>
  <c r="M84" i="20" s="1"/>
  <c r="M85" i="20" a="1"/>
  <c r="M85" i="20" s="1"/>
  <c r="M86" i="20" a="1"/>
  <c r="M86" i="20"/>
  <c r="N86" i="20" s="1"/>
  <c r="M87" i="20" a="1"/>
  <c r="M87" i="20" s="1"/>
  <c r="M88" i="20" a="1"/>
  <c r="M88" i="20" s="1"/>
  <c r="M89" i="20" a="1"/>
  <c r="M89" i="20" s="1"/>
  <c r="M90" i="20" a="1"/>
  <c r="M90" i="20" s="1"/>
  <c r="N90" i="20" s="1"/>
  <c r="M91" i="20" a="1"/>
  <c r="M91" i="20" s="1"/>
  <c r="M92" i="20" a="1"/>
  <c r="M92" i="20" s="1"/>
  <c r="M93" i="20" a="1"/>
  <c r="M93" i="20" s="1"/>
  <c r="M94" i="20" a="1"/>
  <c r="M94" i="20"/>
  <c r="N94" i="20" s="1"/>
  <c r="M95" i="20" a="1"/>
  <c r="M95" i="20" s="1"/>
  <c r="M96" i="20" a="1"/>
  <c r="M96" i="20" s="1"/>
  <c r="M97" i="20" a="1"/>
  <c r="M97" i="20" s="1"/>
  <c r="M98" i="20" a="1"/>
  <c r="M98" i="20" s="1"/>
  <c r="N98" i="20" s="1"/>
  <c r="M99" i="20" a="1"/>
  <c r="M99" i="20" s="1"/>
  <c r="M100" i="20" a="1"/>
  <c r="M100" i="20" s="1"/>
  <c r="M101" i="20" a="1"/>
  <c r="M101" i="20" s="1"/>
  <c r="M102" i="20" a="1"/>
  <c r="M102" i="20"/>
  <c r="N102" i="20" s="1"/>
  <c r="M103" i="20" a="1"/>
  <c r="M103" i="20" s="1"/>
  <c r="M104" i="20" a="1"/>
  <c r="M104" i="20" s="1"/>
  <c r="M105" i="20" a="1"/>
  <c r="M105" i="20" s="1"/>
  <c r="M106" i="20" a="1"/>
  <c r="M106" i="20" s="1"/>
  <c r="N106" i="20" s="1"/>
  <c r="M107" i="20" a="1"/>
  <c r="M107" i="20" s="1"/>
  <c r="M108" i="20" a="1"/>
  <c r="M108" i="20" s="1"/>
  <c r="M109" i="20" a="1"/>
  <c r="M109" i="20" s="1"/>
  <c r="M110" i="20" a="1"/>
  <c r="M110" i="20"/>
  <c r="N110" i="20" s="1"/>
  <c r="M111" i="20" a="1"/>
  <c r="M111" i="20" s="1"/>
  <c r="M112" i="20" a="1"/>
  <c r="M112" i="20" s="1"/>
  <c r="M113" i="20" a="1"/>
  <c r="M113" i="20" s="1"/>
  <c r="M114" i="20" a="1"/>
  <c r="M114" i="20" s="1"/>
  <c r="N114" i="20" s="1"/>
  <c r="M115" i="20" a="1"/>
  <c r="M115" i="20" s="1"/>
  <c r="M116" i="20" a="1"/>
  <c r="M116" i="20" s="1"/>
  <c r="M117" i="20" a="1"/>
  <c r="M117" i="20" s="1"/>
  <c r="M118" i="20" a="1"/>
  <c r="M118" i="20"/>
  <c r="N118" i="20" s="1"/>
  <c r="M119" i="20" a="1"/>
  <c r="M119" i="20" s="1"/>
  <c r="M120" i="20" a="1"/>
  <c r="M120" i="20" s="1"/>
  <c r="M121" i="20" a="1"/>
  <c r="M121" i="20" s="1"/>
  <c r="M122" i="20" a="1"/>
  <c r="M122" i="20" s="1"/>
  <c r="N122" i="20" s="1"/>
  <c r="M123" i="20" a="1"/>
  <c r="M123" i="20" s="1"/>
  <c r="M124" i="20" a="1"/>
  <c r="M124" i="20" s="1"/>
  <c r="M125" i="20" a="1"/>
  <c r="M125" i="20" s="1"/>
  <c r="M126" i="20" a="1"/>
  <c r="M126" i="20"/>
  <c r="N126" i="20" s="1"/>
  <c r="M127" i="20" a="1"/>
  <c r="M127" i="20" s="1"/>
  <c r="M128" i="20" a="1"/>
  <c r="M128" i="20" s="1"/>
  <c r="M129" i="20" a="1"/>
  <c r="M129" i="20" s="1"/>
  <c r="M130" i="20" a="1"/>
  <c r="M130" i="20" s="1"/>
  <c r="N130" i="20" s="1"/>
  <c r="M131" i="20" a="1"/>
  <c r="M131" i="20" s="1"/>
  <c r="M132" i="20" a="1"/>
  <c r="M132" i="20" s="1"/>
  <c r="M133" i="20" a="1"/>
  <c r="M133" i="20" s="1"/>
  <c r="M134" i="20" a="1"/>
  <c r="M134" i="20"/>
  <c r="N134" i="20" s="1"/>
  <c r="M135" i="20" a="1"/>
  <c r="M135" i="20" s="1"/>
  <c r="M136" i="20" a="1"/>
  <c r="M136" i="20" s="1"/>
  <c r="M137" i="20" a="1"/>
  <c r="M137" i="20" s="1"/>
  <c r="M138" i="20" a="1"/>
  <c r="M138" i="20" s="1"/>
  <c r="N138" i="20" s="1"/>
  <c r="M139" i="20" a="1"/>
  <c r="M139" i="20" s="1"/>
  <c r="M140" i="20" a="1"/>
  <c r="M140" i="20" s="1"/>
  <c r="M141" i="20" a="1"/>
  <c r="M141" i="20" s="1"/>
  <c r="M142" i="20" a="1"/>
  <c r="M142" i="20"/>
  <c r="N142" i="20" s="1"/>
  <c r="M143" i="20" a="1"/>
  <c r="M143" i="20" s="1"/>
  <c r="M144" i="20" a="1"/>
  <c r="M144" i="20" s="1"/>
  <c r="M145" i="20" a="1"/>
  <c r="M145" i="20" s="1"/>
  <c r="M146" i="20" a="1"/>
  <c r="M146" i="20" s="1"/>
  <c r="N146" i="20" s="1"/>
  <c r="M147" i="20" a="1"/>
  <c r="M147" i="20" s="1"/>
  <c r="M148" i="20" a="1"/>
  <c r="M148" i="20" s="1"/>
  <c r="M149" i="20" a="1"/>
  <c r="M149" i="20" s="1"/>
  <c r="M150" i="20" a="1"/>
  <c r="M150" i="20"/>
  <c r="N150" i="20" s="1"/>
  <c r="M151" i="20" a="1"/>
  <c r="M151" i="20" s="1"/>
  <c r="M152" i="20" a="1"/>
  <c r="M152" i="20" s="1"/>
  <c r="M153" i="20" a="1"/>
  <c r="M153" i="20" s="1"/>
  <c r="M154" i="20" a="1"/>
  <c r="M154" i="20" s="1"/>
  <c r="N154" i="20" s="1"/>
  <c r="M155" i="20" a="1"/>
  <c r="M155" i="20" s="1"/>
  <c r="M156" i="20" a="1"/>
  <c r="M156" i="20" s="1"/>
  <c r="M157" i="20" a="1"/>
  <c r="M157" i="20" s="1"/>
  <c r="M158" i="20" a="1"/>
  <c r="M158" i="20"/>
  <c r="N158" i="20" s="1"/>
  <c r="M159" i="20" a="1"/>
  <c r="M159" i="20" s="1"/>
  <c r="M160" i="20" a="1"/>
  <c r="M160" i="20" s="1"/>
  <c r="M161" i="20" a="1"/>
  <c r="M161" i="20" s="1"/>
  <c r="M162" i="20" a="1"/>
  <c r="M162" i="20" s="1"/>
  <c r="N162" i="20" s="1"/>
  <c r="M163" i="20" a="1"/>
  <c r="M163" i="20" s="1"/>
  <c r="M164" i="20" a="1"/>
  <c r="M164" i="20" s="1"/>
  <c r="M165" i="20" a="1"/>
  <c r="M165" i="20" s="1"/>
  <c r="M166" i="20" a="1"/>
  <c r="M166" i="20"/>
  <c r="N166" i="20" s="1"/>
  <c r="M167" i="20" a="1"/>
  <c r="M167" i="20" s="1"/>
  <c r="M168" i="20" a="1"/>
  <c r="M168" i="20" s="1"/>
  <c r="M169" i="20" a="1"/>
  <c r="M169" i="20" s="1"/>
  <c r="M170" i="20" a="1"/>
  <c r="M170" i="20" s="1"/>
  <c r="N170" i="20" s="1"/>
  <c r="M171" i="20" a="1"/>
  <c r="M171" i="20" s="1"/>
  <c r="M172" i="20" a="1"/>
  <c r="M172" i="20" s="1"/>
  <c r="M173" i="20" a="1"/>
  <c r="M173" i="20" s="1"/>
  <c r="M174" i="20" a="1"/>
  <c r="M174" i="20"/>
  <c r="N174" i="20" s="1"/>
  <c r="M175" i="20" a="1"/>
  <c r="M175" i="20" s="1"/>
  <c r="M176" i="20" a="1"/>
  <c r="M176" i="20" s="1"/>
  <c r="M177" i="20" a="1"/>
  <c r="M177" i="20" s="1"/>
  <c r="M178" i="20" a="1"/>
  <c r="M178" i="20" s="1"/>
  <c r="N178" i="20" s="1"/>
  <c r="M179" i="20" a="1"/>
  <c r="M179" i="20" s="1"/>
  <c r="M180" i="20" a="1"/>
  <c r="M180" i="20" s="1"/>
  <c r="M181" i="20" a="1"/>
  <c r="M181" i="20" s="1"/>
  <c r="M182" i="20" a="1"/>
  <c r="M182" i="20"/>
  <c r="N182" i="20" s="1"/>
  <c r="M183" i="20" a="1"/>
  <c r="M183" i="20" s="1"/>
  <c r="M184" i="20" a="1"/>
  <c r="M184" i="20" s="1"/>
  <c r="M185" i="20" a="1"/>
  <c r="M185" i="20" s="1"/>
  <c r="M186" i="20" a="1"/>
  <c r="M186" i="20" s="1"/>
  <c r="N186" i="20" s="1"/>
  <c r="M187" i="20" a="1"/>
  <c r="M187" i="20" s="1"/>
  <c r="M188" i="20" a="1"/>
  <c r="M188" i="20" s="1"/>
  <c r="M189" i="20" a="1"/>
  <c r="M189" i="20" s="1"/>
  <c r="M190" i="20" a="1"/>
  <c r="M190" i="20"/>
  <c r="N190" i="20" s="1"/>
  <c r="M191" i="20" a="1"/>
  <c r="M191" i="20" s="1"/>
  <c r="M192" i="20" a="1"/>
  <c r="M192" i="20" s="1"/>
  <c r="M193" i="20" a="1"/>
  <c r="M193" i="20" s="1"/>
  <c r="M194" i="20" a="1"/>
  <c r="M194" i="20" s="1"/>
  <c r="N194" i="20" s="1"/>
  <c r="M195" i="20" a="1"/>
  <c r="M195" i="20" s="1"/>
  <c r="M196" i="20" a="1"/>
  <c r="M196" i="20" s="1"/>
  <c r="M197" i="20" a="1"/>
  <c r="M197" i="20" s="1"/>
  <c r="M198" i="20" a="1"/>
  <c r="M198" i="20"/>
  <c r="M199" i="20" a="1"/>
  <c r="M199" i="20" s="1"/>
  <c r="M200" i="20" a="1"/>
  <c r="M200" i="20" s="1"/>
  <c r="M201" i="20" a="1"/>
  <c r="M201" i="20" s="1"/>
  <c r="M202" i="20" a="1"/>
  <c r="M202" i="20" s="1"/>
  <c r="M203" i="20" a="1"/>
  <c r="M203" i="20" s="1"/>
  <c r="M204" i="20" a="1"/>
  <c r="M204" i="20" s="1"/>
  <c r="M205" i="20" a="1"/>
  <c r="M205" i="20" s="1"/>
  <c r="M206" i="20" a="1"/>
  <c r="M206" i="20"/>
  <c r="M207" i="20" a="1"/>
  <c r="M207" i="20" s="1"/>
  <c r="M208" i="20" a="1"/>
  <c r="M208" i="20" s="1"/>
  <c r="M209" i="20" a="1"/>
  <c r="M209" i="20" s="1"/>
  <c r="M210" i="20" a="1"/>
  <c r="M210" i="20" s="1"/>
  <c r="M211" i="20" a="1"/>
  <c r="M211" i="20" s="1"/>
  <c r="M212" i="20" a="1"/>
  <c r="M212" i="20" s="1"/>
  <c r="M213" i="20" a="1"/>
  <c r="M213" i="20" s="1"/>
  <c r="M214" i="20" a="1"/>
  <c r="M214" i="20"/>
  <c r="M215" i="20" a="1"/>
  <c r="M215" i="20" s="1"/>
  <c r="M216" i="20" a="1"/>
  <c r="M216" i="20" s="1"/>
  <c r="M217" i="20" a="1"/>
  <c r="M217" i="20" s="1"/>
  <c r="M218" i="20" a="1"/>
  <c r="M218" i="20" s="1"/>
  <c r="M219" i="20" a="1"/>
  <c r="M219" i="20" s="1"/>
  <c r="M220" i="20" a="1"/>
  <c r="M220" i="20" s="1"/>
  <c r="M221" i="20" a="1"/>
  <c r="M221" i="20" s="1"/>
  <c r="M222" i="20" a="1"/>
  <c r="M222" i="20"/>
  <c r="M223" i="20" a="1"/>
  <c r="M223" i="20" s="1"/>
  <c r="M224" i="20" a="1"/>
  <c r="M224" i="20" s="1"/>
  <c r="M225" i="20" a="1"/>
  <c r="M225" i="20" s="1"/>
  <c r="M226" i="20" a="1"/>
  <c r="M226" i="20" s="1"/>
  <c r="M227" i="20" a="1"/>
  <c r="M227" i="20" s="1"/>
  <c r="M228" i="20" a="1"/>
  <c r="M228" i="20" s="1"/>
  <c r="M229" i="20" a="1"/>
  <c r="M229" i="20" s="1"/>
  <c r="M230" i="20" a="1"/>
  <c r="M230" i="20"/>
  <c r="M231" i="20" a="1"/>
  <c r="M231" i="20" s="1"/>
  <c r="M232" i="20" a="1"/>
  <c r="M232" i="20" s="1"/>
  <c r="M233" i="20" a="1"/>
  <c r="M233" i="20" s="1"/>
  <c r="M234" i="20" a="1"/>
  <c r="M234" i="20" s="1"/>
  <c r="M235" i="20" a="1"/>
  <c r="M235" i="20" s="1"/>
  <c r="M236" i="20" a="1"/>
  <c r="M236" i="20" s="1"/>
  <c r="M237" i="20" a="1"/>
  <c r="M237" i="20" s="1"/>
  <c r="M238" i="20" a="1"/>
  <c r="M238" i="20"/>
  <c r="M239" i="20" a="1"/>
  <c r="M239" i="20" s="1"/>
  <c r="M240" i="20" a="1"/>
  <c r="M240" i="20" s="1"/>
  <c r="M241" i="20" a="1"/>
  <c r="M241" i="20" s="1"/>
  <c r="M242" i="20" a="1"/>
  <c r="M242" i="20" s="1"/>
  <c r="M243" i="20" a="1"/>
  <c r="M243" i="20" s="1"/>
  <c r="M244" i="20" a="1"/>
  <c r="M244" i="20" s="1"/>
  <c r="M245" i="20" a="1"/>
  <c r="M245" i="20" s="1"/>
  <c r="M246" i="20" a="1"/>
  <c r="M246" i="20"/>
  <c r="M247" i="20" a="1"/>
  <c r="M247" i="20" s="1"/>
  <c r="M248" i="20" a="1"/>
  <c r="M248" i="20" s="1"/>
  <c r="M249" i="20" a="1"/>
  <c r="M249" i="20" s="1"/>
  <c r="M250" i="20" a="1"/>
  <c r="M250" i="20" s="1"/>
  <c r="M251" i="20" a="1"/>
  <c r="M251" i="20" s="1"/>
  <c r="M252" i="20" a="1"/>
  <c r="M252" i="20" s="1"/>
  <c r="M253" i="20" a="1"/>
  <c r="M253" i="20" s="1"/>
  <c r="M254" i="20" a="1"/>
  <c r="M254" i="20"/>
  <c r="M255" i="20" a="1"/>
  <c r="M255" i="20" s="1"/>
  <c r="M256" i="20" a="1"/>
  <c r="M256" i="20" s="1"/>
  <c r="M257" i="20" a="1"/>
  <c r="M257" i="20" s="1"/>
  <c r="M258" i="20" a="1"/>
  <c r="M258" i="20" s="1"/>
  <c r="M259" i="20" a="1"/>
  <c r="M259" i="20" s="1"/>
  <c r="M260" i="20" a="1"/>
  <c r="M260" i="20" s="1"/>
  <c r="M261" i="20" a="1"/>
  <c r="M261" i="20" s="1"/>
  <c r="M262" i="20" a="1"/>
  <c r="M262" i="20"/>
  <c r="M263" i="20" a="1"/>
  <c r="M263" i="20" s="1"/>
  <c r="M264" i="20" a="1"/>
  <c r="M264" i="20" s="1"/>
  <c r="M265" i="20" a="1"/>
  <c r="M265" i="20" s="1"/>
  <c r="M266" i="20" a="1"/>
  <c r="M266" i="20" s="1"/>
  <c r="M267" i="20" a="1"/>
  <c r="M267" i="20" s="1"/>
  <c r="M268" i="20" a="1"/>
  <c r="M268" i="20" s="1"/>
  <c r="M269" i="20" a="1"/>
  <c r="M269" i="20" s="1"/>
  <c r="M270" i="20" a="1"/>
  <c r="M270" i="20"/>
  <c r="M271" i="20" a="1"/>
  <c r="M271" i="20" s="1"/>
  <c r="M272" i="20" a="1"/>
  <c r="M272" i="20" s="1"/>
  <c r="M273" i="20" a="1"/>
  <c r="M273" i="20" s="1"/>
  <c r="M274" i="20" a="1"/>
  <c r="M274" i="20" s="1"/>
  <c r="M275" i="20" a="1"/>
  <c r="M275" i="20" s="1"/>
  <c r="M276" i="20" a="1"/>
  <c r="M276" i="20" s="1"/>
  <c r="M277" i="20" a="1"/>
  <c r="M277" i="20" s="1"/>
  <c r="M278" i="20" a="1"/>
  <c r="M278" i="20"/>
  <c r="M279" i="20" a="1"/>
  <c r="M279" i="20" s="1"/>
  <c r="M280" i="20" a="1"/>
  <c r="M280" i="20" s="1"/>
  <c r="M281" i="20" a="1"/>
  <c r="M281" i="20" s="1"/>
  <c r="M282" i="20" a="1"/>
  <c r="M282" i="20" s="1"/>
  <c r="M283" i="20" a="1"/>
  <c r="M283" i="20" s="1"/>
  <c r="M284" i="20" a="1"/>
  <c r="M284" i="20" s="1"/>
  <c r="M285" i="20" a="1"/>
  <c r="M285" i="20" s="1"/>
  <c r="M286" i="20" a="1"/>
  <c r="M286" i="20"/>
  <c r="M287" i="20" a="1"/>
  <c r="M287" i="20" s="1"/>
  <c r="M288" i="20" a="1"/>
  <c r="M288" i="20" s="1"/>
  <c r="M289" i="20" a="1"/>
  <c r="M289" i="20" s="1"/>
  <c r="M290" i="20" a="1"/>
  <c r="M290" i="20" s="1"/>
  <c r="M291" i="20" a="1"/>
  <c r="M291" i="20" s="1"/>
  <c r="M292" i="20" a="1"/>
  <c r="M292" i="20" s="1"/>
  <c r="N292" i="20" s="1"/>
  <c r="M293" i="20" a="1"/>
  <c r="M293" i="20" s="1"/>
  <c r="M294" i="20" a="1"/>
  <c r="M294" i="20" s="1"/>
  <c r="M295" i="20" a="1"/>
  <c r="M295" i="20" s="1"/>
  <c r="M296" i="20" a="1"/>
  <c r="M296" i="20" s="1"/>
  <c r="M297" i="20" a="1"/>
  <c r="M297" i="20" s="1"/>
  <c r="M298" i="20" a="1"/>
  <c r="M298" i="20" s="1"/>
  <c r="N4" i="20"/>
  <c r="N5" i="20"/>
  <c r="N6" i="20"/>
  <c r="N9" i="20"/>
  <c r="N10" i="20"/>
  <c r="N11" i="20"/>
  <c r="N12" i="20"/>
  <c r="N14" i="20"/>
  <c r="N15" i="20"/>
  <c r="N17" i="20"/>
  <c r="N19" i="20"/>
  <c r="N20" i="20"/>
  <c r="N21" i="20"/>
  <c r="N23" i="20"/>
  <c r="N24" i="20"/>
  <c r="N25" i="20"/>
  <c r="N27" i="20"/>
  <c r="N28" i="20"/>
  <c r="N29" i="20"/>
  <c r="N31" i="20"/>
  <c r="N32" i="20"/>
  <c r="N33" i="20"/>
  <c r="N35" i="20"/>
  <c r="N36" i="20"/>
  <c r="N37" i="20"/>
  <c r="N39" i="20"/>
  <c r="N40" i="20"/>
  <c r="N41" i="20"/>
  <c r="N43" i="20"/>
  <c r="N44" i="20"/>
  <c r="N45" i="20"/>
  <c r="N47" i="20"/>
  <c r="N48" i="20"/>
  <c r="N49" i="20"/>
  <c r="N51" i="20"/>
  <c r="N52" i="20"/>
  <c r="N53" i="20"/>
  <c r="N55" i="20"/>
  <c r="N56" i="20"/>
  <c r="N57" i="20"/>
  <c r="N59" i="20"/>
  <c r="N60" i="20"/>
  <c r="N61" i="20"/>
  <c r="N63" i="20"/>
  <c r="N64" i="20"/>
  <c r="N65" i="20"/>
  <c r="N67" i="20"/>
  <c r="N68" i="20"/>
  <c r="N69" i="20"/>
  <c r="N71" i="20"/>
  <c r="N72" i="20"/>
  <c r="N73" i="20"/>
  <c r="N75" i="20"/>
  <c r="N76" i="20"/>
  <c r="N77" i="20"/>
  <c r="N79" i="20"/>
  <c r="N80" i="20"/>
  <c r="N81" i="20"/>
  <c r="N83" i="20"/>
  <c r="N84" i="20"/>
  <c r="N85" i="20"/>
  <c r="N87" i="20"/>
  <c r="N88" i="20"/>
  <c r="N89" i="20"/>
  <c r="N91" i="20"/>
  <c r="N92" i="20"/>
  <c r="N93" i="20"/>
  <c r="N95" i="20"/>
  <c r="N96" i="20"/>
  <c r="N97" i="20"/>
  <c r="N99" i="20"/>
  <c r="N100" i="20"/>
  <c r="N101" i="20"/>
  <c r="N103" i="20"/>
  <c r="N104" i="20"/>
  <c r="N105" i="20"/>
  <c r="N107" i="20"/>
  <c r="N108" i="20"/>
  <c r="N109" i="20"/>
  <c r="N111" i="20"/>
  <c r="N112" i="20"/>
  <c r="N113" i="20"/>
  <c r="N115" i="20"/>
  <c r="N116" i="20"/>
  <c r="N117" i="20"/>
  <c r="N119" i="20"/>
  <c r="N120" i="20"/>
  <c r="N121" i="20"/>
  <c r="N123" i="20"/>
  <c r="N124" i="20"/>
  <c r="N125" i="20"/>
  <c r="N127" i="20"/>
  <c r="N128" i="20"/>
  <c r="N129" i="20"/>
  <c r="N131" i="20"/>
  <c r="N132" i="20"/>
  <c r="N133" i="20"/>
  <c r="N135" i="20"/>
  <c r="N136" i="20"/>
  <c r="N137" i="20"/>
  <c r="N139" i="20"/>
  <c r="N140" i="20"/>
  <c r="N141" i="20"/>
  <c r="N143" i="20"/>
  <c r="N144" i="20"/>
  <c r="N145" i="20"/>
  <c r="N147" i="20"/>
  <c r="N148" i="20"/>
  <c r="N149" i="20"/>
  <c r="N151" i="20"/>
  <c r="N152" i="20"/>
  <c r="N153" i="20"/>
  <c r="N155" i="20"/>
  <c r="N156" i="20"/>
  <c r="N157" i="20"/>
  <c r="N159" i="20"/>
  <c r="N160" i="20"/>
  <c r="N161" i="20"/>
  <c r="N163" i="20"/>
  <c r="N164" i="20"/>
  <c r="N165" i="20"/>
  <c r="N167" i="20"/>
  <c r="N168" i="20"/>
  <c r="N169" i="20"/>
  <c r="N171" i="20"/>
  <c r="N172" i="20"/>
  <c r="N173" i="20"/>
  <c r="N175" i="20"/>
  <c r="N176" i="20"/>
  <c r="N177" i="20"/>
  <c r="N179" i="20"/>
  <c r="N180" i="20"/>
  <c r="N181" i="20"/>
  <c r="N183" i="20"/>
  <c r="N184" i="20"/>
  <c r="N185" i="20"/>
  <c r="N187" i="20"/>
  <c r="N188" i="20"/>
  <c r="N189" i="20"/>
  <c r="N191" i="20"/>
  <c r="N192" i="20"/>
  <c r="N193" i="20"/>
  <c r="N195" i="20"/>
  <c r="N196" i="20"/>
  <c r="N197" i="20"/>
  <c r="N198" i="20"/>
  <c r="N199" i="20"/>
  <c r="N200" i="20"/>
  <c r="N201" i="20"/>
  <c r="N202" i="20"/>
  <c r="N203" i="20"/>
  <c r="N204" i="20"/>
  <c r="N205" i="20"/>
  <c r="N206" i="20"/>
  <c r="N207" i="20"/>
  <c r="N208" i="20"/>
  <c r="N209" i="20"/>
  <c r="N210" i="20"/>
  <c r="N211" i="20"/>
  <c r="N212" i="20"/>
  <c r="N213" i="20"/>
  <c r="N214" i="20"/>
  <c r="N215" i="20"/>
  <c r="N216" i="20"/>
  <c r="N217" i="20"/>
  <c r="N218" i="20"/>
  <c r="N219" i="20"/>
  <c r="N220" i="20"/>
  <c r="N221" i="20"/>
  <c r="N222" i="20"/>
  <c r="N223" i="20"/>
  <c r="N224" i="20"/>
  <c r="N225" i="20"/>
  <c r="N226" i="20"/>
  <c r="N227" i="20"/>
  <c r="N228" i="20"/>
  <c r="N229" i="20"/>
  <c r="N230" i="20"/>
  <c r="N231" i="20"/>
  <c r="N232" i="20"/>
  <c r="N233" i="20"/>
  <c r="N234" i="20"/>
  <c r="N235" i="20"/>
  <c r="N236" i="20"/>
  <c r="N237" i="20"/>
  <c r="N238" i="20"/>
  <c r="N239" i="20"/>
  <c r="N240" i="20"/>
  <c r="N241" i="20"/>
  <c r="N242" i="20"/>
  <c r="N243" i="20"/>
  <c r="N244" i="20"/>
  <c r="N245" i="20"/>
  <c r="N246" i="20"/>
  <c r="N247" i="20"/>
  <c r="N248" i="20"/>
  <c r="N249" i="20"/>
  <c r="N250" i="20"/>
  <c r="N251" i="20"/>
  <c r="N252" i="20"/>
  <c r="N253" i="20"/>
  <c r="N254" i="20"/>
  <c r="N255" i="20"/>
  <c r="N256" i="20"/>
  <c r="N257" i="20"/>
  <c r="N258" i="20"/>
  <c r="N259" i="20"/>
  <c r="N260" i="20"/>
  <c r="N261" i="20"/>
  <c r="N262" i="20"/>
  <c r="N263" i="20"/>
  <c r="N264" i="20"/>
  <c r="N265" i="20"/>
  <c r="N266" i="20"/>
  <c r="N267" i="20"/>
  <c r="N268" i="20"/>
  <c r="N269" i="20"/>
  <c r="N270" i="20"/>
  <c r="N271" i="20"/>
  <c r="N272" i="20"/>
  <c r="N273" i="20"/>
  <c r="N274" i="20"/>
  <c r="N275" i="20"/>
  <c r="N276" i="20"/>
  <c r="N277" i="20"/>
  <c r="N278" i="20"/>
  <c r="N279" i="20"/>
  <c r="N280" i="20"/>
  <c r="N281" i="20"/>
  <c r="N282" i="20"/>
  <c r="N283" i="20"/>
  <c r="N284" i="20"/>
  <c r="N285" i="20"/>
  <c r="N286" i="20"/>
  <c r="N287" i="20"/>
  <c r="N288" i="20"/>
  <c r="N289" i="20"/>
  <c r="N290" i="20"/>
  <c r="N291" i="20"/>
  <c r="N293" i="20"/>
  <c r="N294" i="20"/>
  <c r="N295" i="20"/>
  <c r="N296" i="20"/>
  <c r="N297" i="20"/>
  <c r="N298" i="20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1" i="20" a="1"/>
  <c r="O71" i="20" s="1"/>
  <c r="O72" i="20" a="1"/>
  <c r="O72" i="20" s="1"/>
  <c r="O73" i="20" a="1"/>
  <c r="O73" i="20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 s="1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 s="1"/>
  <c r="O89" i="20" a="1"/>
  <c r="O89" i="20"/>
  <c r="O90" i="20" a="1"/>
  <c r="O90" i="20" s="1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 s="1"/>
  <c r="O144" i="20" a="1"/>
  <c r="O144" i="20" s="1"/>
  <c r="O145" i="20" a="1"/>
  <c r="O145" i="20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O152" i="20" a="1"/>
  <c r="O152" i="20" s="1"/>
  <c r="O153" i="20" a="1"/>
  <c r="O153" i="20" s="1"/>
  <c r="O154" i="20" a="1"/>
  <c r="O154" i="20" s="1"/>
  <c r="O155" i="20" a="1"/>
  <c r="O155" i="20" s="1"/>
  <c r="O156" i="20" a="1"/>
  <c r="O156" i="20" s="1"/>
  <c r="O157" i="20" a="1"/>
  <c r="O157" i="20" s="1"/>
  <c r="O158" i="20" a="1"/>
  <c r="O158" i="20" s="1"/>
  <c r="O159" i="20" a="1"/>
  <c r="O159" i="20" s="1"/>
  <c r="O160" i="20" a="1"/>
  <c r="O160" i="20" s="1"/>
  <c r="O161" i="20" a="1"/>
  <c r="O161" i="20" s="1"/>
  <c r="O162" i="20" a="1"/>
  <c r="O162" i="20" s="1"/>
  <c r="O163" i="20" a="1"/>
  <c r="O163" i="20"/>
  <c r="O164" i="20" a="1"/>
  <c r="O164" i="20" s="1"/>
  <c r="O165" i="20" a="1"/>
  <c r="O165" i="20" s="1"/>
  <c r="O166" i="20" a="1"/>
  <c r="O166" i="20" s="1"/>
  <c r="O167" i="20" a="1"/>
  <c r="O167" i="20" s="1"/>
  <c r="O168" i="20" a="1"/>
  <c r="O168" i="20" s="1"/>
  <c r="O169" i="20" a="1"/>
  <c r="O169" i="20"/>
  <c r="O170" i="20" a="1"/>
  <c r="O170" i="20" s="1"/>
  <c r="O171" i="20" a="1"/>
  <c r="O171" i="20" s="1"/>
  <c r="O172" i="20" a="1"/>
  <c r="O172" i="20" s="1"/>
  <c r="O173" i="20" a="1"/>
  <c r="O173" i="20" s="1"/>
  <c r="O174" i="20" a="1"/>
  <c r="O174" i="20" s="1"/>
  <c r="O175" i="20" a="1"/>
  <c r="O175" i="20"/>
  <c r="O176" i="20" a="1"/>
  <c r="O176" i="20" s="1"/>
  <c r="O177" i="20" a="1"/>
  <c r="O177" i="20" s="1"/>
  <c r="O178" i="20" a="1"/>
  <c r="O178" i="20" s="1"/>
  <c r="O179" i="20" a="1"/>
  <c r="O179" i="20" s="1"/>
  <c r="O180" i="20" a="1"/>
  <c r="O180" i="20" s="1"/>
  <c r="O181" i="20" a="1"/>
  <c r="O181" i="20" s="1"/>
  <c r="O182" i="20" a="1"/>
  <c r="O182" i="20" s="1"/>
  <c r="O183" i="20" a="1"/>
  <c r="O183" i="20" s="1"/>
  <c r="O184" i="20" a="1"/>
  <c r="O184" i="20" s="1"/>
  <c r="O185" i="20" a="1"/>
  <c r="O185" i="20"/>
  <c r="O186" i="20" a="1"/>
  <c r="O186" i="20" s="1"/>
  <c r="O187" i="20" a="1"/>
  <c r="O187" i="20" s="1"/>
  <c r="O188" i="20" a="1"/>
  <c r="O188" i="20" s="1"/>
  <c r="O189" i="20" a="1"/>
  <c r="O189" i="20" s="1"/>
  <c r="O190" i="20" a="1"/>
  <c r="O190" i="20" s="1"/>
  <c r="O191" i="20" a="1"/>
  <c r="O191" i="20"/>
  <c r="O192" i="20" a="1"/>
  <c r="O192" i="20" s="1"/>
  <c r="O193" i="20" a="1"/>
  <c r="O193" i="20" s="1"/>
  <c r="O194" i="20" a="1"/>
  <c r="O194" i="20" s="1"/>
  <c r="O195" i="20" a="1"/>
  <c r="O195" i="20" s="1"/>
  <c r="O196" i="20" a="1"/>
  <c r="O196" i="20" s="1"/>
  <c r="O197" i="20" a="1"/>
  <c r="O197" i="20" s="1"/>
  <c r="O198" i="20" a="1"/>
  <c r="O198" i="20" s="1"/>
  <c r="O199" i="20" a="1"/>
  <c r="O199" i="20" s="1"/>
  <c r="O200" i="20" a="1"/>
  <c r="O200" i="20" s="1"/>
  <c r="O201" i="20" a="1"/>
  <c r="O201" i="20"/>
  <c r="O202" i="20" a="1"/>
  <c r="O202" i="20" s="1"/>
  <c r="O203" i="20" a="1"/>
  <c r="O203" i="20" s="1"/>
  <c r="O204" i="20" a="1"/>
  <c r="O204" i="20" s="1"/>
  <c r="O205" i="20" a="1"/>
  <c r="O205" i="20" s="1"/>
  <c r="O206" i="20" a="1"/>
  <c r="O206" i="20" s="1"/>
  <c r="O207" i="20" a="1"/>
  <c r="O207" i="20"/>
  <c r="O208" i="20" a="1"/>
  <c r="O208" i="20" s="1"/>
  <c r="O209" i="20" a="1"/>
  <c r="O209" i="20" s="1"/>
  <c r="O210" i="20" a="1"/>
  <c r="O210" i="20" s="1"/>
  <c r="O211" i="20" a="1"/>
  <c r="O211" i="20" s="1"/>
  <c r="O212" i="20" a="1"/>
  <c r="O212" i="20" s="1"/>
  <c r="O213" i="20" a="1"/>
  <c r="O213" i="20" s="1"/>
  <c r="O214" i="20" a="1"/>
  <c r="O214" i="20" s="1"/>
  <c r="O215" i="20" a="1"/>
  <c r="O215" i="20" s="1"/>
  <c r="O216" i="20" a="1"/>
  <c r="O216" i="20" s="1"/>
  <c r="O217" i="20" a="1"/>
  <c r="O217" i="20"/>
  <c r="O218" i="20" a="1"/>
  <c r="O218" i="20" s="1"/>
  <c r="O219" i="20" a="1"/>
  <c r="O219" i="20" s="1"/>
  <c r="O220" i="20" a="1"/>
  <c r="O220" i="20" s="1"/>
  <c r="O221" i="20" a="1"/>
  <c r="O221" i="20" s="1"/>
  <c r="O222" i="20" a="1"/>
  <c r="O222" i="20" s="1"/>
  <c r="O223" i="20" a="1"/>
  <c r="O223" i="20"/>
  <c r="O224" i="20" a="1"/>
  <c r="O224" i="20" s="1"/>
  <c r="O225" i="20" a="1"/>
  <c r="O225" i="20" s="1"/>
  <c r="O226" i="20" a="1"/>
  <c r="O226" i="20" s="1"/>
  <c r="O227" i="20" a="1"/>
  <c r="O227" i="20" s="1"/>
  <c r="O228" i="20" a="1"/>
  <c r="O228" i="20" s="1"/>
  <c r="O229" i="20" a="1"/>
  <c r="O229" i="20" s="1"/>
  <c r="O230" i="20" a="1"/>
  <c r="O230" i="20" s="1"/>
  <c r="O231" i="20" a="1"/>
  <c r="O231" i="20" s="1"/>
  <c r="O232" i="20" a="1"/>
  <c r="O232" i="20" s="1"/>
  <c r="O233" i="20" a="1"/>
  <c r="O233" i="20"/>
  <c r="O234" i="20" a="1"/>
  <c r="O234" i="20" s="1"/>
  <c r="O235" i="20" a="1"/>
  <c r="O235" i="20" s="1"/>
  <c r="O236" i="20" a="1"/>
  <c r="O236" i="20" s="1"/>
  <c r="O237" i="20" a="1"/>
  <c r="O237" i="20" s="1"/>
  <c r="O238" i="20" a="1"/>
  <c r="O238" i="20" s="1"/>
  <c r="O239" i="20" a="1"/>
  <c r="O239" i="20"/>
  <c r="O240" i="20" a="1"/>
  <c r="O240" i="20" s="1"/>
  <c r="O241" i="20" a="1"/>
  <c r="O241" i="20" s="1"/>
  <c r="O242" i="20" a="1"/>
  <c r="O242" i="20" s="1"/>
  <c r="O243" i="20" a="1"/>
  <c r="O243" i="20" s="1"/>
  <c r="O244" i="20" a="1"/>
  <c r="O244" i="20" s="1"/>
  <c r="O245" i="20" a="1"/>
  <c r="O245" i="20" s="1"/>
  <c r="O246" i="20" a="1"/>
  <c r="O246" i="20" s="1"/>
  <c r="O247" i="20" a="1"/>
  <c r="O247" i="20" s="1"/>
  <c r="O248" i="20" a="1"/>
  <c r="O248" i="20" s="1"/>
  <c r="O249" i="20" a="1"/>
  <c r="O249" i="20"/>
  <c r="O250" i="20" a="1"/>
  <c r="O250" i="20" s="1"/>
  <c r="O251" i="20" a="1"/>
  <c r="O251" i="20" s="1"/>
  <c r="O252" i="20" a="1"/>
  <c r="O252" i="20" s="1"/>
  <c r="O253" i="20" a="1"/>
  <c r="O253" i="20" s="1"/>
  <c r="O254" i="20" a="1"/>
  <c r="O254" i="20" s="1"/>
  <c r="O255" i="20" a="1"/>
  <c r="O255" i="20"/>
  <c r="O256" i="20" a="1"/>
  <c r="O256" i="20" s="1"/>
  <c r="O257" i="20" a="1"/>
  <c r="O257" i="20" s="1"/>
  <c r="O258" i="20" a="1"/>
  <c r="O258" i="20" s="1"/>
  <c r="O259" i="20" a="1"/>
  <c r="O259" i="20" s="1"/>
  <c r="O260" i="20" a="1"/>
  <c r="O260" i="20" s="1"/>
  <c r="O261" i="20" a="1"/>
  <c r="O261" i="20" s="1"/>
  <c r="O262" i="20" a="1"/>
  <c r="O262" i="20" s="1"/>
  <c r="O263" i="20" a="1"/>
  <c r="O263" i="20" s="1"/>
  <c r="O264" i="20" a="1"/>
  <c r="O264" i="20" s="1"/>
  <c r="O265" i="20" a="1"/>
  <c r="O265" i="20"/>
  <c r="O266" i="20" a="1"/>
  <c r="O266" i="20" s="1"/>
  <c r="O267" i="20" a="1"/>
  <c r="O267" i="20" s="1"/>
  <c r="O268" i="20" a="1"/>
  <c r="O268" i="20" s="1"/>
  <c r="O269" i="20" a="1"/>
  <c r="O269" i="20" s="1"/>
  <c r="O270" i="20" a="1"/>
  <c r="O270" i="20" s="1"/>
  <c r="O271" i="20" a="1"/>
  <c r="O271" i="20"/>
  <c r="O272" i="20" a="1"/>
  <c r="O272" i="20" s="1"/>
  <c r="O273" i="20" a="1"/>
  <c r="O273" i="20" s="1"/>
  <c r="O274" i="20" a="1"/>
  <c r="O274" i="20" s="1"/>
  <c r="O275" i="20" a="1"/>
  <c r="O275" i="20" s="1"/>
  <c r="O276" i="20" a="1"/>
  <c r="O276" i="20" s="1"/>
  <c r="O277" i="20" a="1"/>
  <c r="O277" i="20" s="1"/>
  <c r="O278" i="20" a="1"/>
  <c r="O278" i="20" s="1"/>
  <c r="O279" i="20" a="1"/>
  <c r="O279" i="20" s="1"/>
  <c r="O280" i="20" a="1"/>
  <c r="O280" i="20" s="1"/>
  <c r="O281" i="20" a="1"/>
  <c r="O281" i="20"/>
  <c r="O282" i="20" a="1"/>
  <c r="O282" i="20" s="1"/>
  <c r="O283" i="20" a="1"/>
  <c r="O283" i="20" s="1"/>
  <c r="O284" i="20" a="1"/>
  <c r="O284" i="20" s="1"/>
  <c r="O285" i="20" a="1"/>
  <c r="O285" i="20" s="1"/>
  <c r="O286" i="20" a="1"/>
  <c r="O286" i="20" s="1"/>
  <c r="O287" i="20" a="1"/>
  <c r="O287" i="20"/>
  <c r="O288" i="20" a="1"/>
  <c r="O288" i="20" s="1"/>
  <c r="O289" i="20" a="1"/>
  <c r="O289" i="20" s="1"/>
  <c r="O290" i="20" a="1"/>
  <c r="O290" i="20" s="1"/>
  <c r="O291" i="20" a="1"/>
  <c r="O291" i="20" s="1"/>
  <c r="O292" i="20" a="1"/>
  <c r="O292" i="20" s="1"/>
  <c r="O293" i="20" a="1"/>
  <c r="O293" i="20" s="1"/>
  <c r="O294" i="20" a="1"/>
  <c r="O294" i="20" s="1"/>
  <c r="O295" i="20" a="1"/>
  <c r="O295" i="20" s="1"/>
  <c r="O296" i="20" a="1"/>
  <c r="O296" i="20" s="1"/>
  <c r="O297" i="20" a="1"/>
  <c r="O297" i="20"/>
  <c r="O298" i="20" a="1"/>
  <c r="O298" i="20" s="1"/>
  <c r="P2" i="20" a="1"/>
  <c r="P2" i="20" s="1"/>
  <c r="P3" i="20" a="1"/>
  <c r="P3" i="20" s="1"/>
  <c r="P4" i="20" a="1"/>
  <c r="P4" i="20" s="1"/>
  <c r="P5" i="20" a="1"/>
  <c r="P5" i="20" s="1"/>
  <c r="P6" i="20" a="1"/>
  <c r="P6" i="20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/>
  <c r="P151" i="20" a="1"/>
  <c r="P151" i="20" s="1"/>
  <c r="P152" i="20" a="1"/>
  <c r="P152" i="20" s="1"/>
  <c r="P153" i="20" a="1"/>
  <c r="P153" i="20" s="1"/>
  <c r="P154" i="20" a="1"/>
  <c r="P154" i="20" s="1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 s="1"/>
  <c r="P160" i="20" a="1"/>
  <c r="P160" i="20"/>
  <c r="P161" i="20" a="1"/>
  <c r="P161" i="20" s="1"/>
  <c r="P162" i="20" a="1"/>
  <c r="P162" i="20" s="1"/>
  <c r="P163" i="20" a="1"/>
  <c r="P163" i="20" s="1"/>
  <c r="P164" i="20" a="1"/>
  <c r="P164" i="20" s="1"/>
  <c r="P165" i="20" a="1"/>
  <c r="P165" i="20" s="1"/>
  <c r="P166" i="20" a="1"/>
  <c r="P166" i="20"/>
  <c r="P167" i="20" a="1"/>
  <c r="P167" i="20" s="1"/>
  <c r="P168" i="20" a="1"/>
  <c r="P168" i="20" s="1"/>
  <c r="P169" i="20" a="1"/>
  <c r="P169" i="20" s="1"/>
  <c r="P170" i="20" a="1"/>
  <c r="P170" i="20" s="1"/>
  <c r="P171" i="20" a="1"/>
  <c r="P171" i="20" s="1"/>
  <c r="P172" i="20" a="1"/>
  <c r="P172" i="20" s="1"/>
  <c r="P173" i="20" a="1"/>
  <c r="P173" i="20" s="1"/>
  <c r="P174" i="20" a="1"/>
  <c r="P174" i="20" s="1"/>
  <c r="P175" i="20" a="1"/>
  <c r="P175" i="20"/>
  <c r="P176" i="20" a="1"/>
  <c r="P176" i="20" s="1"/>
  <c r="P177" i="20" a="1"/>
  <c r="P177" i="20"/>
  <c r="P178" i="20" a="1"/>
  <c r="P178" i="20" s="1"/>
  <c r="P179" i="20" a="1"/>
  <c r="P179" i="20" s="1"/>
  <c r="P180" i="20" a="1"/>
  <c r="P180" i="20" s="1"/>
  <c r="P181" i="20" a="1"/>
  <c r="P181" i="20" s="1"/>
  <c r="P182" i="20" a="1"/>
  <c r="P182" i="20" s="1"/>
  <c r="P183" i="20" a="1"/>
  <c r="P183" i="20"/>
  <c r="P184" i="20" a="1"/>
  <c r="P184" i="20" s="1"/>
  <c r="P185" i="20" a="1"/>
  <c r="P185" i="20"/>
  <c r="P186" i="20" a="1"/>
  <c r="P186" i="20" s="1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/>
  <c r="P192" i="20" a="1"/>
  <c r="P192" i="20" s="1"/>
  <c r="P193" i="20" a="1"/>
  <c r="P193" i="20"/>
  <c r="P194" i="20" a="1"/>
  <c r="P194" i="20" s="1"/>
  <c r="P195" i="20" a="1"/>
  <c r="P195" i="20" s="1"/>
  <c r="P196" i="20" a="1"/>
  <c r="P196" i="20" s="1"/>
  <c r="P197" i="20" a="1"/>
  <c r="P197" i="20" s="1"/>
  <c r="P198" i="20" a="1"/>
  <c r="P198" i="20" s="1"/>
  <c r="P199" i="20" a="1"/>
  <c r="P199" i="20" s="1"/>
  <c r="P200" i="20" a="1"/>
  <c r="P200" i="20" s="1"/>
  <c r="P201" i="20" a="1"/>
  <c r="P201" i="20" s="1"/>
  <c r="P202" i="20" a="1"/>
  <c r="P202" i="20" s="1"/>
  <c r="P203" i="20" a="1"/>
  <c r="P203" i="20" s="1"/>
  <c r="P204" i="20" a="1"/>
  <c r="P204" i="20" s="1"/>
  <c r="P205" i="20" a="1"/>
  <c r="P205" i="20" s="1"/>
  <c r="P206" i="20" a="1"/>
  <c r="P206" i="20" s="1"/>
  <c r="P207" i="20" a="1"/>
  <c r="P207" i="20" s="1"/>
  <c r="P208" i="20" a="1"/>
  <c r="P208" i="20" s="1"/>
  <c r="P209" i="20" a="1"/>
  <c r="P209" i="20" s="1"/>
  <c r="P210" i="20" a="1"/>
  <c r="P210" i="20" s="1"/>
  <c r="P211" i="20" a="1"/>
  <c r="P211" i="20" s="1"/>
  <c r="P212" i="20" a="1"/>
  <c r="P212" i="20" s="1"/>
  <c r="P213" i="20" a="1"/>
  <c r="P213" i="20" s="1"/>
  <c r="P214" i="20" a="1"/>
  <c r="P214" i="20" s="1"/>
  <c r="P215" i="20" a="1"/>
  <c r="P215" i="20" s="1"/>
  <c r="P216" i="20" a="1"/>
  <c r="P216" i="20" s="1"/>
  <c r="P217" i="20" a="1"/>
  <c r="P217" i="20" s="1"/>
  <c r="P218" i="20" a="1"/>
  <c r="P218" i="20" s="1"/>
  <c r="P219" i="20" a="1"/>
  <c r="P219" i="20" s="1"/>
  <c r="P220" i="20" a="1"/>
  <c r="P220" i="20" s="1"/>
  <c r="P221" i="20" a="1"/>
  <c r="P221" i="20" s="1"/>
  <c r="P222" i="20" a="1"/>
  <c r="P222" i="20" s="1"/>
  <c r="P223" i="20" a="1"/>
  <c r="P223" i="20" s="1"/>
  <c r="P224" i="20" a="1"/>
  <c r="P224" i="20" s="1"/>
  <c r="P225" i="20" a="1"/>
  <c r="P225" i="20" s="1"/>
  <c r="P226" i="20" a="1"/>
  <c r="P226" i="20" s="1"/>
  <c r="P227" i="20" a="1"/>
  <c r="P227" i="20" s="1"/>
  <c r="P228" i="20" a="1"/>
  <c r="P228" i="20" s="1"/>
  <c r="P229" i="20" a="1"/>
  <c r="P229" i="20" s="1"/>
  <c r="P230" i="20" a="1"/>
  <c r="P230" i="20" s="1"/>
  <c r="P231" i="20" a="1"/>
  <c r="P231" i="20" s="1"/>
  <c r="P232" i="20" a="1"/>
  <c r="P232" i="20" s="1"/>
  <c r="P233" i="20" a="1"/>
  <c r="P233" i="20" s="1"/>
  <c r="P234" i="20" a="1"/>
  <c r="P234" i="20" s="1"/>
  <c r="P235" i="20" a="1"/>
  <c r="P235" i="20" s="1"/>
  <c r="P236" i="20" a="1"/>
  <c r="P236" i="20" s="1"/>
  <c r="P237" i="20" a="1"/>
  <c r="P237" i="20" s="1"/>
  <c r="P238" i="20" a="1"/>
  <c r="P238" i="20" s="1"/>
  <c r="P239" i="20" a="1"/>
  <c r="P239" i="20" s="1"/>
  <c r="P240" i="20" a="1"/>
  <c r="P240" i="20" s="1"/>
  <c r="P241" i="20" a="1"/>
  <c r="P241" i="20" s="1"/>
  <c r="P242" i="20" a="1"/>
  <c r="P242" i="20" s="1"/>
  <c r="P243" i="20" a="1"/>
  <c r="P243" i="20" s="1"/>
  <c r="P244" i="20" a="1"/>
  <c r="P244" i="20" s="1"/>
  <c r="P245" i="20" a="1"/>
  <c r="P245" i="20" s="1"/>
  <c r="P246" i="20" a="1"/>
  <c r="P246" i="20" s="1"/>
  <c r="P247" i="20" a="1"/>
  <c r="P247" i="20" s="1"/>
  <c r="P248" i="20" a="1"/>
  <c r="P248" i="20" s="1"/>
  <c r="P249" i="20" a="1"/>
  <c r="P249" i="20" s="1"/>
  <c r="P250" i="20" a="1"/>
  <c r="P250" i="20" s="1"/>
  <c r="P251" i="20" a="1"/>
  <c r="P251" i="20" s="1"/>
  <c r="P252" i="20" a="1"/>
  <c r="P252" i="20" s="1"/>
  <c r="P253" i="20" a="1"/>
  <c r="P253" i="20" s="1"/>
  <c r="P254" i="20" a="1"/>
  <c r="P254" i="20" s="1"/>
  <c r="P255" i="20" a="1"/>
  <c r="P255" i="20" s="1"/>
  <c r="P256" i="20" a="1"/>
  <c r="P256" i="20" s="1"/>
  <c r="P257" i="20" a="1"/>
  <c r="P257" i="20" s="1"/>
  <c r="P258" i="20" a="1"/>
  <c r="P258" i="20" s="1"/>
  <c r="P259" i="20" a="1"/>
  <c r="P259" i="20" s="1"/>
  <c r="P260" i="20" a="1"/>
  <c r="P260" i="20" s="1"/>
  <c r="P261" i="20" a="1"/>
  <c r="P261" i="20" s="1"/>
  <c r="P262" i="20" a="1"/>
  <c r="P262" i="20" s="1"/>
  <c r="P263" i="20" a="1"/>
  <c r="P263" i="20" s="1"/>
  <c r="P264" i="20" a="1"/>
  <c r="P264" i="20" s="1"/>
  <c r="P265" i="20" a="1"/>
  <c r="P265" i="20" s="1"/>
  <c r="P266" i="20" a="1"/>
  <c r="P266" i="20" s="1"/>
  <c r="P267" i="20" a="1"/>
  <c r="P267" i="20" s="1"/>
  <c r="P268" i="20" a="1"/>
  <c r="P268" i="20" s="1"/>
  <c r="P269" i="20" a="1"/>
  <c r="P269" i="20" s="1"/>
  <c r="P270" i="20" a="1"/>
  <c r="P270" i="20" s="1"/>
  <c r="P271" i="20" a="1"/>
  <c r="P271" i="20" s="1"/>
  <c r="P272" i="20" a="1"/>
  <c r="P272" i="20" s="1"/>
  <c r="P273" i="20" a="1"/>
  <c r="P273" i="20" s="1"/>
  <c r="P274" i="20" a="1"/>
  <c r="P274" i="20" s="1"/>
  <c r="P275" i="20" a="1"/>
  <c r="P275" i="20" s="1"/>
  <c r="P276" i="20" a="1"/>
  <c r="P276" i="20" s="1"/>
  <c r="P277" i="20" a="1"/>
  <c r="P277" i="20" s="1"/>
  <c r="P278" i="20" a="1"/>
  <c r="P278" i="20" s="1"/>
  <c r="P279" i="20" a="1"/>
  <c r="P279" i="20" s="1"/>
  <c r="P280" i="20" a="1"/>
  <c r="P280" i="20" s="1"/>
  <c r="P281" i="20" a="1"/>
  <c r="P281" i="20" s="1"/>
  <c r="P282" i="20" a="1"/>
  <c r="P282" i="20" s="1"/>
  <c r="P283" i="20" a="1"/>
  <c r="P283" i="20" s="1"/>
  <c r="P284" i="20" a="1"/>
  <c r="P284" i="20" s="1"/>
  <c r="P285" i="20" a="1"/>
  <c r="P285" i="20" s="1"/>
  <c r="P286" i="20" a="1"/>
  <c r="P286" i="20" s="1"/>
  <c r="P287" i="20" a="1"/>
  <c r="P287" i="20" s="1"/>
  <c r="P288" i="20" a="1"/>
  <c r="P288" i="20" s="1"/>
  <c r="P289" i="20" a="1"/>
  <c r="P289" i="20" s="1"/>
  <c r="P290" i="20" a="1"/>
  <c r="P290" i="20" s="1"/>
  <c r="P291" i="20" a="1"/>
  <c r="P291" i="20" s="1"/>
  <c r="P292" i="20" a="1"/>
  <c r="P292" i="20" s="1"/>
  <c r="P293" i="20" a="1"/>
  <c r="P293" i="20" s="1"/>
  <c r="P294" i="20" a="1"/>
  <c r="P294" i="20" s="1"/>
  <c r="P295" i="20" a="1"/>
  <c r="P295" i="20" s="1"/>
  <c r="P296" i="20" a="1"/>
  <c r="P296" i="20" s="1"/>
  <c r="P297" i="20" a="1"/>
  <c r="P297" i="20" s="1"/>
  <c r="P298" i="20" a="1"/>
  <c r="P298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R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 s="1"/>
  <c r="N160" i="18" a="1"/>
  <c r="N160" i="18" s="1"/>
  <c r="N161" i="18" a="1"/>
  <c r="N161" i="18" s="1"/>
  <c r="N162" i="18" a="1"/>
  <c r="N162" i="18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/>
  <c r="N171" i="18" a="1"/>
  <c r="N171" i="18" s="1"/>
  <c r="N172" i="18" a="1"/>
  <c r="N172" i="18" s="1"/>
  <c r="N173" i="18" a="1"/>
  <c r="N173" i="18" s="1"/>
  <c r="N174" i="18" a="1"/>
  <c r="N174" i="18" s="1"/>
  <c r="N175" i="18" a="1"/>
  <c r="N175" i="18" s="1"/>
  <c r="N176" i="18" a="1"/>
  <c r="N176" i="18" s="1"/>
  <c r="N177" i="18" a="1"/>
  <c r="N177" i="18" s="1"/>
  <c r="N178" i="18" a="1"/>
  <c r="N178" i="18" s="1"/>
  <c r="N179" i="18" a="1"/>
  <c r="N179" i="18" s="1"/>
  <c r="N180" i="18" a="1"/>
  <c r="N180" i="18" s="1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 s="1"/>
  <c r="N193" i="18" a="1"/>
  <c r="N193" i="18" s="1"/>
  <c r="N194" i="18" a="1"/>
  <c r="N194" i="18" s="1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 s="1"/>
  <c r="N200" i="18" a="1"/>
  <c r="N200" i="18" s="1"/>
  <c r="N201" i="18" a="1"/>
  <c r="N201" i="18" s="1"/>
  <c r="N202" i="18" a="1"/>
  <c r="N202" i="18" s="1"/>
  <c r="N203" i="18" a="1"/>
  <c r="N203" i="18" s="1"/>
  <c r="N204" i="18" a="1"/>
  <c r="N204" i="18" s="1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 s="1"/>
  <c r="N210" i="18" a="1"/>
  <c r="N210" i="18" s="1"/>
  <c r="N211" i="18" a="1"/>
  <c r="N211" i="18" s="1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 s="1"/>
  <c r="N220" i="18" a="1"/>
  <c r="N220" i="18" s="1"/>
  <c r="N221" i="18" a="1"/>
  <c r="N221" i="18" s="1"/>
  <c r="N222" i="18" a="1"/>
  <c r="N222" i="18" s="1"/>
  <c r="N223" i="18" a="1"/>
  <c r="N223" i="18" s="1"/>
  <c r="N224" i="18" a="1"/>
  <c r="N224" i="18" s="1"/>
  <c r="N225" i="18" a="1"/>
  <c r="N225" i="18" s="1"/>
  <c r="N226" i="18" a="1"/>
  <c r="N226" i="18" s="1"/>
  <c r="N227" i="18" a="1"/>
  <c r="N227" i="18" s="1"/>
  <c r="N228" i="18" a="1"/>
  <c r="N228" i="18" s="1"/>
  <c r="N229" i="18" a="1"/>
  <c r="N229" i="18" s="1"/>
  <c r="N230" i="18" a="1"/>
  <c r="N230" i="18" s="1"/>
  <c r="N231" i="18" a="1"/>
  <c r="N231" i="18" s="1"/>
  <c r="N232" i="18" a="1"/>
  <c r="N232" i="18" s="1"/>
  <c r="N233" i="18" a="1"/>
  <c r="N233" i="18" s="1"/>
  <c r="N234" i="18" a="1"/>
  <c r="N234" i="18" s="1"/>
  <c r="N235" i="18" a="1"/>
  <c r="N235" i="18" s="1"/>
  <c r="N236" i="18" a="1"/>
  <c r="N236" i="18" s="1"/>
  <c r="N237" i="18" a="1"/>
  <c r="N237" i="18" s="1"/>
  <c r="N238" i="18" a="1"/>
  <c r="N238" i="18" s="1"/>
  <c r="N239" i="18" a="1"/>
  <c r="N239" i="18" s="1"/>
  <c r="N240" i="18" a="1"/>
  <c r="N240" i="18" s="1"/>
  <c r="N241" i="18" a="1"/>
  <c r="N241" i="18" s="1"/>
  <c r="N242" i="18" a="1"/>
  <c r="N242" i="18" s="1"/>
  <c r="N243" i="18" a="1"/>
  <c r="N243" i="18" s="1"/>
  <c r="N244" i="18" a="1"/>
  <c r="N244" i="18" s="1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O7" i="18" a="1"/>
  <c r="O7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 s="1"/>
  <c r="O13" i="18" a="1"/>
  <c r="O13" i="18" s="1"/>
  <c r="O14" i="18" a="1"/>
  <c r="O14" i="18" s="1"/>
  <c r="O15" i="18" a="1"/>
  <c r="O15" i="18" s="1"/>
  <c r="O16" i="18" a="1"/>
  <c r="O16" i="18" s="1"/>
  <c r="O17" i="18" a="1"/>
  <c r="O17" i="18" s="1"/>
  <c r="O18" i="18" a="1"/>
  <c r="O18" i="18" s="1"/>
  <c r="O19" i="18" a="1"/>
  <c r="O19" i="18" s="1"/>
  <c r="O20" i="18" a="1"/>
  <c r="O20" i="18" s="1"/>
  <c r="O21" i="18" a="1"/>
  <c r="O21" i="18" s="1"/>
  <c r="O22" i="18" a="1"/>
  <c r="O22" i="18" s="1"/>
  <c r="O23" i="18" a="1"/>
  <c r="O23" i="18" s="1"/>
  <c r="O24" i="18" a="1"/>
  <c r="O24" i="18" s="1"/>
  <c r="O25" i="18" a="1"/>
  <c r="O25" i="18" s="1"/>
  <c r="O26" i="18" a="1"/>
  <c r="O26" i="18" s="1"/>
  <c r="O27" i="18" a="1"/>
  <c r="O27" i="18" s="1"/>
  <c r="O28" i="18" a="1"/>
  <c r="O28" i="18" s="1"/>
  <c r="O29" i="18" a="1"/>
  <c r="O29" i="18" s="1"/>
  <c r="O30" i="18" a="1"/>
  <c r="O30" i="18" s="1"/>
  <c r="O31" i="18" a="1"/>
  <c r="O31" i="18" s="1"/>
  <c r="O32" i="18" a="1"/>
  <c r="O32" i="18" s="1"/>
  <c r="O33" i="18" a="1"/>
  <c r="O33" i="18" s="1"/>
  <c r="O34" i="18" a="1"/>
  <c r="O34" i="18" s="1"/>
  <c r="O35" i="18" a="1"/>
  <c r="O35" i="18" s="1"/>
  <c r="O36" i="18" a="1"/>
  <c r="O36" i="18" s="1"/>
  <c r="O37" i="18" a="1"/>
  <c r="O37" i="18" s="1"/>
  <c r="O38" i="18" a="1"/>
  <c r="O38" i="18" s="1"/>
  <c r="O39" i="18" a="1"/>
  <c r="O39" i="18" s="1"/>
  <c r="O40" i="18" a="1"/>
  <c r="O40" i="18" s="1"/>
  <c r="O41" i="18" a="1"/>
  <c r="O41" i="18" s="1"/>
  <c r="O42" i="18" a="1"/>
  <c r="O42" i="18" s="1"/>
  <c r="O43" i="18" a="1"/>
  <c r="O43" i="18" s="1"/>
  <c r="O44" i="18" a="1"/>
  <c r="O44" i="18" s="1"/>
  <c r="O45" i="18" a="1"/>
  <c r="O45" i="18" s="1"/>
  <c r="O46" i="18" a="1"/>
  <c r="O46" i="18" s="1"/>
  <c r="O47" i="18" a="1"/>
  <c r="O47" i="18" s="1"/>
  <c r="O48" i="18" a="1"/>
  <c r="O48" i="18" s="1"/>
  <c r="O49" i="18" a="1"/>
  <c r="O49" i="18" s="1"/>
  <c r="O50" i="18" a="1"/>
  <c r="O50" i="18" s="1"/>
  <c r="O51" i="18" a="1"/>
  <c r="O51" i="18" s="1"/>
  <c r="O52" i="18" a="1"/>
  <c r="O52" i="18" s="1"/>
  <c r="O53" i="18" a="1"/>
  <c r="O53" i="18" s="1"/>
  <c r="O54" i="18" a="1"/>
  <c r="O54" i="18" s="1"/>
  <c r="O55" i="18" a="1"/>
  <c r="O55" i="18" s="1"/>
  <c r="O56" i="18" a="1"/>
  <c r="O56" i="18" s="1"/>
  <c r="O57" i="18" a="1"/>
  <c r="O57" i="18" s="1"/>
  <c r="O58" i="18" a="1"/>
  <c r="O58" i="18" s="1"/>
  <c r="O59" i="18" a="1"/>
  <c r="O59" i="18" s="1"/>
  <c r="O60" i="18" a="1"/>
  <c r="O60" i="18" s="1"/>
  <c r="O61" i="18" a="1"/>
  <c r="O61" i="18" s="1"/>
  <c r="O62" i="18" a="1"/>
  <c r="O62" i="18" s="1"/>
  <c r="O63" i="18" a="1"/>
  <c r="O63" i="18" s="1"/>
  <c r="O64" i="18" a="1"/>
  <c r="O64" i="18" s="1"/>
  <c r="O65" i="18" a="1"/>
  <c r="O65" i="18" s="1"/>
  <c r="O66" i="18" a="1"/>
  <c r="O66" i="18" s="1"/>
  <c r="O67" i="18" a="1"/>
  <c r="O67" i="18" s="1"/>
  <c r="O68" i="18" a="1"/>
  <c r="O68" i="18" s="1"/>
  <c r="O69" i="18" a="1"/>
  <c r="O69" i="18" s="1"/>
  <c r="O70" i="18" a="1"/>
  <c r="O70" i="18" s="1"/>
  <c r="O71" i="18" a="1"/>
  <c r="O71" i="18" s="1"/>
  <c r="O72" i="18" a="1"/>
  <c r="O72" i="18" s="1"/>
  <c r="O73" i="18" a="1"/>
  <c r="O73" i="18" s="1"/>
  <c r="O74" i="18" a="1"/>
  <c r="O74" i="18" s="1"/>
  <c r="O75" i="18" a="1"/>
  <c r="O75" i="18" s="1"/>
  <c r="O76" i="18" a="1"/>
  <c r="O76" i="18" s="1"/>
  <c r="O77" i="18" a="1"/>
  <c r="O77" i="18" s="1"/>
  <c r="O78" i="18" a="1"/>
  <c r="O78" i="18" s="1"/>
  <c r="O79" i="18" a="1"/>
  <c r="O79" i="18" s="1"/>
  <c r="O80" i="18" a="1"/>
  <c r="O80" i="18" s="1"/>
  <c r="O81" i="18" a="1"/>
  <c r="O81" i="18" s="1"/>
  <c r="O82" i="18" a="1"/>
  <c r="O82" i="18" s="1"/>
  <c r="O83" i="18" a="1"/>
  <c r="O83" i="18" s="1"/>
  <c r="O84" i="18" a="1"/>
  <c r="O84" i="18" s="1"/>
  <c r="O85" i="18" a="1"/>
  <c r="O85" i="18" s="1"/>
  <c r="O86" i="18" a="1"/>
  <c r="O86" i="18" s="1"/>
  <c r="O87" i="18" a="1"/>
  <c r="O87" i="18" s="1"/>
  <c r="O88" i="18" a="1"/>
  <c r="O88" i="18" s="1"/>
  <c r="O89" i="18" a="1"/>
  <c r="O89" i="18" s="1"/>
  <c r="O90" i="18" a="1"/>
  <c r="O90" i="18" s="1"/>
  <c r="O91" i="18" a="1"/>
  <c r="O91" i="18" s="1"/>
  <c r="O92" i="18" a="1"/>
  <c r="O92" i="18" s="1"/>
  <c r="O93" i="18" a="1"/>
  <c r="O93" i="18" s="1"/>
  <c r="O94" i="18" a="1"/>
  <c r="O94" i="18" s="1"/>
  <c r="O95" i="18" a="1"/>
  <c r="O95" i="18"/>
  <c r="O96" i="18" a="1"/>
  <c r="O96" i="18" s="1"/>
  <c r="O97" i="18" a="1"/>
  <c r="O97" i="18" s="1"/>
  <c r="O98" i="18" a="1"/>
  <c r="O98" i="18" s="1"/>
  <c r="O99" i="18" a="1"/>
  <c r="O99" i="18" s="1"/>
  <c r="O100" i="18" a="1"/>
  <c r="O100" i="18" s="1"/>
  <c r="O101" i="18" a="1"/>
  <c r="O101" i="18"/>
  <c r="O102" i="18" a="1"/>
  <c r="O102" i="18" s="1"/>
  <c r="O103" i="18" a="1"/>
  <c r="O103" i="18" s="1"/>
  <c r="O104" i="18" a="1"/>
  <c r="O104" i="18" s="1"/>
  <c r="O105" i="18" a="1"/>
  <c r="O105" i="18" s="1"/>
  <c r="O106" i="18" a="1"/>
  <c r="O106" i="18" s="1"/>
  <c r="O107" i="18" a="1"/>
  <c r="O107" i="18" s="1"/>
  <c r="O108" i="18" a="1"/>
  <c r="O108" i="18" s="1"/>
  <c r="O109" i="18" a="1"/>
  <c r="O109" i="18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 s="1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 s="1"/>
  <c r="O120" i="18" a="1"/>
  <c r="O120" i="18" s="1"/>
  <c r="O121" i="18" a="1"/>
  <c r="O121" i="18" s="1"/>
  <c r="O122" i="18" a="1"/>
  <c r="O122" i="18" s="1"/>
  <c r="O123" i="18" a="1"/>
  <c r="O123" i="18" s="1"/>
  <c r="O124" i="18" a="1"/>
  <c r="O124" i="18" s="1"/>
  <c r="O125" i="18" a="1"/>
  <c r="O125" i="18"/>
  <c r="O126" i="18" a="1"/>
  <c r="O126" i="18" s="1"/>
  <c r="O127" i="18" a="1"/>
  <c r="O127" i="18" s="1"/>
  <c r="O128" i="18" a="1"/>
  <c r="O128" i="18" s="1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 s="1"/>
  <c r="O139" i="18" a="1"/>
  <c r="O139" i="18" s="1"/>
  <c r="O140" i="18" a="1"/>
  <c r="O140" i="18" s="1"/>
  <c r="O141" i="18" a="1"/>
  <c r="O141" i="18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O152" i="18" a="1"/>
  <c r="O152" i="18" s="1"/>
  <c r="O153" i="18" a="1"/>
  <c r="O153" i="18" s="1"/>
  <c r="O154" i="18" a="1"/>
  <c r="O154" i="18" s="1"/>
  <c r="O155" i="18" a="1"/>
  <c r="O155" i="18" s="1"/>
  <c r="O156" i="18" a="1"/>
  <c r="O156" i="18" s="1"/>
  <c r="O157" i="18" a="1"/>
  <c r="O157" i="18"/>
  <c r="O158" i="18" a="1"/>
  <c r="O158" i="18" s="1"/>
  <c r="O159" i="18" a="1"/>
  <c r="O159" i="18" s="1"/>
  <c r="O160" i="18" a="1"/>
  <c r="O160" i="18" s="1"/>
  <c r="O161" i="18" a="1"/>
  <c r="O161" i="18" s="1"/>
  <c r="O162" i="18" a="1"/>
  <c r="O162" i="18" s="1"/>
  <c r="O163" i="18" a="1"/>
  <c r="O163" i="18" s="1"/>
  <c r="O164" i="18" a="1"/>
  <c r="O164" i="18" s="1"/>
  <c r="O165" i="18" a="1"/>
  <c r="O165" i="18"/>
  <c r="O166" i="18" a="1"/>
  <c r="O166" i="18" s="1"/>
  <c r="O167" i="18" a="1"/>
  <c r="O167" i="18" s="1"/>
  <c r="O168" i="18" a="1"/>
  <c r="O168" i="18" s="1"/>
  <c r="O169" i="18" a="1"/>
  <c r="O169" i="18" s="1"/>
  <c r="O170" i="18" a="1"/>
  <c r="O170" i="18" s="1"/>
  <c r="O171" i="18" a="1"/>
  <c r="O171" i="18" s="1"/>
  <c r="O172" i="18" a="1"/>
  <c r="O172" i="18" s="1"/>
  <c r="O173" i="18" a="1"/>
  <c r="O173" i="18"/>
  <c r="O174" i="18" a="1"/>
  <c r="O174" i="18" s="1"/>
  <c r="O175" i="18" a="1"/>
  <c r="O175" i="18" s="1"/>
  <c r="O176" i="18" a="1"/>
  <c r="O176" i="18" s="1"/>
  <c r="O177" i="18" a="1"/>
  <c r="O177" i="18" s="1"/>
  <c r="O178" i="18" a="1"/>
  <c r="O178" i="18" s="1"/>
  <c r="O179" i="18" a="1"/>
  <c r="O179" i="18" s="1"/>
  <c r="O180" i="18" a="1"/>
  <c r="O180" i="18" s="1"/>
  <c r="O181" i="18" a="1"/>
  <c r="O181" i="18"/>
  <c r="O182" i="18" a="1"/>
  <c r="O182" i="18" s="1"/>
  <c r="O183" i="18" a="1"/>
  <c r="O183" i="18" s="1"/>
  <c r="O184" i="18" a="1"/>
  <c r="O184" i="18" s="1"/>
  <c r="O185" i="18" a="1"/>
  <c r="O185" i="18" s="1"/>
  <c r="O186" i="18" a="1"/>
  <c r="O186" i="18" s="1"/>
  <c r="O187" i="18" a="1"/>
  <c r="O187" i="18" s="1"/>
  <c r="O188" i="18" a="1"/>
  <c r="O188" i="18" s="1"/>
  <c r="O189" i="18" a="1"/>
  <c r="O189" i="18"/>
  <c r="O190" i="18" a="1"/>
  <c r="O190" i="18" s="1"/>
  <c r="O191" i="18" a="1"/>
  <c r="O191" i="18" s="1"/>
  <c r="O192" i="18" a="1"/>
  <c r="O192" i="18" s="1"/>
  <c r="O193" i="18" a="1"/>
  <c r="O193" i="18" s="1"/>
  <c r="O194" i="18" a="1"/>
  <c r="O194" i="18" s="1"/>
  <c r="O195" i="18" a="1"/>
  <c r="O195" i="18" s="1"/>
  <c r="O196" i="18" a="1"/>
  <c r="O196" i="18" s="1"/>
  <c r="O197" i="18" a="1"/>
  <c r="O197" i="18"/>
  <c r="O198" i="18" a="1"/>
  <c r="O198" i="18" s="1"/>
  <c r="O199" i="18" a="1"/>
  <c r="O199" i="18" s="1"/>
  <c r="O200" i="18" a="1"/>
  <c r="O200" i="18" s="1"/>
  <c r="O201" i="18" a="1"/>
  <c r="O201" i="18" s="1"/>
  <c r="O202" i="18" a="1"/>
  <c r="O202" i="18" s="1"/>
  <c r="O203" i="18" a="1"/>
  <c r="O203" i="18" s="1"/>
  <c r="O204" i="18" a="1"/>
  <c r="O204" i="18" s="1"/>
  <c r="O205" i="18" a="1"/>
  <c r="O205" i="18"/>
  <c r="O206" i="18" a="1"/>
  <c r="O206" i="18" s="1"/>
  <c r="O207" i="18" a="1"/>
  <c r="O207" i="18" s="1"/>
  <c r="O208" i="18" a="1"/>
  <c r="O208" i="18" s="1"/>
  <c r="O209" i="18" a="1"/>
  <c r="O209" i="18"/>
  <c r="O210" i="18" a="1"/>
  <c r="O210" i="18" s="1"/>
  <c r="O211" i="18" a="1"/>
  <c r="O211" i="18" s="1"/>
  <c r="O212" i="18" a="1"/>
  <c r="O212" i="18" s="1"/>
  <c r="O213" i="18" a="1"/>
  <c r="O213" i="18" s="1"/>
  <c r="O214" i="18" a="1"/>
  <c r="O214" i="18" s="1"/>
  <c r="O215" i="18" a="1"/>
  <c r="O215" i="18"/>
  <c r="O216" i="18" a="1"/>
  <c r="O216" i="18" s="1"/>
  <c r="O217" i="18" a="1"/>
  <c r="O217" i="18" s="1"/>
  <c r="O218" i="18" a="1"/>
  <c r="O218" i="18" s="1"/>
  <c r="O219" i="18" a="1"/>
  <c r="O219" i="18" s="1"/>
  <c r="O220" i="18" a="1"/>
  <c r="O220" i="18" s="1"/>
  <c r="O221" i="18" a="1"/>
  <c r="O221" i="18"/>
  <c r="O222" i="18" a="1"/>
  <c r="O222" i="18" s="1"/>
  <c r="O223" i="18" a="1"/>
  <c r="O223" i="18" s="1"/>
  <c r="O224" i="18" a="1"/>
  <c r="O224" i="18" s="1"/>
  <c r="O225" i="18" a="1"/>
  <c r="O225" i="18"/>
  <c r="O226" i="18" a="1"/>
  <c r="O226" i="18" s="1"/>
  <c r="O227" i="18" a="1"/>
  <c r="O227" i="18" s="1"/>
  <c r="O228" i="18" a="1"/>
  <c r="O228" i="18" s="1"/>
  <c r="O229" i="18" a="1"/>
  <c r="O229" i="18" s="1"/>
  <c r="O230" i="18" a="1"/>
  <c r="O230" i="18" s="1"/>
  <c r="O231" i="18" a="1"/>
  <c r="O231" i="18"/>
  <c r="O232" i="18" a="1"/>
  <c r="O232" i="18" s="1"/>
  <c r="O233" i="18" a="1"/>
  <c r="O233" i="18" s="1"/>
  <c r="O234" i="18" a="1"/>
  <c r="O234" i="18" s="1"/>
  <c r="O235" i="18" a="1"/>
  <c r="O235" i="18" s="1"/>
  <c r="O236" i="18" a="1"/>
  <c r="O236" i="18" s="1"/>
  <c r="O237" i="18" a="1"/>
  <c r="O237" i="18" s="1"/>
  <c r="O238" i="18" a="1"/>
  <c r="O238" i="18" s="1"/>
  <c r="O239" i="18" a="1"/>
  <c r="O239" i="18"/>
  <c r="O240" i="18" a="1"/>
  <c r="O240" i="18" s="1"/>
  <c r="O241" i="18" a="1"/>
  <c r="O241" i="18" s="1"/>
  <c r="O242" i="18" a="1"/>
  <c r="O242" i="18" s="1"/>
  <c r="O243" i="18" a="1"/>
  <c r="O243" i="18" s="1"/>
  <c r="O244" i="18" a="1"/>
  <c r="O244" i="18" s="1"/>
  <c r="P2" i="18" a="1"/>
  <c r="P2" i="18"/>
  <c r="P3" i="18" a="1"/>
  <c r="P3" i="18" s="1"/>
  <c r="P4" i="18" a="1"/>
  <c r="P4" i="18" s="1"/>
  <c r="R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/>
  <c r="P11" i="18" a="1"/>
  <c r="P11" i="18" s="1"/>
  <c r="P12" i="18" a="1"/>
  <c r="P12" i="18" s="1"/>
  <c r="R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/>
  <c r="P21" i="18" a="1"/>
  <c r="P21" i="18" s="1"/>
  <c r="P22" i="18" a="1"/>
  <c r="P22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R36" i="18" s="1"/>
  <c r="P37" i="18" a="1"/>
  <c r="P37" i="18" s="1"/>
  <c r="P38" i="18" a="1"/>
  <c r="P38" i="18" s="1"/>
  <c r="P39" i="18" a="1"/>
  <c r="P39" i="18" s="1"/>
  <c r="P40" i="18" a="1"/>
  <c r="P40" i="18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R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 s="1"/>
  <c r="R72" i="18" s="1"/>
  <c r="P73" i="18" a="1"/>
  <c r="P73" i="18" s="1"/>
  <c r="P74" i="18" a="1"/>
  <c r="P74" i="18" s="1"/>
  <c r="P75" i="18" a="1"/>
  <c r="P75" i="18" s="1"/>
  <c r="P76" i="18" a="1"/>
  <c r="P76" i="18"/>
  <c r="P77" i="18" a="1"/>
  <c r="P77" i="18" s="1"/>
  <c r="P78" i="18" a="1"/>
  <c r="P78" i="18" s="1"/>
  <c r="P79" i="18" a="1"/>
  <c r="P79" i="18" s="1"/>
  <c r="P80" i="18" a="1"/>
  <c r="P80" i="18" s="1"/>
  <c r="R80" i="18" s="1"/>
  <c r="P81" i="18" a="1"/>
  <c r="P81" i="18" s="1"/>
  <c r="P82" i="18" a="1"/>
  <c r="P82" i="18" s="1"/>
  <c r="P83" i="18" a="1"/>
  <c r="P83" i="18" s="1"/>
  <c r="P84" i="18" a="1"/>
  <c r="P84" i="18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R92" i="18" s="1"/>
  <c r="P93" i="18" a="1"/>
  <c r="P93" i="18" s="1"/>
  <c r="P94" i="18" a="1"/>
  <c r="P94" i="18" s="1"/>
  <c r="P95" i="18" a="1"/>
  <c r="P95" i="18" s="1"/>
  <c r="P96" i="18" a="1"/>
  <c r="P96" i="18"/>
  <c r="P97" i="18" a="1"/>
  <c r="P97" i="18" s="1"/>
  <c r="P98" i="18" a="1"/>
  <c r="P98" i="18" s="1"/>
  <c r="P99" i="18" a="1"/>
  <c r="P99" i="18" s="1"/>
  <c r="P100" i="18" a="1"/>
  <c r="P100" i="18" s="1"/>
  <c r="R100" i="18" s="1"/>
  <c r="P101" i="18" a="1"/>
  <c r="P101" i="18" s="1"/>
  <c r="P102" i="18" a="1"/>
  <c r="P102" i="18" s="1"/>
  <c r="P103" i="18" a="1"/>
  <c r="P103" i="18" s="1"/>
  <c r="P104" i="18" a="1"/>
  <c r="P104" i="18"/>
  <c r="P105" i="18" a="1"/>
  <c r="P105" i="18" s="1"/>
  <c r="P106" i="18" a="1"/>
  <c r="P106" i="18" s="1"/>
  <c r="P107" i="18" a="1"/>
  <c r="P107" i="18" s="1"/>
  <c r="P108" i="18" a="1"/>
  <c r="P108" i="18" s="1"/>
  <c r="R108" i="18" s="1"/>
  <c r="P109" i="18" a="1"/>
  <c r="P109" i="18" s="1"/>
  <c r="P110" i="18" a="1"/>
  <c r="P110" i="18"/>
  <c r="P111" i="18" a="1"/>
  <c r="P111" i="18" s="1"/>
  <c r="P112" i="18" a="1"/>
  <c r="P112" i="18" s="1"/>
  <c r="R112" i="18" s="1"/>
  <c r="P113" i="18" a="1"/>
  <c r="P113" i="18" s="1"/>
  <c r="P114" i="18" a="1"/>
  <c r="P114" i="18" s="1"/>
  <c r="P115" i="18" a="1"/>
  <c r="P115" i="18" s="1"/>
  <c r="P116" i="18" a="1"/>
  <c r="P116" i="18"/>
  <c r="P117" i="18" a="1"/>
  <c r="P117" i="18" s="1"/>
  <c r="P118" i="18" a="1"/>
  <c r="P118" i="18" s="1"/>
  <c r="R118" i="18" s="1"/>
  <c r="P119" i="18" a="1"/>
  <c r="P119" i="18" s="1"/>
  <c r="P120" i="18" a="1"/>
  <c r="P120" i="18"/>
  <c r="P121" i="18" a="1"/>
  <c r="P121" i="18" s="1"/>
  <c r="P122" i="18" a="1"/>
  <c r="P122" i="18" s="1"/>
  <c r="P123" i="18" a="1"/>
  <c r="P123" i="18" s="1"/>
  <c r="P124" i="18" a="1"/>
  <c r="P124" i="18" s="1"/>
  <c r="R124" i="18" s="1"/>
  <c r="P125" i="18" a="1"/>
  <c r="P125" i="18" s="1"/>
  <c r="P126" i="18" a="1"/>
  <c r="P126" i="18"/>
  <c r="P127" i="18" a="1"/>
  <c r="P127" i="18" s="1"/>
  <c r="P128" i="18" a="1"/>
  <c r="P128" i="18" s="1"/>
  <c r="R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/>
  <c r="P135" i="18" a="1"/>
  <c r="P135" i="18" s="1"/>
  <c r="P136" i="18" a="1"/>
  <c r="P136" i="18" s="1"/>
  <c r="R136" i="18" s="1"/>
  <c r="P137" i="18" a="1"/>
  <c r="P137" i="18" s="1"/>
  <c r="P138" i="18" a="1"/>
  <c r="P138" i="18" s="1"/>
  <c r="P139" i="18" a="1"/>
  <c r="P139" i="18" s="1"/>
  <c r="P140" i="18" a="1"/>
  <c r="P140" i="18"/>
  <c r="P141" i="18" a="1"/>
  <c r="P141" i="18" s="1"/>
  <c r="P142" i="18" a="1"/>
  <c r="P142" i="18" s="1"/>
  <c r="R142" i="18" s="1"/>
  <c r="P143" i="18" a="1"/>
  <c r="P143" i="18" s="1"/>
  <c r="P144" i="18" a="1"/>
  <c r="P144" i="18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 s="1"/>
  <c r="P152" i="18" a="1"/>
  <c r="P152" i="18" s="1"/>
  <c r="P153" i="18" a="1"/>
  <c r="P153" i="18" s="1"/>
  <c r="P154" i="18" a="1"/>
  <c r="P154" i="18"/>
  <c r="P155" i="18" a="1"/>
  <c r="P155" i="18" s="1"/>
  <c r="P156" i="18" a="1"/>
  <c r="P156" i="18" s="1"/>
  <c r="P157" i="18" a="1"/>
  <c r="P157" i="18" s="1"/>
  <c r="P158" i="18" a="1"/>
  <c r="P158" i="18" s="1"/>
  <c r="P159" i="18" a="1"/>
  <c r="P159" i="18" s="1"/>
  <c r="P160" i="18" a="1"/>
  <c r="P160" i="18" s="1"/>
  <c r="P161" i="18" a="1"/>
  <c r="P161" i="18" s="1"/>
  <c r="P162" i="18" a="1"/>
  <c r="P162" i="18"/>
  <c r="P163" i="18" a="1"/>
  <c r="P163" i="18" s="1"/>
  <c r="P164" i="18" a="1"/>
  <c r="P164" i="18" s="1"/>
  <c r="P165" i="18" a="1"/>
  <c r="P165" i="18" s="1"/>
  <c r="P166" i="18" a="1"/>
  <c r="P166" i="18" s="1"/>
  <c r="P167" i="18" a="1"/>
  <c r="P167" i="18" s="1"/>
  <c r="P168" i="18" a="1"/>
  <c r="P168" i="18" s="1"/>
  <c r="P169" i="18" a="1"/>
  <c r="P169" i="18" s="1"/>
  <c r="P170" i="18" a="1"/>
  <c r="P170" i="18" s="1"/>
  <c r="R170" i="18" s="1"/>
  <c r="P171" i="18" a="1"/>
  <c r="P171" i="18" s="1"/>
  <c r="P172" i="18" a="1"/>
  <c r="P172" i="18" s="1"/>
  <c r="P173" i="18" a="1"/>
  <c r="P173" i="18" s="1"/>
  <c r="P174" i="18" a="1"/>
  <c r="P174" i="18" s="1"/>
  <c r="P175" i="18" a="1"/>
  <c r="P175" i="18" s="1"/>
  <c r="P176" i="18" a="1"/>
  <c r="P176" i="18" s="1"/>
  <c r="P177" i="18" a="1"/>
  <c r="P177" i="18" s="1"/>
  <c r="P178" i="18" a="1"/>
  <c r="P178" i="18"/>
  <c r="P179" i="18" a="1"/>
  <c r="P179" i="18" s="1"/>
  <c r="P180" i="18" a="1"/>
  <c r="P180" i="18" s="1"/>
  <c r="P181" i="18" a="1"/>
  <c r="P181" i="18" s="1"/>
  <c r="P182" i="18" a="1"/>
  <c r="P182" i="18" s="1"/>
  <c r="P183" i="18" a="1"/>
  <c r="P183" i="18" s="1"/>
  <c r="P184" i="18" a="1"/>
  <c r="P184" i="18" s="1"/>
  <c r="P185" i="18" a="1"/>
  <c r="P185" i="18" s="1"/>
  <c r="P186" i="18" a="1"/>
  <c r="P186" i="18"/>
  <c r="P187" i="18" a="1"/>
  <c r="P187" i="18" s="1"/>
  <c r="P188" i="18" a="1"/>
  <c r="P188" i="18" s="1"/>
  <c r="P189" i="18" a="1"/>
  <c r="P189" i="18" s="1"/>
  <c r="P190" i="18" a="1"/>
  <c r="P190" i="18" s="1"/>
  <c r="P191" i="18" a="1"/>
  <c r="P191" i="18" s="1"/>
  <c r="P192" i="18" a="1"/>
  <c r="P192" i="18" s="1"/>
  <c r="P193" i="18" a="1"/>
  <c r="P193" i="18" s="1"/>
  <c r="P194" i="18" a="1"/>
  <c r="P194" i="18"/>
  <c r="P195" i="18" a="1"/>
  <c r="P195" i="18" s="1"/>
  <c r="P196" i="18" a="1"/>
  <c r="P196" i="18" s="1"/>
  <c r="P197" i="18" a="1"/>
  <c r="P197" i="18" s="1"/>
  <c r="P198" i="18" a="1"/>
  <c r="P198" i="18" s="1"/>
  <c r="P199" i="18" a="1"/>
  <c r="P199" i="18" s="1"/>
  <c r="P200" i="18" a="1"/>
  <c r="P200" i="18" s="1"/>
  <c r="P201" i="18" a="1"/>
  <c r="P201" i="18" s="1"/>
  <c r="P202" i="18" a="1"/>
  <c r="P202" i="18" s="1"/>
  <c r="R202" i="18" s="1"/>
  <c r="P203" i="18" a="1"/>
  <c r="P203" i="18" s="1"/>
  <c r="P204" i="18" a="1"/>
  <c r="P204" i="18" s="1"/>
  <c r="P205" i="18" a="1"/>
  <c r="P205" i="18" s="1"/>
  <c r="P206" i="18" a="1"/>
  <c r="P206" i="18" s="1"/>
  <c r="P207" i="18" a="1"/>
  <c r="P207" i="18" s="1"/>
  <c r="P208" i="18" a="1"/>
  <c r="P208" i="18" s="1"/>
  <c r="P209" i="18" a="1"/>
  <c r="P209" i="18" s="1"/>
  <c r="P210" i="18" a="1"/>
  <c r="P210" i="18"/>
  <c r="P211" i="18" a="1"/>
  <c r="P211" i="18" s="1"/>
  <c r="P212" i="18" a="1"/>
  <c r="P212" i="18" s="1"/>
  <c r="P213" i="18" a="1"/>
  <c r="P213" i="18" s="1"/>
  <c r="P214" i="18" a="1"/>
  <c r="P214" i="18" s="1"/>
  <c r="P215" i="18" a="1"/>
  <c r="P215" i="18" s="1"/>
  <c r="P216" i="18" a="1"/>
  <c r="P216" i="18" s="1"/>
  <c r="P217" i="18" a="1"/>
  <c r="P217" i="18" s="1"/>
  <c r="P218" i="18" a="1"/>
  <c r="P218" i="18"/>
  <c r="P219" i="18" a="1"/>
  <c r="P219" i="18" s="1"/>
  <c r="P220" i="18" a="1"/>
  <c r="P220" i="18" s="1"/>
  <c r="P221" i="18" a="1"/>
  <c r="P221" i="18" s="1"/>
  <c r="P222" i="18" a="1"/>
  <c r="P222" i="18" s="1"/>
  <c r="P223" i="18" a="1"/>
  <c r="P223" i="18" s="1"/>
  <c r="P224" i="18" a="1"/>
  <c r="P224" i="18" s="1"/>
  <c r="P225" i="18" a="1"/>
  <c r="P225" i="18" s="1"/>
  <c r="P226" i="18" a="1"/>
  <c r="P226" i="18"/>
  <c r="P227" i="18" a="1"/>
  <c r="P227" i="18" s="1"/>
  <c r="P228" i="18" a="1"/>
  <c r="P228" i="18" s="1"/>
  <c r="P229" i="18" a="1"/>
  <c r="P229" i="18" s="1"/>
  <c r="P230" i="18" a="1"/>
  <c r="P230" i="18" s="1"/>
  <c r="P231" i="18" a="1"/>
  <c r="P231" i="18" s="1"/>
  <c r="P232" i="18" a="1"/>
  <c r="P232" i="18" s="1"/>
  <c r="P233" i="18" a="1"/>
  <c r="P233" i="18" s="1"/>
  <c r="P234" i="18" a="1"/>
  <c r="P234" i="18" s="1"/>
  <c r="R234" i="18" s="1"/>
  <c r="P235" i="18" a="1"/>
  <c r="P235" i="18" s="1"/>
  <c r="P236" i="18" a="1"/>
  <c r="P236" i="18" s="1"/>
  <c r="P237" i="18" a="1"/>
  <c r="P237" i="18" s="1"/>
  <c r="P238" i="18" a="1"/>
  <c r="P238" i="18" s="1"/>
  <c r="P239" i="18" a="1"/>
  <c r="P239" i="18" s="1"/>
  <c r="P240" i="18" a="1"/>
  <c r="P240" i="18" s="1"/>
  <c r="P241" i="18" a="1"/>
  <c r="P241" i="18" s="1"/>
  <c r="P242" i="18" a="1"/>
  <c r="P242" i="18"/>
  <c r="P243" i="18" a="1"/>
  <c r="P243" i="18" s="1"/>
  <c r="P244" i="18" a="1"/>
  <c r="P244" i="18" s="1"/>
  <c r="Q2" i="18" a="1"/>
  <c r="Q2" i="18" s="1"/>
  <c r="Q3" i="18" a="1"/>
  <c r="Q3" i="18"/>
  <c r="Q4" i="18" a="1"/>
  <c r="Q4" i="18" s="1"/>
  <c r="Q5" i="18" a="1"/>
  <c r="Q5" i="18"/>
  <c r="Q6" i="18" a="1"/>
  <c r="Q6" i="18" s="1"/>
  <c r="R6" i="18" s="1"/>
  <c r="Q7" i="18" a="1"/>
  <c r="Q7" i="18" s="1"/>
  <c r="R7" i="18" s="1"/>
  <c r="Q8" i="18" a="1"/>
  <c r="Q8" i="18" s="1"/>
  <c r="Q9" i="18" a="1"/>
  <c r="Q9" i="18" s="1"/>
  <c r="R9" i="18" s="1"/>
  <c r="Q10" i="18" a="1"/>
  <c r="Q10" i="18" s="1"/>
  <c r="Q11" i="18" a="1"/>
  <c r="Q11" i="18"/>
  <c r="Q12" i="18" a="1"/>
  <c r="Q12" i="18" s="1"/>
  <c r="Q13" i="18" a="1"/>
  <c r="Q13" i="18" s="1"/>
  <c r="R13" i="18" s="1"/>
  <c r="Q14" i="18" a="1"/>
  <c r="Q14" i="18" s="1"/>
  <c r="Q15" i="18" a="1"/>
  <c r="Q15" i="18"/>
  <c r="R15" i="18" s="1"/>
  <c r="Q16" i="18" a="1"/>
  <c r="Q16" i="18" s="1"/>
  <c r="Q17" i="18" a="1"/>
  <c r="Q17" i="18" s="1"/>
  <c r="R17" i="18" s="1"/>
  <c r="Q18" i="18" a="1"/>
  <c r="Q18" i="18" s="1"/>
  <c r="Q19" i="18" a="1"/>
  <c r="Q19" i="18" s="1"/>
  <c r="R19" i="18" s="1"/>
  <c r="Q20" i="18" a="1"/>
  <c r="Q20" i="18" s="1"/>
  <c r="Q21" i="18" a="1"/>
  <c r="Q21" i="18"/>
  <c r="Q22" i="18" a="1"/>
  <c r="Q22" i="18" s="1"/>
  <c r="Q23" i="18" a="1"/>
  <c r="Q23" i="18"/>
  <c r="Q24" i="18" a="1"/>
  <c r="Q24" i="18" s="1"/>
  <c r="R24" i="18" s="1"/>
  <c r="Q25" i="18" a="1"/>
  <c r="Q25" i="18" s="1"/>
  <c r="R25" i="18" s="1"/>
  <c r="Q26" i="18" a="1"/>
  <c r="Q26" i="18" s="1"/>
  <c r="Q27" i="18" a="1"/>
  <c r="Q27" i="18"/>
  <c r="Q28" i="18" a="1"/>
  <c r="Q28" i="18" s="1"/>
  <c r="Q29" i="18" a="1"/>
  <c r="Q29" i="18"/>
  <c r="R29" i="18" s="1"/>
  <c r="Q30" i="18" a="1"/>
  <c r="Q30" i="18" s="1"/>
  <c r="Q31" i="18" a="1"/>
  <c r="Q31" i="18"/>
  <c r="Q32" i="18" a="1"/>
  <c r="Q32" i="18" s="1"/>
  <c r="Q33" i="18" a="1"/>
  <c r="Q33" i="18" s="1"/>
  <c r="R33" i="18" s="1"/>
  <c r="Q34" i="18" a="1"/>
  <c r="Q34" i="18" s="1"/>
  <c r="Q35" i="18" a="1"/>
  <c r="Q35" i="18"/>
  <c r="Q36" i="18" a="1"/>
  <c r="Q36" i="18" s="1"/>
  <c r="Q37" i="18" a="1"/>
  <c r="Q37" i="18"/>
  <c r="Q38" i="18" a="1"/>
  <c r="Q38" i="18" s="1"/>
  <c r="Q39" i="18" a="1"/>
  <c r="Q39" i="18" s="1"/>
  <c r="R39" i="18" s="1"/>
  <c r="Q40" i="18" a="1"/>
  <c r="Q40" i="18" s="1"/>
  <c r="Q41" i="18" a="1"/>
  <c r="Q41" i="18" s="1"/>
  <c r="R41" i="18" s="1"/>
  <c r="Q42" i="18" a="1"/>
  <c r="Q42" i="18" s="1"/>
  <c r="Q43" i="18" a="1"/>
  <c r="Q43" i="18"/>
  <c r="Q44" i="18" a="1"/>
  <c r="Q44" i="18" s="1"/>
  <c r="Q45" i="18" a="1"/>
  <c r="Q45" i="18" s="1"/>
  <c r="R45" i="18" s="1"/>
  <c r="Q46" i="18" a="1"/>
  <c r="Q46" i="18" s="1"/>
  <c r="Q47" i="18" a="1"/>
  <c r="Q47" i="18"/>
  <c r="R47" i="18" s="1"/>
  <c r="Q48" i="18" a="1"/>
  <c r="Q48" i="18" s="1"/>
  <c r="Q49" i="18" a="1"/>
  <c r="Q49" i="18" s="1"/>
  <c r="R49" i="18" s="1"/>
  <c r="Q50" i="18" a="1"/>
  <c r="Q50" i="18" s="1"/>
  <c r="Q51" i="18" a="1"/>
  <c r="Q51" i="18" s="1"/>
  <c r="R51" i="18" s="1"/>
  <c r="Q52" i="18" a="1"/>
  <c r="Q52" i="18" s="1"/>
  <c r="Q53" i="18" a="1"/>
  <c r="Q53" i="18"/>
  <c r="Q54" i="18" a="1"/>
  <c r="Q54" i="18" s="1"/>
  <c r="Q55" i="18" a="1"/>
  <c r="Q55" i="18"/>
  <c r="Q56" i="18" a="1"/>
  <c r="Q56" i="18" s="1"/>
  <c r="R56" i="18" s="1"/>
  <c r="Q57" i="18" a="1"/>
  <c r="Q57" i="18" s="1"/>
  <c r="R57" i="18" s="1"/>
  <c r="Q58" i="18" a="1"/>
  <c r="Q58" i="18" s="1"/>
  <c r="Q59" i="18" a="1"/>
  <c r="Q59" i="18"/>
  <c r="Q60" i="18" a="1"/>
  <c r="Q60" i="18" s="1"/>
  <c r="Q61" i="18" a="1"/>
  <c r="Q61" i="18"/>
  <c r="Q62" i="18" a="1"/>
  <c r="Q62" i="18" s="1"/>
  <c r="Q63" i="18" a="1"/>
  <c r="Q63" i="18"/>
  <c r="Q64" i="18" a="1"/>
  <c r="Q64" i="18" s="1"/>
  <c r="Q65" i="18" a="1"/>
  <c r="Q65" i="18" s="1"/>
  <c r="R65" i="18" s="1"/>
  <c r="Q66" i="18" a="1"/>
  <c r="Q66" i="18" s="1"/>
  <c r="Q67" i="18" a="1"/>
  <c r="Q67" i="18"/>
  <c r="Q68" i="18" a="1"/>
  <c r="Q68" i="18" s="1"/>
  <c r="Q69" i="18" a="1"/>
  <c r="Q69" i="18"/>
  <c r="Q70" i="18" a="1"/>
  <c r="Q70" i="18" s="1"/>
  <c r="Q71" i="18" a="1"/>
  <c r="Q71" i="18" s="1"/>
  <c r="R71" i="18" s="1"/>
  <c r="Q72" i="18" a="1"/>
  <c r="Q72" i="18" s="1"/>
  <c r="Q73" i="18" a="1"/>
  <c r="Q73" i="18" s="1"/>
  <c r="R73" i="18" s="1"/>
  <c r="Q74" i="18" a="1"/>
  <c r="Q74" i="18" s="1"/>
  <c r="Q75" i="18" a="1"/>
  <c r="Q75" i="18"/>
  <c r="Q76" i="18" a="1"/>
  <c r="Q76" i="18" s="1"/>
  <c r="Q77" i="18" a="1"/>
  <c r="Q77" i="18" s="1"/>
  <c r="R77" i="18" s="1"/>
  <c r="Q78" i="18" a="1"/>
  <c r="Q78" i="18" s="1"/>
  <c r="Q79" i="18" a="1"/>
  <c r="Q79" i="18"/>
  <c r="Q80" i="18" a="1"/>
  <c r="Q80" i="18" s="1"/>
  <c r="Q81" i="18" a="1"/>
  <c r="Q81" i="18" s="1"/>
  <c r="R81" i="18" s="1"/>
  <c r="Q82" i="18" a="1"/>
  <c r="Q82" i="18" s="1"/>
  <c r="Q83" i="18" a="1"/>
  <c r="Q83" i="18" s="1"/>
  <c r="R83" i="18" s="1"/>
  <c r="Q84" i="18" a="1"/>
  <c r="Q84" i="18" s="1"/>
  <c r="Q85" i="18" a="1"/>
  <c r="Q85" i="18"/>
  <c r="Q86" i="18" a="1"/>
  <c r="Q86" i="18" s="1"/>
  <c r="Q87" i="18" a="1"/>
  <c r="Q87" i="18"/>
  <c r="Q88" i="18" a="1"/>
  <c r="Q88" i="18" s="1"/>
  <c r="Q89" i="18" a="1"/>
  <c r="Q89" i="18" s="1"/>
  <c r="R89" i="18" s="1"/>
  <c r="Q90" i="18" a="1"/>
  <c r="Q90" i="18" s="1"/>
  <c r="Q91" i="18" a="1"/>
  <c r="Q91" i="18"/>
  <c r="Q92" i="18" a="1"/>
  <c r="Q92" i="18" s="1"/>
  <c r="Q93" i="18" a="1"/>
  <c r="Q93" i="18"/>
  <c r="Q94" i="18" a="1"/>
  <c r="Q94" i="18" s="1"/>
  <c r="Q95" i="18" a="1"/>
  <c r="Q95" i="18"/>
  <c r="Q96" i="18" a="1"/>
  <c r="Q96" i="18" s="1"/>
  <c r="Q97" i="18" a="1"/>
  <c r="Q97" i="18" s="1"/>
  <c r="R97" i="18" s="1"/>
  <c r="Q98" i="18" a="1"/>
  <c r="Q98" i="18" s="1"/>
  <c r="Q99" i="18" a="1"/>
  <c r="Q99" i="18"/>
  <c r="Q100" i="18" a="1"/>
  <c r="Q100" i="18" s="1"/>
  <c r="Q101" i="18" a="1"/>
  <c r="Q101" i="18"/>
  <c r="Q102" i="18" a="1"/>
  <c r="Q102" i="18" s="1"/>
  <c r="Q103" i="18" a="1"/>
  <c r="Q103" i="18" s="1"/>
  <c r="R103" i="18" s="1"/>
  <c r="Q104" i="18" a="1"/>
  <c r="Q104" i="18" s="1"/>
  <c r="Q105" i="18" a="1"/>
  <c r="Q105" i="18" s="1"/>
  <c r="R105" i="18" s="1"/>
  <c r="Q106" i="18" a="1"/>
  <c r="Q106" i="18" s="1"/>
  <c r="Q107" i="18" a="1"/>
  <c r="Q107" i="18"/>
  <c r="Q108" i="18" a="1"/>
  <c r="Q108" i="18" s="1"/>
  <c r="Q109" i="18" a="1"/>
  <c r="Q109" i="18" s="1"/>
  <c r="R109" i="18" s="1"/>
  <c r="Q110" i="18" a="1"/>
  <c r="Q110" i="18" s="1"/>
  <c r="Q111" i="18" a="1"/>
  <c r="Q111" i="18"/>
  <c r="Q112" i="18" a="1"/>
  <c r="Q112" i="18" s="1"/>
  <c r="Q113" i="18" a="1"/>
  <c r="Q113" i="18" s="1"/>
  <c r="R113" i="18" s="1"/>
  <c r="Q114" i="18" a="1"/>
  <c r="Q114" i="18" s="1"/>
  <c r="Q115" i="18" a="1"/>
  <c r="Q115" i="18" s="1"/>
  <c r="R115" i="18" s="1"/>
  <c r="Q116" i="18" a="1"/>
  <c r="Q116" i="18" s="1"/>
  <c r="Q117" i="18" a="1"/>
  <c r="Q117" i="18"/>
  <c r="Q118" i="18" a="1"/>
  <c r="Q118" i="18" s="1"/>
  <c r="Q119" i="18" a="1"/>
  <c r="Q119" i="18"/>
  <c r="Q120" i="18" a="1"/>
  <c r="Q120" i="18" s="1"/>
  <c r="Q121" i="18" a="1"/>
  <c r="Q121" i="18" s="1"/>
  <c r="R121" i="18" s="1"/>
  <c r="Q122" i="18" a="1"/>
  <c r="Q122" i="18" s="1"/>
  <c r="Q123" i="18" a="1"/>
  <c r="Q123" i="18"/>
  <c r="Q124" i="18" a="1"/>
  <c r="Q124" i="18" s="1"/>
  <c r="Q125" i="18" a="1"/>
  <c r="Q125" i="18"/>
  <c r="Q126" i="18" a="1"/>
  <c r="Q126" i="18" s="1"/>
  <c r="Q127" i="18" a="1"/>
  <c r="Q127" i="18"/>
  <c r="Q128" i="18" a="1"/>
  <c r="Q128" i="18" s="1"/>
  <c r="Q129" i="18" a="1"/>
  <c r="Q129" i="18" s="1"/>
  <c r="R129" i="18" s="1"/>
  <c r="Q130" i="18" a="1"/>
  <c r="Q130" i="18" s="1"/>
  <c r="Q131" i="18" a="1"/>
  <c r="Q131" i="18"/>
  <c r="Q132" i="18" a="1"/>
  <c r="Q132" i="18" s="1"/>
  <c r="Q133" i="18" a="1"/>
  <c r="Q133" i="18"/>
  <c r="Q134" i="18" a="1"/>
  <c r="Q134" i="18" s="1"/>
  <c r="Q135" i="18" a="1"/>
  <c r="Q135" i="18" s="1"/>
  <c r="R135" i="18" s="1"/>
  <c r="Q136" i="18" a="1"/>
  <c r="Q136" i="18" s="1"/>
  <c r="Q137" i="18" a="1"/>
  <c r="Q137" i="18" s="1"/>
  <c r="R137" i="18" s="1"/>
  <c r="Q138" i="18" a="1"/>
  <c r="Q138" i="18" s="1"/>
  <c r="Q139" i="18" a="1"/>
  <c r="Q139" i="18"/>
  <c r="Q140" i="18" a="1"/>
  <c r="Q140" i="18" s="1"/>
  <c r="Q141" i="18" a="1"/>
  <c r="Q141" i="18" s="1"/>
  <c r="R141" i="18" s="1"/>
  <c r="Q142" i="18" a="1"/>
  <c r="Q142" i="18" s="1"/>
  <c r="Q143" i="18" a="1"/>
  <c r="Q143" i="18"/>
  <c r="Q144" i="18" a="1"/>
  <c r="Q144" i="18" s="1"/>
  <c r="Q145" i="18" a="1"/>
  <c r="Q145" i="18" s="1"/>
  <c r="R145" i="18" s="1"/>
  <c r="Q146" i="18" a="1"/>
  <c r="Q146" i="18" s="1"/>
  <c r="Q147" i="18" a="1"/>
  <c r="Q147" i="18" s="1"/>
  <c r="R147" i="18" s="1"/>
  <c r="Q148" i="18" a="1"/>
  <c r="Q148" i="18" s="1"/>
  <c r="Q149" i="18" a="1"/>
  <c r="Q149" i="18"/>
  <c r="Q150" i="18" a="1"/>
  <c r="Q150" i="18" s="1"/>
  <c r="Q151" i="18" a="1"/>
  <c r="Q151" i="18"/>
  <c r="Q152" i="18" a="1"/>
  <c r="Q152" i="18" s="1"/>
  <c r="Q153" i="18" a="1"/>
  <c r="Q153" i="18" s="1"/>
  <c r="R153" i="18" s="1"/>
  <c r="Q154" i="18" a="1"/>
  <c r="Q154" i="18" s="1"/>
  <c r="Q155" i="18" a="1"/>
  <c r="Q155" i="18"/>
  <c r="Q156" i="18" a="1"/>
  <c r="Q156" i="18" s="1"/>
  <c r="Q157" i="18" a="1"/>
  <c r="Q157" i="18"/>
  <c r="Q158" i="18" a="1"/>
  <c r="Q158" i="18" s="1"/>
  <c r="Q159" i="18" a="1"/>
  <c r="Q159" i="18"/>
  <c r="Q160" i="18" a="1"/>
  <c r="Q160" i="18" s="1"/>
  <c r="Q161" i="18" a="1"/>
  <c r="Q161" i="18" s="1"/>
  <c r="R161" i="18" s="1"/>
  <c r="Q162" i="18" a="1"/>
  <c r="Q162" i="18" s="1"/>
  <c r="Q163" i="18" a="1"/>
  <c r="Q163" i="18"/>
  <c r="Q164" i="18" a="1"/>
  <c r="Q164" i="18" s="1"/>
  <c r="Q165" i="18" a="1"/>
  <c r="Q165" i="18"/>
  <c r="Q166" i="18" a="1"/>
  <c r="Q166" i="18" s="1"/>
  <c r="Q167" i="18" a="1"/>
  <c r="Q167" i="18" s="1"/>
  <c r="R167" i="18" s="1"/>
  <c r="Q168" i="18" a="1"/>
  <c r="Q168" i="18" s="1"/>
  <c r="Q169" i="18" a="1"/>
  <c r="Q169" i="18" s="1"/>
  <c r="R169" i="18" s="1"/>
  <c r="Q170" i="18" a="1"/>
  <c r="Q170" i="18" s="1"/>
  <c r="Q171" i="18" a="1"/>
  <c r="Q171" i="18"/>
  <c r="Q172" i="18" a="1"/>
  <c r="Q172" i="18" s="1"/>
  <c r="Q173" i="18" a="1"/>
  <c r="Q173" i="18" s="1"/>
  <c r="R173" i="18" s="1"/>
  <c r="Q174" i="18" a="1"/>
  <c r="Q174" i="18" s="1"/>
  <c r="Q175" i="18" a="1"/>
  <c r="Q175" i="18"/>
  <c r="Q176" i="18" a="1"/>
  <c r="Q176" i="18" s="1"/>
  <c r="Q177" i="18" a="1"/>
  <c r="Q177" i="18" s="1"/>
  <c r="R177" i="18" s="1"/>
  <c r="Q178" i="18" a="1"/>
  <c r="Q178" i="18" s="1"/>
  <c r="Q179" i="18" a="1"/>
  <c r="Q179" i="18" s="1"/>
  <c r="R179" i="18" s="1"/>
  <c r="Q180" i="18" a="1"/>
  <c r="Q180" i="18" s="1"/>
  <c r="Q181" i="18" a="1"/>
  <c r="Q181" i="18"/>
  <c r="Q182" i="18" a="1"/>
  <c r="Q182" i="18" s="1"/>
  <c r="Q183" i="18" a="1"/>
  <c r="Q183" i="18"/>
  <c r="Q184" i="18" a="1"/>
  <c r="Q184" i="18" s="1"/>
  <c r="Q185" i="18" a="1"/>
  <c r="Q185" i="18" s="1"/>
  <c r="R185" i="18" s="1"/>
  <c r="Q186" i="18" a="1"/>
  <c r="Q186" i="18" s="1"/>
  <c r="Q187" i="18" a="1"/>
  <c r="Q187" i="18"/>
  <c r="Q188" i="18" a="1"/>
  <c r="Q188" i="18" s="1"/>
  <c r="Q189" i="18" a="1"/>
  <c r="Q189" i="18"/>
  <c r="Q190" i="18" a="1"/>
  <c r="Q190" i="18" s="1"/>
  <c r="Q191" i="18" a="1"/>
  <c r="Q191" i="18"/>
  <c r="Q192" i="18" a="1"/>
  <c r="Q192" i="18" s="1"/>
  <c r="Q193" i="18" a="1"/>
  <c r="Q193" i="18" s="1"/>
  <c r="R193" i="18" s="1"/>
  <c r="Q194" i="18" a="1"/>
  <c r="Q194" i="18" s="1"/>
  <c r="Q195" i="18" a="1"/>
  <c r="Q195" i="18"/>
  <c r="Q196" i="18" a="1"/>
  <c r="Q196" i="18" s="1"/>
  <c r="Q197" i="18" a="1"/>
  <c r="Q197" i="18"/>
  <c r="Q198" i="18" a="1"/>
  <c r="Q198" i="18" s="1"/>
  <c r="Q199" i="18" a="1"/>
  <c r="Q199" i="18" s="1"/>
  <c r="R199" i="18" s="1"/>
  <c r="Q200" i="18" a="1"/>
  <c r="Q200" i="18" s="1"/>
  <c r="Q201" i="18" a="1"/>
  <c r="Q201" i="18" s="1"/>
  <c r="R201" i="18" s="1"/>
  <c r="Q202" i="18" a="1"/>
  <c r="Q202" i="18" s="1"/>
  <c r="Q203" i="18" a="1"/>
  <c r="Q203" i="18"/>
  <c r="Q204" i="18" a="1"/>
  <c r="Q204" i="18" s="1"/>
  <c r="Q205" i="18" a="1"/>
  <c r="Q205" i="18" s="1"/>
  <c r="R205" i="18" s="1"/>
  <c r="Q206" i="18" a="1"/>
  <c r="Q206" i="18" s="1"/>
  <c r="Q207" i="18" a="1"/>
  <c r="Q207" i="18"/>
  <c r="Q208" i="18" a="1"/>
  <c r="Q208" i="18" s="1"/>
  <c r="Q209" i="18" a="1"/>
  <c r="Q209" i="18" s="1"/>
  <c r="R209" i="18" s="1"/>
  <c r="Q210" i="18" a="1"/>
  <c r="Q210" i="18" s="1"/>
  <c r="Q211" i="18" a="1"/>
  <c r="Q211" i="18" s="1"/>
  <c r="R211" i="18" s="1"/>
  <c r="Q212" i="18" a="1"/>
  <c r="Q212" i="18" s="1"/>
  <c r="Q213" i="18" a="1"/>
  <c r="Q213" i="18"/>
  <c r="Q214" i="18" a="1"/>
  <c r="Q214" i="18" s="1"/>
  <c r="Q215" i="18" a="1"/>
  <c r="Q215" i="18" s="1"/>
  <c r="R215" i="18" s="1"/>
  <c r="Q216" i="18" a="1"/>
  <c r="Q216" i="18" s="1"/>
  <c r="Q217" i="18" a="1"/>
  <c r="Q217" i="18" s="1"/>
  <c r="R217" i="18" s="1"/>
  <c r="Q218" i="18" a="1"/>
  <c r="Q218" i="18" s="1"/>
  <c r="Q219" i="18" a="1"/>
  <c r="Q219" i="18"/>
  <c r="Q220" i="18" a="1"/>
  <c r="Q220" i="18" s="1"/>
  <c r="Q221" i="18" a="1"/>
  <c r="Q221" i="18"/>
  <c r="Q222" i="18" a="1"/>
  <c r="Q222" i="18" s="1"/>
  <c r="Q223" i="18" a="1"/>
  <c r="Q223" i="18" s="1"/>
  <c r="R223" i="18" s="1"/>
  <c r="Q224" i="18" a="1"/>
  <c r="Q224" i="18" s="1"/>
  <c r="Q225" i="18" a="1"/>
  <c r="Q225" i="18" s="1"/>
  <c r="R225" i="18" s="1"/>
  <c r="Q226" i="18" a="1"/>
  <c r="Q226" i="18" s="1"/>
  <c r="Q227" i="18" a="1"/>
  <c r="Q227" i="18" s="1"/>
  <c r="R227" i="18" s="1"/>
  <c r="Q228" i="18" a="1"/>
  <c r="Q228" i="18" s="1"/>
  <c r="Q229" i="18" a="1"/>
  <c r="Q229" i="18"/>
  <c r="Q230" i="18" a="1"/>
  <c r="Q230" i="18" s="1"/>
  <c r="Q231" i="18" a="1"/>
  <c r="Q231" i="18" s="1"/>
  <c r="R231" i="18" s="1"/>
  <c r="Q232" i="18" a="1"/>
  <c r="Q232" i="18" s="1"/>
  <c r="Q233" i="18" a="1"/>
  <c r="Q233" i="18" s="1"/>
  <c r="R233" i="18" s="1"/>
  <c r="Q234" i="18" a="1"/>
  <c r="Q234" i="18" s="1"/>
  <c r="Q235" i="18" a="1"/>
  <c r="Q235" i="18"/>
  <c r="Q236" i="18" a="1"/>
  <c r="Q236" i="18" s="1"/>
  <c r="Q237" i="18" a="1"/>
  <c r="Q237" i="18"/>
  <c r="Q238" i="18" a="1"/>
  <c r="Q238" i="18" s="1"/>
  <c r="R238" i="18" s="1"/>
  <c r="Q239" i="18" a="1"/>
  <c r="Q239" i="18" s="1"/>
  <c r="R239" i="18" s="1"/>
  <c r="Q240" i="18" a="1"/>
  <c r="Q240" i="18" s="1"/>
  <c r="R240" i="18" s="1"/>
  <c r="U240" i="18" s="1"/>
  <c r="Q241" i="18" a="1"/>
  <c r="Q241" i="18"/>
  <c r="Q242" i="18" a="1"/>
  <c r="Q242" i="18" s="1"/>
  <c r="R242" i="18" s="1"/>
  <c r="Q243" i="18" a="1"/>
  <c r="Q243" i="18"/>
  <c r="Q244" i="18" a="1"/>
  <c r="Q244" i="18" s="1"/>
  <c r="R2" i="18"/>
  <c r="R3" i="18"/>
  <c r="R5" i="18"/>
  <c r="R8" i="18"/>
  <c r="R10" i="18"/>
  <c r="R11" i="18"/>
  <c r="R14" i="18"/>
  <c r="R16" i="18"/>
  <c r="R18" i="18"/>
  <c r="R20" i="18"/>
  <c r="R21" i="18"/>
  <c r="R22" i="18"/>
  <c r="R23" i="18"/>
  <c r="R26" i="18"/>
  <c r="R27" i="18"/>
  <c r="R28" i="18"/>
  <c r="R30" i="18"/>
  <c r="R31" i="18"/>
  <c r="R32" i="18"/>
  <c r="R34" i="18"/>
  <c r="R35" i="18"/>
  <c r="R37" i="18"/>
  <c r="R38" i="18"/>
  <c r="R40" i="18"/>
  <c r="R42" i="18"/>
  <c r="R43" i="18"/>
  <c r="R44" i="18"/>
  <c r="R46" i="18"/>
  <c r="R50" i="18"/>
  <c r="R52" i="18"/>
  <c r="R53" i="18"/>
  <c r="R54" i="18"/>
  <c r="R55" i="18"/>
  <c r="R58" i="18"/>
  <c r="R59" i="18"/>
  <c r="R60" i="18"/>
  <c r="R61" i="18"/>
  <c r="R62" i="18"/>
  <c r="R63" i="18"/>
  <c r="R64" i="18"/>
  <c r="R66" i="18"/>
  <c r="R67" i="18"/>
  <c r="R68" i="18"/>
  <c r="R69" i="18"/>
  <c r="R70" i="18"/>
  <c r="R74" i="18"/>
  <c r="R75" i="18"/>
  <c r="R76" i="18"/>
  <c r="R78" i="18"/>
  <c r="R79" i="18"/>
  <c r="R82" i="18"/>
  <c r="R84" i="18"/>
  <c r="R85" i="18"/>
  <c r="R86" i="18"/>
  <c r="R87" i="18"/>
  <c r="R88" i="18"/>
  <c r="R90" i="18"/>
  <c r="R91" i="18"/>
  <c r="R93" i="18"/>
  <c r="R94" i="18"/>
  <c r="R95" i="18"/>
  <c r="R96" i="18"/>
  <c r="R98" i="18"/>
  <c r="R99" i="18"/>
  <c r="R101" i="18"/>
  <c r="R102" i="18"/>
  <c r="R104" i="18"/>
  <c r="R106" i="18"/>
  <c r="R107" i="18"/>
  <c r="R110" i="18"/>
  <c r="R111" i="18"/>
  <c r="R114" i="18"/>
  <c r="R116" i="18"/>
  <c r="R117" i="18"/>
  <c r="R119" i="18"/>
  <c r="R120" i="18"/>
  <c r="R122" i="18"/>
  <c r="R123" i="18"/>
  <c r="R125" i="18"/>
  <c r="R126" i="18"/>
  <c r="R127" i="18"/>
  <c r="R130" i="18"/>
  <c r="R131" i="18"/>
  <c r="R132" i="18"/>
  <c r="R133" i="18"/>
  <c r="R134" i="18"/>
  <c r="R138" i="18"/>
  <c r="R139" i="18"/>
  <c r="R143" i="18"/>
  <c r="R144" i="18"/>
  <c r="R146" i="18"/>
  <c r="R149" i="18"/>
  <c r="R151" i="18"/>
  <c r="R154" i="18"/>
  <c r="R155" i="18"/>
  <c r="R157" i="18"/>
  <c r="R159" i="18"/>
  <c r="R162" i="18"/>
  <c r="R163" i="18"/>
  <c r="R165" i="18"/>
  <c r="R171" i="18"/>
  <c r="R175" i="18"/>
  <c r="R178" i="18"/>
  <c r="R181" i="18"/>
  <c r="R183" i="18"/>
  <c r="R186" i="18"/>
  <c r="R187" i="18"/>
  <c r="R189" i="18"/>
  <c r="R191" i="18"/>
  <c r="R194" i="18"/>
  <c r="R195" i="18"/>
  <c r="R197" i="18"/>
  <c r="R203" i="18"/>
  <c r="R207" i="18"/>
  <c r="R210" i="18"/>
  <c r="R213" i="18"/>
  <c r="R218" i="18"/>
  <c r="R219" i="18"/>
  <c r="R221" i="18"/>
  <c r="R226" i="18"/>
  <c r="R229" i="18"/>
  <c r="R235" i="18"/>
  <c r="R236" i="18"/>
  <c r="R237" i="18"/>
  <c r="R241" i="18"/>
  <c r="R243" i="18"/>
  <c r="R244" i="18"/>
  <c r="S2" i="18" a="1"/>
  <c r="S2" i="18" s="1"/>
  <c r="S3" i="18" a="1"/>
  <c r="S3" i="18"/>
  <c r="S4" i="18" a="1"/>
  <c r="S4" i="18" s="1"/>
  <c r="S5" i="18" a="1"/>
  <c r="S5" i="18" s="1"/>
  <c r="S6" i="18" a="1"/>
  <c r="S6" i="18"/>
  <c r="S7" i="18" a="1"/>
  <c r="S7" i="18" s="1"/>
  <c r="S8" i="18" a="1"/>
  <c r="S8" i="18" s="1"/>
  <c r="S9" i="18" a="1"/>
  <c r="S9" i="18" s="1"/>
  <c r="S10" i="18" a="1"/>
  <c r="S10" i="18"/>
  <c r="S11" i="18" a="1"/>
  <c r="S11" i="18" s="1"/>
  <c r="S12" i="18" a="1"/>
  <c r="S12" i="18" s="1"/>
  <c r="S13" i="18" a="1"/>
  <c r="S13" i="18" s="1"/>
  <c r="S14" i="18" a="1"/>
  <c r="S14" i="18"/>
  <c r="S15" i="18" a="1"/>
  <c r="S15" i="18" s="1"/>
  <c r="S16" i="18" a="1"/>
  <c r="S16" i="18" s="1"/>
  <c r="S17" i="18" a="1"/>
  <c r="S17" i="18" s="1"/>
  <c r="S18" i="18" a="1"/>
  <c r="S18" i="18"/>
  <c r="S19" i="18" a="1"/>
  <c r="S19" i="18" s="1"/>
  <c r="S20" i="18" a="1"/>
  <c r="S20" i="18" s="1"/>
  <c r="S21" i="18" a="1"/>
  <c r="S21" i="18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/>
  <c r="S30" i="18" a="1"/>
  <c r="S30" i="18" s="1"/>
  <c r="S31" i="18" a="1"/>
  <c r="S31" i="18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/>
  <c r="S46" i="18" a="1"/>
  <c r="S46" i="18" s="1"/>
  <c r="S47" i="18" a="1"/>
  <c r="S47" i="18"/>
  <c r="S48" i="18" a="1"/>
  <c r="S48" i="18" s="1"/>
  <c r="S49" i="18" a="1"/>
  <c r="S49" i="18" s="1"/>
  <c r="S50" i="18" a="1"/>
  <c r="S50" i="18" s="1"/>
  <c r="S51" i="18" a="1"/>
  <c r="S51" i="18" s="1"/>
  <c r="S52" i="18" a="1"/>
  <c r="S52" i="18" s="1"/>
  <c r="S53" i="18" a="1"/>
  <c r="S53" i="18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 s="1"/>
  <c r="S60" i="18" a="1"/>
  <c r="S60" i="18" s="1"/>
  <c r="S61" i="18" a="1"/>
  <c r="S61" i="18"/>
  <c r="S62" i="18" a="1"/>
  <c r="S62" i="18" s="1"/>
  <c r="S63" i="18" a="1"/>
  <c r="S63" i="18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/>
  <c r="S78" i="18" a="1"/>
  <c r="S78" i="18" s="1"/>
  <c r="S79" i="18" a="1"/>
  <c r="S79" i="18"/>
  <c r="S80" i="18" a="1"/>
  <c r="S80" i="18" s="1"/>
  <c r="S81" i="18" a="1"/>
  <c r="S81" i="18" s="1"/>
  <c r="S82" i="18" a="1"/>
  <c r="S82" i="18" s="1"/>
  <c r="S83" i="18" a="1"/>
  <c r="S83" i="18" s="1"/>
  <c r="S84" i="18" a="1"/>
  <c r="S84" i="18" s="1"/>
  <c r="S85" i="18" a="1"/>
  <c r="S85" i="18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 s="1"/>
  <c r="S93" i="18" a="1"/>
  <c r="S93" i="18"/>
  <c r="S94" i="18" a="1"/>
  <c r="S94" i="18" s="1"/>
  <c r="S95" i="18" a="1"/>
  <c r="S95" i="18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/>
  <c r="S110" i="18" a="1"/>
  <c r="S110" i="18" s="1"/>
  <c r="S111" i="18" a="1"/>
  <c r="S111" i="18"/>
  <c r="S112" i="18" a="1"/>
  <c r="S112" i="18" s="1"/>
  <c r="S113" i="18" a="1"/>
  <c r="S113" i="18" s="1"/>
  <c r="S114" i="18" a="1"/>
  <c r="S114" i="18" s="1"/>
  <c r="S115" i="18" a="1"/>
  <c r="S115" i="18" s="1"/>
  <c r="S116" i="18" a="1"/>
  <c r="S116" i="18" s="1"/>
  <c r="S117" i="18" a="1"/>
  <c r="S117" i="18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/>
  <c r="S126" i="18" a="1"/>
  <c r="S126" i="18" s="1"/>
  <c r="S127" i="18" a="1"/>
  <c r="S127" i="18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 s="1"/>
  <c r="S133" i="18" a="1"/>
  <c r="S133" i="18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/>
  <c r="S142" i="18" a="1"/>
  <c r="S142" i="18" s="1"/>
  <c r="S143" i="18" a="1"/>
  <c r="S143" i="18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 s="1"/>
  <c r="S149" i="18" a="1"/>
  <c r="S149" i="18"/>
  <c r="S150" i="18" a="1"/>
  <c r="S150" i="18" s="1"/>
  <c r="S151" i="18" a="1"/>
  <c r="S151" i="18" s="1"/>
  <c r="S152" i="18" a="1"/>
  <c r="S152" i="18" s="1"/>
  <c r="S153" i="18" a="1"/>
  <c r="S153" i="18" s="1"/>
  <c r="S154" i="18" a="1"/>
  <c r="S154" i="18" s="1"/>
  <c r="S155" i="18" a="1"/>
  <c r="S155" i="18" s="1"/>
  <c r="S156" i="18" a="1"/>
  <c r="S156" i="18" s="1"/>
  <c r="S157" i="18" a="1"/>
  <c r="S157" i="18"/>
  <c r="S158" i="18" a="1"/>
  <c r="S158" i="18" s="1"/>
  <c r="S159" i="18" a="1"/>
  <c r="S159" i="18"/>
  <c r="S160" i="18" a="1"/>
  <c r="S160" i="18" s="1"/>
  <c r="S161" i="18" a="1"/>
  <c r="S161" i="18" s="1"/>
  <c r="S162" i="18" a="1"/>
  <c r="S162" i="18" s="1"/>
  <c r="S163" i="18" a="1"/>
  <c r="S163" i="18" s="1"/>
  <c r="S164" i="18" a="1"/>
  <c r="S164" i="18" s="1"/>
  <c r="S165" i="18" a="1"/>
  <c r="S165" i="18"/>
  <c r="S166" i="18" a="1"/>
  <c r="S166" i="18" s="1"/>
  <c r="S167" i="18" a="1"/>
  <c r="S167" i="18" s="1"/>
  <c r="S168" i="18" a="1"/>
  <c r="S168" i="18" s="1"/>
  <c r="S169" i="18" a="1"/>
  <c r="S169" i="18" s="1"/>
  <c r="S170" i="18" a="1"/>
  <c r="S170" i="18" s="1"/>
  <c r="S171" i="18" a="1"/>
  <c r="S171" i="18" s="1"/>
  <c r="S172" i="18" a="1"/>
  <c r="S172" i="18" s="1"/>
  <c r="S173" i="18" a="1"/>
  <c r="S173" i="18"/>
  <c r="S174" i="18" a="1"/>
  <c r="S174" i="18" s="1"/>
  <c r="S175" i="18" a="1"/>
  <c r="S175" i="18"/>
  <c r="S176" i="18" a="1"/>
  <c r="S176" i="18" s="1"/>
  <c r="S177" i="18" a="1"/>
  <c r="S177" i="18" s="1"/>
  <c r="S178" i="18" a="1"/>
  <c r="S178" i="18" s="1"/>
  <c r="S179" i="18" a="1"/>
  <c r="S179" i="18" s="1"/>
  <c r="S180" i="18" a="1"/>
  <c r="S180" i="18" s="1"/>
  <c r="S181" i="18" a="1"/>
  <c r="S181" i="18"/>
  <c r="S182" i="18" a="1"/>
  <c r="S182" i="18" s="1"/>
  <c r="S183" i="18" a="1"/>
  <c r="S183" i="18" s="1"/>
  <c r="S184" i="18" a="1"/>
  <c r="S184" i="18" s="1"/>
  <c r="S185" i="18" a="1"/>
  <c r="S185" i="18" s="1"/>
  <c r="S186" i="18" a="1"/>
  <c r="S186" i="18" s="1"/>
  <c r="S187" i="18" a="1"/>
  <c r="S187" i="18" s="1"/>
  <c r="S188" i="18" a="1"/>
  <c r="S188" i="18" s="1"/>
  <c r="S189" i="18" a="1"/>
  <c r="S189" i="18"/>
  <c r="S190" i="18" a="1"/>
  <c r="S190" i="18" s="1"/>
  <c r="S191" i="18" a="1"/>
  <c r="S191" i="18"/>
  <c r="S192" i="18" a="1"/>
  <c r="S192" i="18" s="1"/>
  <c r="S193" i="18" a="1"/>
  <c r="S193" i="18" s="1"/>
  <c r="S194" i="18" a="1"/>
  <c r="S194" i="18" s="1"/>
  <c r="S195" i="18" a="1"/>
  <c r="S195" i="18" s="1"/>
  <c r="S196" i="18" a="1"/>
  <c r="S196" i="18" s="1"/>
  <c r="S197" i="18" a="1"/>
  <c r="S197" i="18"/>
  <c r="S198" i="18" a="1"/>
  <c r="S198" i="18" s="1"/>
  <c r="S199" i="18" a="1"/>
  <c r="S199" i="18" s="1"/>
  <c r="S200" i="18" a="1"/>
  <c r="S200" i="18" s="1"/>
  <c r="S201" i="18" a="1"/>
  <c r="S201" i="18" s="1"/>
  <c r="S202" i="18" a="1"/>
  <c r="S202" i="18" s="1"/>
  <c r="S203" i="18" a="1"/>
  <c r="S203" i="18" s="1"/>
  <c r="S204" i="18" a="1"/>
  <c r="S204" i="18" s="1"/>
  <c r="S205" i="18" a="1"/>
  <c r="S205" i="18"/>
  <c r="S206" i="18" a="1"/>
  <c r="S206" i="18" s="1"/>
  <c r="S207" i="18" a="1"/>
  <c r="S207" i="18"/>
  <c r="S208" i="18" a="1"/>
  <c r="S208" i="18" s="1"/>
  <c r="S209" i="18" a="1"/>
  <c r="S209" i="18" s="1"/>
  <c r="S210" i="18" a="1"/>
  <c r="S210" i="18" s="1"/>
  <c r="S211" i="18" a="1"/>
  <c r="S211" i="18" s="1"/>
  <c r="S212" i="18" a="1"/>
  <c r="S212" i="18" s="1"/>
  <c r="S213" i="18" a="1"/>
  <c r="S213" i="18"/>
  <c r="S214" i="18" a="1"/>
  <c r="S214" i="18" s="1"/>
  <c r="S215" i="18" a="1"/>
  <c r="S215" i="18" s="1"/>
  <c r="S216" i="18" a="1"/>
  <c r="S216" i="18" s="1"/>
  <c r="S217" i="18" a="1"/>
  <c r="S217" i="18" s="1"/>
  <c r="S218" i="18" a="1"/>
  <c r="S218" i="18" s="1"/>
  <c r="S219" i="18" a="1"/>
  <c r="S219" i="18" s="1"/>
  <c r="S220" i="18" a="1"/>
  <c r="S220" i="18" s="1"/>
  <c r="S221" i="18" a="1"/>
  <c r="S221" i="18"/>
  <c r="S222" i="18" a="1"/>
  <c r="S222" i="18" s="1"/>
  <c r="S223" i="18" a="1"/>
  <c r="S223" i="18"/>
  <c r="S224" i="18" a="1"/>
  <c r="S224" i="18" s="1"/>
  <c r="S225" i="18" a="1"/>
  <c r="S225" i="18" s="1"/>
  <c r="S226" i="18" a="1"/>
  <c r="S226" i="18" s="1"/>
  <c r="S227" i="18" a="1"/>
  <c r="S227" i="18" s="1"/>
  <c r="S228" i="18" a="1"/>
  <c r="S228" i="18" s="1"/>
  <c r="S229" i="18" a="1"/>
  <c r="S229" i="18"/>
  <c r="S230" i="18" a="1"/>
  <c r="S230" i="18" s="1"/>
  <c r="S231" i="18" a="1"/>
  <c r="S231" i="18" s="1"/>
  <c r="S232" i="18" a="1"/>
  <c r="S232" i="18" s="1"/>
  <c r="S233" i="18" a="1"/>
  <c r="S233" i="18" s="1"/>
  <c r="S234" i="18" a="1"/>
  <c r="S234" i="18" s="1"/>
  <c r="S235" i="18" a="1"/>
  <c r="S235" i="18" s="1"/>
  <c r="S236" i="18" a="1"/>
  <c r="S236" i="18" s="1"/>
  <c r="S237" i="18" a="1"/>
  <c r="S237" i="18"/>
  <c r="S238" i="18" a="1"/>
  <c r="S238" i="18" s="1"/>
  <c r="S239" i="18" a="1"/>
  <c r="S239" i="18"/>
  <c r="S240" i="18" a="1"/>
  <c r="S240" i="18" s="1"/>
  <c r="S241" i="18" a="1"/>
  <c r="S241" i="18" s="1"/>
  <c r="S242" i="18" a="1"/>
  <c r="S242" i="18" s="1"/>
  <c r="S243" i="18" a="1"/>
  <c r="S243" i="18" s="1"/>
  <c r="S244" i="18" a="1"/>
  <c r="S244" i="18" s="1"/>
  <c r="T2" i="18" a="1"/>
  <c r="T2" i="18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/>
  <c r="T11" i="18" a="1"/>
  <c r="T11" i="18" s="1"/>
  <c r="T12" i="18" a="1"/>
  <c r="T12" i="18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/>
  <c r="T27" i="18" a="1"/>
  <c r="T27" i="18" s="1"/>
  <c r="T28" i="18" a="1"/>
  <c r="T28" i="18"/>
  <c r="T29" i="18" a="1"/>
  <c r="T29" i="18" s="1"/>
  <c r="T30" i="18" a="1"/>
  <c r="T30" i="18" s="1"/>
  <c r="T31" i="18" a="1"/>
  <c r="T31" i="18" s="1"/>
  <c r="T32" i="18" a="1"/>
  <c r="T32" i="18" s="1"/>
  <c r="T33" i="18" a="1"/>
  <c r="T33" i="18" s="1"/>
  <c r="T34" i="18" a="1"/>
  <c r="T34" i="18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/>
  <c r="T43" i="18" a="1"/>
  <c r="T43" i="18" s="1"/>
  <c r="T44" i="18" a="1"/>
  <c r="T44" i="18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/>
  <c r="T59" i="18" a="1"/>
  <c r="T59" i="18" s="1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 s="1"/>
  <c r="T66" i="18" a="1"/>
  <c r="T66" i="18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T152" i="18" a="1"/>
  <c r="T152" i="18" s="1"/>
  <c r="T153" i="18" a="1"/>
  <c r="T153" i="18" s="1"/>
  <c r="T154" i="18" a="1"/>
  <c r="T154" i="18" s="1"/>
  <c r="T155" i="18" a="1"/>
  <c r="T155" i="18" s="1"/>
  <c r="T156" i="18" a="1"/>
  <c r="T156" i="18" s="1"/>
  <c r="T157" i="18" a="1"/>
  <c r="T157" i="18" s="1"/>
  <c r="T158" i="18" a="1"/>
  <c r="T158" i="18" s="1"/>
  <c r="T159" i="18" a="1"/>
  <c r="T159" i="18" s="1"/>
  <c r="T160" i="18" a="1"/>
  <c r="T160" i="18" s="1"/>
  <c r="T161" i="18" a="1"/>
  <c r="T161" i="18" s="1"/>
  <c r="T162" i="18" a="1"/>
  <c r="T162" i="18" s="1"/>
  <c r="T163" i="18" a="1"/>
  <c r="T163" i="18" s="1"/>
  <c r="T164" i="18" a="1"/>
  <c r="T164" i="18" s="1"/>
  <c r="T165" i="18" a="1"/>
  <c r="T165" i="18" s="1"/>
  <c r="T166" i="18" a="1"/>
  <c r="T166" i="18" s="1"/>
  <c r="T167" i="18" a="1"/>
  <c r="T167" i="18" s="1"/>
  <c r="T168" i="18" a="1"/>
  <c r="T168" i="18" s="1"/>
  <c r="T169" i="18" a="1"/>
  <c r="T169" i="18" s="1"/>
  <c r="T170" i="18" a="1"/>
  <c r="T170" i="18" s="1"/>
  <c r="T171" i="18" a="1"/>
  <c r="T171" i="18" s="1"/>
  <c r="T172" i="18" a="1"/>
  <c r="T172" i="18" s="1"/>
  <c r="T173" i="18" a="1"/>
  <c r="T173" i="18" s="1"/>
  <c r="T174" i="18" a="1"/>
  <c r="T174" i="18" s="1"/>
  <c r="T175" i="18" a="1"/>
  <c r="T175" i="18" s="1"/>
  <c r="T176" i="18" a="1"/>
  <c r="T176" i="18" s="1"/>
  <c r="T177" i="18" a="1"/>
  <c r="T177" i="18" s="1"/>
  <c r="T178" i="18" a="1"/>
  <c r="T178" i="18" s="1"/>
  <c r="T179" i="18" a="1"/>
  <c r="T179" i="18" s="1"/>
  <c r="T180" i="18" a="1"/>
  <c r="T180" i="18" s="1"/>
  <c r="T181" i="18" a="1"/>
  <c r="T181" i="18" s="1"/>
  <c r="T182" i="18" a="1"/>
  <c r="T182" i="18" s="1"/>
  <c r="T183" i="18" a="1"/>
  <c r="T183" i="18" s="1"/>
  <c r="T184" i="18" a="1"/>
  <c r="T184" i="18" s="1"/>
  <c r="T185" i="18" a="1"/>
  <c r="T185" i="18" s="1"/>
  <c r="T186" i="18" a="1"/>
  <c r="T186" i="18" s="1"/>
  <c r="T187" i="18" a="1"/>
  <c r="T187" i="18" s="1"/>
  <c r="T188" i="18" a="1"/>
  <c r="T188" i="18" s="1"/>
  <c r="T189" i="18" a="1"/>
  <c r="T189" i="18" s="1"/>
  <c r="T190" i="18" a="1"/>
  <c r="T190" i="18" s="1"/>
  <c r="T191" i="18" a="1"/>
  <c r="T191" i="18" s="1"/>
  <c r="T192" i="18" a="1"/>
  <c r="T192" i="18" s="1"/>
  <c r="T193" i="18" a="1"/>
  <c r="T193" i="18" s="1"/>
  <c r="T194" i="18" a="1"/>
  <c r="T194" i="18" s="1"/>
  <c r="T195" i="18" a="1"/>
  <c r="T195" i="18" s="1"/>
  <c r="T196" i="18" a="1"/>
  <c r="T196" i="18" s="1"/>
  <c r="T197" i="18" a="1"/>
  <c r="T197" i="18" s="1"/>
  <c r="T198" i="18" a="1"/>
  <c r="T198" i="18" s="1"/>
  <c r="T199" i="18" a="1"/>
  <c r="T199" i="18" s="1"/>
  <c r="T200" i="18" a="1"/>
  <c r="T200" i="18" s="1"/>
  <c r="T201" i="18" a="1"/>
  <c r="T201" i="18" s="1"/>
  <c r="T202" i="18" a="1"/>
  <c r="T202" i="18" s="1"/>
  <c r="T203" i="18" a="1"/>
  <c r="T203" i="18" s="1"/>
  <c r="T204" i="18" a="1"/>
  <c r="T204" i="18" s="1"/>
  <c r="T205" i="18" a="1"/>
  <c r="T205" i="18" s="1"/>
  <c r="T206" i="18" a="1"/>
  <c r="T206" i="18" s="1"/>
  <c r="T207" i="18" a="1"/>
  <c r="T207" i="18" s="1"/>
  <c r="T208" i="18" a="1"/>
  <c r="T208" i="18" s="1"/>
  <c r="T209" i="18" a="1"/>
  <c r="T209" i="18" s="1"/>
  <c r="T210" i="18" a="1"/>
  <c r="T210" i="18" s="1"/>
  <c r="T211" i="18" a="1"/>
  <c r="T211" i="18" s="1"/>
  <c r="T212" i="18" a="1"/>
  <c r="T212" i="18" s="1"/>
  <c r="T213" i="18" a="1"/>
  <c r="T213" i="18" s="1"/>
  <c r="T214" i="18" a="1"/>
  <c r="T214" i="18" s="1"/>
  <c r="T215" i="18" a="1"/>
  <c r="T215" i="18" s="1"/>
  <c r="T216" i="18" a="1"/>
  <c r="T216" i="18" s="1"/>
  <c r="T217" i="18" a="1"/>
  <c r="T217" i="18" s="1"/>
  <c r="T218" i="18" a="1"/>
  <c r="T218" i="18" s="1"/>
  <c r="T219" i="18" a="1"/>
  <c r="T219" i="18" s="1"/>
  <c r="T220" i="18" a="1"/>
  <c r="T220" i="18" s="1"/>
  <c r="T221" i="18" a="1"/>
  <c r="T221" i="18" s="1"/>
  <c r="T222" i="18" a="1"/>
  <c r="T222" i="18" s="1"/>
  <c r="T223" i="18" a="1"/>
  <c r="T223" i="18" s="1"/>
  <c r="T224" i="18" a="1"/>
  <c r="T224" i="18" s="1"/>
  <c r="T225" i="18" a="1"/>
  <c r="T225" i="18" s="1"/>
  <c r="T226" i="18" a="1"/>
  <c r="T226" i="18" s="1"/>
  <c r="T227" i="18" a="1"/>
  <c r="T227" i="18" s="1"/>
  <c r="T228" i="18" a="1"/>
  <c r="T228" i="18" s="1"/>
  <c r="T229" i="18" a="1"/>
  <c r="T229" i="18" s="1"/>
  <c r="T230" i="18" a="1"/>
  <c r="T230" i="18" s="1"/>
  <c r="T231" i="18" a="1"/>
  <c r="T231" i="18" s="1"/>
  <c r="T232" i="18" a="1"/>
  <c r="T232" i="18" s="1"/>
  <c r="T233" i="18" a="1"/>
  <c r="T233" i="18" s="1"/>
  <c r="T234" i="18" a="1"/>
  <c r="T234" i="18" s="1"/>
  <c r="T235" i="18" a="1"/>
  <c r="T235" i="18" s="1"/>
  <c r="T236" i="18" a="1"/>
  <c r="T236" i="18" s="1"/>
  <c r="T237" i="18" a="1"/>
  <c r="T237" i="18" s="1"/>
  <c r="T238" i="18" a="1"/>
  <c r="T238" i="18" s="1"/>
  <c r="T239" i="18" a="1"/>
  <c r="T239" i="18" s="1"/>
  <c r="T240" i="18" a="1"/>
  <c r="T240" i="18" s="1"/>
  <c r="T241" i="18" a="1"/>
  <c r="T241" i="18" s="1"/>
  <c r="T242" i="18" a="1"/>
  <c r="T242" i="18" s="1"/>
  <c r="T243" i="18" a="1"/>
  <c r="T243" i="18" s="1"/>
  <c r="T244" i="18" a="1"/>
  <c r="T244" i="18" s="1"/>
  <c r="U2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0" i="18"/>
  <c r="U51" i="18"/>
  <c r="U52" i="18"/>
  <c r="U53" i="18"/>
  <c r="U54" i="18"/>
  <c r="U55" i="18"/>
  <c r="U56" i="18"/>
  <c r="U57" i="18"/>
  <c r="U58" i="18"/>
  <c r="U59" i="18"/>
  <c r="U60" i="18"/>
  <c r="U61" i="18"/>
  <c r="U62" i="18"/>
  <c r="U63" i="18"/>
  <c r="U64" i="18"/>
  <c r="U65" i="18"/>
  <c r="U66" i="18"/>
  <c r="U67" i="18"/>
  <c r="U68" i="18"/>
  <c r="U69" i="18"/>
  <c r="U70" i="18"/>
  <c r="U71" i="18"/>
  <c r="U72" i="18"/>
  <c r="U73" i="18"/>
  <c r="U74" i="18"/>
  <c r="U75" i="18"/>
  <c r="U76" i="18"/>
  <c r="U77" i="18"/>
  <c r="U78" i="18"/>
  <c r="U79" i="18"/>
  <c r="U80" i="18"/>
  <c r="U81" i="18"/>
  <c r="U82" i="18"/>
  <c r="U83" i="18"/>
  <c r="U84" i="18"/>
  <c r="U85" i="18"/>
  <c r="U86" i="18"/>
  <c r="U87" i="18"/>
  <c r="U88" i="18"/>
  <c r="U89" i="18"/>
  <c r="U90" i="18"/>
  <c r="U91" i="18"/>
  <c r="U92" i="18"/>
  <c r="U93" i="18"/>
  <c r="U94" i="18"/>
  <c r="U95" i="18"/>
  <c r="U96" i="18"/>
  <c r="U97" i="18"/>
  <c r="U98" i="18"/>
  <c r="U99" i="18"/>
  <c r="U100" i="18"/>
  <c r="U101" i="18"/>
  <c r="U102" i="18"/>
  <c r="U103" i="18"/>
  <c r="U104" i="18"/>
  <c r="U105" i="18"/>
  <c r="U106" i="18"/>
  <c r="U107" i="18"/>
  <c r="U108" i="18"/>
  <c r="U109" i="18"/>
  <c r="U110" i="18"/>
  <c r="U111" i="18"/>
  <c r="U112" i="18"/>
  <c r="U113" i="18"/>
  <c r="U114" i="18"/>
  <c r="U115" i="18"/>
  <c r="U116" i="18"/>
  <c r="U117" i="18"/>
  <c r="U118" i="18"/>
  <c r="U119" i="18"/>
  <c r="U120" i="18"/>
  <c r="U121" i="18"/>
  <c r="U122" i="18"/>
  <c r="U123" i="18"/>
  <c r="U124" i="18"/>
  <c r="U125" i="18"/>
  <c r="U126" i="18"/>
  <c r="U127" i="18"/>
  <c r="U128" i="18"/>
  <c r="U129" i="18"/>
  <c r="U130" i="18"/>
  <c r="U131" i="18"/>
  <c r="U132" i="18"/>
  <c r="U133" i="18"/>
  <c r="U134" i="18"/>
  <c r="U135" i="18"/>
  <c r="U136" i="18"/>
  <c r="U137" i="18"/>
  <c r="U138" i="18"/>
  <c r="U139" i="18"/>
  <c r="U140" i="18"/>
  <c r="U141" i="18"/>
  <c r="U142" i="18"/>
  <c r="U143" i="18"/>
  <c r="U144" i="18"/>
  <c r="U145" i="18"/>
  <c r="U146" i="18"/>
  <c r="U147" i="18"/>
  <c r="U149" i="18"/>
  <c r="U151" i="18"/>
  <c r="U153" i="18"/>
  <c r="U154" i="18"/>
  <c r="U155" i="18"/>
  <c r="U157" i="18"/>
  <c r="U159" i="18"/>
  <c r="U161" i="18"/>
  <c r="U162" i="18"/>
  <c r="U163" i="18"/>
  <c r="U165" i="18"/>
  <c r="U167" i="18"/>
  <c r="U169" i="18"/>
  <c r="U170" i="18"/>
  <c r="U171" i="18"/>
  <c r="U173" i="18"/>
  <c r="U175" i="18"/>
  <c r="U177" i="18"/>
  <c r="U178" i="18"/>
  <c r="U179" i="18"/>
  <c r="U181" i="18"/>
  <c r="U183" i="18"/>
  <c r="U185" i="18"/>
  <c r="U186" i="18"/>
  <c r="U187" i="18"/>
  <c r="U189" i="18"/>
  <c r="U191" i="18"/>
  <c r="U193" i="18"/>
  <c r="U194" i="18"/>
  <c r="U195" i="18"/>
  <c r="U197" i="18"/>
  <c r="U199" i="18"/>
  <c r="U201" i="18"/>
  <c r="U202" i="18"/>
  <c r="U203" i="18"/>
  <c r="U205" i="18"/>
  <c r="U207" i="18"/>
  <c r="U209" i="18"/>
  <c r="U210" i="18"/>
  <c r="U211" i="18"/>
  <c r="U213" i="18"/>
  <c r="U215" i="18"/>
  <c r="U217" i="18"/>
  <c r="U218" i="18"/>
  <c r="U219" i="18"/>
  <c r="U221" i="18"/>
  <c r="U223" i="18"/>
  <c r="U225" i="18"/>
  <c r="U226" i="18"/>
  <c r="U227" i="18"/>
  <c r="U229" i="18"/>
  <c r="U231" i="18"/>
  <c r="U233" i="18"/>
  <c r="U234" i="18"/>
  <c r="U235" i="18"/>
  <c r="U236" i="18"/>
  <c r="U237" i="18"/>
  <c r="U238" i="18"/>
  <c r="U239" i="18"/>
  <c r="U241" i="18"/>
  <c r="U242" i="18"/>
  <c r="U243" i="18"/>
  <c r="U244" i="18"/>
  <c r="L2" i="17"/>
  <c r="L3" i="17"/>
  <c r="L4" i="17"/>
  <c r="L5" i="17"/>
  <c r="L6" i="17"/>
  <c r="L7" i="17"/>
  <c r="L122" i="17"/>
  <c r="L147" i="17"/>
  <c r="L8" i="17"/>
  <c r="L9" i="17"/>
  <c r="L10" i="17"/>
  <c r="L11" i="17"/>
  <c r="L12" i="17"/>
  <c r="L13" i="17"/>
  <c r="L123" i="17"/>
  <c r="L148" i="17"/>
  <c r="L14" i="17"/>
  <c r="L15" i="17"/>
  <c r="L16" i="17"/>
  <c r="L17" i="17"/>
  <c r="L18" i="17"/>
  <c r="L19" i="17"/>
  <c r="L124" i="17"/>
  <c r="L149" i="17"/>
  <c r="L20" i="17"/>
  <c r="L21" i="17"/>
  <c r="L22" i="17"/>
  <c r="L23" i="17"/>
  <c r="L24" i="17"/>
  <c r="L25" i="17"/>
  <c r="L125" i="17"/>
  <c r="L143" i="17"/>
  <c r="L144" i="17"/>
  <c r="L145" i="17"/>
  <c r="L146" i="17"/>
  <c r="L150" i="17"/>
  <c r="L26" i="17"/>
  <c r="L27" i="17"/>
  <c r="L28" i="17"/>
  <c r="L29" i="17"/>
  <c r="L30" i="17"/>
  <c r="L31" i="17"/>
  <c r="L126" i="17"/>
  <c r="L151" i="17"/>
  <c r="L32" i="17"/>
  <c r="L33" i="17"/>
  <c r="L34" i="17"/>
  <c r="L35" i="17"/>
  <c r="L36" i="17"/>
  <c r="L37" i="17"/>
  <c r="L127" i="17"/>
  <c r="L152" i="17"/>
  <c r="L38" i="17"/>
  <c r="L39" i="17"/>
  <c r="L40" i="17"/>
  <c r="L41" i="17"/>
  <c r="L42" i="17"/>
  <c r="L43" i="17"/>
  <c r="L128" i="17"/>
  <c r="L153" i="17"/>
  <c r="L44" i="17"/>
  <c r="L45" i="17"/>
  <c r="L46" i="17"/>
  <c r="L47" i="17"/>
  <c r="L48" i="17"/>
  <c r="L49" i="17"/>
  <c r="L129" i="17"/>
  <c r="L154" i="17"/>
  <c r="L50" i="17"/>
  <c r="L51" i="17"/>
  <c r="L52" i="17"/>
  <c r="L53" i="17"/>
  <c r="L54" i="17"/>
  <c r="L55" i="17"/>
  <c r="L130" i="17"/>
  <c r="L155" i="17"/>
  <c r="L56" i="17"/>
  <c r="L57" i="17"/>
  <c r="L58" i="17"/>
  <c r="L59" i="17"/>
  <c r="L60" i="17"/>
  <c r="L61" i="17"/>
  <c r="L131" i="17"/>
  <c r="L156" i="17"/>
  <c r="L62" i="17"/>
  <c r="L63" i="17"/>
  <c r="L64" i="17"/>
  <c r="L65" i="17"/>
  <c r="L66" i="17"/>
  <c r="L67" i="17"/>
  <c r="L132" i="17"/>
  <c r="L157" i="17"/>
  <c r="L68" i="17"/>
  <c r="L69" i="17"/>
  <c r="L70" i="17"/>
  <c r="L71" i="17"/>
  <c r="L72" i="17"/>
  <c r="L73" i="17"/>
  <c r="L133" i="17"/>
  <c r="L158" i="17"/>
  <c r="L74" i="17"/>
  <c r="L75" i="17"/>
  <c r="L76" i="17"/>
  <c r="L77" i="17"/>
  <c r="L78" i="17"/>
  <c r="L79" i="17"/>
  <c r="L134" i="17"/>
  <c r="L159" i="17"/>
  <c r="L80" i="17"/>
  <c r="L81" i="17"/>
  <c r="L82" i="17"/>
  <c r="L83" i="17"/>
  <c r="L84" i="17"/>
  <c r="L85" i="17"/>
  <c r="L135" i="17"/>
  <c r="L160" i="17"/>
  <c r="L86" i="17"/>
  <c r="L87" i="17"/>
  <c r="L88" i="17"/>
  <c r="L89" i="17"/>
  <c r="N122" i="17" s="1" a="1"/>
  <c r="N122" i="17" s="1"/>
  <c r="L90" i="17"/>
  <c r="L91" i="17"/>
  <c r="L136" i="17"/>
  <c r="L161" i="17"/>
  <c r="L92" i="17"/>
  <c r="L93" i="17"/>
  <c r="L94" i="17"/>
  <c r="L95" i="17"/>
  <c r="L96" i="17"/>
  <c r="L97" i="17"/>
  <c r="L137" i="17"/>
  <c r="L162" i="17"/>
  <c r="L98" i="17"/>
  <c r="L99" i="17"/>
  <c r="L100" i="17"/>
  <c r="L101" i="17"/>
  <c r="L102" i="17"/>
  <c r="L103" i="17"/>
  <c r="L138" i="17"/>
  <c r="L163" i="17"/>
  <c r="L139" i="17"/>
  <c r="L104" i="17"/>
  <c r="L105" i="17"/>
  <c r="L106" i="17"/>
  <c r="N3" i="17" s="1" a="1"/>
  <c r="N3" i="17" s="1"/>
  <c r="L107" i="17"/>
  <c r="L108" i="17"/>
  <c r="L109" i="17"/>
  <c r="L140" i="17"/>
  <c r="L164" i="17"/>
  <c r="L110" i="17"/>
  <c r="L111" i="17"/>
  <c r="L112" i="17"/>
  <c r="N7" i="17" s="1" a="1"/>
  <c r="N7" i="17" s="1"/>
  <c r="L113" i="17"/>
  <c r="L114" i="17"/>
  <c r="L115" i="17"/>
  <c r="L141" i="17"/>
  <c r="L165" i="17"/>
  <c r="L116" i="17"/>
  <c r="L117" i="17"/>
  <c r="L118" i="17"/>
  <c r="L119" i="17"/>
  <c r="L120" i="17"/>
  <c r="L121" i="17"/>
  <c r="L142" i="17"/>
  <c r="L166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122" i="17" a="1"/>
  <c r="M122" i="17" s="1"/>
  <c r="M147" i="17" a="1"/>
  <c r="M147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23" i="17" a="1"/>
  <c r="M123" i="17" s="1"/>
  <c r="M148" i="17" a="1"/>
  <c r="M148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124" i="17" a="1"/>
  <c r="M124" i="17" s="1"/>
  <c r="M149" i="17" a="1"/>
  <c r="M149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125" i="17" a="1"/>
  <c r="M125" i="17" s="1"/>
  <c r="M143" i="17" a="1"/>
  <c r="M143" i="17" s="1"/>
  <c r="M144" i="17" a="1"/>
  <c r="M144" i="17" s="1"/>
  <c r="M145" i="17" a="1"/>
  <c r="M145" i="17" s="1"/>
  <c r="M146" i="17" a="1"/>
  <c r="M146" i="17" s="1"/>
  <c r="M150" i="17" a="1"/>
  <c r="M150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126" i="17" a="1"/>
  <c r="M126" i="17" s="1"/>
  <c r="M151" i="17" a="1"/>
  <c r="M151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127" i="17" a="1"/>
  <c r="M127" i="17" s="1"/>
  <c r="M152" i="17" a="1"/>
  <c r="M152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128" i="17" a="1"/>
  <c r="M128" i="17" s="1"/>
  <c r="M153" i="17" a="1"/>
  <c r="M153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129" i="17" a="1"/>
  <c r="M129" i="17" s="1"/>
  <c r="M154" i="17" a="1"/>
  <c r="M154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130" i="17" a="1"/>
  <c r="M130" i="17" s="1"/>
  <c r="M155" i="17" a="1"/>
  <c r="M155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131" i="17" a="1"/>
  <c r="M131" i="17" s="1"/>
  <c r="M156" i="17" a="1"/>
  <c r="M156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132" i="17" a="1"/>
  <c r="M132" i="17" s="1"/>
  <c r="M157" i="17" a="1"/>
  <c r="M157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133" i="17" a="1"/>
  <c r="M133" i="17" s="1"/>
  <c r="M158" i="17" a="1"/>
  <c r="M158" i="17" s="1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134" i="17" a="1"/>
  <c r="M134" i="17" s="1"/>
  <c r="M159" i="17" a="1"/>
  <c r="M159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135" i="17" a="1"/>
  <c r="M135" i="17" s="1"/>
  <c r="M160" i="17" a="1"/>
  <c r="M160" i="17" s="1"/>
  <c r="M86" i="17" a="1"/>
  <c r="M86" i="17" s="1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136" i="17" a="1"/>
  <c r="M136" i="17" s="1"/>
  <c r="M161" i="17" a="1"/>
  <c r="M161" i="17" s="1"/>
  <c r="M92" i="17" a="1"/>
  <c r="M92" i="17" s="1"/>
  <c r="M93" i="17" a="1"/>
  <c r="M93" i="17" s="1"/>
  <c r="M94" i="17" a="1"/>
  <c r="M94" i="17" s="1"/>
  <c r="M95" i="17" a="1"/>
  <c r="M95" i="17" s="1"/>
  <c r="M96" i="17" a="1"/>
  <c r="M96" i="17" s="1"/>
  <c r="M97" i="17" a="1"/>
  <c r="M97" i="17" s="1"/>
  <c r="M137" i="17" a="1"/>
  <c r="M137" i="17" s="1"/>
  <c r="M162" i="17" a="1"/>
  <c r="M162" i="17" s="1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138" i="17" a="1"/>
  <c r="M138" i="17" s="1"/>
  <c r="M163" i="17" a="1"/>
  <c r="M163" i="17" s="1"/>
  <c r="M139" i="17" a="1"/>
  <c r="M139" i="17" s="1"/>
  <c r="M104" i="17" a="1"/>
  <c r="M104" i="17" s="1"/>
  <c r="M105" i="17" a="1"/>
  <c r="M105" i="17" s="1"/>
  <c r="M106" i="17" a="1"/>
  <c r="M106" i="17" s="1"/>
  <c r="M107" i="17" a="1"/>
  <c r="M107" i="17" s="1"/>
  <c r="M108" i="17" a="1"/>
  <c r="M108" i="17" s="1"/>
  <c r="M109" i="17" a="1"/>
  <c r="M109" i="17" s="1"/>
  <c r="M140" i="17" a="1"/>
  <c r="M140" i="17" s="1"/>
  <c r="M164" i="17" a="1"/>
  <c r="M164" i="17" s="1"/>
  <c r="M110" i="17" a="1"/>
  <c r="M110" i="17" s="1"/>
  <c r="M111" i="17" a="1"/>
  <c r="M111" i="17" s="1"/>
  <c r="M112" i="17" a="1"/>
  <c r="M112" i="17" s="1"/>
  <c r="M113" i="17" a="1"/>
  <c r="M113" i="17" s="1"/>
  <c r="M114" i="17" a="1"/>
  <c r="M114" i="17" s="1"/>
  <c r="M115" i="17" a="1"/>
  <c r="M115" i="17" s="1"/>
  <c r="M141" i="17" a="1"/>
  <c r="M141" i="17" s="1"/>
  <c r="M165" i="17" a="1"/>
  <c r="M165" i="17" s="1"/>
  <c r="M116" i="17" a="1"/>
  <c r="M116" i="17" s="1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142" i="17" a="1"/>
  <c r="M142" i="17" s="1"/>
  <c r="M166" i="17" a="1"/>
  <c r="M166" i="17" s="1"/>
  <c r="N6" i="17" a="1"/>
  <c r="N6" i="17" s="1"/>
  <c r="N8" i="17" a="1"/>
  <c r="N8" i="17" s="1"/>
  <c r="N9" i="17" a="1"/>
  <c r="N9" i="17" s="1"/>
  <c r="N10" i="17" a="1"/>
  <c r="N10" i="17" s="1"/>
  <c r="N11" i="17" a="1"/>
  <c r="N11" i="17" s="1"/>
  <c r="N12" i="17" a="1"/>
  <c r="N12" i="17" s="1"/>
  <c r="N13" i="17" a="1"/>
  <c r="N13" i="17" s="1"/>
  <c r="N148" i="17" a="1"/>
  <c r="N148" i="17" s="1"/>
  <c r="N14" i="17" a="1"/>
  <c r="N14" i="17" s="1"/>
  <c r="N15" i="17" a="1"/>
  <c r="N15" i="17" s="1"/>
  <c r="N16" i="17" a="1"/>
  <c r="N16" i="17" s="1"/>
  <c r="N17" i="17" a="1"/>
  <c r="N17" i="17" s="1"/>
  <c r="N18" i="17" a="1"/>
  <c r="N18" i="17" s="1"/>
  <c r="N19" i="17" a="1"/>
  <c r="N19" i="17" s="1"/>
  <c r="N124" i="17" a="1"/>
  <c r="N124" i="17" s="1"/>
  <c r="N149" i="17" a="1"/>
  <c r="N149" i="17" s="1"/>
  <c r="N20" i="17" a="1"/>
  <c r="N20" i="17" s="1"/>
  <c r="N21" i="17" a="1"/>
  <c r="N21" i="17" s="1"/>
  <c r="N22" i="17" a="1"/>
  <c r="N22" i="17" s="1"/>
  <c r="N23" i="17" a="1"/>
  <c r="N23" i="17" s="1"/>
  <c r="N24" i="17" a="1"/>
  <c r="N24" i="17" s="1"/>
  <c r="N25" i="17" a="1"/>
  <c r="N25" i="17" s="1"/>
  <c r="N125" i="17" a="1"/>
  <c r="N125" i="17" s="1"/>
  <c r="N143" i="17" a="1"/>
  <c r="N143" i="17" s="1"/>
  <c r="N144" i="17" a="1"/>
  <c r="N144" i="17" s="1"/>
  <c r="N145" i="17" a="1"/>
  <c r="N145" i="17" s="1"/>
  <c r="N146" i="17" a="1"/>
  <c r="N146" i="17" s="1"/>
  <c r="N150" i="17" a="1"/>
  <c r="N150" i="17" s="1"/>
  <c r="N26" i="17" a="1"/>
  <c r="N26" i="17" s="1"/>
  <c r="N27" i="17" a="1"/>
  <c r="N27" i="17" s="1"/>
  <c r="N28" i="17" a="1"/>
  <c r="N28" i="17" s="1"/>
  <c r="N29" i="17" a="1"/>
  <c r="N29" i="17" s="1"/>
  <c r="N30" i="17" a="1"/>
  <c r="N30" i="17" s="1"/>
  <c r="N31" i="17" a="1"/>
  <c r="N31" i="17" s="1"/>
  <c r="N126" i="17" a="1"/>
  <c r="N126" i="17" s="1"/>
  <c r="N151" i="17" a="1"/>
  <c r="N151" i="17" s="1"/>
  <c r="N32" i="17" a="1"/>
  <c r="N32" i="17" s="1"/>
  <c r="N33" i="17" a="1"/>
  <c r="N33" i="17" s="1"/>
  <c r="N34" i="17" a="1"/>
  <c r="N34" i="17" s="1"/>
  <c r="N35" i="17" a="1"/>
  <c r="N35" i="17" s="1"/>
  <c r="N36" i="17" a="1"/>
  <c r="N36" i="17" s="1"/>
  <c r="N37" i="17" a="1"/>
  <c r="N37" i="17" s="1"/>
  <c r="N127" i="17" a="1"/>
  <c r="N127" i="17"/>
  <c r="N152" i="17" a="1"/>
  <c r="N152" i="17" s="1"/>
  <c r="N38" i="17" a="1"/>
  <c r="N38" i="17" s="1"/>
  <c r="N39" i="17" a="1"/>
  <c r="N39" i="17" s="1"/>
  <c r="N40" i="17" a="1"/>
  <c r="N40" i="17" s="1"/>
  <c r="N41" i="17" a="1"/>
  <c r="N41" i="17" s="1"/>
  <c r="N42" i="17" a="1"/>
  <c r="N42" i="17" s="1"/>
  <c r="N43" i="17" a="1"/>
  <c r="N43" i="17" s="1"/>
  <c r="N128" i="17" a="1"/>
  <c r="N128" i="17"/>
  <c r="N153" i="17" a="1"/>
  <c r="N153" i="17" s="1"/>
  <c r="N44" i="17" a="1"/>
  <c r="N44" i="17" s="1"/>
  <c r="N45" i="17" a="1"/>
  <c r="N45" i="17" s="1"/>
  <c r="N46" i="17" a="1"/>
  <c r="N46" i="17" s="1"/>
  <c r="N47" i="17" a="1"/>
  <c r="N47" i="17" s="1"/>
  <c r="N48" i="17" a="1"/>
  <c r="N48" i="17" s="1"/>
  <c r="N49" i="17" a="1"/>
  <c r="N49" i="17" s="1"/>
  <c r="N129" i="17" a="1"/>
  <c r="N129" i="17" s="1"/>
  <c r="N154" i="17" a="1"/>
  <c r="N154" i="17" s="1"/>
  <c r="N50" i="17" a="1"/>
  <c r="N50" i="17" s="1"/>
  <c r="N51" i="17" a="1"/>
  <c r="N51" i="17" s="1"/>
  <c r="N52" i="17" a="1"/>
  <c r="N52" i="17" s="1"/>
  <c r="N53" i="17" a="1"/>
  <c r="N53" i="17" s="1"/>
  <c r="N54" i="17" a="1"/>
  <c r="N54" i="17" s="1"/>
  <c r="N55" i="17" a="1"/>
  <c r="N55" i="17" s="1"/>
  <c r="N130" i="17" a="1"/>
  <c r="N130" i="17" s="1"/>
  <c r="N155" i="17" a="1"/>
  <c r="N155" i="17" s="1"/>
  <c r="N56" i="17" a="1"/>
  <c r="N56" i="17" s="1"/>
  <c r="N57" i="17" a="1"/>
  <c r="N57" i="17" s="1"/>
  <c r="N58" i="17" a="1"/>
  <c r="N58" i="17" s="1"/>
  <c r="N59" i="17" a="1"/>
  <c r="N59" i="17" s="1"/>
  <c r="N60" i="17" a="1"/>
  <c r="N60" i="17" s="1"/>
  <c r="N61" i="17" a="1"/>
  <c r="N61" i="17" s="1"/>
  <c r="N131" i="17" a="1"/>
  <c r="N131" i="17" s="1"/>
  <c r="N156" i="17" a="1"/>
  <c r="N156" i="17" s="1"/>
  <c r="N62" i="17" a="1"/>
  <c r="N62" i="17" s="1"/>
  <c r="N63" i="17" a="1"/>
  <c r="N63" i="17" s="1"/>
  <c r="N64" i="17" a="1"/>
  <c r="N64" i="17" s="1"/>
  <c r="N65" i="17" a="1"/>
  <c r="N65" i="17" s="1"/>
  <c r="N66" i="17" a="1"/>
  <c r="N66" i="17" s="1"/>
  <c r="N67" i="17" a="1"/>
  <c r="N67" i="17" s="1"/>
  <c r="N132" i="17" a="1"/>
  <c r="N132" i="17" s="1"/>
  <c r="N157" i="17" a="1"/>
  <c r="N157" i="17" s="1"/>
  <c r="N68" i="17" a="1"/>
  <c r="N68" i="17" s="1"/>
  <c r="N69" i="17" a="1"/>
  <c r="N69" i="17" s="1"/>
  <c r="N70" i="17" a="1"/>
  <c r="N70" i="17" s="1"/>
  <c r="N71" i="17" a="1"/>
  <c r="N71" i="17" s="1"/>
  <c r="N72" i="17" a="1"/>
  <c r="N72" i="17" s="1"/>
  <c r="N73" i="17" a="1"/>
  <c r="N73" i="17" s="1"/>
  <c r="N133" i="17" a="1"/>
  <c r="N133" i="17" s="1"/>
  <c r="N158" i="17" a="1"/>
  <c r="N158" i="17" s="1"/>
  <c r="N74" i="17" a="1"/>
  <c r="N74" i="17" s="1"/>
  <c r="N75" i="17" a="1"/>
  <c r="N75" i="17" s="1"/>
  <c r="N76" i="17" a="1"/>
  <c r="N76" i="17" s="1"/>
  <c r="N77" i="17" a="1"/>
  <c r="N77" i="17" s="1"/>
  <c r="N78" i="17" a="1"/>
  <c r="N78" i="17" s="1"/>
  <c r="N79" i="17" a="1"/>
  <c r="N79" i="17" s="1"/>
  <c r="N134" i="17" a="1"/>
  <c r="N134" i="17" s="1"/>
  <c r="N159" i="17" a="1"/>
  <c r="N159" i="17" s="1"/>
  <c r="N80" i="17" a="1"/>
  <c r="N80" i="17" s="1"/>
  <c r="N81" i="17" a="1"/>
  <c r="N81" i="17" s="1"/>
  <c r="N82" i="17" a="1"/>
  <c r="N82" i="17" s="1"/>
  <c r="N83" i="17" a="1"/>
  <c r="N83" i="17" s="1"/>
  <c r="N84" i="17" a="1"/>
  <c r="N84" i="17" s="1"/>
  <c r="N85" i="17" a="1"/>
  <c r="N85" i="17" s="1"/>
  <c r="N135" i="17" a="1"/>
  <c r="N135" i="17"/>
  <c r="N160" i="17" a="1"/>
  <c r="N160" i="17" s="1"/>
  <c r="N86" i="17" a="1"/>
  <c r="N86" i="17" s="1"/>
  <c r="N87" i="17" a="1"/>
  <c r="N87" i="17" s="1"/>
  <c r="N88" i="17" a="1"/>
  <c r="N88" i="17" s="1"/>
  <c r="N89" i="17" a="1"/>
  <c r="N89" i="17" s="1"/>
  <c r="N90" i="17" a="1"/>
  <c r="N90" i="17" s="1"/>
  <c r="N91" i="17" a="1"/>
  <c r="N91" i="17" s="1"/>
  <c r="N136" i="17" a="1"/>
  <c r="N136" i="17"/>
  <c r="N161" i="17" a="1"/>
  <c r="N161" i="17" s="1"/>
  <c r="N92" i="17" a="1"/>
  <c r="N92" i="17" s="1"/>
  <c r="N93" i="17" a="1"/>
  <c r="N93" i="17" s="1"/>
  <c r="N94" i="17" a="1"/>
  <c r="N94" i="17" s="1"/>
  <c r="N95" i="17" a="1"/>
  <c r="N95" i="17" s="1"/>
  <c r="N96" i="17" a="1"/>
  <c r="N96" i="17" s="1"/>
  <c r="N97" i="17" a="1"/>
  <c r="N97" i="17" s="1"/>
  <c r="N137" i="17" a="1"/>
  <c r="N137" i="17" s="1"/>
  <c r="N162" i="17" a="1"/>
  <c r="N162" i="17" s="1"/>
  <c r="N98" i="17" a="1"/>
  <c r="N98" i="17" s="1"/>
  <c r="N99" i="17" a="1"/>
  <c r="N99" i="17" s="1"/>
  <c r="N100" i="17" a="1"/>
  <c r="N100" i="17" s="1"/>
  <c r="N101" i="17" a="1"/>
  <c r="N101" i="17" s="1"/>
  <c r="N102" i="17" a="1"/>
  <c r="N102" i="17" s="1"/>
  <c r="N103" i="17" a="1"/>
  <c r="N103" i="17" s="1"/>
  <c r="N138" i="17" a="1"/>
  <c r="N138" i="17" s="1"/>
  <c r="N163" i="17" a="1"/>
  <c r="N163" i="17" s="1"/>
  <c r="N139" i="17" a="1"/>
  <c r="N139" i="17" s="1"/>
  <c r="N104" i="17" a="1"/>
  <c r="N104" i="17" s="1"/>
  <c r="N105" i="17" a="1"/>
  <c r="N105" i="17" s="1"/>
  <c r="N106" i="17" a="1"/>
  <c r="N106" i="17" s="1"/>
  <c r="N107" i="17" a="1"/>
  <c r="N107" i="17" s="1"/>
  <c r="N108" i="17" a="1"/>
  <c r="N108" i="17" s="1"/>
  <c r="N109" i="17" a="1"/>
  <c r="N109" i="17" s="1"/>
  <c r="N140" i="17" a="1"/>
  <c r="N140" i="17" s="1"/>
  <c r="N164" i="17" a="1"/>
  <c r="N164" i="17" s="1"/>
  <c r="N110" i="17" a="1"/>
  <c r="N110" i="17" s="1"/>
  <c r="N111" i="17" a="1"/>
  <c r="N111" i="17" s="1"/>
  <c r="N112" i="17" a="1"/>
  <c r="N112" i="17" s="1"/>
  <c r="N113" i="17" a="1"/>
  <c r="N113" i="17" s="1"/>
  <c r="N114" i="17" a="1"/>
  <c r="N114" i="17" s="1"/>
  <c r="N115" i="17" a="1"/>
  <c r="N115" i="17" s="1"/>
  <c r="N141" i="17" a="1"/>
  <c r="N141" i="17" s="1"/>
  <c r="N165" i="17" a="1"/>
  <c r="N165" i="17" s="1"/>
  <c r="N116" i="17" a="1"/>
  <c r="N116" i="17" s="1"/>
  <c r="N117" i="17" a="1"/>
  <c r="N117" i="17" s="1"/>
  <c r="N118" i="17" a="1"/>
  <c r="N118" i="17" s="1"/>
  <c r="N119" i="17" a="1"/>
  <c r="N119" i="17" s="1"/>
  <c r="N120" i="17" a="1"/>
  <c r="N120" i="17" s="1"/>
  <c r="N121" i="17" a="1"/>
  <c r="N121" i="17" s="1"/>
  <c r="N142" i="17" a="1"/>
  <c r="N142" i="17" s="1"/>
  <c r="N166" i="17" a="1"/>
  <c r="N166" i="17" s="1"/>
  <c r="O2" i="17" a="1"/>
  <c r="O2" i="17" s="1"/>
  <c r="O3" i="17" a="1"/>
  <c r="O3" i="17" s="1"/>
  <c r="O4" i="17" a="1"/>
  <c r="O4" i="17" s="1"/>
  <c r="O5" i="17" a="1"/>
  <c r="O5" i="17" s="1"/>
  <c r="O6" i="17" a="1"/>
  <c r="O6" i="17" s="1"/>
  <c r="O7" i="17" a="1"/>
  <c r="O7" i="17" s="1"/>
  <c r="O122" i="17" a="1"/>
  <c r="O122" i="17" s="1"/>
  <c r="O147" i="17" a="1"/>
  <c r="O147" i="17" s="1"/>
  <c r="O8" i="17" a="1"/>
  <c r="O8" i="17" s="1"/>
  <c r="O9" i="17" a="1"/>
  <c r="O9" i="17" s="1"/>
  <c r="O10" i="17" a="1"/>
  <c r="O10" i="17" s="1"/>
  <c r="O11" i="17" a="1"/>
  <c r="O11" i="17" s="1"/>
  <c r="O12" i="17" a="1"/>
  <c r="O12" i="17" s="1"/>
  <c r="O13" i="17" a="1"/>
  <c r="O13" i="17"/>
  <c r="O123" i="17" a="1"/>
  <c r="O123" i="17" s="1"/>
  <c r="O148" i="17" a="1"/>
  <c r="O148" i="17" s="1"/>
  <c r="O14" i="17" a="1"/>
  <c r="O14" i="17" s="1"/>
  <c r="O15" i="17" a="1"/>
  <c r="O15" i="17" s="1"/>
  <c r="O16" i="17" a="1"/>
  <c r="O16" i="17" s="1"/>
  <c r="O17" i="17" a="1"/>
  <c r="O17" i="17" s="1"/>
  <c r="O18" i="17" a="1"/>
  <c r="O18" i="17" s="1"/>
  <c r="O19" i="17" a="1"/>
  <c r="O19" i="17" s="1"/>
  <c r="O124" i="17" a="1"/>
  <c r="O124" i="17" s="1"/>
  <c r="O149" i="17" a="1"/>
  <c r="O149" i="17" s="1"/>
  <c r="O20" i="17" a="1"/>
  <c r="O20" i="17" s="1"/>
  <c r="O21" i="17" a="1"/>
  <c r="O21" i="17" s="1"/>
  <c r="O22" i="17" a="1"/>
  <c r="O22" i="17" s="1"/>
  <c r="O23" i="17" a="1"/>
  <c r="O23" i="17" s="1"/>
  <c r="O24" i="17" a="1"/>
  <c r="O24" i="17" s="1"/>
  <c r="O25" i="17" a="1"/>
  <c r="O25" i="17" s="1"/>
  <c r="O125" i="17" a="1"/>
  <c r="O125" i="17" s="1"/>
  <c r="O143" i="17" a="1"/>
  <c r="O143" i="17" s="1"/>
  <c r="O144" i="17" a="1"/>
  <c r="O144" i="17" s="1"/>
  <c r="O145" i="17" a="1"/>
  <c r="O145" i="17" s="1"/>
  <c r="O146" i="17" a="1"/>
  <c r="O146" i="17" s="1"/>
  <c r="O150" i="17" a="1"/>
  <c r="O150" i="17" s="1"/>
  <c r="O26" i="17" a="1"/>
  <c r="O26" i="17" s="1"/>
  <c r="O27" i="17" a="1"/>
  <c r="O27" i="17" s="1"/>
  <c r="O28" i="17" a="1"/>
  <c r="O28" i="17" s="1"/>
  <c r="O29" i="17" a="1"/>
  <c r="O29" i="17" s="1"/>
  <c r="O30" i="17" a="1"/>
  <c r="O30" i="17" s="1"/>
  <c r="O31" i="17" a="1"/>
  <c r="O31" i="17" s="1"/>
  <c r="O126" i="17" a="1"/>
  <c r="O126" i="17" s="1"/>
  <c r="O151" i="17" a="1"/>
  <c r="O151" i="17" s="1"/>
  <c r="O32" i="17" a="1"/>
  <c r="O32" i="17" s="1"/>
  <c r="O33" i="17" a="1"/>
  <c r="O33" i="17" s="1"/>
  <c r="O34" i="17" a="1"/>
  <c r="O34" i="17" s="1"/>
  <c r="O35" i="17" a="1"/>
  <c r="O35" i="17" s="1"/>
  <c r="O36" i="17" a="1"/>
  <c r="O36" i="17" s="1"/>
  <c r="O37" i="17" a="1"/>
  <c r="O37" i="17" s="1"/>
  <c r="O127" i="17" a="1"/>
  <c r="O127" i="17" s="1"/>
  <c r="O152" i="17" a="1"/>
  <c r="O152" i="17" s="1"/>
  <c r="O38" i="17" a="1"/>
  <c r="O38" i="17" s="1"/>
  <c r="O39" i="17" a="1"/>
  <c r="O39" i="17" s="1"/>
  <c r="O40" i="17" a="1"/>
  <c r="O40" i="17" s="1"/>
  <c r="O41" i="17" a="1"/>
  <c r="O41" i="17" s="1"/>
  <c r="O42" i="17" a="1"/>
  <c r="O42" i="17" s="1"/>
  <c r="O43" i="17" a="1"/>
  <c r="O43" i="17" s="1"/>
  <c r="O128" i="17" a="1"/>
  <c r="O128" i="17" s="1"/>
  <c r="O153" i="17" a="1"/>
  <c r="O153" i="17" s="1"/>
  <c r="O44" i="17" a="1"/>
  <c r="O44" i="17" s="1"/>
  <c r="O45" i="17" a="1"/>
  <c r="O45" i="17" s="1"/>
  <c r="O46" i="17" a="1"/>
  <c r="O46" i="17" s="1"/>
  <c r="O47" i="17" a="1"/>
  <c r="O47" i="17" s="1"/>
  <c r="O48" i="17" a="1"/>
  <c r="O48" i="17" s="1"/>
  <c r="O49" i="17" a="1"/>
  <c r="O49" i="17" s="1"/>
  <c r="O129" i="17" a="1"/>
  <c r="O129" i="17" s="1"/>
  <c r="O154" i="17" a="1"/>
  <c r="O154" i="17" s="1"/>
  <c r="O50" i="17" a="1"/>
  <c r="O50" i="17" s="1"/>
  <c r="O51" i="17" a="1"/>
  <c r="O51" i="17" s="1"/>
  <c r="O52" i="17" a="1"/>
  <c r="O52" i="17" s="1"/>
  <c r="O53" i="17" a="1"/>
  <c r="O53" i="17" s="1"/>
  <c r="O54" i="17" a="1"/>
  <c r="O54" i="17" s="1"/>
  <c r="O55" i="17" a="1"/>
  <c r="O55" i="17" s="1"/>
  <c r="O130" i="17" a="1"/>
  <c r="O130" i="17" s="1"/>
  <c r="O155" i="17" a="1"/>
  <c r="O155" i="17" s="1"/>
  <c r="O56" i="17" a="1"/>
  <c r="O56" i="17" s="1"/>
  <c r="O57" i="17" a="1"/>
  <c r="O57" i="17"/>
  <c r="O58" i="17" a="1"/>
  <c r="O58" i="17" s="1"/>
  <c r="O59" i="17" a="1"/>
  <c r="O59" i="17" s="1"/>
  <c r="O60" i="17" a="1"/>
  <c r="O60" i="17" s="1"/>
  <c r="O61" i="17" a="1"/>
  <c r="O61" i="17" s="1"/>
  <c r="O131" i="17" a="1"/>
  <c r="O131" i="17" s="1"/>
  <c r="O156" i="17" a="1"/>
  <c r="O156" i="17" s="1"/>
  <c r="O62" i="17" a="1"/>
  <c r="O62" i="17" s="1"/>
  <c r="O63" i="17" a="1"/>
  <c r="O63" i="17" s="1"/>
  <c r="O64" i="17" a="1"/>
  <c r="O64" i="17" s="1"/>
  <c r="O65" i="17" a="1"/>
  <c r="O65" i="17" s="1"/>
  <c r="O66" i="17" a="1"/>
  <c r="O66" i="17" s="1"/>
  <c r="O67" i="17" a="1"/>
  <c r="O67" i="17" s="1"/>
  <c r="O132" i="17" a="1"/>
  <c r="O132" i="17" s="1"/>
  <c r="O157" i="17" a="1"/>
  <c r="O157" i="17" s="1"/>
  <c r="O68" i="17" a="1"/>
  <c r="O68" i="17" s="1"/>
  <c r="O69" i="17" a="1"/>
  <c r="O69" i="17" s="1"/>
  <c r="O70" i="17" a="1"/>
  <c r="O70" i="17" s="1"/>
  <c r="O71" i="17" a="1"/>
  <c r="O71" i="17" s="1"/>
  <c r="O72" i="17" a="1"/>
  <c r="O72" i="17" s="1"/>
  <c r="O73" i="17" a="1"/>
  <c r="O73" i="17" s="1"/>
  <c r="O133" i="17" a="1"/>
  <c r="O133" i="17" s="1"/>
  <c r="O158" i="17" a="1"/>
  <c r="O158" i="17" s="1"/>
  <c r="O74" i="17" a="1"/>
  <c r="O74" i="17" s="1"/>
  <c r="O75" i="17" a="1"/>
  <c r="O75" i="17" s="1"/>
  <c r="O76" i="17" a="1"/>
  <c r="O76" i="17" s="1"/>
  <c r="O77" i="17" a="1"/>
  <c r="O77" i="17" s="1"/>
  <c r="O78" i="17" a="1"/>
  <c r="O78" i="17" s="1"/>
  <c r="O79" i="17" a="1"/>
  <c r="O79" i="17" s="1"/>
  <c r="O134" i="17" a="1"/>
  <c r="O134" i="17" s="1"/>
  <c r="O159" i="17" a="1"/>
  <c r="O159" i="17" s="1"/>
  <c r="O80" i="17" a="1"/>
  <c r="O80" i="17" s="1"/>
  <c r="O81" i="17" a="1"/>
  <c r="O81" i="17"/>
  <c r="O82" i="17" a="1"/>
  <c r="O82" i="17" s="1"/>
  <c r="O83" i="17" a="1"/>
  <c r="O83" i="17" s="1"/>
  <c r="O84" i="17" a="1"/>
  <c r="O84" i="17" s="1"/>
  <c r="O85" i="17" a="1"/>
  <c r="O85" i="17" s="1"/>
  <c r="O135" i="17" a="1"/>
  <c r="O135" i="17" s="1"/>
  <c r="O160" i="17" a="1"/>
  <c r="O160" i="17" s="1"/>
  <c r="O86" i="17" a="1"/>
  <c r="O86" i="17" s="1"/>
  <c r="O87" i="17" a="1"/>
  <c r="O87" i="17" s="1"/>
  <c r="O88" i="17" a="1"/>
  <c r="O88" i="17" s="1"/>
  <c r="O89" i="17" a="1"/>
  <c r="O89" i="17" s="1"/>
  <c r="O90" i="17" a="1"/>
  <c r="O90" i="17" s="1"/>
  <c r="O91" i="17" a="1"/>
  <c r="O91" i="17" s="1"/>
  <c r="O136" i="17" a="1"/>
  <c r="O136" i="17" s="1"/>
  <c r="O161" i="17" a="1"/>
  <c r="O161" i="17" s="1"/>
  <c r="O92" i="17" a="1"/>
  <c r="O92" i="17" s="1"/>
  <c r="O93" i="17" a="1"/>
  <c r="O93" i="17" s="1"/>
  <c r="O94" i="17" a="1"/>
  <c r="O94" i="17" s="1"/>
  <c r="O95" i="17" a="1"/>
  <c r="O95" i="17" s="1"/>
  <c r="O96" i="17" a="1"/>
  <c r="O96" i="17" s="1"/>
  <c r="O97" i="17" a="1"/>
  <c r="O97" i="17" s="1"/>
  <c r="O137" i="17" a="1"/>
  <c r="O137" i="17" s="1"/>
  <c r="O162" i="17" a="1"/>
  <c r="O162" i="17" s="1"/>
  <c r="O98" i="17" a="1"/>
  <c r="O98" i="17" s="1"/>
  <c r="O99" i="17" a="1"/>
  <c r="O99" i="17" s="1"/>
  <c r="O100" i="17" a="1"/>
  <c r="O100" i="17" s="1"/>
  <c r="O101" i="17" a="1"/>
  <c r="O101" i="17" s="1"/>
  <c r="O102" i="17" a="1"/>
  <c r="O102" i="17" s="1"/>
  <c r="O103" i="17" a="1"/>
  <c r="O103" i="17" s="1"/>
  <c r="O138" i="17" a="1"/>
  <c r="O138" i="17" s="1"/>
  <c r="O163" i="17" a="1"/>
  <c r="O163" i="17" s="1"/>
  <c r="O139" i="17" a="1"/>
  <c r="O139" i="17" s="1"/>
  <c r="O104" i="17" a="1"/>
  <c r="O104" i="17"/>
  <c r="O105" i="17" a="1"/>
  <c r="O105" i="17" s="1"/>
  <c r="O106" i="17" a="1"/>
  <c r="O106" i="17" s="1"/>
  <c r="O107" i="17" a="1"/>
  <c r="O107" i="17" s="1"/>
  <c r="O108" i="17" a="1"/>
  <c r="O108" i="17" s="1"/>
  <c r="O109" i="17" a="1"/>
  <c r="O109" i="17" s="1"/>
  <c r="O140" i="17" a="1"/>
  <c r="O140" i="17" s="1"/>
  <c r="O164" i="17" a="1"/>
  <c r="O164" i="17" s="1"/>
  <c r="O110" i="17" a="1"/>
  <c r="O110" i="17" s="1"/>
  <c r="O111" i="17" a="1"/>
  <c r="O111" i="17" s="1"/>
  <c r="O112" i="17" a="1"/>
  <c r="O112" i="17" s="1"/>
  <c r="O113" i="17" a="1"/>
  <c r="O113" i="17" s="1"/>
  <c r="O114" i="17" a="1"/>
  <c r="O114" i="17" s="1"/>
  <c r="O115" i="17" a="1"/>
  <c r="O115" i="17" s="1"/>
  <c r="O141" i="17" a="1"/>
  <c r="O141" i="17" s="1"/>
  <c r="O165" i="17" a="1"/>
  <c r="O165" i="17" s="1"/>
  <c r="O116" i="17" a="1"/>
  <c r="O116" i="17" s="1"/>
  <c r="O117" i="17" a="1"/>
  <c r="O117" i="17" s="1"/>
  <c r="O118" i="17" a="1"/>
  <c r="O118" i="17" s="1"/>
  <c r="O119" i="17" a="1"/>
  <c r="O119" i="17" s="1"/>
  <c r="O120" i="17" a="1"/>
  <c r="O120" i="17" s="1"/>
  <c r="O121" i="17" a="1"/>
  <c r="O121" i="17" s="1"/>
  <c r="O142" i="17" a="1"/>
  <c r="O142" i="17" s="1"/>
  <c r="O166" i="17" a="1"/>
  <c r="O166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122" i="17" a="1"/>
  <c r="P122" i="17" s="1"/>
  <c r="P147" i="17" a="1"/>
  <c r="P147" i="17" s="1"/>
  <c r="P8" i="17" a="1"/>
  <c r="P8" i="17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123" i="17" a="1"/>
  <c r="P123" i="17" s="1"/>
  <c r="P148" i="17" a="1"/>
  <c r="P148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124" i="17" a="1"/>
  <c r="P124" i="17" s="1"/>
  <c r="P149" i="17" a="1"/>
  <c r="P149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125" i="17" a="1"/>
  <c r="P125" i="17" s="1"/>
  <c r="P143" i="17" a="1"/>
  <c r="P143" i="17" s="1"/>
  <c r="P144" i="17" a="1"/>
  <c r="P144" i="17" s="1"/>
  <c r="P145" i="17" a="1"/>
  <c r="P145" i="17" s="1"/>
  <c r="P146" i="17" a="1"/>
  <c r="P146" i="17" s="1"/>
  <c r="P150" i="17" a="1"/>
  <c r="P150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126" i="17" a="1"/>
  <c r="P126" i="17" s="1"/>
  <c r="P151" i="17" a="1"/>
  <c r="P151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127" i="17" a="1"/>
  <c r="P127" i="17" s="1"/>
  <c r="P152" i="17" a="1"/>
  <c r="P152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128" i="17" a="1"/>
  <c r="P128" i="17" s="1"/>
  <c r="P153" i="17" a="1"/>
  <c r="P153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129" i="17" a="1"/>
  <c r="P129" i="17" s="1"/>
  <c r="P154" i="17" a="1"/>
  <c r="P154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130" i="17" a="1"/>
  <c r="P130" i="17" s="1"/>
  <c r="P155" i="17" a="1"/>
  <c r="P155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131" i="17" a="1"/>
  <c r="P131" i="17" s="1"/>
  <c r="P156" i="17" a="1"/>
  <c r="P156" i="17" s="1"/>
  <c r="P62" i="17" a="1"/>
  <c r="P62" i="17" s="1"/>
  <c r="P63" i="17" a="1"/>
  <c r="P63" i="17" s="1"/>
  <c r="P64" i="17" a="1"/>
  <c r="P64" i="17" s="1"/>
  <c r="P65" i="17" a="1"/>
  <c r="P65" i="17" s="1"/>
  <c r="P66" i="17" a="1"/>
  <c r="P66" i="17" s="1"/>
  <c r="P67" i="17" a="1"/>
  <c r="P67" i="17" s="1"/>
  <c r="P132" i="17" a="1"/>
  <c r="P132" i="17" s="1"/>
  <c r="P157" i="17" a="1"/>
  <c r="P157" i="17" s="1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133" i="17" a="1"/>
  <c r="P133" i="17" s="1"/>
  <c r="P158" i="17" a="1"/>
  <c r="P158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 s="1"/>
  <c r="P134" i="17" a="1"/>
  <c r="P134" i="17" s="1"/>
  <c r="P159" i="17" a="1"/>
  <c r="P159" i="17" s="1"/>
  <c r="P80" i="17" a="1"/>
  <c r="P80" i="17" s="1"/>
  <c r="P81" i="17" a="1"/>
  <c r="P81" i="17" s="1"/>
  <c r="P82" i="17" a="1"/>
  <c r="P82" i="17" s="1"/>
  <c r="P83" i="17" a="1"/>
  <c r="P83" i="17" s="1"/>
  <c r="P84" i="17" a="1"/>
  <c r="P84" i="17" s="1"/>
  <c r="P85" i="17" a="1"/>
  <c r="P85" i="17" s="1"/>
  <c r="P135" i="17" a="1"/>
  <c r="P135" i="17" s="1"/>
  <c r="P160" i="17" a="1"/>
  <c r="P160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136" i="17" a="1"/>
  <c r="P136" i="17" s="1"/>
  <c r="P161" i="17" a="1"/>
  <c r="P161" i="17" s="1"/>
  <c r="P92" i="17" a="1"/>
  <c r="P92" i="17" s="1"/>
  <c r="P93" i="17" a="1"/>
  <c r="P93" i="17" s="1"/>
  <c r="P94" i="17" a="1"/>
  <c r="P94" i="17" s="1"/>
  <c r="P95" i="17" a="1"/>
  <c r="P95" i="17" s="1"/>
  <c r="P96" i="17" a="1"/>
  <c r="P96" i="17" s="1"/>
  <c r="P97" i="17" a="1"/>
  <c r="P97" i="17" s="1"/>
  <c r="P137" i="17" a="1"/>
  <c r="P137" i="17" s="1"/>
  <c r="P162" i="17" a="1"/>
  <c r="P162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138" i="17" a="1"/>
  <c r="P138" i="17" s="1"/>
  <c r="P163" i="17" a="1"/>
  <c r="P163" i="17" s="1"/>
  <c r="P139" i="17" a="1"/>
  <c r="P139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 s="1"/>
  <c r="P140" i="17" a="1"/>
  <c r="P140" i="17" s="1"/>
  <c r="P164" i="17" a="1"/>
  <c r="P164" i="17" s="1"/>
  <c r="P110" i="17" a="1"/>
  <c r="P110" i="17" s="1"/>
  <c r="P111" i="17" a="1"/>
  <c r="P111" i="17" s="1"/>
  <c r="P112" i="17" a="1"/>
  <c r="P112" i="17" s="1"/>
  <c r="P113" i="17" a="1"/>
  <c r="P113" i="17" s="1"/>
  <c r="P114" i="17" a="1"/>
  <c r="P114" i="17" s="1"/>
  <c r="P115" i="17" a="1"/>
  <c r="P115" i="17" s="1"/>
  <c r="P141" i="17" a="1"/>
  <c r="P141" i="17" s="1"/>
  <c r="P165" i="17" a="1"/>
  <c r="P165" i="17" s="1"/>
  <c r="P116" i="17" a="1"/>
  <c r="P116" i="17" s="1"/>
  <c r="P117" i="17" a="1"/>
  <c r="P117" i="17" s="1"/>
  <c r="P118" i="17" a="1"/>
  <c r="P118" i="17" s="1"/>
  <c r="P119" i="17" a="1"/>
  <c r="P119" i="17" s="1"/>
  <c r="P120" i="17" a="1"/>
  <c r="P120" i="17" s="1"/>
  <c r="P121" i="17" a="1"/>
  <c r="P121" i="17" s="1"/>
  <c r="P142" i="17" a="1"/>
  <c r="P142" i="17" s="1"/>
  <c r="P166" i="17" a="1"/>
  <c r="P166" i="17" s="1"/>
  <c r="R2" i="17" a="1"/>
  <c r="R2" i="17" s="1"/>
  <c r="R3" i="17" a="1"/>
  <c r="R3" i="17" s="1"/>
  <c r="R4" i="17" a="1"/>
  <c r="R4" i="17" s="1"/>
  <c r="R5" i="17" a="1"/>
  <c r="R5" i="17"/>
  <c r="R6" i="17" a="1"/>
  <c r="R6" i="17" s="1"/>
  <c r="R7" i="17" a="1"/>
  <c r="R7" i="17" s="1"/>
  <c r="R122" i="17" a="1"/>
  <c r="R122" i="17" s="1"/>
  <c r="R147" i="17" a="1"/>
  <c r="R147" i="17" s="1"/>
  <c r="R8" i="17" a="1"/>
  <c r="R8" i="17" s="1"/>
  <c r="R9" i="17" a="1"/>
  <c r="R9" i="17" s="1"/>
  <c r="R10" i="17" a="1"/>
  <c r="R10" i="17" s="1"/>
  <c r="R11" i="17" a="1"/>
  <c r="R11" i="17" s="1"/>
  <c r="R12" i="17" a="1"/>
  <c r="R12" i="17" s="1"/>
  <c r="R13" i="17" a="1"/>
  <c r="R13" i="17" s="1"/>
  <c r="R123" i="17" a="1"/>
  <c r="R123" i="17" s="1"/>
  <c r="R148" i="17" a="1"/>
  <c r="R148" i="17" s="1"/>
  <c r="R14" i="17" a="1"/>
  <c r="R14" i="17" s="1"/>
  <c r="R15" i="17" a="1"/>
  <c r="R15" i="17" s="1"/>
  <c r="R16" i="17" a="1"/>
  <c r="R16" i="17" s="1"/>
  <c r="R17" i="17" a="1"/>
  <c r="R17" i="17" s="1"/>
  <c r="R18" i="17" a="1"/>
  <c r="R18" i="17" s="1"/>
  <c r="R19" i="17" a="1"/>
  <c r="R19" i="17" s="1"/>
  <c r="R124" i="17" a="1"/>
  <c r="R124" i="17" s="1"/>
  <c r="R149" i="17" a="1"/>
  <c r="R149" i="17" s="1"/>
  <c r="R20" i="17" a="1"/>
  <c r="R20" i="17" s="1"/>
  <c r="R21" i="17" a="1"/>
  <c r="R21" i="17" s="1"/>
  <c r="R22" i="17" a="1"/>
  <c r="R22" i="17" s="1"/>
  <c r="R23" i="17" a="1"/>
  <c r="R23" i="17" s="1"/>
  <c r="R24" i="17" a="1"/>
  <c r="R24" i="17" s="1"/>
  <c r="R25" i="17" a="1"/>
  <c r="R25" i="17" s="1"/>
  <c r="R125" i="17" a="1"/>
  <c r="R125" i="17" s="1"/>
  <c r="R143" i="17" a="1"/>
  <c r="R143" i="17" s="1"/>
  <c r="R144" i="17" a="1"/>
  <c r="R144" i="17" s="1"/>
  <c r="R145" i="17" a="1"/>
  <c r="R145" i="17" s="1"/>
  <c r="R146" i="17" a="1"/>
  <c r="R146" i="17" s="1"/>
  <c r="R150" i="17" a="1"/>
  <c r="R150" i="17" s="1"/>
  <c r="R26" i="17" a="1"/>
  <c r="R26" i="17" s="1"/>
  <c r="R27" i="17" a="1"/>
  <c r="R27" i="17" s="1"/>
  <c r="R28" i="17" a="1"/>
  <c r="R28" i="17" s="1"/>
  <c r="R29" i="17" a="1"/>
  <c r="R29" i="17" s="1"/>
  <c r="R30" i="17" a="1"/>
  <c r="R30" i="17" s="1"/>
  <c r="R31" i="17" a="1"/>
  <c r="R31" i="17" s="1"/>
  <c r="R126" i="17" a="1"/>
  <c r="R126" i="17" s="1"/>
  <c r="R151" i="17" a="1"/>
  <c r="R151" i="17" s="1"/>
  <c r="R32" i="17" a="1"/>
  <c r="R32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 s="1"/>
  <c r="R127" i="17" a="1"/>
  <c r="R127" i="17" s="1"/>
  <c r="R152" i="17" a="1"/>
  <c r="R152" i="17" s="1"/>
  <c r="R38" i="17" a="1"/>
  <c r="R38" i="17" s="1"/>
  <c r="R39" i="17" a="1"/>
  <c r="R39" i="17" s="1"/>
  <c r="R40" i="17" a="1"/>
  <c r="R40" i="17" s="1"/>
  <c r="R41" i="17" a="1"/>
  <c r="R41" i="17" s="1"/>
  <c r="R42" i="17" a="1"/>
  <c r="R42" i="17" s="1"/>
  <c r="R43" i="17" a="1"/>
  <c r="R43" i="17" s="1"/>
  <c r="R128" i="17" a="1"/>
  <c r="R128" i="17" s="1"/>
  <c r="R153" i="17" a="1"/>
  <c r="R153" i="17" s="1"/>
  <c r="R44" i="17" a="1"/>
  <c r="R44" i="17" s="1"/>
  <c r="R45" i="17" a="1"/>
  <c r="R45" i="17" s="1"/>
  <c r="R46" i="17" a="1"/>
  <c r="R46" i="17" s="1"/>
  <c r="R47" i="17" a="1"/>
  <c r="R47" i="17" s="1"/>
  <c r="R48" i="17" a="1"/>
  <c r="R48" i="17" s="1"/>
  <c r="R49" i="17" a="1"/>
  <c r="R49" i="17" s="1"/>
  <c r="R129" i="17" a="1"/>
  <c r="R129" i="17" s="1"/>
  <c r="R154" i="17" a="1"/>
  <c r="R154" i="17" s="1"/>
  <c r="R50" i="17" a="1"/>
  <c r="R50" i="17" s="1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130" i="17" a="1"/>
  <c r="R130" i="17" s="1"/>
  <c r="R155" i="17" a="1"/>
  <c r="R155" i="17" s="1"/>
  <c r="R56" i="17" a="1"/>
  <c r="R56" i="17" s="1"/>
  <c r="R57" i="17" a="1"/>
  <c r="R57" i="17" s="1"/>
  <c r="R58" i="17" a="1"/>
  <c r="R58" i="17" s="1"/>
  <c r="R59" i="17" a="1"/>
  <c r="R59" i="17" s="1"/>
  <c r="R60" i="17" a="1"/>
  <c r="R60" i="17" s="1"/>
  <c r="R61" i="17" a="1"/>
  <c r="R61" i="17" s="1"/>
  <c r="R131" i="17" a="1"/>
  <c r="R131" i="17" s="1"/>
  <c r="R156" i="17" a="1"/>
  <c r="R156" i="17" s="1"/>
  <c r="R62" i="17" a="1"/>
  <c r="R62" i="17" s="1"/>
  <c r="R63" i="17" a="1"/>
  <c r="R63" i="17" s="1"/>
  <c r="R64" i="17" a="1"/>
  <c r="R64" i="17" s="1"/>
  <c r="R65" i="17" a="1"/>
  <c r="R65" i="17" s="1"/>
  <c r="R66" i="17" a="1"/>
  <c r="R66" i="17" s="1"/>
  <c r="R67" i="17" a="1"/>
  <c r="R67" i="17" s="1"/>
  <c r="R132" i="17" a="1"/>
  <c r="R132" i="17" s="1"/>
  <c r="R157" i="17" a="1"/>
  <c r="R157" i="17" s="1"/>
  <c r="R68" i="17" a="1"/>
  <c r="R68" i="17" s="1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133" i="17" a="1"/>
  <c r="R133" i="17" s="1"/>
  <c r="R158" i="17" a="1"/>
  <c r="R158" i="17" s="1"/>
  <c r="R74" i="17" a="1"/>
  <c r="R74" i="17" s="1"/>
  <c r="R75" i="17" a="1"/>
  <c r="R75" i="17" s="1"/>
  <c r="R76" i="17" a="1"/>
  <c r="R76" i="17" s="1"/>
  <c r="R77" i="17" a="1"/>
  <c r="R77" i="17" s="1"/>
  <c r="R78" i="17" a="1"/>
  <c r="R78" i="17" s="1"/>
  <c r="R79" i="17" a="1"/>
  <c r="R79" i="17" s="1"/>
  <c r="R134" i="17" a="1"/>
  <c r="R134" i="17" s="1"/>
  <c r="R159" i="17" a="1"/>
  <c r="R159" i="17" s="1"/>
  <c r="R80" i="17" a="1"/>
  <c r="R80" i="17" s="1"/>
  <c r="R81" i="17" a="1"/>
  <c r="R81" i="17" s="1"/>
  <c r="R82" i="17" a="1"/>
  <c r="R82" i="17" s="1"/>
  <c r="R83" i="17" a="1"/>
  <c r="R83" i="17" s="1"/>
  <c r="R84" i="17" a="1"/>
  <c r="R84" i="17" s="1"/>
  <c r="R85" i="17" a="1"/>
  <c r="R85" i="17" s="1"/>
  <c r="R135" i="17" a="1"/>
  <c r="R135" i="17" s="1"/>
  <c r="R160" i="17" a="1"/>
  <c r="R160" i="17" s="1"/>
  <c r="R86" i="17" a="1"/>
  <c r="R86" i="17" s="1"/>
  <c r="R87" i="17" a="1"/>
  <c r="R87" i="17" s="1"/>
  <c r="R88" i="17" a="1"/>
  <c r="R88" i="17" s="1"/>
  <c r="R89" i="17" a="1"/>
  <c r="R89" i="17" s="1"/>
  <c r="R90" i="17" a="1"/>
  <c r="R90" i="17" s="1"/>
  <c r="R91" i="17" a="1"/>
  <c r="R91" i="17" s="1"/>
  <c r="R136" i="17" a="1"/>
  <c r="R136" i="17" s="1"/>
  <c r="R161" i="17" a="1"/>
  <c r="R161" i="17" s="1"/>
  <c r="R92" i="17" a="1"/>
  <c r="R92" i="17" s="1"/>
  <c r="R93" i="17" a="1"/>
  <c r="R93" i="17" s="1"/>
  <c r="R94" i="17" a="1"/>
  <c r="R94" i="17" s="1"/>
  <c r="R95" i="17" a="1"/>
  <c r="R95" i="17" s="1"/>
  <c r="R96" i="17" a="1"/>
  <c r="R96" i="17" s="1"/>
  <c r="R97" i="17" a="1"/>
  <c r="R97" i="17" s="1"/>
  <c r="R137" i="17" a="1"/>
  <c r="R137" i="17" s="1"/>
  <c r="R162" i="17" a="1"/>
  <c r="R162" i="17" s="1"/>
  <c r="R98" i="17" a="1"/>
  <c r="R98" i="17" s="1"/>
  <c r="R99" i="17" a="1"/>
  <c r="R99" i="17" s="1"/>
  <c r="R100" i="17" a="1"/>
  <c r="R100" i="17" s="1"/>
  <c r="R101" i="17" a="1"/>
  <c r="R101" i="17" s="1"/>
  <c r="R102" i="17" a="1"/>
  <c r="R102" i="17" s="1"/>
  <c r="R103" i="17" a="1"/>
  <c r="R103" i="17" s="1"/>
  <c r="R138" i="17" a="1"/>
  <c r="R138" i="17" s="1"/>
  <c r="R163" i="17" a="1"/>
  <c r="R163" i="17" s="1"/>
  <c r="R139" i="17" a="1"/>
  <c r="R139" i="17" s="1"/>
  <c r="R104" i="17" a="1"/>
  <c r="R104" i="17" s="1"/>
  <c r="R105" i="17" a="1"/>
  <c r="R105" i="17" s="1"/>
  <c r="R106" i="17" a="1"/>
  <c r="R106" i="17" s="1"/>
  <c r="R107" i="17" a="1"/>
  <c r="R107" i="17" s="1"/>
  <c r="R108" i="17" a="1"/>
  <c r="R108" i="17" s="1"/>
  <c r="R109" i="17" a="1"/>
  <c r="R109" i="17" s="1"/>
  <c r="R140" i="17" a="1"/>
  <c r="R140" i="17" s="1"/>
  <c r="R164" i="17" a="1"/>
  <c r="R164" i="17" s="1"/>
  <c r="R110" i="17" a="1"/>
  <c r="R110" i="17" s="1"/>
  <c r="R111" i="17" a="1"/>
  <c r="R111" i="17" s="1"/>
  <c r="R112" i="17" a="1"/>
  <c r="R112" i="17" s="1"/>
  <c r="R113" i="17" a="1"/>
  <c r="R113" i="17" s="1"/>
  <c r="R114" i="17" a="1"/>
  <c r="R114" i="17" s="1"/>
  <c r="R115" i="17" a="1"/>
  <c r="R115" i="17" s="1"/>
  <c r="R141" i="17" a="1"/>
  <c r="R141" i="17" s="1"/>
  <c r="R165" i="17" a="1"/>
  <c r="R165" i="17" s="1"/>
  <c r="R116" i="17" a="1"/>
  <c r="R116" i="17" s="1"/>
  <c r="R117" i="17" a="1"/>
  <c r="R117" i="17" s="1"/>
  <c r="R118" i="17" a="1"/>
  <c r="R118" i="17" s="1"/>
  <c r="R119" i="17" a="1"/>
  <c r="R119" i="17" s="1"/>
  <c r="R120" i="17" a="1"/>
  <c r="R120" i="17" s="1"/>
  <c r="R121" i="17" a="1"/>
  <c r="R121" i="17" s="1"/>
  <c r="R142" i="17" a="1"/>
  <c r="R142" i="17" s="1"/>
  <c r="R166" i="17" a="1"/>
  <c r="R166" i="17" s="1"/>
  <c r="S2" i="17" a="1"/>
  <c r="S2" i="17" s="1"/>
  <c r="S3" i="17" a="1"/>
  <c r="S3" i="17" s="1"/>
  <c r="S4" i="17" a="1"/>
  <c r="S4" i="17" s="1"/>
  <c r="S5" i="17" a="1"/>
  <c r="S5" i="17" s="1"/>
  <c r="S6" i="17" a="1"/>
  <c r="S6" i="17" s="1"/>
  <c r="S7" i="17" a="1"/>
  <c r="S7" i="17" s="1"/>
  <c r="S122" i="17" a="1"/>
  <c r="S122" i="17" s="1"/>
  <c r="S147" i="17" a="1"/>
  <c r="S147" i="17" s="1"/>
  <c r="S8" i="17" a="1"/>
  <c r="S8" i="17" s="1"/>
  <c r="S9" i="17" a="1"/>
  <c r="S9" i="17" s="1"/>
  <c r="S10" i="17" a="1"/>
  <c r="S10" i="17" s="1"/>
  <c r="S11" i="17" a="1"/>
  <c r="S11" i="17" s="1"/>
  <c r="S12" i="17" a="1"/>
  <c r="S12" i="17" s="1"/>
  <c r="S13" i="17" a="1"/>
  <c r="S13" i="17" s="1"/>
  <c r="S123" i="17" a="1"/>
  <c r="S123" i="17" s="1"/>
  <c r="S148" i="17" a="1"/>
  <c r="S148" i="17" s="1"/>
  <c r="S14" i="17" a="1"/>
  <c r="S14" i="17" s="1"/>
  <c r="S15" i="17" a="1"/>
  <c r="S15" i="17" s="1"/>
  <c r="S16" i="17" a="1"/>
  <c r="S16" i="17" s="1"/>
  <c r="S17" i="17" a="1"/>
  <c r="S17" i="17" s="1"/>
  <c r="S18" i="17" a="1"/>
  <c r="S18" i="17" s="1"/>
  <c r="S19" i="17" a="1"/>
  <c r="S19" i="17" s="1"/>
  <c r="S124" i="17" a="1"/>
  <c r="S124" i="17" s="1"/>
  <c r="S149" i="17" a="1"/>
  <c r="S149" i="17" s="1"/>
  <c r="S20" i="17" a="1"/>
  <c r="S20" i="17" s="1"/>
  <c r="S21" i="17" a="1"/>
  <c r="S21" i="17" s="1"/>
  <c r="S22" i="17" a="1"/>
  <c r="S22" i="17" s="1"/>
  <c r="S23" i="17" a="1"/>
  <c r="S23" i="17" s="1"/>
  <c r="S24" i="17" a="1"/>
  <c r="S24" i="17" s="1"/>
  <c r="S25" i="17" a="1"/>
  <c r="S25" i="17" s="1"/>
  <c r="S125" i="17" a="1"/>
  <c r="S125" i="17" s="1"/>
  <c r="S143" i="17" a="1"/>
  <c r="S143" i="17" s="1"/>
  <c r="S144" i="17" a="1"/>
  <c r="S144" i="17" s="1"/>
  <c r="S145" i="17" a="1"/>
  <c r="S145" i="17" s="1"/>
  <c r="S146" i="17" a="1"/>
  <c r="S146" i="17" s="1"/>
  <c r="S150" i="17" a="1"/>
  <c r="S150" i="17" s="1"/>
  <c r="S26" i="17" a="1"/>
  <c r="S26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 s="1"/>
  <c r="S126" i="17" a="1"/>
  <c r="S126" i="17" s="1"/>
  <c r="S151" i="17" a="1"/>
  <c r="S151" i="17" s="1"/>
  <c r="S32" i="17" a="1"/>
  <c r="S32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127" i="17" a="1"/>
  <c r="S127" i="17" s="1"/>
  <c r="S152" i="17" a="1"/>
  <c r="S152" i="17" s="1"/>
  <c r="S38" i="17" a="1"/>
  <c r="S38" i="17" s="1"/>
  <c r="S39" i="17" a="1"/>
  <c r="S39" i="17" s="1"/>
  <c r="S40" i="17" a="1"/>
  <c r="S40" i="17" s="1"/>
  <c r="S41" i="17" a="1"/>
  <c r="S41" i="17" s="1"/>
  <c r="S42" i="17" a="1"/>
  <c r="S42" i="17" s="1"/>
  <c r="S43" i="17" a="1"/>
  <c r="S43" i="17" s="1"/>
  <c r="S128" i="17" a="1"/>
  <c r="S128" i="17" s="1"/>
  <c r="S153" i="17" a="1"/>
  <c r="S153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129" i="17" a="1"/>
  <c r="S129" i="17" s="1"/>
  <c r="S154" i="17" a="1"/>
  <c r="S154" i="17" s="1"/>
  <c r="S50" i="17" a="1"/>
  <c r="S50" i="17" s="1"/>
  <c r="S51" i="17" a="1"/>
  <c r="S51" i="17" s="1"/>
  <c r="S52" i="17" a="1"/>
  <c r="S52" i="17" s="1"/>
  <c r="S53" i="17" a="1"/>
  <c r="S53" i="17" s="1"/>
  <c r="S54" i="17" a="1"/>
  <c r="S54" i="17" s="1"/>
  <c r="S55" i="17" a="1"/>
  <c r="S55" i="17" s="1"/>
  <c r="S130" i="17" a="1"/>
  <c r="S130" i="17" s="1"/>
  <c r="S155" i="17" a="1"/>
  <c r="S155" i="17" s="1"/>
  <c r="S56" i="17" a="1"/>
  <c r="S56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131" i="17" a="1"/>
  <c r="S131" i="17" s="1"/>
  <c r="S156" i="17" a="1"/>
  <c r="S156" i="17" s="1"/>
  <c r="S62" i="17" a="1"/>
  <c r="S62" i="17"/>
  <c r="S63" i="17" a="1"/>
  <c r="S63" i="17" s="1"/>
  <c r="S64" i="17" a="1"/>
  <c r="S64" i="17" s="1"/>
  <c r="S65" i="17" a="1"/>
  <c r="S65" i="17" s="1"/>
  <c r="S66" i="17" a="1"/>
  <c r="S66" i="17" s="1"/>
  <c r="S67" i="17" a="1"/>
  <c r="S67" i="17" s="1"/>
  <c r="S132" i="17" a="1"/>
  <c r="S132" i="17" s="1"/>
  <c r="S157" i="17" a="1"/>
  <c r="S157" i="17" s="1"/>
  <c r="S68" i="17" a="1"/>
  <c r="S68" i="17" s="1"/>
  <c r="S69" i="17" a="1"/>
  <c r="S69" i="17" s="1"/>
  <c r="S70" i="17" a="1"/>
  <c r="S70" i="17" s="1"/>
  <c r="S71" i="17" a="1"/>
  <c r="S71" i="17" s="1"/>
  <c r="S72" i="17" a="1"/>
  <c r="S72" i="17" s="1"/>
  <c r="S73" i="17" a="1"/>
  <c r="S73" i="17" s="1"/>
  <c r="S133" i="17" a="1"/>
  <c r="S133" i="17" s="1"/>
  <c r="S158" i="17" a="1"/>
  <c r="S158" i="17" s="1"/>
  <c r="S74" i="17" a="1"/>
  <c r="S74" i="17" s="1"/>
  <c r="S75" i="17" a="1"/>
  <c r="S75" i="17" s="1"/>
  <c r="S76" i="17" a="1"/>
  <c r="S76" i="17" s="1"/>
  <c r="S77" i="17" a="1"/>
  <c r="S77" i="17" s="1"/>
  <c r="S78" i="17" a="1"/>
  <c r="S78" i="17" s="1"/>
  <c r="S79" i="17" a="1"/>
  <c r="S79" i="17" s="1"/>
  <c r="S134" i="17" a="1"/>
  <c r="S134" i="17" s="1"/>
  <c r="S159" i="17" a="1"/>
  <c r="S159" i="17" s="1"/>
  <c r="S80" i="17" a="1"/>
  <c r="S80" i="17"/>
  <c r="S81" i="17" a="1"/>
  <c r="S81" i="17" s="1"/>
  <c r="S82" i="17" a="1"/>
  <c r="S82" i="17" s="1"/>
  <c r="S83" i="17" a="1"/>
  <c r="S83" i="17" s="1"/>
  <c r="S84" i="17" a="1"/>
  <c r="S84" i="17" s="1"/>
  <c r="S85" i="17" a="1"/>
  <c r="S85" i="17" s="1"/>
  <c r="S135" i="17" a="1"/>
  <c r="S135" i="17" s="1"/>
  <c r="S160" i="17" a="1"/>
  <c r="S160" i="17" s="1"/>
  <c r="S86" i="17" a="1"/>
  <c r="S86" i="17" s="1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136" i="17" a="1"/>
  <c r="S136" i="17" s="1"/>
  <c r="S161" i="17" a="1"/>
  <c r="S161" i="17" s="1"/>
  <c r="S92" i="17" a="1"/>
  <c r="S92" i="17"/>
  <c r="S93" i="17" a="1"/>
  <c r="S93" i="17" s="1"/>
  <c r="S94" i="17" a="1"/>
  <c r="S94" i="17" s="1"/>
  <c r="S95" i="17" a="1"/>
  <c r="S95" i="17" s="1"/>
  <c r="S96" i="17" a="1"/>
  <c r="S96" i="17" s="1"/>
  <c r="S97" i="17" a="1"/>
  <c r="S97" i="17" s="1"/>
  <c r="S137" i="17" a="1"/>
  <c r="S137" i="17" s="1"/>
  <c r="S162" i="17" a="1"/>
  <c r="S162" i="17" s="1"/>
  <c r="S98" i="17" a="1"/>
  <c r="S98" i="17" s="1"/>
  <c r="S99" i="17" a="1"/>
  <c r="S99" i="17" s="1"/>
  <c r="S100" i="17" a="1"/>
  <c r="S100" i="17" s="1"/>
  <c r="S101" i="17" a="1"/>
  <c r="S101" i="17" s="1"/>
  <c r="S102" i="17" a="1"/>
  <c r="S102" i="17" s="1"/>
  <c r="S103" i="17" a="1"/>
  <c r="S103" i="17" s="1"/>
  <c r="S138" i="17" a="1"/>
  <c r="S138" i="17" s="1"/>
  <c r="S163" i="17" a="1"/>
  <c r="S163" i="17" s="1"/>
  <c r="S139" i="17" a="1"/>
  <c r="S139" i="17" s="1"/>
  <c r="S104" i="17" a="1"/>
  <c r="S104" i="17" s="1"/>
  <c r="S105" i="17" a="1"/>
  <c r="S105" i="17" s="1"/>
  <c r="S106" i="17" a="1"/>
  <c r="S106" i="17" s="1"/>
  <c r="S107" i="17" a="1"/>
  <c r="S107" i="17" s="1"/>
  <c r="S108" i="17" a="1"/>
  <c r="S108" i="17" s="1"/>
  <c r="S109" i="17" a="1"/>
  <c r="S109" i="17" s="1"/>
  <c r="S140" i="17" a="1"/>
  <c r="S140" i="17" s="1"/>
  <c r="S164" i="17" a="1"/>
  <c r="S164" i="17"/>
  <c r="S110" i="17" a="1"/>
  <c r="S110" i="17" s="1"/>
  <c r="S111" i="17" a="1"/>
  <c r="S111" i="17" s="1"/>
  <c r="S112" i="17" a="1"/>
  <c r="S112" i="17" s="1"/>
  <c r="S113" i="17" a="1"/>
  <c r="S113" i="17" s="1"/>
  <c r="S114" i="17" a="1"/>
  <c r="S114" i="17" s="1"/>
  <c r="S115" i="17" a="1"/>
  <c r="S115" i="17" s="1"/>
  <c r="S141" i="17" a="1"/>
  <c r="S141" i="17" s="1"/>
  <c r="S165" i="17" a="1"/>
  <c r="S165" i="17" s="1"/>
  <c r="S116" i="17" a="1"/>
  <c r="S116" i="17" s="1"/>
  <c r="S117" i="17" a="1"/>
  <c r="S117" i="17" s="1"/>
  <c r="S118" i="17" a="1"/>
  <c r="S118" i="17" s="1"/>
  <c r="S119" i="17" a="1"/>
  <c r="S119" i="17" s="1"/>
  <c r="S120" i="17" a="1"/>
  <c r="S120" i="17" s="1"/>
  <c r="S121" i="17" a="1"/>
  <c r="S121" i="17" s="1"/>
  <c r="S142" i="17" a="1"/>
  <c r="S142" i="17" s="1"/>
  <c r="S166" i="17" a="1"/>
  <c r="S166" i="17" s="1"/>
  <c r="T2" i="17" a="1"/>
  <c r="T2" i="17" s="1"/>
  <c r="T3" i="17" a="1"/>
  <c r="T3" i="17" s="1"/>
  <c r="T4" i="17" a="1"/>
  <c r="T4" i="17" s="1"/>
  <c r="T5" i="17" a="1"/>
  <c r="T5" i="17" s="1"/>
  <c r="T6" i="17" a="1"/>
  <c r="T6" i="17" s="1"/>
  <c r="T7" i="17" a="1"/>
  <c r="T7" i="17" s="1"/>
  <c r="T122" i="17" a="1"/>
  <c r="T122" i="17" s="1"/>
  <c r="T147" i="17" a="1"/>
  <c r="T147" i="17"/>
  <c r="T8" i="17" a="1"/>
  <c r="T8" i="17" s="1"/>
  <c r="T9" i="17" a="1"/>
  <c r="T9" i="17" s="1"/>
  <c r="T10" i="17" a="1"/>
  <c r="T10" i="17" s="1"/>
  <c r="T11" i="17" a="1"/>
  <c r="T11" i="17" s="1"/>
  <c r="T12" i="17" a="1"/>
  <c r="T12" i="17" s="1"/>
  <c r="T13" i="17" a="1"/>
  <c r="T13" i="17" s="1"/>
  <c r="T123" i="17" a="1"/>
  <c r="T123" i="17" s="1"/>
  <c r="T148" i="17" a="1"/>
  <c r="T148" i="17" s="1"/>
  <c r="T14" i="17" a="1"/>
  <c r="T14" i="17" s="1"/>
  <c r="T15" i="17" a="1"/>
  <c r="T15" i="17" s="1"/>
  <c r="T16" i="17" a="1"/>
  <c r="T16" i="17" s="1"/>
  <c r="T17" i="17" a="1"/>
  <c r="T17" i="17" s="1"/>
  <c r="T18" i="17" a="1"/>
  <c r="T18" i="17" s="1"/>
  <c r="T19" i="17" a="1"/>
  <c r="T19" i="17" s="1"/>
  <c r="T124" i="17" a="1"/>
  <c r="T124" i="17" s="1"/>
  <c r="T149" i="17" a="1"/>
  <c r="T149" i="17"/>
  <c r="T20" i="17" a="1"/>
  <c r="T20" i="17" s="1"/>
  <c r="T21" i="17" a="1"/>
  <c r="T21" i="17" s="1"/>
  <c r="T22" i="17" a="1"/>
  <c r="T22" i="17" s="1"/>
  <c r="T23" i="17" a="1"/>
  <c r="T23" i="17" s="1"/>
  <c r="T24" i="17" a="1"/>
  <c r="T24" i="17" s="1"/>
  <c r="T25" i="17" a="1"/>
  <c r="T25" i="17" s="1"/>
  <c r="T125" i="17" a="1"/>
  <c r="T125" i="17" s="1"/>
  <c r="T143" i="17" a="1"/>
  <c r="T143" i="17" s="1"/>
  <c r="T144" i="17" a="1"/>
  <c r="T144" i="17" s="1"/>
  <c r="T145" i="17" a="1"/>
  <c r="T145" i="17" s="1"/>
  <c r="T146" i="17" a="1"/>
  <c r="T146" i="17" s="1"/>
  <c r="T150" i="17" a="1"/>
  <c r="T150" i="17" s="1"/>
  <c r="T26" i="17" a="1"/>
  <c r="T26" i="17" s="1"/>
  <c r="T27" i="17" a="1"/>
  <c r="T27" i="17" s="1"/>
  <c r="T28" i="17" a="1"/>
  <c r="T28" i="17" s="1"/>
  <c r="T29" i="17" a="1"/>
  <c r="T29" i="17" s="1"/>
  <c r="T30" i="17" a="1"/>
  <c r="T30" i="17" s="1"/>
  <c r="T31" i="17" a="1"/>
  <c r="T31" i="17" s="1"/>
  <c r="T126" i="17" a="1"/>
  <c r="T126" i="17" s="1"/>
  <c r="T151" i="17" a="1"/>
  <c r="T151" i="17" s="1"/>
  <c r="T32" i="17" a="1"/>
  <c r="T32" i="17" s="1"/>
  <c r="T33" i="17" a="1"/>
  <c r="T33" i="17" s="1"/>
  <c r="T34" i="17" a="1"/>
  <c r="T34" i="17" s="1"/>
  <c r="T35" i="17" a="1"/>
  <c r="T35" i="17"/>
  <c r="T36" i="17" a="1"/>
  <c r="T36" i="17" s="1"/>
  <c r="T37" i="17" a="1"/>
  <c r="T37" i="17" s="1"/>
  <c r="T127" i="17" a="1"/>
  <c r="T127" i="17" s="1"/>
  <c r="T152" i="17" a="1"/>
  <c r="T152" i="17" s="1"/>
  <c r="T38" i="17" a="1"/>
  <c r="T38" i="17" s="1"/>
  <c r="T39" i="17" a="1"/>
  <c r="T39" i="17" s="1"/>
  <c r="T40" i="17" a="1"/>
  <c r="T40" i="17" s="1"/>
  <c r="T41" i="17" a="1"/>
  <c r="T41" i="17" s="1"/>
  <c r="T42" i="17" a="1"/>
  <c r="T42" i="17" s="1"/>
  <c r="T43" i="17" a="1"/>
  <c r="T43" i="17" s="1"/>
  <c r="T128" i="17" a="1"/>
  <c r="T128" i="17" s="1"/>
  <c r="T153" i="17" a="1"/>
  <c r="T153" i="17" s="1"/>
  <c r="T44" i="17" a="1"/>
  <c r="T44" i="17" s="1"/>
  <c r="T45" i="17" a="1"/>
  <c r="T45" i="17" s="1"/>
  <c r="T46" i="17" a="1"/>
  <c r="T46" i="17" s="1"/>
  <c r="T47" i="17" a="1"/>
  <c r="T47" i="17" s="1"/>
  <c r="T48" i="17" a="1"/>
  <c r="T48" i="17" s="1"/>
  <c r="T49" i="17" a="1"/>
  <c r="T49" i="17" s="1"/>
  <c r="T129" i="17" a="1"/>
  <c r="T129" i="17" s="1"/>
  <c r="T154" i="17" a="1"/>
  <c r="T154" i="17" s="1"/>
  <c r="T50" i="17" a="1"/>
  <c r="T50" i="17" s="1"/>
  <c r="T51" i="17" a="1"/>
  <c r="T51" i="17" s="1"/>
  <c r="T52" i="17" a="1"/>
  <c r="T52" i="17" s="1"/>
  <c r="T53" i="17" a="1"/>
  <c r="T53" i="17"/>
  <c r="T54" i="17" a="1"/>
  <c r="T54" i="17" s="1"/>
  <c r="T55" i="17" a="1"/>
  <c r="T55" i="17" s="1"/>
  <c r="T130" i="17" a="1"/>
  <c r="T130" i="17" s="1"/>
  <c r="T155" i="17" a="1"/>
  <c r="T155" i="17" s="1"/>
  <c r="T56" i="17" a="1"/>
  <c r="T56" i="17" s="1"/>
  <c r="T57" i="17" a="1"/>
  <c r="T57" i="17" s="1"/>
  <c r="T58" i="17" a="1"/>
  <c r="T58" i="17" s="1"/>
  <c r="T59" i="17" a="1"/>
  <c r="T59" i="17" s="1"/>
  <c r="T60" i="17" a="1"/>
  <c r="T60" i="17" s="1"/>
  <c r="T61" i="17" a="1"/>
  <c r="T61" i="17" s="1"/>
  <c r="T131" i="17" a="1"/>
  <c r="T131" i="17" s="1"/>
  <c r="T156" i="17" a="1"/>
  <c r="T156" i="17" s="1"/>
  <c r="T62" i="17" a="1"/>
  <c r="T62" i="17" s="1"/>
  <c r="T63" i="17" a="1"/>
  <c r="T63" i="17" s="1"/>
  <c r="T64" i="17" a="1"/>
  <c r="T64" i="17" s="1"/>
  <c r="T65" i="17" a="1"/>
  <c r="T65" i="17"/>
  <c r="T66" i="17" a="1"/>
  <c r="T66" i="17" s="1"/>
  <c r="T67" i="17" a="1"/>
  <c r="T67" i="17" s="1"/>
  <c r="T132" i="17" a="1"/>
  <c r="T132" i="17" s="1"/>
  <c r="T157" i="17" a="1"/>
  <c r="T157" i="17" s="1"/>
  <c r="T68" i="17" a="1"/>
  <c r="T68" i="17" s="1"/>
  <c r="T69" i="17" a="1"/>
  <c r="T69" i="17" s="1"/>
  <c r="T70" i="17" a="1"/>
  <c r="T70" i="17" s="1"/>
  <c r="T71" i="17" a="1"/>
  <c r="T71" i="17" s="1"/>
  <c r="T72" i="17" a="1"/>
  <c r="T72" i="17" s="1"/>
  <c r="T73" i="17" a="1"/>
  <c r="T73" i="17" s="1"/>
  <c r="T133" i="17" a="1"/>
  <c r="T133" i="17" s="1"/>
  <c r="T158" i="17" a="1"/>
  <c r="T158" i="17" s="1"/>
  <c r="T74" i="17" a="1"/>
  <c r="T74" i="17" s="1"/>
  <c r="T75" i="17" a="1"/>
  <c r="T75" i="17" s="1"/>
  <c r="T76" i="17" a="1"/>
  <c r="T76" i="17" s="1"/>
  <c r="T77" i="17" a="1"/>
  <c r="T77" i="17" s="1"/>
  <c r="T78" i="17" a="1"/>
  <c r="T78" i="17" s="1"/>
  <c r="T79" i="17" a="1"/>
  <c r="T79" i="17" s="1"/>
  <c r="T134" i="17" a="1"/>
  <c r="T134" i="17" s="1"/>
  <c r="T159" i="17" a="1"/>
  <c r="T159" i="17" s="1"/>
  <c r="T80" i="17" a="1"/>
  <c r="T80" i="17" s="1"/>
  <c r="T81" i="17" a="1"/>
  <c r="T81" i="17" s="1"/>
  <c r="T82" i="17" a="1"/>
  <c r="T82" i="17" s="1"/>
  <c r="T83" i="17" a="1"/>
  <c r="T83" i="17"/>
  <c r="T84" i="17" a="1"/>
  <c r="T84" i="17" s="1"/>
  <c r="T85" i="17" a="1"/>
  <c r="T85" i="17" s="1"/>
  <c r="T135" i="17" a="1"/>
  <c r="T135" i="17" s="1"/>
  <c r="T160" i="17" a="1"/>
  <c r="T160" i="17" s="1"/>
  <c r="T86" i="17" a="1"/>
  <c r="T86" i="17" s="1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136" i="17" a="1"/>
  <c r="T136" i="17" s="1"/>
  <c r="T161" i="17" a="1"/>
  <c r="T161" i="17" s="1"/>
  <c r="T92" i="17" a="1"/>
  <c r="T92" i="17" s="1"/>
  <c r="T93" i="17" a="1"/>
  <c r="T93" i="17" s="1"/>
  <c r="T94" i="17" a="1"/>
  <c r="T94" i="17" s="1"/>
  <c r="T95" i="17" a="1"/>
  <c r="T95" i="17" s="1"/>
  <c r="T96" i="17" a="1"/>
  <c r="T96" i="17" s="1"/>
  <c r="T97" i="17" a="1"/>
  <c r="T97" i="17" s="1"/>
  <c r="T137" i="17" a="1"/>
  <c r="T137" i="17" s="1"/>
  <c r="T162" i="17" a="1"/>
  <c r="T162" i="17" s="1"/>
  <c r="T98" i="17" a="1"/>
  <c r="T98" i="17" s="1"/>
  <c r="T99" i="17" a="1"/>
  <c r="T99" i="17" s="1"/>
  <c r="T100" i="17" a="1"/>
  <c r="T100" i="17" s="1"/>
  <c r="T101" i="17" a="1"/>
  <c r="T101" i="17"/>
  <c r="T102" i="17" a="1"/>
  <c r="T102" i="17" s="1"/>
  <c r="T103" i="17" a="1"/>
  <c r="T103" i="17" s="1"/>
  <c r="T138" i="17" a="1"/>
  <c r="T138" i="17" s="1"/>
  <c r="T163" i="17" a="1"/>
  <c r="T163" i="17" s="1"/>
  <c r="T139" i="17" a="1"/>
  <c r="T139" i="17" s="1"/>
  <c r="T104" i="17" a="1"/>
  <c r="T104" i="17" s="1"/>
  <c r="T105" i="17" a="1"/>
  <c r="T105" i="17" s="1"/>
  <c r="T106" i="17" a="1"/>
  <c r="T106" i="17" s="1"/>
  <c r="T107" i="17" a="1"/>
  <c r="T107" i="17" s="1"/>
  <c r="T108" i="17" a="1"/>
  <c r="T108" i="17" s="1"/>
  <c r="T109" i="17" a="1"/>
  <c r="T109" i="17" s="1"/>
  <c r="T140" i="17" a="1"/>
  <c r="T140" i="17" s="1"/>
  <c r="T164" i="17" a="1"/>
  <c r="T164" i="17" s="1"/>
  <c r="T110" i="17" a="1"/>
  <c r="T110" i="17" s="1"/>
  <c r="T111" i="17" a="1"/>
  <c r="T111" i="17" s="1"/>
  <c r="T112" i="17" a="1"/>
  <c r="T112" i="17"/>
  <c r="T113" i="17" a="1"/>
  <c r="T113" i="17" s="1"/>
  <c r="T114" i="17" a="1"/>
  <c r="T114" i="17" s="1"/>
  <c r="T115" i="17" a="1"/>
  <c r="T115" i="17" s="1"/>
  <c r="T141" i="17" a="1"/>
  <c r="T141" i="17" s="1"/>
  <c r="T165" i="17" a="1"/>
  <c r="T165" i="17" s="1"/>
  <c r="T116" i="17" a="1"/>
  <c r="T116" i="17" s="1"/>
  <c r="T117" i="17" a="1"/>
  <c r="T117" i="17" s="1"/>
  <c r="T118" i="17" a="1"/>
  <c r="T118" i="17" s="1"/>
  <c r="T119" i="17" a="1"/>
  <c r="T119" i="17" s="1"/>
  <c r="T120" i="17" a="1"/>
  <c r="T120" i="17" s="1"/>
  <c r="T121" i="17" a="1"/>
  <c r="T121" i="17" s="1"/>
  <c r="T142" i="17" a="1"/>
  <c r="T142" i="17" s="1"/>
  <c r="T166" i="17" a="1"/>
  <c r="T166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122" i="17" a="1"/>
  <c r="U122" i="17" s="1"/>
  <c r="U147" i="17" a="1"/>
  <c r="U147" i="17" s="1"/>
  <c r="U8" i="17" a="1"/>
  <c r="U8" i="17" s="1"/>
  <c r="U9" i="17" a="1"/>
  <c r="U9" i="17" s="1"/>
  <c r="U10" i="17" a="1"/>
  <c r="U10" i="17"/>
  <c r="U11" i="17" a="1"/>
  <c r="U11" i="17" s="1"/>
  <c r="U12" i="17" a="1"/>
  <c r="U12" i="17" s="1"/>
  <c r="U13" i="17" a="1"/>
  <c r="U13" i="17" s="1"/>
  <c r="U123" i="17" a="1"/>
  <c r="U123" i="17" s="1"/>
  <c r="U148" i="17" a="1"/>
  <c r="U148" i="17" s="1"/>
  <c r="U14" i="17" a="1"/>
  <c r="U14" i="17" s="1"/>
  <c r="U15" i="17" a="1"/>
  <c r="U15" i="17" s="1"/>
  <c r="U16" i="17" a="1"/>
  <c r="U16" i="17" s="1"/>
  <c r="U17" i="17" a="1"/>
  <c r="U17" i="17" s="1"/>
  <c r="U18" i="17" a="1"/>
  <c r="U18" i="17" s="1"/>
  <c r="U19" i="17" a="1"/>
  <c r="U19" i="17" s="1"/>
  <c r="U124" i="17" a="1"/>
  <c r="U124" i="17" s="1"/>
  <c r="U149" i="17" a="1"/>
  <c r="U149" i="17" s="1"/>
  <c r="U20" i="17" a="1"/>
  <c r="U20" i="17" s="1"/>
  <c r="U21" i="17" a="1"/>
  <c r="U21" i="17" s="1"/>
  <c r="U22" i="17" a="1"/>
  <c r="U22" i="17" s="1"/>
  <c r="U23" i="17" a="1"/>
  <c r="U23" i="17" s="1"/>
  <c r="U24" i="17" a="1"/>
  <c r="U24" i="17" s="1"/>
  <c r="U25" i="17" a="1"/>
  <c r="U25" i="17" s="1"/>
  <c r="U125" i="17" a="1"/>
  <c r="U125" i="17" s="1"/>
  <c r="U143" i="17" a="1"/>
  <c r="U143" i="17" s="1"/>
  <c r="U144" i="17" a="1"/>
  <c r="U144" i="17" s="1"/>
  <c r="U145" i="17" a="1"/>
  <c r="U145" i="17" s="1"/>
  <c r="U146" i="17" a="1"/>
  <c r="U146" i="17"/>
  <c r="U150" i="17" a="1"/>
  <c r="U150" i="17" s="1"/>
  <c r="U26" i="17" a="1"/>
  <c r="U26" i="17" s="1"/>
  <c r="U27" i="17" a="1"/>
  <c r="U27" i="17" s="1"/>
  <c r="U28" i="17" a="1"/>
  <c r="U28" i="17" s="1"/>
  <c r="U29" i="17" a="1"/>
  <c r="U29" i="17" s="1"/>
  <c r="U30" i="17" a="1"/>
  <c r="U30" i="17" s="1"/>
  <c r="U31" i="17" a="1"/>
  <c r="U31" i="17" s="1"/>
  <c r="U126" i="17" a="1"/>
  <c r="U126" i="17" s="1"/>
  <c r="U151" i="17" a="1"/>
  <c r="U151" i="17" s="1"/>
  <c r="U32" i="17" a="1"/>
  <c r="U32" i="17" s="1"/>
  <c r="U33" i="17" a="1"/>
  <c r="U33" i="17" s="1"/>
  <c r="U34" i="17" a="1"/>
  <c r="U34" i="17" s="1"/>
  <c r="U35" i="17" a="1"/>
  <c r="U35" i="17" s="1"/>
  <c r="U36" i="17" a="1"/>
  <c r="U36" i="17" s="1"/>
  <c r="U37" i="17" a="1"/>
  <c r="U37" i="17" s="1"/>
  <c r="U127" i="17" a="1"/>
  <c r="U127" i="17"/>
  <c r="U152" i="17" a="1"/>
  <c r="U152" i="17" s="1"/>
  <c r="U38" i="17" a="1"/>
  <c r="U38" i="17" s="1"/>
  <c r="U39" i="17" a="1"/>
  <c r="U39" i="17" s="1"/>
  <c r="U40" i="17" a="1"/>
  <c r="U40" i="17" s="1"/>
  <c r="U41" i="17" a="1"/>
  <c r="U41" i="17" s="1"/>
  <c r="U42" i="17" a="1"/>
  <c r="U42" i="17" s="1"/>
  <c r="U43" i="17" a="1"/>
  <c r="U43" i="17" s="1"/>
  <c r="U128" i="17" a="1"/>
  <c r="U128" i="17" s="1"/>
  <c r="U153" i="17" a="1"/>
  <c r="U153" i="17" s="1"/>
  <c r="U44" i="17" a="1"/>
  <c r="U44" i="17" s="1"/>
  <c r="U45" i="17" a="1"/>
  <c r="U45" i="17" s="1"/>
  <c r="U46" i="17" a="1"/>
  <c r="U46" i="17" s="1"/>
  <c r="U47" i="17" a="1"/>
  <c r="U47" i="17" s="1"/>
  <c r="U48" i="17" a="1"/>
  <c r="U48" i="17" s="1"/>
  <c r="U49" i="17" a="1"/>
  <c r="U49" i="17" s="1"/>
  <c r="U129" i="17" a="1"/>
  <c r="U129" i="17" s="1"/>
  <c r="U154" i="17" a="1"/>
  <c r="U154" i="17" s="1"/>
  <c r="U50" i="17" a="1"/>
  <c r="U50" i="17" s="1"/>
  <c r="U51" i="17" a="1"/>
  <c r="U51" i="17" s="1"/>
  <c r="U52" i="17" a="1"/>
  <c r="U52" i="17" s="1"/>
  <c r="U53" i="17" a="1"/>
  <c r="U53" i="17" s="1"/>
  <c r="U54" i="17" a="1"/>
  <c r="U54" i="17" s="1"/>
  <c r="U55" i="17" a="1"/>
  <c r="U55" i="17" s="1"/>
  <c r="U130" i="17" a="1"/>
  <c r="U130" i="17"/>
  <c r="U155" i="17" a="1"/>
  <c r="U155" i="17" s="1"/>
  <c r="U56" i="17" a="1"/>
  <c r="U56" i="17" s="1"/>
  <c r="U57" i="17" a="1"/>
  <c r="U57" i="17" s="1"/>
  <c r="U58" i="17" a="1"/>
  <c r="U58" i="17" s="1"/>
  <c r="U59" i="17" a="1"/>
  <c r="U59" i="17" s="1"/>
  <c r="U60" i="17" a="1"/>
  <c r="U60" i="17" s="1"/>
  <c r="U61" i="17" a="1"/>
  <c r="U61" i="17" s="1"/>
  <c r="U131" i="17" a="1"/>
  <c r="U131" i="17" s="1"/>
  <c r="U156" i="17" a="1"/>
  <c r="U156" i="17" s="1"/>
  <c r="U62" i="17" a="1"/>
  <c r="U62" i="17" s="1"/>
  <c r="U63" i="17" a="1"/>
  <c r="U63" i="17" s="1"/>
  <c r="U64" i="17" a="1"/>
  <c r="U64" i="17" s="1"/>
  <c r="U65" i="17" a="1"/>
  <c r="U65" i="17" s="1"/>
  <c r="U66" i="17" a="1"/>
  <c r="U66" i="17" s="1"/>
  <c r="U67" i="17" a="1"/>
  <c r="U67" i="17" s="1"/>
  <c r="U132" i="17" a="1"/>
  <c r="U132" i="17" s="1"/>
  <c r="U157" i="17" a="1"/>
  <c r="U157" i="17" s="1"/>
  <c r="U68" i="17" a="1"/>
  <c r="U68" i="17" s="1"/>
  <c r="U69" i="17" a="1"/>
  <c r="U69" i="17" s="1"/>
  <c r="U70" i="17" a="1"/>
  <c r="U70" i="17" s="1"/>
  <c r="U71" i="17" a="1"/>
  <c r="U71" i="17" s="1"/>
  <c r="U72" i="17" a="1"/>
  <c r="U72" i="17" s="1"/>
  <c r="U73" i="17" a="1"/>
  <c r="U73" i="17" s="1"/>
  <c r="U133" i="17" a="1"/>
  <c r="U133" i="17"/>
  <c r="U158" i="17" a="1"/>
  <c r="U158" i="17" s="1"/>
  <c r="U74" i="17" a="1"/>
  <c r="U74" i="17" s="1"/>
  <c r="U75" i="17" a="1"/>
  <c r="U75" i="17" s="1"/>
  <c r="U76" i="17" a="1"/>
  <c r="U76" i="17" s="1"/>
  <c r="U77" i="17" a="1"/>
  <c r="U77" i="17" s="1"/>
  <c r="U78" i="17" a="1"/>
  <c r="U78" i="17" s="1"/>
  <c r="U79" i="17" a="1"/>
  <c r="U79" i="17" s="1"/>
  <c r="U134" i="17" a="1"/>
  <c r="U134" i="17" s="1"/>
  <c r="U159" i="17" a="1"/>
  <c r="U159" i="17" s="1"/>
  <c r="U80" i="17" a="1"/>
  <c r="U80" i="17" s="1"/>
  <c r="U81" i="17" a="1"/>
  <c r="U81" i="17" s="1"/>
  <c r="U82" i="17" a="1"/>
  <c r="U82" i="17" s="1"/>
  <c r="U83" i="17" a="1"/>
  <c r="U83" i="17" s="1"/>
  <c r="U84" i="17" a="1"/>
  <c r="U84" i="17" s="1"/>
  <c r="U85" i="17" a="1"/>
  <c r="U85" i="17" s="1"/>
  <c r="U135" i="17" a="1"/>
  <c r="U135" i="17"/>
  <c r="U160" i="17" a="1"/>
  <c r="U160" i="17" s="1"/>
  <c r="U86" i="17" a="1"/>
  <c r="U86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 s="1"/>
  <c r="U136" i="17" a="1"/>
  <c r="U136" i="17" s="1"/>
  <c r="U161" i="17" a="1"/>
  <c r="U161" i="17" s="1"/>
  <c r="U92" i="17" a="1"/>
  <c r="U92" i="17" s="1"/>
  <c r="U93" i="17" a="1"/>
  <c r="U93" i="17" s="1"/>
  <c r="U94" i="17" a="1"/>
  <c r="U94" i="17" s="1"/>
  <c r="U95" i="17" a="1"/>
  <c r="U95" i="17" s="1"/>
  <c r="U96" i="17" a="1"/>
  <c r="U96" i="17" s="1"/>
  <c r="U97" i="17" a="1"/>
  <c r="U97" i="17" s="1"/>
  <c r="U137" i="17" a="1"/>
  <c r="U137" i="17" s="1"/>
  <c r="U162" i="17" a="1"/>
  <c r="U162" i="17" s="1"/>
  <c r="U98" i="17" a="1"/>
  <c r="U98" i="17" s="1"/>
  <c r="U99" i="17" a="1"/>
  <c r="U99" i="17" s="1"/>
  <c r="U100" i="17" a="1"/>
  <c r="U100" i="17" s="1"/>
  <c r="U101" i="17" a="1"/>
  <c r="U101" i="17" s="1"/>
  <c r="U102" i="17" a="1"/>
  <c r="U102" i="17" s="1"/>
  <c r="U103" i="17" a="1"/>
  <c r="U103" i="17" s="1"/>
  <c r="U138" i="17" a="1"/>
  <c r="U138" i="17"/>
  <c r="U163" i="17" a="1"/>
  <c r="U163" i="17" s="1"/>
  <c r="U139" i="17" a="1"/>
  <c r="U139" i="17" s="1"/>
  <c r="U104" i="17" a="1"/>
  <c r="U104" i="17" s="1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 s="1"/>
  <c r="U140" i="17" a="1"/>
  <c r="U140" i="17" s="1"/>
  <c r="U164" i="17" a="1"/>
  <c r="U164" i="17" s="1"/>
  <c r="U110" i="17" a="1"/>
  <c r="U110" i="17" s="1"/>
  <c r="U111" i="17" a="1"/>
  <c r="U111" i="17" s="1"/>
  <c r="U112" i="17" a="1"/>
  <c r="U112" i="17" s="1"/>
  <c r="U113" i="17" a="1"/>
  <c r="U113" i="17" s="1"/>
  <c r="U114" i="17" a="1"/>
  <c r="U114" i="17" s="1"/>
  <c r="U115" i="17" a="1"/>
  <c r="U115" i="17" s="1"/>
  <c r="U141" i="17" a="1"/>
  <c r="U141" i="17" s="1"/>
  <c r="U165" i="17" a="1"/>
  <c r="U165" i="17" s="1"/>
  <c r="U116" i="17" a="1"/>
  <c r="U116" i="17" s="1"/>
  <c r="U117" i="17" a="1"/>
  <c r="U117" i="17" s="1"/>
  <c r="U118" i="17" a="1"/>
  <c r="U118" i="17" s="1"/>
  <c r="U119" i="17" a="1"/>
  <c r="U119" i="17" s="1"/>
  <c r="U120" i="17" a="1"/>
  <c r="U120" i="17" s="1"/>
  <c r="U121" i="17" a="1"/>
  <c r="U121" i="17"/>
  <c r="U142" i="17" a="1"/>
  <c r="U142" i="17" s="1"/>
  <c r="U166" i="17" a="1"/>
  <c r="U166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122" i="17" a="1"/>
  <c r="V122" i="17" s="1"/>
  <c r="V147" i="17" a="1"/>
  <c r="V147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/>
  <c r="V123" i="17" a="1"/>
  <c r="V123" i="17" s="1"/>
  <c r="V148" i="17" a="1"/>
  <c r="V148" i="17" s="1"/>
  <c r="V14" i="17" a="1"/>
  <c r="V14" i="17" s="1"/>
  <c r="V15" i="17" a="1"/>
  <c r="V15" i="17" s="1"/>
  <c r="V16" i="17" a="1"/>
  <c r="V16" i="17" s="1"/>
  <c r="V17" i="17" a="1"/>
  <c r="V17" i="17" s="1"/>
  <c r="V18" i="17" a="1"/>
  <c r="V18" i="17" s="1"/>
  <c r="V19" i="17" a="1"/>
  <c r="V19" i="17" s="1"/>
  <c r="V124" i="17" a="1"/>
  <c r="V124" i="17" s="1"/>
  <c r="V149" i="17" a="1"/>
  <c r="V149" i="17" s="1"/>
  <c r="V20" i="17" a="1"/>
  <c r="V20" i="17" s="1"/>
  <c r="V21" i="17" a="1"/>
  <c r="V21" i="17" s="1"/>
  <c r="V22" i="17" a="1"/>
  <c r="V22" i="17" s="1"/>
  <c r="V23" i="17" a="1"/>
  <c r="V23" i="17" s="1"/>
  <c r="V24" i="17" a="1"/>
  <c r="V24" i="17" s="1"/>
  <c r="V25" i="17" a="1"/>
  <c r="V25" i="17" s="1"/>
  <c r="V125" i="17" a="1"/>
  <c r="V125" i="17" s="1"/>
  <c r="V143" i="17" a="1"/>
  <c r="V143" i="17" s="1"/>
  <c r="V144" i="17" a="1"/>
  <c r="V144" i="17" s="1"/>
  <c r="V145" i="17" a="1"/>
  <c r="V145" i="17" s="1"/>
  <c r="V146" i="17" a="1"/>
  <c r="V146" i="17" s="1"/>
  <c r="V150" i="17" a="1"/>
  <c r="V150" i="17" s="1"/>
  <c r="V26" i="17" a="1"/>
  <c r="V26" i="17" s="1"/>
  <c r="V27" i="17" a="1"/>
  <c r="V27" i="17"/>
  <c r="V28" i="17" a="1"/>
  <c r="V28" i="17" s="1"/>
  <c r="V29" i="17" a="1"/>
  <c r="V29" i="17" s="1"/>
  <c r="V30" i="17" a="1"/>
  <c r="V30" i="17" s="1"/>
  <c r="V31" i="17" a="1"/>
  <c r="V31" i="17" s="1"/>
  <c r="V126" i="17" a="1"/>
  <c r="V126" i="17" s="1"/>
  <c r="V151" i="17" a="1"/>
  <c r="V151" i="17" s="1"/>
  <c r="V32" i="17" a="1"/>
  <c r="V32" i="17" s="1"/>
  <c r="V33" i="17" a="1"/>
  <c r="V33" i="17" s="1"/>
  <c r="V34" i="17" a="1"/>
  <c r="V34" i="17" s="1"/>
  <c r="V35" i="17" a="1"/>
  <c r="V35" i="17" s="1"/>
  <c r="V36" i="17" a="1"/>
  <c r="V36" i="17" s="1"/>
  <c r="V37" i="17" a="1"/>
  <c r="V37" i="17" s="1"/>
  <c r="V127" i="17" a="1"/>
  <c r="V127" i="17" s="1"/>
  <c r="V152" i="17" a="1"/>
  <c r="V152" i="17" s="1"/>
  <c r="V38" i="17" a="1"/>
  <c r="V38" i="17" s="1"/>
  <c r="V39" i="17" a="1"/>
  <c r="V39" i="17" s="1"/>
  <c r="V40" i="17" a="1"/>
  <c r="V40" i="17" s="1"/>
  <c r="V41" i="17" a="1"/>
  <c r="V41" i="17" s="1"/>
  <c r="V42" i="17" a="1"/>
  <c r="V42" i="17" s="1"/>
  <c r="V43" i="17" a="1"/>
  <c r="V43" i="17" s="1"/>
  <c r="V128" i="17" a="1"/>
  <c r="V128" i="17" s="1"/>
  <c r="V153" i="17" a="1"/>
  <c r="V153" i="17" s="1"/>
  <c r="V44" i="17" a="1"/>
  <c r="V44" i="17" s="1"/>
  <c r="V45" i="17" a="1"/>
  <c r="V45" i="17"/>
  <c r="V46" i="17" a="1"/>
  <c r="V46" i="17" s="1"/>
  <c r="V47" i="17" a="1"/>
  <c r="V47" i="17" s="1"/>
  <c r="V48" i="17" a="1"/>
  <c r="V48" i="17" s="1"/>
  <c r="V49" i="17" a="1"/>
  <c r="V49" i="17" s="1"/>
  <c r="V129" i="17" a="1"/>
  <c r="V129" i="17" s="1"/>
  <c r="V154" i="17" a="1"/>
  <c r="V154" i="17" s="1"/>
  <c r="V50" i="17" a="1"/>
  <c r="V50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130" i="17" a="1"/>
  <c r="V130" i="17" s="1"/>
  <c r="V155" i="17" a="1"/>
  <c r="V155" i="17" s="1"/>
  <c r="V56" i="17" a="1"/>
  <c r="V56" i="17" s="1"/>
  <c r="V57" i="17" a="1"/>
  <c r="V57" i="17"/>
  <c r="V58" i="17" a="1"/>
  <c r="V58" i="17" s="1"/>
  <c r="V59" i="17" a="1"/>
  <c r="V59" i="17" s="1"/>
  <c r="V60" i="17" a="1"/>
  <c r="V60" i="17" s="1"/>
  <c r="V61" i="17" a="1"/>
  <c r="V61" i="17" s="1"/>
  <c r="V131" i="17" a="1"/>
  <c r="V131" i="17" s="1"/>
  <c r="V156" i="17" a="1"/>
  <c r="V156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132" i="17" a="1"/>
  <c r="V132" i="17" s="1"/>
  <c r="V157" i="17" a="1"/>
  <c r="V157" i="17" s="1"/>
  <c r="V68" i="17" a="1"/>
  <c r="V68" i="17" s="1"/>
  <c r="V69" i="17" a="1"/>
  <c r="V69" i="17" s="1"/>
  <c r="V70" i="17" a="1"/>
  <c r="V70" i="17" s="1"/>
  <c r="V71" i="17" a="1"/>
  <c r="V71" i="17" s="1"/>
  <c r="V72" i="17" a="1"/>
  <c r="V72" i="17" s="1"/>
  <c r="V73" i="17" a="1"/>
  <c r="V73" i="17" s="1"/>
  <c r="V133" i="17" a="1"/>
  <c r="V133" i="17" s="1"/>
  <c r="V158" i="17" a="1"/>
  <c r="V158" i="17" s="1"/>
  <c r="V74" i="17" a="1"/>
  <c r="V74" i="17" s="1"/>
  <c r="V75" i="17" a="1"/>
  <c r="V75" i="17"/>
  <c r="V76" i="17" a="1"/>
  <c r="V76" i="17" s="1"/>
  <c r="V77" i="17" a="1"/>
  <c r="V77" i="17" s="1"/>
  <c r="V78" i="17" a="1"/>
  <c r="V78" i="17" s="1"/>
  <c r="V79" i="17" a="1"/>
  <c r="V79" i="17" s="1"/>
  <c r="V134" i="17" a="1"/>
  <c r="V134" i="17" s="1"/>
  <c r="V159" i="17" a="1"/>
  <c r="V159" i="17" s="1"/>
  <c r="V80" i="17" a="1"/>
  <c r="V80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V135" i="17" a="1"/>
  <c r="V135" i="17" s="1"/>
  <c r="V160" i="17" a="1"/>
  <c r="V160" i="17" s="1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 s="1"/>
  <c r="V136" i="17" a="1"/>
  <c r="V136" i="17" s="1"/>
  <c r="V161" i="17" a="1"/>
  <c r="V161" i="17" s="1"/>
  <c r="V92" i="17" a="1"/>
  <c r="V92" i="17" s="1"/>
  <c r="V93" i="17" a="1"/>
  <c r="V93" i="17"/>
  <c r="V94" i="17" a="1"/>
  <c r="V94" i="17" s="1"/>
  <c r="V95" i="17" a="1"/>
  <c r="V95" i="17" s="1"/>
  <c r="V96" i="17" a="1"/>
  <c r="V96" i="17" s="1"/>
  <c r="V97" i="17" a="1"/>
  <c r="V97" i="17" s="1"/>
  <c r="V137" i="17" a="1"/>
  <c r="V137" i="17" s="1"/>
  <c r="V162" i="17" a="1"/>
  <c r="V162" i="17" s="1"/>
  <c r="V98" i="17" a="1"/>
  <c r="V98" i="17" s="1"/>
  <c r="V99" i="17" a="1"/>
  <c r="V99" i="17" s="1"/>
  <c r="V100" i="17" a="1"/>
  <c r="V100" i="17" s="1"/>
  <c r="V101" i="17" a="1"/>
  <c r="V101" i="17" s="1"/>
  <c r="V102" i="17" a="1"/>
  <c r="V102" i="17" s="1"/>
  <c r="V103" i="17" a="1"/>
  <c r="V103" i="17" s="1"/>
  <c r="V138" i="17" a="1"/>
  <c r="V138" i="17" s="1"/>
  <c r="V163" i="17" a="1"/>
  <c r="V163" i="17" s="1"/>
  <c r="V139" i="17" a="1"/>
  <c r="V139" i="17" s="1"/>
  <c r="V104" i="17" a="1"/>
  <c r="V104" i="17"/>
  <c r="V105" i="17" a="1"/>
  <c r="V105" i="17" s="1"/>
  <c r="V106" i="17" a="1"/>
  <c r="V106" i="17" s="1"/>
  <c r="V107" i="17" a="1"/>
  <c r="V107" i="17" s="1"/>
  <c r="V108" i="17" a="1"/>
  <c r="V108" i="17" s="1"/>
  <c r="V109" i="17" a="1"/>
  <c r="V109" i="17" s="1"/>
  <c r="V140" i="17" a="1"/>
  <c r="V140" i="17" s="1"/>
  <c r="V164" i="17" a="1"/>
  <c r="V164" i="17" s="1"/>
  <c r="V110" i="17" a="1"/>
  <c r="V110" i="17" s="1"/>
  <c r="V111" i="17" a="1"/>
  <c r="V111" i="17" s="1"/>
  <c r="V112" i="17" a="1"/>
  <c r="V112" i="17" s="1"/>
  <c r="V113" i="17" a="1"/>
  <c r="V113" i="17" s="1"/>
  <c r="V114" i="17" a="1"/>
  <c r="V114" i="17" s="1"/>
  <c r="V115" i="17" a="1"/>
  <c r="V115" i="17" s="1"/>
  <c r="V141" i="17" a="1"/>
  <c r="V141" i="17" s="1"/>
  <c r="V165" i="17" a="1"/>
  <c r="V165" i="17" s="1"/>
  <c r="V116" i="17" a="1"/>
  <c r="V116" i="17" s="1"/>
  <c r="V117" i="17" a="1"/>
  <c r="V117" i="17" s="1"/>
  <c r="V118" i="17" a="1"/>
  <c r="V118" i="17" s="1"/>
  <c r="V119" i="17" a="1"/>
  <c r="V119" i="17" s="1"/>
  <c r="V120" i="17" a="1"/>
  <c r="V120" i="17" s="1"/>
  <c r="V121" i="17" a="1"/>
  <c r="V121" i="17" s="1"/>
  <c r="V142" i="17" a="1"/>
  <c r="V142" i="17" s="1"/>
  <c r="V166" i="17" a="1"/>
  <c r="V166" i="17" s="1"/>
  <c r="X2" i="17" a="1"/>
  <c r="X2" i="17"/>
  <c r="X3" i="17" a="1"/>
  <c r="X3" i="17" s="1"/>
  <c r="X4" i="17" a="1"/>
  <c r="X4" i="17" s="1"/>
  <c r="Y4" i="17" s="1"/>
  <c r="Q4" i="17" s="1"/>
  <c r="W4" i="17" s="1"/>
  <c r="X5" i="17" a="1"/>
  <c r="X5" i="17" s="1"/>
  <c r="X6" i="17" a="1"/>
  <c r="X6" i="17" s="1"/>
  <c r="Y6" i="17" s="1"/>
  <c r="Q6" i="17" s="1"/>
  <c r="W6" i="17" s="1"/>
  <c r="X7" i="17" a="1"/>
  <c r="X7" i="17" s="1"/>
  <c r="X122" i="17" a="1"/>
  <c r="X122" i="17" s="1"/>
  <c r="Y122" i="17" s="1"/>
  <c r="Q122" i="17" s="1"/>
  <c r="W122" i="17" s="1"/>
  <c r="X147" i="17" a="1"/>
  <c r="X147" i="17" s="1"/>
  <c r="X8" i="17" a="1"/>
  <c r="X8" i="17" s="1"/>
  <c r="Y8" i="17" s="1"/>
  <c r="Q8" i="17" s="1"/>
  <c r="W8" i="17" s="1"/>
  <c r="X9" i="17" a="1"/>
  <c r="X9" i="17" s="1"/>
  <c r="X10" i="17" a="1"/>
  <c r="X10" i="17" s="1"/>
  <c r="Y10" i="17" s="1"/>
  <c r="Q10" i="17" s="1"/>
  <c r="W10" i="17" s="1"/>
  <c r="X11" i="17" a="1"/>
  <c r="X11" i="17" s="1"/>
  <c r="X12" i="17" a="1"/>
  <c r="X12" i="17" s="1"/>
  <c r="Y12" i="17" s="1"/>
  <c r="Q12" i="17" s="1"/>
  <c r="W12" i="17" s="1"/>
  <c r="X13" i="17" a="1"/>
  <c r="X13" i="17" s="1"/>
  <c r="X123" i="17" a="1"/>
  <c r="X123" i="17" s="1"/>
  <c r="Y123" i="17" s="1"/>
  <c r="Q123" i="17" s="1"/>
  <c r="W123" i="17" s="1"/>
  <c r="X148" i="17" a="1"/>
  <c r="X148" i="17" s="1"/>
  <c r="X14" i="17" a="1"/>
  <c r="X14" i="17" s="1"/>
  <c r="Y14" i="17" s="1"/>
  <c r="Q14" i="17" s="1"/>
  <c r="W14" i="17" s="1"/>
  <c r="X15" i="17" a="1"/>
  <c r="X15" i="17" s="1"/>
  <c r="X16" i="17" a="1"/>
  <c r="X16" i="17" s="1"/>
  <c r="Y16" i="17" s="1"/>
  <c r="Q16" i="17" s="1"/>
  <c r="W16" i="17" s="1"/>
  <c r="X17" i="17" a="1"/>
  <c r="X17" i="17" s="1"/>
  <c r="X18" i="17" a="1"/>
  <c r="X18" i="17" s="1"/>
  <c r="Y18" i="17" s="1"/>
  <c r="Q18" i="17" s="1"/>
  <c r="W18" i="17" s="1"/>
  <c r="X19" i="17" a="1"/>
  <c r="X19" i="17" s="1"/>
  <c r="X124" i="17" a="1"/>
  <c r="X124" i="17" s="1"/>
  <c r="Y124" i="17" s="1"/>
  <c r="Q124" i="17" s="1"/>
  <c r="W124" i="17" s="1"/>
  <c r="X149" i="17" a="1"/>
  <c r="X149" i="17" s="1"/>
  <c r="X20" i="17" a="1"/>
  <c r="X20" i="17" s="1"/>
  <c r="Y20" i="17" s="1"/>
  <c r="Q20" i="17" s="1"/>
  <c r="W20" i="17" s="1"/>
  <c r="X21" i="17" a="1"/>
  <c r="X21" i="17" s="1"/>
  <c r="X22" i="17" a="1"/>
  <c r="X22" i="17" s="1"/>
  <c r="Y22" i="17" s="1"/>
  <c r="Q22" i="17" s="1"/>
  <c r="W22" i="17" s="1"/>
  <c r="X23" i="17" a="1"/>
  <c r="X23" i="17" s="1"/>
  <c r="X24" i="17" a="1"/>
  <c r="X24" i="17" s="1"/>
  <c r="Y24" i="17" s="1"/>
  <c r="Q24" i="17" s="1"/>
  <c r="W24" i="17" s="1"/>
  <c r="X25" i="17" a="1"/>
  <c r="X25" i="17" s="1"/>
  <c r="X125" i="17" a="1"/>
  <c r="X125" i="17" s="1"/>
  <c r="Y125" i="17" s="1"/>
  <c r="Q125" i="17" s="1"/>
  <c r="W125" i="17" s="1"/>
  <c r="X143" i="17" a="1"/>
  <c r="X143" i="17" s="1"/>
  <c r="X144" i="17" a="1"/>
  <c r="X144" i="17" s="1"/>
  <c r="Y144" i="17" s="1"/>
  <c r="Q144" i="17" s="1"/>
  <c r="W144" i="17" s="1"/>
  <c r="X145" i="17" a="1"/>
  <c r="X145" i="17" s="1"/>
  <c r="X146" i="17" a="1"/>
  <c r="X146" i="17" s="1"/>
  <c r="Y146" i="17" s="1"/>
  <c r="Q146" i="17" s="1"/>
  <c r="W146" i="17" s="1"/>
  <c r="X150" i="17" a="1"/>
  <c r="X150" i="17" s="1"/>
  <c r="X26" i="17" a="1"/>
  <c r="X26" i="17" s="1"/>
  <c r="Y26" i="17" s="1"/>
  <c r="Q26" i="17" s="1"/>
  <c r="W26" i="17" s="1"/>
  <c r="X27" i="17" a="1"/>
  <c r="X27" i="17" s="1"/>
  <c r="X28" i="17" a="1"/>
  <c r="X28" i="17" s="1"/>
  <c r="Y28" i="17" s="1"/>
  <c r="Q28" i="17" s="1"/>
  <c r="W28" i="17" s="1"/>
  <c r="X29" i="17" a="1"/>
  <c r="X29" i="17" s="1"/>
  <c r="X30" i="17" a="1"/>
  <c r="X30" i="17"/>
  <c r="X31" i="17" a="1"/>
  <c r="X31" i="17" s="1"/>
  <c r="X126" i="17" a="1"/>
  <c r="X126" i="17" s="1"/>
  <c r="Y126" i="17" s="1"/>
  <c r="Q126" i="17" s="1"/>
  <c r="W126" i="17" s="1"/>
  <c r="X151" i="17" a="1"/>
  <c r="X151" i="17" s="1"/>
  <c r="X32" i="17" a="1"/>
  <c r="X32" i="17" s="1"/>
  <c r="Y32" i="17" s="1"/>
  <c r="Q32" i="17" s="1"/>
  <c r="W32" i="17" s="1"/>
  <c r="X33" i="17" a="1"/>
  <c r="X33" i="17" s="1"/>
  <c r="X34" i="17" a="1"/>
  <c r="X34" i="17" s="1"/>
  <c r="Y34" i="17" s="1"/>
  <c r="Q34" i="17" s="1"/>
  <c r="W34" i="17" s="1"/>
  <c r="X35" i="17" a="1"/>
  <c r="X35" i="17" s="1"/>
  <c r="X36" i="17" a="1"/>
  <c r="X36" i="17" s="1"/>
  <c r="Y36" i="17" s="1"/>
  <c r="Q36" i="17" s="1"/>
  <c r="W36" i="17" s="1"/>
  <c r="X37" i="17" a="1"/>
  <c r="X37" i="17" s="1"/>
  <c r="X127" i="17" a="1"/>
  <c r="X127" i="17" s="1"/>
  <c r="Y127" i="17" s="1"/>
  <c r="Q127" i="17" s="1"/>
  <c r="W127" i="17" s="1"/>
  <c r="X152" i="17" a="1"/>
  <c r="X152" i="17" s="1"/>
  <c r="X38" i="17" a="1"/>
  <c r="X38" i="17" s="1"/>
  <c r="Y38" i="17" s="1"/>
  <c r="Q38" i="17" s="1"/>
  <c r="W38" i="17" s="1"/>
  <c r="X39" i="17" a="1"/>
  <c r="X39" i="17" s="1"/>
  <c r="X40" i="17" a="1"/>
  <c r="X40" i="17" s="1"/>
  <c r="Y40" i="17" s="1"/>
  <c r="Q40" i="17" s="1"/>
  <c r="W40" i="17" s="1"/>
  <c r="X41" i="17" a="1"/>
  <c r="X41" i="17" s="1"/>
  <c r="X42" i="17" a="1"/>
  <c r="X42" i="17" s="1"/>
  <c r="Y42" i="17" s="1"/>
  <c r="Q42" i="17" s="1"/>
  <c r="W42" i="17" s="1"/>
  <c r="X43" i="17" a="1"/>
  <c r="X43" i="17" s="1"/>
  <c r="X128" i="17" a="1"/>
  <c r="X128" i="17" s="1"/>
  <c r="Y128" i="17" s="1"/>
  <c r="Q128" i="17" s="1"/>
  <c r="W128" i="17" s="1"/>
  <c r="X153" i="17" a="1"/>
  <c r="X153" i="17" s="1"/>
  <c r="X44" i="17" a="1"/>
  <c r="X44" i="17" s="1"/>
  <c r="Y44" i="17" s="1"/>
  <c r="Q44" i="17" s="1"/>
  <c r="W44" i="17" s="1"/>
  <c r="X45" i="17" a="1"/>
  <c r="X45" i="17" s="1"/>
  <c r="X46" i="17" a="1"/>
  <c r="X46" i="17" s="1"/>
  <c r="Y46" i="17" s="1"/>
  <c r="Q46" i="17" s="1"/>
  <c r="W46" i="17" s="1"/>
  <c r="X47" i="17" a="1"/>
  <c r="X47" i="17" s="1"/>
  <c r="X48" i="17" a="1"/>
  <c r="X48" i="17" s="1"/>
  <c r="Y48" i="17" s="1"/>
  <c r="Q48" i="17" s="1"/>
  <c r="W48" i="17" s="1"/>
  <c r="X49" i="17" a="1"/>
  <c r="X49" i="17" s="1"/>
  <c r="X129" i="17" a="1"/>
  <c r="X129" i="17" s="1"/>
  <c r="Y129" i="17" s="1"/>
  <c r="Q129" i="17" s="1"/>
  <c r="W129" i="17" s="1"/>
  <c r="X154" i="17" a="1"/>
  <c r="X154" i="17" s="1"/>
  <c r="X50" i="17" a="1"/>
  <c r="X50" i="17" s="1"/>
  <c r="Y50" i="17" s="1"/>
  <c r="Q50" i="17" s="1"/>
  <c r="W50" i="17" s="1"/>
  <c r="X51" i="17" a="1"/>
  <c r="X51" i="17" s="1"/>
  <c r="X52" i="17" a="1"/>
  <c r="X52" i="17" s="1"/>
  <c r="Y52" i="17" s="1"/>
  <c r="Q52" i="17" s="1"/>
  <c r="W52" i="17" s="1"/>
  <c r="X53" i="17" a="1"/>
  <c r="X53" i="17" s="1"/>
  <c r="X54" i="17" a="1"/>
  <c r="X54" i="17" s="1"/>
  <c r="Y54" i="17" s="1"/>
  <c r="Q54" i="17" s="1"/>
  <c r="W54" i="17" s="1"/>
  <c r="X55" i="17" a="1"/>
  <c r="X55" i="17" s="1"/>
  <c r="X130" i="17" a="1"/>
  <c r="X130" i="17"/>
  <c r="X155" i="17" a="1"/>
  <c r="X155" i="17" s="1"/>
  <c r="X56" i="17" a="1"/>
  <c r="X56" i="17" s="1"/>
  <c r="Y56" i="17" s="1"/>
  <c r="Q56" i="17" s="1"/>
  <c r="W56" i="17" s="1"/>
  <c r="X57" i="17" a="1"/>
  <c r="X57" i="17" s="1"/>
  <c r="X58" i="17" a="1"/>
  <c r="X58" i="17" s="1"/>
  <c r="Y58" i="17" s="1"/>
  <c r="Q58" i="17" s="1"/>
  <c r="W58" i="17" s="1"/>
  <c r="X59" i="17" a="1"/>
  <c r="X59" i="17" s="1"/>
  <c r="X60" i="17" a="1"/>
  <c r="X60" i="17" s="1"/>
  <c r="Y60" i="17" s="1"/>
  <c r="Q60" i="17" s="1"/>
  <c r="W60" i="17" s="1"/>
  <c r="X61" i="17" a="1"/>
  <c r="X61" i="17" s="1"/>
  <c r="X131" i="17" a="1"/>
  <c r="X131" i="17" s="1"/>
  <c r="Y131" i="17" s="1"/>
  <c r="Q131" i="17" s="1"/>
  <c r="W131" i="17" s="1"/>
  <c r="X156" i="17" a="1"/>
  <c r="X156" i="17" s="1"/>
  <c r="X62" i="17" a="1"/>
  <c r="X62" i="17" s="1"/>
  <c r="Y62" i="17" s="1"/>
  <c r="Q62" i="17" s="1"/>
  <c r="W62" i="17" s="1"/>
  <c r="X63" i="17" a="1"/>
  <c r="X63" i="17" s="1"/>
  <c r="X64" i="17" a="1"/>
  <c r="X64" i="17" s="1"/>
  <c r="Y64" i="17" s="1"/>
  <c r="Q64" i="17" s="1"/>
  <c r="W64" i="17" s="1"/>
  <c r="X65" i="17" a="1"/>
  <c r="X65" i="17" s="1"/>
  <c r="X66" i="17" a="1"/>
  <c r="X66" i="17" s="1"/>
  <c r="Y66" i="17" s="1"/>
  <c r="Q66" i="17" s="1"/>
  <c r="W66" i="17" s="1"/>
  <c r="X67" i="17" a="1"/>
  <c r="X67" i="17" s="1"/>
  <c r="X132" i="17" a="1"/>
  <c r="X132" i="17"/>
  <c r="X157" i="17" a="1"/>
  <c r="X157" i="17" s="1"/>
  <c r="X68" i="17" a="1"/>
  <c r="X68" i="17" s="1"/>
  <c r="Y68" i="17" s="1"/>
  <c r="Q68" i="17" s="1"/>
  <c r="W68" i="17" s="1"/>
  <c r="X69" i="17" a="1"/>
  <c r="X69" i="17" s="1"/>
  <c r="X70" i="17" a="1"/>
  <c r="X70" i="17" s="1"/>
  <c r="Y70" i="17" s="1"/>
  <c r="Q70" i="17" s="1"/>
  <c r="W70" i="17" s="1"/>
  <c r="X71" i="17" a="1"/>
  <c r="X71" i="17" s="1"/>
  <c r="X72" i="17" a="1"/>
  <c r="X72" i="17" s="1"/>
  <c r="Y72" i="17" s="1"/>
  <c r="Q72" i="17" s="1"/>
  <c r="W72" i="17" s="1"/>
  <c r="X73" i="17" a="1"/>
  <c r="X73" i="17" s="1"/>
  <c r="X133" i="17" a="1"/>
  <c r="X133" i="17" s="1"/>
  <c r="Y133" i="17" s="1"/>
  <c r="Q133" i="17" s="1"/>
  <c r="W133" i="17" s="1"/>
  <c r="X158" i="17" a="1"/>
  <c r="X158" i="17" s="1"/>
  <c r="X74" i="17" a="1"/>
  <c r="X74" i="17" s="1"/>
  <c r="Y74" i="17" s="1"/>
  <c r="Q74" i="17" s="1"/>
  <c r="W74" i="17" s="1"/>
  <c r="X75" i="17" a="1"/>
  <c r="X75" i="17" s="1"/>
  <c r="X76" i="17" a="1"/>
  <c r="X76" i="17" s="1"/>
  <c r="Y76" i="17" s="1"/>
  <c r="Q76" i="17" s="1"/>
  <c r="W76" i="17" s="1"/>
  <c r="X77" i="17" a="1"/>
  <c r="X77" i="17" s="1"/>
  <c r="X78" i="17" a="1"/>
  <c r="X78" i="17" s="1"/>
  <c r="Y78" i="17" s="1"/>
  <c r="Q78" i="17" s="1"/>
  <c r="W78" i="17" s="1"/>
  <c r="X79" i="17" a="1"/>
  <c r="X79" i="17" s="1"/>
  <c r="X134" i="17" a="1"/>
  <c r="X134" i="17" s="1"/>
  <c r="Y134" i="17" s="1"/>
  <c r="Q134" i="17" s="1"/>
  <c r="W134" i="17" s="1"/>
  <c r="X159" i="17" a="1"/>
  <c r="X159" i="17" s="1"/>
  <c r="X80" i="17" a="1"/>
  <c r="X80" i="17" s="1"/>
  <c r="Y80" i="17" s="1"/>
  <c r="Q80" i="17" s="1"/>
  <c r="W80" i="17" s="1"/>
  <c r="X81" i="17" a="1"/>
  <c r="X81" i="17" s="1"/>
  <c r="X82" i="17" a="1"/>
  <c r="X82" i="17" s="1"/>
  <c r="Y82" i="17" s="1"/>
  <c r="Q82" i="17" s="1"/>
  <c r="W82" i="17" s="1"/>
  <c r="X83" i="17" a="1"/>
  <c r="X83" i="17" s="1"/>
  <c r="Y83" i="17" s="1"/>
  <c r="Q83" i="17" s="1"/>
  <c r="W83" i="17" s="1"/>
  <c r="X84" i="17" a="1"/>
  <c r="X84" i="17" s="1"/>
  <c r="Y84" i="17" s="1"/>
  <c r="Q84" i="17" s="1"/>
  <c r="W84" i="17" s="1"/>
  <c r="X85" i="17" a="1"/>
  <c r="X85" i="17" s="1"/>
  <c r="Y85" i="17" s="1"/>
  <c r="Q85" i="17" s="1"/>
  <c r="W85" i="17" s="1"/>
  <c r="X135" i="17" a="1"/>
  <c r="X135" i="17" s="1"/>
  <c r="Y135" i="17" s="1"/>
  <c r="Q135" i="17" s="1"/>
  <c r="W135" i="17" s="1"/>
  <c r="X160" i="17" a="1"/>
  <c r="X160" i="17" s="1"/>
  <c r="Y160" i="17" s="1"/>
  <c r="Q160" i="17" s="1"/>
  <c r="W160" i="17" s="1"/>
  <c r="X86" i="17" a="1"/>
  <c r="X86" i="17" s="1"/>
  <c r="Y86" i="17" s="1"/>
  <c r="Q86" i="17" s="1"/>
  <c r="W86" i="17" s="1"/>
  <c r="X87" i="17" a="1"/>
  <c r="X87" i="17" s="1"/>
  <c r="Y87" i="17" s="1"/>
  <c r="X88" i="17" a="1"/>
  <c r="X88" i="17" s="1"/>
  <c r="Y88" i="17" s="1"/>
  <c r="Q88" i="17" s="1"/>
  <c r="W88" i="17" s="1"/>
  <c r="X89" i="17" a="1"/>
  <c r="X89" i="17" s="1"/>
  <c r="Y89" i="17" s="1"/>
  <c r="Q89" i="17" s="1"/>
  <c r="W89" i="17" s="1"/>
  <c r="X90" i="17" a="1"/>
  <c r="X90" i="17" s="1"/>
  <c r="Y90" i="17" s="1"/>
  <c r="Q90" i="17" s="1"/>
  <c r="W90" i="17" s="1"/>
  <c r="X91" i="17" a="1"/>
  <c r="X91" i="17" s="1"/>
  <c r="Y91" i="17" s="1"/>
  <c r="Q91" i="17" s="1"/>
  <c r="W91" i="17" s="1"/>
  <c r="X136" i="17" a="1"/>
  <c r="X136" i="17" s="1"/>
  <c r="Y136" i="17" s="1"/>
  <c r="Q136" i="17" s="1"/>
  <c r="W136" i="17" s="1"/>
  <c r="X161" i="17" a="1"/>
  <c r="X161" i="17" s="1"/>
  <c r="Y161" i="17" s="1"/>
  <c r="Q161" i="17" s="1"/>
  <c r="W161" i="17" s="1"/>
  <c r="X92" i="17" a="1"/>
  <c r="X92" i="17" s="1"/>
  <c r="Y92" i="17" s="1"/>
  <c r="Q92" i="17" s="1"/>
  <c r="W92" i="17" s="1"/>
  <c r="X93" i="17" a="1"/>
  <c r="X93" i="17" s="1"/>
  <c r="Y93" i="17" s="1"/>
  <c r="X94" i="17" a="1"/>
  <c r="X94" i="17" s="1"/>
  <c r="Y94" i="17" s="1"/>
  <c r="Q94" i="17" s="1"/>
  <c r="W94" i="17" s="1"/>
  <c r="X95" i="17" a="1"/>
  <c r="X95" i="17" s="1"/>
  <c r="Y95" i="17" s="1"/>
  <c r="Q95" i="17" s="1"/>
  <c r="W95" i="17" s="1"/>
  <c r="X96" i="17" a="1"/>
  <c r="X96" i="17" s="1"/>
  <c r="Y96" i="17" s="1"/>
  <c r="Q96" i="17" s="1"/>
  <c r="W96" i="17" s="1"/>
  <c r="X97" i="17" a="1"/>
  <c r="X97" i="17" s="1"/>
  <c r="Y97" i="17" s="1"/>
  <c r="Q97" i="17" s="1"/>
  <c r="W97" i="17" s="1"/>
  <c r="X137" i="17" a="1"/>
  <c r="X137" i="17" s="1"/>
  <c r="Y137" i="17" s="1"/>
  <c r="Q137" i="17" s="1"/>
  <c r="W137" i="17" s="1"/>
  <c r="X162" i="17" a="1"/>
  <c r="X162" i="17" s="1"/>
  <c r="Y162" i="17" s="1"/>
  <c r="Q162" i="17" s="1"/>
  <c r="W162" i="17" s="1"/>
  <c r="X98" i="17" a="1"/>
  <c r="X98" i="17" s="1"/>
  <c r="Y98" i="17" s="1"/>
  <c r="Q98" i="17" s="1"/>
  <c r="W98" i="17" s="1"/>
  <c r="X99" i="17" a="1"/>
  <c r="X99" i="17" s="1"/>
  <c r="Y99" i="17" s="1"/>
  <c r="X100" i="17" a="1"/>
  <c r="X100" i="17" s="1"/>
  <c r="Y100" i="17" s="1"/>
  <c r="Q100" i="17" s="1"/>
  <c r="W100" i="17" s="1"/>
  <c r="X101" i="17" a="1"/>
  <c r="X101" i="17" s="1"/>
  <c r="Y101" i="17" s="1"/>
  <c r="Q101" i="17" s="1"/>
  <c r="W101" i="17" s="1"/>
  <c r="X102" i="17" a="1"/>
  <c r="X102" i="17" s="1"/>
  <c r="Y102" i="17" s="1"/>
  <c r="Q102" i="17" s="1"/>
  <c r="W102" i="17" s="1"/>
  <c r="X103" i="17" a="1"/>
  <c r="X103" i="17" s="1"/>
  <c r="Y103" i="17" s="1"/>
  <c r="Q103" i="17" s="1"/>
  <c r="W103" i="17" s="1"/>
  <c r="X138" i="17" a="1"/>
  <c r="X138" i="17" s="1"/>
  <c r="Y138" i="17" s="1"/>
  <c r="Q138" i="17" s="1"/>
  <c r="W138" i="17" s="1"/>
  <c r="X163" i="17" a="1"/>
  <c r="X163" i="17" s="1"/>
  <c r="Y163" i="17" s="1"/>
  <c r="Q163" i="17" s="1"/>
  <c r="W163" i="17" s="1"/>
  <c r="X139" i="17" a="1"/>
  <c r="X139" i="17" s="1"/>
  <c r="Y139" i="17" s="1"/>
  <c r="Q139" i="17" s="1"/>
  <c r="W139" i="17" s="1"/>
  <c r="X104" i="17" a="1"/>
  <c r="X104" i="17" s="1"/>
  <c r="Y104" i="17" s="1"/>
  <c r="Q104" i="17" s="1"/>
  <c r="W104" i="17" s="1"/>
  <c r="X105" i="17" a="1"/>
  <c r="X105" i="17" s="1"/>
  <c r="Y105" i="17" s="1"/>
  <c r="Q105" i="17" s="1"/>
  <c r="W105" i="17" s="1"/>
  <c r="X106" i="17" a="1"/>
  <c r="X106" i="17" s="1"/>
  <c r="Y106" i="17" s="1"/>
  <c r="Q106" i="17" s="1"/>
  <c r="W106" i="17" s="1"/>
  <c r="X107" i="17" a="1"/>
  <c r="X107" i="17" s="1"/>
  <c r="Y107" i="17" s="1"/>
  <c r="Q107" i="17" s="1"/>
  <c r="W107" i="17" s="1"/>
  <c r="X108" i="17" a="1"/>
  <c r="X108" i="17" s="1"/>
  <c r="Y108" i="17" s="1"/>
  <c r="Q108" i="17" s="1"/>
  <c r="W108" i="17" s="1"/>
  <c r="X109" i="17" a="1"/>
  <c r="X109" i="17" s="1"/>
  <c r="Y109" i="17" s="1"/>
  <c r="Q109" i="17" s="1"/>
  <c r="W109" i="17" s="1"/>
  <c r="X140" i="17" a="1"/>
  <c r="X140" i="17" s="1"/>
  <c r="Y140" i="17" s="1"/>
  <c r="Q140" i="17" s="1"/>
  <c r="W140" i="17" s="1"/>
  <c r="X164" i="17" a="1"/>
  <c r="X164" i="17" s="1"/>
  <c r="Y164" i="17" s="1"/>
  <c r="Q164" i="17" s="1"/>
  <c r="W164" i="17" s="1"/>
  <c r="X110" i="17" a="1"/>
  <c r="X110" i="17" s="1"/>
  <c r="Y110" i="17" s="1"/>
  <c r="X111" i="17" a="1"/>
  <c r="X111" i="17" s="1"/>
  <c r="Y111" i="17" s="1"/>
  <c r="Q111" i="17" s="1"/>
  <c r="W111" i="17" s="1"/>
  <c r="X112" i="17" a="1"/>
  <c r="X112" i="17" s="1"/>
  <c r="Y112" i="17" s="1"/>
  <c r="Q112" i="17" s="1"/>
  <c r="W112" i="17" s="1"/>
  <c r="X113" i="17" a="1"/>
  <c r="X113" i="17" s="1"/>
  <c r="Y113" i="17" s="1"/>
  <c r="Q113" i="17" s="1"/>
  <c r="W113" i="17" s="1"/>
  <c r="X114" i="17" a="1"/>
  <c r="X114" i="17" s="1"/>
  <c r="Y114" i="17" s="1"/>
  <c r="Q114" i="17" s="1"/>
  <c r="W114" i="17" s="1"/>
  <c r="X115" i="17" a="1"/>
  <c r="X115" i="17" s="1"/>
  <c r="Y115" i="17" s="1"/>
  <c r="Q115" i="17" s="1"/>
  <c r="W115" i="17" s="1"/>
  <c r="X141" i="17" a="1"/>
  <c r="X141" i="17" s="1"/>
  <c r="Y141" i="17" s="1"/>
  <c r="Q141" i="17" s="1"/>
  <c r="W141" i="17" s="1"/>
  <c r="X165" i="17" a="1"/>
  <c r="X165" i="17" s="1"/>
  <c r="Y165" i="17" s="1"/>
  <c r="Q165" i="17" s="1"/>
  <c r="W165" i="17" s="1"/>
  <c r="X116" i="17" a="1"/>
  <c r="X116" i="17" s="1"/>
  <c r="Y116" i="17" s="1"/>
  <c r="X117" i="17" a="1"/>
  <c r="X117" i="17" s="1"/>
  <c r="Y117" i="17" s="1"/>
  <c r="Q117" i="17" s="1"/>
  <c r="W117" i="17" s="1"/>
  <c r="X118" i="17" a="1"/>
  <c r="X118" i="17" s="1"/>
  <c r="Y118" i="17" s="1"/>
  <c r="Q118" i="17" s="1"/>
  <c r="W118" i="17" s="1"/>
  <c r="X119" i="17" a="1"/>
  <c r="X119" i="17" s="1"/>
  <c r="Y119" i="17" s="1"/>
  <c r="Q119" i="17" s="1"/>
  <c r="W119" i="17" s="1"/>
  <c r="X120" i="17" a="1"/>
  <c r="X120" i="17" s="1"/>
  <c r="Y120" i="17" s="1"/>
  <c r="Q120" i="17" s="1"/>
  <c r="W120" i="17" s="1"/>
  <c r="X121" i="17" a="1"/>
  <c r="X121" i="17" s="1"/>
  <c r="Y121" i="17" s="1"/>
  <c r="Q121" i="17" s="1"/>
  <c r="W121" i="17" s="1"/>
  <c r="X142" i="17" a="1"/>
  <c r="X142" i="17" s="1"/>
  <c r="Y142" i="17" s="1"/>
  <c r="Q142" i="17" s="1"/>
  <c r="W142" i="17" s="1"/>
  <c r="X166" i="17" a="1"/>
  <c r="X166" i="17" s="1"/>
  <c r="Y166" i="17" s="1"/>
  <c r="Q166" i="17" s="1"/>
  <c r="W166" i="17" s="1"/>
  <c r="Y2" i="17"/>
  <c r="Y3" i="17"/>
  <c r="Q3" i="17" s="1"/>
  <c r="W3" i="17" s="1"/>
  <c r="Y5" i="17"/>
  <c r="Q5" i="17" s="1"/>
  <c r="W5" i="17" s="1"/>
  <c r="Y7" i="17"/>
  <c r="Y147" i="17"/>
  <c r="Q147" i="17" s="1"/>
  <c r="W147" i="17" s="1"/>
  <c r="Y9" i="17"/>
  <c r="Q9" i="17" s="1"/>
  <c r="W9" i="17" s="1"/>
  <c r="Y11" i="17"/>
  <c r="Q11" i="17" s="1"/>
  <c r="W11" i="17" s="1"/>
  <c r="Y13" i="17"/>
  <c r="Q13" i="17" s="1"/>
  <c r="W13" i="17" s="1"/>
  <c r="Y148" i="17"/>
  <c r="Q148" i="17" s="1"/>
  <c r="W148" i="17" s="1"/>
  <c r="Y15" i="17"/>
  <c r="Q15" i="17" s="1"/>
  <c r="W15" i="17" s="1"/>
  <c r="Y17" i="17"/>
  <c r="Q17" i="17" s="1"/>
  <c r="W17" i="17" s="1"/>
  <c r="Y19" i="17"/>
  <c r="Y149" i="17"/>
  <c r="Q149" i="17" s="1"/>
  <c r="W149" i="17" s="1"/>
  <c r="Y21" i="17"/>
  <c r="Q21" i="17" s="1"/>
  <c r="W21" i="17" s="1"/>
  <c r="Y23" i="17"/>
  <c r="Q23" i="17" s="1"/>
  <c r="W23" i="17" s="1"/>
  <c r="Y25" i="17"/>
  <c r="Y143" i="17"/>
  <c r="Q143" i="17" s="1"/>
  <c r="W143" i="17" s="1"/>
  <c r="Y145" i="17"/>
  <c r="Q145" i="17" s="1"/>
  <c r="W145" i="17" s="1"/>
  <c r="Y150" i="17"/>
  <c r="Q150" i="17" s="1"/>
  <c r="W150" i="17" s="1"/>
  <c r="Y27" i="17"/>
  <c r="Y29" i="17"/>
  <c r="Q29" i="17" s="1"/>
  <c r="W29" i="17" s="1"/>
  <c r="Y30" i="17"/>
  <c r="Q30" i="17" s="1"/>
  <c r="W30" i="17" s="1"/>
  <c r="Y31" i="17"/>
  <c r="Q31" i="17" s="1"/>
  <c r="W31" i="17" s="1"/>
  <c r="Y151" i="17"/>
  <c r="Q151" i="17" s="1"/>
  <c r="W151" i="17" s="1"/>
  <c r="Y33" i="17"/>
  <c r="Y35" i="17"/>
  <c r="Q35" i="17" s="1"/>
  <c r="W35" i="17" s="1"/>
  <c r="Y37" i="17"/>
  <c r="Q37" i="17" s="1"/>
  <c r="W37" i="17" s="1"/>
  <c r="Y152" i="17"/>
  <c r="Q152" i="17" s="1"/>
  <c r="W152" i="17" s="1"/>
  <c r="Y39" i="17"/>
  <c r="Y41" i="17"/>
  <c r="Q41" i="17" s="1"/>
  <c r="W41" i="17" s="1"/>
  <c r="Y43" i="17"/>
  <c r="Q43" i="17" s="1"/>
  <c r="W43" i="17" s="1"/>
  <c r="Y153" i="17"/>
  <c r="Q153" i="17" s="1"/>
  <c r="W153" i="17" s="1"/>
  <c r="Y45" i="17"/>
  <c r="Y47" i="17"/>
  <c r="Q47" i="17" s="1"/>
  <c r="W47" i="17" s="1"/>
  <c r="Y49" i="17"/>
  <c r="Q49" i="17" s="1"/>
  <c r="W49" i="17" s="1"/>
  <c r="Y154" i="17"/>
  <c r="Q154" i="17" s="1"/>
  <c r="W154" i="17" s="1"/>
  <c r="Y51" i="17"/>
  <c r="Y53" i="17"/>
  <c r="Q53" i="17" s="1"/>
  <c r="W53" i="17" s="1"/>
  <c r="Y55" i="17"/>
  <c r="Q55" i="17" s="1"/>
  <c r="W55" i="17" s="1"/>
  <c r="Y130" i="17"/>
  <c r="Q130" i="17" s="1"/>
  <c r="W130" i="17" s="1"/>
  <c r="Y155" i="17"/>
  <c r="Q155" i="17" s="1"/>
  <c r="W155" i="17" s="1"/>
  <c r="Y57" i="17"/>
  <c r="Q57" i="17" s="1"/>
  <c r="W57" i="17" s="1"/>
  <c r="Y59" i="17"/>
  <c r="Q59" i="17" s="1"/>
  <c r="W59" i="17" s="1"/>
  <c r="Y61" i="17"/>
  <c r="Q61" i="17" s="1"/>
  <c r="W61" i="17" s="1"/>
  <c r="Y156" i="17"/>
  <c r="Q156" i="17" s="1"/>
  <c r="W156" i="17" s="1"/>
  <c r="Y63" i="17"/>
  <c r="Y65" i="17"/>
  <c r="Q65" i="17" s="1"/>
  <c r="W65" i="17" s="1"/>
  <c r="Y67" i="17"/>
  <c r="Q67" i="17" s="1"/>
  <c r="W67" i="17" s="1"/>
  <c r="Y132" i="17"/>
  <c r="Q132" i="17" s="1"/>
  <c r="W132" i="17" s="1"/>
  <c r="Y157" i="17"/>
  <c r="Q157" i="17" s="1"/>
  <c r="W157" i="17" s="1"/>
  <c r="Y69" i="17"/>
  <c r="Y71" i="17"/>
  <c r="Q71" i="17" s="1"/>
  <c r="W71" i="17" s="1"/>
  <c r="Y73" i="17"/>
  <c r="Q73" i="17" s="1"/>
  <c r="W73" i="17" s="1"/>
  <c r="Y158" i="17"/>
  <c r="Q158" i="17" s="1"/>
  <c r="W158" i="17" s="1"/>
  <c r="Y75" i="17"/>
  <c r="Y77" i="17"/>
  <c r="Q77" i="17" s="1"/>
  <c r="W77" i="17" s="1"/>
  <c r="Y79" i="17"/>
  <c r="Q79" i="17" s="1"/>
  <c r="W79" i="17" s="1"/>
  <c r="Y159" i="17"/>
  <c r="Q159" i="17" s="1"/>
  <c r="W159" i="17" s="1"/>
  <c r="Y81" i="17"/>
  <c r="Q81" i="17" s="1"/>
  <c r="W81" i="17" s="1"/>
  <c r="G2" i="16"/>
  <c r="N7" i="20" l="1"/>
  <c r="N3" i="20"/>
  <c r="R230" i="18"/>
  <c r="U230" i="18" s="1"/>
  <c r="R216" i="18"/>
  <c r="U216" i="18" s="1"/>
  <c r="R212" i="18"/>
  <c r="U212" i="18" s="1"/>
  <c r="R198" i="18"/>
  <c r="U198" i="18" s="1"/>
  <c r="R184" i="18"/>
  <c r="U184" i="18" s="1"/>
  <c r="R180" i="18"/>
  <c r="U180" i="18" s="1"/>
  <c r="R166" i="18"/>
  <c r="U166" i="18" s="1"/>
  <c r="R152" i="18"/>
  <c r="U152" i="18" s="1"/>
  <c r="R148" i="18"/>
  <c r="U148" i="18" s="1"/>
  <c r="R222" i="18"/>
  <c r="U222" i="18" s="1"/>
  <c r="R208" i="18"/>
  <c r="U208" i="18" s="1"/>
  <c r="R204" i="18"/>
  <c r="U204" i="18" s="1"/>
  <c r="R190" i="18"/>
  <c r="U190" i="18" s="1"/>
  <c r="R176" i="18"/>
  <c r="U176" i="18" s="1"/>
  <c r="R172" i="18"/>
  <c r="U172" i="18" s="1"/>
  <c r="R158" i="18"/>
  <c r="U158" i="18" s="1"/>
  <c r="R232" i="18"/>
  <c r="U232" i="18" s="1"/>
  <c r="R228" i="18"/>
  <c r="U228" i="18" s="1"/>
  <c r="R214" i="18"/>
  <c r="U214" i="18" s="1"/>
  <c r="R200" i="18"/>
  <c r="U200" i="18" s="1"/>
  <c r="R196" i="18"/>
  <c r="U196" i="18" s="1"/>
  <c r="R182" i="18"/>
  <c r="U182" i="18" s="1"/>
  <c r="R168" i="18"/>
  <c r="U168" i="18" s="1"/>
  <c r="R164" i="18"/>
  <c r="U164" i="18" s="1"/>
  <c r="R150" i="18"/>
  <c r="U150" i="18" s="1"/>
  <c r="R224" i="18"/>
  <c r="U224" i="18" s="1"/>
  <c r="R220" i="18"/>
  <c r="U220" i="18" s="1"/>
  <c r="R206" i="18"/>
  <c r="U206" i="18" s="1"/>
  <c r="R192" i="18"/>
  <c r="U192" i="18" s="1"/>
  <c r="R188" i="18"/>
  <c r="U188" i="18" s="1"/>
  <c r="R174" i="18"/>
  <c r="U174" i="18" s="1"/>
  <c r="R160" i="18"/>
  <c r="U160" i="18" s="1"/>
  <c r="R156" i="18"/>
  <c r="U156" i="18" s="1"/>
  <c r="Q19" i="17"/>
  <c r="W19" i="17" s="1"/>
  <c r="Q110" i="17"/>
  <c r="W110" i="17" s="1"/>
  <c r="Q87" i="17"/>
  <c r="W87" i="17" s="1"/>
  <c r="N147" i="17" a="1"/>
  <c r="N147" i="17" s="1"/>
  <c r="N4" i="17" a="1"/>
  <c r="N4" i="17" s="1"/>
  <c r="Q33" i="17"/>
  <c r="W33" i="17" s="1"/>
  <c r="Q39" i="17"/>
  <c r="W39" i="17" s="1"/>
  <c r="Q63" i="17"/>
  <c r="W63" i="17" s="1"/>
  <c r="Q116" i="17"/>
  <c r="W116" i="17" s="1"/>
  <c r="Q99" i="17"/>
  <c r="W99" i="17" s="1"/>
  <c r="Q93" i="17"/>
  <c r="W93" i="17" s="1"/>
  <c r="Q75" i="17"/>
  <c r="W75" i="17" s="1"/>
  <c r="Q51" i="17"/>
  <c r="W51" i="17" s="1"/>
  <c r="Q27" i="17"/>
  <c r="W27" i="17" s="1"/>
  <c r="Q7" i="17"/>
  <c r="W7" i="17" s="1"/>
  <c r="N2" i="17" a="1"/>
  <c r="N2" i="17" s="1"/>
  <c r="Q2" i="17"/>
  <c r="W2" i="17" s="1"/>
  <c r="Q45" i="17"/>
  <c r="W45" i="17" s="1"/>
  <c r="Q25" i="17"/>
  <c r="W25" i="17" s="1"/>
  <c r="N123" i="17" a="1"/>
  <c r="N123" i="17" s="1"/>
  <c r="N5" i="17" a="1"/>
  <c r="N5" i="17" s="1"/>
  <c r="Q69" i="17"/>
  <c r="W69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nesto\OneDrive - Universidad de la Sabana\universidad\2025-1\simulación\puntos del taller\422 pacientesseguimiento\seguimiento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nesto\OneDrive - Universidad de la Sabana\universidad\2025-1\simulación\puntos del taller\422 pacientesseguimiento\seguimiento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nesto\OneDrive - Universidad de la Sabana\universidad\2025-1\simulación\puntos del taller\422 pacientesseguimiento\seguimiento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nesto\OneDrive - Universidad de la Sabana\universidad\2025-1\simulación\puntos del taller\422 pacientesseguimiento\seguimiento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nesto\OneDrive - Universidad de la Sabana\universidad\2025-1\simulación\puntos del taller\422 pacientesseguimiento\seguimiento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nesto\OneDrive - Universidad de la Sabana\universidad\2025-1\simulación\puntos del taller\422 pacientesseguimiento\seguimiento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<sst xmlns="http://schemas.openxmlformats.org/spreadsheetml/2006/main" count="3778" uniqueCount="117">
  <si>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</si>
  <si>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</si>
  <si>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</si>
  <si>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</si>
  <si>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</si>
  <si>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</si>
  <si>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</si>
  <si>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</si>
  <si>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</si>
  <si>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</si>
  <si>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</si>
  <si>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</si>
  <si>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</si>
  <si>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</si>
  <si>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</si>
  <si>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</si>
  <si>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</si>
  <si>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</si>
  <si>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</si>
  <si>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</si>
  <si>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</si>
  <si>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</si>
  <si>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</si>
  <si>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</si>
  <si>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</si>
  <si>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</si>
  <si>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</si>
  <si>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</si>
  <si>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</si>
  <si>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</si>
  <si>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</si>
  <si>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</si>
  <si>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</si>
  <si>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</si>
  <si>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</si>
  <si>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</si>
  <si>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</si>
  <si>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</si>
  <si>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</si>
  <si>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</si>
  <si>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</si>
  <si>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</si>
  <si>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</si>
  <si>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</si>
  <si>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</si>
  <si>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</si>
  <si>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</si>
  <si>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</si>
  <si>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</si>
  <si>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</si>
  <si>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</si>
  <si>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</si>
  <si>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</si>
  <si>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</si>
  <si>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</si>
  <si>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</si>
  <si>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</si>
  <si>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</si>
  <si>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</si>
  <si>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</si>
  <si>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</si>
  <si>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</si>
  <si>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</si>
  <si>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</si>
  <si>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</si>
  <si>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</si>
  <si>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</si>
  <si>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IncludeOption</t>
  </si>
  <si>
    <t>Escenario A</t>
  </si>
  <si>
    <t>C:\Users\nesto\OneDrive - Universidad de la Sabana\Universidad\2025-1\Simulación\Puntos del taller\422 pacientesSeguimiento\Seguimiento.p</t>
  </si>
  <si>
    <t>2025-05-22 11:26:30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</si>
  <si>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</si>
  <si>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</si>
  <si>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</si>
  <si>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</si>
  <si>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</si>
  <si>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</si>
  <si>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</si>
  <si>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</si>
  <si>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Ocupar enfermea.Queue</t>
  </si>
  <si>
    <t>Waiting Time</t>
  </si>
  <si>
    <t>Queue</t>
  </si>
  <si>
    <t>TiempoSistema</t>
  </si>
  <si>
    <t>Interval</t>
  </si>
  <si>
    <t>User Specified</t>
  </si>
  <si>
    <t>Seguimiemto</t>
  </si>
  <si>
    <t>Total Time Per Entity</t>
  </si>
  <si>
    <t>Process</t>
  </si>
  <si>
    <t>VA Time Per Entity</t>
  </si>
  <si>
    <t>Wait Time Per Entity</t>
  </si>
  <si>
    <t>Seguimiemto.Queue</t>
  </si>
  <si>
    <t>WIP</t>
  </si>
  <si>
    <t>Number Waiting</t>
  </si>
  <si>
    <t>rEnfermera</t>
  </si>
  <si>
    <t>Instantaneous Utilization</t>
  </si>
  <si>
    <t>Resource</t>
  </si>
  <si>
    <t>Number Busy</t>
  </si>
  <si>
    <t>Number Scheduled</t>
  </si>
  <si>
    <t>rSeguimiento</t>
  </si>
  <si>
    <t>Entity 1.NumberIn</t>
  </si>
  <si>
    <t>Number In</t>
  </si>
  <si>
    <t>Entity 1.NumberOut</t>
  </si>
  <si>
    <t>Number Out</t>
  </si>
  <si>
    <t>Seguimiemto Accum VA Time</t>
  </si>
  <si>
    <t>Accum VA Time</t>
  </si>
  <si>
    <t>Seguimiemto Accum Wait Time</t>
  </si>
  <si>
    <t>Accum Wait Time</t>
  </si>
  <si>
    <t>Seguimiemto Number In</t>
  </si>
  <si>
    <t>Seguimiemto Number Out</t>
  </si>
  <si>
    <t>System.NumberOut</t>
  </si>
  <si>
    <t>System</t>
  </si>
  <si>
    <t>rEnfermera.NumberSeized</t>
  </si>
  <si>
    <t>Total Number Seized</t>
  </si>
  <si>
    <t>rEnfermera.ScheduledUtilization</t>
  </si>
  <si>
    <t>Scheduled Utilization</t>
  </si>
  <si>
    <t>rSeguimiento.NumberSeized</t>
  </si>
  <si>
    <t>rSeguimiento.ScheduledUtilization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</si>
</sst>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476913194441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476913310187" createdVersion="7" refreshedVersion="8" minRefreshableVersion="3" recordCount="165" xr:uid="{B84A8B69-002E-494F-8DC0-5D2F7796C835}">
  <cacheSource type="worksheet">
    <worksheetSource name="DiscreteStatsTable"/>
  </cacheSource>
  <cacheFields count="25">
    <cacheField name="ProjectName" numFmtId="0">
      <sharedItems containsBlank="1" count="5">
        <s v="Escenario A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27"/>
    </cacheField>
    <cacheField name="Name" numFmtId="0">
      <sharedItems containsBlank="1" count="103">
        <s v="Entity 1"/>
        <s v="Ocupar enfermea.Queue"/>
        <s v="Seguimiemto"/>
        <s v="Seguimiemto.Queue"/>
        <s v="TiempoSistema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s v="Total Time Per Entity"/>
        <s v="VA Time Per Entity"/>
        <s v="Wait Time Per Entity"/>
        <s v="Interval"/>
        <m u="1"/>
      </sharedItems>
    </cacheField>
    <cacheField name="Source" numFmtId="0">
      <sharedItems containsBlank="1" count="5">
        <s v="Entity"/>
        <s v="Queue"/>
        <s v="Process"/>
        <s v="User Specified"/>
        <m u="1"/>
      </sharedItems>
    </cacheField>
    <cacheField name="Average" numFmtId="0">
      <sharedItems containsSemiMixedTypes="0" containsString="0" containsNumber="1" minValue="0" maxValue="19.176092927841601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18.591636099247602"/>
    </cacheField>
    <cacheField name="Maximum" numFmtId="0">
      <sharedItems containsSemiMixedTypes="0" containsString="0" containsNumber="1" minValue="0" maxValue="21.300704209721701"/>
    </cacheField>
    <cacheField name="NumberObservations" numFmtId="0">
      <sharedItems containsSemiMixedTypes="0" containsString="0" containsNumber="1" containsInteger="1" minValue="1" maxValue="5"/>
    </cacheField>
    <cacheField name="GroupByKey" numFmtId="0">
      <sharedItems/>
    </cacheField>
    <cacheField name="RepsRequested" numFmtId="0">
      <sharedItems containsSemiMixedTypes="0" containsString="0" containsNumber="1" containsInteger="1" minValue="27" maxValue="27"/>
    </cacheField>
    <cacheField name="AverageOfAverage" numFmtId="0">
      <sharedItems containsSemiMixedTypes="0" containsString="0" containsNumber="1" minValue="0" maxValue="17.711374161967051"/>
    </cacheField>
    <cacheField name="StDevOfAverage" numFmtId="0">
      <sharedItems containsSemiMixedTypes="0" containsString="0" containsNumber="1" minValue="0" maxValue="0.829095608601327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2E+20"/>
    </cacheField>
    <cacheField name="MinimumAverage" numFmtId="0">
      <sharedItems containsSemiMixedTypes="0" containsString="0" containsNumber="1" minValue="0" maxValue="16.5757914382995"/>
    </cacheField>
    <cacheField name="MaximumAverage" numFmtId="0">
      <sharedItems containsSemiMixedTypes="0" containsString="0" containsNumber="1" minValue="0" maxValue="19.176092927841601"/>
    </cacheField>
    <cacheField name="OverallMinimum" numFmtId="0">
      <sharedItems containsSemiMixedTypes="0" containsString="0" containsNumber="1" minValue="0" maxValue="16.5757914382995"/>
    </cacheField>
    <cacheField name="OverallMaximum" numFmtId="0">
      <sharedItems containsSemiMixedTypes="0" containsString="0" containsNumber="1" minValue="0" maxValue="21.300704209721701"/>
    </cacheField>
    <cacheField name="AverageNumberObservations" numFmtId="0">
      <sharedItems containsSemiMixedTypes="0" containsString="0" containsNumber="1" minValue="1" maxValue="1.6666666666666667"/>
    </cacheField>
    <cacheField name="SummaryHalfWidth" numFmtId="0">
      <sharedItems containsSemiMixedTypes="0" containsString="0" containsNumber="1" minValue="0" maxValue="2E+20"/>
    </cacheField>
    <cacheField name="RepsWithStatObserved" numFmtId="0">
      <sharedItems containsSemiMixedTypes="0" containsString="0" containsNumber="1" containsInteger="1" minValue="1" maxValue="21"/>
    </cacheField>
    <cacheField name="Observed=Requested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476913425926" createdVersion="7" refreshedVersion="8" minRefreshableVersion="3" recordCount="297" xr:uid="{CD99054F-849B-4F05-A210-6C45A1A34EDA}">
  <cacheSource type="worksheet">
    <worksheetSource name="OutputTable"/>
  </cacheSource>
  <cacheFields count="16">
    <cacheField name="ProjectName" numFmtId="0">
      <sharedItems containsBlank="1" count="5">
        <s v="Escenario A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27"/>
    </cacheField>
    <cacheField name="Name" numFmtId="0">
      <sharedItems containsBlank="1" count="87">
        <s v="Entity 1.NumberIn"/>
        <s v="Entity 1.NumberOut"/>
        <s v="Seguimiemto Accum VA Time"/>
        <s v="Seguimiemto Accum Wait Time"/>
        <s v="Seguimiemto Number In"/>
        <s v="Seguimiemto Number Out"/>
        <s v="System.NumberOut"/>
        <s v="rEnfermera.NumberSeized"/>
        <s v="rEnfermera.ScheduledUtilization"/>
        <s v="rSeguimiento.NumberSeized"/>
        <s v="rSeguimiento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Accum VA Time"/>
        <s v="Accum Wait Time"/>
        <s v="Total Number Seized"/>
        <s v="Scheduled Utilization"/>
        <m u="1"/>
      </sharedItems>
    </cacheField>
    <cacheField name="Source" numFmtId="0">
      <sharedItems containsBlank="1" count="5">
        <s v="Entity"/>
        <s v="Process"/>
        <s v="System"/>
        <s v="Resource"/>
        <m u="1"/>
      </sharedItems>
    </cacheField>
    <cacheField name="RecordedValue" numFmtId="0">
      <sharedItems containsSemiMixedTypes="0" containsString="0" containsNumber="1" minValue="0" maxValue="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27" maxValue="27"/>
    </cacheField>
    <cacheField name="Average" numFmtId="0">
      <sharedItems containsSemiMixedTypes="0" containsString="0" containsNumber="1" minValue="0" maxValue="1.2962962962962963"/>
    </cacheField>
    <cacheField name="StandardDeviation" numFmtId="0">
      <sharedItems containsSemiMixedTypes="0" containsString="0" containsNumber="1" minValue="0" maxValue="1.170628194761415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46308509071488152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minValue="0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47691365741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476913888888" createdVersion="7" refreshedVersion="8" minRefreshableVersion="3" recordCount="243" xr:uid="{98BDAE34-4484-421D-B96E-804CE77A1811}">
  <cacheSource type="worksheet">
    <worksheetSource name="ContinuousStatsTable"/>
  </cacheSource>
  <cacheFields count="21">
    <cacheField name="ProjectName" numFmtId="0">
      <sharedItems containsBlank="1" count="5">
        <s v="Escenario A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27"/>
    </cacheField>
    <cacheField name="Name" numFmtId="0">
      <sharedItems containsBlank="1" count="128">
        <s v="Entity 1"/>
        <s v="Ocupar enfermea.Queue"/>
        <s v="Seguimiemto.Queue"/>
        <s v="rEnfermera"/>
        <s v="rSeguimiento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WIP"/>
        <s v="Number Waiting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Entity"/>
        <s v="Queue"/>
        <s v="Resource"/>
        <m u="1"/>
        <s v="User Specified" u="1"/>
      </sharedItems>
    </cacheField>
    <cacheField name="Average" numFmtId="0">
      <sharedItems containsSemiMixedTypes="0" containsString="0" containsNumber="1" minValue="0" maxValue="3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minValue="0" maxValue="3"/>
    </cacheField>
    <cacheField name="LastRecordedValue" numFmtId="0">
      <sharedItems containsSemiMixedTypes="0" containsString="0" containsNumber="1" minValue="0" maxValue="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27" maxValue="27"/>
    </cacheField>
    <cacheField name="AverageOfAverage" numFmtId="0">
      <sharedItems containsSemiMixedTypes="0" containsString="0" containsNumber="1" minValue="0" maxValue="3"/>
    </cacheField>
    <cacheField name="StDevOfAverage" numFmtId="0">
      <sharedItems containsSemiMixedTypes="0" containsString="0" containsNumber="1" minValue="0" maxValue="3.3656336721817545E-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.3314003381859424E-2"/>
    </cacheField>
    <cacheField name="MinimumAverage" numFmtId="0">
      <sharedItems containsSemiMixedTypes="0" containsString="0" containsNumber="1" containsInteger="1" minValue="0" maxValue="3"/>
    </cacheField>
    <cacheField name="MaximumAverage" numFmtId="0">
      <sharedItems containsSemiMixedTypes="0" containsString="0" containsNumber="1" minValue="0" maxValue="3"/>
    </cacheField>
    <cacheField name="SummaryHalfWidth" numFmtId="0">
      <sharedItems containsSemiMixedTypes="0" containsString="0" containsNumber="1" minValue="0" maxValue="1.3314003381859424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5">
  <r>
    <x v="0"/>
    <s v="2025-05-22 11:26:30"/>
    <n v="1"/>
    <x v="0"/>
    <x v="0"/>
    <x v="0"/>
    <n v="0"/>
    <n v="2E+20"/>
    <n v="0"/>
    <n v="0"/>
    <n v="3"/>
    <s v="Escenario AEntity 1NVA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"/>
    <x v="0"/>
    <x v="1"/>
    <x v="0"/>
    <n v="18.886049902007901"/>
    <n v="2E+20"/>
    <n v="18.324527681677498"/>
    <n v="19.4305747859087"/>
    <n v="3"/>
    <s v="Escenario AEntity 1Other TimeEntity"/>
    <n v="27"/>
    <n v="17.668553272104692"/>
    <n v="0.7694340869480476"/>
    <n v="0.95"/>
    <n v="0.36010623748224335"/>
    <n v="16.5757914382995"/>
    <n v="18.979452995869501"/>
    <n v="16.5757914382995"/>
    <n v="19.617131394374798"/>
    <n v="1.6"/>
    <n v="0.36010623748224335"/>
    <n v="20"/>
    <n v="0"/>
  </r>
  <r>
    <x v="0"/>
    <s v="2025-05-22 11:26:30"/>
    <n v="1"/>
    <x v="0"/>
    <x v="2"/>
    <x v="0"/>
    <n v="18.886049902007901"/>
    <n v="2E+20"/>
    <n v="18.324527681677498"/>
    <n v="19.4305747859087"/>
    <n v="3"/>
    <s v="Escenario AEntity 1Total TimeEntity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1"/>
    <x v="0"/>
    <x v="3"/>
    <x v="0"/>
    <n v="0"/>
    <n v="2E+20"/>
    <n v="0"/>
    <n v="0"/>
    <n v="3"/>
    <s v="Escenario AEntity 1Transfer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"/>
    <x v="0"/>
    <x v="4"/>
    <x v="0"/>
    <n v="0"/>
    <n v="2E+20"/>
    <n v="0"/>
    <n v="0"/>
    <n v="3"/>
    <s v="Escenario AEntity 1VA TimeEntity"/>
    <n v="27"/>
    <n v="4.2820889862359948E-2"/>
    <n v="0.19150084117853694"/>
    <n v="0.95"/>
    <n v="8.962515251308828E-2"/>
    <n v="0"/>
    <n v="0.85641779724719902"/>
    <n v="0"/>
    <n v="2.5692533917415998"/>
    <n v="1.6"/>
    <n v="8.962515251308828E-2"/>
    <n v="20"/>
    <n v="0"/>
  </r>
  <r>
    <x v="0"/>
    <s v="2025-05-22 11:26:30"/>
    <n v="1"/>
    <x v="0"/>
    <x v="5"/>
    <x v="0"/>
    <n v="0"/>
    <n v="2E+20"/>
    <n v="0"/>
    <n v="0"/>
    <n v="3"/>
    <s v="Escenario AEntity 1Wait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2"/>
    <x v="0"/>
    <x v="0"/>
    <x v="0"/>
    <n v="0"/>
    <n v="2E+20"/>
    <n v="0"/>
    <n v="0"/>
    <n v="2"/>
    <s v="Escenario AEntity 1NVA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2"/>
    <x v="0"/>
    <x v="1"/>
    <x v="0"/>
    <n v="17.738110381311198"/>
    <n v="2E+20"/>
    <n v="17.493616209112599"/>
    <n v="17.982604553509798"/>
    <n v="2"/>
    <s v="Escenario AEntity 1Other TimeEntity"/>
    <n v="27"/>
    <n v="17.668553272104692"/>
    <n v="0.7694340869480476"/>
    <n v="0.95"/>
    <n v="0.36010623748224335"/>
    <n v="16.5757914382995"/>
    <n v="18.979452995869501"/>
    <n v="16.5757914382995"/>
    <n v="19.617131394374798"/>
    <n v="1.6"/>
    <n v="0.36010623748224335"/>
    <n v="20"/>
    <n v="0"/>
  </r>
  <r>
    <x v="0"/>
    <s v="2025-05-22 11:26:30"/>
    <n v="2"/>
    <x v="0"/>
    <x v="2"/>
    <x v="0"/>
    <n v="17.738110381311198"/>
    <n v="2E+20"/>
    <n v="17.493616209112599"/>
    <n v="17.982604553509798"/>
    <n v="2"/>
    <s v="Escenario AEntity 1Total TimeEntity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2"/>
    <x v="0"/>
    <x v="3"/>
    <x v="0"/>
    <n v="0"/>
    <n v="2E+20"/>
    <n v="0"/>
    <n v="0"/>
    <n v="2"/>
    <s v="Escenario AEntity 1Transfer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2"/>
    <x v="0"/>
    <x v="4"/>
    <x v="0"/>
    <n v="0"/>
    <n v="2E+20"/>
    <n v="0"/>
    <n v="0"/>
    <n v="2"/>
    <s v="Escenario AEntity 1VA TimeEntity"/>
    <n v="27"/>
    <n v="4.2820889862359948E-2"/>
    <n v="0.19150084117853694"/>
    <n v="0.95"/>
    <n v="8.962515251308828E-2"/>
    <n v="0"/>
    <n v="0.85641779724719902"/>
    <n v="0"/>
    <n v="2.5692533917415998"/>
    <n v="1.6"/>
    <n v="8.962515251308828E-2"/>
    <n v="20"/>
    <n v="0"/>
  </r>
  <r>
    <x v="0"/>
    <s v="2025-05-22 11:26:30"/>
    <n v="2"/>
    <x v="0"/>
    <x v="5"/>
    <x v="0"/>
    <n v="0"/>
    <n v="2E+20"/>
    <n v="0"/>
    <n v="0"/>
    <n v="2"/>
    <s v="Escenario AEntity 1Wait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3"/>
    <x v="0"/>
    <x v="0"/>
    <x v="0"/>
    <n v="0"/>
    <n v="2E+20"/>
    <n v="0"/>
    <n v="0"/>
    <n v="1"/>
    <s v="Escenario AEntity 1NVA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3"/>
    <x v="0"/>
    <x v="1"/>
    <x v="0"/>
    <n v="17.523386000474598"/>
    <n v="2E+20"/>
    <n v="17.523386000474598"/>
    <n v="17.523386000474598"/>
    <n v="1"/>
    <s v="Escenario AEntity 1Other TimeEntity"/>
    <n v="27"/>
    <n v="17.668553272104692"/>
    <n v="0.7694340869480476"/>
    <n v="0.95"/>
    <n v="0.36010623748224335"/>
    <n v="16.5757914382995"/>
    <n v="18.979452995869501"/>
    <n v="16.5757914382995"/>
    <n v="19.617131394374798"/>
    <n v="1.6"/>
    <n v="0.36010623748224335"/>
    <n v="20"/>
    <n v="0"/>
  </r>
  <r>
    <x v="0"/>
    <s v="2025-05-22 11:26:30"/>
    <n v="3"/>
    <x v="0"/>
    <x v="2"/>
    <x v="0"/>
    <n v="17.523386000474598"/>
    <n v="2E+20"/>
    <n v="17.523386000474598"/>
    <n v="17.523386000474598"/>
    <n v="1"/>
    <s v="Escenario AEntity 1Total TimeEntity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3"/>
    <x v="0"/>
    <x v="3"/>
    <x v="0"/>
    <n v="0"/>
    <n v="2E+20"/>
    <n v="0"/>
    <n v="0"/>
    <n v="1"/>
    <s v="Escenario AEntity 1Transfer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3"/>
    <x v="0"/>
    <x v="4"/>
    <x v="0"/>
    <n v="0"/>
    <n v="2E+20"/>
    <n v="0"/>
    <n v="0"/>
    <n v="1"/>
    <s v="Escenario AEntity 1VA TimeEntity"/>
    <n v="27"/>
    <n v="4.2820889862359948E-2"/>
    <n v="0.19150084117853694"/>
    <n v="0.95"/>
    <n v="8.962515251308828E-2"/>
    <n v="0"/>
    <n v="0.85641779724719902"/>
    <n v="0"/>
    <n v="2.5692533917415998"/>
    <n v="1.6"/>
    <n v="8.962515251308828E-2"/>
    <n v="20"/>
    <n v="0"/>
  </r>
  <r>
    <x v="0"/>
    <s v="2025-05-22 11:26:30"/>
    <n v="3"/>
    <x v="0"/>
    <x v="5"/>
    <x v="0"/>
    <n v="0"/>
    <n v="2E+20"/>
    <n v="0"/>
    <n v="0"/>
    <n v="1"/>
    <s v="Escenario AEntity 1Wait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4"/>
    <x v="0"/>
    <x v="0"/>
    <x v="0"/>
    <n v="0"/>
    <n v="2E+20"/>
    <n v="0"/>
    <n v="0"/>
    <n v="3"/>
    <s v="Escenario AEntity 1NVA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4"/>
    <x v="0"/>
    <x v="1"/>
    <x v="0"/>
    <n v="18.319675130594401"/>
    <n v="2E+20"/>
    <n v="17.299039419173798"/>
    <n v="18.928535154629301"/>
    <n v="3"/>
    <s v="Escenario AEntity 1Other TimeEntity"/>
    <n v="27"/>
    <n v="17.668553272104692"/>
    <n v="0.7694340869480476"/>
    <n v="0.95"/>
    <n v="0.36010623748224335"/>
    <n v="16.5757914382995"/>
    <n v="18.979452995869501"/>
    <n v="16.5757914382995"/>
    <n v="19.617131394374798"/>
    <n v="1.6"/>
    <n v="0.36010623748224335"/>
    <n v="20"/>
    <n v="0"/>
  </r>
  <r>
    <x v="0"/>
    <s v="2025-05-22 11:26:30"/>
    <n v="4"/>
    <x v="0"/>
    <x v="2"/>
    <x v="0"/>
    <n v="19.176092927841601"/>
    <n v="2E+20"/>
    <n v="17.299039419173798"/>
    <n v="21.300704209721701"/>
    <n v="3"/>
    <s v="Escenario AEntity 1Total TimeEntity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4"/>
    <x v="0"/>
    <x v="3"/>
    <x v="0"/>
    <n v="0"/>
    <n v="2E+20"/>
    <n v="0"/>
    <n v="0"/>
    <n v="3"/>
    <s v="Escenario AEntity 1Transfer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4"/>
    <x v="0"/>
    <x v="4"/>
    <x v="0"/>
    <n v="0.85641779724719902"/>
    <n v="2E+20"/>
    <n v="0"/>
    <n v="2.5692533917415998"/>
    <n v="3"/>
    <s v="Escenario AEntity 1VA TimeEntity"/>
    <n v="27"/>
    <n v="4.2820889862359948E-2"/>
    <n v="0.19150084117853694"/>
    <n v="0.95"/>
    <n v="8.962515251308828E-2"/>
    <n v="0"/>
    <n v="0.85641779724719902"/>
    <n v="0"/>
    <n v="2.5692533917415998"/>
    <n v="1.6"/>
    <n v="8.962515251308828E-2"/>
    <n v="20"/>
    <n v="0"/>
  </r>
  <r>
    <x v="0"/>
    <s v="2025-05-22 11:26:30"/>
    <n v="4"/>
    <x v="0"/>
    <x v="5"/>
    <x v="0"/>
    <n v="0"/>
    <n v="2E+20"/>
    <n v="0"/>
    <n v="0"/>
    <n v="3"/>
    <s v="Escenario AEntity 1Wait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7"/>
    <x v="0"/>
    <x v="0"/>
    <x v="0"/>
    <n v="0"/>
    <n v="2E+20"/>
    <n v="0"/>
    <n v="0"/>
    <n v="1"/>
    <s v="Escenario AEntity 1NVA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7"/>
    <x v="0"/>
    <x v="1"/>
    <x v="0"/>
    <n v="16.8725050194498"/>
    <n v="2E+20"/>
    <n v="16.8725050194498"/>
    <n v="16.8725050194498"/>
    <n v="1"/>
    <s v="Escenario AEntity 1Other TimeEntity"/>
    <n v="27"/>
    <n v="17.668553272104692"/>
    <n v="0.7694340869480476"/>
    <n v="0.95"/>
    <n v="0.36010623748224335"/>
    <n v="16.5757914382995"/>
    <n v="18.979452995869501"/>
    <n v="16.5757914382995"/>
    <n v="19.617131394374798"/>
    <n v="1.6"/>
    <n v="0.36010623748224335"/>
    <n v="20"/>
    <n v="0"/>
  </r>
  <r>
    <x v="0"/>
    <s v="2025-05-22 11:26:30"/>
    <n v="7"/>
    <x v="0"/>
    <x v="2"/>
    <x v="0"/>
    <n v="16.8725050194498"/>
    <n v="2E+20"/>
    <n v="16.8725050194498"/>
    <n v="16.8725050194498"/>
    <n v="1"/>
    <s v="Escenario AEntity 1Total TimeEntity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7"/>
    <x v="0"/>
    <x v="3"/>
    <x v="0"/>
    <n v="0"/>
    <n v="2E+20"/>
    <n v="0"/>
    <n v="0"/>
    <n v="1"/>
    <s v="Escenario AEntity 1Transfer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7"/>
    <x v="0"/>
    <x v="4"/>
    <x v="0"/>
    <n v="0"/>
    <n v="2E+20"/>
    <n v="0"/>
    <n v="0"/>
    <n v="1"/>
    <s v="Escenario AEntity 1VA TimeEntity"/>
    <n v="27"/>
    <n v="4.2820889862359948E-2"/>
    <n v="0.19150084117853694"/>
    <n v="0.95"/>
    <n v="8.962515251308828E-2"/>
    <n v="0"/>
    <n v="0.85641779724719902"/>
    <n v="0"/>
    <n v="2.5692533917415998"/>
    <n v="1.6"/>
    <n v="8.962515251308828E-2"/>
    <n v="20"/>
    <n v="0"/>
  </r>
  <r>
    <x v="0"/>
    <s v="2025-05-22 11:26:30"/>
    <n v="7"/>
    <x v="0"/>
    <x v="5"/>
    <x v="0"/>
    <n v="0"/>
    <n v="2E+20"/>
    <n v="0"/>
    <n v="0"/>
    <n v="1"/>
    <s v="Escenario AEntity 1Wait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8"/>
    <x v="0"/>
    <x v="0"/>
    <x v="0"/>
    <n v="0"/>
    <n v="2E+20"/>
    <n v="0"/>
    <n v="0"/>
    <n v="1"/>
    <s v="Escenario AEntity 1NVA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8"/>
    <x v="0"/>
    <x v="1"/>
    <x v="0"/>
    <n v="16.6739399111169"/>
    <n v="2E+20"/>
    <n v="16.6739399111169"/>
    <n v="16.6739399111169"/>
    <n v="1"/>
    <s v="Escenario AEntity 1Other TimeEntity"/>
    <n v="27"/>
    <n v="17.668553272104692"/>
    <n v="0.7694340869480476"/>
    <n v="0.95"/>
    <n v="0.36010623748224335"/>
    <n v="16.5757914382995"/>
    <n v="18.979452995869501"/>
    <n v="16.5757914382995"/>
    <n v="19.617131394374798"/>
    <n v="1.6"/>
    <n v="0.36010623748224335"/>
    <n v="20"/>
    <n v="0"/>
  </r>
  <r>
    <x v="0"/>
    <s v="2025-05-22 11:26:30"/>
    <n v="8"/>
    <x v="0"/>
    <x v="2"/>
    <x v="0"/>
    <n v="16.6739399111169"/>
    <n v="2E+20"/>
    <n v="16.6739399111169"/>
    <n v="16.6739399111169"/>
    <n v="1"/>
    <s v="Escenario AEntity 1Total TimeEntity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8"/>
    <x v="0"/>
    <x v="3"/>
    <x v="0"/>
    <n v="0"/>
    <n v="2E+20"/>
    <n v="0"/>
    <n v="0"/>
    <n v="1"/>
    <s v="Escenario AEntity 1Transfer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8"/>
    <x v="0"/>
    <x v="4"/>
    <x v="0"/>
    <n v="0"/>
    <n v="2E+20"/>
    <n v="0"/>
    <n v="0"/>
    <n v="1"/>
    <s v="Escenario AEntity 1VA TimeEntity"/>
    <n v="27"/>
    <n v="4.2820889862359948E-2"/>
    <n v="0.19150084117853694"/>
    <n v="0.95"/>
    <n v="8.962515251308828E-2"/>
    <n v="0"/>
    <n v="0.85641779724719902"/>
    <n v="0"/>
    <n v="2.5692533917415998"/>
    <n v="1.6"/>
    <n v="8.962515251308828E-2"/>
    <n v="20"/>
    <n v="0"/>
  </r>
  <r>
    <x v="0"/>
    <s v="2025-05-22 11:26:30"/>
    <n v="8"/>
    <x v="0"/>
    <x v="5"/>
    <x v="0"/>
    <n v="0"/>
    <n v="2E+20"/>
    <n v="0"/>
    <n v="0"/>
    <n v="1"/>
    <s v="Escenario AEntity 1Wait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0"/>
    <x v="0"/>
    <x v="0"/>
    <x v="0"/>
    <n v="0"/>
    <n v="2E+20"/>
    <n v="0"/>
    <n v="0"/>
    <n v="2"/>
    <s v="Escenario AEntity 1NVA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0"/>
    <x v="0"/>
    <x v="1"/>
    <x v="0"/>
    <n v="18.979452995869501"/>
    <n v="2E+20"/>
    <n v="18.3417745973641"/>
    <n v="19.617131394374798"/>
    <n v="2"/>
    <s v="Escenario AEntity 1Other TimeEntity"/>
    <n v="27"/>
    <n v="17.668553272104692"/>
    <n v="0.7694340869480476"/>
    <n v="0.95"/>
    <n v="0.36010623748224335"/>
    <n v="16.5757914382995"/>
    <n v="18.979452995869501"/>
    <n v="16.5757914382995"/>
    <n v="19.617131394374798"/>
    <n v="1.6"/>
    <n v="0.36010623748224335"/>
    <n v="20"/>
    <n v="0"/>
  </r>
  <r>
    <x v="0"/>
    <s v="2025-05-22 11:26:30"/>
    <n v="10"/>
    <x v="0"/>
    <x v="2"/>
    <x v="0"/>
    <n v="18.979452995869501"/>
    <n v="2E+20"/>
    <n v="18.3417745973641"/>
    <n v="19.617131394374798"/>
    <n v="2"/>
    <s v="Escenario AEntity 1Total TimeEntity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10"/>
    <x v="0"/>
    <x v="3"/>
    <x v="0"/>
    <n v="0"/>
    <n v="2E+20"/>
    <n v="0"/>
    <n v="0"/>
    <n v="2"/>
    <s v="Escenario AEntity 1Transfer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0"/>
    <x v="0"/>
    <x v="4"/>
    <x v="0"/>
    <n v="0"/>
    <n v="2E+20"/>
    <n v="0"/>
    <n v="0"/>
    <n v="2"/>
    <s v="Escenario AEntity 1VA TimeEntity"/>
    <n v="27"/>
    <n v="4.2820889862359948E-2"/>
    <n v="0.19150084117853694"/>
    <n v="0.95"/>
    <n v="8.962515251308828E-2"/>
    <n v="0"/>
    <n v="0.85641779724719902"/>
    <n v="0"/>
    <n v="2.5692533917415998"/>
    <n v="1.6"/>
    <n v="8.962515251308828E-2"/>
    <n v="20"/>
    <n v="0"/>
  </r>
  <r>
    <x v="0"/>
    <s v="2025-05-22 11:26:30"/>
    <n v="10"/>
    <x v="0"/>
    <x v="5"/>
    <x v="0"/>
    <n v="0"/>
    <n v="2E+20"/>
    <n v="0"/>
    <n v="0"/>
    <n v="2"/>
    <s v="Escenario AEntity 1Wait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1"/>
    <x v="0"/>
    <x v="0"/>
    <x v="0"/>
    <n v="0"/>
    <n v="2E+20"/>
    <n v="0"/>
    <n v="0"/>
    <n v="1"/>
    <s v="Escenario AEntity 1NVA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1"/>
    <x v="0"/>
    <x v="1"/>
    <x v="0"/>
    <n v="16.693029126386701"/>
    <n v="2E+20"/>
    <n v="16.693029126386701"/>
    <n v="16.693029126386701"/>
    <n v="1"/>
    <s v="Escenario AEntity 1Other TimeEntity"/>
    <n v="27"/>
    <n v="17.668553272104692"/>
    <n v="0.7694340869480476"/>
    <n v="0.95"/>
    <n v="0.36010623748224335"/>
    <n v="16.5757914382995"/>
    <n v="18.979452995869501"/>
    <n v="16.5757914382995"/>
    <n v="19.617131394374798"/>
    <n v="1.6"/>
    <n v="0.36010623748224335"/>
    <n v="20"/>
    <n v="0"/>
  </r>
  <r>
    <x v="0"/>
    <s v="2025-05-22 11:26:30"/>
    <n v="11"/>
    <x v="0"/>
    <x v="2"/>
    <x v="0"/>
    <n v="16.693029126386701"/>
    <n v="2E+20"/>
    <n v="16.693029126386701"/>
    <n v="16.693029126386701"/>
    <n v="1"/>
    <s v="Escenario AEntity 1Total TimeEntity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11"/>
    <x v="0"/>
    <x v="3"/>
    <x v="0"/>
    <n v="0"/>
    <n v="2E+20"/>
    <n v="0"/>
    <n v="0"/>
    <n v="1"/>
    <s v="Escenario AEntity 1Transfer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1"/>
    <x v="0"/>
    <x v="4"/>
    <x v="0"/>
    <n v="0"/>
    <n v="2E+20"/>
    <n v="0"/>
    <n v="0"/>
    <n v="1"/>
    <s v="Escenario AEntity 1VA TimeEntity"/>
    <n v="27"/>
    <n v="4.2820889862359948E-2"/>
    <n v="0.19150084117853694"/>
    <n v="0.95"/>
    <n v="8.962515251308828E-2"/>
    <n v="0"/>
    <n v="0.85641779724719902"/>
    <n v="0"/>
    <n v="2.5692533917415998"/>
    <n v="1.6"/>
    <n v="8.962515251308828E-2"/>
    <n v="20"/>
    <n v="0"/>
  </r>
  <r>
    <x v="0"/>
    <s v="2025-05-22 11:26:30"/>
    <n v="11"/>
    <x v="0"/>
    <x v="5"/>
    <x v="0"/>
    <n v="0"/>
    <n v="2E+20"/>
    <n v="0"/>
    <n v="0"/>
    <n v="1"/>
    <s v="Escenario AEntity 1Wait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2"/>
    <x v="0"/>
    <x v="0"/>
    <x v="0"/>
    <n v="0"/>
    <n v="2E+20"/>
    <n v="0"/>
    <n v="0"/>
    <n v="1"/>
    <s v="Escenario AEntity 1NVA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2"/>
    <x v="0"/>
    <x v="1"/>
    <x v="0"/>
    <n v="18.169635334280699"/>
    <n v="2E+20"/>
    <n v="18.169635334280699"/>
    <n v="18.169635334280699"/>
    <n v="1"/>
    <s v="Escenario AEntity 1Other TimeEntity"/>
    <n v="27"/>
    <n v="17.668553272104692"/>
    <n v="0.7694340869480476"/>
    <n v="0.95"/>
    <n v="0.36010623748224335"/>
    <n v="16.5757914382995"/>
    <n v="18.979452995869501"/>
    <n v="16.5757914382995"/>
    <n v="19.617131394374798"/>
    <n v="1.6"/>
    <n v="0.36010623748224335"/>
    <n v="20"/>
    <n v="0"/>
  </r>
  <r>
    <x v="0"/>
    <s v="2025-05-22 11:26:30"/>
    <n v="12"/>
    <x v="0"/>
    <x v="2"/>
    <x v="0"/>
    <n v="18.169635334280699"/>
    <n v="2E+20"/>
    <n v="18.169635334280699"/>
    <n v="18.169635334280699"/>
    <n v="1"/>
    <s v="Escenario AEntity 1Total TimeEntity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12"/>
    <x v="0"/>
    <x v="3"/>
    <x v="0"/>
    <n v="0"/>
    <n v="2E+20"/>
    <n v="0"/>
    <n v="0"/>
    <n v="1"/>
    <s v="Escenario AEntity 1Transfer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2"/>
    <x v="0"/>
    <x v="4"/>
    <x v="0"/>
    <n v="0"/>
    <n v="2E+20"/>
    <n v="0"/>
    <n v="0"/>
    <n v="1"/>
    <s v="Escenario AEntity 1VA TimeEntity"/>
    <n v="27"/>
    <n v="4.2820889862359948E-2"/>
    <n v="0.19150084117853694"/>
    <n v="0.95"/>
    <n v="8.962515251308828E-2"/>
    <n v="0"/>
    <n v="0.85641779724719902"/>
    <n v="0"/>
    <n v="2.5692533917415998"/>
    <n v="1.6"/>
    <n v="8.962515251308828E-2"/>
    <n v="20"/>
    <n v="0"/>
  </r>
  <r>
    <x v="0"/>
    <s v="2025-05-22 11:26:30"/>
    <n v="12"/>
    <x v="0"/>
    <x v="5"/>
    <x v="0"/>
    <n v="0"/>
    <n v="2E+20"/>
    <n v="0"/>
    <n v="0"/>
    <n v="1"/>
    <s v="Escenario AEntity 1Wait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3"/>
    <x v="0"/>
    <x v="0"/>
    <x v="0"/>
    <n v="0"/>
    <n v="2E+20"/>
    <n v="0"/>
    <n v="0"/>
    <n v="2"/>
    <s v="Escenario AEntity 1NVA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3"/>
    <x v="0"/>
    <x v="1"/>
    <x v="0"/>
    <n v="18.661433463056099"/>
    <n v="2E+20"/>
    <n v="18.591636099247602"/>
    <n v="18.731230826864699"/>
    <n v="2"/>
    <s v="Escenario AEntity 1Other TimeEntity"/>
    <n v="27"/>
    <n v="17.668553272104692"/>
    <n v="0.7694340869480476"/>
    <n v="0.95"/>
    <n v="0.36010623748224335"/>
    <n v="16.5757914382995"/>
    <n v="18.979452995869501"/>
    <n v="16.5757914382995"/>
    <n v="19.617131394374798"/>
    <n v="1.6"/>
    <n v="0.36010623748224335"/>
    <n v="20"/>
    <n v="0"/>
  </r>
  <r>
    <x v="0"/>
    <s v="2025-05-22 11:26:30"/>
    <n v="13"/>
    <x v="0"/>
    <x v="2"/>
    <x v="0"/>
    <n v="18.661433463056099"/>
    <n v="2E+20"/>
    <n v="18.591636099247602"/>
    <n v="18.731230826864699"/>
    <n v="2"/>
    <s v="Escenario AEntity 1Total TimeEntity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13"/>
    <x v="0"/>
    <x v="3"/>
    <x v="0"/>
    <n v="0"/>
    <n v="2E+20"/>
    <n v="0"/>
    <n v="0"/>
    <n v="2"/>
    <s v="Escenario AEntity 1Transfer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3"/>
    <x v="0"/>
    <x v="4"/>
    <x v="0"/>
    <n v="0"/>
    <n v="2E+20"/>
    <n v="0"/>
    <n v="0"/>
    <n v="2"/>
    <s v="Escenario AEntity 1VA TimeEntity"/>
    <n v="27"/>
    <n v="4.2820889862359948E-2"/>
    <n v="0.19150084117853694"/>
    <n v="0.95"/>
    <n v="8.962515251308828E-2"/>
    <n v="0"/>
    <n v="0.85641779724719902"/>
    <n v="0"/>
    <n v="2.5692533917415998"/>
    <n v="1.6"/>
    <n v="8.962515251308828E-2"/>
    <n v="20"/>
    <n v="0"/>
  </r>
  <r>
    <x v="0"/>
    <s v="2025-05-22 11:26:30"/>
    <n v="13"/>
    <x v="0"/>
    <x v="5"/>
    <x v="0"/>
    <n v="0"/>
    <n v="2E+20"/>
    <n v="0"/>
    <n v="0"/>
    <n v="2"/>
    <s v="Escenario AEntity 1Wait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4"/>
    <x v="0"/>
    <x v="0"/>
    <x v="0"/>
    <n v="0"/>
    <n v="2E+20"/>
    <n v="0"/>
    <n v="0"/>
    <n v="1"/>
    <s v="Escenario AEntity 1NVA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4"/>
    <x v="0"/>
    <x v="1"/>
    <x v="0"/>
    <n v="17.067983747803201"/>
    <n v="2E+20"/>
    <n v="17.067983747803201"/>
    <n v="17.067983747803201"/>
    <n v="1"/>
    <s v="Escenario AEntity 1Other TimeEntity"/>
    <n v="27"/>
    <n v="17.668553272104692"/>
    <n v="0.7694340869480476"/>
    <n v="0.95"/>
    <n v="0.36010623748224335"/>
    <n v="16.5757914382995"/>
    <n v="18.979452995869501"/>
    <n v="16.5757914382995"/>
    <n v="19.617131394374798"/>
    <n v="1.6"/>
    <n v="0.36010623748224335"/>
    <n v="20"/>
    <n v="0"/>
  </r>
  <r>
    <x v="0"/>
    <s v="2025-05-22 11:26:30"/>
    <n v="14"/>
    <x v="0"/>
    <x v="2"/>
    <x v="0"/>
    <n v="17.067983747803201"/>
    <n v="2E+20"/>
    <n v="17.067983747803201"/>
    <n v="17.067983747803201"/>
    <n v="1"/>
    <s v="Escenario AEntity 1Total TimeEntity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14"/>
    <x v="0"/>
    <x v="3"/>
    <x v="0"/>
    <n v="0"/>
    <n v="2E+20"/>
    <n v="0"/>
    <n v="0"/>
    <n v="1"/>
    <s v="Escenario AEntity 1Transfer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4"/>
    <x v="0"/>
    <x v="4"/>
    <x v="0"/>
    <n v="0"/>
    <n v="2E+20"/>
    <n v="0"/>
    <n v="0"/>
    <n v="1"/>
    <s v="Escenario AEntity 1VA TimeEntity"/>
    <n v="27"/>
    <n v="4.2820889862359948E-2"/>
    <n v="0.19150084117853694"/>
    <n v="0.95"/>
    <n v="8.962515251308828E-2"/>
    <n v="0"/>
    <n v="0.85641779724719902"/>
    <n v="0"/>
    <n v="2.5692533917415998"/>
    <n v="1.6"/>
    <n v="8.962515251308828E-2"/>
    <n v="20"/>
    <n v="0"/>
  </r>
  <r>
    <x v="0"/>
    <s v="2025-05-22 11:26:30"/>
    <n v="14"/>
    <x v="0"/>
    <x v="5"/>
    <x v="0"/>
    <n v="0"/>
    <n v="2E+20"/>
    <n v="0"/>
    <n v="0"/>
    <n v="1"/>
    <s v="Escenario AEntity 1Wait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5"/>
    <x v="0"/>
    <x v="0"/>
    <x v="0"/>
    <n v="0"/>
    <n v="2E+20"/>
    <n v="0"/>
    <n v="0"/>
    <n v="1"/>
    <s v="Escenario AEntity 1NVA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5"/>
    <x v="0"/>
    <x v="1"/>
    <x v="0"/>
    <n v="17.311578823887501"/>
    <n v="2E+20"/>
    <n v="17.311578823887501"/>
    <n v="17.311578823887501"/>
    <n v="1"/>
    <s v="Escenario AEntity 1Other TimeEntity"/>
    <n v="27"/>
    <n v="17.668553272104692"/>
    <n v="0.7694340869480476"/>
    <n v="0.95"/>
    <n v="0.36010623748224335"/>
    <n v="16.5757914382995"/>
    <n v="18.979452995869501"/>
    <n v="16.5757914382995"/>
    <n v="19.617131394374798"/>
    <n v="1.6"/>
    <n v="0.36010623748224335"/>
    <n v="20"/>
    <n v="0"/>
  </r>
  <r>
    <x v="0"/>
    <s v="2025-05-22 11:26:30"/>
    <n v="15"/>
    <x v="0"/>
    <x v="2"/>
    <x v="0"/>
    <n v="17.311578823887501"/>
    <n v="2E+20"/>
    <n v="17.311578823887501"/>
    <n v="17.311578823887501"/>
    <n v="1"/>
    <s v="Escenario AEntity 1Total TimeEntity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15"/>
    <x v="0"/>
    <x v="3"/>
    <x v="0"/>
    <n v="0"/>
    <n v="2E+20"/>
    <n v="0"/>
    <n v="0"/>
    <n v="1"/>
    <s v="Escenario AEntity 1Transfer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5"/>
    <x v="0"/>
    <x v="4"/>
    <x v="0"/>
    <n v="0"/>
    <n v="2E+20"/>
    <n v="0"/>
    <n v="0"/>
    <n v="1"/>
    <s v="Escenario AEntity 1VA TimeEntity"/>
    <n v="27"/>
    <n v="4.2820889862359948E-2"/>
    <n v="0.19150084117853694"/>
    <n v="0.95"/>
    <n v="8.962515251308828E-2"/>
    <n v="0"/>
    <n v="0.85641779724719902"/>
    <n v="0"/>
    <n v="2.5692533917415998"/>
    <n v="1.6"/>
    <n v="8.962515251308828E-2"/>
    <n v="20"/>
    <n v="0"/>
  </r>
  <r>
    <x v="0"/>
    <s v="2025-05-22 11:26:30"/>
    <n v="15"/>
    <x v="0"/>
    <x v="5"/>
    <x v="0"/>
    <n v="0"/>
    <n v="2E+20"/>
    <n v="0"/>
    <n v="0"/>
    <n v="1"/>
    <s v="Escenario AEntity 1Wait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7"/>
    <x v="0"/>
    <x v="0"/>
    <x v="0"/>
    <n v="0"/>
    <n v="2E+20"/>
    <n v="0"/>
    <n v="0"/>
    <n v="1"/>
    <s v="Escenario AEntity 1NVA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7"/>
    <x v="0"/>
    <x v="1"/>
    <x v="0"/>
    <n v="17.761626703940699"/>
    <n v="2E+20"/>
    <n v="17.761626703940699"/>
    <n v="17.761626703940699"/>
    <n v="1"/>
    <s v="Escenario AEntity 1Other TimeEntity"/>
    <n v="27"/>
    <n v="17.668553272104692"/>
    <n v="0.7694340869480476"/>
    <n v="0.95"/>
    <n v="0.36010623748224335"/>
    <n v="16.5757914382995"/>
    <n v="18.979452995869501"/>
    <n v="16.5757914382995"/>
    <n v="19.617131394374798"/>
    <n v="1.6"/>
    <n v="0.36010623748224335"/>
    <n v="20"/>
    <n v="0"/>
  </r>
  <r>
    <x v="0"/>
    <s v="2025-05-22 11:26:30"/>
    <n v="17"/>
    <x v="0"/>
    <x v="2"/>
    <x v="0"/>
    <n v="17.761626703940699"/>
    <n v="2E+20"/>
    <n v="17.761626703940699"/>
    <n v="17.761626703940699"/>
    <n v="1"/>
    <s v="Escenario AEntity 1Total TimeEntity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17"/>
    <x v="0"/>
    <x v="3"/>
    <x v="0"/>
    <n v="0"/>
    <n v="2E+20"/>
    <n v="0"/>
    <n v="0"/>
    <n v="1"/>
    <s v="Escenario AEntity 1Transfer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7"/>
    <x v="0"/>
    <x v="4"/>
    <x v="0"/>
    <n v="0"/>
    <n v="2E+20"/>
    <n v="0"/>
    <n v="0"/>
    <n v="1"/>
    <s v="Escenario AEntity 1VA TimeEntity"/>
    <n v="27"/>
    <n v="4.2820889862359948E-2"/>
    <n v="0.19150084117853694"/>
    <n v="0.95"/>
    <n v="8.962515251308828E-2"/>
    <n v="0"/>
    <n v="0.85641779724719902"/>
    <n v="0"/>
    <n v="2.5692533917415998"/>
    <n v="1.6"/>
    <n v="8.962515251308828E-2"/>
    <n v="20"/>
    <n v="0"/>
  </r>
  <r>
    <x v="0"/>
    <s v="2025-05-22 11:26:30"/>
    <n v="17"/>
    <x v="0"/>
    <x v="5"/>
    <x v="0"/>
    <n v="0"/>
    <n v="2E+20"/>
    <n v="0"/>
    <n v="0"/>
    <n v="1"/>
    <s v="Escenario AEntity 1Wait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8"/>
    <x v="0"/>
    <x v="0"/>
    <x v="0"/>
    <n v="0"/>
    <n v="2E+20"/>
    <n v="0"/>
    <n v="0"/>
    <n v="1"/>
    <s v="Escenario AEntity 1NVA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8"/>
    <x v="0"/>
    <x v="1"/>
    <x v="0"/>
    <n v="17.4562839593588"/>
    <n v="2E+20"/>
    <n v="17.4562839593588"/>
    <n v="17.4562839593588"/>
    <n v="1"/>
    <s v="Escenario AEntity 1Other TimeEntity"/>
    <n v="27"/>
    <n v="17.668553272104692"/>
    <n v="0.7694340869480476"/>
    <n v="0.95"/>
    <n v="0.36010623748224335"/>
    <n v="16.5757914382995"/>
    <n v="18.979452995869501"/>
    <n v="16.5757914382995"/>
    <n v="19.617131394374798"/>
    <n v="1.6"/>
    <n v="0.36010623748224335"/>
    <n v="20"/>
    <n v="0"/>
  </r>
  <r>
    <x v="0"/>
    <s v="2025-05-22 11:26:30"/>
    <n v="18"/>
    <x v="0"/>
    <x v="2"/>
    <x v="0"/>
    <n v="17.4562839593588"/>
    <n v="2E+20"/>
    <n v="17.4562839593588"/>
    <n v="17.4562839593588"/>
    <n v="1"/>
    <s v="Escenario AEntity 1Total TimeEntity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18"/>
    <x v="0"/>
    <x v="3"/>
    <x v="0"/>
    <n v="0"/>
    <n v="2E+20"/>
    <n v="0"/>
    <n v="0"/>
    <n v="1"/>
    <s v="Escenario AEntity 1Transfer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8"/>
    <x v="0"/>
    <x v="4"/>
    <x v="0"/>
    <n v="0"/>
    <n v="2E+20"/>
    <n v="0"/>
    <n v="0"/>
    <n v="1"/>
    <s v="Escenario AEntity 1VA TimeEntity"/>
    <n v="27"/>
    <n v="4.2820889862359948E-2"/>
    <n v="0.19150084117853694"/>
    <n v="0.95"/>
    <n v="8.962515251308828E-2"/>
    <n v="0"/>
    <n v="0.85641779724719902"/>
    <n v="0"/>
    <n v="2.5692533917415998"/>
    <n v="1.6"/>
    <n v="8.962515251308828E-2"/>
    <n v="20"/>
    <n v="0"/>
  </r>
  <r>
    <x v="0"/>
    <s v="2025-05-22 11:26:30"/>
    <n v="18"/>
    <x v="0"/>
    <x v="5"/>
    <x v="0"/>
    <n v="0"/>
    <n v="2E+20"/>
    <n v="0"/>
    <n v="0"/>
    <n v="1"/>
    <s v="Escenario AEntity 1Wait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9"/>
    <x v="0"/>
    <x v="0"/>
    <x v="0"/>
    <n v="0"/>
    <n v="2E+20"/>
    <n v="0"/>
    <n v="0"/>
    <n v="1"/>
    <s v="Escenario AEntity 1NVA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9"/>
    <x v="0"/>
    <x v="1"/>
    <x v="0"/>
    <n v="16.950650950040099"/>
    <n v="2E+20"/>
    <n v="16.950650950040099"/>
    <n v="16.950650950040099"/>
    <n v="1"/>
    <s v="Escenario AEntity 1Other TimeEntity"/>
    <n v="27"/>
    <n v="17.668553272104692"/>
    <n v="0.7694340869480476"/>
    <n v="0.95"/>
    <n v="0.36010623748224335"/>
    <n v="16.5757914382995"/>
    <n v="18.979452995869501"/>
    <n v="16.5757914382995"/>
    <n v="19.617131394374798"/>
    <n v="1.6"/>
    <n v="0.36010623748224335"/>
    <n v="20"/>
    <n v="0"/>
  </r>
  <r>
    <x v="0"/>
    <s v="2025-05-22 11:26:30"/>
    <n v="19"/>
    <x v="0"/>
    <x v="2"/>
    <x v="0"/>
    <n v="16.950650950040099"/>
    <n v="2E+20"/>
    <n v="16.950650950040099"/>
    <n v="16.950650950040099"/>
    <n v="1"/>
    <s v="Escenario AEntity 1Total TimeEntity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19"/>
    <x v="0"/>
    <x v="3"/>
    <x v="0"/>
    <n v="0"/>
    <n v="2E+20"/>
    <n v="0"/>
    <n v="0"/>
    <n v="1"/>
    <s v="Escenario AEntity 1Transfer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9"/>
    <x v="0"/>
    <x v="4"/>
    <x v="0"/>
    <n v="0"/>
    <n v="2E+20"/>
    <n v="0"/>
    <n v="0"/>
    <n v="1"/>
    <s v="Escenario AEntity 1VA TimeEntity"/>
    <n v="27"/>
    <n v="4.2820889862359948E-2"/>
    <n v="0.19150084117853694"/>
    <n v="0.95"/>
    <n v="8.962515251308828E-2"/>
    <n v="0"/>
    <n v="0.85641779724719902"/>
    <n v="0"/>
    <n v="2.5692533917415998"/>
    <n v="1.6"/>
    <n v="8.962515251308828E-2"/>
    <n v="20"/>
    <n v="0"/>
  </r>
  <r>
    <x v="0"/>
    <s v="2025-05-22 11:26:30"/>
    <n v="19"/>
    <x v="0"/>
    <x v="5"/>
    <x v="0"/>
    <n v="0"/>
    <n v="2E+20"/>
    <n v="0"/>
    <n v="0"/>
    <n v="1"/>
    <s v="Escenario AEntity 1Wait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20"/>
    <x v="0"/>
    <x v="0"/>
    <x v="0"/>
    <n v="0"/>
    <n v="2E+20"/>
    <n v="0"/>
    <n v="0"/>
    <n v="1"/>
    <s v="Escenario AEntity 1NVA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20"/>
    <x v="0"/>
    <x v="1"/>
    <x v="0"/>
    <n v="17.079311801843598"/>
    <n v="2E+20"/>
    <n v="17.079311801843598"/>
    <n v="17.079311801843598"/>
    <n v="1"/>
    <s v="Escenario AEntity 1Other TimeEntity"/>
    <n v="27"/>
    <n v="17.668553272104692"/>
    <n v="0.7694340869480476"/>
    <n v="0.95"/>
    <n v="0.36010623748224335"/>
    <n v="16.5757914382995"/>
    <n v="18.979452995869501"/>
    <n v="16.5757914382995"/>
    <n v="19.617131394374798"/>
    <n v="1.6"/>
    <n v="0.36010623748224335"/>
    <n v="20"/>
    <n v="0"/>
  </r>
  <r>
    <x v="0"/>
    <s v="2025-05-22 11:26:30"/>
    <n v="20"/>
    <x v="0"/>
    <x v="2"/>
    <x v="0"/>
    <n v="17.079311801843598"/>
    <n v="2E+20"/>
    <n v="17.079311801843598"/>
    <n v="17.079311801843598"/>
    <n v="1"/>
    <s v="Escenario AEntity 1Total TimeEntity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20"/>
    <x v="0"/>
    <x v="3"/>
    <x v="0"/>
    <n v="0"/>
    <n v="2E+20"/>
    <n v="0"/>
    <n v="0"/>
    <n v="1"/>
    <s v="Escenario AEntity 1Transfer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20"/>
    <x v="0"/>
    <x v="4"/>
    <x v="0"/>
    <n v="0"/>
    <n v="2E+20"/>
    <n v="0"/>
    <n v="0"/>
    <n v="1"/>
    <s v="Escenario AEntity 1VA TimeEntity"/>
    <n v="27"/>
    <n v="4.2820889862359948E-2"/>
    <n v="0.19150084117853694"/>
    <n v="0.95"/>
    <n v="8.962515251308828E-2"/>
    <n v="0"/>
    <n v="0.85641779724719902"/>
    <n v="0"/>
    <n v="2.5692533917415998"/>
    <n v="1.6"/>
    <n v="8.962515251308828E-2"/>
    <n v="20"/>
    <n v="0"/>
  </r>
  <r>
    <x v="0"/>
    <s v="2025-05-22 11:26:30"/>
    <n v="20"/>
    <x v="0"/>
    <x v="5"/>
    <x v="0"/>
    <n v="0"/>
    <n v="2E+20"/>
    <n v="0"/>
    <n v="0"/>
    <n v="1"/>
    <s v="Escenario AEntity 1Wait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21"/>
    <x v="0"/>
    <x v="0"/>
    <x v="0"/>
    <n v="0"/>
    <n v="2E+20"/>
    <n v="0"/>
    <n v="0"/>
    <n v="1"/>
    <s v="Escenario AEntity 1NVA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21"/>
    <x v="0"/>
    <x v="1"/>
    <x v="0"/>
    <n v="16.5757914382995"/>
    <n v="2E+20"/>
    <n v="16.5757914382995"/>
    <n v="16.5757914382995"/>
    <n v="1"/>
    <s v="Escenario AEntity 1Other TimeEntity"/>
    <n v="27"/>
    <n v="17.668553272104692"/>
    <n v="0.7694340869480476"/>
    <n v="0.95"/>
    <n v="0.36010623748224335"/>
    <n v="16.5757914382995"/>
    <n v="18.979452995869501"/>
    <n v="16.5757914382995"/>
    <n v="19.617131394374798"/>
    <n v="1.6"/>
    <n v="0.36010623748224335"/>
    <n v="20"/>
    <n v="0"/>
  </r>
  <r>
    <x v="0"/>
    <s v="2025-05-22 11:26:30"/>
    <n v="21"/>
    <x v="0"/>
    <x v="2"/>
    <x v="0"/>
    <n v="16.5757914382995"/>
    <n v="2E+20"/>
    <n v="16.5757914382995"/>
    <n v="16.5757914382995"/>
    <n v="1"/>
    <s v="Escenario AEntity 1Total TimeEntity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21"/>
    <x v="0"/>
    <x v="3"/>
    <x v="0"/>
    <n v="0"/>
    <n v="2E+20"/>
    <n v="0"/>
    <n v="0"/>
    <n v="1"/>
    <s v="Escenario AEntity 1Transfer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21"/>
    <x v="0"/>
    <x v="4"/>
    <x v="0"/>
    <n v="0"/>
    <n v="2E+20"/>
    <n v="0"/>
    <n v="0"/>
    <n v="1"/>
    <s v="Escenario AEntity 1VA TimeEntity"/>
    <n v="27"/>
    <n v="4.2820889862359948E-2"/>
    <n v="0.19150084117853694"/>
    <n v="0.95"/>
    <n v="8.962515251308828E-2"/>
    <n v="0"/>
    <n v="0.85641779724719902"/>
    <n v="0"/>
    <n v="2.5692533917415998"/>
    <n v="1.6"/>
    <n v="8.962515251308828E-2"/>
    <n v="20"/>
    <n v="0"/>
  </r>
  <r>
    <x v="0"/>
    <s v="2025-05-22 11:26:30"/>
    <n v="21"/>
    <x v="0"/>
    <x v="5"/>
    <x v="0"/>
    <n v="0"/>
    <n v="2E+20"/>
    <n v="0"/>
    <n v="0"/>
    <n v="1"/>
    <s v="Escenario AEntity 1Wait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25"/>
    <x v="0"/>
    <x v="0"/>
    <x v="0"/>
    <n v="0"/>
    <n v="2E+20"/>
    <n v="0"/>
    <n v="0"/>
    <n v="4"/>
    <s v="Escenario AEntity 1NVA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25"/>
    <x v="0"/>
    <x v="1"/>
    <x v="0"/>
    <n v="18.270774215349899"/>
    <n v="2E+20"/>
    <n v="17.733394491117501"/>
    <n v="18.564984120892898"/>
    <n v="4"/>
    <s v="Escenario AEntity 1Other TimeEntity"/>
    <n v="27"/>
    <n v="17.668553272104692"/>
    <n v="0.7694340869480476"/>
    <n v="0.95"/>
    <n v="0.36010623748224335"/>
    <n v="16.5757914382995"/>
    <n v="18.979452995869501"/>
    <n v="16.5757914382995"/>
    <n v="19.617131394374798"/>
    <n v="1.6"/>
    <n v="0.36010623748224335"/>
    <n v="20"/>
    <n v="0"/>
  </r>
  <r>
    <x v="0"/>
    <s v="2025-05-22 11:26:30"/>
    <n v="25"/>
    <x v="0"/>
    <x v="2"/>
    <x v="0"/>
    <n v="18.270774215349899"/>
    <n v="2E+20"/>
    <n v="17.733394491117501"/>
    <n v="18.564984120892898"/>
    <n v="4"/>
    <s v="Escenario AEntity 1Total TimeEntity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25"/>
    <x v="0"/>
    <x v="3"/>
    <x v="0"/>
    <n v="0"/>
    <n v="2E+20"/>
    <n v="0"/>
    <n v="0"/>
    <n v="4"/>
    <s v="Escenario AEntity 1Transfer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25"/>
    <x v="0"/>
    <x v="4"/>
    <x v="0"/>
    <n v="0"/>
    <n v="2E+20"/>
    <n v="0"/>
    <n v="0"/>
    <n v="4"/>
    <s v="Escenario AEntity 1VA TimeEntity"/>
    <n v="27"/>
    <n v="4.2820889862359948E-2"/>
    <n v="0.19150084117853694"/>
    <n v="0.95"/>
    <n v="8.962515251308828E-2"/>
    <n v="0"/>
    <n v="0.85641779724719902"/>
    <n v="0"/>
    <n v="2.5692533917415998"/>
    <n v="1.6"/>
    <n v="8.962515251308828E-2"/>
    <n v="20"/>
    <n v="0"/>
  </r>
  <r>
    <x v="0"/>
    <s v="2025-05-22 11:26:30"/>
    <n v="25"/>
    <x v="0"/>
    <x v="5"/>
    <x v="0"/>
    <n v="0"/>
    <n v="2E+20"/>
    <n v="0"/>
    <n v="0"/>
    <n v="4"/>
    <s v="Escenario AEntity 1Wait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26"/>
    <x v="0"/>
    <x v="0"/>
    <x v="0"/>
    <n v="0"/>
    <n v="2E+20"/>
    <n v="0"/>
    <n v="0"/>
    <n v="3"/>
    <s v="Escenario AEntity 1NVA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26"/>
    <x v="0"/>
    <x v="1"/>
    <x v="0"/>
    <n v="17.8147211981955"/>
    <n v="2E+20"/>
    <n v="17.546251031736698"/>
    <n v="18.2067447892485"/>
    <n v="3"/>
    <s v="Escenario AEntity 1Other TimeEntity"/>
    <n v="27"/>
    <n v="17.668553272104692"/>
    <n v="0.7694340869480476"/>
    <n v="0.95"/>
    <n v="0.36010623748224335"/>
    <n v="16.5757914382995"/>
    <n v="18.979452995869501"/>
    <n v="16.5757914382995"/>
    <n v="19.617131394374798"/>
    <n v="1.6"/>
    <n v="0.36010623748224335"/>
    <n v="20"/>
    <n v="0"/>
  </r>
  <r>
    <x v="0"/>
    <s v="2025-05-22 11:26:30"/>
    <n v="26"/>
    <x v="0"/>
    <x v="2"/>
    <x v="0"/>
    <n v="17.8147211981955"/>
    <n v="2E+20"/>
    <n v="17.546251031736698"/>
    <n v="18.2067447892485"/>
    <n v="3"/>
    <s v="Escenario AEntity 1Total TimeEntity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26"/>
    <x v="0"/>
    <x v="3"/>
    <x v="0"/>
    <n v="0"/>
    <n v="2E+20"/>
    <n v="0"/>
    <n v="0"/>
    <n v="3"/>
    <s v="Escenario AEntity 1Transfer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26"/>
    <x v="0"/>
    <x v="4"/>
    <x v="0"/>
    <n v="0"/>
    <n v="2E+20"/>
    <n v="0"/>
    <n v="0"/>
    <n v="3"/>
    <s v="Escenario AEntity 1VA TimeEntity"/>
    <n v="27"/>
    <n v="4.2820889862359948E-2"/>
    <n v="0.19150084117853694"/>
    <n v="0.95"/>
    <n v="8.962515251308828E-2"/>
    <n v="0"/>
    <n v="0.85641779724719902"/>
    <n v="0"/>
    <n v="2.5692533917415998"/>
    <n v="1.6"/>
    <n v="8.962515251308828E-2"/>
    <n v="20"/>
    <n v="0"/>
  </r>
  <r>
    <x v="0"/>
    <s v="2025-05-22 11:26:30"/>
    <n v="26"/>
    <x v="0"/>
    <x v="5"/>
    <x v="0"/>
    <n v="0"/>
    <n v="2E+20"/>
    <n v="0"/>
    <n v="0"/>
    <n v="3"/>
    <s v="Escenario AEntity 1Wait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27"/>
    <x v="0"/>
    <x v="0"/>
    <x v="0"/>
    <n v="0"/>
    <n v="2E+20"/>
    <n v="0"/>
    <n v="0"/>
    <n v="1"/>
    <s v="Escenario AEntity 1NVA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27"/>
    <x v="0"/>
    <x v="1"/>
    <x v="0"/>
    <n v="18.565125338827201"/>
    <n v="2E+20"/>
    <n v="18.565125338827201"/>
    <n v="18.565125338827201"/>
    <n v="1"/>
    <s v="Escenario AEntity 1Other TimeEntity"/>
    <n v="27"/>
    <n v="17.668553272104692"/>
    <n v="0.7694340869480476"/>
    <n v="0.95"/>
    <n v="0.36010623748224335"/>
    <n v="16.5757914382995"/>
    <n v="18.979452995869501"/>
    <n v="16.5757914382995"/>
    <n v="19.617131394374798"/>
    <n v="1.6"/>
    <n v="0.36010623748224335"/>
    <n v="20"/>
    <n v="0"/>
  </r>
  <r>
    <x v="0"/>
    <s v="2025-05-22 11:26:30"/>
    <n v="27"/>
    <x v="0"/>
    <x v="2"/>
    <x v="0"/>
    <n v="18.565125338827201"/>
    <n v="2E+20"/>
    <n v="18.565125338827201"/>
    <n v="18.565125338827201"/>
    <n v="1"/>
    <s v="Escenario AEntity 1Total TimeEntity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27"/>
    <x v="0"/>
    <x v="3"/>
    <x v="0"/>
    <n v="0"/>
    <n v="2E+20"/>
    <n v="0"/>
    <n v="0"/>
    <n v="1"/>
    <s v="Escenario AEntity 1Transfer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27"/>
    <x v="0"/>
    <x v="4"/>
    <x v="0"/>
    <n v="0"/>
    <n v="2E+20"/>
    <n v="0"/>
    <n v="0"/>
    <n v="1"/>
    <s v="Escenario AEntity 1VA TimeEntity"/>
    <n v="27"/>
    <n v="4.2820889862359948E-2"/>
    <n v="0.19150084117853694"/>
    <n v="0.95"/>
    <n v="8.962515251308828E-2"/>
    <n v="0"/>
    <n v="0.85641779724719902"/>
    <n v="0"/>
    <n v="2.5692533917415998"/>
    <n v="1.6"/>
    <n v="8.962515251308828E-2"/>
    <n v="20"/>
    <n v="0"/>
  </r>
  <r>
    <x v="0"/>
    <s v="2025-05-22 11:26:30"/>
    <n v="27"/>
    <x v="0"/>
    <x v="5"/>
    <x v="0"/>
    <n v="0"/>
    <n v="2E+20"/>
    <n v="0"/>
    <n v="0"/>
    <n v="1"/>
    <s v="Escenario AEntity 1Wait TimeEntity"/>
    <n v="27"/>
    <n v="0"/>
    <n v="0"/>
    <n v="0.95"/>
    <n v="0"/>
    <n v="0"/>
    <n v="0"/>
    <n v="0"/>
    <n v="0"/>
    <n v="1.6"/>
    <n v="0"/>
    <n v="20"/>
    <n v="0"/>
  </r>
  <r>
    <x v="0"/>
    <s v="2025-05-22 11:26:30"/>
    <n v="1"/>
    <x v="1"/>
    <x v="6"/>
    <x v="1"/>
    <n v="0"/>
    <n v="2E+20"/>
    <n v="0"/>
    <n v="0"/>
    <n v="3"/>
    <s v="Escenario AOcupar enfermea.QueueWaiting TimeQueue"/>
    <n v="27"/>
    <n v="0"/>
    <n v="0"/>
    <n v="0.95"/>
    <n v="0"/>
    <n v="0"/>
    <n v="0"/>
    <n v="0"/>
    <n v="0"/>
    <n v="1.6666666666666667"/>
    <n v="0"/>
    <n v="21"/>
    <n v="0"/>
  </r>
  <r>
    <x v="0"/>
    <s v="2025-05-22 11:26:30"/>
    <n v="2"/>
    <x v="1"/>
    <x v="6"/>
    <x v="1"/>
    <n v="0"/>
    <n v="2E+20"/>
    <n v="0"/>
    <n v="0"/>
    <n v="2"/>
    <s v="Escenario AOcupar enfermea.QueueWaiting TimeQueue"/>
    <n v="27"/>
    <n v="0"/>
    <n v="0"/>
    <n v="0.95"/>
    <n v="0"/>
    <n v="0"/>
    <n v="0"/>
    <n v="0"/>
    <n v="0"/>
    <n v="1.6666666666666667"/>
    <n v="0"/>
    <n v="21"/>
    <n v="0"/>
  </r>
  <r>
    <x v="0"/>
    <s v="2025-05-22 11:26:30"/>
    <n v="3"/>
    <x v="1"/>
    <x v="6"/>
    <x v="1"/>
    <n v="0"/>
    <n v="2E+20"/>
    <n v="0"/>
    <n v="0"/>
    <n v="1"/>
    <s v="Escenario AOcupar enfermea.QueueWaiting TimeQueue"/>
    <n v="27"/>
    <n v="0"/>
    <n v="0"/>
    <n v="0.95"/>
    <n v="0"/>
    <n v="0"/>
    <n v="0"/>
    <n v="0"/>
    <n v="0"/>
    <n v="1.6666666666666667"/>
    <n v="0"/>
    <n v="21"/>
    <n v="0"/>
  </r>
  <r>
    <x v="0"/>
    <s v="2025-05-22 11:26:30"/>
    <n v="4"/>
    <x v="1"/>
    <x v="6"/>
    <x v="1"/>
    <n v="0"/>
    <n v="2E+20"/>
    <n v="0"/>
    <n v="0"/>
    <n v="3"/>
    <s v="Escenario AOcupar enfermea.QueueWaiting TimeQueue"/>
    <n v="27"/>
    <n v="0"/>
    <n v="0"/>
    <n v="0.95"/>
    <n v="0"/>
    <n v="0"/>
    <n v="0"/>
    <n v="0"/>
    <n v="0"/>
    <n v="1.6666666666666667"/>
    <n v="0"/>
    <n v="21"/>
    <n v="0"/>
  </r>
  <r>
    <x v="0"/>
    <s v="2025-05-22 11:26:30"/>
    <n v="7"/>
    <x v="1"/>
    <x v="6"/>
    <x v="1"/>
    <n v="0"/>
    <n v="2E+20"/>
    <n v="0"/>
    <n v="0"/>
    <n v="1"/>
    <s v="Escenario AOcupar enfermea.QueueWaiting TimeQueue"/>
    <n v="27"/>
    <n v="0"/>
    <n v="0"/>
    <n v="0.95"/>
    <n v="0"/>
    <n v="0"/>
    <n v="0"/>
    <n v="0"/>
    <n v="0"/>
    <n v="1.6666666666666667"/>
    <n v="0"/>
    <n v="21"/>
    <n v="0"/>
  </r>
  <r>
    <x v="0"/>
    <s v="2025-05-22 11:26:30"/>
    <n v="8"/>
    <x v="1"/>
    <x v="6"/>
    <x v="1"/>
    <n v="0"/>
    <n v="2E+20"/>
    <n v="0"/>
    <n v="0"/>
    <n v="1"/>
    <s v="Escenario AOcupar enfermea.QueueWaiting TimeQueue"/>
    <n v="27"/>
    <n v="0"/>
    <n v="0"/>
    <n v="0.95"/>
    <n v="0"/>
    <n v="0"/>
    <n v="0"/>
    <n v="0"/>
    <n v="0"/>
    <n v="1.6666666666666667"/>
    <n v="0"/>
    <n v="21"/>
    <n v="0"/>
  </r>
  <r>
    <x v="0"/>
    <s v="2025-05-22 11:26:30"/>
    <n v="10"/>
    <x v="1"/>
    <x v="6"/>
    <x v="1"/>
    <n v="0"/>
    <n v="2E+20"/>
    <n v="0"/>
    <n v="0"/>
    <n v="2"/>
    <s v="Escenario AOcupar enfermea.QueueWaiting TimeQueue"/>
    <n v="27"/>
    <n v="0"/>
    <n v="0"/>
    <n v="0.95"/>
    <n v="0"/>
    <n v="0"/>
    <n v="0"/>
    <n v="0"/>
    <n v="0"/>
    <n v="1.6666666666666667"/>
    <n v="0"/>
    <n v="21"/>
    <n v="0"/>
  </r>
  <r>
    <x v="0"/>
    <s v="2025-05-22 11:26:30"/>
    <n v="11"/>
    <x v="1"/>
    <x v="6"/>
    <x v="1"/>
    <n v="0"/>
    <n v="2E+20"/>
    <n v="0"/>
    <n v="0"/>
    <n v="1"/>
    <s v="Escenario AOcupar enfermea.QueueWaiting TimeQueue"/>
    <n v="27"/>
    <n v="0"/>
    <n v="0"/>
    <n v="0.95"/>
    <n v="0"/>
    <n v="0"/>
    <n v="0"/>
    <n v="0"/>
    <n v="0"/>
    <n v="1.6666666666666667"/>
    <n v="0"/>
    <n v="21"/>
    <n v="0"/>
  </r>
  <r>
    <x v="0"/>
    <s v="2025-05-22 11:26:30"/>
    <n v="12"/>
    <x v="1"/>
    <x v="6"/>
    <x v="1"/>
    <n v="0"/>
    <n v="2E+20"/>
    <n v="0"/>
    <n v="0"/>
    <n v="1"/>
    <s v="Escenario AOcupar enfermea.QueueWaiting TimeQueue"/>
    <n v="27"/>
    <n v="0"/>
    <n v="0"/>
    <n v="0.95"/>
    <n v="0"/>
    <n v="0"/>
    <n v="0"/>
    <n v="0"/>
    <n v="0"/>
    <n v="1.6666666666666667"/>
    <n v="0"/>
    <n v="21"/>
    <n v="0"/>
  </r>
  <r>
    <x v="0"/>
    <s v="2025-05-22 11:26:30"/>
    <n v="13"/>
    <x v="1"/>
    <x v="6"/>
    <x v="1"/>
    <n v="0"/>
    <n v="2E+20"/>
    <n v="0"/>
    <n v="0"/>
    <n v="2"/>
    <s v="Escenario AOcupar enfermea.QueueWaiting TimeQueue"/>
    <n v="27"/>
    <n v="0"/>
    <n v="0"/>
    <n v="0.95"/>
    <n v="0"/>
    <n v="0"/>
    <n v="0"/>
    <n v="0"/>
    <n v="0"/>
    <n v="1.6666666666666667"/>
    <n v="0"/>
    <n v="21"/>
    <n v="0"/>
  </r>
  <r>
    <x v="0"/>
    <s v="2025-05-22 11:26:30"/>
    <n v="14"/>
    <x v="1"/>
    <x v="6"/>
    <x v="1"/>
    <n v="0"/>
    <n v="2E+20"/>
    <n v="0"/>
    <n v="0"/>
    <n v="1"/>
    <s v="Escenario AOcupar enfermea.QueueWaiting TimeQueue"/>
    <n v="27"/>
    <n v="0"/>
    <n v="0"/>
    <n v="0.95"/>
    <n v="0"/>
    <n v="0"/>
    <n v="0"/>
    <n v="0"/>
    <n v="0"/>
    <n v="1.6666666666666667"/>
    <n v="0"/>
    <n v="21"/>
    <n v="0"/>
  </r>
  <r>
    <x v="0"/>
    <s v="2025-05-22 11:26:30"/>
    <n v="15"/>
    <x v="1"/>
    <x v="6"/>
    <x v="1"/>
    <n v="0"/>
    <n v="2E+20"/>
    <n v="0"/>
    <n v="0"/>
    <n v="1"/>
    <s v="Escenario AOcupar enfermea.QueueWaiting TimeQueue"/>
    <n v="27"/>
    <n v="0"/>
    <n v="0"/>
    <n v="0.95"/>
    <n v="0"/>
    <n v="0"/>
    <n v="0"/>
    <n v="0"/>
    <n v="0"/>
    <n v="1.6666666666666667"/>
    <n v="0"/>
    <n v="21"/>
    <n v="0"/>
  </r>
  <r>
    <x v="0"/>
    <s v="2025-05-22 11:26:30"/>
    <n v="17"/>
    <x v="1"/>
    <x v="6"/>
    <x v="1"/>
    <n v="0"/>
    <n v="2E+20"/>
    <n v="0"/>
    <n v="0"/>
    <n v="1"/>
    <s v="Escenario AOcupar enfermea.QueueWaiting TimeQueue"/>
    <n v="27"/>
    <n v="0"/>
    <n v="0"/>
    <n v="0.95"/>
    <n v="0"/>
    <n v="0"/>
    <n v="0"/>
    <n v="0"/>
    <n v="0"/>
    <n v="1.6666666666666667"/>
    <n v="0"/>
    <n v="21"/>
    <n v="0"/>
  </r>
  <r>
    <x v="0"/>
    <s v="2025-05-22 11:26:30"/>
    <n v="18"/>
    <x v="1"/>
    <x v="6"/>
    <x v="1"/>
    <n v="0"/>
    <n v="2E+20"/>
    <n v="0"/>
    <n v="0"/>
    <n v="1"/>
    <s v="Escenario AOcupar enfermea.QueueWaiting TimeQueue"/>
    <n v="27"/>
    <n v="0"/>
    <n v="0"/>
    <n v="0.95"/>
    <n v="0"/>
    <n v="0"/>
    <n v="0"/>
    <n v="0"/>
    <n v="0"/>
    <n v="1.6666666666666667"/>
    <n v="0"/>
    <n v="21"/>
    <n v="0"/>
  </r>
  <r>
    <x v="0"/>
    <s v="2025-05-22 11:26:30"/>
    <n v="19"/>
    <x v="1"/>
    <x v="6"/>
    <x v="1"/>
    <n v="0"/>
    <n v="2E+20"/>
    <n v="0"/>
    <n v="0"/>
    <n v="2"/>
    <s v="Escenario AOcupar enfermea.QueueWaiting TimeQueue"/>
    <n v="27"/>
    <n v="0"/>
    <n v="0"/>
    <n v="0.95"/>
    <n v="0"/>
    <n v="0"/>
    <n v="0"/>
    <n v="0"/>
    <n v="0"/>
    <n v="1.6666666666666667"/>
    <n v="0"/>
    <n v="21"/>
    <n v="0"/>
  </r>
  <r>
    <x v="0"/>
    <s v="2025-05-22 11:26:30"/>
    <n v="20"/>
    <x v="1"/>
    <x v="6"/>
    <x v="1"/>
    <n v="0"/>
    <n v="2E+20"/>
    <n v="0"/>
    <n v="0"/>
    <n v="1"/>
    <s v="Escenario AOcupar enfermea.QueueWaiting TimeQueue"/>
    <n v="27"/>
    <n v="0"/>
    <n v="0"/>
    <n v="0.95"/>
    <n v="0"/>
    <n v="0"/>
    <n v="0"/>
    <n v="0"/>
    <n v="0"/>
    <n v="1.6666666666666667"/>
    <n v="0"/>
    <n v="21"/>
    <n v="0"/>
  </r>
  <r>
    <x v="0"/>
    <s v="2025-05-22 11:26:30"/>
    <n v="21"/>
    <x v="1"/>
    <x v="6"/>
    <x v="1"/>
    <n v="0"/>
    <n v="2E+20"/>
    <n v="0"/>
    <n v="0"/>
    <n v="1"/>
    <s v="Escenario AOcupar enfermea.QueueWaiting TimeQueue"/>
    <n v="27"/>
    <n v="0"/>
    <n v="0"/>
    <n v="0.95"/>
    <n v="0"/>
    <n v="0"/>
    <n v="0"/>
    <n v="0"/>
    <n v="0"/>
    <n v="1.6666666666666667"/>
    <n v="0"/>
    <n v="21"/>
    <n v="0"/>
  </r>
  <r>
    <x v="0"/>
    <s v="2025-05-22 11:26:30"/>
    <n v="22"/>
    <x v="1"/>
    <x v="6"/>
    <x v="1"/>
    <n v="0"/>
    <n v="2E+20"/>
    <n v="0"/>
    <n v="0"/>
    <n v="1"/>
    <s v="Escenario AOcupar enfermea.QueueWaiting TimeQueue"/>
    <n v="27"/>
    <n v="0"/>
    <n v="0"/>
    <n v="0.95"/>
    <n v="0"/>
    <n v="0"/>
    <n v="0"/>
    <n v="0"/>
    <n v="0"/>
    <n v="1.6666666666666667"/>
    <n v="0"/>
    <n v="21"/>
    <n v="0"/>
  </r>
  <r>
    <x v="0"/>
    <s v="2025-05-22 11:26:30"/>
    <n v="25"/>
    <x v="1"/>
    <x v="6"/>
    <x v="1"/>
    <n v="0"/>
    <n v="2E+20"/>
    <n v="0"/>
    <n v="0"/>
    <n v="5"/>
    <s v="Escenario AOcupar enfermea.QueueWaiting TimeQueue"/>
    <n v="27"/>
    <n v="0"/>
    <n v="0"/>
    <n v="0.95"/>
    <n v="0"/>
    <n v="0"/>
    <n v="0"/>
    <n v="0"/>
    <n v="0"/>
    <n v="1.6666666666666667"/>
    <n v="0"/>
    <n v="21"/>
    <n v="0"/>
  </r>
  <r>
    <x v="0"/>
    <s v="2025-05-22 11:26:30"/>
    <n v="26"/>
    <x v="1"/>
    <x v="6"/>
    <x v="1"/>
    <n v="0"/>
    <n v="2E+20"/>
    <n v="0"/>
    <n v="0"/>
    <n v="3"/>
    <s v="Escenario AOcupar enfermea.QueueWaiting TimeQueue"/>
    <n v="27"/>
    <n v="0"/>
    <n v="0"/>
    <n v="0.95"/>
    <n v="0"/>
    <n v="0"/>
    <n v="0"/>
    <n v="0"/>
    <n v="0"/>
    <n v="1.6666666666666667"/>
    <n v="0"/>
    <n v="21"/>
    <n v="0"/>
  </r>
  <r>
    <x v="0"/>
    <s v="2025-05-22 11:26:30"/>
    <n v="27"/>
    <x v="1"/>
    <x v="6"/>
    <x v="1"/>
    <n v="0"/>
    <n v="2E+20"/>
    <n v="0"/>
    <n v="0"/>
    <n v="1"/>
    <s v="Escenario AOcupar enfermea.QueueWaiting TimeQueue"/>
    <n v="27"/>
    <n v="0"/>
    <n v="0"/>
    <n v="0.95"/>
    <n v="0"/>
    <n v="0"/>
    <n v="0"/>
    <n v="0"/>
    <n v="0"/>
    <n v="1.6666666666666667"/>
    <n v="0"/>
    <n v="21"/>
    <n v="0"/>
  </r>
  <r>
    <x v="0"/>
    <s v="2025-05-22 11:26:30"/>
    <n v="4"/>
    <x v="2"/>
    <x v="7"/>
    <x v="2"/>
    <n v="2.5692533917415998"/>
    <n v="2E+20"/>
    <n v="2.5692533917415998"/>
    <n v="2.5692533917415998"/>
    <n v="1"/>
    <s v="Escenario ASeguimiemtoTotal Time Per EntityProcess"/>
    <n v="27"/>
    <n v="2.5692533917415998"/>
    <n v="0"/>
    <n v="0.95"/>
    <n v="2E+20"/>
    <n v="2.5692533917415998"/>
    <n v="2.5692533917415998"/>
    <n v="2.5692533917415998"/>
    <n v="2.5692533917415998"/>
    <n v="1"/>
    <n v="2E+20"/>
    <n v="1"/>
    <n v="0"/>
  </r>
  <r>
    <x v="0"/>
    <s v="2025-05-22 11:26:30"/>
    <n v="4"/>
    <x v="2"/>
    <x v="8"/>
    <x v="2"/>
    <n v="2.5692533917415998"/>
    <n v="2E+20"/>
    <n v="2.5692533917415998"/>
    <n v="2.5692533917415998"/>
    <n v="1"/>
    <s v="Escenario ASeguimiemtoVA Time Per EntityProcess"/>
    <n v="27"/>
    <n v="2.5692533917415998"/>
    <n v="0"/>
    <n v="0.95"/>
    <n v="2E+20"/>
    <n v="2.5692533917415998"/>
    <n v="2.5692533917415998"/>
    <n v="2.5692533917415998"/>
    <n v="2.5692533917415998"/>
    <n v="1"/>
    <n v="2E+20"/>
    <n v="1"/>
    <n v="0"/>
  </r>
  <r>
    <x v="0"/>
    <s v="2025-05-22 11:26:30"/>
    <n v="4"/>
    <x v="2"/>
    <x v="9"/>
    <x v="2"/>
    <n v="0"/>
    <n v="2E+20"/>
    <n v="0"/>
    <n v="0"/>
    <n v="1"/>
    <s v="Escenario ASeguimiemtoWait Time Per EntityProcess"/>
    <n v="27"/>
    <n v="0"/>
    <n v="0"/>
    <n v="0.95"/>
    <n v="2E+20"/>
    <n v="0"/>
    <n v="0"/>
    <n v="0"/>
    <n v="0"/>
    <n v="1"/>
    <n v="2E+20"/>
    <n v="1"/>
    <n v="0"/>
  </r>
  <r>
    <x v="0"/>
    <s v="2025-05-22 11:26:30"/>
    <n v="4"/>
    <x v="3"/>
    <x v="6"/>
    <x v="1"/>
    <n v="0"/>
    <n v="2E+20"/>
    <n v="0"/>
    <n v="0"/>
    <n v="1"/>
    <s v="Escenario ASeguimiemto.QueueWaiting TimeQueue"/>
    <n v="27"/>
    <n v="0"/>
    <n v="0"/>
    <n v="0.95"/>
    <n v="2E+20"/>
    <n v="0"/>
    <n v="0"/>
    <n v="0"/>
    <n v="0"/>
    <n v="1"/>
    <n v="2E+20"/>
    <n v="1"/>
    <n v="0"/>
  </r>
  <r>
    <x v="0"/>
    <s v="2025-05-22 11:26:30"/>
    <n v="1"/>
    <x v="4"/>
    <x v="10"/>
    <x v="3"/>
    <n v="18.886049902007901"/>
    <n v="2E+20"/>
    <n v="18.324527681677498"/>
    <n v="19.4305747859087"/>
    <n v="3"/>
    <s v="Escenario ATiempoSistemaIntervalUser Specified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2"/>
    <x v="4"/>
    <x v="10"/>
    <x v="3"/>
    <n v="17.738110381311198"/>
    <n v="2E+20"/>
    <n v="17.493616209112599"/>
    <n v="17.982604553509798"/>
    <n v="2"/>
    <s v="Escenario ATiempoSistemaIntervalUser Specified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3"/>
    <x v="4"/>
    <x v="10"/>
    <x v="3"/>
    <n v="17.523386000474598"/>
    <n v="2E+20"/>
    <n v="17.523386000474598"/>
    <n v="17.523386000474598"/>
    <n v="1"/>
    <s v="Escenario ATiempoSistemaIntervalUser Specified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4"/>
    <x v="4"/>
    <x v="10"/>
    <x v="3"/>
    <n v="19.176092927841601"/>
    <n v="2E+20"/>
    <n v="17.299039419173798"/>
    <n v="21.300704209721701"/>
    <n v="3"/>
    <s v="Escenario ATiempoSistemaIntervalUser Specified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7"/>
    <x v="4"/>
    <x v="10"/>
    <x v="3"/>
    <n v="16.8725050194498"/>
    <n v="2E+20"/>
    <n v="16.8725050194498"/>
    <n v="16.8725050194498"/>
    <n v="1"/>
    <s v="Escenario ATiempoSistemaIntervalUser Specified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8"/>
    <x v="4"/>
    <x v="10"/>
    <x v="3"/>
    <n v="16.6739399111169"/>
    <n v="2E+20"/>
    <n v="16.6739399111169"/>
    <n v="16.6739399111169"/>
    <n v="1"/>
    <s v="Escenario ATiempoSistemaIntervalUser Specified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10"/>
    <x v="4"/>
    <x v="10"/>
    <x v="3"/>
    <n v="18.979452995869501"/>
    <n v="2E+20"/>
    <n v="18.3417745973641"/>
    <n v="19.617131394374798"/>
    <n v="2"/>
    <s v="Escenario ATiempoSistemaIntervalUser Specified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11"/>
    <x v="4"/>
    <x v="10"/>
    <x v="3"/>
    <n v="16.693029126386701"/>
    <n v="2E+20"/>
    <n v="16.693029126386701"/>
    <n v="16.693029126386701"/>
    <n v="1"/>
    <s v="Escenario ATiempoSistemaIntervalUser Specified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12"/>
    <x v="4"/>
    <x v="10"/>
    <x v="3"/>
    <n v="18.169635334280699"/>
    <n v="2E+20"/>
    <n v="18.169635334280699"/>
    <n v="18.169635334280699"/>
    <n v="1"/>
    <s v="Escenario ATiempoSistemaIntervalUser Specified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13"/>
    <x v="4"/>
    <x v="10"/>
    <x v="3"/>
    <n v="18.661433463056099"/>
    <n v="2E+20"/>
    <n v="18.591636099247602"/>
    <n v="18.731230826864699"/>
    <n v="2"/>
    <s v="Escenario ATiempoSistemaIntervalUser Specified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14"/>
    <x v="4"/>
    <x v="10"/>
    <x v="3"/>
    <n v="17.067983747803201"/>
    <n v="2E+20"/>
    <n v="17.067983747803201"/>
    <n v="17.067983747803201"/>
    <n v="1"/>
    <s v="Escenario ATiempoSistemaIntervalUser Specified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15"/>
    <x v="4"/>
    <x v="10"/>
    <x v="3"/>
    <n v="17.311578823887501"/>
    <n v="2E+20"/>
    <n v="17.311578823887501"/>
    <n v="17.311578823887501"/>
    <n v="1"/>
    <s v="Escenario ATiempoSistemaIntervalUser Specified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17"/>
    <x v="4"/>
    <x v="10"/>
    <x v="3"/>
    <n v="17.761626703940699"/>
    <n v="2E+20"/>
    <n v="17.761626703940699"/>
    <n v="17.761626703940699"/>
    <n v="1"/>
    <s v="Escenario ATiempoSistemaIntervalUser Specified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18"/>
    <x v="4"/>
    <x v="10"/>
    <x v="3"/>
    <n v="17.4562839593588"/>
    <n v="2E+20"/>
    <n v="17.4562839593588"/>
    <n v="17.4562839593588"/>
    <n v="1"/>
    <s v="Escenario ATiempoSistemaIntervalUser Specified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19"/>
    <x v="4"/>
    <x v="10"/>
    <x v="3"/>
    <n v="16.950650950040099"/>
    <n v="2E+20"/>
    <n v="16.950650950040099"/>
    <n v="16.950650950040099"/>
    <n v="1"/>
    <s v="Escenario ATiempoSistemaIntervalUser Specified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20"/>
    <x v="4"/>
    <x v="10"/>
    <x v="3"/>
    <n v="17.079311801843598"/>
    <n v="2E+20"/>
    <n v="17.079311801843598"/>
    <n v="17.079311801843598"/>
    <n v="1"/>
    <s v="Escenario ATiempoSistemaIntervalUser Specified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21"/>
    <x v="4"/>
    <x v="10"/>
    <x v="3"/>
    <n v="16.5757914382995"/>
    <n v="2E+20"/>
    <n v="16.5757914382995"/>
    <n v="16.5757914382995"/>
    <n v="1"/>
    <s v="Escenario ATiempoSistemaIntervalUser Specified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25"/>
    <x v="4"/>
    <x v="10"/>
    <x v="3"/>
    <n v="18.270774215349899"/>
    <n v="2E+20"/>
    <n v="17.733394491117501"/>
    <n v="18.564984120892898"/>
    <n v="4"/>
    <s v="Escenario ATiempoSistemaIntervalUser Specified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26"/>
    <x v="4"/>
    <x v="10"/>
    <x v="3"/>
    <n v="17.8147211981955"/>
    <n v="2E+20"/>
    <n v="17.546251031736698"/>
    <n v="18.2067447892485"/>
    <n v="3"/>
    <s v="Escenario ATiempoSistemaIntervalUser Specified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  <r>
    <x v="0"/>
    <s v="2025-05-22 11:26:30"/>
    <n v="27"/>
    <x v="4"/>
    <x v="10"/>
    <x v="3"/>
    <n v="18.565125338827201"/>
    <n v="2E+20"/>
    <n v="18.565125338827201"/>
    <n v="18.565125338827201"/>
    <n v="1"/>
    <s v="Escenario ATiempoSistemaIntervalUser Specified"/>
    <n v="27"/>
    <n v="17.711374161967051"/>
    <n v="0.8290956086013278"/>
    <n v="0.95"/>
    <n v="0.38802868912491251"/>
    <n v="16.5757914382995"/>
    <n v="19.176092927841601"/>
    <n v="16.5757914382995"/>
    <n v="21.300704209721701"/>
    <n v="1.6"/>
    <n v="0.38802868912491251"/>
    <n v="2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7">
  <r>
    <x v="0"/>
    <s v="2025-05-22 11:26:30"/>
    <n v="1"/>
    <x v="0"/>
    <x v="0"/>
    <x v="0"/>
    <n v="3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1"/>
    <x v="1"/>
    <x v="1"/>
    <x v="0"/>
    <n v="3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1"/>
    <x v="2"/>
    <x v="2"/>
    <x v="1"/>
    <n v="0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1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1"/>
    <x v="4"/>
    <x v="0"/>
    <x v="1"/>
    <n v="0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1"/>
    <x v="5"/>
    <x v="1"/>
    <x v="1"/>
    <n v="0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1"/>
    <x v="6"/>
    <x v="1"/>
    <x v="2"/>
    <n v="3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1"/>
    <x v="7"/>
    <x v="4"/>
    <x v="3"/>
    <n v="3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1"/>
    <x v="8"/>
    <x v="5"/>
    <x v="3"/>
    <n v="3.14767498366798E-2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1"/>
    <x v="9"/>
    <x v="4"/>
    <x v="3"/>
    <n v="0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1"/>
    <x v="10"/>
    <x v="5"/>
    <x v="3"/>
    <n v="0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  <r>
    <x v="0"/>
    <s v="2025-05-22 11:26:30"/>
    <n v="2"/>
    <x v="0"/>
    <x v="0"/>
    <x v="0"/>
    <n v="2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2"/>
    <x v="1"/>
    <x v="1"/>
    <x v="0"/>
    <n v="2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2"/>
    <x v="2"/>
    <x v="2"/>
    <x v="1"/>
    <n v="0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2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2"/>
    <x v="4"/>
    <x v="0"/>
    <x v="1"/>
    <n v="0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2"/>
    <x v="5"/>
    <x v="1"/>
    <x v="1"/>
    <n v="0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2"/>
    <x v="6"/>
    <x v="1"/>
    <x v="2"/>
    <n v="2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2"/>
    <x v="7"/>
    <x v="4"/>
    <x v="3"/>
    <n v="2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2"/>
    <x v="8"/>
    <x v="5"/>
    <x v="3"/>
    <n v="1.97090115347902E-2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2"/>
    <x v="9"/>
    <x v="4"/>
    <x v="3"/>
    <n v="0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2"/>
    <x v="10"/>
    <x v="5"/>
    <x v="3"/>
    <n v="0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  <r>
    <x v="0"/>
    <s v="2025-05-22 11:26:30"/>
    <n v="3"/>
    <x v="0"/>
    <x v="0"/>
    <x v="0"/>
    <n v="1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3"/>
    <x v="1"/>
    <x v="1"/>
    <x v="0"/>
    <n v="1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3"/>
    <x v="2"/>
    <x v="2"/>
    <x v="1"/>
    <n v="0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3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3"/>
    <x v="4"/>
    <x v="0"/>
    <x v="1"/>
    <n v="0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3"/>
    <x v="5"/>
    <x v="1"/>
    <x v="1"/>
    <n v="0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3"/>
    <x v="6"/>
    <x v="1"/>
    <x v="2"/>
    <n v="1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3"/>
    <x v="7"/>
    <x v="4"/>
    <x v="3"/>
    <n v="1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3"/>
    <x v="8"/>
    <x v="5"/>
    <x v="3"/>
    <n v="9.7352144447081304E-3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3"/>
    <x v="9"/>
    <x v="4"/>
    <x v="3"/>
    <n v="0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3"/>
    <x v="10"/>
    <x v="5"/>
    <x v="3"/>
    <n v="0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  <r>
    <x v="0"/>
    <s v="2025-05-22 11:26:30"/>
    <n v="4"/>
    <x v="0"/>
    <x v="0"/>
    <x v="0"/>
    <n v="3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4"/>
    <x v="1"/>
    <x v="1"/>
    <x v="0"/>
    <n v="3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4"/>
    <x v="2"/>
    <x v="2"/>
    <x v="1"/>
    <n v="2.5692533917415998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4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4"/>
    <x v="4"/>
    <x v="0"/>
    <x v="1"/>
    <n v="1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4"/>
    <x v="5"/>
    <x v="1"/>
    <x v="1"/>
    <n v="1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4"/>
    <x v="6"/>
    <x v="1"/>
    <x v="2"/>
    <n v="3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4"/>
    <x v="7"/>
    <x v="4"/>
    <x v="3"/>
    <n v="3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4"/>
    <x v="8"/>
    <x v="5"/>
    <x v="3"/>
    <n v="3.0532791884324E-2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4"/>
    <x v="9"/>
    <x v="4"/>
    <x v="3"/>
    <n v="1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4"/>
    <x v="10"/>
    <x v="5"/>
    <x v="3"/>
    <n v="4.2820889862359999E-3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  <r>
    <x v="0"/>
    <s v="2025-05-22 11:26:30"/>
    <n v="5"/>
    <x v="0"/>
    <x v="0"/>
    <x v="0"/>
    <n v="0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5"/>
    <x v="1"/>
    <x v="1"/>
    <x v="0"/>
    <n v="0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5"/>
    <x v="2"/>
    <x v="2"/>
    <x v="1"/>
    <n v="0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5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5"/>
    <x v="4"/>
    <x v="0"/>
    <x v="1"/>
    <n v="0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5"/>
    <x v="5"/>
    <x v="1"/>
    <x v="1"/>
    <n v="0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5"/>
    <x v="6"/>
    <x v="1"/>
    <x v="2"/>
    <n v="0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5"/>
    <x v="7"/>
    <x v="4"/>
    <x v="3"/>
    <n v="0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5"/>
    <x v="8"/>
    <x v="5"/>
    <x v="3"/>
    <n v="0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5"/>
    <x v="9"/>
    <x v="4"/>
    <x v="3"/>
    <n v="0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5"/>
    <x v="10"/>
    <x v="5"/>
    <x v="3"/>
    <n v="0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  <r>
    <x v="0"/>
    <s v="2025-05-22 11:26:30"/>
    <n v="6"/>
    <x v="0"/>
    <x v="0"/>
    <x v="0"/>
    <n v="0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6"/>
    <x v="1"/>
    <x v="1"/>
    <x v="0"/>
    <n v="0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6"/>
    <x v="2"/>
    <x v="2"/>
    <x v="1"/>
    <n v="0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6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6"/>
    <x v="4"/>
    <x v="0"/>
    <x v="1"/>
    <n v="0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6"/>
    <x v="5"/>
    <x v="1"/>
    <x v="1"/>
    <n v="0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6"/>
    <x v="6"/>
    <x v="1"/>
    <x v="2"/>
    <n v="0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6"/>
    <x v="7"/>
    <x v="4"/>
    <x v="3"/>
    <n v="0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6"/>
    <x v="8"/>
    <x v="5"/>
    <x v="3"/>
    <n v="0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6"/>
    <x v="9"/>
    <x v="4"/>
    <x v="3"/>
    <n v="0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6"/>
    <x v="10"/>
    <x v="5"/>
    <x v="3"/>
    <n v="0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  <r>
    <x v="0"/>
    <s v="2025-05-22 11:26:30"/>
    <n v="7"/>
    <x v="0"/>
    <x v="0"/>
    <x v="0"/>
    <n v="1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7"/>
    <x v="1"/>
    <x v="1"/>
    <x v="0"/>
    <n v="1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7"/>
    <x v="2"/>
    <x v="2"/>
    <x v="1"/>
    <n v="0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7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7"/>
    <x v="4"/>
    <x v="0"/>
    <x v="1"/>
    <n v="0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7"/>
    <x v="5"/>
    <x v="1"/>
    <x v="1"/>
    <n v="0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7"/>
    <x v="6"/>
    <x v="1"/>
    <x v="2"/>
    <n v="1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7"/>
    <x v="7"/>
    <x v="4"/>
    <x v="3"/>
    <n v="1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7"/>
    <x v="8"/>
    <x v="5"/>
    <x v="3"/>
    <n v="9.3736138996943098E-3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7"/>
    <x v="9"/>
    <x v="4"/>
    <x v="3"/>
    <n v="0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7"/>
    <x v="10"/>
    <x v="5"/>
    <x v="3"/>
    <n v="0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  <r>
    <x v="0"/>
    <s v="2025-05-22 11:26:30"/>
    <n v="8"/>
    <x v="0"/>
    <x v="0"/>
    <x v="0"/>
    <n v="1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8"/>
    <x v="1"/>
    <x v="1"/>
    <x v="0"/>
    <n v="1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8"/>
    <x v="2"/>
    <x v="2"/>
    <x v="1"/>
    <n v="0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8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8"/>
    <x v="4"/>
    <x v="0"/>
    <x v="1"/>
    <n v="0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8"/>
    <x v="5"/>
    <x v="1"/>
    <x v="1"/>
    <n v="0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8"/>
    <x v="6"/>
    <x v="1"/>
    <x v="2"/>
    <n v="1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8"/>
    <x v="7"/>
    <x v="4"/>
    <x v="3"/>
    <n v="1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8"/>
    <x v="8"/>
    <x v="5"/>
    <x v="3"/>
    <n v="9.2632999506205103E-3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8"/>
    <x v="9"/>
    <x v="4"/>
    <x v="3"/>
    <n v="0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8"/>
    <x v="10"/>
    <x v="5"/>
    <x v="3"/>
    <n v="0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  <r>
    <x v="0"/>
    <s v="2025-05-22 11:26:30"/>
    <n v="9"/>
    <x v="0"/>
    <x v="0"/>
    <x v="0"/>
    <n v="0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9"/>
    <x v="1"/>
    <x v="1"/>
    <x v="0"/>
    <n v="0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9"/>
    <x v="2"/>
    <x v="2"/>
    <x v="1"/>
    <n v="0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9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9"/>
    <x v="4"/>
    <x v="0"/>
    <x v="1"/>
    <n v="0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9"/>
    <x v="5"/>
    <x v="1"/>
    <x v="1"/>
    <n v="0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9"/>
    <x v="6"/>
    <x v="1"/>
    <x v="2"/>
    <n v="0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9"/>
    <x v="7"/>
    <x v="4"/>
    <x v="3"/>
    <n v="0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9"/>
    <x v="8"/>
    <x v="5"/>
    <x v="3"/>
    <n v="0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9"/>
    <x v="9"/>
    <x v="4"/>
    <x v="3"/>
    <n v="0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9"/>
    <x v="10"/>
    <x v="5"/>
    <x v="3"/>
    <n v="0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  <r>
    <x v="0"/>
    <s v="2025-05-22 11:26:30"/>
    <n v="10"/>
    <x v="0"/>
    <x v="0"/>
    <x v="0"/>
    <n v="2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10"/>
    <x v="1"/>
    <x v="1"/>
    <x v="0"/>
    <n v="2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10"/>
    <x v="2"/>
    <x v="2"/>
    <x v="1"/>
    <n v="0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10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10"/>
    <x v="4"/>
    <x v="0"/>
    <x v="1"/>
    <n v="0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10"/>
    <x v="5"/>
    <x v="1"/>
    <x v="1"/>
    <n v="0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10"/>
    <x v="6"/>
    <x v="1"/>
    <x v="2"/>
    <n v="2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10"/>
    <x v="7"/>
    <x v="4"/>
    <x v="3"/>
    <n v="2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10"/>
    <x v="8"/>
    <x v="5"/>
    <x v="3"/>
    <n v="2.1088281106521601E-2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10"/>
    <x v="9"/>
    <x v="4"/>
    <x v="3"/>
    <n v="0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10"/>
    <x v="10"/>
    <x v="5"/>
    <x v="3"/>
    <n v="0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  <r>
    <x v="0"/>
    <s v="2025-05-22 11:26:30"/>
    <n v="11"/>
    <x v="0"/>
    <x v="0"/>
    <x v="0"/>
    <n v="1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11"/>
    <x v="1"/>
    <x v="1"/>
    <x v="0"/>
    <n v="1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11"/>
    <x v="2"/>
    <x v="2"/>
    <x v="1"/>
    <n v="0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11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11"/>
    <x v="4"/>
    <x v="0"/>
    <x v="1"/>
    <n v="0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11"/>
    <x v="5"/>
    <x v="1"/>
    <x v="1"/>
    <n v="0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11"/>
    <x v="6"/>
    <x v="1"/>
    <x v="2"/>
    <n v="1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11"/>
    <x v="7"/>
    <x v="4"/>
    <x v="3"/>
    <n v="1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11"/>
    <x v="8"/>
    <x v="5"/>
    <x v="3"/>
    <n v="9.2739050702148607E-3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11"/>
    <x v="9"/>
    <x v="4"/>
    <x v="3"/>
    <n v="0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11"/>
    <x v="10"/>
    <x v="5"/>
    <x v="3"/>
    <n v="0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  <r>
    <x v="0"/>
    <s v="2025-05-22 11:26:30"/>
    <n v="12"/>
    <x v="0"/>
    <x v="0"/>
    <x v="0"/>
    <n v="1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12"/>
    <x v="1"/>
    <x v="1"/>
    <x v="0"/>
    <n v="1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12"/>
    <x v="2"/>
    <x v="2"/>
    <x v="1"/>
    <n v="0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12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12"/>
    <x v="4"/>
    <x v="0"/>
    <x v="1"/>
    <n v="0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12"/>
    <x v="5"/>
    <x v="1"/>
    <x v="1"/>
    <n v="0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12"/>
    <x v="6"/>
    <x v="1"/>
    <x v="2"/>
    <n v="1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12"/>
    <x v="7"/>
    <x v="4"/>
    <x v="3"/>
    <n v="1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12"/>
    <x v="8"/>
    <x v="5"/>
    <x v="3"/>
    <n v="1.00942418523782E-2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12"/>
    <x v="9"/>
    <x v="4"/>
    <x v="3"/>
    <n v="0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12"/>
    <x v="10"/>
    <x v="5"/>
    <x v="3"/>
    <n v="0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  <r>
    <x v="0"/>
    <s v="2025-05-22 11:26:30"/>
    <n v="13"/>
    <x v="0"/>
    <x v="0"/>
    <x v="0"/>
    <n v="2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13"/>
    <x v="1"/>
    <x v="1"/>
    <x v="0"/>
    <n v="2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13"/>
    <x v="2"/>
    <x v="2"/>
    <x v="1"/>
    <n v="0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13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13"/>
    <x v="4"/>
    <x v="0"/>
    <x v="1"/>
    <n v="0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13"/>
    <x v="5"/>
    <x v="1"/>
    <x v="1"/>
    <n v="0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13"/>
    <x v="6"/>
    <x v="1"/>
    <x v="2"/>
    <n v="2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13"/>
    <x v="7"/>
    <x v="4"/>
    <x v="3"/>
    <n v="2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13"/>
    <x v="8"/>
    <x v="5"/>
    <x v="3"/>
    <n v="2.0734926070062401E-2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13"/>
    <x v="9"/>
    <x v="4"/>
    <x v="3"/>
    <n v="0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13"/>
    <x v="10"/>
    <x v="5"/>
    <x v="3"/>
    <n v="0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  <r>
    <x v="0"/>
    <s v="2025-05-22 11:26:30"/>
    <n v="14"/>
    <x v="0"/>
    <x v="0"/>
    <x v="0"/>
    <n v="1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14"/>
    <x v="1"/>
    <x v="1"/>
    <x v="0"/>
    <n v="1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14"/>
    <x v="2"/>
    <x v="2"/>
    <x v="1"/>
    <n v="0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14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14"/>
    <x v="4"/>
    <x v="0"/>
    <x v="1"/>
    <n v="0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14"/>
    <x v="5"/>
    <x v="1"/>
    <x v="1"/>
    <n v="0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14"/>
    <x v="6"/>
    <x v="1"/>
    <x v="2"/>
    <n v="1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14"/>
    <x v="7"/>
    <x v="4"/>
    <x v="3"/>
    <n v="1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14"/>
    <x v="8"/>
    <x v="5"/>
    <x v="3"/>
    <n v="9.48221319322398E-3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14"/>
    <x v="9"/>
    <x v="4"/>
    <x v="3"/>
    <n v="0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14"/>
    <x v="10"/>
    <x v="5"/>
    <x v="3"/>
    <n v="0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  <r>
    <x v="0"/>
    <s v="2025-05-22 11:26:30"/>
    <n v="15"/>
    <x v="0"/>
    <x v="0"/>
    <x v="0"/>
    <n v="1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15"/>
    <x v="1"/>
    <x v="1"/>
    <x v="0"/>
    <n v="1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15"/>
    <x v="2"/>
    <x v="2"/>
    <x v="1"/>
    <n v="0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15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15"/>
    <x v="4"/>
    <x v="0"/>
    <x v="1"/>
    <n v="0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15"/>
    <x v="5"/>
    <x v="1"/>
    <x v="1"/>
    <n v="0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15"/>
    <x v="6"/>
    <x v="1"/>
    <x v="2"/>
    <n v="1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15"/>
    <x v="7"/>
    <x v="4"/>
    <x v="3"/>
    <n v="1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15"/>
    <x v="8"/>
    <x v="5"/>
    <x v="3"/>
    <n v="9.6175437910486009E-3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15"/>
    <x v="9"/>
    <x v="4"/>
    <x v="3"/>
    <n v="0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15"/>
    <x v="10"/>
    <x v="5"/>
    <x v="3"/>
    <n v="0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  <r>
    <x v="0"/>
    <s v="2025-05-22 11:26:30"/>
    <n v="16"/>
    <x v="0"/>
    <x v="0"/>
    <x v="0"/>
    <n v="0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16"/>
    <x v="1"/>
    <x v="1"/>
    <x v="0"/>
    <n v="0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16"/>
    <x v="2"/>
    <x v="2"/>
    <x v="1"/>
    <n v="0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16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16"/>
    <x v="4"/>
    <x v="0"/>
    <x v="1"/>
    <n v="0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16"/>
    <x v="5"/>
    <x v="1"/>
    <x v="1"/>
    <n v="0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16"/>
    <x v="6"/>
    <x v="1"/>
    <x v="2"/>
    <n v="0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16"/>
    <x v="7"/>
    <x v="4"/>
    <x v="3"/>
    <n v="0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16"/>
    <x v="8"/>
    <x v="5"/>
    <x v="3"/>
    <n v="0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16"/>
    <x v="9"/>
    <x v="4"/>
    <x v="3"/>
    <n v="0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16"/>
    <x v="10"/>
    <x v="5"/>
    <x v="3"/>
    <n v="0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  <r>
    <x v="0"/>
    <s v="2025-05-22 11:26:30"/>
    <n v="17"/>
    <x v="0"/>
    <x v="0"/>
    <x v="0"/>
    <n v="1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17"/>
    <x v="1"/>
    <x v="1"/>
    <x v="0"/>
    <n v="1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17"/>
    <x v="2"/>
    <x v="2"/>
    <x v="1"/>
    <n v="0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17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17"/>
    <x v="4"/>
    <x v="0"/>
    <x v="1"/>
    <n v="0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17"/>
    <x v="5"/>
    <x v="1"/>
    <x v="1"/>
    <n v="0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17"/>
    <x v="6"/>
    <x v="1"/>
    <x v="2"/>
    <n v="1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17"/>
    <x v="7"/>
    <x v="4"/>
    <x v="3"/>
    <n v="1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17"/>
    <x v="8"/>
    <x v="5"/>
    <x v="3"/>
    <n v="9.8675703910781603E-3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17"/>
    <x v="9"/>
    <x v="4"/>
    <x v="3"/>
    <n v="0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17"/>
    <x v="10"/>
    <x v="5"/>
    <x v="3"/>
    <n v="0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  <r>
    <x v="0"/>
    <s v="2025-05-22 11:26:30"/>
    <n v="18"/>
    <x v="0"/>
    <x v="0"/>
    <x v="0"/>
    <n v="1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18"/>
    <x v="1"/>
    <x v="1"/>
    <x v="0"/>
    <n v="1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18"/>
    <x v="2"/>
    <x v="2"/>
    <x v="1"/>
    <n v="0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18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18"/>
    <x v="4"/>
    <x v="0"/>
    <x v="1"/>
    <n v="0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18"/>
    <x v="5"/>
    <x v="1"/>
    <x v="1"/>
    <n v="0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18"/>
    <x v="6"/>
    <x v="1"/>
    <x v="2"/>
    <n v="1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18"/>
    <x v="7"/>
    <x v="4"/>
    <x v="3"/>
    <n v="1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18"/>
    <x v="8"/>
    <x v="5"/>
    <x v="3"/>
    <n v="9.6979355329771203E-3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18"/>
    <x v="9"/>
    <x v="4"/>
    <x v="3"/>
    <n v="0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18"/>
    <x v="10"/>
    <x v="5"/>
    <x v="3"/>
    <n v="0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  <r>
    <x v="0"/>
    <s v="2025-05-22 11:26:30"/>
    <n v="19"/>
    <x v="0"/>
    <x v="0"/>
    <x v="0"/>
    <n v="2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19"/>
    <x v="1"/>
    <x v="1"/>
    <x v="0"/>
    <n v="1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19"/>
    <x v="2"/>
    <x v="2"/>
    <x v="1"/>
    <n v="0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19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19"/>
    <x v="4"/>
    <x v="0"/>
    <x v="1"/>
    <n v="0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19"/>
    <x v="5"/>
    <x v="1"/>
    <x v="1"/>
    <n v="0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19"/>
    <x v="6"/>
    <x v="1"/>
    <x v="2"/>
    <n v="1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19"/>
    <x v="7"/>
    <x v="4"/>
    <x v="3"/>
    <n v="2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19"/>
    <x v="8"/>
    <x v="5"/>
    <x v="3"/>
    <n v="1.47960113910471E-2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19"/>
    <x v="9"/>
    <x v="4"/>
    <x v="3"/>
    <n v="0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19"/>
    <x v="10"/>
    <x v="5"/>
    <x v="3"/>
    <n v="0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  <r>
    <x v="0"/>
    <s v="2025-05-22 11:26:30"/>
    <n v="20"/>
    <x v="0"/>
    <x v="0"/>
    <x v="0"/>
    <n v="1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20"/>
    <x v="1"/>
    <x v="1"/>
    <x v="0"/>
    <n v="1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20"/>
    <x v="2"/>
    <x v="2"/>
    <x v="1"/>
    <n v="0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20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20"/>
    <x v="4"/>
    <x v="0"/>
    <x v="1"/>
    <n v="0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20"/>
    <x v="5"/>
    <x v="1"/>
    <x v="1"/>
    <n v="0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20"/>
    <x v="6"/>
    <x v="1"/>
    <x v="2"/>
    <n v="1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20"/>
    <x v="7"/>
    <x v="4"/>
    <x v="3"/>
    <n v="1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20"/>
    <x v="8"/>
    <x v="5"/>
    <x v="3"/>
    <n v="9.4885065565797604E-3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20"/>
    <x v="9"/>
    <x v="4"/>
    <x v="3"/>
    <n v="0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20"/>
    <x v="10"/>
    <x v="5"/>
    <x v="3"/>
    <n v="0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  <r>
    <x v="0"/>
    <s v="2025-05-22 11:26:30"/>
    <n v="21"/>
    <x v="0"/>
    <x v="0"/>
    <x v="0"/>
    <n v="1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21"/>
    <x v="1"/>
    <x v="1"/>
    <x v="0"/>
    <n v="1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21"/>
    <x v="2"/>
    <x v="2"/>
    <x v="1"/>
    <n v="0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21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21"/>
    <x v="4"/>
    <x v="0"/>
    <x v="1"/>
    <n v="0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21"/>
    <x v="5"/>
    <x v="1"/>
    <x v="1"/>
    <n v="0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21"/>
    <x v="6"/>
    <x v="1"/>
    <x v="2"/>
    <n v="1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21"/>
    <x v="7"/>
    <x v="4"/>
    <x v="3"/>
    <n v="1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21"/>
    <x v="8"/>
    <x v="5"/>
    <x v="3"/>
    <n v="9.2087730212774797E-3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21"/>
    <x v="9"/>
    <x v="4"/>
    <x v="3"/>
    <n v="0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21"/>
    <x v="10"/>
    <x v="5"/>
    <x v="3"/>
    <n v="0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  <r>
    <x v="0"/>
    <s v="2025-05-22 11:26:30"/>
    <n v="22"/>
    <x v="0"/>
    <x v="0"/>
    <x v="0"/>
    <n v="1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22"/>
    <x v="1"/>
    <x v="1"/>
    <x v="0"/>
    <n v="0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22"/>
    <x v="2"/>
    <x v="2"/>
    <x v="1"/>
    <n v="0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22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22"/>
    <x v="4"/>
    <x v="0"/>
    <x v="1"/>
    <n v="0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22"/>
    <x v="5"/>
    <x v="1"/>
    <x v="1"/>
    <n v="0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22"/>
    <x v="6"/>
    <x v="1"/>
    <x v="2"/>
    <n v="0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22"/>
    <x v="7"/>
    <x v="4"/>
    <x v="3"/>
    <n v="1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22"/>
    <x v="8"/>
    <x v="5"/>
    <x v="3"/>
    <n v="3.6943356926037898E-3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22"/>
    <x v="9"/>
    <x v="4"/>
    <x v="3"/>
    <n v="0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22"/>
    <x v="10"/>
    <x v="5"/>
    <x v="3"/>
    <n v="0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  <r>
    <x v="0"/>
    <s v="2025-05-22 11:26:30"/>
    <n v="23"/>
    <x v="0"/>
    <x v="0"/>
    <x v="0"/>
    <n v="0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23"/>
    <x v="1"/>
    <x v="1"/>
    <x v="0"/>
    <n v="0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23"/>
    <x v="2"/>
    <x v="2"/>
    <x v="1"/>
    <n v="0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23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23"/>
    <x v="4"/>
    <x v="0"/>
    <x v="1"/>
    <n v="0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23"/>
    <x v="5"/>
    <x v="1"/>
    <x v="1"/>
    <n v="0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23"/>
    <x v="6"/>
    <x v="1"/>
    <x v="2"/>
    <n v="0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23"/>
    <x v="7"/>
    <x v="4"/>
    <x v="3"/>
    <n v="0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23"/>
    <x v="8"/>
    <x v="5"/>
    <x v="3"/>
    <n v="0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23"/>
    <x v="9"/>
    <x v="4"/>
    <x v="3"/>
    <n v="0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23"/>
    <x v="10"/>
    <x v="5"/>
    <x v="3"/>
    <n v="0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  <r>
    <x v="0"/>
    <s v="2025-05-22 11:26:30"/>
    <n v="24"/>
    <x v="0"/>
    <x v="0"/>
    <x v="0"/>
    <n v="0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24"/>
    <x v="1"/>
    <x v="1"/>
    <x v="0"/>
    <n v="0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24"/>
    <x v="2"/>
    <x v="2"/>
    <x v="1"/>
    <n v="0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24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24"/>
    <x v="4"/>
    <x v="0"/>
    <x v="1"/>
    <n v="0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24"/>
    <x v="5"/>
    <x v="1"/>
    <x v="1"/>
    <n v="0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24"/>
    <x v="6"/>
    <x v="1"/>
    <x v="2"/>
    <n v="0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24"/>
    <x v="7"/>
    <x v="4"/>
    <x v="3"/>
    <n v="0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24"/>
    <x v="8"/>
    <x v="5"/>
    <x v="3"/>
    <n v="0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24"/>
    <x v="9"/>
    <x v="4"/>
    <x v="3"/>
    <n v="0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24"/>
    <x v="10"/>
    <x v="5"/>
    <x v="3"/>
    <n v="0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  <r>
    <x v="0"/>
    <s v="2025-05-22 11:26:30"/>
    <n v="25"/>
    <x v="0"/>
    <x v="0"/>
    <x v="0"/>
    <n v="5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25"/>
    <x v="1"/>
    <x v="1"/>
    <x v="0"/>
    <n v="4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25"/>
    <x v="2"/>
    <x v="2"/>
    <x v="1"/>
    <n v="0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25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25"/>
    <x v="4"/>
    <x v="0"/>
    <x v="1"/>
    <n v="0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25"/>
    <x v="5"/>
    <x v="1"/>
    <x v="1"/>
    <n v="0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25"/>
    <x v="6"/>
    <x v="1"/>
    <x v="2"/>
    <n v="4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25"/>
    <x v="7"/>
    <x v="4"/>
    <x v="3"/>
    <n v="5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25"/>
    <x v="8"/>
    <x v="5"/>
    <x v="3"/>
    <n v="4.2906548761083699E-2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25"/>
    <x v="9"/>
    <x v="4"/>
    <x v="3"/>
    <n v="0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25"/>
    <x v="10"/>
    <x v="5"/>
    <x v="3"/>
    <n v="0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  <r>
    <x v="0"/>
    <s v="2025-05-22 11:26:30"/>
    <n v="26"/>
    <x v="0"/>
    <x v="0"/>
    <x v="0"/>
    <n v="3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26"/>
    <x v="1"/>
    <x v="1"/>
    <x v="0"/>
    <n v="3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26"/>
    <x v="2"/>
    <x v="2"/>
    <x v="1"/>
    <n v="0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26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26"/>
    <x v="4"/>
    <x v="0"/>
    <x v="1"/>
    <n v="0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26"/>
    <x v="5"/>
    <x v="1"/>
    <x v="1"/>
    <n v="0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26"/>
    <x v="6"/>
    <x v="1"/>
    <x v="2"/>
    <n v="3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26"/>
    <x v="7"/>
    <x v="4"/>
    <x v="3"/>
    <n v="3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26"/>
    <x v="8"/>
    <x v="5"/>
    <x v="3"/>
    <n v="2.9691201996992499E-2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26"/>
    <x v="9"/>
    <x v="4"/>
    <x v="3"/>
    <n v="0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26"/>
    <x v="10"/>
    <x v="5"/>
    <x v="3"/>
    <n v="0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  <r>
    <x v="0"/>
    <s v="2025-05-22 11:26:30"/>
    <n v="27"/>
    <x v="0"/>
    <x v="0"/>
    <x v="0"/>
    <n v="1"/>
    <n v="0"/>
    <s v="Escenario AEntity 1.NumberInNumber InEntity"/>
    <n v="27"/>
    <n v="1.2962962962962963"/>
    <n v="1.1706281947614154"/>
    <n v="0.95"/>
    <n v="0.46308509071488152"/>
    <n v="0"/>
    <n v="5"/>
  </r>
  <r>
    <x v="0"/>
    <s v="2025-05-22 11:26:30"/>
    <n v="27"/>
    <x v="1"/>
    <x v="1"/>
    <x v="0"/>
    <n v="1"/>
    <n v="0"/>
    <s v="Escenario AEntity 1.NumberOutNumber OutEntity"/>
    <n v="27"/>
    <n v="1.1851851851851851"/>
    <n v="1.0754976321197349"/>
    <n v="0.95"/>
    <n v="0.42545269348763143"/>
    <n v="0"/>
    <n v="4"/>
  </r>
  <r>
    <x v="0"/>
    <s v="2025-05-22 11:26:30"/>
    <n v="27"/>
    <x v="2"/>
    <x v="2"/>
    <x v="1"/>
    <n v="0"/>
    <n v="0"/>
    <s v="Escenario ASeguimiemto Accum VA TimeAccum VA TimeProcess"/>
    <n v="27"/>
    <n v="9.5157533027466656E-2"/>
    <n v="0.4944530457794572"/>
    <n v="0.95"/>
    <n v="0.19559911044658918"/>
    <n v="0"/>
    <n v="2.5692533917415998"/>
  </r>
  <r>
    <x v="0"/>
    <s v="2025-05-22 11:26:30"/>
    <n v="27"/>
    <x v="3"/>
    <x v="3"/>
    <x v="1"/>
    <n v="0"/>
    <n v="0"/>
    <s v="Escenario ASeguimiemto Accum Wait TimeAccum Wait TimeProcess"/>
    <n v="27"/>
    <n v="0"/>
    <n v="0"/>
    <n v="0.95"/>
    <n v="0"/>
    <n v="0"/>
    <n v="0"/>
  </r>
  <r>
    <x v="0"/>
    <s v="2025-05-22 11:26:30"/>
    <n v="27"/>
    <x v="4"/>
    <x v="0"/>
    <x v="1"/>
    <n v="0"/>
    <n v="0"/>
    <s v="Escenario ASeguimiemto Number InNumber InProcess"/>
    <n v="27"/>
    <n v="3.7037037037037035E-2"/>
    <n v="0.19245008972987526"/>
    <n v="0.95"/>
    <n v="7.6130719949736039E-2"/>
    <n v="0"/>
    <n v="1"/>
  </r>
  <r>
    <x v="0"/>
    <s v="2025-05-22 11:26:30"/>
    <n v="27"/>
    <x v="5"/>
    <x v="1"/>
    <x v="1"/>
    <n v="0"/>
    <n v="0"/>
    <s v="Escenario ASeguimiemto Number OutNumber OutProcess"/>
    <n v="27"/>
    <n v="3.7037037037037035E-2"/>
    <n v="0.19245008972987526"/>
    <n v="0.95"/>
    <n v="7.6130719949736039E-2"/>
    <n v="0"/>
    <n v="1"/>
  </r>
  <r>
    <x v="0"/>
    <s v="2025-05-22 11:26:30"/>
    <n v="27"/>
    <x v="6"/>
    <x v="1"/>
    <x v="2"/>
    <n v="1"/>
    <n v="0"/>
    <s v="Escenario ASystem.NumberOutNumber OutSystem"/>
    <n v="27"/>
    <n v="1.1851851851851851"/>
    <n v="1.0754976321197349"/>
    <n v="0.95"/>
    <n v="0.42545269348763143"/>
    <n v="0"/>
    <n v="4"/>
  </r>
  <r>
    <x v="0"/>
    <s v="2025-05-22 11:26:30"/>
    <n v="27"/>
    <x v="7"/>
    <x v="4"/>
    <x v="3"/>
    <n v="1"/>
    <n v="0"/>
    <s v="Escenario ArEnfermera.NumberSeizedTotal Number SeizedResource"/>
    <n v="27"/>
    <n v="1.2962962962962963"/>
    <n v="1.1706281947614154"/>
    <n v="0.95"/>
    <n v="0.46308509071488152"/>
    <n v="0"/>
    <n v="5"/>
  </r>
  <r>
    <x v="0"/>
    <s v="2025-05-22 11:26:30"/>
    <n v="27"/>
    <x v="8"/>
    <x v="5"/>
    <x v="3"/>
    <n v="1.03139585215707E-2"/>
    <n v="0"/>
    <s v="Escenario ArEnfermera.ScheduledUtilizationScheduled UtilizationResource"/>
    <n v="27"/>
    <n v="1.2223949425906553E-2"/>
    <n v="1.112543407769513E-2"/>
    <n v="0.95"/>
    <n v="4.4010751425322646E-3"/>
    <n v="0"/>
    <n v="4.2906548761083699E-2"/>
  </r>
  <r>
    <x v="0"/>
    <s v="2025-05-22 11:26:30"/>
    <n v="27"/>
    <x v="9"/>
    <x v="4"/>
    <x v="3"/>
    <n v="0"/>
    <n v="0"/>
    <s v="Escenario ArSeguimiento.NumberSeizedTotal Number SeizedResource"/>
    <n v="27"/>
    <n v="3.7037037037037035E-2"/>
    <n v="0.19245008972987526"/>
    <n v="0.95"/>
    <n v="7.6130719949736039E-2"/>
    <n v="0"/>
    <n v="1"/>
  </r>
  <r>
    <x v="0"/>
    <s v="2025-05-22 11:26:30"/>
    <n v="27"/>
    <x v="10"/>
    <x v="5"/>
    <x v="3"/>
    <n v="0"/>
    <n v="0"/>
    <s v="Escenario ArSeguimiento.ScheduledUtilizationScheduled UtilizationResource"/>
    <n v="27"/>
    <n v="1.5859588837911111E-4"/>
    <n v="8.2408840963242873E-4"/>
    <n v="0.95"/>
    <n v="3.2599851741098198E-4"/>
    <n v="0"/>
    <n v="4.2820889862359999E-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x v="0"/>
    <s v="2025-05-22 11:26:30"/>
    <n v="1"/>
    <x v="0"/>
    <x v="0"/>
    <x v="0"/>
    <n v="9.4430249510039505E-2"/>
    <n v="2E+20"/>
    <n v="0"/>
    <n v="1"/>
    <n v="0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1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1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1"/>
    <x v="3"/>
    <x v="2"/>
    <x v="2"/>
    <n v="3.14767498366798E-2"/>
    <n v="2E+20"/>
    <n v="0"/>
    <n v="0.33333333333333298"/>
    <n v="0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1"/>
    <x v="3"/>
    <x v="3"/>
    <x v="2"/>
    <n v="9.4430249510039505E-2"/>
    <n v="2E+20"/>
    <n v="0"/>
    <n v="1"/>
    <n v="0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1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1"/>
    <x v="4"/>
    <x v="2"/>
    <x v="2"/>
    <n v="0"/>
    <n v="2E+20"/>
    <n v="0"/>
    <n v="0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1"/>
    <x v="4"/>
    <x v="3"/>
    <x v="2"/>
    <n v="0"/>
    <n v="2E+20"/>
    <n v="0"/>
    <n v="0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1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  <r>
    <x v="0"/>
    <s v="2025-05-22 11:26:30"/>
    <n v="2"/>
    <x v="0"/>
    <x v="0"/>
    <x v="0"/>
    <n v="5.9127034604370701E-2"/>
    <n v="2E+20"/>
    <n v="0"/>
    <n v="1"/>
    <n v="0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2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2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2"/>
    <x v="3"/>
    <x v="2"/>
    <x v="2"/>
    <n v="1.97090115347902E-2"/>
    <n v="2E+20"/>
    <n v="0"/>
    <n v="0.33333333333333298"/>
    <n v="0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2"/>
    <x v="3"/>
    <x v="3"/>
    <x v="2"/>
    <n v="5.9127034604370701E-2"/>
    <n v="2E+20"/>
    <n v="0"/>
    <n v="1"/>
    <n v="0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2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2"/>
    <x v="4"/>
    <x v="2"/>
    <x v="2"/>
    <n v="0"/>
    <n v="2E+20"/>
    <n v="0"/>
    <n v="0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2"/>
    <x v="4"/>
    <x v="3"/>
    <x v="2"/>
    <n v="0"/>
    <n v="2E+20"/>
    <n v="0"/>
    <n v="0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2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  <r>
    <x v="0"/>
    <s v="2025-05-22 11:26:30"/>
    <n v="3"/>
    <x v="0"/>
    <x v="0"/>
    <x v="0"/>
    <n v="2.9205643334124402E-2"/>
    <n v="2E+20"/>
    <n v="0"/>
    <n v="1"/>
    <n v="0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3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3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3"/>
    <x v="3"/>
    <x v="2"/>
    <x v="2"/>
    <n v="9.7352144447081304E-3"/>
    <n v="2E+20"/>
    <n v="0"/>
    <n v="0.33333333333333298"/>
    <n v="0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3"/>
    <x v="3"/>
    <x v="3"/>
    <x v="2"/>
    <n v="2.9205643334124402E-2"/>
    <n v="2E+20"/>
    <n v="0"/>
    <n v="1"/>
    <n v="0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3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3"/>
    <x v="4"/>
    <x v="2"/>
    <x v="2"/>
    <n v="0"/>
    <n v="2E+20"/>
    <n v="0"/>
    <n v="0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3"/>
    <x v="4"/>
    <x v="3"/>
    <x v="2"/>
    <n v="0"/>
    <n v="2E+20"/>
    <n v="0"/>
    <n v="0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3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  <r>
    <x v="0"/>
    <s v="2025-05-22 11:26:30"/>
    <n v="4"/>
    <x v="0"/>
    <x v="0"/>
    <x v="0"/>
    <n v="9.5880464639208102E-2"/>
    <n v="2E+20"/>
    <n v="0"/>
    <n v="2"/>
    <n v="0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4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4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4"/>
    <x v="3"/>
    <x v="2"/>
    <x v="2"/>
    <n v="3.0532791884324E-2"/>
    <n v="2E+20"/>
    <n v="0"/>
    <n v="0.66666666666666696"/>
    <n v="0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4"/>
    <x v="3"/>
    <x v="3"/>
    <x v="2"/>
    <n v="9.1598375652972103E-2"/>
    <n v="2E+20"/>
    <n v="0"/>
    <n v="2"/>
    <n v="0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4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4"/>
    <x v="4"/>
    <x v="2"/>
    <x v="2"/>
    <n v="4.2820889862359999E-3"/>
    <n v="2E+20"/>
    <n v="0"/>
    <n v="1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4"/>
    <x v="4"/>
    <x v="3"/>
    <x v="2"/>
    <n v="4.2820889862359999E-3"/>
    <n v="2E+20"/>
    <n v="0"/>
    <n v="1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4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  <r>
    <x v="0"/>
    <s v="2025-05-22 11:26:30"/>
    <n v="5"/>
    <x v="0"/>
    <x v="0"/>
    <x v="0"/>
    <n v="0"/>
    <n v="2E+20"/>
    <n v="0"/>
    <n v="0"/>
    <n v="0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5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5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5"/>
    <x v="3"/>
    <x v="2"/>
    <x v="2"/>
    <n v="0"/>
    <n v="2E+20"/>
    <n v="0"/>
    <n v="0"/>
    <n v="0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5"/>
    <x v="3"/>
    <x v="3"/>
    <x v="2"/>
    <n v="0"/>
    <n v="2E+20"/>
    <n v="0"/>
    <n v="0"/>
    <n v="0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5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5"/>
    <x v="4"/>
    <x v="2"/>
    <x v="2"/>
    <n v="0"/>
    <n v="2E+20"/>
    <n v="0"/>
    <n v="0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5"/>
    <x v="4"/>
    <x v="3"/>
    <x v="2"/>
    <n v="0"/>
    <n v="2E+20"/>
    <n v="0"/>
    <n v="0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5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  <r>
    <x v="0"/>
    <s v="2025-05-22 11:26:30"/>
    <n v="6"/>
    <x v="0"/>
    <x v="0"/>
    <x v="0"/>
    <n v="0"/>
    <n v="2E+20"/>
    <n v="0"/>
    <n v="0"/>
    <n v="0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6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6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6"/>
    <x v="3"/>
    <x v="2"/>
    <x v="2"/>
    <n v="0"/>
    <n v="2E+20"/>
    <n v="0"/>
    <n v="0"/>
    <n v="0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6"/>
    <x v="3"/>
    <x v="3"/>
    <x v="2"/>
    <n v="0"/>
    <n v="2E+20"/>
    <n v="0"/>
    <n v="0"/>
    <n v="0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6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6"/>
    <x v="4"/>
    <x v="2"/>
    <x v="2"/>
    <n v="0"/>
    <n v="2E+20"/>
    <n v="0"/>
    <n v="0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6"/>
    <x v="4"/>
    <x v="3"/>
    <x v="2"/>
    <n v="0"/>
    <n v="2E+20"/>
    <n v="0"/>
    <n v="0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6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  <r>
    <x v="0"/>
    <s v="2025-05-22 11:26:30"/>
    <n v="7"/>
    <x v="0"/>
    <x v="0"/>
    <x v="0"/>
    <n v="2.81208416990829E-2"/>
    <n v="2E+20"/>
    <n v="0"/>
    <n v="1"/>
    <n v="0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7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7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7"/>
    <x v="3"/>
    <x v="2"/>
    <x v="2"/>
    <n v="9.3736138996943098E-3"/>
    <n v="2E+20"/>
    <n v="0"/>
    <n v="0.33333333333333298"/>
    <n v="0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7"/>
    <x v="3"/>
    <x v="3"/>
    <x v="2"/>
    <n v="2.81208416990829E-2"/>
    <n v="2E+20"/>
    <n v="0"/>
    <n v="1"/>
    <n v="0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7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7"/>
    <x v="4"/>
    <x v="2"/>
    <x v="2"/>
    <n v="0"/>
    <n v="2E+20"/>
    <n v="0"/>
    <n v="0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7"/>
    <x v="4"/>
    <x v="3"/>
    <x v="2"/>
    <n v="0"/>
    <n v="2E+20"/>
    <n v="0"/>
    <n v="0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7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  <r>
    <x v="0"/>
    <s v="2025-05-22 11:26:30"/>
    <n v="8"/>
    <x v="0"/>
    <x v="0"/>
    <x v="0"/>
    <n v="2.7789899851861501E-2"/>
    <n v="2E+20"/>
    <n v="0"/>
    <n v="1"/>
    <n v="0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8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8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8"/>
    <x v="3"/>
    <x v="2"/>
    <x v="2"/>
    <n v="9.2632999506205103E-3"/>
    <n v="2E+20"/>
    <n v="0"/>
    <n v="0.33333333333333298"/>
    <n v="0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8"/>
    <x v="3"/>
    <x v="3"/>
    <x v="2"/>
    <n v="2.7789899851861501E-2"/>
    <n v="2E+20"/>
    <n v="0"/>
    <n v="1"/>
    <n v="0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8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8"/>
    <x v="4"/>
    <x v="2"/>
    <x v="2"/>
    <n v="0"/>
    <n v="2E+20"/>
    <n v="0"/>
    <n v="0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8"/>
    <x v="4"/>
    <x v="3"/>
    <x v="2"/>
    <n v="0"/>
    <n v="2E+20"/>
    <n v="0"/>
    <n v="0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8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  <r>
    <x v="0"/>
    <s v="2025-05-22 11:26:30"/>
    <n v="9"/>
    <x v="0"/>
    <x v="0"/>
    <x v="0"/>
    <n v="0"/>
    <n v="2E+20"/>
    <n v="0"/>
    <n v="0"/>
    <n v="0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9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9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9"/>
    <x v="3"/>
    <x v="2"/>
    <x v="2"/>
    <n v="0"/>
    <n v="2E+20"/>
    <n v="0"/>
    <n v="0"/>
    <n v="0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9"/>
    <x v="3"/>
    <x v="3"/>
    <x v="2"/>
    <n v="0"/>
    <n v="2E+20"/>
    <n v="0"/>
    <n v="0"/>
    <n v="0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9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9"/>
    <x v="4"/>
    <x v="2"/>
    <x v="2"/>
    <n v="0"/>
    <n v="2E+20"/>
    <n v="0"/>
    <n v="0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9"/>
    <x v="4"/>
    <x v="3"/>
    <x v="2"/>
    <n v="0"/>
    <n v="2E+20"/>
    <n v="0"/>
    <n v="0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9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  <r>
    <x v="0"/>
    <s v="2025-05-22 11:26:30"/>
    <n v="10"/>
    <x v="0"/>
    <x v="0"/>
    <x v="0"/>
    <n v="6.3264843319564903E-2"/>
    <n v="2E+20"/>
    <n v="0"/>
    <n v="1"/>
    <n v="0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10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10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10"/>
    <x v="3"/>
    <x v="2"/>
    <x v="2"/>
    <n v="2.1088281106521601E-2"/>
    <n v="2E+20"/>
    <n v="0"/>
    <n v="0.33333333333333298"/>
    <n v="0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10"/>
    <x v="3"/>
    <x v="3"/>
    <x v="2"/>
    <n v="6.3264843319564903E-2"/>
    <n v="2E+20"/>
    <n v="0"/>
    <n v="1"/>
    <n v="0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10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10"/>
    <x v="4"/>
    <x v="2"/>
    <x v="2"/>
    <n v="0"/>
    <n v="2E+20"/>
    <n v="0"/>
    <n v="0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10"/>
    <x v="4"/>
    <x v="3"/>
    <x v="2"/>
    <n v="0"/>
    <n v="2E+20"/>
    <n v="0"/>
    <n v="0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10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  <r>
    <x v="0"/>
    <s v="2025-05-22 11:26:30"/>
    <n v="11"/>
    <x v="0"/>
    <x v="0"/>
    <x v="0"/>
    <n v="2.7821715210644599E-2"/>
    <n v="2E+20"/>
    <n v="0"/>
    <n v="1"/>
    <n v="0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11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11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11"/>
    <x v="3"/>
    <x v="2"/>
    <x v="2"/>
    <n v="9.2739050702148607E-3"/>
    <n v="2E+20"/>
    <n v="0"/>
    <n v="0.33333333333333298"/>
    <n v="0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11"/>
    <x v="3"/>
    <x v="3"/>
    <x v="2"/>
    <n v="2.7821715210644599E-2"/>
    <n v="2E+20"/>
    <n v="0"/>
    <n v="1"/>
    <n v="0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11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11"/>
    <x v="4"/>
    <x v="2"/>
    <x v="2"/>
    <n v="0"/>
    <n v="2E+20"/>
    <n v="0"/>
    <n v="0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11"/>
    <x v="4"/>
    <x v="3"/>
    <x v="2"/>
    <n v="0"/>
    <n v="2E+20"/>
    <n v="0"/>
    <n v="0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11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  <r>
    <x v="0"/>
    <s v="2025-05-22 11:26:30"/>
    <n v="12"/>
    <x v="0"/>
    <x v="0"/>
    <x v="0"/>
    <n v="3.0282725557134502E-2"/>
    <n v="2E+20"/>
    <n v="0"/>
    <n v="1"/>
    <n v="0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12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12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12"/>
    <x v="3"/>
    <x v="2"/>
    <x v="2"/>
    <n v="1.00942418523782E-2"/>
    <n v="2E+20"/>
    <n v="0"/>
    <n v="0.33333333333333298"/>
    <n v="0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12"/>
    <x v="3"/>
    <x v="3"/>
    <x v="2"/>
    <n v="3.0282725557134502E-2"/>
    <n v="2E+20"/>
    <n v="0"/>
    <n v="1"/>
    <n v="0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12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12"/>
    <x v="4"/>
    <x v="2"/>
    <x v="2"/>
    <n v="0"/>
    <n v="2E+20"/>
    <n v="0"/>
    <n v="0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12"/>
    <x v="4"/>
    <x v="3"/>
    <x v="2"/>
    <n v="0"/>
    <n v="2E+20"/>
    <n v="0"/>
    <n v="0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12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  <r>
    <x v="0"/>
    <s v="2025-05-22 11:26:30"/>
    <n v="13"/>
    <x v="0"/>
    <x v="0"/>
    <x v="0"/>
    <n v="6.2204778210187099E-2"/>
    <n v="2E+20"/>
    <n v="0"/>
    <n v="1"/>
    <n v="0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13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13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13"/>
    <x v="3"/>
    <x v="2"/>
    <x v="2"/>
    <n v="2.0734926070062401E-2"/>
    <n v="2E+20"/>
    <n v="0"/>
    <n v="0.33333333333333298"/>
    <n v="0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13"/>
    <x v="3"/>
    <x v="3"/>
    <x v="2"/>
    <n v="6.2204778210187099E-2"/>
    <n v="2E+20"/>
    <n v="0"/>
    <n v="1"/>
    <n v="0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13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13"/>
    <x v="4"/>
    <x v="2"/>
    <x v="2"/>
    <n v="0"/>
    <n v="2E+20"/>
    <n v="0"/>
    <n v="0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13"/>
    <x v="4"/>
    <x v="3"/>
    <x v="2"/>
    <n v="0"/>
    <n v="2E+20"/>
    <n v="0"/>
    <n v="0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13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  <r>
    <x v="0"/>
    <s v="2025-05-22 11:26:30"/>
    <n v="14"/>
    <x v="0"/>
    <x v="0"/>
    <x v="0"/>
    <n v="2.84466395796719E-2"/>
    <n v="2E+20"/>
    <n v="0"/>
    <n v="1"/>
    <n v="0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14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14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14"/>
    <x v="3"/>
    <x v="2"/>
    <x v="2"/>
    <n v="9.48221319322398E-3"/>
    <n v="2E+20"/>
    <n v="0"/>
    <n v="0.33333333333333298"/>
    <n v="0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14"/>
    <x v="3"/>
    <x v="3"/>
    <x v="2"/>
    <n v="2.84466395796719E-2"/>
    <n v="2E+20"/>
    <n v="0"/>
    <n v="1"/>
    <n v="0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14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14"/>
    <x v="4"/>
    <x v="2"/>
    <x v="2"/>
    <n v="0"/>
    <n v="2E+20"/>
    <n v="0"/>
    <n v="0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14"/>
    <x v="4"/>
    <x v="3"/>
    <x v="2"/>
    <n v="0"/>
    <n v="2E+20"/>
    <n v="0"/>
    <n v="0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14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  <r>
    <x v="0"/>
    <s v="2025-05-22 11:26:30"/>
    <n v="15"/>
    <x v="0"/>
    <x v="0"/>
    <x v="0"/>
    <n v="2.8852631373145799E-2"/>
    <n v="2E+20"/>
    <n v="0"/>
    <n v="1"/>
    <n v="0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15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15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15"/>
    <x v="3"/>
    <x v="2"/>
    <x v="2"/>
    <n v="9.6175437910486009E-3"/>
    <n v="2E+20"/>
    <n v="0"/>
    <n v="0.33333333333333298"/>
    <n v="0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15"/>
    <x v="3"/>
    <x v="3"/>
    <x v="2"/>
    <n v="2.8852631373145799E-2"/>
    <n v="2E+20"/>
    <n v="0"/>
    <n v="1"/>
    <n v="0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15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15"/>
    <x v="4"/>
    <x v="2"/>
    <x v="2"/>
    <n v="0"/>
    <n v="2E+20"/>
    <n v="0"/>
    <n v="0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15"/>
    <x v="4"/>
    <x v="3"/>
    <x v="2"/>
    <n v="0"/>
    <n v="2E+20"/>
    <n v="0"/>
    <n v="0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15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  <r>
    <x v="0"/>
    <s v="2025-05-22 11:26:30"/>
    <n v="16"/>
    <x v="0"/>
    <x v="0"/>
    <x v="0"/>
    <n v="0"/>
    <n v="2E+20"/>
    <n v="0"/>
    <n v="0"/>
    <n v="0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16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16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16"/>
    <x v="3"/>
    <x v="2"/>
    <x v="2"/>
    <n v="0"/>
    <n v="2E+20"/>
    <n v="0"/>
    <n v="0"/>
    <n v="0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16"/>
    <x v="3"/>
    <x v="3"/>
    <x v="2"/>
    <n v="0"/>
    <n v="2E+20"/>
    <n v="0"/>
    <n v="0"/>
    <n v="0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16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16"/>
    <x v="4"/>
    <x v="2"/>
    <x v="2"/>
    <n v="0"/>
    <n v="2E+20"/>
    <n v="0"/>
    <n v="0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16"/>
    <x v="4"/>
    <x v="3"/>
    <x v="2"/>
    <n v="0"/>
    <n v="2E+20"/>
    <n v="0"/>
    <n v="0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16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  <r>
    <x v="0"/>
    <s v="2025-05-22 11:26:30"/>
    <n v="17"/>
    <x v="0"/>
    <x v="0"/>
    <x v="0"/>
    <n v="2.96027111732345E-2"/>
    <n v="2E+20"/>
    <n v="0"/>
    <n v="1"/>
    <n v="0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17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17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17"/>
    <x v="3"/>
    <x v="2"/>
    <x v="2"/>
    <n v="9.8675703910781603E-3"/>
    <n v="2E+20"/>
    <n v="0"/>
    <n v="0.33333333333333298"/>
    <n v="0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17"/>
    <x v="3"/>
    <x v="3"/>
    <x v="2"/>
    <n v="2.96027111732345E-2"/>
    <n v="2E+20"/>
    <n v="0"/>
    <n v="1"/>
    <n v="0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17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17"/>
    <x v="4"/>
    <x v="2"/>
    <x v="2"/>
    <n v="0"/>
    <n v="2E+20"/>
    <n v="0"/>
    <n v="0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17"/>
    <x v="4"/>
    <x v="3"/>
    <x v="2"/>
    <n v="0"/>
    <n v="2E+20"/>
    <n v="0"/>
    <n v="0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17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  <r>
    <x v="0"/>
    <s v="2025-05-22 11:26:30"/>
    <n v="18"/>
    <x v="0"/>
    <x v="0"/>
    <x v="0"/>
    <n v="2.9093806598931401E-2"/>
    <n v="2E+20"/>
    <n v="0"/>
    <n v="1"/>
    <n v="0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18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18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18"/>
    <x v="3"/>
    <x v="2"/>
    <x v="2"/>
    <n v="9.6979355329771203E-3"/>
    <n v="2E+20"/>
    <n v="0"/>
    <n v="0.33333333333333298"/>
    <n v="0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18"/>
    <x v="3"/>
    <x v="3"/>
    <x v="2"/>
    <n v="2.9093806598931401E-2"/>
    <n v="2E+20"/>
    <n v="0"/>
    <n v="1"/>
    <n v="0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18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18"/>
    <x v="4"/>
    <x v="2"/>
    <x v="2"/>
    <n v="0"/>
    <n v="2E+20"/>
    <n v="0"/>
    <n v="0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18"/>
    <x v="4"/>
    <x v="3"/>
    <x v="2"/>
    <n v="0"/>
    <n v="2E+20"/>
    <n v="0"/>
    <n v="0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18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  <r>
    <x v="0"/>
    <s v="2025-05-22 11:26:30"/>
    <n v="19"/>
    <x v="0"/>
    <x v="0"/>
    <x v="0"/>
    <n v="4.4388034173141203E-2"/>
    <n v="2E+20"/>
    <n v="0"/>
    <n v="1"/>
    <n v="1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19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19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19"/>
    <x v="3"/>
    <x v="2"/>
    <x v="2"/>
    <n v="1.47960113910471E-2"/>
    <n v="2E+20"/>
    <n v="0"/>
    <n v="0.33333333333333298"/>
    <n v="0.33333333333333298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19"/>
    <x v="3"/>
    <x v="3"/>
    <x v="2"/>
    <n v="4.4388034173141203E-2"/>
    <n v="2E+20"/>
    <n v="0"/>
    <n v="1"/>
    <n v="1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19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19"/>
    <x v="4"/>
    <x v="2"/>
    <x v="2"/>
    <n v="0"/>
    <n v="2E+20"/>
    <n v="0"/>
    <n v="0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19"/>
    <x v="4"/>
    <x v="3"/>
    <x v="2"/>
    <n v="0"/>
    <n v="2E+20"/>
    <n v="0"/>
    <n v="0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19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  <r>
    <x v="0"/>
    <s v="2025-05-22 11:26:30"/>
    <n v="20"/>
    <x v="0"/>
    <x v="0"/>
    <x v="0"/>
    <n v="2.84655196697393E-2"/>
    <n v="2E+20"/>
    <n v="0"/>
    <n v="1"/>
    <n v="0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20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20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20"/>
    <x v="3"/>
    <x v="2"/>
    <x v="2"/>
    <n v="9.4885065565797604E-3"/>
    <n v="2E+20"/>
    <n v="0"/>
    <n v="0.33333333333333298"/>
    <n v="0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20"/>
    <x v="3"/>
    <x v="3"/>
    <x v="2"/>
    <n v="2.84655196697393E-2"/>
    <n v="2E+20"/>
    <n v="0"/>
    <n v="1"/>
    <n v="0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20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20"/>
    <x v="4"/>
    <x v="2"/>
    <x v="2"/>
    <n v="0"/>
    <n v="2E+20"/>
    <n v="0"/>
    <n v="0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20"/>
    <x v="4"/>
    <x v="3"/>
    <x v="2"/>
    <n v="0"/>
    <n v="2E+20"/>
    <n v="0"/>
    <n v="0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20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  <r>
    <x v="0"/>
    <s v="2025-05-22 11:26:30"/>
    <n v="21"/>
    <x v="0"/>
    <x v="0"/>
    <x v="0"/>
    <n v="2.7626319063832401E-2"/>
    <n v="2E+20"/>
    <n v="0"/>
    <n v="1"/>
    <n v="0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21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21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21"/>
    <x v="3"/>
    <x v="2"/>
    <x v="2"/>
    <n v="9.2087730212774797E-3"/>
    <n v="2E+20"/>
    <n v="0"/>
    <n v="0.33333333333333298"/>
    <n v="0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21"/>
    <x v="3"/>
    <x v="3"/>
    <x v="2"/>
    <n v="2.7626319063832401E-2"/>
    <n v="2E+20"/>
    <n v="0"/>
    <n v="1"/>
    <n v="0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21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21"/>
    <x v="4"/>
    <x v="2"/>
    <x v="2"/>
    <n v="0"/>
    <n v="2E+20"/>
    <n v="0"/>
    <n v="0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21"/>
    <x v="4"/>
    <x v="3"/>
    <x v="2"/>
    <n v="0"/>
    <n v="2E+20"/>
    <n v="0"/>
    <n v="0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21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  <r>
    <x v="0"/>
    <s v="2025-05-22 11:26:30"/>
    <n v="22"/>
    <x v="0"/>
    <x v="0"/>
    <x v="0"/>
    <n v="1.10830070778114E-2"/>
    <n v="2E+20"/>
    <n v="0"/>
    <n v="1"/>
    <n v="1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22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22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22"/>
    <x v="3"/>
    <x v="2"/>
    <x v="2"/>
    <n v="3.6943356926037898E-3"/>
    <n v="2E+20"/>
    <n v="0"/>
    <n v="0.33333333333333298"/>
    <n v="0.33333333333333298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22"/>
    <x v="3"/>
    <x v="3"/>
    <x v="2"/>
    <n v="1.10830070778114E-2"/>
    <n v="2E+20"/>
    <n v="0"/>
    <n v="1"/>
    <n v="1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22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22"/>
    <x v="4"/>
    <x v="2"/>
    <x v="2"/>
    <n v="0"/>
    <n v="2E+20"/>
    <n v="0"/>
    <n v="0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22"/>
    <x v="4"/>
    <x v="3"/>
    <x v="2"/>
    <n v="0"/>
    <n v="2E+20"/>
    <n v="0"/>
    <n v="0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22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  <r>
    <x v="0"/>
    <s v="2025-05-22 11:26:30"/>
    <n v="23"/>
    <x v="0"/>
    <x v="0"/>
    <x v="0"/>
    <n v="0"/>
    <n v="2E+20"/>
    <n v="0"/>
    <n v="0"/>
    <n v="0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23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23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23"/>
    <x v="3"/>
    <x v="2"/>
    <x v="2"/>
    <n v="0"/>
    <n v="2E+20"/>
    <n v="0"/>
    <n v="0"/>
    <n v="0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23"/>
    <x v="3"/>
    <x v="3"/>
    <x v="2"/>
    <n v="0"/>
    <n v="2E+20"/>
    <n v="0"/>
    <n v="0"/>
    <n v="0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23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23"/>
    <x v="4"/>
    <x v="2"/>
    <x v="2"/>
    <n v="0"/>
    <n v="2E+20"/>
    <n v="0"/>
    <n v="0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23"/>
    <x v="4"/>
    <x v="3"/>
    <x v="2"/>
    <n v="0"/>
    <n v="2E+20"/>
    <n v="0"/>
    <n v="0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23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  <r>
    <x v="0"/>
    <s v="2025-05-22 11:26:30"/>
    <n v="24"/>
    <x v="0"/>
    <x v="0"/>
    <x v="0"/>
    <n v="0"/>
    <n v="2E+20"/>
    <n v="0"/>
    <n v="0"/>
    <n v="0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24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24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24"/>
    <x v="3"/>
    <x v="2"/>
    <x v="2"/>
    <n v="0"/>
    <n v="2E+20"/>
    <n v="0"/>
    <n v="0"/>
    <n v="0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24"/>
    <x v="3"/>
    <x v="3"/>
    <x v="2"/>
    <n v="0"/>
    <n v="2E+20"/>
    <n v="0"/>
    <n v="0"/>
    <n v="0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24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24"/>
    <x v="4"/>
    <x v="2"/>
    <x v="2"/>
    <n v="0"/>
    <n v="2E+20"/>
    <n v="0"/>
    <n v="0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24"/>
    <x v="4"/>
    <x v="3"/>
    <x v="2"/>
    <n v="0"/>
    <n v="2E+20"/>
    <n v="0"/>
    <n v="0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24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  <r>
    <x v="0"/>
    <s v="2025-05-22 11:26:30"/>
    <n v="25"/>
    <x v="0"/>
    <x v="0"/>
    <x v="0"/>
    <n v="0.128719646283251"/>
    <n v="2E+20"/>
    <n v="0"/>
    <n v="2"/>
    <n v="1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25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25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25"/>
    <x v="3"/>
    <x v="2"/>
    <x v="2"/>
    <n v="4.2906548761083699E-2"/>
    <n v="2E+20"/>
    <n v="0"/>
    <n v="0.66666666666666696"/>
    <n v="0.33333333333333298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25"/>
    <x v="3"/>
    <x v="3"/>
    <x v="2"/>
    <n v="0.128719646283251"/>
    <n v="2E+20"/>
    <n v="0"/>
    <n v="2"/>
    <n v="1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25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25"/>
    <x v="4"/>
    <x v="2"/>
    <x v="2"/>
    <n v="0"/>
    <n v="2E+20"/>
    <n v="0"/>
    <n v="0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25"/>
    <x v="4"/>
    <x v="3"/>
    <x v="2"/>
    <n v="0"/>
    <n v="2E+20"/>
    <n v="0"/>
    <n v="0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25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  <r>
    <x v="0"/>
    <s v="2025-05-22 11:26:30"/>
    <n v="26"/>
    <x v="0"/>
    <x v="0"/>
    <x v="0"/>
    <n v="8.9073605990977495E-2"/>
    <n v="2E+20"/>
    <n v="0"/>
    <n v="1"/>
    <n v="0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26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26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26"/>
    <x v="3"/>
    <x v="2"/>
    <x v="2"/>
    <n v="2.9691201996992499E-2"/>
    <n v="2E+20"/>
    <n v="0"/>
    <n v="0.33333333333333298"/>
    <n v="0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26"/>
    <x v="3"/>
    <x v="3"/>
    <x v="2"/>
    <n v="8.9073605990977495E-2"/>
    <n v="2E+20"/>
    <n v="0"/>
    <n v="1"/>
    <n v="0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26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26"/>
    <x v="4"/>
    <x v="2"/>
    <x v="2"/>
    <n v="0"/>
    <n v="2E+20"/>
    <n v="0"/>
    <n v="0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26"/>
    <x v="4"/>
    <x v="3"/>
    <x v="2"/>
    <n v="0"/>
    <n v="2E+20"/>
    <n v="0"/>
    <n v="0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26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  <r>
    <x v="0"/>
    <s v="2025-05-22 11:26:30"/>
    <n v="27"/>
    <x v="0"/>
    <x v="0"/>
    <x v="0"/>
    <n v="3.0941875564712E-2"/>
    <n v="2E+20"/>
    <n v="0"/>
    <n v="1"/>
    <n v="0"/>
    <n v="0"/>
    <s v="Escenario AEntity 1WIPEntity"/>
    <n v="27"/>
    <n v="3.6830444166098757E-2"/>
    <n v="3.3656336721817545E-2"/>
    <n v="0.95"/>
    <n v="1.3314003381859424E-2"/>
    <n v="0"/>
    <n v="0.128719646283251"/>
    <n v="1.3314003381859424E-2"/>
  </r>
  <r>
    <x v="0"/>
    <s v="2025-05-22 11:26:30"/>
    <n v="27"/>
    <x v="1"/>
    <x v="1"/>
    <x v="1"/>
    <n v="0"/>
    <n v="2E+20"/>
    <n v="0"/>
    <n v="0"/>
    <n v="0"/>
    <n v="0"/>
    <s v="Escenario AOcupar enfermea.QueueNumber WaitingQueue"/>
    <n v="27"/>
    <n v="0"/>
    <n v="0"/>
    <n v="0.95"/>
    <n v="0"/>
    <n v="0"/>
    <n v="0"/>
    <n v="0"/>
  </r>
  <r>
    <x v="0"/>
    <s v="2025-05-22 11:26:30"/>
    <n v="27"/>
    <x v="2"/>
    <x v="1"/>
    <x v="1"/>
    <n v="0"/>
    <n v="2E+20"/>
    <n v="0"/>
    <n v="0"/>
    <n v="0"/>
    <n v="0"/>
    <s v="Escenario ASeguimiemto.QueueNumber WaitingQueue"/>
    <n v="27"/>
    <n v="0"/>
    <n v="0"/>
    <n v="0.95"/>
    <n v="0"/>
    <n v="0"/>
    <n v="0"/>
    <n v="0"/>
  </r>
  <r>
    <x v="0"/>
    <s v="2025-05-22 11:26:30"/>
    <n v="27"/>
    <x v="3"/>
    <x v="2"/>
    <x v="2"/>
    <n v="1.03139585215707E-2"/>
    <n v="2E+20"/>
    <n v="0"/>
    <n v="0.33333333333333298"/>
    <n v="0"/>
    <n v="0"/>
    <s v="Escenario ArEnfermeraInstantaneous UtilizationResource"/>
    <n v="27"/>
    <n v="1.2223949425906553E-2"/>
    <n v="1.112543407769513E-2"/>
    <n v="0.95"/>
    <n v="4.4010751425322646E-3"/>
    <n v="0"/>
    <n v="4.2906548761083699E-2"/>
    <n v="4.4010751425322646E-3"/>
  </r>
  <r>
    <x v="0"/>
    <s v="2025-05-22 11:26:30"/>
    <n v="27"/>
    <x v="3"/>
    <x v="3"/>
    <x v="2"/>
    <n v="3.0941875564712E-2"/>
    <n v="2E+20"/>
    <n v="0"/>
    <n v="1"/>
    <n v="0"/>
    <n v="0"/>
    <s v="Escenario ArEnfermeraNumber BusyResource"/>
    <n v="27"/>
    <n v="3.6671848277719646E-2"/>
    <n v="3.3376302233085402E-2"/>
    <n v="0.95"/>
    <n v="1.3203225427596797E-2"/>
    <n v="0"/>
    <n v="0.128719646283251"/>
    <n v="1.3203225427596797E-2"/>
  </r>
  <r>
    <x v="0"/>
    <s v="2025-05-22 11:26:30"/>
    <n v="27"/>
    <x v="3"/>
    <x v="4"/>
    <x v="2"/>
    <n v="3"/>
    <n v="2E+20"/>
    <n v="3"/>
    <n v="3"/>
    <n v="3"/>
    <n v="0"/>
    <s v="Escenario ArEnfermeraNumber ScheduledResource"/>
    <n v="27"/>
    <n v="3"/>
    <n v="0"/>
    <n v="0.95"/>
    <n v="0"/>
    <n v="3"/>
    <n v="3"/>
    <n v="0"/>
  </r>
  <r>
    <x v="0"/>
    <s v="2025-05-22 11:26:30"/>
    <n v="27"/>
    <x v="4"/>
    <x v="2"/>
    <x v="2"/>
    <n v="0"/>
    <n v="2E+20"/>
    <n v="0"/>
    <n v="0"/>
    <n v="0"/>
    <n v="0"/>
    <s v="Escenario ArSeguimientoInstantaneous Utilization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27"/>
    <x v="4"/>
    <x v="3"/>
    <x v="2"/>
    <n v="0"/>
    <n v="2E+20"/>
    <n v="0"/>
    <n v="0"/>
    <n v="0"/>
    <n v="0"/>
    <s v="Escenario ArSeguimientoNumber BusyResource"/>
    <n v="27"/>
    <n v="1.5859588837911111E-4"/>
    <n v="8.2408840963242873E-4"/>
    <n v="0.95"/>
    <n v="3.2599851741098198E-4"/>
    <n v="0"/>
    <n v="4.2820889862359999E-3"/>
    <n v="3.2599851741098198E-4"/>
  </r>
  <r>
    <x v="0"/>
    <s v="2025-05-22 11:26:30"/>
    <n v="27"/>
    <x v="4"/>
    <x v="4"/>
    <x v="2"/>
    <n v="1"/>
    <n v="2E+20"/>
    <n v="1"/>
    <n v="1"/>
    <n v="1"/>
    <n v="0"/>
    <s v="Escenario ArSeguimientoNumber ScheduledResource"/>
    <n v="27"/>
    <n v="1"/>
    <n v="0"/>
    <n v="0.95"/>
    <n v="0"/>
    <n v="1"/>
    <n v="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4" firstHeaderRow="0" firstDataRow="1" firstDataCol="4"/>
  <pivotFields count="25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3">
        <item m="1" x="15"/>
        <item m="1" x="38"/>
        <item m="1" x="10"/>
        <item m="1" x="90"/>
        <item m="1" x="73"/>
        <item m="1" x="43"/>
        <item m="1" x="99"/>
        <item m="1" x="31"/>
        <item m="1" x="35"/>
        <item x="0"/>
        <item m="1" x="68"/>
        <item m="1" x="80"/>
        <item m="1" x="85"/>
        <item m="1" x="9"/>
        <item m="1" x="37"/>
        <item m="1" x="27"/>
        <item m="1" x="102"/>
        <item m="1" x="97"/>
        <item m="1" x="25"/>
        <item m="1" x="19"/>
        <item m="1" x="91"/>
        <item m="1" x="11"/>
        <item m="1" x="44"/>
        <item m="1" x="30"/>
        <item m="1" x="55"/>
        <item m="1" x="82"/>
        <item m="1" x="46"/>
        <item m="1" x="16"/>
        <item m="1" x="40"/>
        <item m="1" x="69"/>
        <item m="1" x="59"/>
        <item m="1" x="17"/>
        <item m="1" x="76"/>
        <item m="1" x="8"/>
        <item m="1" x="96"/>
        <item m="1" x="64"/>
        <item m="1" x="84"/>
        <item m="1" x="39"/>
        <item m="1" x="98"/>
        <item m="1" x="67"/>
        <item m="1" x="21"/>
        <item m="1" x="58"/>
        <item m="1" x="72"/>
        <item m="1" x="83"/>
        <item m="1" x="89"/>
        <item m="1" x="7"/>
        <item m="1" x="20"/>
        <item m="1" x="29"/>
        <item m="1" x="22"/>
        <item m="1" x="6"/>
        <item m="1" x="81"/>
        <item m="1" x="93"/>
        <item m="1" x="33"/>
        <item m="1" x="63"/>
        <item m="1" x="24"/>
        <item m="1" x="41"/>
        <item m="1" x="28"/>
        <item m="1" x="49"/>
        <item m="1" x="36"/>
        <item m="1" x="56"/>
        <item m="1" x="42"/>
        <item m="1" x="65"/>
        <item m="1" x="50"/>
        <item m="1" x="70"/>
        <item m="1" x="57"/>
        <item m="1" x="78"/>
        <item m="1" x="71"/>
        <item m="1" x="86"/>
        <item m="1" x="94"/>
        <item m="1" x="74"/>
        <item m="1" x="53"/>
        <item m="1" x="34"/>
        <item m="1" x="47"/>
        <item m="1" x="18"/>
        <item m="1" x="23"/>
        <item m="1" x="32"/>
        <item m="1" x="60"/>
        <item m="1" x="95"/>
        <item m="1" x="88"/>
        <item m="1" x="75"/>
        <item m="1" x="48"/>
        <item m="1" x="61"/>
        <item m="1" x="52"/>
        <item m="1" x="77"/>
        <item m="1" x="62"/>
        <item m="1" x="45"/>
        <item m="1" x="51"/>
        <item m="1" x="14"/>
        <item m="1" x="54"/>
        <item m="1" x="66"/>
        <item m="1" x="79"/>
        <item m="1" x="87"/>
        <item m="1" x="92"/>
        <item m="1" x="101"/>
        <item m="1" x="12"/>
        <item m="1" x="26"/>
        <item m="1" x="100"/>
        <item m="1" x="13"/>
        <item m="1" x="5"/>
        <item x="1"/>
        <item x="2"/>
        <item x="3"/>
        <item x="4"/>
      </items>
    </pivotField>
    <pivotField axis="axisRow" compact="0" outline="0" showAll="0" defaultSubtota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m="1" x="11"/>
      </items>
    </pivotField>
    <pivotField axis="axisRow" compact="0" outline="0" showAll="0" defaultSubtotal="0">
      <items count="5">
        <item x="0"/>
        <item x="1"/>
        <item x="3"/>
        <item x="2"/>
        <item m="1" x="4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2">
    <i>
      <x v="4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99"/>
      <x v="7"/>
      <x v="1"/>
    </i>
    <i r="1">
      <x v="100"/>
      <x v="8"/>
      <x v="3"/>
    </i>
    <i r="2">
      <x v="9"/>
      <x v="3"/>
    </i>
    <i r="2">
      <x v="10"/>
      <x v="3"/>
    </i>
    <i r="1">
      <x v="101"/>
      <x v="7"/>
      <x v="1"/>
    </i>
    <i r="1">
      <x v="102"/>
      <x/>
      <x v="2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3" firstHeaderRow="0" firstDataRow="1" firstDataCol="4"/>
  <pivotFields count="16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7">
        <item m="1" x="36"/>
        <item m="1" x="12"/>
        <item m="1" x="37"/>
        <item m="1" x="13"/>
        <item m="1" x="38"/>
        <item m="1" x="14"/>
        <item m="1" x="39"/>
        <item m="1" x="15"/>
        <item m="1" x="71"/>
        <item m="1" x="26"/>
        <item x="6"/>
        <item m="1" x="70"/>
        <item m="1" x="57"/>
        <item m="1" x="74"/>
        <item m="1" x="59"/>
        <item x="0"/>
        <item x="1"/>
        <item m="1" x="51"/>
        <item m="1" x="19"/>
        <item m="1" x="68"/>
        <item m="1" x="58"/>
        <item m="1" x="56"/>
        <item m="1" x="22"/>
        <item m="1" x="66"/>
        <item m="1" x="31"/>
        <item m="1" x="67"/>
        <item m="1" x="32"/>
        <item m="1" x="65"/>
        <item m="1" x="83"/>
        <item m="1" x="25"/>
        <item m="1" x="86"/>
        <item m="1" x="53"/>
        <item m="1" x="20"/>
        <item m="1" x="81"/>
        <item m="1" x="77"/>
        <item m="1" x="54"/>
        <item m="1" x="21"/>
        <item m="1" x="82"/>
        <item m="1" x="78"/>
        <item m="1" x="16"/>
        <item m="1" x="50"/>
        <item m="1" x="34"/>
        <item m="1" x="24"/>
        <item m="1" x="75"/>
        <item m="1" x="46"/>
        <item m="1" x="76"/>
        <item m="1" x="47"/>
        <item m="1" x="33"/>
        <item m="1" x="28"/>
        <item m="1" x="55"/>
        <item m="1" x="30"/>
        <item m="1" x="85"/>
        <item m="1" x="79"/>
        <item m="1" x="29"/>
        <item m="1" x="27"/>
        <item m="1" x="72"/>
        <item m="1" x="80"/>
        <item m="1" x="17"/>
        <item m="1" x="35"/>
        <item m="1" x="48"/>
        <item m="1" x="69"/>
        <item m="1" x="84"/>
        <item m="1" x="18"/>
        <item m="1" x="45"/>
        <item m="1" x="49"/>
        <item m="1" x="73"/>
        <item m="1" x="52"/>
        <item m="1" x="23"/>
        <item m="1" x="40"/>
        <item m="1" x="60"/>
        <item m="1" x="41"/>
        <item m="1" x="61"/>
        <item m="1" x="42"/>
        <item m="1" x="62"/>
        <item m="1" x="43"/>
        <item m="1" x="63"/>
        <item m="1" x="44"/>
        <item m="1" x="64"/>
        <item m="1" x="11"/>
        <item x="2"/>
        <item x="3"/>
        <item x="4"/>
        <item x="5"/>
        <item x="7"/>
        <item x="8"/>
        <item x="9"/>
        <item x="10"/>
      </items>
    </pivotField>
    <pivotField axis="axisRow" compact="0" outline="0" showAll="0" defaultSubtotal="0">
      <items count="7">
        <item x="0"/>
        <item x="1"/>
        <item x="5"/>
        <item x="4"/>
        <item x="2"/>
        <item x="3"/>
        <item m="1" x="6"/>
      </items>
    </pivotField>
    <pivotField axis="axisRow" compact="0" outline="0" showAll="0" defaultSubtotal="0">
      <items count="5">
        <item x="0"/>
        <item x="3"/>
        <item x="2"/>
        <item x="1"/>
        <item m="1" x="4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1">
    <i>
      <x v="4"/>
      <x v="10"/>
      <x v="1"/>
      <x v="2"/>
    </i>
    <i r="1">
      <x v="15"/>
      <x/>
      <x/>
    </i>
    <i r="1">
      <x v="16"/>
      <x v="1"/>
      <x/>
    </i>
    <i r="1">
      <x v="79"/>
      <x v="4"/>
      <x v="3"/>
    </i>
    <i r="1">
      <x v="80"/>
      <x v="5"/>
      <x v="3"/>
    </i>
    <i r="1">
      <x v="81"/>
      <x/>
      <x v="3"/>
    </i>
    <i r="1">
      <x v="82"/>
      <x v="1"/>
      <x v="3"/>
    </i>
    <i r="1">
      <x v="83"/>
      <x v="3"/>
      <x v="1"/>
    </i>
    <i r="1">
      <x v="84"/>
      <x v="2"/>
      <x v="1"/>
    </i>
    <i r="1">
      <x v="85"/>
      <x v="3"/>
      <x v="1"/>
    </i>
    <i r="1">
      <x v="86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1" firstHeaderRow="0" firstDataRow="1" firstDataCol="4"/>
  <pivotFields count="21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8">
        <item m="1" x="20"/>
        <item m="1" x="11"/>
        <item m="1" x="27"/>
        <item m="1" x="36"/>
        <item m="1" x="49"/>
        <item m="1" x="48"/>
        <item m="1" x="12"/>
        <item m="1" x="113"/>
        <item m="1" x="91"/>
        <item m="1" x="54"/>
        <item m="1" x="41"/>
        <item m="1" x="45"/>
        <item x="0"/>
        <item m="1" x="30"/>
        <item m="1" x="112"/>
        <item m="1" x="34"/>
        <item m="1" x="85"/>
        <item m="1" x="99"/>
        <item m="1" x="9"/>
        <item m="1" x="35"/>
        <item m="1" x="122"/>
        <item m="1" x="24"/>
        <item m="1" x="114"/>
        <item m="1" x="13"/>
        <item m="1" x="40"/>
        <item m="1" x="66"/>
        <item m="1" x="10"/>
        <item m="1" x="16"/>
        <item m="1" x="86"/>
        <item m="1" x="67"/>
        <item m="1" x="101"/>
        <item m="1" x="57"/>
        <item m="1" x="21"/>
        <item m="1" x="51"/>
        <item m="1" x="87"/>
        <item m="1" x="72"/>
        <item m="1" x="22"/>
        <item m="1" x="32"/>
        <item m="1" x="94"/>
        <item m="1" x="8"/>
        <item m="1" x="121"/>
        <item m="1" x="79"/>
        <item m="1" x="19"/>
        <item m="1" x="104"/>
        <item m="1" x="50"/>
        <item m="1" x="123"/>
        <item m="1" x="84"/>
        <item m="1" x="26"/>
        <item m="1" x="71"/>
        <item m="1" x="90"/>
        <item m="1" x="103"/>
        <item m="1" x="111"/>
        <item m="1" x="120"/>
        <item m="1" x="7"/>
        <item m="1" x="25"/>
        <item m="1" x="39"/>
        <item m="1" x="28"/>
        <item m="1" x="6"/>
        <item m="1" x="100"/>
        <item m="1" x="117"/>
        <item m="1" x="43"/>
        <item m="1" x="78"/>
        <item m="1" x="31"/>
        <item m="1" x="52"/>
        <item m="1" x="37"/>
        <item m="1" x="61"/>
        <item m="1" x="46"/>
        <item m="1" x="68"/>
        <item m="1" x="53"/>
        <item m="1" x="80"/>
        <item m="1" x="62"/>
        <item m="1" x="88"/>
        <item m="1" x="69"/>
        <item m="1" x="97"/>
        <item m="1" x="81"/>
        <item m="1" x="102"/>
        <item m="1" x="89"/>
        <item m="1" x="106"/>
        <item m="1" x="118"/>
        <item m="1" x="108"/>
        <item m="1" x="92"/>
        <item m="1" x="65"/>
        <item m="1" x="44"/>
        <item m="1" x="59"/>
        <item m="1" x="23"/>
        <item m="1" x="29"/>
        <item m="1" x="38"/>
        <item m="1" x="42"/>
        <item m="1" x="74"/>
        <item m="1" x="119"/>
        <item m="1" x="109"/>
        <item m="1" x="93"/>
        <item m="1" x="60"/>
        <item m="1" x="127"/>
        <item m="1" x="76"/>
        <item m="1" x="64"/>
        <item m="1" x="96"/>
        <item m="1" x="77"/>
        <item m="1" x="56"/>
        <item m="1" x="63"/>
        <item m="1" x="17"/>
        <item m="1" x="82"/>
        <item m="1" x="98"/>
        <item m="1" x="107"/>
        <item m="1" x="115"/>
        <item m="1" x="126"/>
        <item m="1" x="14"/>
        <item m="1" x="33"/>
        <item m="1" x="125"/>
        <item m="1" x="15"/>
        <item m="1" x="83"/>
        <item m="1" x="58"/>
        <item m="1" x="73"/>
        <item m="1" x="18"/>
        <item m="1" x="124"/>
        <item m="1" x="105"/>
        <item m="1" x="55"/>
        <item m="1" x="116"/>
        <item m="1" x="75"/>
        <item m="1" x="95"/>
        <item m="1" x="110"/>
        <item m="1" x="47"/>
        <item m="1" x="70"/>
        <item m="1" x="5"/>
        <item x="1"/>
        <item x="2"/>
        <item x="3"/>
        <item x="4"/>
      </items>
    </pivotField>
    <pivotField axis="axisRow" compact="0" outline="0" showAll="0" defaultSubtotal="0">
      <items count="7">
        <item x="2"/>
        <item x="3"/>
        <item x="4"/>
        <item x="1"/>
        <item x="0"/>
        <item m="1" x="6"/>
        <item m="1" x="5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9">
    <i>
      <x v="4"/>
      <x v="12"/>
      <x v="4"/>
      <x/>
    </i>
    <i r="1">
      <x v="124"/>
      <x v="3"/>
      <x v="1"/>
    </i>
    <i r="1">
      <x v="125"/>
      <x v="3"/>
      <x v="1"/>
    </i>
    <i r="1">
      <x v="126"/>
      <x/>
      <x v="2"/>
    </i>
    <i r="2">
      <x v="1"/>
      <x v="2"/>
    </i>
    <i r="2">
      <x v="2"/>
      <x v="2"/>
    </i>
    <i r="1">
      <x v="127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66" tableType="queryTable" totalsRowShown="0">
  <autoFilter ref="A1:Y166" xr:uid="{C3D003CA-1AFF-426C-A03D-D3AF5760DF1A}"/>
  <sortState xmlns:xlrd2="http://schemas.microsoft.com/office/spreadsheetml/2017/richdata2" ref="A2:Y166">
    <sortCondition ref="D1:D166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44" tableType="queryTable" totalsRowShown="0">
  <autoFilter ref="A1:U244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98" tableType="queryTable" totalsRowShown="0">
  <autoFilter ref="A1:P298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0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9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8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7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6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69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68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6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5" x14ac:dyDescent="0.25"/>
  <cols>
    <col min="1" max="1" width="14.8554687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68</v>
      </c>
      <c r="B2" t="s">
        <v>69</v>
      </c>
      <c r="C2" t="s">
        <v>70</v>
      </c>
      <c r="D2">
        <v>2</v>
      </c>
      <c r="E2">
        <v>27</v>
      </c>
      <c r="F2">
        <v>600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4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13.8554687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68</v>
      </c>
      <c r="B3" t="s">
        <v>71</v>
      </c>
      <c r="C3" t="s">
        <v>72</v>
      </c>
      <c r="D3" t="s">
        <v>73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1.6</v>
      </c>
      <c r="O3" t="s">
        <v>68</v>
      </c>
      <c r="P3" t="s">
        <v>71</v>
      </c>
      <c r="Q3" t="s">
        <v>91</v>
      </c>
      <c r="R3" t="s">
        <v>73</v>
      </c>
      <c r="S3" s="5">
        <v>3.6830444166098757E-2</v>
      </c>
      <c r="T3" s="5">
        <v>1.3314003381859424E-2</v>
      </c>
      <c r="U3" s="5">
        <v>3.3656336721817545E-2</v>
      </c>
      <c r="V3" s="5">
        <v>0</v>
      </c>
      <c r="W3" s="5">
        <v>0.128719646283251</v>
      </c>
      <c r="X3" s="5">
        <v>0</v>
      </c>
      <c r="Y3" s="5">
        <v>2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68</v>
      </c>
      <c r="AL3" t="s">
        <v>109</v>
      </c>
      <c r="AM3" t="s">
        <v>102</v>
      </c>
      <c r="AN3" t="s">
        <v>110</v>
      </c>
      <c r="AO3" s="5">
        <v>1.1851851851851851</v>
      </c>
      <c r="AP3" s="5">
        <v>0.42545269348763143</v>
      </c>
      <c r="AQ3" s="5">
        <v>1.0754976321197349</v>
      </c>
      <c r="AR3" s="5">
        <v>0</v>
      </c>
      <c r="AS3" s="5">
        <v>4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C4" t="s">
        <v>74</v>
      </c>
      <c r="D4" t="s">
        <v>73</v>
      </c>
      <c r="E4" s="5">
        <v>17.668553272104692</v>
      </c>
      <c r="F4" s="5">
        <v>0</v>
      </c>
      <c r="G4" s="5">
        <v>0.36010623748224335</v>
      </c>
      <c r="H4" s="5">
        <v>0.7694340869480476</v>
      </c>
      <c r="I4" s="5">
        <v>16.5757914382995</v>
      </c>
      <c r="J4" s="5">
        <v>18.979452995869501</v>
      </c>
      <c r="K4" s="5">
        <v>16.5757914382995</v>
      </c>
      <c r="L4" s="5">
        <v>19.617131394374798</v>
      </c>
      <c r="M4" s="5">
        <v>1.6</v>
      </c>
      <c r="P4" t="s">
        <v>79</v>
      </c>
      <c r="Q4" t="s">
        <v>92</v>
      </c>
      <c r="R4" t="s">
        <v>81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L4" t="s">
        <v>99</v>
      </c>
      <c r="AM4" t="s">
        <v>100</v>
      </c>
      <c r="AN4" t="s">
        <v>73</v>
      </c>
      <c r="AO4" s="5">
        <v>1.2962962962962963</v>
      </c>
      <c r="AP4" s="5">
        <v>0.46308509071488152</v>
      </c>
      <c r="AQ4" s="5">
        <v>1.1706281947614154</v>
      </c>
      <c r="AR4" s="5">
        <v>0</v>
      </c>
      <c r="AS4" s="5">
        <v>5</v>
      </c>
    </row>
    <row r="5" spans="1:52" x14ac:dyDescent="0.25">
      <c r="C5" t="s">
        <v>75</v>
      </c>
      <c r="D5" t="s">
        <v>73</v>
      </c>
      <c r="E5" s="5">
        <v>17.711374161967051</v>
      </c>
      <c r="F5" s="5">
        <v>0</v>
      </c>
      <c r="G5" s="5">
        <v>0.38802868912491251</v>
      </c>
      <c r="H5" s="5">
        <v>0.8290956086013278</v>
      </c>
      <c r="I5" s="5">
        <v>16.5757914382995</v>
      </c>
      <c r="J5" s="5">
        <v>19.176092927841601</v>
      </c>
      <c r="K5" s="5">
        <v>16.5757914382995</v>
      </c>
      <c r="L5" s="5">
        <v>21.300704209721701</v>
      </c>
      <c r="M5" s="5">
        <v>1.6</v>
      </c>
      <c r="P5" t="s">
        <v>90</v>
      </c>
      <c r="Q5" t="s">
        <v>92</v>
      </c>
      <c r="R5" t="s">
        <v>81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L5" t="s">
        <v>101</v>
      </c>
      <c r="AM5" t="s">
        <v>102</v>
      </c>
      <c r="AN5" t="s">
        <v>73</v>
      </c>
      <c r="AO5" s="5">
        <v>1.1851851851851851</v>
      </c>
      <c r="AP5" s="5">
        <v>0.42545269348763143</v>
      </c>
      <c r="AQ5" s="5">
        <v>1.0754976321197349</v>
      </c>
      <c r="AR5" s="5">
        <v>0</v>
      </c>
      <c r="AS5" s="5">
        <v>4</v>
      </c>
    </row>
    <row r="6" spans="1:52" x14ac:dyDescent="0.25">
      <c r="C6" t="s">
        <v>76</v>
      </c>
      <c r="D6" t="s">
        <v>73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1.6</v>
      </c>
      <c r="P6" t="s">
        <v>93</v>
      </c>
      <c r="Q6" t="s">
        <v>94</v>
      </c>
      <c r="R6" t="s">
        <v>95</v>
      </c>
      <c r="S6" s="5">
        <v>1.2223949425906553E-2</v>
      </c>
      <c r="T6" s="5">
        <v>4.4010751425322646E-3</v>
      </c>
      <c r="U6" s="5">
        <v>1.112543407769513E-2</v>
      </c>
      <c r="V6" s="5">
        <v>0</v>
      </c>
      <c r="W6" s="5">
        <v>4.2906548761083699E-2</v>
      </c>
      <c r="X6" s="5">
        <v>0</v>
      </c>
      <c r="Y6" s="5">
        <v>0.66666666666666696</v>
      </c>
      <c r="AL6" t="s">
        <v>103</v>
      </c>
      <c r="AM6" t="s">
        <v>104</v>
      </c>
      <c r="AN6" t="s">
        <v>87</v>
      </c>
      <c r="AO6" s="5">
        <v>9.5157533027466656E-2</v>
      </c>
      <c r="AP6" s="5">
        <v>0.19559911044658918</v>
      </c>
      <c r="AQ6" s="5">
        <v>0.4944530457794572</v>
      </c>
      <c r="AR6" s="5">
        <v>0</v>
      </c>
      <c r="AS6" s="5">
        <v>2.5692533917415998</v>
      </c>
    </row>
    <row r="7" spans="1:52" x14ac:dyDescent="0.25">
      <c r="C7" t="s">
        <v>77</v>
      </c>
      <c r="D7" t="s">
        <v>73</v>
      </c>
      <c r="E7" s="5">
        <v>4.2820889862359948E-2</v>
      </c>
      <c r="F7" s="5">
        <v>0</v>
      </c>
      <c r="G7" s="5">
        <v>8.962515251308828E-2</v>
      </c>
      <c r="H7" s="5">
        <v>0.19150084117853694</v>
      </c>
      <c r="I7" s="5">
        <v>0</v>
      </c>
      <c r="J7" s="5">
        <v>0.85641779724719902</v>
      </c>
      <c r="K7" s="5">
        <v>0</v>
      </c>
      <c r="L7" s="5">
        <v>2.5692533917415998</v>
      </c>
      <c r="M7" s="5">
        <v>1.6</v>
      </c>
      <c r="Q7" t="s">
        <v>96</v>
      </c>
      <c r="R7" t="s">
        <v>95</v>
      </c>
      <c r="S7" s="5">
        <v>3.6671848277719646E-2</v>
      </c>
      <c r="T7" s="5">
        <v>1.3203225427596797E-2</v>
      </c>
      <c r="U7" s="5">
        <v>3.3376302233085402E-2</v>
      </c>
      <c r="V7" s="5">
        <v>0</v>
      </c>
      <c r="W7" s="5">
        <v>0.128719646283251</v>
      </c>
      <c r="X7" s="5">
        <v>0</v>
      </c>
      <c r="Y7" s="5">
        <v>2</v>
      </c>
      <c r="AL7" t="s">
        <v>105</v>
      </c>
      <c r="AM7" t="s">
        <v>106</v>
      </c>
      <c r="AN7" t="s">
        <v>87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</row>
    <row r="8" spans="1:52" x14ac:dyDescent="0.25">
      <c r="C8" t="s">
        <v>78</v>
      </c>
      <c r="D8" t="s">
        <v>73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1.6</v>
      </c>
      <c r="Q8" t="s">
        <v>97</v>
      </c>
      <c r="R8" t="s">
        <v>95</v>
      </c>
      <c r="S8" s="5">
        <v>3</v>
      </c>
      <c r="T8" s="5">
        <v>0</v>
      </c>
      <c r="U8" s="5">
        <v>0</v>
      </c>
      <c r="V8" s="5">
        <v>3</v>
      </c>
      <c r="W8" s="5">
        <v>3</v>
      </c>
      <c r="X8" s="5">
        <v>3</v>
      </c>
      <c r="Y8" s="5">
        <v>3</v>
      </c>
      <c r="AL8" t="s">
        <v>107</v>
      </c>
      <c r="AM8" t="s">
        <v>100</v>
      </c>
      <c r="AN8" t="s">
        <v>87</v>
      </c>
      <c r="AO8" s="5">
        <v>3.7037037037037035E-2</v>
      </c>
      <c r="AP8" s="5">
        <v>7.6130719949736039E-2</v>
      </c>
      <c r="AQ8" s="5">
        <v>0.19245008972987526</v>
      </c>
      <c r="AR8" s="5">
        <v>0</v>
      </c>
      <c r="AS8" s="5">
        <v>1</v>
      </c>
    </row>
    <row r="9" spans="1:52" x14ac:dyDescent="0.25">
      <c r="B9" t="s">
        <v>79</v>
      </c>
      <c r="C9" t="s">
        <v>80</v>
      </c>
      <c r="D9" t="s">
        <v>81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1.6666666666666667</v>
      </c>
      <c r="P9" t="s">
        <v>98</v>
      </c>
      <c r="Q9" t="s">
        <v>94</v>
      </c>
      <c r="R9" t="s">
        <v>95</v>
      </c>
      <c r="S9" s="5">
        <v>1.5859588837911111E-4</v>
      </c>
      <c r="T9" s="5">
        <v>3.2599851741098198E-4</v>
      </c>
      <c r="U9" s="5">
        <v>8.2408840963242873E-4</v>
      </c>
      <c r="V9" s="5">
        <v>0</v>
      </c>
      <c r="W9" s="5">
        <v>4.2820889862359999E-3</v>
      </c>
      <c r="X9" s="5">
        <v>0</v>
      </c>
      <c r="Y9" s="5">
        <v>1</v>
      </c>
      <c r="AL9" t="s">
        <v>108</v>
      </c>
      <c r="AM9" t="s">
        <v>102</v>
      </c>
      <c r="AN9" t="s">
        <v>87</v>
      </c>
      <c r="AO9" s="5">
        <v>3.7037037037037035E-2</v>
      </c>
      <c r="AP9" s="5">
        <v>7.6130719949736039E-2</v>
      </c>
      <c r="AQ9" s="5">
        <v>0.19245008972987526</v>
      </c>
      <c r="AR9" s="5">
        <v>0</v>
      </c>
      <c r="AS9" s="5">
        <v>1</v>
      </c>
    </row>
    <row r="10" spans="1:52" x14ac:dyDescent="0.25">
      <c r="B10" t="s">
        <v>85</v>
      </c>
      <c r="C10" t="s">
        <v>86</v>
      </c>
      <c r="D10" t="s">
        <v>87</v>
      </c>
      <c r="E10" s="5">
        <v>2.5692533917415998</v>
      </c>
      <c r="F10" s="5">
        <v>0</v>
      </c>
      <c r="G10" s="5">
        <v>2E+20</v>
      </c>
      <c r="H10" s="5">
        <v>0</v>
      </c>
      <c r="I10" s="5">
        <v>2.5692533917415998</v>
      </c>
      <c r="J10" s="5">
        <v>2.5692533917415998</v>
      </c>
      <c r="K10" s="5">
        <v>2.5692533917415998</v>
      </c>
      <c r="L10" s="5">
        <v>2.5692533917415998</v>
      </c>
      <c r="M10" s="5">
        <v>1</v>
      </c>
      <c r="Q10" t="s">
        <v>96</v>
      </c>
      <c r="R10" t="s">
        <v>95</v>
      </c>
      <c r="S10" s="5">
        <v>1.5859588837911111E-4</v>
      </c>
      <c r="T10" s="5">
        <v>3.2599851741098198E-4</v>
      </c>
      <c r="U10" s="5">
        <v>8.2408840963242873E-4</v>
      </c>
      <c r="V10" s="5">
        <v>0</v>
      </c>
      <c r="W10" s="5">
        <v>4.2820889862359999E-3</v>
      </c>
      <c r="X10" s="5">
        <v>0</v>
      </c>
      <c r="Y10" s="5">
        <v>1</v>
      </c>
      <c r="AL10" t="s">
        <v>111</v>
      </c>
      <c r="AM10" t="s">
        <v>112</v>
      </c>
      <c r="AN10" t="s">
        <v>95</v>
      </c>
      <c r="AO10" s="5">
        <v>1.2962962962962963</v>
      </c>
      <c r="AP10" s="5">
        <v>0.46308509071488152</v>
      </c>
      <c r="AQ10" s="5">
        <v>1.1706281947614154</v>
      </c>
      <c r="AR10" s="5">
        <v>0</v>
      </c>
      <c r="AS10" s="5">
        <v>5</v>
      </c>
    </row>
    <row r="11" spans="1:52" x14ac:dyDescent="0.25">
      <c r="C11" t="s">
        <v>88</v>
      </c>
      <c r="D11" t="s">
        <v>87</v>
      </c>
      <c r="E11" s="5">
        <v>2.5692533917415998</v>
      </c>
      <c r="F11" s="5">
        <v>0</v>
      </c>
      <c r="G11" s="5">
        <v>2E+20</v>
      </c>
      <c r="H11" s="5">
        <v>0</v>
      </c>
      <c r="I11" s="5">
        <v>2.5692533917415998</v>
      </c>
      <c r="J11" s="5">
        <v>2.5692533917415998</v>
      </c>
      <c r="K11" s="5">
        <v>2.5692533917415998</v>
      </c>
      <c r="L11" s="5">
        <v>2.5692533917415998</v>
      </c>
      <c r="M11" s="5">
        <v>1</v>
      </c>
      <c r="Q11" t="s">
        <v>97</v>
      </c>
      <c r="R11" t="s">
        <v>95</v>
      </c>
      <c r="S11" s="5">
        <v>1</v>
      </c>
      <c r="T11" s="5">
        <v>0</v>
      </c>
      <c r="U11" s="5">
        <v>0</v>
      </c>
      <c r="V11" s="5">
        <v>1</v>
      </c>
      <c r="W11" s="5">
        <v>1</v>
      </c>
      <c r="X11" s="5">
        <v>1</v>
      </c>
      <c r="Y11" s="5">
        <v>1</v>
      </c>
      <c r="AL11" t="s">
        <v>113</v>
      </c>
      <c r="AM11" t="s">
        <v>114</v>
      </c>
      <c r="AN11" t="s">
        <v>95</v>
      </c>
      <c r="AO11" s="5">
        <v>1.2223949425906553E-2</v>
      </c>
      <c r="AP11" s="5">
        <v>4.4010751425322646E-3</v>
      </c>
      <c r="AQ11" s="5">
        <v>1.112543407769513E-2</v>
      </c>
      <c r="AR11" s="5">
        <v>0</v>
      </c>
      <c r="AS11" s="5">
        <v>4.2906548761083699E-2</v>
      </c>
    </row>
    <row r="12" spans="1:52" x14ac:dyDescent="0.25">
      <c r="C12" t="s">
        <v>89</v>
      </c>
      <c r="D12" t="s">
        <v>87</v>
      </c>
      <c r="E12" s="5">
        <v>0</v>
      </c>
      <c r="F12" s="5">
        <v>0</v>
      </c>
      <c r="G12" s="5">
        <v>2E+20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1</v>
      </c>
      <c r="AL12" t="s">
        <v>115</v>
      </c>
      <c r="AM12" t="s">
        <v>112</v>
      </c>
      <c r="AN12" t="s">
        <v>95</v>
      </c>
      <c r="AO12" s="5">
        <v>3.7037037037037035E-2</v>
      </c>
      <c r="AP12" s="5">
        <v>7.6130719949736039E-2</v>
      </c>
      <c r="AQ12" s="5">
        <v>0.19245008972987526</v>
      </c>
      <c r="AR12" s="5">
        <v>0</v>
      </c>
      <c r="AS12" s="5">
        <v>1</v>
      </c>
    </row>
    <row r="13" spans="1:52" x14ac:dyDescent="0.25">
      <c r="B13" t="s">
        <v>90</v>
      </c>
      <c r="C13" t="s">
        <v>80</v>
      </c>
      <c r="D13" t="s">
        <v>81</v>
      </c>
      <c r="E13" s="5">
        <v>0</v>
      </c>
      <c r="F13" s="5">
        <v>0</v>
      </c>
      <c r="G13" s="5">
        <v>2E+20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AL13" t="s">
        <v>116</v>
      </c>
      <c r="AM13" t="s">
        <v>114</v>
      </c>
      <c r="AN13" t="s">
        <v>95</v>
      </c>
      <c r="AO13" s="5">
        <v>1.5859588837911111E-4</v>
      </c>
      <c r="AP13" s="5">
        <v>3.2599851741098198E-4</v>
      </c>
      <c r="AQ13" s="5">
        <v>8.2408840963242873E-4</v>
      </c>
      <c r="AR13" s="5">
        <v>0</v>
      </c>
      <c r="AS13" s="5">
        <v>4.2820889862359999E-3</v>
      </c>
    </row>
    <row r="14" spans="1:52" x14ac:dyDescent="0.25">
      <c r="B14" t="s">
        <v>82</v>
      </c>
      <c r="C14" t="s">
        <v>83</v>
      </c>
      <c r="D14" t="s">
        <v>84</v>
      </c>
      <c r="E14" s="5">
        <v>17.711374161967051</v>
      </c>
      <c r="F14" s="5">
        <v>0</v>
      </c>
      <c r="G14" s="5">
        <v>0.38802868912491251</v>
      </c>
      <c r="H14" s="5">
        <v>0.8290956086013278</v>
      </c>
      <c r="I14" s="5">
        <v>16.5757914382995</v>
      </c>
      <c r="J14" s="5">
        <v>19.176092927841601</v>
      </c>
      <c r="K14" s="5">
        <v>16.5757914382995</v>
      </c>
      <c r="L14" s="5">
        <v>21.300704209721701</v>
      </c>
      <c r="M14" s="5">
        <v>1.6</v>
      </c>
    </row>
  </sheetData>
  <dataConsolidate/>
  <conditionalFormatting pivot="1" sqref="G3:G14">
    <cfRule type="expression" dxfId="31" priority="14">
      <formula>G3=200000000000000000000</formula>
    </cfRule>
  </conditionalFormatting>
  <conditionalFormatting pivot="1" sqref="T3:T11">
    <cfRule type="expression" dxfId="30" priority="13">
      <formula>T3=200000000000000000000</formula>
    </cfRule>
  </conditionalFormatting>
  <conditionalFormatting pivot="1" sqref="T3:T11">
    <cfRule type="expression" dxfId="29" priority="12">
      <formula>T3=300000000000000000000</formula>
    </cfRule>
  </conditionalFormatting>
  <conditionalFormatting pivot="1" sqref="G3:G14">
    <cfRule type="expression" dxfId="28" priority="11">
      <formula>G3=300000000000000000000</formula>
    </cfRule>
  </conditionalFormatting>
  <conditionalFormatting pivot="1" sqref="F3:F14">
    <cfRule type="expression" dxfId="27" priority="10">
      <formula>F3=0</formula>
    </cfRule>
  </conditionalFormatting>
  <conditionalFormatting pivot="1" sqref="F3:F14">
    <cfRule type="expression" dxfId="26" priority="9">
      <formula>F3=1</formula>
    </cfRule>
  </conditionalFormatting>
  <conditionalFormatting pivot="1" sqref="T3:T11">
    <cfRule type="expression" dxfId="25" priority="8">
      <formula>T3=400000000000000000000</formula>
    </cfRule>
  </conditionalFormatting>
  <conditionalFormatting pivot="1" sqref="AP3:AP13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4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66"/>
  <sheetViews>
    <sheetView workbookViewId="0">
      <selection activeCell="A2" sqref="A2:K61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23.42578125" bestFit="1" customWidth="1"/>
    <col min="5" max="5" width="19.5703125" bestFit="1" customWidth="1"/>
    <col min="6" max="6" width="13.8554687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2.2851562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68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0</v>
      </c>
      <c r="H2">
        <v>2E+20</v>
      </c>
      <c r="I2">
        <v>0</v>
      </c>
      <c r="J2">
        <v>0</v>
      </c>
      <c r="K2">
        <v>3</v>
      </c>
      <c r="L2" t="str">
        <f>DiscreteStatsTable[[#This Row],[ProjectName]]&amp;DiscreteStatsTable[[#This Row],[Name]]&amp;DiscreteStatsTable[[#This Row],[Type]]&amp;DiscreteStatsTable[[#This Row],[Source]]</f>
        <v>Escenario AEntity 1NVA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27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1.6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20</v>
      </c>
      <c r="Y2">
        <f>IF(DiscreteStatsTable[[#This Row],[RepsRequested]]=DiscreteStatsTable[[#This Row],[RepsWithStatObserved]],1,0)</f>
        <v>0</v>
      </c>
    </row>
    <row r="3" spans="1:25" x14ac:dyDescent="0.25">
      <c r="A3" t="s">
        <v>68</v>
      </c>
      <c r="B3" t="s">
        <v>70</v>
      </c>
      <c r="C3">
        <v>1</v>
      </c>
      <c r="D3" t="s">
        <v>71</v>
      </c>
      <c r="E3" t="s">
        <v>74</v>
      </c>
      <c r="F3" t="s">
        <v>73</v>
      </c>
      <c r="G3">
        <v>18.886049902007901</v>
      </c>
      <c r="H3">
        <v>2E+20</v>
      </c>
      <c r="I3">
        <v>18.324527681677498</v>
      </c>
      <c r="J3">
        <v>19.4305747859087</v>
      </c>
      <c r="K3">
        <v>3</v>
      </c>
      <c r="L3" t="str">
        <f>DiscreteStatsTable[[#This Row],[ProjectName]]&amp;DiscreteStatsTable[[#This Row],[Name]]&amp;DiscreteStatsTable[[#This Row],[Type]]&amp;DiscreteStatsTable[[#This Row],[Source]]</f>
        <v>Escenario AEntity 1Other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27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17.668553272104692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0.7694340869480476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0.36010623748224335</v>
      </c>
      <c r="R3" cm="1">
        <f t="array" ref="R3">MIN(IF((DiscreteStatsTable[GroupByKey]=DiscreteStatsTable[[#This Row],[GroupByKey]]),(DiscreteStatsTable[GroupByKey]=DiscreteStatsTable[[#This Row],[GroupByKey]])*DiscreteStatsTable[Average]))</f>
        <v>16.5757914382995</v>
      </c>
      <c r="S3" cm="1">
        <f t="array" ref="S3">MAX(IF((DiscreteStatsTable[GroupByKey]=DiscreteStatsTable[[#This Row],[GroupByKey]]),(DiscreteStatsTable[GroupByKey]=DiscreteStatsTable[[#This Row],[GroupByKey]])*DiscreteStatsTable[Average]))</f>
        <v>18.979452995869501</v>
      </c>
      <c r="T3" cm="1">
        <f t="array" ref="T3">MIN(IF((DiscreteStatsTable[GroupByKey]=DiscreteStatsTable[[#This Row],[GroupByKey]]),(DiscreteStatsTable[GroupByKey]=DiscreteStatsTable[[#This Row],[GroupByKey]])*DiscreteStatsTable[Minimum]))</f>
        <v>16.5757914382995</v>
      </c>
      <c r="U3" cm="1">
        <f t="array" ref="U3">MAX(IF((DiscreteStatsTable[GroupByKey]=DiscreteStatsTable[[#This Row],[GroupByKey]]),(DiscreteStatsTable[GroupByKey]=DiscreteStatsTable[[#This Row],[GroupByKey]])*DiscreteStatsTable[Maximum]))</f>
        <v>19.617131394374798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1.6</v>
      </c>
      <c r="W3">
        <f>IF((DiscreteStatsTable[[#This Row],[RepsRequested]]&gt;1),DiscreteStatsTable[[#This Row],[HalfWidth]],DiscreteStatsTable[[#This Row],[BatchMeansHalfWidth]])</f>
        <v>0.36010623748224335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20</v>
      </c>
      <c r="Y3">
        <f>IF(DiscreteStatsTable[[#This Row],[RepsRequested]]=DiscreteStatsTable[[#This Row],[RepsWithStatObserved]],1,0)</f>
        <v>0</v>
      </c>
    </row>
    <row r="4" spans="1:25" x14ac:dyDescent="0.25">
      <c r="A4" t="s">
        <v>68</v>
      </c>
      <c r="B4" t="s">
        <v>70</v>
      </c>
      <c r="C4">
        <v>1</v>
      </c>
      <c r="D4" t="s">
        <v>71</v>
      </c>
      <c r="E4" t="s">
        <v>75</v>
      </c>
      <c r="F4" t="s">
        <v>73</v>
      </c>
      <c r="G4">
        <v>18.886049902007901</v>
      </c>
      <c r="H4">
        <v>2E+20</v>
      </c>
      <c r="I4">
        <v>18.324527681677498</v>
      </c>
      <c r="J4">
        <v>19.4305747859087</v>
      </c>
      <c r="K4">
        <v>3</v>
      </c>
      <c r="L4" t="str">
        <f>DiscreteStatsTable[[#This Row],[ProjectName]]&amp;DiscreteStatsTable[[#This Row],[Name]]&amp;DiscreteStatsTable[[#This Row],[Type]]&amp;DiscreteStatsTable[[#This Row],[Source]]</f>
        <v>Escenario AEntity 1Total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27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17.711374161967051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0.8290956086013278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4" cm="1">
        <f t="array" ref="R4">MIN(IF((DiscreteStatsTable[GroupByKey]=DiscreteStatsTable[[#This Row],[GroupByKey]]),(DiscreteStatsTable[GroupByKey]=DiscreteStatsTable[[#This Row],[GroupByKey]])*DiscreteStatsTable[Average]))</f>
        <v>16.5757914382995</v>
      </c>
      <c r="S4" cm="1">
        <f t="array" ref="S4">MAX(IF((DiscreteStatsTable[GroupByKey]=DiscreteStatsTable[[#This Row],[GroupByKey]]),(DiscreteStatsTable[GroupByKey]=DiscreteStatsTable[[#This Row],[GroupByKey]])*DiscreteStatsTable[Average]))</f>
        <v>19.176092927841601</v>
      </c>
      <c r="T4" cm="1">
        <f t="array" ref="T4">MIN(IF((DiscreteStatsTable[GroupByKey]=DiscreteStatsTable[[#This Row],[GroupByKey]]),(DiscreteStatsTable[GroupByKey]=DiscreteStatsTable[[#This Row],[GroupByKey]])*DiscreteStatsTable[Minimum]))</f>
        <v>16.5757914382995</v>
      </c>
      <c r="U4" cm="1">
        <f t="array" ref="U4">MAX(IF((DiscreteStatsTable[GroupByKey]=DiscreteStatsTable[[#This Row],[GroupByKey]]),(DiscreteStatsTable[GroupByKey]=DiscreteStatsTable[[#This Row],[GroupByKey]])*DiscreteStatsTable[Maximum]))</f>
        <v>21.300704209721701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1.6</v>
      </c>
      <c r="W4">
        <f>IF((DiscreteStatsTable[[#This Row],[RepsRequested]]&gt;1),DiscreteStatsTable[[#This Row],[HalfWidth]],DiscreteStatsTable[[#This Row],[BatchMeansHalfWidth]])</f>
        <v>0.38802868912491251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20</v>
      </c>
      <c r="Y4">
        <f>IF(DiscreteStatsTable[[#This Row],[RepsRequested]]=DiscreteStatsTable[[#This Row],[RepsWithStatObserved]],1,0)</f>
        <v>0</v>
      </c>
    </row>
    <row r="5" spans="1:25" x14ac:dyDescent="0.25">
      <c r="A5" t="s">
        <v>68</v>
      </c>
      <c r="B5" t="s">
        <v>70</v>
      </c>
      <c r="C5">
        <v>1</v>
      </c>
      <c r="D5" t="s">
        <v>71</v>
      </c>
      <c r="E5" t="s">
        <v>76</v>
      </c>
      <c r="F5" t="s">
        <v>73</v>
      </c>
      <c r="G5">
        <v>0</v>
      </c>
      <c r="H5">
        <v>2E+20</v>
      </c>
      <c r="I5">
        <v>0</v>
      </c>
      <c r="J5">
        <v>0</v>
      </c>
      <c r="K5">
        <v>3</v>
      </c>
      <c r="L5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27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1.6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20</v>
      </c>
      <c r="Y5">
        <f>IF(DiscreteStatsTable[[#This Row],[RepsRequested]]=DiscreteStatsTable[[#This Row],[RepsWithStatObserved]],1,0)</f>
        <v>0</v>
      </c>
    </row>
    <row r="6" spans="1:25" x14ac:dyDescent="0.25">
      <c r="A6" t="s">
        <v>68</v>
      </c>
      <c r="B6" t="s">
        <v>70</v>
      </c>
      <c r="C6">
        <v>1</v>
      </c>
      <c r="D6" t="s">
        <v>71</v>
      </c>
      <c r="E6" t="s">
        <v>77</v>
      </c>
      <c r="F6" t="s">
        <v>73</v>
      </c>
      <c r="G6">
        <v>0</v>
      </c>
      <c r="H6">
        <v>2E+20</v>
      </c>
      <c r="I6">
        <v>0</v>
      </c>
      <c r="J6">
        <v>0</v>
      </c>
      <c r="K6">
        <v>3</v>
      </c>
      <c r="L6" t="str">
        <f>DiscreteStatsTable[[#This Row],[ProjectName]]&amp;DiscreteStatsTable[[#This Row],[Name]]&amp;DiscreteStatsTable[[#This Row],[Type]]&amp;DiscreteStatsTable[[#This Row],[Source]]</f>
        <v>Escenario AEntity 1VA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27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4.2820889862359948E-2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0.19150084117853694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8.962515251308828E-2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0.85641779724719902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2.5692533917415998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1.6</v>
      </c>
      <c r="W6">
        <f>IF((DiscreteStatsTable[[#This Row],[RepsRequested]]&gt;1),DiscreteStatsTable[[#This Row],[HalfWidth]],DiscreteStatsTable[[#This Row],[BatchMeansHalfWidth]])</f>
        <v>8.962515251308828E-2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20</v>
      </c>
      <c r="Y6">
        <f>IF(DiscreteStatsTable[[#This Row],[RepsRequested]]=DiscreteStatsTable[[#This Row],[RepsWithStatObserved]],1,0)</f>
        <v>0</v>
      </c>
    </row>
    <row r="7" spans="1:25" x14ac:dyDescent="0.25">
      <c r="A7" t="s">
        <v>68</v>
      </c>
      <c r="B7" t="s">
        <v>70</v>
      </c>
      <c r="C7">
        <v>1</v>
      </c>
      <c r="D7" t="s">
        <v>71</v>
      </c>
      <c r="E7" t="s">
        <v>78</v>
      </c>
      <c r="F7" t="s">
        <v>73</v>
      </c>
      <c r="G7">
        <v>0</v>
      </c>
      <c r="H7">
        <v>2E+20</v>
      </c>
      <c r="I7">
        <v>0</v>
      </c>
      <c r="J7">
        <v>0</v>
      </c>
      <c r="K7">
        <v>3</v>
      </c>
      <c r="L7" t="str">
        <f>DiscreteStatsTable[[#This Row],[ProjectName]]&amp;DiscreteStatsTable[[#This Row],[Name]]&amp;DiscreteStatsTable[[#This Row],[Type]]&amp;DiscreteStatsTable[[#This Row],[Source]]</f>
        <v>Escenario AEntity 1Wait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27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1.6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20</v>
      </c>
      <c r="Y7">
        <f>IF(DiscreteStatsTable[[#This Row],[RepsRequested]]=DiscreteStatsTable[[#This Row],[RepsWithStatObserved]],1,0)</f>
        <v>0</v>
      </c>
    </row>
    <row r="8" spans="1:25" x14ac:dyDescent="0.25">
      <c r="A8" t="s">
        <v>68</v>
      </c>
      <c r="B8" t="s">
        <v>70</v>
      </c>
      <c r="C8">
        <v>2</v>
      </c>
      <c r="D8" t="s">
        <v>71</v>
      </c>
      <c r="E8" t="s">
        <v>72</v>
      </c>
      <c r="F8" t="s">
        <v>73</v>
      </c>
      <c r="G8">
        <v>0</v>
      </c>
      <c r="H8">
        <v>2E+20</v>
      </c>
      <c r="I8">
        <v>0</v>
      </c>
      <c r="J8">
        <v>0</v>
      </c>
      <c r="K8">
        <v>2</v>
      </c>
      <c r="L8" t="str">
        <f>DiscreteStatsTable[[#This Row],[ProjectName]]&amp;DiscreteStatsTable[[#This Row],[Name]]&amp;DiscreteStatsTable[[#This Row],[Type]]&amp;DiscreteStatsTable[[#This Row],[Source]]</f>
        <v>Escenario AEntity 1NVA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27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1.6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20</v>
      </c>
      <c r="Y8">
        <f>IF(DiscreteStatsTable[[#This Row],[RepsRequested]]=DiscreteStatsTable[[#This Row],[RepsWithStatObserved]],1,0)</f>
        <v>0</v>
      </c>
    </row>
    <row r="9" spans="1:25" x14ac:dyDescent="0.25">
      <c r="A9" t="s">
        <v>68</v>
      </c>
      <c r="B9" t="s">
        <v>70</v>
      </c>
      <c r="C9">
        <v>2</v>
      </c>
      <c r="D9" t="s">
        <v>71</v>
      </c>
      <c r="E9" t="s">
        <v>74</v>
      </c>
      <c r="F9" t="s">
        <v>73</v>
      </c>
      <c r="G9">
        <v>17.738110381311198</v>
      </c>
      <c r="H9">
        <v>2E+20</v>
      </c>
      <c r="I9">
        <v>17.493616209112599</v>
      </c>
      <c r="J9">
        <v>17.982604553509798</v>
      </c>
      <c r="K9">
        <v>2</v>
      </c>
      <c r="L9" t="str">
        <f>DiscreteStatsTable[[#This Row],[ProjectName]]&amp;DiscreteStatsTable[[#This Row],[Name]]&amp;DiscreteStatsTable[[#This Row],[Type]]&amp;DiscreteStatsTable[[#This Row],[Source]]</f>
        <v>Escenario AEntity 1Other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27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17.668553272104692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0.7694340869480476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0.36010623748224335</v>
      </c>
      <c r="R9" cm="1">
        <f t="array" ref="R9">MIN(IF((DiscreteStatsTable[GroupByKey]=DiscreteStatsTable[[#This Row],[GroupByKey]]),(DiscreteStatsTable[GroupByKey]=DiscreteStatsTable[[#This Row],[GroupByKey]])*DiscreteStatsTable[Average]))</f>
        <v>16.5757914382995</v>
      </c>
      <c r="S9" cm="1">
        <f t="array" ref="S9">MAX(IF((DiscreteStatsTable[GroupByKey]=DiscreteStatsTable[[#This Row],[GroupByKey]]),(DiscreteStatsTable[GroupByKey]=DiscreteStatsTable[[#This Row],[GroupByKey]])*DiscreteStatsTable[Average]))</f>
        <v>18.979452995869501</v>
      </c>
      <c r="T9" cm="1">
        <f t="array" ref="T9">MIN(IF((DiscreteStatsTable[GroupByKey]=DiscreteStatsTable[[#This Row],[GroupByKey]]),(DiscreteStatsTable[GroupByKey]=DiscreteStatsTable[[#This Row],[GroupByKey]])*DiscreteStatsTable[Minimum]))</f>
        <v>16.5757914382995</v>
      </c>
      <c r="U9" cm="1">
        <f t="array" ref="U9">MAX(IF((DiscreteStatsTable[GroupByKey]=DiscreteStatsTable[[#This Row],[GroupByKey]]),(DiscreteStatsTable[GroupByKey]=DiscreteStatsTable[[#This Row],[GroupByKey]])*DiscreteStatsTable[Maximum]))</f>
        <v>19.617131394374798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1.6</v>
      </c>
      <c r="W9">
        <f>IF((DiscreteStatsTable[[#This Row],[RepsRequested]]&gt;1),DiscreteStatsTable[[#This Row],[HalfWidth]],DiscreteStatsTable[[#This Row],[BatchMeansHalfWidth]])</f>
        <v>0.36010623748224335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20</v>
      </c>
      <c r="Y9">
        <f>IF(DiscreteStatsTable[[#This Row],[RepsRequested]]=DiscreteStatsTable[[#This Row],[RepsWithStatObserved]],1,0)</f>
        <v>0</v>
      </c>
    </row>
    <row r="10" spans="1:25" x14ac:dyDescent="0.25">
      <c r="A10" t="s">
        <v>68</v>
      </c>
      <c r="B10" t="s">
        <v>70</v>
      </c>
      <c r="C10">
        <v>2</v>
      </c>
      <c r="D10" t="s">
        <v>71</v>
      </c>
      <c r="E10" t="s">
        <v>75</v>
      </c>
      <c r="F10" t="s">
        <v>73</v>
      </c>
      <c r="G10">
        <v>17.738110381311198</v>
      </c>
      <c r="H10">
        <v>2E+20</v>
      </c>
      <c r="I10">
        <v>17.493616209112599</v>
      </c>
      <c r="J10">
        <v>17.982604553509798</v>
      </c>
      <c r="K10">
        <v>2</v>
      </c>
      <c r="L10" t="str">
        <f>DiscreteStatsTable[[#This Row],[ProjectName]]&amp;DiscreteStatsTable[[#This Row],[Name]]&amp;DiscreteStatsTable[[#This Row],[Type]]&amp;DiscreteStatsTable[[#This Row],[Source]]</f>
        <v>Escenario AEntity 1Total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27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17.711374161967051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0.8290956086013278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16.5757914382995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19.176092927841601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16.5757914382995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21.300704209721701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1.6</v>
      </c>
      <c r="W10">
        <f>IF((DiscreteStatsTable[[#This Row],[RepsRequested]]&gt;1),DiscreteStatsTable[[#This Row],[HalfWidth]],DiscreteStatsTable[[#This Row],[BatchMeansHalfWidth]])</f>
        <v>0.38802868912491251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20</v>
      </c>
      <c r="Y10">
        <f>IF(DiscreteStatsTable[[#This Row],[RepsRequested]]=DiscreteStatsTable[[#This Row],[RepsWithStatObserved]],1,0)</f>
        <v>0</v>
      </c>
    </row>
    <row r="11" spans="1:25" x14ac:dyDescent="0.25">
      <c r="A11" t="s">
        <v>68</v>
      </c>
      <c r="B11" t="s">
        <v>70</v>
      </c>
      <c r="C11">
        <v>2</v>
      </c>
      <c r="D11" t="s">
        <v>71</v>
      </c>
      <c r="E11" t="s">
        <v>76</v>
      </c>
      <c r="F11" t="s">
        <v>73</v>
      </c>
      <c r="G11">
        <v>0</v>
      </c>
      <c r="H11">
        <v>2E+20</v>
      </c>
      <c r="I11">
        <v>0</v>
      </c>
      <c r="J11">
        <v>0</v>
      </c>
      <c r="K11">
        <v>2</v>
      </c>
      <c r="L11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27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1.6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20</v>
      </c>
      <c r="Y11">
        <f>IF(DiscreteStatsTable[[#This Row],[RepsRequested]]=DiscreteStatsTable[[#This Row],[RepsWithStatObserved]],1,0)</f>
        <v>0</v>
      </c>
    </row>
    <row r="12" spans="1:25" x14ac:dyDescent="0.25">
      <c r="A12" t="s">
        <v>68</v>
      </c>
      <c r="B12" t="s">
        <v>70</v>
      </c>
      <c r="C12">
        <v>2</v>
      </c>
      <c r="D12" t="s">
        <v>71</v>
      </c>
      <c r="E12" t="s">
        <v>77</v>
      </c>
      <c r="F12" t="s">
        <v>73</v>
      </c>
      <c r="G12">
        <v>0</v>
      </c>
      <c r="H12">
        <v>2E+20</v>
      </c>
      <c r="I12">
        <v>0</v>
      </c>
      <c r="J12">
        <v>0</v>
      </c>
      <c r="K12">
        <v>2</v>
      </c>
      <c r="L12" t="str">
        <f>DiscreteStatsTable[[#This Row],[ProjectName]]&amp;DiscreteStatsTable[[#This Row],[Name]]&amp;DiscreteStatsTable[[#This Row],[Type]]&amp;DiscreteStatsTable[[#This Row],[Source]]</f>
        <v>Escenario AEntity 1VA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27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4.2820889862359948E-2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0.19150084117853694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8.962515251308828E-2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0.85641779724719902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2.5692533917415998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1.6</v>
      </c>
      <c r="W12">
        <f>IF((DiscreteStatsTable[[#This Row],[RepsRequested]]&gt;1),DiscreteStatsTable[[#This Row],[HalfWidth]],DiscreteStatsTable[[#This Row],[BatchMeansHalfWidth]])</f>
        <v>8.962515251308828E-2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20</v>
      </c>
      <c r="Y12">
        <f>IF(DiscreteStatsTable[[#This Row],[RepsRequested]]=DiscreteStatsTable[[#This Row],[RepsWithStatObserved]],1,0)</f>
        <v>0</v>
      </c>
    </row>
    <row r="13" spans="1:25" x14ac:dyDescent="0.25">
      <c r="A13" t="s">
        <v>68</v>
      </c>
      <c r="B13" t="s">
        <v>70</v>
      </c>
      <c r="C13">
        <v>2</v>
      </c>
      <c r="D13" t="s">
        <v>71</v>
      </c>
      <c r="E13" t="s">
        <v>78</v>
      </c>
      <c r="F13" t="s">
        <v>73</v>
      </c>
      <c r="G13">
        <v>0</v>
      </c>
      <c r="H13">
        <v>2E+20</v>
      </c>
      <c r="I13">
        <v>0</v>
      </c>
      <c r="J13">
        <v>0</v>
      </c>
      <c r="K13">
        <v>2</v>
      </c>
      <c r="L13" t="str">
        <f>DiscreteStatsTable[[#This Row],[ProjectName]]&amp;DiscreteStatsTable[[#This Row],[Name]]&amp;DiscreteStatsTable[[#This Row],[Type]]&amp;DiscreteStatsTable[[#This Row],[Source]]</f>
        <v>Escenario AEntity 1Wait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27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1.6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20</v>
      </c>
      <c r="Y13">
        <f>IF(DiscreteStatsTable[[#This Row],[RepsRequested]]=DiscreteStatsTable[[#This Row],[RepsWithStatObserved]],1,0)</f>
        <v>0</v>
      </c>
    </row>
    <row r="14" spans="1:25" x14ac:dyDescent="0.25">
      <c r="A14" t="s">
        <v>68</v>
      </c>
      <c r="B14" t="s">
        <v>70</v>
      </c>
      <c r="C14">
        <v>3</v>
      </c>
      <c r="D14" t="s">
        <v>71</v>
      </c>
      <c r="E14" t="s">
        <v>72</v>
      </c>
      <c r="F14" t="s">
        <v>73</v>
      </c>
      <c r="G14">
        <v>0</v>
      </c>
      <c r="H14">
        <v>2E+20</v>
      </c>
      <c r="I14">
        <v>0</v>
      </c>
      <c r="J14">
        <v>0</v>
      </c>
      <c r="K14">
        <v>1</v>
      </c>
      <c r="L14" t="str">
        <f>DiscreteStatsTable[[#This Row],[ProjectName]]&amp;DiscreteStatsTable[[#This Row],[Name]]&amp;DiscreteStatsTable[[#This Row],[Type]]&amp;DiscreteStatsTable[[#This Row],[Source]]</f>
        <v>Escenario AEntity 1NVA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27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1.6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20</v>
      </c>
      <c r="Y14">
        <f>IF(DiscreteStatsTable[[#This Row],[RepsRequested]]=DiscreteStatsTable[[#This Row],[RepsWithStatObserved]],1,0)</f>
        <v>0</v>
      </c>
    </row>
    <row r="15" spans="1:25" x14ac:dyDescent="0.25">
      <c r="A15" t="s">
        <v>68</v>
      </c>
      <c r="B15" t="s">
        <v>70</v>
      </c>
      <c r="C15">
        <v>3</v>
      </c>
      <c r="D15" t="s">
        <v>71</v>
      </c>
      <c r="E15" t="s">
        <v>74</v>
      </c>
      <c r="F15" t="s">
        <v>73</v>
      </c>
      <c r="G15">
        <v>17.523386000474598</v>
      </c>
      <c r="H15">
        <v>2E+20</v>
      </c>
      <c r="I15">
        <v>17.523386000474598</v>
      </c>
      <c r="J15">
        <v>17.523386000474598</v>
      </c>
      <c r="K15">
        <v>1</v>
      </c>
      <c r="L15" t="str">
        <f>DiscreteStatsTable[[#This Row],[ProjectName]]&amp;DiscreteStatsTable[[#This Row],[Name]]&amp;DiscreteStatsTable[[#This Row],[Type]]&amp;DiscreteStatsTable[[#This Row],[Source]]</f>
        <v>Escenario AEntity 1Other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27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17.668553272104692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0.7694340869480476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0.36010623748224335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16.5757914382995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18.979452995869501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16.5757914382995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19.617131394374798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1.6</v>
      </c>
      <c r="W15">
        <f>IF((DiscreteStatsTable[[#This Row],[RepsRequested]]&gt;1),DiscreteStatsTable[[#This Row],[HalfWidth]],DiscreteStatsTable[[#This Row],[BatchMeansHalfWidth]])</f>
        <v>0.36010623748224335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20</v>
      </c>
      <c r="Y15">
        <f>IF(DiscreteStatsTable[[#This Row],[RepsRequested]]=DiscreteStatsTable[[#This Row],[RepsWithStatObserved]],1,0)</f>
        <v>0</v>
      </c>
    </row>
    <row r="16" spans="1:25" x14ac:dyDescent="0.25">
      <c r="A16" t="s">
        <v>68</v>
      </c>
      <c r="B16" t="s">
        <v>70</v>
      </c>
      <c r="C16">
        <v>3</v>
      </c>
      <c r="D16" t="s">
        <v>71</v>
      </c>
      <c r="E16" t="s">
        <v>75</v>
      </c>
      <c r="F16" t="s">
        <v>73</v>
      </c>
      <c r="G16">
        <v>17.523386000474598</v>
      </c>
      <c r="H16">
        <v>2E+20</v>
      </c>
      <c r="I16">
        <v>17.523386000474598</v>
      </c>
      <c r="J16">
        <v>17.523386000474598</v>
      </c>
      <c r="K16">
        <v>1</v>
      </c>
      <c r="L16" t="str">
        <f>DiscreteStatsTable[[#This Row],[ProjectName]]&amp;DiscreteStatsTable[[#This Row],[Name]]&amp;DiscreteStatsTable[[#This Row],[Type]]&amp;DiscreteStatsTable[[#This Row],[Source]]</f>
        <v>Escenario AEntity 1Total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27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17.711374161967051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0.8290956086013278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16.5757914382995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19.176092927841601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16.5757914382995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21.300704209721701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1.6</v>
      </c>
      <c r="W16">
        <f>IF((DiscreteStatsTable[[#This Row],[RepsRequested]]&gt;1),DiscreteStatsTable[[#This Row],[HalfWidth]],DiscreteStatsTable[[#This Row],[BatchMeansHalfWidth]])</f>
        <v>0.38802868912491251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20</v>
      </c>
      <c r="Y16">
        <f>IF(DiscreteStatsTable[[#This Row],[RepsRequested]]=DiscreteStatsTable[[#This Row],[RepsWithStatObserved]],1,0)</f>
        <v>0</v>
      </c>
    </row>
    <row r="17" spans="1:25" x14ac:dyDescent="0.25">
      <c r="A17" t="s">
        <v>68</v>
      </c>
      <c r="B17" t="s">
        <v>70</v>
      </c>
      <c r="C17">
        <v>3</v>
      </c>
      <c r="D17" t="s">
        <v>71</v>
      </c>
      <c r="E17" t="s">
        <v>76</v>
      </c>
      <c r="F17" t="s">
        <v>73</v>
      </c>
      <c r="G17">
        <v>0</v>
      </c>
      <c r="H17">
        <v>2E+20</v>
      </c>
      <c r="I17">
        <v>0</v>
      </c>
      <c r="J17">
        <v>0</v>
      </c>
      <c r="K17">
        <v>1</v>
      </c>
      <c r="L17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27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1.6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20</v>
      </c>
      <c r="Y17">
        <f>IF(DiscreteStatsTable[[#This Row],[RepsRequested]]=DiscreteStatsTable[[#This Row],[RepsWithStatObserved]],1,0)</f>
        <v>0</v>
      </c>
    </row>
    <row r="18" spans="1:25" x14ac:dyDescent="0.25">
      <c r="A18" t="s">
        <v>68</v>
      </c>
      <c r="B18" t="s">
        <v>70</v>
      </c>
      <c r="C18">
        <v>3</v>
      </c>
      <c r="D18" t="s">
        <v>71</v>
      </c>
      <c r="E18" t="s">
        <v>77</v>
      </c>
      <c r="F18" t="s">
        <v>73</v>
      </c>
      <c r="G18">
        <v>0</v>
      </c>
      <c r="H18">
        <v>2E+20</v>
      </c>
      <c r="I18">
        <v>0</v>
      </c>
      <c r="J18">
        <v>0</v>
      </c>
      <c r="K18">
        <v>1</v>
      </c>
      <c r="L18" t="str">
        <f>DiscreteStatsTable[[#This Row],[ProjectName]]&amp;DiscreteStatsTable[[#This Row],[Name]]&amp;DiscreteStatsTable[[#This Row],[Type]]&amp;DiscreteStatsTable[[#This Row],[Source]]</f>
        <v>Escenario AEntity 1VA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27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4.2820889862359948E-2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0.19150084117853694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8.962515251308828E-2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0.85641779724719902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2.5692533917415998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1.6</v>
      </c>
      <c r="W18">
        <f>IF((DiscreteStatsTable[[#This Row],[RepsRequested]]&gt;1),DiscreteStatsTable[[#This Row],[HalfWidth]],DiscreteStatsTable[[#This Row],[BatchMeansHalfWidth]])</f>
        <v>8.962515251308828E-2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20</v>
      </c>
      <c r="Y18">
        <f>IF(DiscreteStatsTable[[#This Row],[RepsRequested]]=DiscreteStatsTable[[#This Row],[RepsWithStatObserved]],1,0)</f>
        <v>0</v>
      </c>
    </row>
    <row r="19" spans="1:25" x14ac:dyDescent="0.25">
      <c r="A19" t="s">
        <v>68</v>
      </c>
      <c r="B19" t="s">
        <v>70</v>
      </c>
      <c r="C19">
        <v>3</v>
      </c>
      <c r="D19" t="s">
        <v>71</v>
      </c>
      <c r="E19" t="s">
        <v>78</v>
      </c>
      <c r="F19" t="s">
        <v>73</v>
      </c>
      <c r="G19">
        <v>0</v>
      </c>
      <c r="H19">
        <v>2E+20</v>
      </c>
      <c r="I19">
        <v>0</v>
      </c>
      <c r="J19">
        <v>0</v>
      </c>
      <c r="K19">
        <v>1</v>
      </c>
      <c r="L19" t="str">
        <f>DiscreteStatsTable[[#This Row],[ProjectName]]&amp;DiscreteStatsTable[[#This Row],[Name]]&amp;DiscreteStatsTable[[#This Row],[Type]]&amp;DiscreteStatsTable[[#This Row],[Source]]</f>
        <v>Escenario AEntity 1Wait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27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1.6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20</v>
      </c>
      <c r="Y19">
        <f>IF(DiscreteStatsTable[[#This Row],[RepsRequested]]=DiscreteStatsTable[[#This Row],[RepsWithStatObserved]],1,0)</f>
        <v>0</v>
      </c>
    </row>
    <row r="20" spans="1:25" x14ac:dyDescent="0.25">
      <c r="A20" t="s">
        <v>68</v>
      </c>
      <c r="B20" t="s">
        <v>70</v>
      </c>
      <c r="C20">
        <v>4</v>
      </c>
      <c r="D20" t="s">
        <v>71</v>
      </c>
      <c r="E20" t="s">
        <v>72</v>
      </c>
      <c r="F20" t="s">
        <v>73</v>
      </c>
      <c r="G20">
        <v>0</v>
      </c>
      <c r="H20">
        <v>2E+20</v>
      </c>
      <c r="I20">
        <v>0</v>
      </c>
      <c r="J20">
        <v>0</v>
      </c>
      <c r="K20">
        <v>3</v>
      </c>
      <c r="L20" t="str">
        <f>DiscreteStatsTable[[#This Row],[ProjectName]]&amp;DiscreteStatsTable[[#This Row],[Name]]&amp;DiscreteStatsTable[[#This Row],[Type]]&amp;DiscreteStatsTable[[#This Row],[Source]]</f>
        <v>Escenario AEntity 1NVA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27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1.6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20</v>
      </c>
      <c r="Y20">
        <f>IF(DiscreteStatsTable[[#This Row],[RepsRequested]]=DiscreteStatsTable[[#This Row],[RepsWithStatObserved]],1,0)</f>
        <v>0</v>
      </c>
    </row>
    <row r="21" spans="1:25" x14ac:dyDescent="0.25">
      <c r="A21" t="s">
        <v>68</v>
      </c>
      <c r="B21" t="s">
        <v>70</v>
      </c>
      <c r="C21">
        <v>4</v>
      </c>
      <c r="D21" t="s">
        <v>71</v>
      </c>
      <c r="E21" t="s">
        <v>74</v>
      </c>
      <c r="F21" t="s">
        <v>73</v>
      </c>
      <c r="G21">
        <v>18.319675130594401</v>
      </c>
      <c r="H21">
        <v>2E+20</v>
      </c>
      <c r="I21">
        <v>17.299039419173798</v>
      </c>
      <c r="J21">
        <v>18.928535154629301</v>
      </c>
      <c r="K21">
        <v>3</v>
      </c>
      <c r="L21" t="str">
        <f>DiscreteStatsTable[[#This Row],[ProjectName]]&amp;DiscreteStatsTable[[#This Row],[Name]]&amp;DiscreteStatsTable[[#This Row],[Type]]&amp;DiscreteStatsTable[[#This Row],[Source]]</f>
        <v>Escenario AEntity 1Other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27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17.668553272104692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0.7694340869480476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0.36010623748224335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16.5757914382995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18.979452995869501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16.5757914382995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19.617131394374798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1.6</v>
      </c>
      <c r="W21">
        <f>IF((DiscreteStatsTable[[#This Row],[RepsRequested]]&gt;1),DiscreteStatsTable[[#This Row],[HalfWidth]],DiscreteStatsTable[[#This Row],[BatchMeansHalfWidth]])</f>
        <v>0.36010623748224335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20</v>
      </c>
      <c r="Y21">
        <f>IF(DiscreteStatsTable[[#This Row],[RepsRequested]]=DiscreteStatsTable[[#This Row],[RepsWithStatObserved]],1,0)</f>
        <v>0</v>
      </c>
    </row>
    <row r="22" spans="1:25" x14ac:dyDescent="0.25">
      <c r="A22" t="s">
        <v>68</v>
      </c>
      <c r="B22" t="s">
        <v>70</v>
      </c>
      <c r="C22">
        <v>4</v>
      </c>
      <c r="D22" t="s">
        <v>71</v>
      </c>
      <c r="E22" t="s">
        <v>75</v>
      </c>
      <c r="F22" t="s">
        <v>73</v>
      </c>
      <c r="G22">
        <v>19.176092927841601</v>
      </c>
      <c r="H22">
        <v>2E+20</v>
      </c>
      <c r="I22">
        <v>17.299039419173798</v>
      </c>
      <c r="J22">
        <v>21.300704209721701</v>
      </c>
      <c r="K22">
        <v>3</v>
      </c>
      <c r="L22" t="str">
        <f>DiscreteStatsTable[[#This Row],[ProjectName]]&amp;DiscreteStatsTable[[#This Row],[Name]]&amp;DiscreteStatsTable[[#This Row],[Type]]&amp;DiscreteStatsTable[[#This Row],[Source]]</f>
        <v>Escenario AEntity 1Total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27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17.711374161967051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0.8290956086013278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16.5757914382995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19.176092927841601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16.5757914382995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21.300704209721701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1.6</v>
      </c>
      <c r="W22">
        <f>IF((DiscreteStatsTable[[#This Row],[RepsRequested]]&gt;1),DiscreteStatsTable[[#This Row],[HalfWidth]],DiscreteStatsTable[[#This Row],[BatchMeansHalfWidth]])</f>
        <v>0.38802868912491251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20</v>
      </c>
      <c r="Y22">
        <f>IF(DiscreteStatsTable[[#This Row],[RepsRequested]]=DiscreteStatsTable[[#This Row],[RepsWithStatObserved]],1,0)</f>
        <v>0</v>
      </c>
    </row>
    <row r="23" spans="1:25" x14ac:dyDescent="0.25">
      <c r="A23" t="s">
        <v>68</v>
      </c>
      <c r="B23" t="s">
        <v>70</v>
      </c>
      <c r="C23">
        <v>4</v>
      </c>
      <c r="D23" t="s">
        <v>71</v>
      </c>
      <c r="E23" t="s">
        <v>76</v>
      </c>
      <c r="F23" t="s">
        <v>73</v>
      </c>
      <c r="G23">
        <v>0</v>
      </c>
      <c r="H23">
        <v>2E+20</v>
      </c>
      <c r="I23">
        <v>0</v>
      </c>
      <c r="J23">
        <v>0</v>
      </c>
      <c r="K23">
        <v>3</v>
      </c>
      <c r="L23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27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1.6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20</v>
      </c>
      <c r="Y23">
        <f>IF(DiscreteStatsTable[[#This Row],[RepsRequested]]=DiscreteStatsTable[[#This Row],[RepsWithStatObserved]],1,0)</f>
        <v>0</v>
      </c>
    </row>
    <row r="24" spans="1:25" x14ac:dyDescent="0.25">
      <c r="A24" t="s">
        <v>68</v>
      </c>
      <c r="B24" t="s">
        <v>70</v>
      </c>
      <c r="C24">
        <v>4</v>
      </c>
      <c r="D24" t="s">
        <v>71</v>
      </c>
      <c r="E24" t="s">
        <v>77</v>
      </c>
      <c r="F24" t="s">
        <v>73</v>
      </c>
      <c r="G24">
        <v>0.85641779724719902</v>
      </c>
      <c r="H24">
        <v>2E+20</v>
      </c>
      <c r="I24">
        <v>0</v>
      </c>
      <c r="J24">
        <v>2.5692533917415998</v>
      </c>
      <c r="K24">
        <v>3</v>
      </c>
      <c r="L24" t="str">
        <f>DiscreteStatsTable[[#This Row],[ProjectName]]&amp;DiscreteStatsTable[[#This Row],[Name]]&amp;DiscreteStatsTable[[#This Row],[Type]]&amp;DiscreteStatsTable[[#This Row],[Source]]</f>
        <v>Escenario AEntity 1VA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27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4.2820889862359948E-2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0.19150084117853694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8.962515251308828E-2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0.85641779724719902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2.5692533917415998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1.6</v>
      </c>
      <c r="W24">
        <f>IF((DiscreteStatsTable[[#This Row],[RepsRequested]]&gt;1),DiscreteStatsTable[[#This Row],[HalfWidth]],DiscreteStatsTable[[#This Row],[BatchMeansHalfWidth]])</f>
        <v>8.962515251308828E-2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20</v>
      </c>
      <c r="Y24">
        <f>IF(DiscreteStatsTable[[#This Row],[RepsRequested]]=DiscreteStatsTable[[#This Row],[RepsWithStatObserved]],1,0)</f>
        <v>0</v>
      </c>
    </row>
    <row r="25" spans="1:25" x14ac:dyDescent="0.25">
      <c r="A25" t="s">
        <v>68</v>
      </c>
      <c r="B25" t="s">
        <v>70</v>
      </c>
      <c r="C25">
        <v>4</v>
      </c>
      <c r="D25" t="s">
        <v>71</v>
      </c>
      <c r="E25" t="s">
        <v>78</v>
      </c>
      <c r="F25" t="s">
        <v>73</v>
      </c>
      <c r="G25">
        <v>0</v>
      </c>
      <c r="H25">
        <v>2E+20</v>
      </c>
      <c r="I25">
        <v>0</v>
      </c>
      <c r="J25">
        <v>0</v>
      </c>
      <c r="K25">
        <v>3</v>
      </c>
      <c r="L25" t="str">
        <f>DiscreteStatsTable[[#This Row],[ProjectName]]&amp;DiscreteStatsTable[[#This Row],[Name]]&amp;DiscreteStatsTable[[#This Row],[Type]]&amp;DiscreteStatsTable[[#This Row],[Source]]</f>
        <v>Escenario AEntity 1Wait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27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1.6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20</v>
      </c>
      <c r="Y25">
        <f>IF(DiscreteStatsTable[[#This Row],[RepsRequested]]=DiscreteStatsTable[[#This Row],[RepsWithStatObserved]],1,0)</f>
        <v>0</v>
      </c>
    </row>
    <row r="26" spans="1:25" x14ac:dyDescent="0.25">
      <c r="A26" t="s">
        <v>68</v>
      </c>
      <c r="B26" t="s">
        <v>70</v>
      </c>
      <c r="C26">
        <v>7</v>
      </c>
      <c r="D26" t="s">
        <v>71</v>
      </c>
      <c r="E26" t="s">
        <v>72</v>
      </c>
      <c r="F26" t="s">
        <v>73</v>
      </c>
      <c r="G26">
        <v>0</v>
      </c>
      <c r="H26">
        <v>2E+20</v>
      </c>
      <c r="I26">
        <v>0</v>
      </c>
      <c r="J26">
        <v>0</v>
      </c>
      <c r="K26">
        <v>1</v>
      </c>
      <c r="L26" t="str">
        <f>DiscreteStatsTable[[#This Row],[ProjectName]]&amp;DiscreteStatsTable[[#This Row],[Name]]&amp;DiscreteStatsTable[[#This Row],[Type]]&amp;DiscreteStatsTable[[#This Row],[Source]]</f>
        <v>Escenario AEntity 1NVA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27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1.6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20</v>
      </c>
      <c r="Y26">
        <f>IF(DiscreteStatsTable[[#This Row],[RepsRequested]]=DiscreteStatsTable[[#This Row],[RepsWithStatObserved]],1,0)</f>
        <v>0</v>
      </c>
    </row>
    <row r="27" spans="1:25" x14ac:dyDescent="0.25">
      <c r="A27" t="s">
        <v>68</v>
      </c>
      <c r="B27" t="s">
        <v>70</v>
      </c>
      <c r="C27">
        <v>7</v>
      </c>
      <c r="D27" t="s">
        <v>71</v>
      </c>
      <c r="E27" t="s">
        <v>74</v>
      </c>
      <c r="F27" t="s">
        <v>73</v>
      </c>
      <c r="G27">
        <v>16.8725050194498</v>
      </c>
      <c r="H27">
        <v>2E+20</v>
      </c>
      <c r="I27">
        <v>16.8725050194498</v>
      </c>
      <c r="J27">
        <v>16.8725050194498</v>
      </c>
      <c r="K27">
        <v>1</v>
      </c>
      <c r="L27" t="str">
        <f>DiscreteStatsTable[[#This Row],[ProjectName]]&amp;DiscreteStatsTable[[#This Row],[Name]]&amp;DiscreteStatsTable[[#This Row],[Type]]&amp;DiscreteStatsTable[[#This Row],[Source]]</f>
        <v>Escenario AEntity 1Other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27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17.668553272104692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0.7694340869480476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0.36010623748224335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16.5757914382995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18.979452995869501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16.5757914382995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19.617131394374798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1.6</v>
      </c>
      <c r="W27">
        <f>IF((DiscreteStatsTable[[#This Row],[RepsRequested]]&gt;1),DiscreteStatsTable[[#This Row],[HalfWidth]],DiscreteStatsTable[[#This Row],[BatchMeansHalfWidth]])</f>
        <v>0.36010623748224335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20</v>
      </c>
      <c r="Y27">
        <f>IF(DiscreteStatsTable[[#This Row],[RepsRequested]]=DiscreteStatsTable[[#This Row],[RepsWithStatObserved]],1,0)</f>
        <v>0</v>
      </c>
    </row>
    <row r="28" spans="1:25" x14ac:dyDescent="0.25">
      <c r="A28" t="s">
        <v>68</v>
      </c>
      <c r="B28" t="s">
        <v>70</v>
      </c>
      <c r="C28">
        <v>7</v>
      </c>
      <c r="D28" t="s">
        <v>71</v>
      </c>
      <c r="E28" t="s">
        <v>75</v>
      </c>
      <c r="F28" t="s">
        <v>73</v>
      </c>
      <c r="G28">
        <v>16.8725050194498</v>
      </c>
      <c r="H28">
        <v>2E+20</v>
      </c>
      <c r="I28">
        <v>16.8725050194498</v>
      </c>
      <c r="J28">
        <v>16.8725050194498</v>
      </c>
      <c r="K28">
        <v>1</v>
      </c>
      <c r="L28" t="str">
        <f>DiscreteStatsTable[[#This Row],[ProjectName]]&amp;DiscreteStatsTable[[#This Row],[Name]]&amp;DiscreteStatsTable[[#This Row],[Type]]&amp;DiscreteStatsTable[[#This Row],[Source]]</f>
        <v>Escenario AEntity 1Total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27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17.711374161967051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0.8290956086013278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16.5757914382995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19.176092927841601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16.5757914382995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21.300704209721701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1.6</v>
      </c>
      <c r="W28">
        <f>IF((DiscreteStatsTable[[#This Row],[RepsRequested]]&gt;1),DiscreteStatsTable[[#This Row],[HalfWidth]],DiscreteStatsTable[[#This Row],[BatchMeansHalfWidth]])</f>
        <v>0.38802868912491251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20</v>
      </c>
      <c r="Y28">
        <f>IF(DiscreteStatsTable[[#This Row],[RepsRequested]]=DiscreteStatsTable[[#This Row],[RepsWithStatObserved]],1,0)</f>
        <v>0</v>
      </c>
    </row>
    <row r="29" spans="1:25" x14ac:dyDescent="0.25">
      <c r="A29" t="s">
        <v>68</v>
      </c>
      <c r="B29" t="s">
        <v>70</v>
      </c>
      <c r="C29">
        <v>7</v>
      </c>
      <c r="D29" t="s">
        <v>71</v>
      </c>
      <c r="E29" t="s">
        <v>76</v>
      </c>
      <c r="F29" t="s">
        <v>73</v>
      </c>
      <c r="G29">
        <v>0</v>
      </c>
      <c r="H29">
        <v>2E+20</v>
      </c>
      <c r="I29">
        <v>0</v>
      </c>
      <c r="J29">
        <v>0</v>
      </c>
      <c r="K29">
        <v>1</v>
      </c>
      <c r="L29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27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1.6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20</v>
      </c>
      <c r="Y29">
        <f>IF(DiscreteStatsTable[[#This Row],[RepsRequested]]=DiscreteStatsTable[[#This Row],[RepsWithStatObserved]],1,0)</f>
        <v>0</v>
      </c>
    </row>
    <row r="30" spans="1:25" x14ac:dyDescent="0.25">
      <c r="A30" t="s">
        <v>68</v>
      </c>
      <c r="B30" t="s">
        <v>70</v>
      </c>
      <c r="C30">
        <v>7</v>
      </c>
      <c r="D30" t="s">
        <v>71</v>
      </c>
      <c r="E30" t="s">
        <v>77</v>
      </c>
      <c r="F30" t="s">
        <v>73</v>
      </c>
      <c r="G30">
        <v>0</v>
      </c>
      <c r="H30">
        <v>2E+20</v>
      </c>
      <c r="I30">
        <v>0</v>
      </c>
      <c r="J30">
        <v>0</v>
      </c>
      <c r="K30">
        <v>1</v>
      </c>
      <c r="L30" t="str">
        <f>DiscreteStatsTable[[#This Row],[ProjectName]]&amp;DiscreteStatsTable[[#This Row],[Name]]&amp;DiscreteStatsTable[[#This Row],[Type]]&amp;DiscreteStatsTable[[#This Row],[Source]]</f>
        <v>Escenario AEntity 1VA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27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4.2820889862359948E-2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0.19150084117853694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8.962515251308828E-2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0.85641779724719902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2.5692533917415998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1.6</v>
      </c>
      <c r="W30">
        <f>IF((DiscreteStatsTable[[#This Row],[RepsRequested]]&gt;1),DiscreteStatsTable[[#This Row],[HalfWidth]],DiscreteStatsTable[[#This Row],[BatchMeansHalfWidth]])</f>
        <v>8.962515251308828E-2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20</v>
      </c>
      <c r="Y30">
        <f>IF(DiscreteStatsTable[[#This Row],[RepsRequested]]=DiscreteStatsTable[[#This Row],[RepsWithStatObserved]],1,0)</f>
        <v>0</v>
      </c>
    </row>
    <row r="31" spans="1:25" x14ac:dyDescent="0.25">
      <c r="A31" t="s">
        <v>68</v>
      </c>
      <c r="B31" t="s">
        <v>70</v>
      </c>
      <c r="C31">
        <v>7</v>
      </c>
      <c r="D31" t="s">
        <v>71</v>
      </c>
      <c r="E31" t="s">
        <v>78</v>
      </c>
      <c r="F31" t="s">
        <v>73</v>
      </c>
      <c r="G31">
        <v>0</v>
      </c>
      <c r="H31">
        <v>2E+20</v>
      </c>
      <c r="I31">
        <v>0</v>
      </c>
      <c r="J31">
        <v>0</v>
      </c>
      <c r="K31">
        <v>1</v>
      </c>
      <c r="L31" t="str">
        <f>DiscreteStatsTable[[#This Row],[ProjectName]]&amp;DiscreteStatsTable[[#This Row],[Name]]&amp;DiscreteStatsTable[[#This Row],[Type]]&amp;DiscreteStatsTable[[#This Row],[Source]]</f>
        <v>Escenario AEntity 1Wait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27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1.6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20</v>
      </c>
      <c r="Y31">
        <f>IF(DiscreteStatsTable[[#This Row],[RepsRequested]]=DiscreteStatsTable[[#This Row],[RepsWithStatObserved]],1,0)</f>
        <v>0</v>
      </c>
    </row>
    <row r="32" spans="1:25" x14ac:dyDescent="0.25">
      <c r="A32" t="s">
        <v>68</v>
      </c>
      <c r="B32" t="s">
        <v>70</v>
      </c>
      <c r="C32">
        <v>8</v>
      </c>
      <c r="D32" t="s">
        <v>71</v>
      </c>
      <c r="E32" t="s">
        <v>72</v>
      </c>
      <c r="F32" t="s">
        <v>73</v>
      </c>
      <c r="G32">
        <v>0</v>
      </c>
      <c r="H32">
        <v>2E+20</v>
      </c>
      <c r="I32">
        <v>0</v>
      </c>
      <c r="J32">
        <v>0</v>
      </c>
      <c r="K32">
        <v>1</v>
      </c>
      <c r="L32" t="str">
        <f>DiscreteStatsTable[[#This Row],[ProjectName]]&amp;DiscreteStatsTable[[#This Row],[Name]]&amp;DiscreteStatsTable[[#This Row],[Type]]&amp;DiscreteStatsTable[[#This Row],[Source]]</f>
        <v>Escenario AEntity 1NVA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27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1.6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20</v>
      </c>
      <c r="Y32">
        <f>IF(DiscreteStatsTable[[#This Row],[RepsRequested]]=DiscreteStatsTable[[#This Row],[RepsWithStatObserved]],1,0)</f>
        <v>0</v>
      </c>
    </row>
    <row r="33" spans="1:25" x14ac:dyDescent="0.25">
      <c r="A33" t="s">
        <v>68</v>
      </c>
      <c r="B33" t="s">
        <v>70</v>
      </c>
      <c r="C33">
        <v>8</v>
      </c>
      <c r="D33" t="s">
        <v>71</v>
      </c>
      <c r="E33" t="s">
        <v>74</v>
      </c>
      <c r="F33" t="s">
        <v>73</v>
      </c>
      <c r="G33">
        <v>16.6739399111169</v>
      </c>
      <c r="H33">
        <v>2E+20</v>
      </c>
      <c r="I33">
        <v>16.6739399111169</v>
      </c>
      <c r="J33">
        <v>16.6739399111169</v>
      </c>
      <c r="K33">
        <v>1</v>
      </c>
      <c r="L33" t="str">
        <f>DiscreteStatsTable[[#This Row],[ProjectName]]&amp;DiscreteStatsTable[[#This Row],[Name]]&amp;DiscreteStatsTable[[#This Row],[Type]]&amp;DiscreteStatsTable[[#This Row],[Source]]</f>
        <v>Escenario AEntity 1Other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27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17.668553272104692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0.7694340869480476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0.36010623748224335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16.5757914382995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18.979452995869501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16.5757914382995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19.617131394374798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1.6</v>
      </c>
      <c r="W33">
        <f>IF((DiscreteStatsTable[[#This Row],[RepsRequested]]&gt;1),DiscreteStatsTable[[#This Row],[HalfWidth]],DiscreteStatsTable[[#This Row],[BatchMeansHalfWidth]])</f>
        <v>0.36010623748224335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20</v>
      </c>
      <c r="Y33">
        <f>IF(DiscreteStatsTable[[#This Row],[RepsRequested]]=DiscreteStatsTable[[#This Row],[RepsWithStatObserved]],1,0)</f>
        <v>0</v>
      </c>
    </row>
    <row r="34" spans="1:25" x14ac:dyDescent="0.25">
      <c r="A34" t="s">
        <v>68</v>
      </c>
      <c r="B34" t="s">
        <v>70</v>
      </c>
      <c r="C34">
        <v>8</v>
      </c>
      <c r="D34" t="s">
        <v>71</v>
      </c>
      <c r="E34" t="s">
        <v>75</v>
      </c>
      <c r="F34" t="s">
        <v>73</v>
      </c>
      <c r="G34">
        <v>16.6739399111169</v>
      </c>
      <c r="H34">
        <v>2E+20</v>
      </c>
      <c r="I34">
        <v>16.6739399111169</v>
      </c>
      <c r="J34">
        <v>16.6739399111169</v>
      </c>
      <c r="K34">
        <v>1</v>
      </c>
      <c r="L34" t="str">
        <f>DiscreteStatsTable[[#This Row],[ProjectName]]&amp;DiscreteStatsTable[[#This Row],[Name]]&amp;DiscreteStatsTable[[#This Row],[Type]]&amp;DiscreteStatsTable[[#This Row],[Source]]</f>
        <v>Escenario AEntity 1Total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27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17.711374161967051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0.8290956086013278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16.5757914382995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19.176092927841601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16.5757914382995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21.300704209721701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1.6</v>
      </c>
      <c r="W34">
        <f>IF((DiscreteStatsTable[[#This Row],[RepsRequested]]&gt;1),DiscreteStatsTable[[#This Row],[HalfWidth]],DiscreteStatsTable[[#This Row],[BatchMeansHalfWidth]])</f>
        <v>0.38802868912491251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20</v>
      </c>
      <c r="Y34">
        <f>IF(DiscreteStatsTable[[#This Row],[RepsRequested]]=DiscreteStatsTable[[#This Row],[RepsWithStatObserved]],1,0)</f>
        <v>0</v>
      </c>
    </row>
    <row r="35" spans="1:25" x14ac:dyDescent="0.25">
      <c r="A35" t="s">
        <v>68</v>
      </c>
      <c r="B35" t="s">
        <v>70</v>
      </c>
      <c r="C35">
        <v>8</v>
      </c>
      <c r="D35" t="s">
        <v>71</v>
      </c>
      <c r="E35" t="s">
        <v>76</v>
      </c>
      <c r="F35" t="s">
        <v>73</v>
      </c>
      <c r="G35">
        <v>0</v>
      </c>
      <c r="H35">
        <v>2E+20</v>
      </c>
      <c r="I35">
        <v>0</v>
      </c>
      <c r="J35">
        <v>0</v>
      </c>
      <c r="K35">
        <v>1</v>
      </c>
      <c r="L35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27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1.6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20</v>
      </c>
      <c r="Y35">
        <f>IF(DiscreteStatsTable[[#This Row],[RepsRequested]]=DiscreteStatsTable[[#This Row],[RepsWithStatObserved]],1,0)</f>
        <v>0</v>
      </c>
    </row>
    <row r="36" spans="1:25" x14ac:dyDescent="0.25">
      <c r="A36" t="s">
        <v>68</v>
      </c>
      <c r="B36" t="s">
        <v>70</v>
      </c>
      <c r="C36">
        <v>8</v>
      </c>
      <c r="D36" t="s">
        <v>71</v>
      </c>
      <c r="E36" t="s">
        <v>77</v>
      </c>
      <c r="F36" t="s">
        <v>73</v>
      </c>
      <c r="G36">
        <v>0</v>
      </c>
      <c r="H36">
        <v>2E+20</v>
      </c>
      <c r="I36">
        <v>0</v>
      </c>
      <c r="J36">
        <v>0</v>
      </c>
      <c r="K36">
        <v>1</v>
      </c>
      <c r="L36" t="str">
        <f>DiscreteStatsTable[[#This Row],[ProjectName]]&amp;DiscreteStatsTable[[#This Row],[Name]]&amp;DiscreteStatsTable[[#This Row],[Type]]&amp;DiscreteStatsTable[[#This Row],[Source]]</f>
        <v>Escenario AEntity 1VA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27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4.2820889862359948E-2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0.19150084117853694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8.962515251308828E-2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0.85641779724719902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2.5692533917415998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1.6</v>
      </c>
      <c r="W36">
        <f>IF((DiscreteStatsTable[[#This Row],[RepsRequested]]&gt;1),DiscreteStatsTable[[#This Row],[HalfWidth]],DiscreteStatsTable[[#This Row],[BatchMeansHalfWidth]])</f>
        <v>8.962515251308828E-2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20</v>
      </c>
      <c r="Y36">
        <f>IF(DiscreteStatsTable[[#This Row],[RepsRequested]]=DiscreteStatsTable[[#This Row],[RepsWithStatObserved]],1,0)</f>
        <v>0</v>
      </c>
    </row>
    <row r="37" spans="1:25" x14ac:dyDescent="0.25">
      <c r="A37" t="s">
        <v>68</v>
      </c>
      <c r="B37" t="s">
        <v>70</v>
      </c>
      <c r="C37">
        <v>8</v>
      </c>
      <c r="D37" t="s">
        <v>71</v>
      </c>
      <c r="E37" t="s">
        <v>78</v>
      </c>
      <c r="F37" t="s">
        <v>73</v>
      </c>
      <c r="G37">
        <v>0</v>
      </c>
      <c r="H37">
        <v>2E+20</v>
      </c>
      <c r="I37">
        <v>0</v>
      </c>
      <c r="J37">
        <v>0</v>
      </c>
      <c r="K37">
        <v>1</v>
      </c>
      <c r="L37" t="str">
        <f>DiscreteStatsTable[[#This Row],[ProjectName]]&amp;DiscreteStatsTable[[#This Row],[Name]]&amp;DiscreteStatsTable[[#This Row],[Type]]&amp;DiscreteStatsTable[[#This Row],[Source]]</f>
        <v>Escenario AEntity 1Wait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27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0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1.6</v>
      </c>
      <c r="W37">
        <f>IF((DiscreteStatsTable[[#This Row],[RepsRequested]]&gt;1),DiscreteStatsTable[[#This Row],[HalfWidth]],DiscreteStatsTable[[#This Row],[BatchMeansHalfWidth]])</f>
        <v>0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20</v>
      </c>
      <c r="Y37">
        <f>IF(DiscreteStatsTable[[#This Row],[RepsRequested]]=DiscreteStatsTable[[#This Row],[RepsWithStatObserved]],1,0)</f>
        <v>0</v>
      </c>
    </row>
    <row r="38" spans="1:25" x14ac:dyDescent="0.25">
      <c r="A38" t="s">
        <v>68</v>
      </c>
      <c r="B38" t="s">
        <v>70</v>
      </c>
      <c r="C38">
        <v>10</v>
      </c>
      <c r="D38" t="s">
        <v>71</v>
      </c>
      <c r="E38" t="s">
        <v>72</v>
      </c>
      <c r="F38" t="s">
        <v>73</v>
      </c>
      <c r="G38">
        <v>0</v>
      </c>
      <c r="H38">
        <v>2E+20</v>
      </c>
      <c r="I38">
        <v>0</v>
      </c>
      <c r="J38">
        <v>0</v>
      </c>
      <c r="K38">
        <v>2</v>
      </c>
      <c r="L38" t="str">
        <f>DiscreteStatsTable[[#This Row],[ProjectName]]&amp;DiscreteStatsTable[[#This Row],[Name]]&amp;DiscreteStatsTable[[#This Row],[Type]]&amp;DiscreteStatsTable[[#This Row],[Source]]</f>
        <v>Escenario AEntity 1NVA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27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1.6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20</v>
      </c>
      <c r="Y38">
        <f>IF(DiscreteStatsTable[[#This Row],[RepsRequested]]=DiscreteStatsTable[[#This Row],[RepsWithStatObserved]],1,0)</f>
        <v>0</v>
      </c>
    </row>
    <row r="39" spans="1:25" x14ac:dyDescent="0.25">
      <c r="A39" t="s">
        <v>68</v>
      </c>
      <c r="B39" t="s">
        <v>70</v>
      </c>
      <c r="C39">
        <v>10</v>
      </c>
      <c r="D39" t="s">
        <v>71</v>
      </c>
      <c r="E39" t="s">
        <v>74</v>
      </c>
      <c r="F39" t="s">
        <v>73</v>
      </c>
      <c r="G39">
        <v>18.979452995869501</v>
      </c>
      <c r="H39">
        <v>2E+20</v>
      </c>
      <c r="I39">
        <v>18.3417745973641</v>
      </c>
      <c r="J39">
        <v>19.617131394374798</v>
      </c>
      <c r="K39">
        <v>2</v>
      </c>
      <c r="L39" t="str">
        <f>DiscreteStatsTable[[#This Row],[ProjectName]]&amp;DiscreteStatsTable[[#This Row],[Name]]&amp;DiscreteStatsTable[[#This Row],[Type]]&amp;DiscreteStatsTable[[#This Row],[Source]]</f>
        <v>Escenario AEntity 1Other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27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17.668553272104692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0.7694340869480476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0.36010623748224335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16.5757914382995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18.979452995869501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16.5757914382995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19.617131394374798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1.6</v>
      </c>
      <c r="W39">
        <f>IF((DiscreteStatsTable[[#This Row],[RepsRequested]]&gt;1),DiscreteStatsTable[[#This Row],[HalfWidth]],DiscreteStatsTable[[#This Row],[BatchMeansHalfWidth]])</f>
        <v>0.36010623748224335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20</v>
      </c>
      <c r="Y39">
        <f>IF(DiscreteStatsTable[[#This Row],[RepsRequested]]=DiscreteStatsTable[[#This Row],[RepsWithStatObserved]],1,0)</f>
        <v>0</v>
      </c>
    </row>
    <row r="40" spans="1:25" x14ac:dyDescent="0.25">
      <c r="A40" t="s">
        <v>68</v>
      </c>
      <c r="B40" t="s">
        <v>70</v>
      </c>
      <c r="C40">
        <v>10</v>
      </c>
      <c r="D40" t="s">
        <v>71</v>
      </c>
      <c r="E40" t="s">
        <v>75</v>
      </c>
      <c r="F40" t="s">
        <v>73</v>
      </c>
      <c r="G40">
        <v>18.979452995869501</v>
      </c>
      <c r="H40">
        <v>2E+20</v>
      </c>
      <c r="I40">
        <v>18.3417745973641</v>
      </c>
      <c r="J40">
        <v>19.617131394374798</v>
      </c>
      <c r="K40">
        <v>2</v>
      </c>
      <c r="L40" t="str">
        <f>DiscreteStatsTable[[#This Row],[ProjectName]]&amp;DiscreteStatsTable[[#This Row],[Name]]&amp;DiscreteStatsTable[[#This Row],[Type]]&amp;DiscreteStatsTable[[#This Row],[Source]]</f>
        <v>Escenario AEntity 1Total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27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17.711374161967051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0.8290956086013278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16.5757914382995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19.176092927841601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16.5757914382995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21.300704209721701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1.6</v>
      </c>
      <c r="W40">
        <f>IF((DiscreteStatsTable[[#This Row],[RepsRequested]]&gt;1),DiscreteStatsTable[[#This Row],[HalfWidth]],DiscreteStatsTable[[#This Row],[BatchMeansHalfWidth]])</f>
        <v>0.38802868912491251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20</v>
      </c>
      <c r="Y40">
        <f>IF(DiscreteStatsTable[[#This Row],[RepsRequested]]=DiscreteStatsTable[[#This Row],[RepsWithStatObserved]],1,0)</f>
        <v>0</v>
      </c>
    </row>
    <row r="41" spans="1:25" x14ac:dyDescent="0.25">
      <c r="A41" t="s">
        <v>68</v>
      </c>
      <c r="B41" t="s">
        <v>70</v>
      </c>
      <c r="C41">
        <v>10</v>
      </c>
      <c r="D41" t="s">
        <v>71</v>
      </c>
      <c r="E41" t="s">
        <v>76</v>
      </c>
      <c r="F41" t="s">
        <v>73</v>
      </c>
      <c r="G41">
        <v>0</v>
      </c>
      <c r="H41">
        <v>2E+20</v>
      </c>
      <c r="I41">
        <v>0</v>
      </c>
      <c r="J41">
        <v>0</v>
      </c>
      <c r="K41">
        <v>2</v>
      </c>
      <c r="L41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27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1.6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20</v>
      </c>
      <c r="Y41">
        <f>IF(DiscreteStatsTable[[#This Row],[RepsRequested]]=DiscreteStatsTable[[#This Row],[RepsWithStatObserved]],1,0)</f>
        <v>0</v>
      </c>
    </row>
    <row r="42" spans="1:25" x14ac:dyDescent="0.25">
      <c r="A42" t="s">
        <v>68</v>
      </c>
      <c r="B42" t="s">
        <v>70</v>
      </c>
      <c r="C42">
        <v>10</v>
      </c>
      <c r="D42" t="s">
        <v>71</v>
      </c>
      <c r="E42" t="s">
        <v>77</v>
      </c>
      <c r="F42" t="s">
        <v>73</v>
      </c>
      <c r="G42">
        <v>0</v>
      </c>
      <c r="H42">
        <v>2E+20</v>
      </c>
      <c r="I42">
        <v>0</v>
      </c>
      <c r="J42">
        <v>0</v>
      </c>
      <c r="K42">
        <v>2</v>
      </c>
      <c r="L42" t="str">
        <f>DiscreteStatsTable[[#This Row],[ProjectName]]&amp;DiscreteStatsTable[[#This Row],[Name]]&amp;DiscreteStatsTable[[#This Row],[Type]]&amp;DiscreteStatsTable[[#This Row],[Source]]</f>
        <v>Escenario AEntity 1VA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27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4.2820889862359948E-2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0.19150084117853694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8.962515251308828E-2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0.85641779724719902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2.5692533917415998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1.6</v>
      </c>
      <c r="W42">
        <f>IF((DiscreteStatsTable[[#This Row],[RepsRequested]]&gt;1),DiscreteStatsTable[[#This Row],[HalfWidth]],DiscreteStatsTable[[#This Row],[BatchMeansHalfWidth]])</f>
        <v>8.962515251308828E-2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20</v>
      </c>
      <c r="Y42">
        <f>IF(DiscreteStatsTable[[#This Row],[RepsRequested]]=DiscreteStatsTable[[#This Row],[RepsWithStatObserved]],1,0)</f>
        <v>0</v>
      </c>
    </row>
    <row r="43" spans="1:25" x14ac:dyDescent="0.25">
      <c r="A43" t="s">
        <v>68</v>
      </c>
      <c r="B43" t="s">
        <v>70</v>
      </c>
      <c r="C43">
        <v>10</v>
      </c>
      <c r="D43" t="s">
        <v>71</v>
      </c>
      <c r="E43" t="s">
        <v>78</v>
      </c>
      <c r="F43" t="s">
        <v>73</v>
      </c>
      <c r="G43">
        <v>0</v>
      </c>
      <c r="H43">
        <v>2E+20</v>
      </c>
      <c r="I43">
        <v>0</v>
      </c>
      <c r="J43">
        <v>0</v>
      </c>
      <c r="K43">
        <v>2</v>
      </c>
      <c r="L43" t="str">
        <f>DiscreteStatsTable[[#This Row],[ProjectName]]&amp;DiscreteStatsTable[[#This Row],[Name]]&amp;DiscreteStatsTable[[#This Row],[Type]]&amp;DiscreteStatsTable[[#This Row],[Source]]</f>
        <v>Escenario AEntity 1Wait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27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0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0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1.6</v>
      </c>
      <c r="W43">
        <f>IF((DiscreteStatsTable[[#This Row],[RepsRequested]]&gt;1),DiscreteStatsTable[[#This Row],[HalfWidth]],DiscreteStatsTable[[#This Row],[BatchMeansHalfWidth]])</f>
        <v>0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20</v>
      </c>
      <c r="Y43">
        <f>IF(DiscreteStatsTable[[#This Row],[RepsRequested]]=DiscreteStatsTable[[#This Row],[RepsWithStatObserved]],1,0)</f>
        <v>0</v>
      </c>
    </row>
    <row r="44" spans="1:25" x14ac:dyDescent="0.25">
      <c r="A44" t="s">
        <v>68</v>
      </c>
      <c r="B44" t="s">
        <v>70</v>
      </c>
      <c r="C44">
        <v>11</v>
      </c>
      <c r="D44" t="s">
        <v>71</v>
      </c>
      <c r="E44" t="s">
        <v>72</v>
      </c>
      <c r="F44" t="s">
        <v>73</v>
      </c>
      <c r="G44">
        <v>0</v>
      </c>
      <c r="H44">
        <v>2E+20</v>
      </c>
      <c r="I44">
        <v>0</v>
      </c>
      <c r="J44">
        <v>0</v>
      </c>
      <c r="K44">
        <v>1</v>
      </c>
      <c r="L44" t="str">
        <f>DiscreteStatsTable[[#This Row],[ProjectName]]&amp;DiscreteStatsTable[[#This Row],[Name]]&amp;DiscreteStatsTable[[#This Row],[Type]]&amp;DiscreteStatsTable[[#This Row],[Source]]</f>
        <v>Escenario AEntity 1NVA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27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1.6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20</v>
      </c>
      <c r="Y44">
        <f>IF(DiscreteStatsTable[[#This Row],[RepsRequested]]=DiscreteStatsTable[[#This Row],[RepsWithStatObserved]],1,0)</f>
        <v>0</v>
      </c>
    </row>
    <row r="45" spans="1:25" x14ac:dyDescent="0.25">
      <c r="A45" t="s">
        <v>68</v>
      </c>
      <c r="B45" t="s">
        <v>70</v>
      </c>
      <c r="C45">
        <v>11</v>
      </c>
      <c r="D45" t="s">
        <v>71</v>
      </c>
      <c r="E45" t="s">
        <v>74</v>
      </c>
      <c r="F45" t="s">
        <v>73</v>
      </c>
      <c r="G45">
        <v>16.693029126386701</v>
      </c>
      <c r="H45">
        <v>2E+20</v>
      </c>
      <c r="I45">
        <v>16.693029126386701</v>
      </c>
      <c r="J45">
        <v>16.693029126386701</v>
      </c>
      <c r="K45">
        <v>1</v>
      </c>
      <c r="L45" t="str">
        <f>DiscreteStatsTable[[#This Row],[ProjectName]]&amp;DiscreteStatsTable[[#This Row],[Name]]&amp;DiscreteStatsTable[[#This Row],[Type]]&amp;DiscreteStatsTable[[#This Row],[Source]]</f>
        <v>Escenario AEntity 1Other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27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17.668553272104692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0.7694340869480476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0.36010623748224335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16.5757914382995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18.979452995869501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16.5757914382995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19.617131394374798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1.6</v>
      </c>
      <c r="W45">
        <f>IF((DiscreteStatsTable[[#This Row],[RepsRequested]]&gt;1),DiscreteStatsTable[[#This Row],[HalfWidth]],DiscreteStatsTable[[#This Row],[BatchMeansHalfWidth]])</f>
        <v>0.36010623748224335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20</v>
      </c>
      <c r="Y45">
        <f>IF(DiscreteStatsTable[[#This Row],[RepsRequested]]=DiscreteStatsTable[[#This Row],[RepsWithStatObserved]],1,0)</f>
        <v>0</v>
      </c>
    </row>
    <row r="46" spans="1:25" x14ac:dyDescent="0.25">
      <c r="A46" t="s">
        <v>68</v>
      </c>
      <c r="B46" t="s">
        <v>70</v>
      </c>
      <c r="C46">
        <v>11</v>
      </c>
      <c r="D46" t="s">
        <v>71</v>
      </c>
      <c r="E46" t="s">
        <v>75</v>
      </c>
      <c r="F46" t="s">
        <v>73</v>
      </c>
      <c r="G46">
        <v>16.693029126386701</v>
      </c>
      <c r="H46">
        <v>2E+20</v>
      </c>
      <c r="I46">
        <v>16.693029126386701</v>
      </c>
      <c r="J46">
        <v>16.693029126386701</v>
      </c>
      <c r="K46">
        <v>1</v>
      </c>
      <c r="L46" t="str">
        <f>DiscreteStatsTable[[#This Row],[ProjectName]]&amp;DiscreteStatsTable[[#This Row],[Name]]&amp;DiscreteStatsTable[[#This Row],[Type]]&amp;DiscreteStatsTable[[#This Row],[Source]]</f>
        <v>Escenario AEntity 1Total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27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17.711374161967051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0.8290956086013278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16.5757914382995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19.176092927841601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16.5757914382995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21.300704209721701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1.6</v>
      </c>
      <c r="W46">
        <f>IF((DiscreteStatsTable[[#This Row],[RepsRequested]]&gt;1),DiscreteStatsTable[[#This Row],[HalfWidth]],DiscreteStatsTable[[#This Row],[BatchMeansHalfWidth]])</f>
        <v>0.38802868912491251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20</v>
      </c>
      <c r="Y46">
        <f>IF(DiscreteStatsTable[[#This Row],[RepsRequested]]=DiscreteStatsTable[[#This Row],[RepsWithStatObserved]],1,0)</f>
        <v>0</v>
      </c>
    </row>
    <row r="47" spans="1:25" x14ac:dyDescent="0.25">
      <c r="A47" t="s">
        <v>68</v>
      </c>
      <c r="B47" t="s">
        <v>70</v>
      </c>
      <c r="C47">
        <v>11</v>
      </c>
      <c r="D47" t="s">
        <v>71</v>
      </c>
      <c r="E47" t="s">
        <v>76</v>
      </c>
      <c r="F47" t="s">
        <v>73</v>
      </c>
      <c r="G47">
        <v>0</v>
      </c>
      <c r="H47">
        <v>2E+20</v>
      </c>
      <c r="I47">
        <v>0</v>
      </c>
      <c r="J47">
        <v>0</v>
      </c>
      <c r="K47">
        <v>1</v>
      </c>
      <c r="L47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27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1.6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20</v>
      </c>
      <c r="Y47">
        <f>IF(DiscreteStatsTable[[#This Row],[RepsRequested]]=DiscreteStatsTable[[#This Row],[RepsWithStatObserved]],1,0)</f>
        <v>0</v>
      </c>
    </row>
    <row r="48" spans="1:25" x14ac:dyDescent="0.25">
      <c r="A48" t="s">
        <v>68</v>
      </c>
      <c r="B48" t="s">
        <v>70</v>
      </c>
      <c r="C48">
        <v>11</v>
      </c>
      <c r="D48" t="s">
        <v>71</v>
      </c>
      <c r="E48" t="s">
        <v>77</v>
      </c>
      <c r="F48" t="s">
        <v>73</v>
      </c>
      <c r="G48">
        <v>0</v>
      </c>
      <c r="H48">
        <v>2E+20</v>
      </c>
      <c r="I48">
        <v>0</v>
      </c>
      <c r="J48">
        <v>0</v>
      </c>
      <c r="K48">
        <v>1</v>
      </c>
      <c r="L48" t="str">
        <f>DiscreteStatsTable[[#This Row],[ProjectName]]&amp;DiscreteStatsTable[[#This Row],[Name]]&amp;DiscreteStatsTable[[#This Row],[Type]]&amp;DiscreteStatsTable[[#This Row],[Source]]</f>
        <v>Escenario AEntity 1VA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27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4.2820889862359948E-2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0.19150084117853694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8.962515251308828E-2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0.85641779724719902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2.5692533917415998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1.6</v>
      </c>
      <c r="W48">
        <f>IF((DiscreteStatsTable[[#This Row],[RepsRequested]]&gt;1),DiscreteStatsTable[[#This Row],[HalfWidth]],DiscreteStatsTable[[#This Row],[BatchMeansHalfWidth]])</f>
        <v>8.962515251308828E-2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20</v>
      </c>
      <c r="Y48">
        <f>IF(DiscreteStatsTable[[#This Row],[RepsRequested]]=DiscreteStatsTable[[#This Row],[RepsWithStatObserved]],1,0)</f>
        <v>0</v>
      </c>
    </row>
    <row r="49" spans="1:25" x14ac:dyDescent="0.25">
      <c r="A49" t="s">
        <v>68</v>
      </c>
      <c r="B49" t="s">
        <v>70</v>
      </c>
      <c r="C49">
        <v>11</v>
      </c>
      <c r="D49" t="s">
        <v>71</v>
      </c>
      <c r="E49" t="s">
        <v>78</v>
      </c>
      <c r="F49" t="s">
        <v>73</v>
      </c>
      <c r="G49">
        <v>0</v>
      </c>
      <c r="H49">
        <v>2E+20</v>
      </c>
      <c r="I49">
        <v>0</v>
      </c>
      <c r="J49">
        <v>0</v>
      </c>
      <c r="K49">
        <v>1</v>
      </c>
      <c r="L49" t="str">
        <f>DiscreteStatsTable[[#This Row],[ProjectName]]&amp;DiscreteStatsTable[[#This Row],[Name]]&amp;DiscreteStatsTable[[#This Row],[Type]]&amp;DiscreteStatsTable[[#This Row],[Source]]</f>
        <v>Escenario AEntity 1Wait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27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0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0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1.6</v>
      </c>
      <c r="W49">
        <f>IF((DiscreteStatsTable[[#This Row],[RepsRequested]]&gt;1),DiscreteStatsTable[[#This Row],[HalfWidth]],DiscreteStatsTable[[#This Row],[BatchMeansHalfWidth]])</f>
        <v>0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20</v>
      </c>
      <c r="Y49">
        <f>IF(DiscreteStatsTable[[#This Row],[RepsRequested]]=DiscreteStatsTable[[#This Row],[RepsWithStatObserved]],1,0)</f>
        <v>0</v>
      </c>
    </row>
    <row r="50" spans="1:25" x14ac:dyDescent="0.25">
      <c r="A50" t="s">
        <v>68</v>
      </c>
      <c r="B50" t="s">
        <v>70</v>
      </c>
      <c r="C50">
        <v>12</v>
      </c>
      <c r="D50" t="s">
        <v>71</v>
      </c>
      <c r="E50" t="s">
        <v>72</v>
      </c>
      <c r="F50" t="s">
        <v>73</v>
      </c>
      <c r="G50">
        <v>0</v>
      </c>
      <c r="H50">
        <v>2E+20</v>
      </c>
      <c r="I50">
        <v>0</v>
      </c>
      <c r="J50">
        <v>0</v>
      </c>
      <c r="K50">
        <v>1</v>
      </c>
      <c r="L50" t="str">
        <f>DiscreteStatsTable[[#This Row],[ProjectName]]&amp;DiscreteStatsTable[[#This Row],[Name]]&amp;DiscreteStatsTable[[#This Row],[Type]]&amp;DiscreteStatsTable[[#This Row],[Source]]</f>
        <v>Escenario AEntity 1NVA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27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1.6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20</v>
      </c>
      <c r="Y50">
        <f>IF(DiscreteStatsTable[[#This Row],[RepsRequested]]=DiscreteStatsTable[[#This Row],[RepsWithStatObserved]],1,0)</f>
        <v>0</v>
      </c>
    </row>
    <row r="51" spans="1:25" x14ac:dyDescent="0.25">
      <c r="A51" t="s">
        <v>68</v>
      </c>
      <c r="B51" t="s">
        <v>70</v>
      </c>
      <c r="C51">
        <v>12</v>
      </c>
      <c r="D51" t="s">
        <v>71</v>
      </c>
      <c r="E51" t="s">
        <v>74</v>
      </c>
      <c r="F51" t="s">
        <v>73</v>
      </c>
      <c r="G51">
        <v>18.169635334280699</v>
      </c>
      <c r="H51">
        <v>2E+20</v>
      </c>
      <c r="I51">
        <v>18.169635334280699</v>
      </c>
      <c r="J51">
        <v>18.169635334280699</v>
      </c>
      <c r="K51">
        <v>1</v>
      </c>
      <c r="L51" t="str">
        <f>DiscreteStatsTable[[#This Row],[ProjectName]]&amp;DiscreteStatsTable[[#This Row],[Name]]&amp;DiscreteStatsTable[[#This Row],[Type]]&amp;DiscreteStatsTable[[#This Row],[Source]]</f>
        <v>Escenario AEntity 1Other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27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17.668553272104692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0.7694340869480476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0.36010623748224335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16.5757914382995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18.979452995869501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16.5757914382995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19.617131394374798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1.6</v>
      </c>
      <c r="W51">
        <f>IF((DiscreteStatsTable[[#This Row],[RepsRequested]]&gt;1),DiscreteStatsTable[[#This Row],[HalfWidth]],DiscreteStatsTable[[#This Row],[BatchMeansHalfWidth]])</f>
        <v>0.36010623748224335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20</v>
      </c>
      <c r="Y51">
        <f>IF(DiscreteStatsTable[[#This Row],[RepsRequested]]=DiscreteStatsTable[[#This Row],[RepsWithStatObserved]],1,0)</f>
        <v>0</v>
      </c>
    </row>
    <row r="52" spans="1:25" x14ac:dyDescent="0.25">
      <c r="A52" t="s">
        <v>68</v>
      </c>
      <c r="B52" t="s">
        <v>70</v>
      </c>
      <c r="C52">
        <v>12</v>
      </c>
      <c r="D52" t="s">
        <v>71</v>
      </c>
      <c r="E52" t="s">
        <v>75</v>
      </c>
      <c r="F52" t="s">
        <v>73</v>
      </c>
      <c r="G52">
        <v>18.169635334280699</v>
      </c>
      <c r="H52">
        <v>2E+20</v>
      </c>
      <c r="I52">
        <v>18.169635334280699</v>
      </c>
      <c r="J52">
        <v>18.169635334280699</v>
      </c>
      <c r="K52">
        <v>1</v>
      </c>
      <c r="L52" t="str">
        <f>DiscreteStatsTable[[#This Row],[ProjectName]]&amp;DiscreteStatsTable[[#This Row],[Name]]&amp;DiscreteStatsTable[[#This Row],[Type]]&amp;DiscreteStatsTable[[#This Row],[Source]]</f>
        <v>Escenario AEntity 1Total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27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17.711374161967051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0.8290956086013278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16.5757914382995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19.176092927841601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16.5757914382995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21.300704209721701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1.6</v>
      </c>
      <c r="W52">
        <f>IF((DiscreteStatsTable[[#This Row],[RepsRequested]]&gt;1),DiscreteStatsTable[[#This Row],[HalfWidth]],DiscreteStatsTable[[#This Row],[BatchMeansHalfWidth]])</f>
        <v>0.38802868912491251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20</v>
      </c>
      <c r="Y52">
        <f>IF(DiscreteStatsTable[[#This Row],[RepsRequested]]=DiscreteStatsTable[[#This Row],[RepsWithStatObserved]],1,0)</f>
        <v>0</v>
      </c>
    </row>
    <row r="53" spans="1:25" x14ac:dyDescent="0.25">
      <c r="A53" t="s">
        <v>68</v>
      </c>
      <c r="B53" t="s">
        <v>70</v>
      </c>
      <c r="C53">
        <v>12</v>
      </c>
      <c r="D53" t="s">
        <v>71</v>
      </c>
      <c r="E53" t="s">
        <v>76</v>
      </c>
      <c r="F53" t="s">
        <v>73</v>
      </c>
      <c r="G53">
        <v>0</v>
      </c>
      <c r="H53">
        <v>2E+20</v>
      </c>
      <c r="I53">
        <v>0</v>
      </c>
      <c r="J53">
        <v>0</v>
      </c>
      <c r="K53">
        <v>1</v>
      </c>
      <c r="L53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27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1.6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20</v>
      </c>
      <c r="Y53">
        <f>IF(DiscreteStatsTable[[#This Row],[RepsRequested]]=DiscreteStatsTable[[#This Row],[RepsWithStatObserved]],1,0)</f>
        <v>0</v>
      </c>
    </row>
    <row r="54" spans="1:25" x14ac:dyDescent="0.25">
      <c r="A54" t="s">
        <v>68</v>
      </c>
      <c r="B54" t="s">
        <v>70</v>
      </c>
      <c r="C54">
        <v>12</v>
      </c>
      <c r="D54" t="s">
        <v>71</v>
      </c>
      <c r="E54" t="s">
        <v>77</v>
      </c>
      <c r="F54" t="s">
        <v>73</v>
      </c>
      <c r="G54">
        <v>0</v>
      </c>
      <c r="H54">
        <v>2E+20</v>
      </c>
      <c r="I54">
        <v>0</v>
      </c>
      <c r="J54">
        <v>0</v>
      </c>
      <c r="K54">
        <v>1</v>
      </c>
      <c r="L54" t="str">
        <f>DiscreteStatsTable[[#This Row],[ProjectName]]&amp;DiscreteStatsTable[[#This Row],[Name]]&amp;DiscreteStatsTable[[#This Row],[Type]]&amp;DiscreteStatsTable[[#This Row],[Source]]</f>
        <v>Escenario AEntity 1VA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27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4.2820889862359948E-2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0.19150084117853694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8.962515251308828E-2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0.85641779724719902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2.5692533917415998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1.6</v>
      </c>
      <c r="W54">
        <f>IF((DiscreteStatsTable[[#This Row],[RepsRequested]]&gt;1),DiscreteStatsTable[[#This Row],[HalfWidth]],DiscreteStatsTable[[#This Row],[BatchMeansHalfWidth]])</f>
        <v>8.962515251308828E-2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20</v>
      </c>
      <c r="Y54">
        <f>IF(DiscreteStatsTable[[#This Row],[RepsRequested]]=DiscreteStatsTable[[#This Row],[RepsWithStatObserved]],1,0)</f>
        <v>0</v>
      </c>
    </row>
    <row r="55" spans="1:25" x14ac:dyDescent="0.25">
      <c r="A55" t="s">
        <v>68</v>
      </c>
      <c r="B55" t="s">
        <v>70</v>
      </c>
      <c r="C55">
        <v>12</v>
      </c>
      <c r="D55" t="s">
        <v>71</v>
      </c>
      <c r="E55" t="s">
        <v>78</v>
      </c>
      <c r="F55" t="s">
        <v>73</v>
      </c>
      <c r="G55">
        <v>0</v>
      </c>
      <c r="H55">
        <v>2E+20</v>
      </c>
      <c r="I55">
        <v>0</v>
      </c>
      <c r="J55">
        <v>0</v>
      </c>
      <c r="K55">
        <v>1</v>
      </c>
      <c r="L55" t="str">
        <f>DiscreteStatsTable[[#This Row],[ProjectName]]&amp;DiscreteStatsTable[[#This Row],[Name]]&amp;DiscreteStatsTable[[#This Row],[Type]]&amp;DiscreteStatsTable[[#This Row],[Source]]</f>
        <v>Escenario AEntity 1Wait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27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0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0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1.6</v>
      </c>
      <c r="W55">
        <f>IF((DiscreteStatsTable[[#This Row],[RepsRequested]]&gt;1),DiscreteStatsTable[[#This Row],[HalfWidth]],DiscreteStatsTable[[#This Row],[BatchMeansHalfWidth]])</f>
        <v>0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20</v>
      </c>
      <c r="Y55">
        <f>IF(DiscreteStatsTable[[#This Row],[RepsRequested]]=DiscreteStatsTable[[#This Row],[RepsWithStatObserved]],1,0)</f>
        <v>0</v>
      </c>
    </row>
    <row r="56" spans="1:25" x14ac:dyDescent="0.25">
      <c r="A56" t="s">
        <v>68</v>
      </c>
      <c r="B56" t="s">
        <v>70</v>
      </c>
      <c r="C56">
        <v>13</v>
      </c>
      <c r="D56" t="s">
        <v>71</v>
      </c>
      <c r="E56" t="s">
        <v>72</v>
      </c>
      <c r="F56" t="s">
        <v>73</v>
      </c>
      <c r="G56">
        <v>0</v>
      </c>
      <c r="H56">
        <v>2E+20</v>
      </c>
      <c r="I56">
        <v>0</v>
      </c>
      <c r="J56">
        <v>0</v>
      </c>
      <c r="K56">
        <v>2</v>
      </c>
      <c r="L56" t="str">
        <f>DiscreteStatsTable[[#This Row],[ProjectName]]&amp;DiscreteStatsTable[[#This Row],[Name]]&amp;DiscreteStatsTable[[#This Row],[Type]]&amp;DiscreteStatsTable[[#This Row],[Source]]</f>
        <v>Escenario AEntity 1NVA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27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1.6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20</v>
      </c>
      <c r="Y56">
        <f>IF(DiscreteStatsTable[[#This Row],[RepsRequested]]=DiscreteStatsTable[[#This Row],[RepsWithStatObserved]],1,0)</f>
        <v>0</v>
      </c>
    </row>
    <row r="57" spans="1:25" x14ac:dyDescent="0.25">
      <c r="A57" t="s">
        <v>68</v>
      </c>
      <c r="B57" t="s">
        <v>70</v>
      </c>
      <c r="C57">
        <v>13</v>
      </c>
      <c r="D57" t="s">
        <v>71</v>
      </c>
      <c r="E57" t="s">
        <v>74</v>
      </c>
      <c r="F57" t="s">
        <v>73</v>
      </c>
      <c r="G57">
        <v>18.661433463056099</v>
      </c>
      <c r="H57">
        <v>2E+20</v>
      </c>
      <c r="I57">
        <v>18.591636099247602</v>
      </c>
      <c r="J57">
        <v>18.731230826864699</v>
      </c>
      <c r="K57">
        <v>2</v>
      </c>
      <c r="L57" t="str">
        <f>DiscreteStatsTable[[#This Row],[ProjectName]]&amp;DiscreteStatsTable[[#This Row],[Name]]&amp;DiscreteStatsTable[[#This Row],[Type]]&amp;DiscreteStatsTable[[#This Row],[Source]]</f>
        <v>Escenario AEntity 1Other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27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17.668553272104692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0.7694340869480476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0.36010623748224335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16.5757914382995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18.979452995869501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16.5757914382995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19.617131394374798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1.6</v>
      </c>
      <c r="W57">
        <f>IF((DiscreteStatsTable[[#This Row],[RepsRequested]]&gt;1),DiscreteStatsTable[[#This Row],[HalfWidth]],DiscreteStatsTable[[#This Row],[BatchMeansHalfWidth]])</f>
        <v>0.36010623748224335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20</v>
      </c>
      <c r="Y57">
        <f>IF(DiscreteStatsTable[[#This Row],[RepsRequested]]=DiscreteStatsTable[[#This Row],[RepsWithStatObserved]],1,0)</f>
        <v>0</v>
      </c>
    </row>
    <row r="58" spans="1:25" x14ac:dyDescent="0.25">
      <c r="A58" t="s">
        <v>68</v>
      </c>
      <c r="B58" t="s">
        <v>70</v>
      </c>
      <c r="C58">
        <v>13</v>
      </c>
      <c r="D58" t="s">
        <v>71</v>
      </c>
      <c r="E58" t="s">
        <v>75</v>
      </c>
      <c r="F58" t="s">
        <v>73</v>
      </c>
      <c r="G58">
        <v>18.661433463056099</v>
      </c>
      <c r="H58">
        <v>2E+20</v>
      </c>
      <c r="I58">
        <v>18.591636099247602</v>
      </c>
      <c r="J58">
        <v>18.731230826864699</v>
      </c>
      <c r="K58">
        <v>2</v>
      </c>
      <c r="L58" t="str">
        <f>DiscreteStatsTable[[#This Row],[ProjectName]]&amp;DiscreteStatsTable[[#This Row],[Name]]&amp;DiscreteStatsTable[[#This Row],[Type]]&amp;DiscreteStatsTable[[#This Row],[Source]]</f>
        <v>Escenario AEntity 1Total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27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17.711374161967051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0.8290956086013278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16.5757914382995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19.176092927841601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16.5757914382995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21.300704209721701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1.6</v>
      </c>
      <c r="W58">
        <f>IF((DiscreteStatsTable[[#This Row],[RepsRequested]]&gt;1),DiscreteStatsTable[[#This Row],[HalfWidth]],DiscreteStatsTable[[#This Row],[BatchMeansHalfWidth]])</f>
        <v>0.38802868912491251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20</v>
      </c>
      <c r="Y58">
        <f>IF(DiscreteStatsTable[[#This Row],[RepsRequested]]=DiscreteStatsTable[[#This Row],[RepsWithStatObserved]],1,0)</f>
        <v>0</v>
      </c>
    </row>
    <row r="59" spans="1:25" x14ac:dyDescent="0.25">
      <c r="A59" t="s">
        <v>68</v>
      </c>
      <c r="B59" t="s">
        <v>70</v>
      </c>
      <c r="C59">
        <v>13</v>
      </c>
      <c r="D59" t="s">
        <v>71</v>
      </c>
      <c r="E59" t="s">
        <v>76</v>
      </c>
      <c r="F59" t="s">
        <v>73</v>
      </c>
      <c r="G59">
        <v>0</v>
      </c>
      <c r="H59">
        <v>2E+20</v>
      </c>
      <c r="I59">
        <v>0</v>
      </c>
      <c r="J59">
        <v>0</v>
      </c>
      <c r="K59">
        <v>2</v>
      </c>
      <c r="L59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27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1.6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20</v>
      </c>
      <c r="Y59">
        <f>IF(DiscreteStatsTable[[#This Row],[RepsRequested]]=DiscreteStatsTable[[#This Row],[RepsWithStatObserved]],1,0)</f>
        <v>0</v>
      </c>
    </row>
    <row r="60" spans="1:25" x14ac:dyDescent="0.25">
      <c r="A60" t="s">
        <v>68</v>
      </c>
      <c r="B60" t="s">
        <v>70</v>
      </c>
      <c r="C60">
        <v>13</v>
      </c>
      <c r="D60" t="s">
        <v>71</v>
      </c>
      <c r="E60" t="s">
        <v>77</v>
      </c>
      <c r="F60" t="s">
        <v>73</v>
      </c>
      <c r="G60">
        <v>0</v>
      </c>
      <c r="H60">
        <v>2E+20</v>
      </c>
      <c r="I60">
        <v>0</v>
      </c>
      <c r="J60">
        <v>0</v>
      </c>
      <c r="K60">
        <v>2</v>
      </c>
      <c r="L60" t="str">
        <f>DiscreteStatsTable[[#This Row],[ProjectName]]&amp;DiscreteStatsTable[[#This Row],[Name]]&amp;DiscreteStatsTable[[#This Row],[Type]]&amp;DiscreteStatsTable[[#This Row],[Source]]</f>
        <v>Escenario AEntity 1VA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27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4.2820889862359948E-2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0.19150084117853694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8.962515251308828E-2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0.85641779724719902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2.5692533917415998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1.6</v>
      </c>
      <c r="W60">
        <f>IF((DiscreteStatsTable[[#This Row],[RepsRequested]]&gt;1),DiscreteStatsTable[[#This Row],[HalfWidth]],DiscreteStatsTable[[#This Row],[BatchMeansHalfWidth]])</f>
        <v>8.962515251308828E-2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20</v>
      </c>
      <c r="Y60">
        <f>IF(DiscreteStatsTable[[#This Row],[RepsRequested]]=DiscreteStatsTable[[#This Row],[RepsWithStatObserved]],1,0)</f>
        <v>0</v>
      </c>
    </row>
    <row r="61" spans="1:25" x14ac:dyDescent="0.25">
      <c r="A61" t="s">
        <v>68</v>
      </c>
      <c r="B61" t="s">
        <v>70</v>
      </c>
      <c r="C61">
        <v>13</v>
      </c>
      <c r="D61" t="s">
        <v>71</v>
      </c>
      <c r="E61" t="s">
        <v>78</v>
      </c>
      <c r="F61" t="s">
        <v>73</v>
      </c>
      <c r="G61">
        <v>0</v>
      </c>
      <c r="H61">
        <v>2E+20</v>
      </c>
      <c r="I61">
        <v>0</v>
      </c>
      <c r="J61">
        <v>0</v>
      </c>
      <c r="K61">
        <v>2</v>
      </c>
      <c r="L61" t="str">
        <f>DiscreteStatsTable[[#This Row],[ProjectName]]&amp;DiscreteStatsTable[[#This Row],[Name]]&amp;DiscreteStatsTable[[#This Row],[Type]]&amp;DiscreteStatsTable[[#This Row],[Source]]</f>
        <v>Escenario AEntity 1Wait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27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0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0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1.6</v>
      </c>
      <c r="W61">
        <f>IF((DiscreteStatsTable[[#This Row],[RepsRequested]]&gt;1),DiscreteStatsTable[[#This Row],[HalfWidth]],DiscreteStatsTable[[#This Row],[BatchMeansHalfWidth]])</f>
        <v>0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20</v>
      </c>
      <c r="Y61">
        <f>IF(DiscreteStatsTable[[#This Row],[RepsRequested]]=DiscreteStatsTable[[#This Row],[RepsWithStatObserved]],1,0)</f>
        <v>0</v>
      </c>
    </row>
    <row r="62" spans="1:25" x14ac:dyDescent="0.25">
      <c r="A62" t="s">
        <v>68</v>
      </c>
      <c r="B62" t="s">
        <v>70</v>
      </c>
      <c r="C62">
        <v>14</v>
      </c>
      <c r="D62" t="s">
        <v>71</v>
      </c>
      <c r="E62" t="s">
        <v>72</v>
      </c>
      <c r="F62" t="s">
        <v>73</v>
      </c>
      <c r="G62">
        <v>0</v>
      </c>
      <c r="H62">
        <v>2E+20</v>
      </c>
      <c r="I62">
        <v>0</v>
      </c>
      <c r="J62">
        <v>0</v>
      </c>
      <c r="K62">
        <v>1</v>
      </c>
      <c r="L62" s="5" t="str">
        <f>DiscreteStatsTable[[#This Row],[ProjectName]]&amp;DiscreteStatsTable[[#This Row],[Name]]&amp;DiscreteStatsTable[[#This Row],[Type]]&amp;DiscreteStatsTable[[#This Row],[Source]]</f>
        <v>Escenario AEntity 1NVA TimeEntity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27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1.6</v>
      </c>
      <c r="W62" s="5">
        <f>IF((DiscreteStatsTable[[#This Row],[RepsRequested]]&gt;1),DiscreteStatsTable[[#This Row],[HalfWidth]],DiscreteStatsTable[[#This Row],[BatchMeansHalfWidth]])</f>
        <v>0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20</v>
      </c>
      <c r="Y62" s="5">
        <f>IF(DiscreteStatsTable[[#This Row],[RepsRequested]]=DiscreteStatsTable[[#This Row],[RepsWithStatObserved]],1,0)</f>
        <v>0</v>
      </c>
    </row>
    <row r="63" spans="1:25" x14ac:dyDescent="0.25">
      <c r="A63" t="s">
        <v>68</v>
      </c>
      <c r="B63" t="s">
        <v>70</v>
      </c>
      <c r="C63">
        <v>14</v>
      </c>
      <c r="D63" t="s">
        <v>71</v>
      </c>
      <c r="E63" t="s">
        <v>74</v>
      </c>
      <c r="F63" t="s">
        <v>73</v>
      </c>
      <c r="G63">
        <v>17.067983747803201</v>
      </c>
      <c r="H63">
        <v>2E+20</v>
      </c>
      <c r="I63">
        <v>17.067983747803201</v>
      </c>
      <c r="J63">
        <v>17.067983747803201</v>
      </c>
      <c r="K63">
        <v>1</v>
      </c>
      <c r="L63" s="5" t="str">
        <f>DiscreteStatsTable[[#This Row],[ProjectName]]&amp;DiscreteStatsTable[[#This Row],[Name]]&amp;DiscreteStatsTable[[#This Row],[Type]]&amp;DiscreteStatsTable[[#This Row],[Source]]</f>
        <v>Escenario AEntity 1Other TimeEntity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27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17.668553272104692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0.7694340869480476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0.36010623748224335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16.5757914382995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18.979452995869501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16.5757914382995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19.617131394374798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1.6</v>
      </c>
      <c r="W63" s="5">
        <f>IF((DiscreteStatsTable[[#This Row],[RepsRequested]]&gt;1),DiscreteStatsTable[[#This Row],[HalfWidth]],DiscreteStatsTable[[#This Row],[BatchMeansHalfWidth]])</f>
        <v>0.36010623748224335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20</v>
      </c>
      <c r="Y63" s="5">
        <f>IF(DiscreteStatsTable[[#This Row],[RepsRequested]]=DiscreteStatsTable[[#This Row],[RepsWithStatObserved]],1,0)</f>
        <v>0</v>
      </c>
    </row>
    <row r="64" spans="1:25" x14ac:dyDescent="0.25">
      <c r="A64" t="s">
        <v>68</v>
      </c>
      <c r="B64" t="s">
        <v>70</v>
      </c>
      <c r="C64">
        <v>14</v>
      </c>
      <c r="D64" t="s">
        <v>71</v>
      </c>
      <c r="E64" t="s">
        <v>75</v>
      </c>
      <c r="F64" t="s">
        <v>73</v>
      </c>
      <c r="G64">
        <v>17.067983747803201</v>
      </c>
      <c r="H64">
        <v>2E+20</v>
      </c>
      <c r="I64">
        <v>17.067983747803201</v>
      </c>
      <c r="J64">
        <v>17.067983747803201</v>
      </c>
      <c r="K64">
        <v>1</v>
      </c>
      <c r="L64" s="5" t="str">
        <f>DiscreteStatsTable[[#This Row],[ProjectName]]&amp;DiscreteStatsTable[[#This Row],[Name]]&amp;DiscreteStatsTable[[#This Row],[Type]]&amp;DiscreteStatsTable[[#This Row],[Source]]</f>
        <v>Escenario AEntity 1Total TimeEntity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27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17.711374161967051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0.8290956086013278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16.5757914382995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19.176092927841601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16.5757914382995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21.300704209721701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1.6</v>
      </c>
      <c r="W64" s="5">
        <f>IF((DiscreteStatsTable[[#This Row],[RepsRequested]]&gt;1),DiscreteStatsTable[[#This Row],[HalfWidth]],DiscreteStatsTable[[#This Row],[BatchMeansHalfWidth]])</f>
        <v>0.38802868912491251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20</v>
      </c>
      <c r="Y64" s="5">
        <f>IF(DiscreteStatsTable[[#This Row],[RepsRequested]]=DiscreteStatsTable[[#This Row],[RepsWithStatObserved]],1,0)</f>
        <v>0</v>
      </c>
    </row>
    <row r="65" spans="1:25" x14ac:dyDescent="0.25">
      <c r="A65" t="s">
        <v>68</v>
      </c>
      <c r="B65" t="s">
        <v>70</v>
      </c>
      <c r="C65">
        <v>14</v>
      </c>
      <c r="D65" t="s">
        <v>71</v>
      </c>
      <c r="E65" t="s">
        <v>76</v>
      </c>
      <c r="F65" t="s">
        <v>73</v>
      </c>
      <c r="G65">
        <v>0</v>
      </c>
      <c r="H65">
        <v>2E+20</v>
      </c>
      <c r="I65">
        <v>0</v>
      </c>
      <c r="J65">
        <v>0</v>
      </c>
      <c r="K65">
        <v>1</v>
      </c>
      <c r="L65" s="5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27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1.6</v>
      </c>
      <c r="W65" s="5">
        <f>IF((DiscreteStatsTable[[#This Row],[RepsRequested]]&gt;1),DiscreteStatsTable[[#This Row],[HalfWidth]],DiscreteStatsTable[[#This Row],[BatchMeansHalfWidth]])</f>
        <v>0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20</v>
      </c>
      <c r="Y65" s="5">
        <f>IF(DiscreteStatsTable[[#This Row],[RepsRequested]]=DiscreteStatsTable[[#This Row],[RepsWithStatObserved]],1,0)</f>
        <v>0</v>
      </c>
    </row>
    <row r="66" spans="1:25" x14ac:dyDescent="0.25">
      <c r="A66" t="s">
        <v>68</v>
      </c>
      <c r="B66" t="s">
        <v>70</v>
      </c>
      <c r="C66">
        <v>14</v>
      </c>
      <c r="D66" t="s">
        <v>71</v>
      </c>
      <c r="E66" t="s">
        <v>77</v>
      </c>
      <c r="F66" t="s">
        <v>73</v>
      </c>
      <c r="G66">
        <v>0</v>
      </c>
      <c r="H66">
        <v>2E+20</v>
      </c>
      <c r="I66">
        <v>0</v>
      </c>
      <c r="J66">
        <v>0</v>
      </c>
      <c r="K66">
        <v>1</v>
      </c>
      <c r="L66" s="5" t="str">
        <f>DiscreteStatsTable[[#This Row],[ProjectName]]&amp;DiscreteStatsTable[[#This Row],[Name]]&amp;DiscreteStatsTable[[#This Row],[Type]]&amp;DiscreteStatsTable[[#This Row],[Source]]</f>
        <v>Escenario AEntity 1VA TimeEntity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27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4.2820889862359948E-2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0.19150084117853694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8.962515251308828E-2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0.85641779724719902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2.5692533917415998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1.6</v>
      </c>
      <c r="W66" s="5">
        <f>IF((DiscreteStatsTable[[#This Row],[RepsRequested]]&gt;1),DiscreteStatsTable[[#This Row],[HalfWidth]],DiscreteStatsTable[[#This Row],[BatchMeansHalfWidth]])</f>
        <v>8.962515251308828E-2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20</v>
      </c>
      <c r="Y66" s="5">
        <f>IF(DiscreteStatsTable[[#This Row],[RepsRequested]]=DiscreteStatsTable[[#This Row],[RepsWithStatObserved]],1,0)</f>
        <v>0</v>
      </c>
    </row>
    <row r="67" spans="1:25" x14ac:dyDescent="0.25">
      <c r="A67" t="s">
        <v>68</v>
      </c>
      <c r="B67" t="s">
        <v>70</v>
      </c>
      <c r="C67">
        <v>14</v>
      </c>
      <c r="D67" t="s">
        <v>71</v>
      </c>
      <c r="E67" t="s">
        <v>78</v>
      </c>
      <c r="F67" t="s">
        <v>73</v>
      </c>
      <c r="G67">
        <v>0</v>
      </c>
      <c r="H67">
        <v>2E+20</v>
      </c>
      <c r="I67">
        <v>0</v>
      </c>
      <c r="J67">
        <v>0</v>
      </c>
      <c r="K67">
        <v>1</v>
      </c>
      <c r="L67" s="5" t="str">
        <f>DiscreteStatsTable[[#This Row],[ProjectName]]&amp;DiscreteStatsTable[[#This Row],[Name]]&amp;DiscreteStatsTable[[#This Row],[Type]]&amp;DiscreteStatsTable[[#This Row],[Source]]</f>
        <v>Escenario AEntity 1Wait TimeEntity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27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0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0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0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0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0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1.6</v>
      </c>
      <c r="W67" s="5">
        <f>IF((DiscreteStatsTable[[#This Row],[RepsRequested]]&gt;1),DiscreteStatsTable[[#This Row],[HalfWidth]],DiscreteStatsTable[[#This Row],[BatchMeansHalfWidth]])</f>
        <v>0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20</v>
      </c>
      <c r="Y67" s="5">
        <f>IF(DiscreteStatsTable[[#This Row],[RepsRequested]]=DiscreteStatsTable[[#This Row],[RepsWithStatObserved]],1,0)</f>
        <v>0</v>
      </c>
    </row>
    <row r="68" spans="1:25" x14ac:dyDescent="0.25">
      <c r="A68" t="s">
        <v>68</v>
      </c>
      <c r="B68" t="s">
        <v>70</v>
      </c>
      <c r="C68">
        <v>15</v>
      </c>
      <c r="D68" t="s">
        <v>71</v>
      </c>
      <c r="E68" t="s">
        <v>72</v>
      </c>
      <c r="F68" t="s">
        <v>73</v>
      </c>
      <c r="G68">
        <v>0</v>
      </c>
      <c r="H68">
        <v>2E+20</v>
      </c>
      <c r="I68">
        <v>0</v>
      </c>
      <c r="J68">
        <v>0</v>
      </c>
      <c r="K68">
        <v>1</v>
      </c>
      <c r="L68" s="5" t="str">
        <f>DiscreteStatsTable[[#This Row],[ProjectName]]&amp;DiscreteStatsTable[[#This Row],[Name]]&amp;DiscreteStatsTable[[#This Row],[Type]]&amp;DiscreteStatsTable[[#This Row],[Source]]</f>
        <v>Escenario AEntity 1NVA TimeEntity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27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1.6</v>
      </c>
      <c r="W68" s="5">
        <f>IF((DiscreteStatsTable[[#This Row],[RepsRequested]]&gt;1),DiscreteStatsTable[[#This Row],[HalfWidth]],DiscreteStatsTable[[#This Row],[BatchMeansHalfWidth]])</f>
        <v>0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20</v>
      </c>
      <c r="Y68" s="5">
        <f>IF(DiscreteStatsTable[[#This Row],[RepsRequested]]=DiscreteStatsTable[[#This Row],[RepsWithStatObserved]],1,0)</f>
        <v>0</v>
      </c>
    </row>
    <row r="69" spans="1:25" x14ac:dyDescent="0.25">
      <c r="A69" t="s">
        <v>68</v>
      </c>
      <c r="B69" t="s">
        <v>70</v>
      </c>
      <c r="C69">
        <v>15</v>
      </c>
      <c r="D69" t="s">
        <v>71</v>
      </c>
      <c r="E69" t="s">
        <v>74</v>
      </c>
      <c r="F69" t="s">
        <v>73</v>
      </c>
      <c r="G69">
        <v>17.311578823887501</v>
      </c>
      <c r="H69">
        <v>2E+20</v>
      </c>
      <c r="I69">
        <v>17.311578823887501</v>
      </c>
      <c r="J69">
        <v>17.311578823887501</v>
      </c>
      <c r="K69">
        <v>1</v>
      </c>
      <c r="L69" s="5" t="str">
        <f>DiscreteStatsTable[[#This Row],[ProjectName]]&amp;DiscreteStatsTable[[#This Row],[Name]]&amp;DiscreteStatsTable[[#This Row],[Type]]&amp;DiscreteStatsTable[[#This Row],[Source]]</f>
        <v>Escenario AEntity 1Other TimeEntity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27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17.668553272104692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0.7694340869480476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0.36010623748224335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16.5757914382995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18.979452995869501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16.5757914382995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19.617131394374798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1.6</v>
      </c>
      <c r="W69" s="5">
        <f>IF((DiscreteStatsTable[[#This Row],[RepsRequested]]&gt;1),DiscreteStatsTable[[#This Row],[HalfWidth]],DiscreteStatsTable[[#This Row],[BatchMeansHalfWidth]])</f>
        <v>0.36010623748224335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20</v>
      </c>
      <c r="Y69" s="5">
        <f>IF(DiscreteStatsTable[[#This Row],[RepsRequested]]=DiscreteStatsTable[[#This Row],[RepsWithStatObserved]],1,0)</f>
        <v>0</v>
      </c>
    </row>
    <row r="70" spans="1:25" x14ac:dyDescent="0.25">
      <c r="A70" t="s">
        <v>68</v>
      </c>
      <c r="B70" t="s">
        <v>70</v>
      </c>
      <c r="C70">
        <v>15</v>
      </c>
      <c r="D70" t="s">
        <v>71</v>
      </c>
      <c r="E70" t="s">
        <v>75</v>
      </c>
      <c r="F70" t="s">
        <v>73</v>
      </c>
      <c r="G70">
        <v>17.311578823887501</v>
      </c>
      <c r="H70">
        <v>2E+20</v>
      </c>
      <c r="I70">
        <v>17.311578823887501</v>
      </c>
      <c r="J70">
        <v>17.311578823887501</v>
      </c>
      <c r="K70">
        <v>1</v>
      </c>
      <c r="L70" s="5" t="str">
        <f>DiscreteStatsTable[[#This Row],[ProjectName]]&amp;DiscreteStatsTable[[#This Row],[Name]]&amp;DiscreteStatsTable[[#This Row],[Type]]&amp;DiscreteStatsTable[[#This Row],[Source]]</f>
        <v>Escenario AEntity 1Total TimeEntity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27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17.711374161967051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0.8290956086013278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16.5757914382995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19.176092927841601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16.5757914382995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21.300704209721701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1.6</v>
      </c>
      <c r="W70" s="5">
        <f>IF((DiscreteStatsTable[[#This Row],[RepsRequested]]&gt;1),DiscreteStatsTable[[#This Row],[HalfWidth]],DiscreteStatsTable[[#This Row],[BatchMeansHalfWidth]])</f>
        <v>0.38802868912491251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20</v>
      </c>
      <c r="Y70" s="5">
        <f>IF(DiscreteStatsTable[[#This Row],[RepsRequested]]=DiscreteStatsTable[[#This Row],[RepsWithStatObserved]],1,0)</f>
        <v>0</v>
      </c>
    </row>
    <row r="71" spans="1:25" x14ac:dyDescent="0.25">
      <c r="A71" t="s">
        <v>68</v>
      </c>
      <c r="B71" t="s">
        <v>70</v>
      </c>
      <c r="C71">
        <v>15</v>
      </c>
      <c r="D71" t="s">
        <v>71</v>
      </c>
      <c r="E71" t="s">
        <v>76</v>
      </c>
      <c r="F71" t="s">
        <v>73</v>
      </c>
      <c r="G71">
        <v>0</v>
      </c>
      <c r="H71">
        <v>2E+20</v>
      </c>
      <c r="I71">
        <v>0</v>
      </c>
      <c r="J71">
        <v>0</v>
      </c>
      <c r="K71">
        <v>1</v>
      </c>
      <c r="L71" s="5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27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1.6</v>
      </c>
      <c r="W71" s="5">
        <f>IF((DiscreteStatsTable[[#This Row],[RepsRequested]]&gt;1),DiscreteStatsTable[[#This Row],[HalfWidth]],DiscreteStatsTable[[#This Row],[BatchMeansHalfWidth]])</f>
        <v>0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20</v>
      </c>
      <c r="Y71" s="5">
        <f>IF(DiscreteStatsTable[[#This Row],[RepsRequested]]=DiscreteStatsTable[[#This Row],[RepsWithStatObserved]],1,0)</f>
        <v>0</v>
      </c>
    </row>
    <row r="72" spans="1:25" x14ac:dyDescent="0.25">
      <c r="A72" t="s">
        <v>68</v>
      </c>
      <c r="B72" t="s">
        <v>70</v>
      </c>
      <c r="C72">
        <v>15</v>
      </c>
      <c r="D72" t="s">
        <v>71</v>
      </c>
      <c r="E72" t="s">
        <v>77</v>
      </c>
      <c r="F72" t="s">
        <v>73</v>
      </c>
      <c r="G72">
        <v>0</v>
      </c>
      <c r="H72">
        <v>2E+20</v>
      </c>
      <c r="I72">
        <v>0</v>
      </c>
      <c r="J72">
        <v>0</v>
      </c>
      <c r="K72">
        <v>1</v>
      </c>
      <c r="L72" s="5" t="str">
        <f>DiscreteStatsTable[[#This Row],[ProjectName]]&amp;DiscreteStatsTable[[#This Row],[Name]]&amp;DiscreteStatsTable[[#This Row],[Type]]&amp;DiscreteStatsTable[[#This Row],[Source]]</f>
        <v>Escenario AEntity 1VA TimeEntity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27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4.2820889862359948E-2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0.19150084117853694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8.962515251308828E-2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0.85641779724719902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2.5692533917415998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1.6</v>
      </c>
      <c r="W72" s="5">
        <f>IF((DiscreteStatsTable[[#This Row],[RepsRequested]]&gt;1),DiscreteStatsTable[[#This Row],[HalfWidth]],DiscreteStatsTable[[#This Row],[BatchMeansHalfWidth]])</f>
        <v>8.962515251308828E-2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20</v>
      </c>
      <c r="Y72" s="5">
        <f>IF(DiscreteStatsTable[[#This Row],[RepsRequested]]=DiscreteStatsTable[[#This Row],[RepsWithStatObserved]],1,0)</f>
        <v>0</v>
      </c>
    </row>
    <row r="73" spans="1:25" x14ac:dyDescent="0.25">
      <c r="A73" t="s">
        <v>68</v>
      </c>
      <c r="B73" t="s">
        <v>70</v>
      </c>
      <c r="C73">
        <v>15</v>
      </c>
      <c r="D73" t="s">
        <v>71</v>
      </c>
      <c r="E73" t="s">
        <v>78</v>
      </c>
      <c r="F73" t="s">
        <v>73</v>
      </c>
      <c r="G73">
        <v>0</v>
      </c>
      <c r="H73">
        <v>2E+20</v>
      </c>
      <c r="I73">
        <v>0</v>
      </c>
      <c r="J73">
        <v>0</v>
      </c>
      <c r="K73">
        <v>1</v>
      </c>
      <c r="L73" s="5" t="str">
        <f>DiscreteStatsTable[[#This Row],[ProjectName]]&amp;DiscreteStatsTable[[#This Row],[Name]]&amp;DiscreteStatsTable[[#This Row],[Type]]&amp;DiscreteStatsTable[[#This Row],[Source]]</f>
        <v>Escenario AEntity 1Wait TimeEntity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27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0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0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0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0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0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1.6</v>
      </c>
      <c r="W73" s="5">
        <f>IF((DiscreteStatsTable[[#This Row],[RepsRequested]]&gt;1),DiscreteStatsTable[[#This Row],[HalfWidth]],DiscreteStatsTable[[#This Row],[BatchMeansHalfWidth]])</f>
        <v>0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20</v>
      </c>
      <c r="Y73" s="5">
        <f>IF(DiscreteStatsTable[[#This Row],[RepsRequested]]=DiscreteStatsTable[[#This Row],[RepsWithStatObserved]],1,0)</f>
        <v>0</v>
      </c>
    </row>
    <row r="74" spans="1:25" x14ac:dyDescent="0.25">
      <c r="A74" t="s">
        <v>68</v>
      </c>
      <c r="B74" t="s">
        <v>70</v>
      </c>
      <c r="C74">
        <v>17</v>
      </c>
      <c r="D74" t="s">
        <v>71</v>
      </c>
      <c r="E74" t="s">
        <v>72</v>
      </c>
      <c r="F74" t="s">
        <v>73</v>
      </c>
      <c r="G74">
        <v>0</v>
      </c>
      <c r="H74">
        <v>2E+20</v>
      </c>
      <c r="I74">
        <v>0</v>
      </c>
      <c r="J74">
        <v>0</v>
      </c>
      <c r="K74">
        <v>1</v>
      </c>
      <c r="L74" s="5" t="str">
        <f>DiscreteStatsTable[[#This Row],[ProjectName]]&amp;DiscreteStatsTable[[#This Row],[Name]]&amp;DiscreteStatsTable[[#This Row],[Type]]&amp;DiscreteStatsTable[[#This Row],[Source]]</f>
        <v>Escenario AEntity 1NVA TimeEntity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27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1.6</v>
      </c>
      <c r="W74" s="5">
        <f>IF((DiscreteStatsTable[[#This Row],[RepsRequested]]&gt;1),DiscreteStatsTable[[#This Row],[HalfWidth]],DiscreteStatsTable[[#This Row],[BatchMeansHalfWidth]])</f>
        <v>0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20</v>
      </c>
      <c r="Y74" s="5">
        <f>IF(DiscreteStatsTable[[#This Row],[RepsRequested]]=DiscreteStatsTable[[#This Row],[RepsWithStatObserved]],1,0)</f>
        <v>0</v>
      </c>
    </row>
    <row r="75" spans="1:25" x14ac:dyDescent="0.25">
      <c r="A75" t="s">
        <v>68</v>
      </c>
      <c r="B75" t="s">
        <v>70</v>
      </c>
      <c r="C75">
        <v>17</v>
      </c>
      <c r="D75" t="s">
        <v>71</v>
      </c>
      <c r="E75" t="s">
        <v>74</v>
      </c>
      <c r="F75" t="s">
        <v>73</v>
      </c>
      <c r="G75">
        <v>17.761626703940699</v>
      </c>
      <c r="H75">
        <v>2E+20</v>
      </c>
      <c r="I75">
        <v>17.761626703940699</v>
      </c>
      <c r="J75">
        <v>17.761626703940699</v>
      </c>
      <c r="K75">
        <v>1</v>
      </c>
      <c r="L75" s="5" t="str">
        <f>DiscreteStatsTable[[#This Row],[ProjectName]]&amp;DiscreteStatsTable[[#This Row],[Name]]&amp;DiscreteStatsTable[[#This Row],[Type]]&amp;DiscreteStatsTable[[#This Row],[Source]]</f>
        <v>Escenario AEntity 1Other TimeEntity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27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17.668553272104692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0.7694340869480476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0.36010623748224335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16.5757914382995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18.979452995869501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16.5757914382995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19.617131394374798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1.6</v>
      </c>
      <c r="W75" s="5">
        <f>IF((DiscreteStatsTable[[#This Row],[RepsRequested]]&gt;1),DiscreteStatsTable[[#This Row],[HalfWidth]],DiscreteStatsTable[[#This Row],[BatchMeansHalfWidth]])</f>
        <v>0.36010623748224335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20</v>
      </c>
      <c r="Y75" s="5">
        <f>IF(DiscreteStatsTable[[#This Row],[RepsRequested]]=DiscreteStatsTable[[#This Row],[RepsWithStatObserved]],1,0)</f>
        <v>0</v>
      </c>
    </row>
    <row r="76" spans="1:25" x14ac:dyDescent="0.25">
      <c r="A76" t="s">
        <v>68</v>
      </c>
      <c r="B76" t="s">
        <v>70</v>
      </c>
      <c r="C76">
        <v>17</v>
      </c>
      <c r="D76" t="s">
        <v>71</v>
      </c>
      <c r="E76" t="s">
        <v>75</v>
      </c>
      <c r="F76" t="s">
        <v>73</v>
      </c>
      <c r="G76">
        <v>17.761626703940699</v>
      </c>
      <c r="H76">
        <v>2E+20</v>
      </c>
      <c r="I76">
        <v>17.761626703940699</v>
      </c>
      <c r="J76">
        <v>17.761626703940699</v>
      </c>
      <c r="K76">
        <v>1</v>
      </c>
      <c r="L76" s="5" t="str">
        <f>DiscreteStatsTable[[#This Row],[ProjectName]]&amp;DiscreteStatsTable[[#This Row],[Name]]&amp;DiscreteStatsTable[[#This Row],[Type]]&amp;DiscreteStatsTable[[#This Row],[Source]]</f>
        <v>Escenario AEntity 1Total TimeEntity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27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17.711374161967051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0.8290956086013278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16.5757914382995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19.176092927841601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16.5757914382995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21.300704209721701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1.6</v>
      </c>
      <c r="W76" s="5">
        <f>IF((DiscreteStatsTable[[#This Row],[RepsRequested]]&gt;1),DiscreteStatsTable[[#This Row],[HalfWidth]],DiscreteStatsTable[[#This Row],[BatchMeansHalfWidth]])</f>
        <v>0.38802868912491251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20</v>
      </c>
      <c r="Y76" s="5">
        <f>IF(DiscreteStatsTable[[#This Row],[RepsRequested]]=DiscreteStatsTable[[#This Row],[RepsWithStatObserved]],1,0)</f>
        <v>0</v>
      </c>
    </row>
    <row r="77" spans="1:25" x14ac:dyDescent="0.25">
      <c r="A77" t="s">
        <v>68</v>
      </c>
      <c r="B77" t="s">
        <v>70</v>
      </c>
      <c r="C77">
        <v>17</v>
      </c>
      <c r="D77" t="s">
        <v>71</v>
      </c>
      <c r="E77" t="s">
        <v>76</v>
      </c>
      <c r="F77" t="s">
        <v>73</v>
      </c>
      <c r="G77">
        <v>0</v>
      </c>
      <c r="H77">
        <v>2E+20</v>
      </c>
      <c r="I77">
        <v>0</v>
      </c>
      <c r="J77">
        <v>0</v>
      </c>
      <c r="K77">
        <v>1</v>
      </c>
      <c r="L77" s="5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27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1.6</v>
      </c>
      <c r="W77" s="5">
        <f>IF((DiscreteStatsTable[[#This Row],[RepsRequested]]&gt;1),DiscreteStatsTable[[#This Row],[HalfWidth]],DiscreteStatsTable[[#This Row],[BatchMeansHalfWidth]])</f>
        <v>0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20</v>
      </c>
      <c r="Y77" s="5">
        <f>IF(DiscreteStatsTable[[#This Row],[RepsRequested]]=DiscreteStatsTable[[#This Row],[RepsWithStatObserved]],1,0)</f>
        <v>0</v>
      </c>
    </row>
    <row r="78" spans="1:25" x14ac:dyDescent="0.25">
      <c r="A78" t="s">
        <v>68</v>
      </c>
      <c r="B78" t="s">
        <v>70</v>
      </c>
      <c r="C78">
        <v>17</v>
      </c>
      <c r="D78" t="s">
        <v>71</v>
      </c>
      <c r="E78" t="s">
        <v>77</v>
      </c>
      <c r="F78" t="s">
        <v>73</v>
      </c>
      <c r="G78">
        <v>0</v>
      </c>
      <c r="H78">
        <v>2E+20</v>
      </c>
      <c r="I78">
        <v>0</v>
      </c>
      <c r="J78">
        <v>0</v>
      </c>
      <c r="K78">
        <v>1</v>
      </c>
      <c r="L78" s="5" t="str">
        <f>DiscreteStatsTable[[#This Row],[ProjectName]]&amp;DiscreteStatsTable[[#This Row],[Name]]&amp;DiscreteStatsTable[[#This Row],[Type]]&amp;DiscreteStatsTable[[#This Row],[Source]]</f>
        <v>Escenario AEntity 1VA TimeEntity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27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4.2820889862359948E-2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0.19150084117853694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8.962515251308828E-2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0.85641779724719902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2.5692533917415998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1.6</v>
      </c>
      <c r="W78" s="5">
        <f>IF((DiscreteStatsTable[[#This Row],[RepsRequested]]&gt;1),DiscreteStatsTable[[#This Row],[HalfWidth]],DiscreteStatsTable[[#This Row],[BatchMeansHalfWidth]])</f>
        <v>8.962515251308828E-2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20</v>
      </c>
      <c r="Y78" s="5">
        <f>IF(DiscreteStatsTable[[#This Row],[RepsRequested]]=DiscreteStatsTable[[#This Row],[RepsWithStatObserved]],1,0)</f>
        <v>0</v>
      </c>
    </row>
    <row r="79" spans="1:25" x14ac:dyDescent="0.25">
      <c r="A79" t="s">
        <v>68</v>
      </c>
      <c r="B79" t="s">
        <v>70</v>
      </c>
      <c r="C79">
        <v>17</v>
      </c>
      <c r="D79" t="s">
        <v>71</v>
      </c>
      <c r="E79" t="s">
        <v>78</v>
      </c>
      <c r="F79" t="s">
        <v>73</v>
      </c>
      <c r="G79">
        <v>0</v>
      </c>
      <c r="H79">
        <v>2E+20</v>
      </c>
      <c r="I79">
        <v>0</v>
      </c>
      <c r="J79">
        <v>0</v>
      </c>
      <c r="K79">
        <v>1</v>
      </c>
      <c r="L79" s="5" t="str">
        <f>DiscreteStatsTable[[#This Row],[ProjectName]]&amp;DiscreteStatsTable[[#This Row],[Name]]&amp;DiscreteStatsTable[[#This Row],[Type]]&amp;DiscreteStatsTable[[#This Row],[Source]]</f>
        <v>Escenario AEntity 1Wait TimeEntity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27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0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0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0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0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0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1.6</v>
      </c>
      <c r="W79" s="5">
        <f>IF((DiscreteStatsTable[[#This Row],[RepsRequested]]&gt;1),DiscreteStatsTable[[#This Row],[HalfWidth]],DiscreteStatsTable[[#This Row],[BatchMeansHalfWidth]])</f>
        <v>0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20</v>
      </c>
      <c r="Y79" s="5">
        <f>IF(DiscreteStatsTable[[#This Row],[RepsRequested]]=DiscreteStatsTable[[#This Row],[RepsWithStatObserved]],1,0)</f>
        <v>0</v>
      </c>
    </row>
    <row r="80" spans="1:25" x14ac:dyDescent="0.25">
      <c r="A80" t="s">
        <v>68</v>
      </c>
      <c r="B80" t="s">
        <v>70</v>
      </c>
      <c r="C80">
        <v>18</v>
      </c>
      <c r="D80" t="s">
        <v>71</v>
      </c>
      <c r="E80" t="s">
        <v>72</v>
      </c>
      <c r="F80" t="s">
        <v>73</v>
      </c>
      <c r="G80">
        <v>0</v>
      </c>
      <c r="H80">
        <v>2E+20</v>
      </c>
      <c r="I80">
        <v>0</v>
      </c>
      <c r="J80">
        <v>0</v>
      </c>
      <c r="K80">
        <v>1</v>
      </c>
      <c r="L80" s="5" t="str">
        <f>DiscreteStatsTable[[#This Row],[ProjectName]]&amp;DiscreteStatsTable[[#This Row],[Name]]&amp;DiscreteStatsTable[[#This Row],[Type]]&amp;DiscreteStatsTable[[#This Row],[Source]]</f>
        <v>Escenario AEntity 1NVA TimeEntity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27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1.6</v>
      </c>
      <c r="W80" s="5">
        <f>IF((DiscreteStatsTable[[#This Row],[RepsRequested]]&gt;1),DiscreteStatsTable[[#This Row],[HalfWidth]],DiscreteStatsTable[[#This Row],[BatchMeansHalfWidth]])</f>
        <v>0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20</v>
      </c>
      <c r="Y80" s="5">
        <f>IF(DiscreteStatsTable[[#This Row],[RepsRequested]]=DiscreteStatsTable[[#This Row],[RepsWithStatObserved]],1,0)</f>
        <v>0</v>
      </c>
    </row>
    <row r="81" spans="1:25" x14ac:dyDescent="0.25">
      <c r="A81" t="s">
        <v>68</v>
      </c>
      <c r="B81" t="s">
        <v>70</v>
      </c>
      <c r="C81">
        <v>18</v>
      </c>
      <c r="D81" t="s">
        <v>71</v>
      </c>
      <c r="E81" t="s">
        <v>74</v>
      </c>
      <c r="F81" t="s">
        <v>73</v>
      </c>
      <c r="G81">
        <v>17.4562839593588</v>
      </c>
      <c r="H81">
        <v>2E+20</v>
      </c>
      <c r="I81">
        <v>17.4562839593588</v>
      </c>
      <c r="J81">
        <v>17.4562839593588</v>
      </c>
      <c r="K81">
        <v>1</v>
      </c>
      <c r="L81" s="5" t="str">
        <f>DiscreteStatsTable[[#This Row],[ProjectName]]&amp;DiscreteStatsTable[[#This Row],[Name]]&amp;DiscreteStatsTable[[#This Row],[Type]]&amp;DiscreteStatsTable[[#This Row],[Source]]</f>
        <v>Escenario AEntity 1Other TimeEntity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27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17.668553272104692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0.7694340869480476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0.36010623748224335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16.5757914382995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18.979452995869501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16.5757914382995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19.617131394374798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1.6</v>
      </c>
      <c r="W81" s="5">
        <f>IF((DiscreteStatsTable[[#This Row],[RepsRequested]]&gt;1),DiscreteStatsTable[[#This Row],[HalfWidth]],DiscreteStatsTable[[#This Row],[BatchMeansHalfWidth]])</f>
        <v>0.36010623748224335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20</v>
      </c>
      <c r="Y81" s="5">
        <f>IF(DiscreteStatsTable[[#This Row],[RepsRequested]]=DiscreteStatsTable[[#This Row],[RepsWithStatObserved]],1,0)</f>
        <v>0</v>
      </c>
    </row>
    <row r="82" spans="1:25" x14ac:dyDescent="0.25">
      <c r="A82" t="s">
        <v>68</v>
      </c>
      <c r="B82" t="s">
        <v>70</v>
      </c>
      <c r="C82">
        <v>18</v>
      </c>
      <c r="D82" t="s">
        <v>71</v>
      </c>
      <c r="E82" t="s">
        <v>75</v>
      </c>
      <c r="F82" t="s">
        <v>73</v>
      </c>
      <c r="G82">
        <v>17.4562839593588</v>
      </c>
      <c r="H82">
        <v>2E+20</v>
      </c>
      <c r="I82">
        <v>17.4562839593588</v>
      </c>
      <c r="J82">
        <v>17.4562839593588</v>
      </c>
      <c r="K82">
        <v>1</v>
      </c>
      <c r="L82" s="5" t="str">
        <f>DiscreteStatsTable[[#This Row],[ProjectName]]&amp;DiscreteStatsTable[[#This Row],[Name]]&amp;DiscreteStatsTable[[#This Row],[Type]]&amp;DiscreteStatsTable[[#This Row],[Source]]</f>
        <v>Escenario AEntity 1Total TimeEntity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27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17.711374161967051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0.8290956086013278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16.5757914382995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19.176092927841601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16.5757914382995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21.300704209721701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1.6</v>
      </c>
      <c r="W82" s="5">
        <f>IF((DiscreteStatsTable[[#This Row],[RepsRequested]]&gt;1),DiscreteStatsTable[[#This Row],[HalfWidth]],DiscreteStatsTable[[#This Row],[BatchMeansHalfWidth]])</f>
        <v>0.38802868912491251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20</v>
      </c>
      <c r="Y82" s="5">
        <f>IF(DiscreteStatsTable[[#This Row],[RepsRequested]]=DiscreteStatsTable[[#This Row],[RepsWithStatObserved]],1,0)</f>
        <v>0</v>
      </c>
    </row>
    <row r="83" spans="1:25" x14ac:dyDescent="0.25">
      <c r="A83" t="s">
        <v>68</v>
      </c>
      <c r="B83" t="s">
        <v>70</v>
      </c>
      <c r="C83">
        <v>18</v>
      </c>
      <c r="D83" t="s">
        <v>71</v>
      </c>
      <c r="E83" t="s">
        <v>76</v>
      </c>
      <c r="F83" t="s">
        <v>73</v>
      </c>
      <c r="G83">
        <v>0</v>
      </c>
      <c r="H83">
        <v>2E+20</v>
      </c>
      <c r="I83">
        <v>0</v>
      </c>
      <c r="J83">
        <v>0</v>
      </c>
      <c r="K83">
        <v>1</v>
      </c>
      <c r="L83" s="5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27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1.6</v>
      </c>
      <c r="W83" s="5">
        <f>IF((DiscreteStatsTable[[#This Row],[RepsRequested]]&gt;1),DiscreteStatsTable[[#This Row],[HalfWidth]],DiscreteStatsTable[[#This Row],[BatchMeansHalfWidth]])</f>
        <v>0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20</v>
      </c>
      <c r="Y83" s="5">
        <f>IF(DiscreteStatsTable[[#This Row],[RepsRequested]]=DiscreteStatsTable[[#This Row],[RepsWithStatObserved]],1,0)</f>
        <v>0</v>
      </c>
    </row>
    <row r="84" spans="1:25" x14ac:dyDescent="0.25">
      <c r="A84" t="s">
        <v>68</v>
      </c>
      <c r="B84" t="s">
        <v>70</v>
      </c>
      <c r="C84">
        <v>18</v>
      </c>
      <c r="D84" t="s">
        <v>71</v>
      </c>
      <c r="E84" t="s">
        <v>77</v>
      </c>
      <c r="F84" t="s">
        <v>73</v>
      </c>
      <c r="G84">
        <v>0</v>
      </c>
      <c r="H84">
        <v>2E+20</v>
      </c>
      <c r="I84">
        <v>0</v>
      </c>
      <c r="J84">
        <v>0</v>
      </c>
      <c r="K84">
        <v>1</v>
      </c>
      <c r="L84" s="5" t="str">
        <f>DiscreteStatsTable[[#This Row],[ProjectName]]&amp;DiscreteStatsTable[[#This Row],[Name]]&amp;DiscreteStatsTable[[#This Row],[Type]]&amp;DiscreteStatsTable[[#This Row],[Source]]</f>
        <v>Escenario AEntity 1VA TimeEntity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27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4.2820889862359948E-2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0.19150084117853694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8.962515251308828E-2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0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0.85641779724719902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2.5692533917415998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1.6</v>
      </c>
      <c r="W84" s="5">
        <f>IF((DiscreteStatsTable[[#This Row],[RepsRequested]]&gt;1),DiscreteStatsTable[[#This Row],[HalfWidth]],DiscreteStatsTable[[#This Row],[BatchMeansHalfWidth]])</f>
        <v>8.962515251308828E-2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20</v>
      </c>
      <c r="Y84" s="5">
        <f>IF(DiscreteStatsTable[[#This Row],[RepsRequested]]=DiscreteStatsTable[[#This Row],[RepsWithStatObserved]],1,0)</f>
        <v>0</v>
      </c>
    </row>
    <row r="85" spans="1:25" x14ac:dyDescent="0.25">
      <c r="A85" t="s">
        <v>68</v>
      </c>
      <c r="B85" t="s">
        <v>70</v>
      </c>
      <c r="C85">
        <v>18</v>
      </c>
      <c r="D85" t="s">
        <v>71</v>
      </c>
      <c r="E85" t="s">
        <v>78</v>
      </c>
      <c r="F85" t="s">
        <v>73</v>
      </c>
      <c r="G85">
        <v>0</v>
      </c>
      <c r="H85">
        <v>2E+20</v>
      </c>
      <c r="I85">
        <v>0</v>
      </c>
      <c r="J85">
        <v>0</v>
      </c>
      <c r="K85">
        <v>1</v>
      </c>
      <c r="L85" s="5" t="str">
        <f>DiscreteStatsTable[[#This Row],[ProjectName]]&amp;DiscreteStatsTable[[#This Row],[Name]]&amp;DiscreteStatsTable[[#This Row],[Type]]&amp;DiscreteStatsTable[[#This Row],[Source]]</f>
        <v>Escenario AEntity 1Wait TimeEntity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27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0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0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0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0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1.6</v>
      </c>
      <c r="W85" s="5">
        <f>IF((DiscreteStatsTable[[#This Row],[RepsRequested]]&gt;1),DiscreteStatsTable[[#This Row],[HalfWidth]],DiscreteStatsTable[[#This Row],[BatchMeansHalfWidth]])</f>
        <v>0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20</v>
      </c>
      <c r="Y85" s="5">
        <f>IF(DiscreteStatsTable[[#This Row],[RepsRequested]]=DiscreteStatsTable[[#This Row],[RepsWithStatObserved]],1,0)</f>
        <v>0</v>
      </c>
    </row>
    <row r="86" spans="1:25" x14ac:dyDescent="0.25">
      <c r="A86" t="s">
        <v>68</v>
      </c>
      <c r="B86" t="s">
        <v>70</v>
      </c>
      <c r="C86">
        <v>19</v>
      </c>
      <c r="D86" t="s">
        <v>71</v>
      </c>
      <c r="E86" t="s">
        <v>72</v>
      </c>
      <c r="F86" t="s">
        <v>73</v>
      </c>
      <c r="G86">
        <v>0</v>
      </c>
      <c r="H86">
        <v>2E+20</v>
      </c>
      <c r="I86">
        <v>0</v>
      </c>
      <c r="J86">
        <v>0</v>
      </c>
      <c r="K86">
        <v>1</v>
      </c>
      <c r="L86" s="5" t="str">
        <f>DiscreteStatsTable[[#This Row],[ProjectName]]&amp;DiscreteStatsTable[[#This Row],[Name]]&amp;DiscreteStatsTable[[#This Row],[Type]]&amp;DiscreteStatsTable[[#This Row],[Source]]</f>
        <v>Escenario AEntity 1NVA TimeEntity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27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1.6</v>
      </c>
      <c r="W86" s="5">
        <f>IF((DiscreteStatsTable[[#This Row],[RepsRequested]]&gt;1),DiscreteStatsTable[[#This Row],[HalfWidth]],DiscreteStatsTable[[#This Row],[BatchMeansHalfWidth]])</f>
        <v>0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20</v>
      </c>
      <c r="Y86" s="5">
        <f>IF(DiscreteStatsTable[[#This Row],[RepsRequested]]=DiscreteStatsTable[[#This Row],[RepsWithStatObserved]],1,0)</f>
        <v>0</v>
      </c>
    </row>
    <row r="87" spans="1:25" x14ac:dyDescent="0.25">
      <c r="A87" t="s">
        <v>68</v>
      </c>
      <c r="B87" t="s">
        <v>70</v>
      </c>
      <c r="C87">
        <v>19</v>
      </c>
      <c r="D87" t="s">
        <v>71</v>
      </c>
      <c r="E87" t="s">
        <v>74</v>
      </c>
      <c r="F87" t="s">
        <v>73</v>
      </c>
      <c r="G87">
        <v>16.950650950040099</v>
      </c>
      <c r="H87">
        <v>2E+20</v>
      </c>
      <c r="I87">
        <v>16.950650950040099</v>
      </c>
      <c r="J87">
        <v>16.950650950040099</v>
      </c>
      <c r="K87">
        <v>1</v>
      </c>
      <c r="L87" s="5" t="str">
        <f>DiscreteStatsTable[[#This Row],[ProjectName]]&amp;DiscreteStatsTable[[#This Row],[Name]]&amp;DiscreteStatsTable[[#This Row],[Type]]&amp;DiscreteStatsTable[[#This Row],[Source]]</f>
        <v>Escenario AEntity 1Other TimeEntity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27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17.668553272104692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0.7694340869480476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0.36010623748224335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16.5757914382995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18.979452995869501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16.5757914382995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19.617131394374798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1.6</v>
      </c>
      <c r="W87" s="5">
        <f>IF((DiscreteStatsTable[[#This Row],[RepsRequested]]&gt;1),DiscreteStatsTable[[#This Row],[HalfWidth]],DiscreteStatsTable[[#This Row],[BatchMeansHalfWidth]])</f>
        <v>0.36010623748224335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20</v>
      </c>
      <c r="Y87" s="5">
        <f>IF(DiscreteStatsTable[[#This Row],[RepsRequested]]=DiscreteStatsTable[[#This Row],[RepsWithStatObserved]],1,0)</f>
        <v>0</v>
      </c>
    </row>
    <row r="88" spans="1:25" x14ac:dyDescent="0.25">
      <c r="A88" t="s">
        <v>68</v>
      </c>
      <c r="B88" t="s">
        <v>70</v>
      </c>
      <c r="C88">
        <v>19</v>
      </c>
      <c r="D88" t="s">
        <v>71</v>
      </c>
      <c r="E88" t="s">
        <v>75</v>
      </c>
      <c r="F88" t="s">
        <v>73</v>
      </c>
      <c r="G88">
        <v>16.950650950040099</v>
      </c>
      <c r="H88">
        <v>2E+20</v>
      </c>
      <c r="I88">
        <v>16.950650950040099</v>
      </c>
      <c r="J88">
        <v>16.950650950040099</v>
      </c>
      <c r="K88">
        <v>1</v>
      </c>
      <c r="L88" s="5" t="str">
        <f>DiscreteStatsTable[[#This Row],[ProjectName]]&amp;DiscreteStatsTable[[#This Row],[Name]]&amp;DiscreteStatsTable[[#This Row],[Type]]&amp;DiscreteStatsTable[[#This Row],[Source]]</f>
        <v>Escenario AEntity 1Total TimeEntity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27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17.711374161967051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0.8290956086013278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16.5757914382995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19.176092927841601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16.5757914382995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21.300704209721701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1.6</v>
      </c>
      <c r="W88" s="5">
        <f>IF((DiscreteStatsTable[[#This Row],[RepsRequested]]&gt;1),DiscreteStatsTable[[#This Row],[HalfWidth]],DiscreteStatsTable[[#This Row],[BatchMeansHalfWidth]])</f>
        <v>0.38802868912491251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20</v>
      </c>
      <c r="Y88" s="5">
        <f>IF(DiscreteStatsTable[[#This Row],[RepsRequested]]=DiscreteStatsTable[[#This Row],[RepsWithStatObserved]],1,0)</f>
        <v>0</v>
      </c>
    </row>
    <row r="89" spans="1:25" x14ac:dyDescent="0.25">
      <c r="A89" t="s">
        <v>68</v>
      </c>
      <c r="B89" t="s">
        <v>70</v>
      </c>
      <c r="C89">
        <v>19</v>
      </c>
      <c r="D89" t="s">
        <v>71</v>
      </c>
      <c r="E89" t="s">
        <v>76</v>
      </c>
      <c r="F89" t="s">
        <v>73</v>
      </c>
      <c r="G89">
        <v>0</v>
      </c>
      <c r="H89">
        <v>2E+20</v>
      </c>
      <c r="I89">
        <v>0</v>
      </c>
      <c r="J89">
        <v>0</v>
      </c>
      <c r="K89">
        <v>1</v>
      </c>
      <c r="L89" s="5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27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1.6</v>
      </c>
      <c r="W89" s="5">
        <f>IF((DiscreteStatsTable[[#This Row],[RepsRequested]]&gt;1),DiscreteStatsTable[[#This Row],[HalfWidth]],DiscreteStatsTable[[#This Row],[BatchMeansHalfWidth]])</f>
        <v>0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20</v>
      </c>
      <c r="Y89" s="5">
        <f>IF(DiscreteStatsTable[[#This Row],[RepsRequested]]=DiscreteStatsTable[[#This Row],[RepsWithStatObserved]],1,0)</f>
        <v>0</v>
      </c>
    </row>
    <row r="90" spans="1:25" x14ac:dyDescent="0.25">
      <c r="A90" t="s">
        <v>68</v>
      </c>
      <c r="B90" t="s">
        <v>70</v>
      </c>
      <c r="C90">
        <v>19</v>
      </c>
      <c r="D90" t="s">
        <v>71</v>
      </c>
      <c r="E90" t="s">
        <v>77</v>
      </c>
      <c r="F90" t="s">
        <v>73</v>
      </c>
      <c r="G90">
        <v>0</v>
      </c>
      <c r="H90">
        <v>2E+20</v>
      </c>
      <c r="I90">
        <v>0</v>
      </c>
      <c r="J90">
        <v>0</v>
      </c>
      <c r="K90">
        <v>1</v>
      </c>
      <c r="L90" s="5" t="str">
        <f>DiscreteStatsTable[[#This Row],[ProjectName]]&amp;DiscreteStatsTable[[#This Row],[Name]]&amp;DiscreteStatsTable[[#This Row],[Type]]&amp;DiscreteStatsTable[[#This Row],[Source]]</f>
        <v>Escenario AEntity 1VA TimeEntity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27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4.2820889862359948E-2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0.19150084117853694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8.962515251308828E-2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0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0.85641779724719902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2.5692533917415998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1.6</v>
      </c>
      <c r="W90" s="5">
        <f>IF((DiscreteStatsTable[[#This Row],[RepsRequested]]&gt;1),DiscreteStatsTable[[#This Row],[HalfWidth]],DiscreteStatsTable[[#This Row],[BatchMeansHalfWidth]])</f>
        <v>8.962515251308828E-2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20</v>
      </c>
      <c r="Y90" s="5">
        <f>IF(DiscreteStatsTable[[#This Row],[RepsRequested]]=DiscreteStatsTable[[#This Row],[RepsWithStatObserved]],1,0)</f>
        <v>0</v>
      </c>
    </row>
    <row r="91" spans="1:25" x14ac:dyDescent="0.25">
      <c r="A91" t="s">
        <v>68</v>
      </c>
      <c r="B91" t="s">
        <v>70</v>
      </c>
      <c r="C91">
        <v>19</v>
      </c>
      <c r="D91" t="s">
        <v>71</v>
      </c>
      <c r="E91" t="s">
        <v>78</v>
      </c>
      <c r="F91" t="s">
        <v>73</v>
      </c>
      <c r="G91">
        <v>0</v>
      </c>
      <c r="H91">
        <v>2E+20</v>
      </c>
      <c r="I91">
        <v>0</v>
      </c>
      <c r="J91">
        <v>0</v>
      </c>
      <c r="K91">
        <v>1</v>
      </c>
      <c r="L91" s="5" t="str">
        <f>DiscreteStatsTable[[#This Row],[ProjectName]]&amp;DiscreteStatsTable[[#This Row],[Name]]&amp;DiscreteStatsTable[[#This Row],[Type]]&amp;DiscreteStatsTable[[#This Row],[Source]]</f>
        <v>Escenario AEntity 1Wait TimeEntity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27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0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0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0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0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1.6</v>
      </c>
      <c r="W91" s="5">
        <f>IF((DiscreteStatsTable[[#This Row],[RepsRequested]]&gt;1),DiscreteStatsTable[[#This Row],[HalfWidth]],DiscreteStatsTable[[#This Row],[BatchMeansHalfWidth]])</f>
        <v>0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20</v>
      </c>
      <c r="Y91" s="5">
        <f>IF(DiscreteStatsTable[[#This Row],[RepsRequested]]=DiscreteStatsTable[[#This Row],[RepsWithStatObserved]],1,0)</f>
        <v>0</v>
      </c>
    </row>
    <row r="92" spans="1:25" x14ac:dyDescent="0.25">
      <c r="A92" t="s">
        <v>68</v>
      </c>
      <c r="B92" t="s">
        <v>70</v>
      </c>
      <c r="C92">
        <v>20</v>
      </c>
      <c r="D92" t="s">
        <v>71</v>
      </c>
      <c r="E92" t="s">
        <v>72</v>
      </c>
      <c r="F92" t="s">
        <v>73</v>
      </c>
      <c r="G92">
        <v>0</v>
      </c>
      <c r="H92">
        <v>2E+20</v>
      </c>
      <c r="I92">
        <v>0</v>
      </c>
      <c r="J92">
        <v>0</v>
      </c>
      <c r="K92">
        <v>1</v>
      </c>
      <c r="L92" s="5" t="str">
        <f>DiscreteStatsTable[[#This Row],[ProjectName]]&amp;DiscreteStatsTable[[#This Row],[Name]]&amp;DiscreteStatsTable[[#This Row],[Type]]&amp;DiscreteStatsTable[[#This Row],[Source]]</f>
        <v>Escenario AEntity 1NVA TimeEntity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27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1.6</v>
      </c>
      <c r="W92" s="5">
        <f>IF((DiscreteStatsTable[[#This Row],[RepsRequested]]&gt;1),DiscreteStatsTable[[#This Row],[HalfWidth]],DiscreteStatsTable[[#This Row],[BatchMeansHalfWidth]])</f>
        <v>0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20</v>
      </c>
      <c r="Y92" s="5">
        <f>IF(DiscreteStatsTable[[#This Row],[RepsRequested]]=DiscreteStatsTable[[#This Row],[RepsWithStatObserved]],1,0)</f>
        <v>0</v>
      </c>
    </row>
    <row r="93" spans="1:25" x14ac:dyDescent="0.25">
      <c r="A93" t="s">
        <v>68</v>
      </c>
      <c r="B93" t="s">
        <v>70</v>
      </c>
      <c r="C93">
        <v>20</v>
      </c>
      <c r="D93" t="s">
        <v>71</v>
      </c>
      <c r="E93" t="s">
        <v>74</v>
      </c>
      <c r="F93" t="s">
        <v>73</v>
      </c>
      <c r="G93">
        <v>17.079311801843598</v>
      </c>
      <c r="H93">
        <v>2E+20</v>
      </c>
      <c r="I93">
        <v>17.079311801843598</v>
      </c>
      <c r="J93">
        <v>17.079311801843598</v>
      </c>
      <c r="K93">
        <v>1</v>
      </c>
      <c r="L93" s="5" t="str">
        <f>DiscreteStatsTable[[#This Row],[ProjectName]]&amp;DiscreteStatsTable[[#This Row],[Name]]&amp;DiscreteStatsTable[[#This Row],[Type]]&amp;DiscreteStatsTable[[#This Row],[Source]]</f>
        <v>Escenario AEntity 1Other TimeEntity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27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17.668553272104692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0.7694340869480476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0.36010623748224335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16.5757914382995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18.979452995869501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16.5757914382995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19.617131394374798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1.6</v>
      </c>
      <c r="W93" s="5">
        <f>IF((DiscreteStatsTable[[#This Row],[RepsRequested]]&gt;1),DiscreteStatsTable[[#This Row],[HalfWidth]],DiscreteStatsTable[[#This Row],[BatchMeansHalfWidth]])</f>
        <v>0.36010623748224335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20</v>
      </c>
      <c r="Y93" s="5">
        <f>IF(DiscreteStatsTable[[#This Row],[RepsRequested]]=DiscreteStatsTable[[#This Row],[RepsWithStatObserved]],1,0)</f>
        <v>0</v>
      </c>
    </row>
    <row r="94" spans="1:25" x14ac:dyDescent="0.25">
      <c r="A94" t="s">
        <v>68</v>
      </c>
      <c r="B94" t="s">
        <v>70</v>
      </c>
      <c r="C94">
        <v>20</v>
      </c>
      <c r="D94" t="s">
        <v>71</v>
      </c>
      <c r="E94" t="s">
        <v>75</v>
      </c>
      <c r="F94" t="s">
        <v>73</v>
      </c>
      <c r="G94">
        <v>17.079311801843598</v>
      </c>
      <c r="H94">
        <v>2E+20</v>
      </c>
      <c r="I94">
        <v>17.079311801843598</v>
      </c>
      <c r="J94">
        <v>17.079311801843598</v>
      </c>
      <c r="K94">
        <v>1</v>
      </c>
      <c r="L94" s="5" t="str">
        <f>DiscreteStatsTable[[#This Row],[ProjectName]]&amp;DiscreteStatsTable[[#This Row],[Name]]&amp;DiscreteStatsTable[[#This Row],[Type]]&amp;DiscreteStatsTable[[#This Row],[Source]]</f>
        <v>Escenario AEntity 1Total TimeEntity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27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17.711374161967051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0.8290956086013278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16.5757914382995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19.176092927841601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16.5757914382995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21.300704209721701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1.6</v>
      </c>
      <c r="W94" s="5">
        <f>IF((DiscreteStatsTable[[#This Row],[RepsRequested]]&gt;1),DiscreteStatsTable[[#This Row],[HalfWidth]],DiscreteStatsTable[[#This Row],[BatchMeansHalfWidth]])</f>
        <v>0.38802868912491251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20</v>
      </c>
      <c r="Y94" s="5">
        <f>IF(DiscreteStatsTable[[#This Row],[RepsRequested]]=DiscreteStatsTable[[#This Row],[RepsWithStatObserved]],1,0)</f>
        <v>0</v>
      </c>
    </row>
    <row r="95" spans="1:25" x14ac:dyDescent="0.25">
      <c r="A95" t="s">
        <v>68</v>
      </c>
      <c r="B95" t="s">
        <v>70</v>
      </c>
      <c r="C95">
        <v>20</v>
      </c>
      <c r="D95" t="s">
        <v>71</v>
      </c>
      <c r="E95" t="s">
        <v>76</v>
      </c>
      <c r="F95" t="s">
        <v>73</v>
      </c>
      <c r="G95">
        <v>0</v>
      </c>
      <c r="H95">
        <v>2E+20</v>
      </c>
      <c r="I95">
        <v>0</v>
      </c>
      <c r="J95">
        <v>0</v>
      </c>
      <c r="K95">
        <v>1</v>
      </c>
      <c r="L95" s="5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27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1.6</v>
      </c>
      <c r="W95" s="5">
        <f>IF((DiscreteStatsTable[[#This Row],[RepsRequested]]&gt;1),DiscreteStatsTable[[#This Row],[HalfWidth]],DiscreteStatsTable[[#This Row],[BatchMeansHalfWidth]])</f>
        <v>0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20</v>
      </c>
      <c r="Y95" s="5">
        <f>IF(DiscreteStatsTable[[#This Row],[RepsRequested]]=DiscreteStatsTable[[#This Row],[RepsWithStatObserved]],1,0)</f>
        <v>0</v>
      </c>
    </row>
    <row r="96" spans="1:25" x14ac:dyDescent="0.25">
      <c r="A96" t="s">
        <v>68</v>
      </c>
      <c r="B96" t="s">
        <v>70</v>
      </c>
      <c r="C96">
        <v>20</v>
      </c>
      <c r="D96" t="s">
        <v>71</v>
      </c>
      <c r="E96" t="s">
        <v>77</v>
      </c>
      <c r="F96" t="s">
        <v>73</v>
      </c>
      <c r="G96">
        <v>0</v>
      </c>
      <c r="H96">
        <v>2E+20</v>
      </c>
      <c r="I96">
        <v>0</v>
      </c>
      <c r="J96">
        <v>0</v>
      </c>
      <c r="K96">
        <v>1</v>
      </c>
      <c r="L96" s="5" t="str">
        <f>DiscreteStatsTable[[#This Row],[ProjectName]]&amp;DiscreteStatsTable[[#This Row],[Name]]&amp;DiscreteStatsTable[[#This Row],[Type]]&amp;DiscreteStatsTable[[#This Row],[Source]]</f>
        <v>Escenario AEntity 1VA TimeEntity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27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4.2820889862359948E-2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0.19150084117853694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8.962515251308828E-2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0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0.85641779724719902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2.5692533917415998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1.6</v>
      </c>
      <c r="W96" s="5">
        <f>IF((DiscreteStatsTable[[#This Row],[RepsRequested]]&gt;1),DiscreteStatsTable[[#This Row],[HalfWidth]],DiscreteStatsTable[[#This Row],[BatchMeansHalfWidth]])</f>
        <v>8.962515251308828E-2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20</v>
      </c>
      <c r="Y96" s="5">
        <f>IF(DiscreteStatsTable[[#This Row],[RepsRequested]]=DiscreteStatsTable[[#This Row],[RepsWithStatObserved]],1,0)</f>
        <v>0</v>
      </c>
    </row>
    <row r="97" spans="1:25" x14ac:dyDescent="0.25">
      <c r="A97" t="s">
        <v>68</v>
      </c>
      <c r="B97" t="s">
        <v>70</v>
      </c>
      <c r="C97">
        <v>20</v>
      </c>
      <c r="D97" t="s">
        <v>71</v>
      </c>
      <c r="E97" t="s">
        <v>78</v>
      </c>
      <c r="F97" t="s">
        <v>73</v>
      </c>
      <c r="G97">
        <v>0</v>
      </c>
      <c r="H97">
        <v>2E+20</v>
      </c>
      <c r="I97">
        <v>0</v>
      </c>
      <c r="J97">
        <v>0</v>
      </c>
      <c r="K97">
        <v>1</v>
      </c>
      <c r="L97" s="5" t="str">
        <f>DiscreteStatsTable[[#This Row],[ProjectName]]&amp;DiscreteStatsTable[[#This Row],[Name]]&amp;DiscreteStatsTable[[#This Row],[Type]]&amp;DiscreteStatsTable[[#This Row],[Source]]</f>
        <v>Escenario AEntity 1Wait TimeEntity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27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0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0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0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0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1.6</v>
      </c>
      <c r="W97" s="5">
        <f>IF((DiscreteStatsTable[[#This Row],[RepsRequested]]&gt;1),DiscreteStatsTable[[#This Row],[HalfWidth]],DiscreteStatsTable[[#This Row],[BatchMeansHalfWidth]])</f>
        <v>0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20</v>
      </c>
      <c r="Y97" s="5">
        <f>IF(DiscreteStatsTable[[#This Row],[RepsRequested]]=DiscreteStatsTable[[#This Row],[RepsWithStatObserved]],1,0)</f>
        <v>0</v>
      </c>
    </row>
    <row r="98" spans="1:25" x14ac:dyDescent="0.25">
      <c r="A98" t="s">
        <v>68</v>
      </c>
      <c r="B98" t="s">
        <v>70</v>
      </c>
      <c r="C98">
        <v>21</v>
      </c>
      <c r="D98" t="s">
        <v>71</v>
      </c>
      <c r="E98" t="s">
        <v>72</v>
      </c>
      <c r="F98" t="s">
        <v>73</v>
      </c>
      <c r="G98">
        <v>0</v>
      </c>
      <c r="H98">
        <v>2E+20</v>
      </c>
      <c r="I98">
        <v>0</v>
      </c>
      <c r="J98">
        <v>0</v>
      </c>
      <c r="K98">
        <v>1</v>
      </c>
      <c r="L98" s="5" t="str">
        <f>DiscreteStatsTable[[#This Row],[ProjectName]]&amp;DiscreteStatsTable[[#This Row],[Name]]&amp;DiscreteStatsTable[[#This Row],[Type]]&amp;DiscreteStatsTable[[#This Row],[Source]]</f>
        <v>Escenario AEntity 1NVA TimeEntity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27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1.6</v>
      </c>
      <c r="W98" s="5">
        <f>IF((DiscreteStatsTable[[#This Row],[RepsRequested]]&gt;1),DiscreteStatsTable[[#This Row],[HalfWidth]],DiscreteStatsTable[[#This Row],[BatchMeansHalfWidth]])</f>
        <v>0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20</v>
      </c>
      <c r="Y98" s="5">
        <f>IF(DiscreteStatsTable[[#This Row],[RepsRequested]]=DiscreteStatsTable[[#This Row],[RepsWithStatObserved]],1,0)</f>
        <v>0</v>
      </c>
    </row>
    <row r="99" spans="1:25" x14ac:dyDescent="0.25">
      <c r="A99" t="s">
        <v>68</v>
      </c>
      <c r="B99" t="s">
        <v>70</v>
      </c>
      <c r="C99">
        <v>21</v>
      </c>
      <c r="D99" t="s">
        <v>71</v>
      </c>
      <c r="E99" t="s">
        <v>74</v>
      </c>
      <c r="F99" t="s">
        <v>73</v>
      </c>
      <c r="G99">
        <v>16.5757914382995</v>
      </c>
      <c r="H99">
        <v>2E+20</v>
      </c>
      <c r="I99">
        <v>16.5757914382995</v>
      </c>
      <c r="J99">
        <v>16.5757914382995</v>
      </c>
      <c r="K99">
        <v>1</v>
      </c>
      <c r="L99" s="5" t="str">
        <f>DiscreteStatsTable[[#This Row],[ProjectName]]&amp;DiscreteStatsTable[[#This Row],[Name]]&amp;DiscreteStatsTable[[#This Row],[Type]]&amp;DiscreteStatsTable[[#This Row],[Source]]</f>
        <v>Escenario AEntity 1Other TimeEntity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27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17.668553272104692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0.7694340869480476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0.36010623748224335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16.5757914382995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18.979452995869501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16.5757914382995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19.617131394374798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1.6</v>
      </c>
      <c r="W99" s="5">
        <f>IF((DiscreteStatsTable[[#This Row],[RepsRequested]]&gt;1),DiscreteStatsTable[[#This Row],[HalfWidth]],DiscreteStatsTable[[#This Row],[BatchMeansHalfWidth]])</f>
        <v>0.36010623748224335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20</v>
      </c>
      <c r="Y99" s="5">
        <f>IF(DiscreteStatsTable[[#This Row],[RepsRequested]]=DiscreteStatsTable[[#This Row],[RepsWithStatObserved]],1,0)</f>
        <v>0</v>
      </c>
    </row>
    <row r="100" spans="1:25" x14ac:dyDescent="0.25">
      <c r="A100" t="s">
        <v>68</v>
      </c>
      <c r="B100" t="s">
        <v>70</v>
      </c>
      <c r="C100">
        <v>21</v>
      </c>
      <c r="D100" t="s">
        <v>71</v>
      </c>
      <c r="E100" t="s">
        <v>75</v>
      </c>
      <c r="F100" t="s">
        <v>73</v>
      </c>
      <c r="G100">
        <v>16.5757914382995</v>
      </c>
      <c r="H100">
        <v>2E+20</v>
      </c>
      <c r="I100">
        <v>16.5757914382995</v>
      </c>
      <c r="J100">
        <v>16.5757914382995</v>
      </c>
      <c r="K100">
        <v>1</v>
      </c>
      <c r="L100" s="5" t="str">
        <f>DiscreteStatsTable[[#This Row],[ProjectName]]&amp;DiscreteStatsTable[[#This Row],[Name]]&amp;DiscreteStatsTable[[#This Row],[Type]]&amp;DiscreteStatsTable[[#This Row],[Source]]</f>
        <v>Escenario AEntity 1Total TimeEntity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27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17.711374161967051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0.8290956086013278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16.5757914382995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19.176092927841601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16.5757914382995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21.300704209721701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1.6</v>
      </c>
      <c r="W100" s="5">
        <f>IF((DiscreteStatsTable[[#This Row],[RepsRequested]]&gt;1),DiscreteStatsTable[[#This Row],[HalfWidth]],DiscreteStatsTable[[#This Row],[BatchMeansHalfWidth]])</f>
        <v>0.38802868912491251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20</v>
      </c>
      <c r="Y100" s="5">
        <f>IF(DiscreteStatsTable[[#This Row],[RepsRequested]]=DiscreteStatsTable[[#This Row],[RepsWithStatObserved]],1,0)</f>
        <v>0</v>
      </c>
    </row>
    <row r="101" spans="1:25" x14ac:dyDescent="0.25">
      <c r="A101" t="s">
        <v>68</v>
      </c>
      <c r="B101" t="s">
        <v>70</v>
      </c>
      <c r="C101">
        <v>21</v>
      </c>
      <c r="D101" t="s">
        <v>71</v>
      </c>
      <c r="E101" t="s">
        <v>76</v>
      </c>
      <c r="F101" t="s">
        <v>73</v>
      </c>
      <c r="G101">
        <v>0</v>
      </c>
      <c r="H101">
        <v>2E+20</v>
      </c>
      <c r="I101">
        <v>0</v>
      </c>
      <c r="J101">
        <v>0</v>
      </c>
      <c r="K101">
        <v>1</v>
      </c>
      <c r="L101" s="5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27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1.6</v>
      </c>
      <c r="W101" s="5">
        <f>IF((DiscreteStatsTable[[#This Row],[RepsRequested]]&gt;1),DiscreteStatsTable[[#This Row],[HalfWidth]],DiscreteStatsTable[[#This Row],[BatchMeansHalfWidth]])</f>
        <v>0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20</v>
      </c>
      <c r="Y101" s="5">
        <f>IF(DiscreteStatsTable[[#This Row],[RepsRequested]]=DiscreteStatsTable[[#This Row],[RepsWithStatObserved]],1,0)</f>
        <v>0</v>
      </c>
    </row>
    <row r="102" spans="1:25" x14ac:dyDescent="0.25">
      <c r="A102" t="s">
        <v>68</v>
      </c>
      <c r="B102" t="s">
        <v>70</v>
      </c>
      <c r="C102">
        <v>21</v>
      </c>
      <c r="D102" t="s">
        <v>71</v>
      </c>
      <c r="E102" t="s">
        <v>77</v>
      </c>
      <c r="F102" t="s">
        <v>73</v>
      </c>
      <c r="G102">
        <v>0</v>
      </c>
      <c r="H102">
        <v>2E+20</v>
      </c>
      <c r="I102">
        <v>0</v>
      </c>
      <c r="J102">
        <v>0</v>
      </c>
      <c r="K102">
        <v>1</v>
      </c>
      <c r="L102" s="5" t="str">
        <f>DiscreteStatsTable[[#This Row],[ProjectName]]&amp;DiscreteStatsTable[[#This Row],[Name]]&amp;DiscreteStatsTable[[#This Row],[Type]]&amp;DiscreteStatsTable[[#This Row],[Source]]</f>
        <v>Escenario AEntity 1VA TimeEntity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27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4.2820889862359948E-2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0.19150084117853694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8.962515251308828E-2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0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0.85641779724719902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2.5692533917415998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1.6</v>
      </c>
      <c r="W102" s="5">
        <f>IF((DiscreteStatsTable[[#This Row],[RepsRequested]]&gt;1),DiscreteStatsTable[[#This Row],[HalfWidth]],DiscreteStatsTable[[#This Row],[BatchMeansHalfWidth]])</f>
        <v>8.962515251308828E-2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20</v>
      </c>
      <c r="Y102" s="5">
        <f>IF(DiscreteStatsTable[[#This Row],[RepsRequested]]=DiscreteStatsTable[[#This Row],[RepsWithStatObserved]],1,0)</f>
        <v>0</v>
      </c>
    </row>
    <row r="103" spans="1:25" x14ac:dyDescent="0.25">
      <c r="A103" t="s">
        <v>68</v>
      </c>
      <c r="B103" t="s">
        <v>70</v>
      </c>
      <c r="C103">
        <v>21</v>
      </c>
      <c r="D103" t="s">
        <v>71</v>
      </c>
      <c r="E103" t="s">
        <v>78</v>
      </c>
      <c r="F103" t="s">
        <v>73</v>
      </c>
      <c r="G103">
        <v>0</v>
      </c>
      <c r="H103">
        <v>2E+20</v>
      </c>
      <c r="I103">
        <v>0</v>
      </c>
      <c r="J103">
        <v>0</v>
      </c>
      <c r="K103">
        <v>1</v>
      </c>
      <c r="L103" s="5" t="str">
        <f>DiscreteStatsTable[[#This Row],[ProjectName]]&amp;DiscreteStatsTable[[#This Row],[Name]]&amp;DiscreteStatsTable[[#This Row],[Type]]&amp;DiscreteStatsTable[[#This Row],[Source]]</f>
        <v>Escenario AEntity 1Wait TimeEntity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27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0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0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0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0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1.6</v>
      </c>
      <c r="W103" s="5">
        <f>IF((DiscreteStatsTable[[#This Row],[RepsRequested]]&gt;1),DiscreteStatsTable[[#This Row],[HalfWidth]],DiscreteStatsTable[[#This Row],[BatchMeansHalfWidth]])</f>
        <v>0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20</v>
      </c>
      <c r="Y103" s="5">
        <f>IF(DiscreteStatsTable[[#This Row],[RepsRequested]]=DiscreteStatsTable[[#This Row],[RepsWithStatObserved]],1,0)</f>
        <v>0</v>
      </c>
    </row>
    <row r="104" spans="1:25" x14ac:dyDescent="0.25">
      <c r="A104" t="s">
        <v>68</v>
      </c>
      <c r="B104" t="s">
        <v>70</v>
      </c>
      <c r="C104">
        <v>25</v>
      </c>
      <c r="D104" t="s">
        <v>71</v>
      </c>
      <c r="E104" t="s">
        <v>72</v>
      </c>
      <c r="F104" t="s">
        <v>73</v>
      </c>
      <c r="G104">
        <v>0</v>
      </c>
      <c r="H104">
        <v>2E+20</v>
      </c>
      <c r="I104">
        <v>0</v>
      </c>
      <c r="J104">
        <v>0</v>
      </c>
      <c r="K104">
        <v>4</v>
      </c>
      <c r="L104" s="5" t="str">
        <f>DiscreteStatsTable[[#This Row],[ProjectName]]&amp;DiscreteStatsTable[[#This Row],[Name]]&amp;DiscreteStatsTable[[#This Row],[Type]]&amp;DiscreteStatsTable[[#This Row],[Source]]</f>
        <v>Escenario AEntity 1NVA TimeEntity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27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1.6</v>
      </c>
      <c r="W104" s="5">
        <f>IF((DiscreteStatsTable[[#This Row],[RepsRequested]]&gt;1),DiscreteStatsTable[[#This Row],[HalfWidth]],DiscreteStatsTable[[#This Row],[BatchMeansHalfWidth]])</f>
        <v>0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20</v>
      </c>
      <c r="Y104" s="5">
        <f>IF(DiscreteStatsTable[[#This Row],[RepsRequested]]=DiscreteStatsTable[[#This Row],[RepsWithStatObserved]],1,0)</f>
        <v>0</v>
      </c>
    </row>
    <row r="105" spans="1:25" x14ac:dyDescent="0.25">
      <c r="A105" t="s">
        <v>68</v>
      </c>
      <c r="B105" t="s">
        <v>70</v>
      </c>
      <c r="C105">
        <v>25</v>
      </c>
      <c r="D105" t="s">
        <v>71</v>
      </c>
      <c r="E105" t="s">
        <v>74</v>
      </c>
      <c r="F105" t="s">
        <v>73</v>
      </c>
      <c r="G105">
        <v>18.270774215349899</v>
      </c>
      <c r="H105">
        <v>2E+20</v>
      </c>
      <c r="I105">
        <v>17.733394491117501</v>
      </c>
      <c r="J105">
        <v>18.564984120892898</v>
      </c>
      <c r="K105">
        <v>4</v>
      </c>
      <c r="L105" s="5" t="str">
        <f>DiscreteStatsTable[[#This Row],[ProjectName]]&amp;DiscreteStatsTable[[#This Row],[Name]]&amp;DiscreteStatsTable[[#This Row],[Type]]&amp;DiscreteStatsTable[[#This Row],[Source]]</f>
        <v>Escenario AEntity 1Other TimeEntity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27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17.668553272104692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0.7694340869480476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0.36010623748224335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16.5757914382995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18.979452995869501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16.5757914382995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19.617131394374798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1.6</v>
      </c>
      <c r="W105" s="5">
        <f>IF((DiscreteStatsTable[[#This Row],[RepsRequested]]&gt;1),DiscreteStatsTable[[#This Row],[HalfWidth]],DiscreteStatsTable[[#This Row],[BatchMeansHalfWidth]])</f>
        <v>0.36010623748224335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20</v>
      </c>
      <c r="Y105" s="5">
        <f>IF(DiscreteStatsTable[[#This Row],[RepsRequested]]=DiscreteStatsTable[[#This Row],[RepsWithStatObserved]],1,0)</f>
        <v>0</v>
      </c>
    </row>
    <row r="106" spans="1:25" x14ac:dyDescent="0.25">
      <c r="A106" t="s">
        <v>68</v>
      </c>
      <c r="B106" t="s">
        <v>70</v>
      </c>
      <c r="C106">
        <v>25</v>
      </c>
      <c r="D106" t="s">
        <v>71</v>
      </c>
      <c r="E106" t="s">
        <v>75</v>
      </c>
      <c r="F106" t="s">
        <v>73</v>
      </c>
      <c r="G106">
        <v>18.270774215349899</v>
      </c>
      <c r="H106">
        <v>2E+20</v>
      </c>
      <c r="I106">
        <v>17.733394491117501</v>
      </c>
      <c r="J106">
        <v>18.564984120892898</v>
      </c>
      <c r="K106">
        <v>4</v>
      </c>
      <c r="L106" s="5" t="str">
        <f>DiscreteStatsTable[[#This Row],[ProjectName]]&amp;DiscreteStatsTable[[#This Row],[Name]]&amp;DiscreteStatsTable[[#This Row],[Type]]&amp;DiscreteStatsTable[[#This Row],[Source]]</f>
        <v>Escenario AEntity 1Total TimeEntity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27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17.711374161967051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0.8290956086013278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16.5757914382995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19.176092927841601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16.5757914382995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21.300704209721701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1.6</v>
      </c>
      <c r="W106" s="5">
        <f>IF((DiscreteStatsTable[[#This Row],[RepsRequested]]&gt;1),DiscreteStatsTable[[#This Row],[HalfWidth]],DiscreteStatsTable[[#This Row],[BatchMeansHalfWidth]])</f>
        <v>0.38802868912491251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20</v>
      </c>
      <c r="Y106" s="5">
        <f>IF(DiscreteStatsTable[[#This Row],[RepsRequested]]=DiscreteStatsTable[[#This Row],[RepsWithStatObserved]],1,0)</f>
        <v>0</v>
      </c>
    </row>
    <row r="107" spans="1:25" x14ac:dyDescent="0.25">
      <c r="A107" t="s">
        <v>68</v>
      </c>
      <c r="B107" t="s">
        <v>70</v>
      </c>
      <c r="C107">
        <v>25</v>
      </c>
      <c r="D107" t="s">
        <v>71</v>
      </c>
      <c r="E107" t="s">
        <v>76</v>
      </c>
      <c r="F107" t="s">
        <v>73</v>
      </c>
      <c r="G107">
        <v>0</v>
      </c>
      <c r="H107">
        <v>2E+20</v>
      </c>
      <c r="I107">
        <v>0</v>
      </c>
      <c r="J107">
        <v>0</v>
      </c>
      <c r="K107">
        <v>4</v>
      </c>
      <c r="L107" s="5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107" s="5" cm="1">
        <f t="array" ref="M107">MAX(IF((ProjectInfoTable[ProjectName]=DiscreteStatsTable[[#This Row],[ProjectName]]),(ProjectInfoTable[ProjectName]=DiscreteStatsTable[[#This Row],[ProjectName]])*ProjectInfoTable[NumberOfReplications]))</f>
        <v>27</v>
      </c>
      <c r="N107" s="5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s="5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s="5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 s="5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s="5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s="5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s="5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s="5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s="5" cm="1">
        <f t="array" ref="V107">IFERROR(AVERAGE(IF((DiscreteStatsTable[GroupByKey]=DiscreteStatsTable[[#This Row],[GroupByKey]]),(DiscreteStatsTable[GroupByKey]=DiscreteStatsTable[[#This Row],[GroupByKey]])*DiscreteStatsTable[NumberObservations])),0)</f>
        <v>1.6</v>
      </c>
      <c r="W107" s="5">
        <f>IF((DiscreteStatsTable[[#This Row],[RepsRequested]]&gt;1),DiscreteStatsTable[[#This Row],[HalfWidth]],DiscreteStatsTable[[#This Row],[BatchMeansHalfWidth]])</f>
        <v>0</v>
      </c>
      <c r="X107" s="5" cm="1">
        <f t="array" ref="X107">COUNT(IF((DiscreteStatsTable[GroupByKey]=DiscreteStatsTable[[#This Row],[GroupByKey]]),(DiscreteStatsTable[GroupByKey]=DiscreteStatsTable[[#This Row],[GroupByKey]])*DiscreteStatsTable[Replication]))</f>
        <v>20</v>
      </c>
      <c r="Y107" s="5">
        <f>IF(DiscreteStatsTable[[#This Row],[RepsRequested]]=DiscreteStatsTable[[#This Row],[RepsWithStatObserved]],1,0)</f>
        <v>0</v>
      </c>
    </row>
    <row r="108" spans="1:25" x14ac:dyDescent="0.25">
      <c r="A108" t="s">
        <v>68</v>
      </c>
      <c r="B108" t="s">
        <v>70</v>
      </c>
      <c r="C108">
        <v>25</v>
      </c>
      <c r="D108" t="s">
        <v>71</v>
      </c>
      <c r="E108" t="s">
        <v>77</v>
      </c>
      <c r="F108" t="s">
        <v>73</v>
      </c>
      <c r="G108">
        <v>0</v>
      </c>
      <c r="H108">
        <v>2E+20</v>
      </c>
      <c r="I108">
        <v>0</v>
      </c>
      <c r="J108">
        <v>0</v>
      </c>
      <c r="K108">
        <v>4</v>
      </c>
      <c r="L108" s="5" t="str">
        <f>DiscreteStatsTable[[#This Row],[ProjectName]]&amp;DiscreteStatsTable[[#This Row],[Name]]&amp;DiscreteStatsTable[[#This Row],[Type]]&amp;DiscreteStatsTable[[#This Row],[Source]]</f>
        <v>Escenario AEntity 1VA TimeEntity</v>
      </c>
      <c r="M108" s="5" cm="1">
        <f t="array" ref="M108">MAX(IF((ProjectInfoTable[ProjectName]=DiscreteStatsTable[[#This Row],[ProjectName]]),(ProjectInfoTable[ProjectName]=DiscreteStatsTable[[#This Row],[ProjectName]])*ProjectInfoTable[NumberOfReplications]))</f>
        <v>27</v>
      </c>
      <c r="N108" s="5" cm="1">
        <f t="array" ref="N108">IFERROR(AVERAGE(IF((DiscreteStatsTable[GroupByKey]=DiscreteStatsTable[[#This Row],[GroupByKey]]),(DiscreteStatsTable[GroupByKey]=DiscreteStatsTable[[#This Row],[GroupByKey]])*DiscreteStatsTable[Average])),0)</f>
        <v>4.2820889862359948E-2</v>
      </c>
      <c r="O108" s="5" cm="1">
        <f t="array" ref="O108">IFERROR(_xlfn.STDEV.S(IF((DiscreteStatsTable[GroupByKey]=DiscreteStatsTable[[#This Row],[GroupByKey]]),(DiscreteStatsTable[GroupByKey]=DiscreteStatsTable[[#This Row],[GroupByKey]])*DiscreteStatsTable[Average])),0)</f>
        <v>0.19150084117853694</v>
      </c>
      <c r="P108" s="5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 s="5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8.962515251308828E-2</v>
      </c>
      <c r="R108" s="5" cm="1">
        <f t="array" ref="R108">MIN(IF((DiscreteStatsTable[GroupByKey]=DiscreteStatsTable[[#This Row],[GroupByKey]]),(DiscreteStatsTable[GroupByKey]=DiscreteStatsTable[[#This Row],[GroupByKey]])*DiscreteStatsTable[Average]))</f>
        <v>0</v>
      </c>
      <c r="S108" s="5" cm="1">
        <f t="array" ref="S108">MAX(IF((DiscreteStatsTable[GroupByKey]=DiscreteStatsTable[[#This Row],[GroupByKey]]),(DiscreteStatsTable[GroupByKey]=DiscreteStatsTable[[#This Row],[GroupByKey]])*DiscreteStatsTable[Average]))</f>
        <v>0.85641779724719902</v>
      </c>
      <c r="T108" s="5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s="5" cm="1">
        <f t="array" ref="U108">MAX(IF((DiscreteStatsTable[GroupByKey]=DiscreteStatsTable[[#This Row],[GroupByKey]]),(DiscreteStatsTable[GroupByKey]=DiscreteStatsTable[[#This Row],[GroupByKey]])*DiscreteStatsTable[Maximum]))</f>
        <v>2.5692533917415998</v>
      </c>
      <c r="V108" s="5" cm="1">
        <f t="array" ref="V108">IFERROR(AVERAGE(IF((DiscreteStatsTable[GroupByKey]=DiscreteStatsTable[[#This Row],[GroupByKey]]),(DiscreteStatsTable[GroupByKey]=DiscreteStatsTable[[#This Row],[GroupByKey]])*DiscreteStatsTable[NumberObservations])),0)</f>
        <v>1.6</v>
      </c>
      <c r="W108" s="5">
        <f>IF((DiscreteStatsTable[[#This Row],[RepsRequested]]&gt;1),DiscreteStatsTable[[#This Row],[HalfWidth]],DiscreteStatsTable[[#This Row],[BatchMeansHalfWidth]])</f>
        <v>8.962515251308828E-2</v>
      </c>
      <c r="X108" s="5" cm="1">
        <f t="array" ref="X108">COUNT(IF((DiscreteStatsTable[GroupByKey]=DiscreteStatsTable[[#This Row],[GroupByKey]]),(DiscreteStatsTable[GroupByKey]=DiscreteStatsTable[[#This Row],[GroupByKey]])*DiscreteStatsTable[Replication]))</f>
        <v>20</v>
      </c>
      <c r="Y108" s="5">
        <f>IF(DiscreteStatsTable[[#This Row],[RepsRequested]]=DiscreteStatsTable[[#This Row],[RepsWithStatObserved]],1,0)</f>
        <v>0</v>
      </c>
    </row>
    <row r="109" spans="1:25" x14ac:dyDescent="0.25">
      <c r="A109" t="s">
        <v>68</v>
      </c>
      <c r="B109" t="s">
        <v>70</v>
      </c>
      <c r="C109">
        <v>25</v>
      </c>
      <c r="D109" t="s">
        <v>71</v>
      </c>
      <c r="E109" t="s">
        <v>78</v>
      </c>
      <c r="F109" t="s">
        <v>73</v>
      </c>
      <c r="G109">
        <v>0</v>
      </c>
      <c r="H109">
        <v>2E+20</v>
      </c>
      <c r="I109">
        <v>0</v>
      </c>
      <c r="J109">
        <v>0</v>
      </c>
      <c r="K109">
        <v>4</v>
      </c>
      <c r="L109" s="5" t="str">
        <f>DiscreteStatsTable[[#This Row],[ProjectName]]&amp;DiscreteStatsTable[[#This Row],[Name]]&amp;DiscreteStatsTable[[#This Row],[Type]]&amp;DiscreteStatsTable[[#This Row],[Source]]</f>
        <v>Escenario AEntity 1Wait TimeEntity</v>
      </c>
      <c r="M109" s="5" cm="1">
        <f t="array" ref="M109">MAX(IF((ProjectInfoTable[ProjectName]=DiscreteStatsTable[[#This Row],[ProjectName]]),(ProjectInfoTable[ProjectName]=DiscreteStatsTable[[#This Row],[ProjectName]])*ProjectInfoTable[NumberOfReplications]))</f>
        <v>27</v>
      </c>
      <c r="N109" s="5" cm="1">
        <f t="array" ref="N109">IFERROR(AVERAGE(IF((DiscreteStatsTable[GroupByKey]=DiscreteStatsTable[[#This Row],[GroupByKey]]),(DiscreteStatsTable[GroupByKey]=DiscreteStatsTable[[#This Row],[GroupByKey]])*DiscreteStatsTable[Average])),0)</f>
        <v>0</v>
      </c>
      <c r="O109" s="5" cm="1">
        <f t="array" ref="O109">IFERROR(_xlfn.STDEV.S(IF((DiscreteStatsTable[GroupByKey]=DiscreteStatsTable[[#This Row],[GroupByKey]]),(DiscreteStatsTable[GroupByKey]=DiscreteStatsTable[[#This Row],[GroupByKey]])*DiscreteStatsTable[Average])),0)</f>
        <v>0</v>
      </c>
      <c r="P109" s="5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 s="5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" s="5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s="5" cm="1">
        <f t="array" ref="S109">MAX(IF((DiscreteStatsTable[GroupByKey]=DiscreteStatsTable[[#This Row],[GroupByKey]]),(DiscreteStatsTable[GroupByKey]=DiscreteStatsTable[[#This Row],[GroupByKey]])*DiscreteStatsTable[Average]))</f>
        <v>0</v>
      </c>
      <c r="T109" s="5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s="5" cm="1">
        <f t="array" ref="U109">MAX(IF((DiscreteStatsTable[GroupByKey]=DiscreteStatsTable[[#This Row],[GroupByKey]]),(DiscreteStatsTable[GroupByKey]=DiscreteStatsTable[[#This Row],[GroupByKey]])*DiscreteStatsTable[Maximum]))</f>
        <v>0</v>
      </c>
      <c r="V109" s="5" cm="1">
        <f t="array" ref="V109">IFERROR(AVERAGE(IF((DiscreteStatsTable[GroupByKey]=DiscreteStatsTable[[#This Row],[GroupByKey]]),(DiscreteStatsTable[GroupByKey]=DiscreteStatsTable[[#This Row],[GroupByKey]])*DiscreteStatsTable[NumberObservations])),0)</f>
        <v>1.6</v>
      </c>
      <c r="W109" s="5">
        <f>IF((DiscreteStatsTable[[#This Row],[RepsRequested]]&gt;1),DiscreteStatsTable[[#This Row],[HalfWidth]],DiscreteStatsTable[[#This Row],[BatchMeansHalfWidth]])</f>
        <v>0</v>
      </c>
      <c r="X109" s="5" cm="1">
        <f t="array" ref="X109">COUNT(IF((DiscreteStatsTable[GroupByKey]=DiscreteStatsTable[[#This Row],[GroupByKey]]),(DiscreteStatsTable[GroupByKey]=DiscreteStatsTable[[#This Row],[GroupByKey]])*DiscreteStatsTable[Replication]))</f>
        <v>20</v>
      </c>
      <c r="Y109" s="5">
        <f>IF(DiscreteStatsTable[[#This Row],[RepsRequested]]=DiscreteStatsTable[[#This Row],[RepsWithStatObserved]],1,0)</f>
        <v>0</v>
      </c>
    </row>
    <row r="110" spans="1:25" x14ac:dyDescent="0.25">
      <c r="A110" t="s">
        <v>68</v>
      </c>
      <c r="B110" t="s">
        <v>70</v>
      </c>
      <c r="C110">
        <v>26</v>
      </c>
      <c r="D110" t="s">
        <v>71</v>
      </c>
      <c r="E110" t="s">
        <v>72</v>
      </c>
      <c r="F110" t="s">
        <v>73</v>
      </c>
      <c r="G110">
        <v>0</v>
      </c>
      <c r="H110">
        <v>2E+20</v>
      </c>
      <c r="I110">
        <v>0</v>
      </c>
      <c r="J110">
        <v>0</v>
      </c>
      <c r="K110">
        <v>3</v>
      </c>
      <c r="L110" s="5" t="str">
        <f>DiscreteStatsTable[[#This Row],[ProjectName]]&amp;DiscreteStatsTable[[#This Row],[Name]]&amp;DiscreteStatsTable[[#This Row],[Type]]&amp;DiscreteStatsTable[[#This Row],[Source]]</f>
        <v>Escenario AEntity 1NVA TimeEntity</v>
      </c>
      <c r="M110" s="5" cm="1">
        <f t="array" ref="M110">MAX(IF((ProjectInfoTable[ProjectName]=DiscreteStatsTable[[#This Row],[ProjectName]]),(ProjectInfoTable[ProjectName]=DiscreteStatsTable[[#This Row],[ProjectName]])*ProjectInfoTable[NumberOfReplications]))</f>
        <v>27</v>
      </c>
      <c r="N110" s="5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s="5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s="5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 s="5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s="5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s="5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s="5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s="5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s="5" cm="1">
        <f t="array" ref="V110">IFERROR(AVERAGE(IF((DiscreteStatsTable[GroupByKey]=DiscreteStatsTable[[#This Row],[GroupByKey]]),(DiscreteStatsTable[GroupByKey]=DiscreteStatsTable[[#This Row],[GroupByKey]])*DiscreteStatsTable[NumberObservations])),0)</f>
        <v>1.6</v>
      </c>
      <c r="W110" s="5">
        <f>IF((DiscreteStatsTable[[#This Row],[RepsRequested]]&gt;1),DiscreteStatsTable[[#This Row],[HalfWidth]],DiscreteStatsTable[[#This Row],[BatchMeansHalfWidth]])</f>
        <v>0</v>
      </c>
      <c r="X110" s="5" cm="1">
        <f t="array" ref="X110">COUNT(IF((DiscreteStatsTable[GroupByKey]=DiscreteStatsTable[[#This Row],[GroupByKey]]),(DiscreteStatsTable[GroupByKey]=DiscreteStatsTable[[#This Row],[GroupByKey]])*DiscreteStatsTable[Replication]))</f>
        <v>20</v>
      </c>
      <c r="Y110" s="5">
        <f>IF(DiscreteStatsTable[[#This Row],[RepsRequested]]=DiscreteStatsTable[[#This Row],[RepsWithStatObserved]],1,0)</f>
        <v>0</v>
      </c>
    </row>
    <row r="111" spans="1:25" x14ac:dyDescent="0.25">
      <c r="A111" t="s">
        <v>68</v>
      </c>
      <c r="B111" t="s">
        <v>70</v>
      </c>
      <c r="C111">
        <v>26</v>
      </c>
      <c r="D111" t="s">
        <v>71</v>
      </c>
      <c r="E111" t="s">
        <v>74</v>
      </c>
      <c r="F111" t="s">
        <v>73</v>
      </c>
      <c r="G111">
        <v>17.8147211981955</v>
      </c>
      <c r="H111">
        <v>2E+20</v>
      </c>
      <c r="I111">
        <v>17.546251031736698</v>
      </c>
      <c r="J111">
        <v>18.2067447892485</v>
      </c>
      <c r="K111">
        <v>3</v>
      </c>
      <c r="L111" s="5" t="str">
        <f>DiscreteStatsTable[[#This Row],[ProjectName]]&amp;DiscreteStatsTable[[#This Row],[Name]]&amp;DiscreteStatsTable[[#This Row],[Type]]&amp;DiscreteStatsTable[[#This Row],[Source]]</f>
        <v>Escenario AEntity 1Other TimeEntity</v>
      </c>
      <c r="M111" s="5" cm="1">
        <f t="array" ref="M111">MAX(IF((ProjectInfoTable[ProjectName]=DiscreteStatsTable[[#This Row],[ProjectName]]),(ProjectInfoTable[ProjectName]=DiscreteStatsTable[[#This Row],[ProjectName]])*ProjectInfoTable[NumberOfReplications]))</f>
        <v>27</v>
      </c>
      <c r="N111" s="5" cm="1">
        <f t="array" ref="N111">IFERROR(AVERAGE(IF((DiscreteStatsTable[GroupByKey]=DiscreteStatsTable[[#This Row],[GroupByKey]]),(DiscreteStatsTable[GroupByKey]=DiscreteStatsTable[[#This Row],[GroupByKey]])*DiscreteStatsTable[Average])),0)</f>
        <v>17.668553272104692</v>
      </c>
      <c r="O111" s="5" cm="1">
        <f t="array" ref="O111">IFERROR(_xlfn.STDEV.S(IF((DiscreteStatsTable[GroupByKey]=DiscreteStatsTable[[#This Row],[GroupByKey]]),(DiscreteStatsTable[GroupByKey]=DiscreteStatsTable[[#This Row],[GroupByKey]])*DiscreteStatsTable[Average])),0)</f>
        <v>0.7694340869480476</v>
      </c>
      <c r="P111" s="5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 s="5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0.36010623748224335</v>
      </c>
      <c r="R111" s="5" cm="1">
        <f t="array" ref="R111">MIN(IF((DiscreteStatsTable[GroupByKey]=DiscreteStatsTable[[#This Row],[GroupByKey]]),(DiscreteStatsTable[GroupByKey]=DiscreteStatsTable[[#This Row],[GroupByKey]])*DiscreteStatsTable[Average]))</f>
        <v>16.5757914382995</v>
      </c>
      <c r="S111" s="5" cm="1">
        <f t="array" ref="S111">MAX(IF((DiscreteStatsTable[GroupByKey]=DiscreteStatsTable[[#This Row],[GroupByKey]]),(DiscreteStatsTable[GroupByKey]=DiscreteStatsTable[[#This Row],[GroupByKey]])*DiscreteStatsTable[Average]))</f>
        <v>18.979452995869501</v>
      </c>
      <c r="T111" s="5" cm="1">
        <f t="array" ref="T111">MIN(IF((DiscreteStatsTable[GroupByKey]=DiscreteStatsTable[[#This Row],[GroupByKey]]),(DiscreteStatsTable[GroupByKey]=DiscreteStatsTable[[#This Row],[GroupByKey]])*DiscreteStatsTable[Minimum]))</f>
        <v>16.5757914382995</v>
      </c>
      <c r="U111" s="5" cm="1">
        <f t="array" ref="U111">MAX(IF((DiscreteStatsTable[GroupByKey]=DiscreteStatsTable[[#This Row],[GroupByKey]]),(DiscreteStatsTable[GroupByKey]=DiscreteStatsTable[[#This Row],[GroupByKey]])*DiscreteStatsTable[Maximum]))</f>
        <v>19.617131394374798</v>
      </c>
      <c r="V111" s="5" cm="1">
        <f t="array" ref="V111">IFERROR(AVERAGE(IF((DiscreteStatsTable[GroupByKey]=DiscreteStatsTable[[#This Row],[GroupByKey]]),(DiscreteStatsTable[GroupByKey]=DiscreteStatsTable[[#This Row],[GroupByKey]])*DiscreteStatsTable[NumberObservations])),0)</f>
        <v>1.6</v>
      </c>
      <c r="W111" s="5">
        <f>IF((DiscreteStatsTable[[#This Row],[RepsRequested]]&gt;1),DiscreteStatsTable[[#This Row],[HalfWidth]],DiscreteStatsTable[[#This Row],[BatchMeansHalfWidth]])</f>
        <v>0.36010623748224335</v>
      </c>
      <c r="X111" s="5" cm="1">
        <f t="array" ref="X111">COUNT(IF((DiscreteStatsTable[GroupByKey]=DiscreteStatsTable[[#This Row],[GroupByKey]]),(DiscreteStatsTable[GroupByKey]=DiscreteStatsTable[[#This Row],[GroupByKey]])*DiscreteStatsTable[Replication]))</f>
        <v>20</v>
      </c>
      <c r="Y111" s="5">
        <f>IF(DiscreteStatsTable[[#This Row],[RepsRequested]]=DiscreteStatsTable[[#This Row],[RepsWithStatObserved]],1,0)</f>
        <v>0</v>
      </c>
    </row>
    <row r="112" spans="1:25" x14ac:dyDescent="0.25">
      <c r="A112" t="s">
        <v>68</v>
      </c>
      <c r="B112" t="s">
        <v>70</v>
      </c>
      <c r="C112">
        <v>26</v>
      </c>
      <c r="D112" t="s">
        <v>71</v>
      </c>
      <c r="E112" t="s">
        <v>75</v>
      </c>
      <c r="F112" t="s">
        <v>73</v>
      </c>
      <c r="G112">
        <v>17.8147211981955</v>
      </c>
      <c r="H112">
        <v>2E+20</v>
      </c>
      <c r="I112">
        <v>17.546251031736698</v>
      </c>
      <c r="J112">
        <v>18.2067447892485</v>
      </c>
      <c r="K112">
        <v>3</v>
      </c>
      <c r="L112" s="5" t="str">
        <f>DiscreteStatsTable[[#This Row],[ProjectName]]&amp;DiscreteStatsTable[[#This Row],[Name]]&amp;DiscreteStatsTable[[#This Row],[Type]]&amp;DiscreteStatsTable[[#This Row],[Source]]</f>
        <v>Escenario AEntity 1Total TimeEntity</v>
      </c>
      <c r="M112" s="5" cm="1">
        <f t="array" ref="M112">MAX(IF((ProjectInfoTable[ProjectName]=DiscreteStatsTable[[#This Row],[ProjectName]]),(ProjectInfoTable[ProjectName]=DiscreteStatsTable[[#This Row],[ProjectName]])*ProjectInfoTable[NumberOfReplications]))</f>
        <v>27</v>
      </c>
      <c r="N112" s="5" cm="1">
        <f t="array" ref="N112">IFERROR(AVERAGE(IF((DiscreteStatsTable[GroupByKey]=DiscreteStatsTable[[#This Row],[GroupByKey]]),(DiscreteStatsTable[GroupByKey]=DiscreteStatsTable[[#This Row],[GroupByKey]])*DiscreteStatsTable[Average])),0)</f>
        <v>17.711374161967051</v>
      </c>
      <c r="O112" s="5" cm="1">
        <f t="array" ref="O112">IFERROR(_xlfn.STDEV.S(IF((DiscreteStatsTable[GroupByKey]=DiscreteStatsTable[[#This Row],[GroupByKey]]),(DiscreteStatsTable[GroupByKey]=DiscreteStatsTable[[#This Row],[GroupByKey]])*DiscreteStatsTable[Average])),0)</f>
        <v>0.8290956086013278</v>
      </c>
      <c r="P112" s="5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 s="5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112" s="5" cm="1">
        <f t="array" ref="R112">MIN(IF((DiscreteStatsTable[GroupByKey]=DiscreteStatsTable[[#This Row],[GroupByKey]]),(DiscreteStatsTable[GroupByKey]=DiscreteStatsTable[[#This Row],[GroupByKey]])*DiscreteStatsTable[Average]))</f>
        <v>16.5757914382995</v>
      </c>
      <c r="S112" s="5" cm="1">
        <f t="array" ref="S112">MAX(IF((DiscreteStatsTable[GroupByKey]=DiscreteStatsTable[[#This Row],[GroupByKey]]),(DiscreteStatsTable[GroupByKey]=DiscreteStatsTable[[#This Row],[GroupByKey]])*DiscreteStatsTable[Average]))</f>
        <v>19.176092927841601</v>
      </c>
      <c r="T112" s="5" cm="1">
        <f t="array" ref="T112">MIN(IF((DiscreteStatsTable[GroupByKey]=DiscreteStatsTable[[#This Row],[GroupByKey]]),(DiscreteStatsTable[GroupByKey]=DiscreteStatsTable[[#This Row],[GroupByKey]])*DiscreteStatsTable[Minimum]))</f>
        <v>16.5757914382995</v>
      </c>
      <c r="U112" s="5" cm="1">
        <f t="array" ref="U112">MAX(IF((DiscreteStatsTable[GroupByKey]=DiscreteStatsTable[[#This Row],[GroupByKey]]),(DiscreteStatsTable[GroupByKey]=DiscreteStatsTable[[#This Row],[GroupByKey]])*DiscreteStatsTable[Maximum]))</f>
        <v>21.300704209721701</v>
      </c>
      <c r="V112" s="5" cm="1">
        <f t="array" ref="V112">IFERROR(AVERAGE(IF((DiscreteStatsTable[GroupByKey]=DiscreteStatsTable[[#This Row],[GroupByKey]]),(DiscreteStatsTable[GroupByKey]=DiscreteStatsTable[[#This Row],[GroupByKey]])*DiscreteStatsTable[NumberObservations])),0)</f>
        <v>1.6</v>
      </c>
      <c r="W112" s="5">
        <f>IF((DiscreteStatsTable[[#This Row],[RepsRequested]]&gt;1),DiscreteStatsTable[[#This Row],[HalfWidth]],DiscreteStatsTable[[#This Row],[BatchMeansHalfWidth]])</f>
        <v>0.38802868912491251</v>
      </c>
      <c r="X112" s="5" cm="1">
        <f t="array" ref="X112">COUNT(IF((DiscreteStatsTable[GroupByKey]=DiscreteStatsTable[[#This Row],[GroupByKey]]),(DiscreteStatsTable[GroupByKey]=DiscreteStatsTable[[#This Row],[GroupByKey]])*DiscreteStatsTable[Replication]))</f>
        <v>20</v>
      </c>
      <c r="Y112" s="5">
        <f>IF(DiscreteStatsTable[[#This Row],[RepsRequested]]=DiscreteStatsTable[[#This Row],[RepsWithStatObserved]],1,0)</f>
        <v>0</v>
      </c>
    </row>
    <row r="113" spans="1:25" x14ac:dyDescent="0.25">
      <c r="A113" t="s">
        <v>68</v>
      </c>
      <c r="B113" t="s">
        <v>70</v>
      </c>
      <c r="C113">
        <v>26</v>
      </c>
      <c r="D113" t="s">
        <v>71</v>
      </c>
      <c r="E113" t="s">
        <v>76</v>
      </c>
      <c r="F113" t="s">
        <v>73</v>
      </c>
      <c r="G113">
        <v>0</v>
      </c>
      <c r="H113">
        <v>2E+20</v>
      </c>
      <c r="I113">
        <v>0</v>
      </c>
      <c r="J113">
        <v>0</v>
      </c>
      <c r="K113">
        <v>3</v>
      </c>
      <c r="L113" s="5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113" s="5" cm="1">
        <f t="array" ref="M113">MAX(IF((ProjectInfoTable[ProjectName]=DiscreteStatsTable[[#This Row],[ProjectName]]),(ProjectInfoTable[ProjectName]=DiscreteStatsTable[[#This Row],[ProjectName]])*ProjectInfoTable[NumberOfReplications]))</f>
        <v>27</v>
      </c>
      <c r="N113" s="5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s="5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s="5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 s="5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s="5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s="5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s="5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s="5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s="5" cm="1">
        <f t="array" ref="V113">IFERROR(AVERAGE(IF((DiscreteStatsTable[GroupByKey]=DiscreteStatsTable[[#This Row],[GroupByKey]]),(DiscreteStatsTable[GroupByKey]=DiscreteStatsTable[[#This Row],[GroupByKey]])*DiscreteStatsTable[NumberObservations])),0)</f>
        <v>1.6</v>
      </c>
      <c r="W113" s="5">
        <f>IF((DiscreteStatsTable[[#This Row],[RepsRequested]]&gt;1),DiscreteStatsTable[[#This Row],[HalfWidth]],DiscreteStatsTable[[#This Row],[BatchMeansHalfWidth]])</f>
        <v>0</v>
      </c>
      <c r="X113" s="5" cm="1">
        <f t="array" ref="X113">COUNT(IF((DiscreteStatsTable[GroupByKey]=DiscreteStatsTable[[#This Row],[GroupByKey]]),(DiscreteStatsTable[GroupByKey]=DiscreteStatsTable[[#This Row],[GroupByKey]])*DiscreteStatsTable[Replication]))</f>
        <v>20</v>
      </c>
      <c r="Y113" s="5">
        <f>IF(DiscreteStatsTable[[#This Row],[RepsRequested]]=DiscreteStatsTable[[#This Row],[RepsWithStatObserved]],1,0)</f>
        <v>0</v>
      </c>
    </row>
    <row r="114" spans="1:25" x14ac:dyDescent="0.25">
      <c r="A114" t="s">
        <v>68</v>
      </c>
      <c r="B114" t="s">
        <v>70</v>
      </c>
      <c r="C114">
        <v>26</v>
      </c>
      <c r="D114" t="s">
        <v>71</v>
      </c>
      <c r="E114" t="s">
        <v>77</v>
      </c>
      <c r="F114" t="s">
        <v>73</v>
      </c>
      <c r="G114">
        <v>0</v>
      </c>
      <c r="H114">
        <v>2E+20</v>
      </c>
      <c r="I114">
        <v>0</v>
      </c>
      <c r="J114">
        <v>0</v>
      </c>
      <c r="K114">
        <v>3</v>
      </c>
      <c r="L114" s="5" t="str">
        <f>DiscreteStatsTable[[#This Row],[ProjectName]]&amp;DiscreteStatsTable[[#This Row],[Name]]&amp;DiscreteStatsTable[[#This Row],[Type]]&amp;DiscreteStatsTable[[#This Row],[Source]]</f>
        <v>Escenario AEntity 1VA TimeEntity</v>
      </c>
      <c r="M114" s="5" cm="1">
        <f t="array" ref="M114">MAX(IF((ProjectInfoTable[ProjectName]=DiscreteStatsTable[[#This Row],[ProjectName]]),(ProjectInfoTable[ProjectName]=DiscreteStatsTable[[#This Row],[ProjectName]])*ProjectInfoTable[NumberOfReplications]))</f>
        <v>27</v>
      </c>
      <c r="N114" s="5" cm="1">
        <f t="array" ref="N114">IFERROR(AVERAGE(IF((DiscreteStatsTable[GroupByKey]=DiscreteStatsTable[[#This Row],[GroupByKey]]),(DiscreteStatsTable[GroupByKey]=DiscreteStatsTable[[#This Row],[GroupByKey]])*DiscreteStatsTable[Average])),0)</f>
        <v>4.2820889862359948E-2</v>
      </c>
      <c r="O114" s="5" cm="1">
        <f t="array" ref="O114">IFERROR(_xlfn.STDEV.S(IF((DiscreteStatsTable[GroupByKey]=DiscreteStatsTable[[#This Row],[GroupByKey]]),(DiscreteStatsTable[GroupByKey]=DiscreteStatsTable[[#This Row],[GroupByKey]])*DiscreteStatsTable[Average])),0)</f>
        <v>0.19150084117853694</v>
      </c>
      <c r="P114" s="5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 s="5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8.962515251308828E-2</v>
      </c>
      <c r="R114" s="5" cm="1">
        <f t="array" ref="R114">MIN(IF((DiscreteStatsTable[GroupByKey]=DiscreteStatsTable[[#This Row],[GroupByKey]]),(DiscreteStatsTable[GroupByKey]=DiscreteStatsTable[[#This Row],[GroupByKey]])*DiscreteStatsTable[Average]))</f>
        <v>0</v>
      </c>
      <c r="S114" s="5" cm="1">
        <f t="array" ref="S114">MAX(IF((DiscreteStatsTable[GroupByKey]=DiscreteStatsTable[[#This Row],[GroupByKey]]),(DiscreteStatsTable[GroupByKey]=DiscreteStatsTable[[#This Row],[GroupByKey]])*DiscreteStatsTable[Average]))</f>
        <v>0.85641779724719902</v>
      </c>
      <c r="T114" s="5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s="5" cm="1">
        <f t="array" ref="U114">MAX(IF((DiscreteStatsTable[GroupByKey]=DiscreteStatsTable[[#This Row],[GroupByKey]]),(DiscreteStatsTable[GroupByKey]=DiscreteStatsTable[[#This Row],[GroupByKey]])*DiscreteStatsTable[Maximum]))</f>
        <v>2.5692533917415998</v>
      </c>
      <c r="V114" s="5" cm="1">
        <f t="array" ref="V114">IFERROR(AVERAGE(IF((DiscreteStatsTable[GroupByKey]=DiscreteStatsTable[[#This Row],[GroupByKey]]),(DiscreteStatsTable[GroupByKey]=DiscreteStatsTable[[#This Row],[GroupByKey]])*DiscreteStatsTable[NumberObservations])),0)</f>
        <v>1.6</v>
      </c>
      <c r="W114" s="5">
        <f>IF((DiscreteStatsTable[[#This Row],[RepsRequested]]&gt;1),DiscreteStatsTable[[#This Row],[HalfWidth]],DiscreteStatsTable[[#This Row],[BatchMeansHalfWidth]])</f>
        <v>8.962515251308828E-2</v>
      </c>
      <c r="X114" s="5" cm="1">
        <f t="array" ref="X114">COUNT(IF((DiscreteStatsTable[GroupByKey]=DiscreteStatsTable[[#This Row],[GroupByKey]]),(DiscreteStatsTable[GroupByKey]=DiscreteStatsTable[[#This Row],[GroupByKey]])*DiscreteStatsTable[Replication]))</f>
        <v>20</v>
      </c>
      <c r="Y114" s="5">
        <f>IF(DiscreteStatsTable[[#This Row],[RepsRequested]]=DiscreteStatsTable[[#This Row],[RepsWithStatObserved]],1,0)</f>
        <v>0</v>
      </c>
    </row>
    <row r="115" spans="1:25" x14ac:dyDescent="0.25">
      <c r="A115" t="s">
        <v>68</v>
      </c>
      <c r="B115" t="s">
        <v>70</v>
      </c>
      <c r="C115">
        <v>26</v>
      </c>
      <c r="D115" t="s">
        <v>71</v>
      </c>
      <c r="E115" t="s">
        <v>78</v>
      </c>
      <c r="F115" t="s">
        <v>73</v>
      </c>
      <c r="G115">
        <v>0</v>
      </c>
      <c r="H115">
        <v>2E+20</v>
      </c>
      <c r="I115">
        <v>0</v>
      </c>
      <c r="J115">
        <v>0</v>
      </c>
      <c r="K115">
        <v>3</v>
      </c>
      <c r="L115" s="5" t="str">
        <f>DiscreteStatsTable[[#This Row],[ProjectName]]&amp;DiscreteStatsTable[[#This Row],[Name]]&amp;DiscreteStatsTable[[#This Row],[Type]]&amp;DiscreteStatsTable[[#This Row],[Source]]</f>
        <v>Escenario AEntity 1Wait TimeEntity</v>
      </c>
      <c r="M115" s="5" cm="1">
        <f t="array" ref="M115">MAX(IF((ProjectInfoTable[ProjectName]=DiscreteStatsTable[[#This Row],[ProjectName]]),(ProjectInfoTable[ProjectName]=DiscreteStatsTable[[#This Row],[ProjectName]])*ProjectInfoTable[NumberOfReplications]))</f>
        <v>27</v>
      </c>
      <c r="N115" s="5" cm="1">
        <f t="array" ref="N115">IFERROR(AVERAGE(IF((DiscreteStatsTable[GroupByKey]=DiscreteStatsTable[[#This Row],[GroupByKey]]),(DiscreteStatsTable[GroupByKey]=DiscreteStatsTable[[#This Row],[GroupByKey]])*DiscreteStatsTable[Average])),0)</f>
        <v>0</v>
      </c>
      <c r="O115" s="5" cm="1">
        <f t="array" ref="O115">IFERROR(_xlfn.STDEV.S(IF((DiscreteStatsTable[GroupByKey]=DiscreteStatsTable[[#This Row],[GroupByKey]]),(DiscreteStatsTable[GroupByKey]=DiscreteStatsTable[[#This Row],[GroupByKey]])*DiscreteStatsTable[Average])),0)</f>
        <v>0</v>
      </c>
      <c r="P115" s="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 s="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" s="5" cm="1">
        <f t="array" ref="R115">MIN(IF((DiscreteStatsTable[GroupByKey]=DiscreteStatsTable[[#This Row],[GroupByKey]]),(DiscreteStatsTable[GroupByKey]=DiscreteStatsTable[[#This Row],[GroupByKey]])*DiscreteStatsTable[Average]))</f>
        <v>0</v>
      </c>
      <c r="S115" s="5" cm="1">
        <f t="array" ref="S115">MAX(IF((DiscreteStatsTable[GroupByKey]=DiscreteStatsTable[[#This Row],[GroupByKey]]),(DiscreteStatsTable[GroupByKey]=DiscreteStatsTable[[#This Row],[GroupByKey]])*DiscreteStatsTable[Average]))</f>
        <v>0</v>
      </c>
      <c r="T115" s="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s="5" cm="1">
        <f t="array" ref="U115">MAX(IF((DiscreteStatsTable[GroupByKey]=DiscreteStatsTable[[#This Row],[GroupByKey]]),(DiscreteStatsTable[GroupByKey]=DiscreteStatsTable[[#This Row],[GroupByKey]])*DiscreteStatsTable[Maximum]))</f>
        <v>0</v>
      </c>
      <c r="V115" s="5" cm="1">
        <f t="array" ref="V115">IFERROR(AVERAGE(IF((DiscreteStatsTable[GroupByKey]=DiscreteStatsTable[[#This Row],[GroupByKey]]),(DiscreteStatsTable[GroupByKey]=DiscreteStatsTable[[#This Row],[GroupByKey]])*DiscreteStatsTable[NumberObservations])),0)</f>
        <v>1.6</v>
      </c>
      <c r="W115" s="5">
        <f>IF((DiscreteStatsTable[[#This Row],[RepsRequested]]&gt;1),DiscreteStatsTable[[#This Row],[HalfWidth]],DiscreteStatsTable[[#This Row],[BatchMeansHalfWidth]])</f>
        <v>0</v>
      </c>
      <c r="X115" s="5" cm="1">
        <f t="array" ref="X115">COUNT(IF((DiscreteStatsTable[GroupByKey]=DiscreteStatsTable[[#This Row],[GroupByKey]]),(DiscreteStatsTable[GroupByKey]=DiscreteStatsTable[[#This Row],[GroupByKey]])*DiscreteStatsTable[Replication]))</f>
        <v>20</v>
      </c>
      <c r="Y115" s="5">
        <f>IF(DiscreteStatsTable[[#This Row],[RepsRequested]]=DiscreteStatsTable[[#This Row],[RepsWithStatObserved]],1,0)</f>
        <v>0</v>
      </c>
    </row>
    <row r="116" spans="1:25" x14ac:dyDescent="0.25">
      <c r="A116" t="s">
        <v>68</v>
      </c>
      <c r="B116" t="s">
        <v>70</v>
      </c>
      <c r="C116">
        <v>27</v>
      </c>
      <c r="D116" t="s">
        <v>71</v>
      </c>
      <c r="E116" t="s">
        <v>72</v>
      </c>
      <c r="F116" t="s">
        <v>73</v>
      </c>
      <c r="G116">
        <v>0</v>
      </c>
      <c r="H116">
        <v>2E+20</v>
      </c>
      <c r="I116">
        <v>0</v>
      </c>
      <c r="J116">
        <v>0</v>
      </c>
      <c r="K116">
        <v>1</v>
      </c>
      <c r="L116" s="5" t="str">
        <f>DiscreteStatsTable[[#This Row],[ProjectName]]&amp;DiscreteStatsTable[[#This Row],[Name]]&amp;DiscreteStatsTable[[#This Row],[Type]]&amp;DiscreteStatsTable[[#This Row],[Source]]</f>
        <v>Escenario AEntity 1NVA TimeEntity</v>
      </c>
      <c r="M116" s="5" cm="1">
        <f t="array" ref="M116">MAX(IF((ProjectInfoTable[ProjectName]=DiscreteStatsTable[[#This Row],[ProjectName]]),(ProjectInfoTable[ProjectName]=DiscreteStatsTable[[#This Row],[ProjectName]])*ProjectInfoTable[NumberOfReplications]))</f>
        <v>27</v>
      </c>
      <c r="N116" s="5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s="5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s="5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 s="5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s="5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s="5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s="5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s="5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s="5" cm="1">
        <f t="array" ref="V116">IFERROR(AVERAGE(IF((DiscreteStatsTable[GroupByKey]=DiscreteStatsTable[[#This Row],[GroupByKey]]),(DiscreteStatsTable[GroupByKey]=DiscreteStatsTable[[#This Row],[GroupByKey]])*DiscreteStatsTable[NumberObservations])),0)</f>
        <v>1.6</v>
      </c>
      <c r="W116" s="5">
        <f>IF((DiscreteStatsTable[[#This Row],[RepsRequested]]&gt;1),DiscreteStatsTable[[#This Row],[HalfWidth]],DiscreteStatsTable[[#This Row],[BatchMeansHalfWidth]])</f>
        <v>0</v>
      </c>
      <c r="X116" s="5" cm="1">
        <f t="array" ref="X116">COUNT(IF((DiscreteStatsTable[GroupByKey]=DiscreteStatsTable[[#This Row],[GroupByKey]]),(DiscreteStatsTable[GroupByKey]=DiscreteStatsTable[[#This Row],[GroupByKey]])*DiscreteStatsTable[Replication]))</f>
        <v>20</v>
      </c>
      <c r="Y116" s="5">
        <f>IF(DiscreteStatsTable[[#This Row],[RepsRequested]]=DiscreteStatsTable[[#This Row],[RepsWithStatObserved]],1,0)</f>
        <v>0</v>
      </c>
    </row>
    <row r="117" spans="1:25" x14ac:dyDescent="0.25">
      <c r="A117" t="s">
        <v>68</v>
      </c>
      <c r="B117" t="s">
        <v>70</v>
      </c>
      <c r="C117">
        <v>27</v>
      </c>
      <c r="D117" t="s">
        <v>71</v>
      </c>
      <c r="E117" t="s">
        <v>74</v>
      </c>
      <c r="F117" t="s">
        <v>73</v>
      </c>
      <c r="G117">
        <v>18.565125338827201</v>
      </c>
      <c r="H117">
        <v>2E+20</v>
      </c>
      <c r="I117">
        <v>18.565125338827201</v>
      </c>
      <c r="J117">
        <v>18.565125338827201</v>
      </c>
      <c r="K117">
        <v>1</v>
      </c>
      <c r="L117" s="5" t="str">
        <f>DiscreteStatsTable[[#This Row],[ProjectName]]&amp;DiscreteStatsTable[[#This Row],[Name]]&amp;DiscreteStatsTable[[#This Row],[Type]]&amp;DiscreteStatsTable[[#This Row],[Source]]</f>
        <v>Escenario AEntity 1Other TimeEntity</v>
      </c>
      <c r="M117" s="5" cm="1">
        <f t="array" ref="M117">MAX(IF((ProjectInfoTable[ProjectName]=DiscreteStatsTable[[#This Row],[ProjectName]]),(ProjectInfoTable[ProjectName]=DiscreteStatsTable[[#This Row],[ProjectName]])*ProjectInfoTable[NumberOfReplications]))</f>
        <v>27</v>
      </c>
      <c r="N117" s="5" cm="1">
        <f t="array" ref="N117">IFERROR(AVERAGE(IF((DiscreteStatsTable[GroupByKey]=DiscreteStatsTable[[#This Row],[GroupByKey]]),(DiscreteStatsTable[GroupByKey]=DiscreteStatsTable[[#This Row],[GroupByKey]])*DiscreteStatsTable[Average])),0)</f>
        <v>17.668553272104692</v>
      </c>
      <c r="O117" s="5" cm="1">
        <f t="array" ref="O117">IFERROR(_xlfn.STDEV.S(IF((DiscreteStatsTable[GroupByKey]=DiscreteStatsTable[[#This Row],[GroupByKey]]),(DiscreteStatsTable[GroupByKey]=DiscreteStatsTable[[#This Row],[GroupByKey]])*DiscreteStatsTable[Average])),0)</f>
        <v>0.7694340869480476</v>
      </c>
      <c r="P117" s="5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 s="5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0.36010623748224335</v>
      </c>
      <c r="R117" s="5" cm="1">
        <f t="array" ref="R117">MIN(IF((DiscreteStatsTable[GroupByKey]=DiscreteStatsTable[[#This Row],[GroupByKey]]),(DiscreteStatsTable[GroupByKey]=DiscreteStatsTable[[#This Row],[GroupByKey]])*DiscreteStatsTable[Average]))</f>
        <v>16.5757914382995</v>
      </c>
      <c r="S117" s="5" cm="1">
        <f t="array" ref="S117">MAX(IF((DiscreteStatsTable[GroupByKey]=DiscreteStatsTable[[#This Row],[GroupByKey]]),(DiscreteStatsTable[GroupByKey]=DiscreteStatsTable[[#This Row],[GroupByKey]])*DiscreteStatsTable[Average]))</f>
        <v>18.979452995869501</v>
      </c>
      <c r="T117" s="5" cm="1">
        <f t="array" ref="T117">MIN(IF((DiscreteStatsTable[GroupByKey]=DiscreteStatsTable[[#This Row],[GroupByKey]]),(DiscreteStatsTable[GroupByKey]=DiscreteStatsTable[[#This Row],[GroupByKey]])*DiscreteStatsTable[Minimum]))</f>
        <v>16.5757914382995</v>
      </c>
      <c r="U117" s="5" cm="1">
        <f t="array" ref="U117">MAX(IF((DiscreteStatsTable[GroupByKey]=DiscreteStatsTable[[#This Row],[GroupByKey]]),(DiscreteStatsTable[GroupByKey]=DiscreteStatsTable[[#This Row],[GroupByKey]])*DiscreteStatsTable[Maximum]))</f>
        <v>19.617131394374798</v>
      </c>
      <c r="V117" s="5" cm="1">
        <f t="array" ref="V117">IFERROR(AVERAGE(IF((DiscreteStatsTable[GroupByKey]=DiscreteStatsTable[[#This Row],[GroupByKey]]),(DiscreteStatsTable[GroupByKey]=DiscreteStatsTable[[#This Row],[GroupByKey]])*DiscreteStatsTable[NumberObservations])),0)</f>
        <v>1.6</v>
      </c>
      <c r="W117" s="5">
        <f>IF((DiscreteStatsTable[[#This Row],[RepsRequested]]&gt;1),DiscreteStatsTable[[#This Row],[HalfWidth]],DiscreteStatsTable[[#This Row],[BatchMeansHalfWidth]])</f>
        <v>0.36010623748224335</v>
      </c>
      <c r="X117" s="5" cm="1">
        <f t="array" ref="X117">COUNT(IF((DiscreteStatsTable[GroupByKey]=DiscreteStatsTable[[#This Row],[GroupByKey]]),(DiscreteStatsTable[GroupByKey]=DiscreteStatsTable[[#This Row],[GroupByKey]])*DiscreteStatsTable[Replication]))</f>
        <v>20</v>
      </c>
      <c r="Y117" s="5">
        <f>IF(DiscreteStatsTable[[#This Row],[RepsRequested]]=DiscreteStatsTable[[#This Row],[RepsWithStatObserved]],1,0)</f>
        <v>0</v>
      </c>
    </row>
    <row r="118" spans="1:25" x14ac:dyDescent="0.25">
      <c r="A118" t="s">
        <v>68</v>
      </c>
      <c r="B118" t="s">
        <v>70</v>
      </c>
      <c r="C118">
        <v>27</v>
      </c>
      <c r="D118" t="s">
        <v>71</v>
      </c>
      <c r="E118" t="s">
        <v>75</v>
      </c>
      <c r="F118" t="s">
        <v>73</v>
      </c>
      <c r="G118">
        <v>18.565125338827201</v>
      </c>
      <c r="H118">
        <v>2E+20</v>
      </c>
      <c r="I118">
        <v>18.565125338827201</v>
      </c>
      <c r="J118">
        <v>18.565125338827201</v>
      </c>
      <c r="K118">
        <v>1</v>
      </c>
      <c r="L118" s="5" t="str">
        <f>DiscreteStatsTable[[#This Row],[ProjectName]]&amp;DiscreteStatsTable[[#This Row],[Name]]&amp;DiscreteStatsTable[[#This Row],[Type]]&amp;DiscreteStatsTable[[#This Row],[Source]]</f>
        <v>Escenario AEntity 1Total TimeEntity</v>
      </c>
      <c r="M118" s="5" cm="1">
        <f t="array" ref="M118">MAX(IF((ProjectInfoTable[ProjectName]=DiscreteStatsTable[[#This Row],[ProjectName]]),(ProjectInfoTable[ProjectName]=DiscreteStatsTable[[#This Row],[ProjectName]])*ProjectInfoTable[NumberOfReplications]))</f>
        <v>27</v>
      </c>
      <c r="N118" s="5" cm="1">
        <f t="array" ref="N118">IFERROR(AVERAGE(IF((DiscreteStatsTable[GroupByKey]=DiscreteStatsTable[[#This Row],[GroupByKey]]),(DiscreteStatsTable[GroupByKey]=DiscreteStatsTable[[#This Row],[GroupByKey]])*DiscreteStatsTable[Average])),0)</f>
        <v>17.711374161967051</v>
      </c>
      <c r="O118" s="5" cm="1">
        <f t="array" ref="O118">IFERROR(_xlfn.STDEV.S(IF((DiscreteStatsTable[GroupByKey]=DiscreteStatsTable[[#This Row],[GroupByKey]]),(DiscreteStatsTable[GroupByKey]=DiscreteStatsTable[[#This Row],[GroupByKey]])*DiscreteStatsTable[Average])),0)</f>
        <v>0.8290956086013278</v>
      </c>
      <c r="P118" s="5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 s="5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118" s="5" cm="1">
        <f t="array" ref="R118">MIN(IF((DiscreteStatsTable[GroupByKey]=DiscreteStatsTable[[#This Row],[GroupByKey]]),(DiscreteStatsTable[GroupByKey]=DiscreteStatsTable[[#This Row],[GroupByKey]])*DiscreteStatsTable[Average]))</f>
        <v>16.5757914382995</v>
      </c>
      <c r="S118" s="5" cm="1">
        <f t="array" ref="S118">MAX(IF((DiscreteStatsTable[GroupByKey]=DiscreteStatsTable[[#This Row],[GroupByKey]]),(DiscreteStatsTable[GroupByKey]=DiscreteStatsTable[[#This Row],[GroupByKey]])*DiscreteStatsTable[Average]))</f>
        <v>19.176092927841601</v>
      </c>
      <c r="T118" s="5" cm="1">
        <f t="array" ref="T118">MIN(IF((DiscreteStatsTable[GroupByKey]=DiscreteStatsTable[[#This Row],[GroupByKey]]),(DiscreteStatsTable[GroupByKey]=DiscreteStatsTable[[#This Row],[GroupByKey]])*DiscreteStatsTable[Minimum]))</f>
        <v>16.5757914382995</v>
      </c>
      <c r="U118" s="5" cm="1">
        <f t="array" ref="U118">MAX(IF((DiscreteStatsTable[GroupByKey]=DiscreteStatsTable[[#This Row],[GroupByKey]]),(DiscreteStatsTable[GroupByKey]=DiscreteStatsTable[[#This Row],[GroupByKey]])*DiscreteStatsTable[Maximum]))</f>
        <v>21.300704209721701</v>
      </c>
      <c r="V118" s="5" cm="1">
        <f t="array" ref="V118">IFERROR(AVERAGE(IF((DiscreteStatsTable[GroupByKey]=DiscreteStatsTable[[#This Row],[GroupByKey]]),(DiscreteStatsTable[GroupByKey]=DiscreteStatsTable[[#This Row],[GroupByKey]])*DiscreteStatsTable[NumberObservations])),0)</f>
        <v>1.6</v>
      </c>
      <c r="W118" s="5">
        <f>IF((DiscreteStatsTable[[#This Row],[RepsRequested]]&gt;1),DiscreteStatsTable[[#This Row],[HalfWidth]],DiscreteStatsTable[[#This Row],[BatchMeansHalfWidth]])</f>
        <v>0.38802868912491251</v>
      </c>
      <c r="X118" s="5" cm="1">
        <f t="array" ref="X118">COUNT(IF((DiscreteStatsTable[GroupByKey]=DiscreteStatsTable[[#This Row],[GroupByKey]]),(DiscreteStatsTable[GroupByKey]=DiscreteStatsTable[[#This Row],[GroupByKey]])*DiscreteStatsTable[Replication]))</f>
        <v>20</v>
      </c>
      <c r="Y118" s="5">
        <f>IF(DiscreteStatsTable[[#This Row],[RepsRequested]]=DiscreteStatsTable[[#This Row],[RepsWithStatObserved]],1,0)</f>
        <v>0</v>
      </c>
    </row>
    <row r="119" spans="1:25" x14ac:dyDescent="0.25">
      <c r="A119" t="s">
        <v>68</v>
      </c>
      <c r="B119" t="s">
        <v>70</v>
      </c>
      <c r="C119">
        <v>27</v>
      </c>
      <c r="D119" t="s">
        <v>71</v>
      </c>
      <c r="E119" t="s">
        <v>76</v>
      </c>
      <c r="F119" t="s">
        <v>73</v>
      </c>
      <c r="G119">
        <v>0</v>
      </c>
      <c r="H119">
        <v>2E+20</v>
      </c>
      <c r="I119">
        <v>0</v>
      </c>
      <c r="J119">
        <v>0</v>
      </c>
      <c r="K119">
        <v>1</v>
      </c>
      <c r="L119" s="5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119" s="5" cm="1">
        <f t="array" ref="M119">MAX(IF((ProjectInfoTable[ProjectName]=DiscreteStatsTable[[#This Row],[ProjectName]]),(ProjectInfoTable[ProjectName]=DiscreteStatsTable[[#This Row],[ProjectName]])*ProjectInfoTable[NumberOfReplications]))</f>
        <v>27</v>
      </c>
      <c r="N119" s="5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s="5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s="5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 s="5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s="5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s="5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s="5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s="5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s="5" cm="1">
        <f t="array" ref="V119">IFERROR(AVERAGE(IF((DiscreteStatsTable[GroupByKey]=DiscreteStatsTable[[#This Row],[GroupByKey]]),(DiscreteStatsTable[GroupByKey]=DiscreteStatsTable[[#This Row],[GroupByKey]])*DiscreteStatsTable[NumberObservations])),0)</f>
        <v>1.6</v>
      </c>
      <c r="W119" s="5">
        <f>IF((DiscreteStatsTable[[#This Row],[RepsRequested]]&gt;1),DiscreteStatsTable[[#This Row],[HalfWidth]],DiscreteStatsTable[[#This Row],[BatchMeansHalfWidth]])</f>
        <v>0</v>
      </c>
      <c r="X119" s="5" cm="1">
        <f t="array" ref="X119">COUNT(IF((DiscreteStatsTable[GroupByKey]=DiscreteStatsTable[[#This Row],[GroupByKey]]),(DiscreteStatsTable[GroupByKey]=DiscreteStatsTable[[#This Row],[GroupByKey]])*DiscreteStatsTable[Replication]))</f>
        <v>20</v>
      </c>
      <c r="Y119" s="5">
        <f>IF(DiscreteStatsTable[[#This Row],[RepsRequested]]=DiscreteStatsTable[[#This Row],[RepsWithStatObserved]],1,0)</f>
        <v>0</v>
      </c>
    </row>
    <row r="120" spans="1:25" x14ac:dyDescent="0.25">
      <c r="A120" t="s">
        <v>68</v>
      </c>
      <c r="B120" t="s">
        <v>70</v>
      </c>
      <c r="C120">
        <v>27</v>
      </c>
      <c r="D120" t="s">
        <v>71</v>
      </c>
      <c r="E120" t="s">
        <v>77</v>
      </c>
      <c r="F120" t="s">
        <v>73</v>
      </c>
      <c r="G120">
        <v>0</v>
      </c>
      <c r="H120">
        <v>2E+20</v>
      </c>
      <c r="I120">
        <v>0</v>
      </c>
      <c r="J120">
        <v>0</v>
      </c>
      <c r="K120">
        <v>1</v>
      </c>
      <c r="L120" s="5" t="str">
        <f>DiscreteStatsTable[[#This Row],[ProjectName]]&amp;DiscreteStatsTable[[#This Row],[Name]]&amp;DiscreteStatsTable[[#This Row],[Type]]&amp;DiscreteStatsTable[[#This Row],[Source]]</f>
        <v>Escenario AEntity 1VA TimeEntity</v>
      </c>
      <c r="M120" s="5" cm="1">
        <f t="array" ref="M120">MAX(IF((ProjectInfoTable[ProjectName]=DiscreteStatsTable[[#This Row],[ProjectName]]),(ProjectInfoTable[ProjectName]=DiscreteStatsTable[[#This Row],[ProjectName]])*ProjectInfoTable[NumberOfReplications]))</f>
        <v>27</v>
      </c>
      <c r="N120" s="5" cm="1">
        <f t="array" ref="N120">IFERROR(AVERAGE(IF((DiscreteStatsTable[GroupByKey]=DiscreteStatsTable[[#This Row],[GroupByKey]]),(DiscreteStatsTable[GroupByKey]=DiscreteStatsTable[[#This Row],[GroupByKey]])*DiscreteStatsTable[Average])),0)</f>
        <v>4.2820889862359948E-2</v>
      </c>
      <c r="O120" s="5" cm="1">
        <f t="array" ref="O120">IFERROR(_xlfn.STDEV.S(IF((DiscreteStatsTable[GroupByKey]=DiscreteStatsTable[[#This Row],[GroupByKey]]),(DiscreteStatsTable[GroupByKey]=DiscreteStatsTable[[#This Row],[GroupByKey]])*DiscreteStatsTable[Average])),0)</f>
        <v>0.19150084117853694</v>
      </c>
      <c r="P120" s="5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 s="5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8.962515251308828E-2</v>
      </c>
      <c r="R120" s="5" cm="1">
        <f t="array" ref="R120">MIN(IF((DiscreteStatsTable[GroupByKey]=DiscreteStatsTable[[#This Row],[GroupByKey]]),(DiscreteStatsTable[GroupByKey]=DiscreteStatsTable[[#This Row],[GroupByKey]])*DiscreteStatsTable[Average]))</f>
        <v>0</v>
      </c>
      <c r="S120" s="5" cm="1">
        <f t="array" ref="S120">MAX(IF((DiscreteStatsTable[GroupByKey]=DiscreteStatsTable[[#This Row],[GroupByKey]]),(DiscreteStatsTable[GroupByKey]=DiscreteStatsTable[[#This Row],[GroupByKey]])*DiscreteStatsTable[Average]))</f>
        <v>0.85641779724719902</v>
      </c>
      <c r="T120" s="5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s="5" cm="1">
        <f t="array" ref="U120">MAX(IF((DiscreteStatsTable[GroupByKey]=DiscreteStatsTable[[#This Row],[GroupByKey]]),(DiscreteStatsTable[GroupByKey]=DiscreteStatsTable[[#This Row],[GroupByKey]])*DiscreteStatsTable[Maximum]))</f>
        <v>2.5692533917415998</v>
      </c>
      <c r="V120" s="5" cm="1">
        <f t="array" ref="V120">IFERROR(AVERAGE(IF((DiscreteStatsTable[GroupByKey]=DiscreteStatsTable[[#This Row],[GroupByKey]]),(DiscreteStatsTable[GroupByKey]=DiscreteStatsTable[[#This Row],[GroupByKey]])*DiscreteStatsTable[NumberObservations])),0)</f>
        <v>1.6</v>
      </c>
      <c r="W120" s="5">
        <f>IF((DiscreteStatsTable[[#This Row],[RepsRequested]]&gt;1),DiscreteStatsTable[[#This Row],[HalfWidth]],DiscreteStatsTable[[#This Row],[BatchMeansHalfWidth]])</f>
        <v>8.962515251308828E-2</v>
      </c>
      <c r="X120" s="5" cm="1">
        <f t="array" ref="X120">COUNT(IF((DiscreteStatsTable[GroupByKey]=DiscreteStatsTable[[#This Row],[GroupByKey]]),(DiscreteStatsTable[GroupByKey]=DiscreteStatsTable[[#This Row],[GroupByKey]])*DiscreteStatsTable[Replication]))</f>
        <v>20</v>
      </c>
      <c r="Y120" s="5">
        <f>IF(DiscreteStatsTable[[#This Row],[RepsRequested]]=DiscreteStatsTable[[#This Row],[RepsWithStatObserved]],1,0)</f>
        <v>0</v>
      </c>
    </row>
    <row r="121" spans="1:25" x14ac:dyDescent="0.25">
      <c r="A121" t="s">
        <v>68</v>
      </c>
      <c r="B121" t="s">
        <v>70</v>
      </c>
      <c r="C121">
        <v>27</v>
      </c>
      <c r="D121" t="s">
        <v>71</v>
      </c>
      <c r="E121" t="s">
        <v>78</v>
      </c>
      <c r="F121" t="s">
        <v>73</v>
      </c>
      <c r="G121">
        <v>0</v>
      </c>
      <c r="H121">
        <v>2E+20</v>
      </c>
      <c r="I121">
        <v>0</v>
      </c>
      <c r="J121">
        <v>0</v>
      </c>
      <c r="K121">
        <v>1</v>
      </c>
      <c r="L121" s="5" t="str">
        <f>DiscreteStatsTable[[#This Row],[ProjectName]]&amp;DiscreteStatsTable[[#This Row],[Name]]&amp;DiscreteStatsTable[[#This Row],[Type]]&amp;DiscreteStatsTable[[#This Row],[Source]]</f>
        <v>Escenario AEntity 1Wait TimeEntity</v>
      </c>
      <c r="M121" s="5" cm="1">
        <f t="array" ref="M121">MAX(IF((ProjectInfoTable[ProjectName]=DiscreteStatsTable[[#This Row],[ProjectName]]),(ProjectInfoTable[ProjectName]=DiscreteStatsTable[[#This Row],[ProjectName]])*ProjectInfoTable[NumberOfReplications]))</f>
        <v>27</v>
      </c>
      <c r="N121" s="5" cm="1">
        <f t="array" ref="N121">IFERROR(AVERAGE(IF((DiscreteStatsTable[GroupByKey]=DiscreteStatsTable[[#This Row],[GroupByKey]]),(DiscreteStatsTable[GroupByKey]=DiscreteStatsTable[[#This Row],[GroupByKey]])*DiscreteStatsTable[Average])),0)</f>
        <v>0</v>
      </c>
      <c r="O121" s="5" cm="1">
        <f t="array" ref="O121">IFERROR(_xlfn.STDEV.S(IF((DiscreteStatsTable[GroupByKey]=DiscreteStatsTable[[#This Row],[GroupByKey]]),(DiscreteStatsTable[GroupByKey]=DiscreteStatsTable[[#This Row],[GroupByKey]])*DiscreteStatsTable[Average])),0)</f>
        <v>0</v>
      </c>
      <c r="P121" s="5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 s="5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" s="5" cm="1">
        <f t="array" ref="R121">MIN(IF((DiscreteStatsTable[GroupByKey]=DiscreteStatsTable[[#This Row],[GroupByKey]]),(DiscreteStatsTable[GroupByKey]=DiscreteStatsTable[[#This Row],[GroupByKey]])*DiscreteStatsTable[Average]))</f>
        <v>0</v>
      </c>
      <c r="S121" s="5" cm="1">
        <f t="array" ref="S121">MAX(IF((DiscreteStatsTable[GroupByKey]=DiscreteStatsTable[[#This Row],[GroupByKey]]),(DiscreteStatsTable[GroupByKey]=DiscreteStatsTable[[#This Row],[GroupByKey]])*DiscreteStatsTable[Average]))</f>
        <v>0</v>
      </c>
      <c r="T121" s="5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s="5" cm="1">
        <f t="array" ref="U121">MAX(IF((DiscreteStatsTable[GroupByKey]=DiscreteStatsTable[[#This Row],[GroupByKey]]),(DiscreteStatsTable[GroupByKey]=DiscreteStatsTable[[#This Row],[GroupByKey]])*DiscreteStatsTable[Maximum]))</f>
        <v>0</v>
      </c>
      <c r="V121" s="5" cm="1">
        <f t="array" ref="V121">IFERROR(AVERAGE(IF((DiscreteStatsTable[GroupByKey]=DiscreteStatsTable[[#This Row],[GroupByKey]]),(DiscreteStatsTable[GroupByKey]=DiscreteStatsTable[[#This Row],[GroupByKey]])*DiscreteStatsTable[NumberObservations])),0)</f>
        <v>1.6</v>
      </c>
      <c r="W121" s="5">
        <f>IF((DiscreteStatsTable[[#This Row],[RepsRequested]]&gt;1),DiscreteStatsTable[[#This Row],[HalfWidth]],DiscreteStatsTable[[#This Row],[BatchMeansHalfWidth]])</f>
        <v>0</v>
      </c>
      <c r="X121" s="5" cm="1">
        <f t="array" ref="X121">COUNT(IF((DiscreteStatsTable[GroupByKey]=DiscreteStatsTable[[#This Row],[GroupByKey]]),(DiscreteStatsTable[GroupByKey]=DiscreteStatsTable[[#This Row],[GroupByKey]])*DiscreteStatsTable[Replication]))</f>
        <v>20</v>
      </c>
      <c r="Y121" s="5">
        <f>IF(DiscreteStatsTable[[#This Row],[RepsRequested]]=DiscreteStatsTable[[#This Row],[RepsWithStatObserved]],1,0)</f>
        <v>0</v>
      </c>
    </row>
    <row r="122" spans="1:25" x14ac:dyDescent="0.25">
      <c r="A122" t="s">
        <v>68</v>
      </c>
      <c r="B122" t="s">
        <v>70</v>
      </c>
      <c r="C122">
        <v>1</v>
      </c>
      <c r="D122" t="s">
        <v>79</v>
      </c>
      <c r="E122" t="s">
        <v>80</v>
      </c>
      <c r="F122" t="s">
        <v>81</v>
      </c>
      <c r="G122">
        <v>0</v>
      </c>
      <c r="H122">
        <v>2E+20</v>
      </c>
      <c r="I122">
        <v>0</v>
      </c>
      <c r="J122">
        <v>0</v>
      </c>
      <c r="K122">
        <v>3</v>
      </c>
      <c r="L122" s="5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27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1.6666666666666667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21</v>
      </c>
      <c r="Y122" s="5">
        <f>IF(DiscreteStatsTable[[#This Row],[RepsRequested]]=DiscreteStatsTable[[#This Row],[RepsWithStatObserved]],1,0)</f>
        <v>0</v>
      </c>
    </row>
    <row r="123" spans="1:25" x14ac:dyDescent="0.25">
      <c r="A123" t="s">
        <v>68</v>
      </c>
      <c r="B123" t="s">
        <v>70</v>
      </c>
      <c r="C123">
        <v>2</v>
      </c>
      <c r="D123" t="s">
        <v>79</v>
      </c>
      <c r="E123" t="s">
        <v>80</v>
      </c>
      <c r="F123" t="s">
        <v>81</v>
      </c>
      <c r="G123">
        <v>0</v>
      </c>
      <c r="H123">
        <v>2E+20</v>
      </c>
      <c r="I123">
        <v>0</v>
      </c>
      <c r="J123">
        <v>0</v>
      </c>
      <c r="K123">
        <v>2</v>
      </c>
      <c r="L123" s="5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27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1.6666666666666667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21</v>
      </c>
      <c r="Y123" s="5">
        <f>IF(DiscreteStatsTable[[#This Row],[RepsRequested]]=DiscreteStatsTable[[#This Row],[RepsWithStatObserved]],1,0)</f>
        <v>0</v>
      </c>
    </row>
    <row r="124" spans="1:25" x14ac:dyDescent="0.25">
      <c r="A124" t="s">
        <v>68</v>
      </c>
      <c r="B124" t="s">
        <v>70</v>
      </c>
      <c r="C124">
        <v>3</v>
      </c>
      <c r="D124" t="s">
        <v>79</v>
      </c>
      <c r="E124" t="s">
        <v>80</v>
      </c>
      <c r="F124" t="s">
        <v>81</v>
      </c>
      <c r="G124">
        <v>0</v>
      </c>
      <c r="H124">
        <v>2E+20</v>
      </c>
      <c r="I124">
        <v>0</v>
      </c>
      <c r="J124">
        <v>0</v>
      </c>
      <c r="K124">
        <v>1</v>
      </c>
      <c r="L124" s="5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27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0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0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0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0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0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0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1.6666666666666667</v>
      </c>
      <c r="W124" s="5">
        <f>IF((DiscreteStatsTable[[#This Row],[RepsRequested]]&gt;1),DiscreteStatsTable[[#This Row],[HalfWidth]],DiscreteStatsTable[[#This Row],[BatchMeansHalfWidth]])</f>
        <v>0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21</v>
      </c>
      <c r="Y124" s="5">
        <f>IF(DiscreteStatsTable[[#This Row],[RepsRequested]]=DiscreteStatsTable[[#This Row],[RepsWithStatObserved]],1,0)</f>
        <v>0</v>
      </c>
    </row>
    <row r="125" spans="1:25" x14ac:dyDescent="0.25">
      <c r="A125" t="s">
        <v>68</v>
      </c>
      <c r="B125" t="s">
        <v>70</v>
      </c>
      <c r="C125">
        <v>4</v>
      </c>
      <c r="D125" t="s">
        <v>79</v>
      </c>
      <c r="E125" t="s">
        <v>80</v>
      </c>
      <c r="F125" t="s">
        <v>81</v>
      </c>
      <c r="G125">
        <v>0</v>
      </c>
      <c r="H125">
        <v>2E+20</v>
      </c>
      <c r="I125">
        <v>0</v>
      </c>
      <c r="J125">
        <v>0</v>
      </c>
      <c r="K125">
        <v>3</v>
      </c>
      <c r="L125" s="5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27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1.6666666666666667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21</v>
      </c>
      <c r="Y125" s="5">
        <f>IF(DiscreteStatsTable[[#This Row],[RepsRequested]]=DiscreteStatsTable[[#This Row],[RepsWithStatObserved]],1,0)</f>
        <v>0</v>
      </c>
    </row>
    <row r="126" spans="1:25" x14ac:dyDescent="0.25">
      <c r="A126" t="s">
        <v>68</v>
      </c>
      <c r="B126" t="s">
        <v>70</v>
      </c>
      <c r="C126">
        <v>7</v>
      </c>
      <c r="D126" t="s">
        <v>79</v>
      </c>
      <c r="E126" t="s">
        <v>80</v>
      </c>
      <c r="F126" t="s">
        <v>81</v>
      </c>
      <c r="G126">
        <v>0</v>
      </c>
      <c r="H126">
        <v>2E+20</v>
      </c>
      <c r="I126">
        <v>0</v>
      </c>
      <c r="J126">
        <v>0</v>
      </c>
      <c r="K126">
        <v>1</v>
      </c>
      <c r="L126" s="5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27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0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0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0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0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0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1.6666666666666667</v>
      </c>
      <c r="W126" s="5">
        <f>IF((DiscreteStatsTable[[#This Row],[RepsRequested]]&gt;1),DiscreteStatsTable[[#This Row],[HalfWidth]],DiscreteStatsTable[[#This Row],[BatchMeansHalfWidth]])</f>
        <v>0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21</v>
      </c>
      <c r="Y126" s="5">
        <f>IF(DiscreteStatsTable[[#This Row],[RepsRequested]]=DiscreteStatsTable[[#This Row],[RepsWithStatObserved]],1,0)</f>
        <v>0</v>
      </c>
    </row>
    <row r="127" spans="1:25" x14ac:dyDescent="0.25">
      <c r="A127" t="s">
        <v>68</v>
      </c>
      <c r="B127" t="s">
        <v>70</v>
      </c>
      <c r="C127">
        <v>8</v>
      </c>
      <c r="D127" t="s">
        <v>79</v>
      </c>
      <c r="E127" t="s">
        <v>80</v>
      </c>
      <c r="F127" t="s">
        <v>81</v>
      </c>
      <c r="G127">
        <v>0</v>
      </c>
      <c r="H127">
        <v>2E+20</v>
      </c>
      <c r="I127">
        <v>0</v>
      </c>
      <c r="J127">
        <v>0</v>
      </c>
      <c r="K127">
        <v>1</v>
      </c>
      <c r="L127" s="5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27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0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0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0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1.6666666666666667</v>
      </c>
      <c r="W127" s="5">
        <f>IF((DiscreteStatsTable[[#This Row],[RepsRequested]]&gt;1),DiscreteStatsTable[[#This Row],[HalfWidth]],DiscreteStatsTable[[#This Row],[BatchMeansHalfWidth]])</f>
        <v>0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21</v>
      </c>
      <c r="Y127" s="5">
        <f>IF(DiscreteStatsTable[[#This Row],[RepsRequested]]=DiscreteStatsTable[[#This Row],[RepsWithStatObserved]],1,0)</f>
        <v>0</v>
      </c>
    </row>
    <row r="128" spans="1:25" x14ac:dyDescent="0.25">
      <c r="A128" t="s">
        <v>68</v>
      </c>
      <c r="B128" t="s">
        <v>70</v>
      </c>
      <c r="C128">
        <v>10</v>
      </c>
      <c r="D128" t="s">
        <v>79</v>
      </c>
      <c r="E128" t="s">
        <v>80</v>
      </c>
      <c r="F128" t="s">
        <v>81</v>
      </c>
      <c r="G128">
        <v>0</v>
      </c>
      <c r="H128">
        <v>2E+20</v>
      </c>
      <c r="I128">
        <v>0</v>
      </c>
      <c r="J128">
        <v>0</v>
      </c>
      <c r="K128">
        <v>2</v>
      </c>
      <c r="L128" s="5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27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1.6666666666666667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21</v>
      </c>
      <c r="Y128" s="5">
        <f>IF(DiscreteStatsTable[[#This Row],[RepsRequested]]=DiscreteStatsTable[[#This Row],[RepsWithStatObserved]],1,0)</f>
        <v>0</v>
      </c>
    </row>
    <row r="129" spans="1:25" x14ac:dyDescent="0.25">
      <c r="A129" t="s">
        <v>68</v>
      </c>
      <c r="B129" t="s">
        <v>70</v>
      </c>
      <c r="C129">
        <v>11</v>
      </c>
      <c r="D129" t="s">
        <v>79</v>
      </c>
      <c r="E129" t="s">
        <v>80</v>
      </c>
      <c r="F129" t="s">
        <v>81</v>
      </c>
      <c r="G129">
        <v>0</v>
      </c>
      <c r="H129">
        <v>2E+20</v>
      </c>
      <c r="I129">
        <v>0</v>
      </c>
      <c r="J129">
        <v>0</v>
      </c>
      <c r="K129">
        <v>1</v>
      </c>
      <c r="L129" s="5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27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1.6666666666666667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21</v>
      </c>
      <c r="Y129" s="5">
        <f>IF(DiscreteStatsTable[[#This Row],[RepsRequested]]=DiscreteStatsTable[[#This Row],[RepsWithStatObserved]],1,0)</f>
        <v>0</v>
      </c>
    </row>
    <row r="130" spans="1:25" x14ac:dyDescent="0.25">
      <c r="A130" t="s">
        <v>68</v>
      </c>
      <c r="B130" t="s">
        <v>70</v>
      </c>
      <c r="C130">
        <v>12</v>
      </c>
      <c r="D130" t="s">
        <v>79</v>
      </c>
      <c r="E130" t="s">
        <v>80</v>
      </c>
      <c r="F130" t="s">
        <v>81</v>
      </c>
      <c r="G130">
        <v>0</v>
      </c>
      <c r="H130">
        <v>2E+20</v>
      </c>
      <c r="I130">
        <v>0</v>
      </c>
      <c r="J130">
        <v>0</v>
      </c>
      <c r="K130">
        <v>1</v>
      </c>
      <c r="L130" s="5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27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0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0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0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0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0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0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1.6666666666666667</v>
      </c>
      <c r="W130" s="5">
        <f>IF((DiscreteStatsTable[[#This Row],[RepsRequested]]&gt;1),DiscreteStatsTable[[#This Row],[HalfWidth]],DiscreteStatsTable[[#This Row],[BatchMeansHalfWidth]])</f>
        <v>0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21</v>
      </c>
      <c r="Y130" s="5">
        <f>IF(DiscreteStatsTable[[#This Row],[RepsRequested]]=DiscreteStatsTable[[#This Row],[RepsWithStatObserved]],1,0)</f>
        <v>0</v>
      </c>
    </row>
    <row r="131" spans="1:25" x14ac:dyDescent="0.25">
      <c r="A131" t="s">
        <v>68</v>
      </c>
      <c r="B131" t="s">
        <v>70</v>
      </c>
      <c r="C131">
        <v>13</v>
      </c>
      <c r="D131" t="s">
        <v>79</v>
      </c>
      <c r="E131" t="s">
        <v>80</v>
      </c>
      <c r="F131" t="s">
        <v>81</v>
      </c>
      <c r="G131">
        <v>0</v>
      </c>
      <c r="H131">
        <v>2E+20</v>
      </c>
      <c r="I131">
        <v>0</v>
      </c>
      <c r="J131">
        <v>0</v>
      </c>
      <c r="K131">
        <v>2</v>
      </c>
      <c r="L131" s="5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27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1.6666666666666667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21</v>
      </c>
      <c r="Y131" s="5">
        <f>IF(DiscreteStatsTable[[#This Row],[RepsRequested]]=DiscreteStatsTable[[#This Row],[RepsWithStatObserved]],1,0)</f>
        <v>0</v>
      </c>
    </row>
    <row r="132" spans="1:25" x14ac:dyDescent="0.25">
      <c r="A132" t="s">
        <v>68</v>
      </c>
      <c r="B132" t="s">
        <v>70</v>
      </c>
      <c r="C132">
        <v>14</v>
      </c>
      <c r="D132" t="s">
        <v>79</v>
      </c>
      <c r="E132" t="s">
        <v>80</v>
      </c>
      <c r="F132" t="s">
        <v>81</v>
      </c>
      <c r="G132">
        <v>0</v>
      </c>
      <c r="H132">
        <v>2E+20</v>
      </c>
      <c r="I132">
        <v>0</v>
      </c>
      <c r="J132">
        <v>0</v>
      </c>
      <c r="K132">
        <v>1</v>
      </c>
      <c r="L132" s="5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27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0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0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0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0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0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1.6666666666666667</v>
      </c>
      <c r="W132" s="5">
        <f>IF((DiscreteStatsTable[[#This Row],[RepsRequested]]&gt;1),DiscreteStatsTable[[#This Row],[HalfWidth]],DiscreteStatsTable[[#This Row],[BatchMeansHalfWidth]])</f>
        <v>0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21</v>
      </c>
      <c r="Y132" s="5">
        <f>IF(DiscreteStatsTable[[#This Row],[RepsRequested]]=DiscreteStatsTable[[#This Row],[RepsWithStatObserved]],1,0)</f>
        <v>0</v>
      </c>
    </row>
    <row r="133" spans="1:25" x14ac:dyDescent="0.25">
      <c r="A133" t="s">
        <v>68</v>
      </c>
      <c r="B133" t="s">
        <v>70</v>
      </c>
      <c r="C133">
        <v>15</v>
      </c>
      <c r="D133" t="s">
        <v>79</v>
      </c>
      <c r="E133" t="s">
        <v>80</v>
      </c>
      <c r="F133" t="s">
        <v>81</v>
      </c>
      <c r="G133">
        <v>0</v>
      </c>
      <c r="H133">
        <v>2E+20</v>
      </c>
      <c r="I133">
        <v>0</v>
      </c>
      <c r="J133">
        <v>0</v>
      </c>
      <c r="K133">
        <v>1</v>
      </c>
      <c r="L133" s="5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27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0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0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1.6666666666666667</v>
      </c>
      <c r="W133" s="5">
        <f>IF((DiscreteStatsTable[[#This Row],[RepsRequested]]&gt;1),DiscreteStatsTable[[#This Row],[HalfWidth]],DiscreteStatsTable[[#This Row],[BatchMeansHalfWidth]])</f>
        <v>0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21</v>
      </c>
      <c r="Y133" s="5">
        <f>IF(DiscreteStatsTable[[#This Row],[RepsRequested]]=DiscreteStatsTable[[#This Row],[RepsWithStatObserved]],1,0)</f>
        <v>0</v>
      </c>
    </row>
    <row r="134" spans="1:25" x14ac:dyDescent="0.25">
      <c r="A134" t="s">
        <v>68</v>
      </c>
      <c r="B134" t="s">
        <v>70</v>
      </c>
      <c r="C134">
        <v>17</v>
      </c>
      <c r="D134" t="s">
        <v>79</v>
      </c>
      <c r="E134" t="s">
        <v>80</v>
      </c>
      <c r="F134" t="s">
        <v>81</v>
      </c>
      <c r="G134">
        <v>0</v>
      </c>
      <c r="H134">
        <v>2E+20</v>
      </c>
      <c r="I134">
        <v>0</v>
      </c>
      <c r="J134">
        <v>0</v>
      </c>
      <c r="K134">
        <v>1</v>
      </c>
      <c r="L134" s="5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27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1.6666666666666667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21</v>
      </c>
      <c r="Y134" s="5">
        <f>IF(DiscreteStatsTable[[#This Row],[RepsRequested]]=DiscreteStatsTable[[#This Row],[RepsWithStatObserved]],1,0)</f>
        <v>0</v>
      </c>
    </row>
    <row r="135" spans="1:25" x14ac:dyDescent="0.25">
      <c r="A135" t="s">
        <v>68</v>
      </c>
      <c r="B135" t="s">
        <v>70</v>
      </c>
      <c r="C135">
        <v>18</v>
      </c>
      <c r="D135" t="s">
        <v>79</v>
      </c>
      <c r="E135" t="s">
        <v>80</v>
      </c>
      <c r="F135" t="s">
        <v>81</v>
      </c>
      <c r="G135">
        <v>0</v>
      </c>
      <c r="H135">
        <v>2E+20</v>
      </c>
      <c r="I135">
        <v>0</v>
      </c>
      <c r="J135">
        <v>0</v>
      </c>
      <c r="K135">
        <v>1</v>
      </c>
      <c r="L135" s="5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27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1.6666666666666667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21</v>
      </c>
      <c r="Y135" s="5">
        <f>IF(DiscreteStatsTable[[#This Row],[RepsRequested]]=DiscreteStatsTable[[#This Row],[RepsWithStatObserved]],1,0)</f>
        <v>0</v>
      </c>
    </row>
    <row r="136" spans="1:25" x14ac:dyDescent="0.25">
      <c r="A136" t="s">
        <v>68</v>
      </c>
      <c r="B136" t="s">
        <v>70</v>
      </c>
      <c r="C136">
        <v>19</v>
      </c>
      <c r="D136" t="s">
        <v>79</v>
      </c>
      <c r="E136" t="s">
        <v>80</v>
      </c>
      <c r="F136" t="s">
        <v>81</v>
      </c>
      <c r="G136">
        <v>0</v>
      </c>
      <c r="H136">
        <v>2E+20</v>
      </c>
      <c r="I136">
        <v>0</v>
      </c>
      <c r="J136">
        <v>0</v>
      </c>
      <c r="K136">
        <v>2</v>
      </c>
      <c r="L136" s="5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27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0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0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0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0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0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0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1.6666666666666667</v>
      </c>
      <c r="W136" s="5">
        <f>IF((DiscreteStatsTable[[#This Row],[RepsRequested]]&gt;1),DiscreteStatsTable[[#This Row],[HalfWidth]],DiscreteStatsTable[[#This Row],[BatchMeansHalfWidth]])</f>
        <v>0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21</v>
      </c>
      <c r="Y136" s="5">
        <f>IF(DiscreteStatsTable[[#This Row],[RepsRequested]]=DiscreteStatsTable[[#This Row],[RepsWithStatObserved]],1,0)</f>
        <v>0</v>
      </c>
    </row>
    <row r="137" spans="1:25" x14ac:dyDescent="0.25">
      <c r="A137" t="s">
        <v>68</v>
      </c>
      <c r="B137" t="s">
        <v>70</v>
      </c>
      <c r="C137">
        <v>20</v>
      </c>
      <c r="D137" t="s">
        <v>79</v>
      </c>
      <c r="E137" t="s">
        <v>80</v>
      </c>
      <c r="F137" t="s">
        <v>81</v>
      </c>
      <c r="G137">
        <v>0</v>
      </c>
      <c r="H137">
        <v>2E+20</v>
      </c>
      <c r="I137">
        <v>0</v>
      </c>
      <c r="J137">
        <v>0</v>
      </c>
      <c r="K137">
        <v>1</v>
      </c>
      <c r="L137" s="5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27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1.6666666666666667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21</v>
      </c>
      <c r="Y137" s="5">
        <f>IF(DiscreteStatsTable[[#This Row],[RepsRequested]]=DiscreteStatsTable[[#This Row],[RepsWithStatObserved]],1,0)</f>
        <v>0</v>
      </c>
    </row>
    <row r="138" spans="1:25" x14ac:dyDescent="0.25">
      <c r="A138" t="s">
        <v>68</v>
      </c>
      <c r="B138" t="s">
        <v>70</v>
      </c>
      <c r="C138">
        <v>21</v>
      </c>
      <c r="D138" t="s">
        <v>79</v>
      </c>
      <c r="E138" t="s">
        <v>80</v>
      </c>
      <c r="F138" t="s">
        <v>81</v>
      </c>
      <c r="G138">
        <v>0</v>
      </c>
      <c r="H138">
        <v>2E+20</v>
      </c>
      <c r="I138">
        <v>0</v>
      </c>
      <c r="J138">
        <v>0</v>
      </c>
      <c r="K138">
        <v>1</v>
      </c>
      <c r="L138" s="5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27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0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0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0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0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0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1.6666666666666667</v>
      </c>
      <c r="W138" s="5">
        <f>IF((DiscreteStatsTable[[#This Row],[RepsRequested]]&gt;1),DiscreteStatsTable[[#This Row],[HalfWidth]],DiscreteStatsTable[[#This Row],[BatchMeansHalfWidth]])</f>
        <v>0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21</v>
      </c>
      <c r="Y138" s="5">
        <f>IF(DiscreteStatsTable[[#This Row],[RepsRequested]]=DiscreteStatsTable[[#This Row],[RepsWithStatObserved]],1,0)</f>
        <v>0</v>
      </c>
    </row>
    <row r="139" spans="1:25" x14ac:dyDescent="0.25">
      <c r="A139" t="s">
        <v>68</v>
      </c>
      <c r="B139" t="s">
        <v>70</v>
      </c>
      <c r="C139">
        <v>22</v>
      </c>
      <c r="D139" t="s">
        <v>79</v>
      </c>
      <c r="E139" t="s">
        <v>80</v>
      </c>
      <c r="F139" t="s">
        <v>81</v>
      </c>
      <c r="G139">
        <v>0</v>
      </c>
      <c r="H139">
        <v>2E+20</v>
      </c>
      <c r="I139">
        <v>0</v>
      </c>
      <c r="J139">
        <v>0</v>
      </c>
      <c r="K139">
        <v>1</v>
      </c>
      <c r="L139" s="5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27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0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0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1.6666666666666667</v>
      </c>
      <c r="W139" s="5">
        <f>IF((DiscreteStatsTable[[#This Row],[RepsRequested]]&gt;1),DiscreteStatsTable[[#This Row],[HalfWidth]],DiscreteStatsTable[[#This Row],[BatchMeansHalfWidth]])</f>
        <v>0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21</v>
      </c>
      <c r="Y139" s="5">
        <f>IF(DiscreteStatsTable[[#This Row],[RepsRequested]]=DiscreteStatsTable[[#This Row],[RepsWithStatObserved]],1,0)</f>
        <v>0</v>
      </c>
    </row>
    <row r="140" spans="1:25" x14ac:dyDescent="0.25">
      <c r="A140" t="s">
        <v>68</v>
      </c>
      <c r="B140" t="s">
        <v>70</v>
      </c>
      <c r="C140">
        <v>25</v>
      </c>
      <c r="D140" t="s">
        <v>79</v>
      </c>
      <c r="E140" t="s">
        <v>80</v>
      </c>
      <c r="F140" t="s">
        <v>81</v>
      </c>
      <c r="G140">
        <v>0</v>
      </c>
      <c r="H140">
        <v>2E+20</v>
      </c>
      <c r="I140">
        <v>0</v>
      </c>
      <c r="J140">
        <v>0</v>
      </c>
      <c r="K140">
        <v>5</v>
      </c>
      <c r="L140" s="5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27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1.6666666666666667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21</v>
      </c>
      <c r="Y140" s="5">
        <f>IF(DiscreteStatsTable[[#This Row],[RepsRequested]]=DiscreteStatsTable[[#This Row],[RepsWithStatObserved]],1,0)</f>
        <v>0</v>
      </c>
    </row>
    <row r="141" spans="1:25" x14ac:dyDescent="0.25">
      <c r="A141" t="s">
        <v>68</v>
      </c>
      <c r="B141" t="s">
        <v>70</v>
      </c>
      <c r="C141">
        <v>26</v>
      </c>
      <c r="D141" t="s">
        <v>79</v>
      </c>
      <c r="E141" t="s">
        <v>80</v>
      </c>
      <c r="F141" t="s">
        <v>81</v>
      </c>
      <c r="G141">
        <v>0</v>
      </c>
      <c r="H141">
        <v>2E+20</v>
      </c>
      <c r="I141">
        <v>0</v>
      </c>
      <c r="J141">
        <v>0</v>
      </c>
      <c r="K141">
        <v>3</v>
      </c>
      <c r="L141" s="5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27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1.6666666666666667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21</v>
      </c>
      <c r="Y141" s="5">
        <f>IF(DiscreteStatsTable[[#This Row],[RepsRequested]]=DiscreteStatsTable[[#This Row],[RepsWithStatObserved]],1,0)</f>
        <v>0</v>
      </c>
    </row>
    <row r="142" spans="1:25" x14ac:dyDescent="0.25">
      <c r="A142" t="s">
        <v>68</v>
      </c>
      <c r="B142" t="s">
        <v>70</v>
      </c>
      <c r="C142">
        <v>27</v>
      </c>
      <c r="D142" t="s">
        <v>79</v>
      </c>
      <c r="E142" t="s">
        <v>80</v>
      </c>
      <c r="F142" t="s">
        <v>81</v>
      </c>
      <c r="G142">
        <v>0</v>
      </c>
      <c r="H142">
        <v>2E+20</v>
      </c>
      <c r="I142">
        <v>0</v>
      </c>
      <c r="J142">
        <v>0</v>
      </c>
      <c r="K142">
        <v>1</v>
      </c>
      <c r="L142" s="5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27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0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0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0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0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0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0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1.6666666666666667</v>
      </c>
      <c r="W142" s="5">
        <f>IF((DiscreteStatsTable[[#This Row],[RepsRequested]]&gt;1),DiscreteStatsTable[[#This Row],[HalfWidth]],DiscreteStatsTable[[#This Row],[BatchMeansHalfWidth]])</f>
        <v>0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21</v>
      </c>
      <c r="Y142" s="5">
        <f>IF(DiscreteStatsTable[[#This Row],[RepsRequested]]=DiscreteStatsTable[[#This Row],[RepsWithStatObserved]],1,0)</f>
        <v>0</v>
      </c>
    </row>
    <row r="143" spans="1:25" x14ac:dyDescent="0.25">
      <c r="A143" t="s">
        <v>68</v>
      </c>
      <c r="B143" t="s">
        <v>70</v>
      </c>
      <c r="C143">
        <v>4</v>
      </c>
      <c r="D143" t="s">
        <v>85</v>
      </c>
      <c r="E143" t="s">
        <v>86</v>
      </c>
      <c r="F143" t="s">
        <v>87</v>
      </c>
      <c r="G143">
        <v>2.5692533917415998</v>
      </c>
      <c r="H143">
        <v>2E+20</v>
      </c>
      <c r="I143">
        <v>2.5692533917415998</v>
      </c>
      <c r="J143">
        <v>2.5692533917415998</v>
      </c>
      <c r="K143">
        <v>1</v>
      </c>
      <c r="L143" s="5" t="str">
        <f>DiscreteStatsTable[[#This Row],[ProjectName]]&amp;DiscreteStatsTable[[#This Row],[Name]]&amp;DiscreteStatsTable[[#This Row],[Type]]&amp;DiscreteStatsTable[[#This Row],[Source]]</f>
        <v>Escenario ASeguimiemtoTotal Time Per EntityProcess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27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2.5692533917415998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2E+20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2.5692533917415998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2.5692533917415998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2.5692533917415998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2.5692533917415998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1</v>
      </c>
      <c r="W143" s="5">
        <f>IF((DiscreteStatsTable[[#This Row],[RepsRequested]]&gt;1),DiscreteStatsTable[[#This Row],[HalfWidth]],DiscreteStatsTable[[#This Row],[BatchMeansHalfWidth]])</f>
        <v>2E+20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1</v>
      </c>
      <c r="Y143" s="5">
        <f>IF(DiscreteStatsTable[[#This Row],[RepsRequested]]=DiscreteStatsTable[[#This Row],[RepsWithStatObserved]],1,0)</f>
        <v>0</v>
      </c>
    </row>
    <row r="144" spans="1:25" x14ac:dyDescent="0.25">
      <c r="A144" t="s">
        <v>68</v>
      </c>
      <c r="B144" t="s">
        <v>70</v>
      </c>
      <c r="C144">
        <v>4</v>
      </c>
      <c r="D144" t="s">
        <v>85</v>
      </c>
      <c r="E144" t="s">
        <v>88</v>
      </c>
      <c r="F144" t="s">
        <v>87</v>
      </c>
      <c r="G144">
        <v>2.5692533917415998</v>
      </c>
      <c r="H144">
        <v>2E+20</v>
      </c>
      <c r="I144">
        <v>2.5692533917415998</v>
      </c>
      <c r="J144">
        <v>2.5692533917415998</v>
      </c>
      <c r="K144">
        <v>1</v>
      </c>
      <c r="L144" s="5" t="str">
        <f>DiscreteStatsTable[[#This Row],[ProjectName]]&amp;DiscreteStatsTable[[#This Row],[Name]]&amp;DiscreteStatsTable[[#This Row],[Type]]&amp;DiscreteStatsTable[[#This Row],[Source]]</f>
        <v>Escenario ASeguimiemtoVA Time Per EntityProcess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27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2.5692533917415998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0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2E+20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2.5692533917415998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2.5692533917415998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2.5692533917415998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2.5692533917415998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1</v>
      </c>
      <c r="W144" s="5">
        <f>IF((DiscreteStatsTable[[#This Row],[RepsRequested]]&gt;1),DiscreteStatsTable[[#This Row],[HalfWidth]],DiscreteStatsTable[[#This Row],[BatchMeansHalfWidth]])</f>
        <v>2E+20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1</v>
      </c>
      <c r="Y144" s="5">
        <f>IF(DiscreteStatsTable[[#This Row],[RepsRequested]]=DiscreteStatsTable[[#This Row],[RepsWithStatObserved]],1,0)</f>
        <v>0</v>
      </c>
    </row>
    <row r="145" spans="1:25" x14ac:dyDescent="0.25">
      <c r="A145" t="s">
        <v>68</v>
      </c>
      <c r="B145" t="s">
        <v>70</v>
      </c>
      <c r="C145">
        <v>4</v>
      </c>
      <c r="D145" t="s">
        <v>85</v>
      </c>
      <c r="E145" t="s">
        <v>89</v>
      </c>
      <c r="F145" t="s">
        <v>87</v>
      </c>
      <c r="G145">
        <v>0</v>
      </c>
      <c r="H145">
        <v>2E+20</v>
      </c>
      <c r="I145">
        <v>0</v>
      </c>
      <c r="J145">
        <v>0</v>
      </c>
      <c r="K145">
        <v>1</v>
      </c>
      <c r="L145" s="5" t="str">
        <f>DiscreteStatsTable[[#This Row],[ProjectName]]&amp;DiscreteStatsTable[[#This Row],[Name]]&amp;DiscreteStatsTable[[#This Row],[Type]]&amp;DiscreteStatsTable[[#This Row],[Source]]</f>
        <v>Escenario ASeguimiemtoWait Time Per EntityProcess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27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0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2E+20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0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0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1</v>
      </c>
      <c r="W145" s="5">
        <f>IF((DiscreteStatsTable[[#This Row],[RepsRequested]]&gt;1),DiscreteStatsTable[[#This Row],[HalfWidth]],DiscreteStatsTable[[#This Row],[BatchMeansHalfWidth]])</f>
        <v>2E+20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1</v>
      </c>
      <c r="Y145" s="5">
        <f>IF(DiscreteStatsTable[[#This Row],[RepsRequested]]=DiscreteStatsTable[[#This Row],[RepsWithStatObserved]],1,0)</f>
        <v>0</v>
      </c>
    </row>
    <row r="146" spans="1:25" x14ac:dyDescent="0.25">
      <c r="A146" t="s">
        <v>68</v>
      </c>
      <c r="B146" t="s">
        <v>70</v>
      </c>
      <c r="C146">
        <v>4</v>
      </c>
      <c r="D146" t="s">
        <v>90</v>
      </c>
      <c r="E146" t="s">
        <v>80</v>
      </c>
      <c r="F146" t="s">
        <v>81</v>
      </c>
      <c r="G146">
        <v>0</v>
      </c>
      <c r="H146">
        <v>2E+20</v>
      </c>
      <c r="I146">
        <v>0</v>
      </c>
      <c r="J146">
        <v>0</v>
      </c>
      <c r="K146">
        <v>1</v>
      </c>
      <c r="L146" s="5" t="str">
        <f>DiscreteStatsTable[[#This Row],[ProjectName]]&amp;DiscreteStatsTable[[#This Row],[Name]]&amp;DiscreteStatsTable[[#This Row],[Type]]&amp;DiscreteStatsTable[[#This Row],[Source]]</f>
        <v>Escenario ASeguimiemto.QueueWaiting TimeQueue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27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2E+20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1</v>
      </c>
      <c r="W146" s="5">
        <f>IF((DiscreteStatsTable[[#This Row],[RepsRequested]]&gt;1),DiscreteStatsTable[[#This Row],[HalfWidth]],DiscreteStatsTable[[#This Row],[BatchMeansHalfWidth]])</f>
        <v>2E+20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1</v>
      </c>
      <c r="Y146" s="5">
        <f>IF(DiscreteStatsTable[[#This Row],[RepsRequested]]=DiscreteStatsTable[[#This Row],[RepsWithStatObserved]],1,0)</f>
        <v>0</v>
      </c>
    </row>
    <row r="147" spans="1:25" x14ac:dyDescent="0.25">
      <c r="A147" t="s">
        <v>68</v>
      </c>
      <c r="B147" t="s">
        <v>70</v>
      </c>
      <c r="C147">
        <v>1</v>
      </c>
      <c r="D147" t="s">
        <v>82</v>
      </c>
      <c r="E147" t="s">
        <v>83</v>
      </c>
      <c r="F147" t="s">
        <v>84</v>
      </c>
      <c r="G147">
        <v>18.886049902007901</v>
      </c>
      <c r="H147">
        <v>2E+20</v>
      </c>
      <c r="I147">
        <v>18.324527681677498</v>
      </c>
      <c r="J147">
        <v>19.4305747859087</v>
      </c>
      <c r="K147">
        <v>3</v>
      </c>
      <c r="L147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27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17.711374161967051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0.8290956086013278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16.5757914382995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19.176092927841601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16.5757914382995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21.300704209721701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1.6</v>
      </c>
      <c r="W147" s="5">
        <f>IF((DiscreteStatsTable[[#This Row],[RepsRequested]]&gt;1),DiscreteStatsTable[[#This Row],[HalfWidth]],DiscreteStatsTable[[#This Row],[BatchMeansHalfWidth]])</f>
        <v>0.38802868912491251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20</v>
      </c>
      <c r="Y147" s="5">
        <f>IF(DiscreteStatsTable[[#This Row],[RepsRequested]]=DiscreteStatsTable[[#This Row],[RepsWithStatObserved]],1,0)</f>
        <v>0</v>
      </c>
    </row>
    <row r="148" spans="1:25" x14ac:dyDescent="0.25">
      <c r="A148" t="s">
        <v>68</v>
      </c>
      <c r="B148" t="s">
        <v>70</v>
      </c>
      <c r="C148">
        <v>2</v>
      </c>
      <c r="D148" t="s">
        <v>82</v>
      </c>
      <c r="E148" t="s">
        <v>83</v>
      </c>
      <c r="F148" t="s">
        <v>84</v>
      </c>
      <c r="G148">
        <v>17.738110381311198</v>
      </c>
      <c r="H148">
        <v>2E+20</v>
      </c>
      <c r="I148">
        <v>17.493616209112599</v>
      </c>
      <c r="J148">
        <v>17.982604553509798</v>
      </c>
      <c r="K148">
        <v>2</v>
      </c>
      <c r="L148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27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17.711374161967051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0.8290956086013278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16.5757914382995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19.176092927841601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16.5757914382995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21.300704209721701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1.6</v>
      </c>
      <c r="W148" s="5">
        <f>IF((DiscreteStatsTable[[#This Row],[RepsRequested]]&gt;1),DiscreteStatsTable[[#This Row],[HalfWidth]],DiscreteStatsTable[[#This Row],[BatchMeansHalfWidth]])</f>
        <v>0.38802868912491251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20</v>
      </c>
      <c r="Y148" s="5">
        <f>IF(DiscreteStatsTable[[#This Row],[RepsRequested]]=DiscreteStatsTable[[#This Row],[RepsWithStatObserved]],1,0)</f>
        <v>0</v>
      </c>
    </row>
    <row r="149" spans="1:25" x14ac:dyDescent="0.25">
      <c r="A149" t="s">
        <v>68</v>
      </c>
      <c r="B149" t="s">
        <v>70</v>
      </c>
      <c r="C149">
        <v>3</v>
      </c>
      <c r="D149" t="s">
        <v>82</v>
      </c>
      <c r="E149" t="s">
        <v>83</v>
      </c>
      <c r="F149" t="s">
        <v>84</v>
      </c>
      <c r="G149">
        <v>17.523386000474598</v>
      </c>
      <c r="H149">
        <v>2E+20</v>
      </c>
      <c r="I149">
        <v>17.523386000474598</v>
      </c>
      <c r="J149">
        <v>17.523386000474598</v>
      </c>
      <c r="K149">
        <v>1</v>
      </c>
      <c r="L149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27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17.711374161967051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0.8290956086013278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16.5757914382995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19.176092927841601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16.5757914382995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21.300704209721701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1.6</v>
      </c>
      <c r="W149" s="5">
        <f>IF((DiscreteStatsTable[[#This Row],[RepsRequested]]&gt;1),DiscreteStatsTable[[#This Row],[HalfWidth]],DiscreteStatsTable[[#This Row],[BatchMeansHalfWidth]])</f>
        <v>0.38802868912491251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20</v>
      </c>
      <c r="Y149" s="5">
        <f>IF(DiscreteStatsTable[[#This Row],[RepsRequested]]=DiscreteStatsTable[[#This Row],[RepsWithStatObserved]],1,0)</f>
        <v>0</v>
      </c>
    </row>
    <row r="150" spans="1:25" x14ac:dyDescent="0.25">
      <c r="A150" t="s">
        <v>68</v>
      </c>
      <c r="B150" t="s">
        <v>70</v>
      </c>
      <c r="C150">
        <v>4</v>
      </c>
      <c r="D150" t="s">
        <v>82</v>
      </c>
      <c r="E150" t="s">
        <v>83</v>
      </c>
      <c r="F150" t="s">
        <v>84</v>
      </c>
      <c r="G150">
        <v>19.176092927841601</v>
      </c>
      <c r="H150">
        <v>2E+20</v>
      </c>
      <c r="I150">
        <v>17.299039419173798</v>
      </c>
      <c r="J150">
        <v>21.300704209721701</v>
      </c>
      <c r="K150">
        <v>3</v>
      </c>
      <c r="L150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27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17.711374161967051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0.8290956086013278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16.5757914382995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19.176092927841601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16.5757914382995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21.300704209721701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1.6</v>
      </c>
      <c r="W150" s="5">
        <f>IF((DiscreteStatsTable[[#This Row],[RepsRequested]]&gt;1),DiscreteStatsTable[[#This Row],[HalfWidth]],DiscreteStatsTable[[#This Row],[BatchMeansHalfWidth]])</f>
        <v>0.38802868912491251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20</v>
      </c>
      <c r="Y150" s="5">
        <f>IF(DiscreteStatsTable[[#This Row],[RepsRequested]]=DiscreteStatsTable[[#This Row],[RepsWithStatObserved]],1,0)</f>
        <v>0</v>
      </c>
    </row>
    <row r="151" spans="1:25" x14ac:dyDescent="0.25">
      <c r="A151" t="s">
        <v>68</v>
      </c>
      <c r="B151" t="s">
        <v>70</v>
      </c>
      <c r="C151">
        <v>7</v>
      </c>
      <c r="D151" t="s">
        <v>82</v>
      </c>
      <c r="E151" t="s">
        <v>83</v>
      </c>
      <c r="F151" t="s">
        <v>84</v>
      </c>
      <c r="G151">
        <v>16.8725050194498</v>
      </c>
      <c r="H151">
        <v>2E+20</v>
      </c>
      <c r="I151">
        <v>16.8725050194498</v>
      </c>
      <c r="J151">
        <v>16.8725050194498</v>
      </c>
      <c r="K151">
        <v>1</v>
      </c>
      <c r="L151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27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17.711374161967051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0.8290956086013278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16.5757914382995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19.176092927841601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16.5757914382995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21.300704209721701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1.6</v>
      </c>
      <c r="W151" s="5">
        <f>IF((DiscreteStatsTable[[#This Row],[RepsRequested]]&gt;1),DiscreteStatsTable[[#This Row],[HalfWidth]],DiscreteStatsTable[[#This Row],[BatchMeansHalfWidth]])</f>
        <v>0.38802868912491251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20</v>
      </c>
      <c r="Y151" s="5">
        <f>IF(DiscreteStatsTable[[#This Row],[RepsRequested]]=DiscreteStatsTable[[#This Row],[RepsWithStatObserved]],1,0)</f>
        <v>0</v>
      </c>
    </row>
    <row r="152" spans="1:25" x14ac:dyDescent="0.25">
      <c r="A152" t="s">
        <v>68</v>
      </c>
      <c r="B152" t="s">
        <v>70</v>
      </c>
      <c r="C152">
        <v>8</v>
      </c>
      <c r="D152" t="s">
        <v>82</v>
      </c>
      <c r="E152" t="s">
        <v>83</v>
      </c>
      <c r="F152" t="s">
        <v>84</v>
      </c>
      <c r="G152">
        <v>16.6739399111169</v>
      </c>
      <c r="H152">
        <v>2E+20</v>
      </c>
      <c r="I152">
        <v>16.6739399111169</v>
      </c>
      <c r="J152">
        <v>16.6739399111169</v>
      </c>
      <c r="K152">
        <v>1</v>
      </c>
      <c r="L152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27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17.711374161967051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0.8290956086013278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16.5757914382995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19.176092927841601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16.5757914382995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21.300704209721701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1.6</v>
      </c>
      <c r="W152" s="5">
        <f>IF((DiscreteStatsTable[[#This Row],[RepsRequested]]&gt;1),DiscreteStatsTable[[#This Row],[HalfWidth]],DiscreteStatsTable[[#This Row],[BatchMeansHalfWidth]])</f>
        <v>0.38802868912491251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20</v>
      </c>
      <c r="Y152" s="5">
        <f>IF(DiscreteStatsTable[[#This Row],[RepsRequested]]=DiscreteStatsTable[[#This Row],[RepsWithStatObserved]],1,0)</f>
        <v>0</v>
      </c>
    </row>
    <row r="153" spans="1:25" x14ac:dyDescent="0.25">
      <c r="A153" t="s">
        <v>68</v>
      </c>
      <c r="B153" t="s">
        <v>70</v>
      </c>
      <c r="C153">
        <v>10</v>
      </c>
      <c r="D153" t="s">
        <v>82</v>
      </c>
      <c r="E153" t="s">
        <v>83</v>
      </c>
      <c r="F153" t="s">
        <v>84</v>
      </c>
      <c r="G153">
        <v>18.979452995869501</v>
      </c>
      <c r="H153">
        <v>2E+20</v>
      </c>
      <c r="I153">
        <v>18.3417745973641</v>
      </c>
      <c r="J153">
        <v>19.617131394374798</v>
      </c>
      <c r="K153">
        <v>2</v>
      </c>
      <c r="L153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27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17.711374161967051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0.8290956086013278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16.5757914382995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19.176092927841601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16.5757914382995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21.300704209721701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1.6</v>
      </c>
      <c r="W153" s="5">
        <f>IF((DiscreteStatsTable[[#This Row],[RepsRequested]]&gt;1),DiscreteStatsTable[[#This Row],[HalfWidth]],DiscreteStatsTable[[#This Row],[BatchMeansHalfWidth]])</f>
        <v>0.38802868912491251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20</v>
      </c>
      <c r="Y153" s="5">
        <f>IF(DiscreteStatsTable[[#This Row],[RepsRequested]]=DiscreteStatsTable[[#This Row],[RepsWithStatObserved]],1,0)</f>
        <v>0</v>
      </c>
    </row>
    <row r="154" spans="1:25" x14ac:dyDescent="0.25">
      <c r="A154" t="s">
        <v>68</v>
      </c>
      <c r="B154" t="s">
        <v>70</v>
      </c>
      <c r="C154">
        <v>11</v>
      </c>
      <c r="D154" t="s">
        <v>82</v>
      </c>
      <c r="E154" t="s">
        <v>83</v>
      </c>
      <c r="F154" t="s">
        <v>84</v>
      </c>
      <c r="G154">
        <v>16.693029126386701</v>
      </c>
      <c r="H154">
        <v>2E+20</v>
      </c>
      <c r="I154">
        <v>16.693029126386701</v>
      </c>
      <c r="J154">
        <v>16.693029126386701</v>
      </c>
      <c r="K154">
        <v>1</v>
      </c>
      <c r="L154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27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17.711374161967051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0.8290956086013278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16.5757914382995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19.176092927841601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16.5757914382995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21.300704209721701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1.6</v>
      </c>
      <c r="W154" s="5">
        <f>IF((DiscreteStatsTable[[#This Row],[RepsRequested]]&gt;1),DiscreteStatsTable[[#This Row],[HalfWidth]],DiscreteStatsTable[[#This Row],[BatchMeansHalfWidth]])</f>
        <v>0.38802868912491251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20</v>
      </c>
      <c r="Y154" s="5">
        <f>IF(DiscreteStatsTable[[#This Row],[RepsRequested]]=DiscreteStatsTable[[#This Row],[RepsWithStatObserved]],1,0)</f>
        <v>0</v>
      </c>
    </row>
    <row r="155" spans="1:25" x14ac:dyDescent="0.25">
      <c r="A155" t="s">
        <v>68</v>
      </c>
      <c r="B155" t="s">
        <v>70</v>
      </c>
      <c r="C155">
        <v>12</v>
      </c>
      <c r="D155" t="s">
        <v>82</v>
      </c>
      <c r="E155" t="s">
        <v>83</v>
      </c>
      <c r="F155" t="s">
        <v>84</v>
      </c>
      <c r="G155">
        <v>18.169635334280699</v>
      </c>
      <c r="H155">
        <v>2E+20</v>
      </c>
      <c r="I155">
        <v>18.169635334280699</v>
      </c>
      <c r="J155">
        <v>18.169635334280699</v>
      </c>
      <c r="K155">
        <v>1</v>
      </c>
      <c r="L155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27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17.711374161967051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0.8290956086013278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16.5757914382995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19.176092927841601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16.5757914382995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21.300704209721701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1.6</v>
      </c>
      <c r="W155" s="5">
        <f>IF((DiscreteStatsTable[[#This Row],[RepsRequested]]&gt;1),DiscreteStatsTable[[#This Row],[HalfWidth]],DiscreteStatsTable[[#This Row],[BatchMeansHalfWidth]])</f>
        <v>0.38802868912491251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20</v>
      </c>
      <c r="Y155" s="5">
        <f>IF(DiscreteStatsTable[[#This Row],[RepsRequested]]=DiscreteStatsTable[[#This Row],[RepsWithStatObserved]],1,0)</f>
        <v>0</v>
      </c>
    </row>
    <row r="156" spans="1:25" x14ac:dyDescent="0.25">
      <c r="A156" t="s">
        <v>68</v>
      </c>
      <c r="B156" t="s">
        <v>70</v>
      </c>
      <c r="C156">
        <v>13</v>
      </c>
      <c r="D156" t="s">
        <v>82</v>
      </c>
      <c r="E156" t="s">
        <v>83</v>
      </c>
      <c r="F156" t="s">
        <v>84</v>
      </c>
      <c r="G156">
        <v>18.661433463056099</v>
      </c>
      <c r="H156">
        <v>2E+20</v>
      </c>
      <c r="I156">
        <v>18.591636099247602</v>
      </c>
      <c r="J156">
        <v>18.731230826864699</v>
      </c>
      <c r="K156">
        <v>2</v>
      </c>
      <c r="L156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27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17.711374161967051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0.8290956086013278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16.5757914382995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19.176092927841601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16.5757914382995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21.300704209721701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1.6</v>
      </c>
      <c r="W156" s="5">
        <f>IF((DiscreteStatsTable[[#This Row],[RepsRequested]]&gt;1),DiscreteStatsTable[[#This Row],[HalfWidth]],DiscreteStatsTable[[#This Row],[BatchMeansHalfWidth]])</f>
        <v>0.38802868912491251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20</v>
      </c>
      <c r="Y156" s="5">
        <f>IF(DiscreteStatsTable[[#This Row],[RepsRequested]]=DiscreteStatsTable[[#This Row],[RepsWithStatObserved]],1,0)</f>
        <v>0</v>
      </c>
    </row>
    <row r="157" spans="1:25" x14ac:dyDescent="0.25">
      <c r="A157" t="s">
        <v>68</v>
      </c>
      <c r="B157" t="s">
        <v>70</v>
      </c>
      <c r="C157">
        <v>14</v>
      </c>
      <c r="D157" t="s">
        <v>82</v>
      </c>
      <c r="E157" t="s">
        <v>83</v>
      </c>
      <c r="F157" t="s">
        <v>84</v>
      </c>
      <c r="G157">
        <v>17.067983747803201</v>
      </c>
      <c r="H157">
        <v>2E+20</v>
      </c>
      <c r="I157">
        <v>17.067983747803201</v>
      </c>
      <c r="J157">
        <v>17.067983747803201</v>
      </c>
      <c r="K157">
        <v>1</v>
      </c>
      <c r="L157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27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17.711374161967051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0.8290956086013278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16.5757914382995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19.176092927841601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16.5757914382995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21.300704209721701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1.6</v>
      </c>
      <c r="W157" s="5">
        <f>IF((DiscreteStatsTable[[#This Row],[RepsRequested]]&gt;1),DiscreteStatsTable[[#This Row],[HalfWidth]],DiscreteStatsTable[[#This Row],[BatchMeansHalfWidth]])</f>
        <v>0.38802868912491251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20</v>
      </c>
      <c r="Y157" s="5">
        <f>IF(DiscreteStatsTable[[#This Row],[RepsRequested]]=DiscreteStatsTable[[#This Row],[RepsWithStatObserved]],1,0)</f>
        <v>0</v>
      </c>
    </row>
    <row r="158" spans="1:25" x14ac:dyDescent="0.25">
      <c r="A158" t="s">
        <v>68</v>
      </c>
      <c r="B158" t="s">
        <v>70</v>
      </c>
      <c r="C158">
        <v>15</v>
      </c>
      <c r="D158" t="s">
        <v>82</v>
      </c>
      <c r="E158" t="s">
        <v>83</v>
      </c>
      <c r="F158" t="s">
        <v>84</v>
      </c>
      <c r="G158">
        <v>17.311578823887501</v>
      </c>
      <c r="H158">
        <v>2E+20</v>
      </c>
      <c r="I158">
        <v>17.311578823887501</v>
      </c>
      <c r="J158">
        <v>17.311578823887501</v>
      </c>
      <c r="K158">
        <v>1</v>
      </c>
      <c r="L158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27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17.711374161967051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0.8290956086013278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16.5757914382995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19.176092927841601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16.5757914382995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21.300704209721701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1.6</v>
      </c>
      <c r="W158" s="5">
        <f>IF((DiscreteStatsTable[[#This Row],[RepsRequested]]&gt;1),DiscreteStatsTable[[#This Row],[HalfWidth]],DiscreteStatsTable[[#This Row],[BatchMeansHalfWidth]])</f>
        <v>0.38802868912491251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20</v>
      </c>
      <c r="Y158" s="5">
        <f>IF(DiscreteStatsTable[[#This Row],[RepsRequested]]=DiscreteStatsTable[[#This Row],[RepsWithStatObserved]],1,0)</f>
        <v>0</v>
      </c>
    </row>
    <row r="159" spans="1:25" x14ac:dyDescent="0.25">
      <c r="A159" t="s">
        <v>68</v>
      </c>
      <c r="B159" t="s">
        <v>70</v>
      </c>
      <c r="C159">
        <v>17</v>
      </c>
      <c r="D159" t="s">
        <v>82</v>
      </c>
      <c r="E159" t="s">
        <v>83</v>
      </c>
      <c r="F159" t="s">
        <v>84</v>
      </c>
      <c r="G159">
        <v>17.761626703940699</v>
      </c>
      <c r="H159">
        <v>2E+20</v>
      </c>
      <c r="I159">
        <v>17.761626703940699</v>
      </c>
      <c r="J159">
        <v>17.761626703940699</v>
      </c>
      <c r="K159">
        <v>1</v>
      </c>
      <c r="L159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27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17.711374161967051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0.8290956086013278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16.5757914382995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19.176092927841601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16.5757914382995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21.300704209721701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1.6</v>
      </c>
      <c r="W159" s="5">
        <f>IF((DiscreteStatsTable[[#This Row],[RepsRequested]]&gt;1),DiscreteStatsTable[[#This Row],[HalfWidth]],DiscreteStatsTable[[#This Row],[BatchMeansHalfWidth]])</f>
        <v>0.38802868912491251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20</v>
      </c>
      <c r="Y159" s="5">
        <f>IF(DiscreteStatsTable[[#This Row],[RepsRequested]]=DiscreteStatsTable[[#This Row],[RepsWithStatObserved]],1,0)</f>
        <v>0</v>
      </c>
    </row>
    <row r="160" spans="1:25" x14ac:dyDescent="0.25">
      <c r="A160" t="s">
        <v>68</v>
      </c>
      <c r="B160" t="s">
        <v>70</v>
      </c>
      <c r="C160">
        <v>18</v>
      </c>
      <c r="D160" t="s">
        <v>82</v>
      </c>
      <c r="E160" t="s">
        <v>83</v>
      </c>
      <c r="F160" t="s">
        <v>84</v>
      </c>
      <c r="G160">
        <v>17.4562839593588</v>
      </c>
      <c r="H160">
        <v>2E+20</v>
      </c>
      <c r="I160">
        <v>17.4562839593588</v>
      </c>
      <c r="J160">
        <v>17.4562839593588</v>
      </c>
      <c r="K160">
        <v>1</v>
      </c>
      <c r="L160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27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17.711374161967051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0.8290956086013278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16.5757914382995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19.176092927841601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16.5757914382995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21.300704209721701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1.6</v>
      </c>
      <c r="W160" s="5">
        <f>IF((DiscreteStatsTable[[#This Row],[RepsRequested]]&gt;1),DiscreteStatsTable[[#This Row],[HalfWidth]],DiscreteStatsTable[[#This Row],[BatchMeansHalfWidth]])</f>
        <v>0.38802868912491251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20</v>
      </c>
      <c r="Y160" s="5">
        <f>IF(DiscreteStatsTable[[#This Row],[RepsRequested]]=DiscreteStatsTable[[#This Row],[RepsWithStatObserved]],1,0)</f>
        <v>0</v>
      </c>
    </row>
    <row r="161" spans="1:25" x14ac:dyDescent="0.25">
      <c r="A161" t="s">
        <v>68</v>
      </c>
      <c r="B161" t="s">
        <v>70</v>
      </c>
      <c r="C161">
        <v>19</v>
      </c>
      <c r="D161" t="s">
        <v>82</v>
      </c>
      <c r="E161" t="s">
        <v>83</v>
      </c>
      <c r="F161" t="s">
        <v>84</v>
      </c>
      <c r="G161">
        <v>16.950650950040099</v>
      </c>
      <c r="H161">
        <v>2E+20</v>
      </c>
      <c r="I161">
        <v>16.950650950040099</v>
      </c>
      <c r="J161">
        <v>16.950650950040099</v>
      </c>
      <c r="K161">
        <v>1</v>
      </c>
      <c r="L161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27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17.711374161967051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0.8290956086013278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16.5757914382995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19.176092927841601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16.5757914382995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21.300704209721701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1.6</v>
      </c>
      <c r="W161" s="5">
        <f>IF((DiscreteStatsTable[[#This Row],[RepsRequested]]&gt;1),DiscreteStatsTable[[#This Row],[HalfWidth]],DiscreteStatsTable[[#This Row],[BatchMeansHalfWidth]])</f>
        <v>0.38802868912491251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20</v>
      </c>
      <c r="Y161" s="5">
        <f>IF(DiscreteStatsTable[[#This Row],[RepsRequested]]=DiscreteStatsTable[[#This Row],[RepsWithStatObserved]],1,0)</f>
        <v>0</v>
      </c>
    </row>
    <row r="162" spans="1:25" x14ac:dyDescent="0.25">
      <c r="A162" t="s">
        <v>68</v>
      </c>
      <c r="B162" t="s">
        <v>70</v>
      </c>
      <c r="C162">
        <v>20</v>
      </c>
      <c r="D162" t="s">
        <v>82</v>
      </c>
      <c r="E162" t="s">
        <v>83</v>
      </c>
      <c r="F162" t="s">
        <v>84</v>
      </c>
      <c r="G162">
        <v>17.079311801843598</v>
      </c>
      <c r="H162">
        <v>2E+20</v>
      </c>
      <c r="I162">
        <v>17.079311801843598</v>
      </c>
      <c r="J162">
        <v>17.079311801843598</v>
      </c>
      <c r="K162">
        <v>1</v>
      </c>
      <c r="L162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27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17.711374161967051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0.8290956086013278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16.5757914382995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19.176092927841601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16.5757914382995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21.300704209721701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1.6</v>
      </c>
      <c r="W162" s="5">
        <f>IF((DiscreteStatsTable[[#This Row],[RepsRequested]]&gt;1),DiscreteStatsTable[[#This Row],[HalfWidth]],DiscreteStatsTable[[#This Row],[BatchMeansHalfWidth]])</f>
        <v>0.38802868912491251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20</v>
      </c>
      <c r="Y162" s="5">
        <f>IF(DiscreteStatsTable[[#This Row],[RepsRequested]]=DiscreteStatsTable[[#This Row],[RepsWithStatObserved]],1,0)</f>
        <v>0</v>
      </c>
    </row>
    <row r="163" spans="1:25" x14ac:dyDescent="0.25">
      <c r="A163" t="s">
        <v>68</v>
      </c>
      <c r="B163" t="s">
        <v>70</v>
      </c>
      <c r="C163">
        <v>21</v>
      </c>
      <c r="D163" t="s">
        <v>82</v>
      </c>
      <c r="E163" t="s">
        <v>83</v>
      </c>
      <c r="F163" t="s">
        <v>84</v>
      </c>
      <c r="G163">
        <v>16.5757914382995</v>
      </c>
      <c r="H163">
        <v>2E+20</v>
      </c>
      <c r="I163">
        <v>16.5757914382995</v>
      </c>
      <c r="J163">
        <v>16.5757914382995</v>
      </c>
      <c r="K163">
        <v>1</v>
      </c>
      <c r="L163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27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17.711374161967051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0.8290956086013278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16.5757914382995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19.176092927841601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16.5757914382995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21.300704209721701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1.6</v>
      </c>
      <c r="W163" s="5">
        <f>IF((DiscreteStatsTable[[#This Row],[RepsRequested]]&gt;1),DiscreteStatsTable[[#This Row],[HalfWidth]],DiscreteStatsTable[[#This Row],[BatchMeansHalfWidth]])</f>
        <v>0.38802868912491251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20</v>
      </c>
      <c r="Y163" s="5">
        <f>IF(DiscreteStatsTable[[#This Row],[RepsRequested]]=DiscreteStatsTable[[#This Row],[RepsWithStatObserved]],1,0)</f>
        <v>0</v>
      </c>
    </row>
    <row r="164" spans="1:25" x14ac:dyDescent="0.25">
      <c r="A164" t="s">
        <v>68</v>
      </c>
      <c r="B164" t="s">
        <v>70</v>
      </c>
      <c r="C164">
        <v>25</v>
      </c>
      <c r="D164" t="s">
        <v>82</v>
      </c>
      <c r="E164" t="s">
        <v>83</v>
      </c>
      <c r="F164" t="s">
        <v>84</v>
      </c>
      <c r="G164">
        <v>18.270774215349899</v>
      </c>
      <c r="H164">
        <v>2E+20</v>
      </c>
      <c r="I164">
        <v>17.733394491117501</v>
      </c>
      <c r="J164">
        <v>18.564984120892898</v>
      </c>
      <c r="K164">
        <v>4</v>
      </c>
      <c r="L164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27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17.711374161967051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0.8290956086013278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16.5757914382995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19.176092927841601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16.5757914382995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21.300704209721701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1.6</v>
      </c>
      <c r="W164" s="5">
        <f>IF((DiscreteStatsTable[[#This Row],[RepsRequested]]&gt;1),DiscreteStatsTable[[#This Row],[HalfWidth]],DiscreteStatsTable[[#This Row],[BatchMeansHalfWidth]])</f>
        <v>0.38802868912491251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20</v>
      </c>
      <c r="Y164" s="5">
        <f>IF(DiscreteStatsTable[[#This Row],[RepsRequested]]=DiscreteStatsTable[[#This Row],[RepsWithStatObserved]],1,0)</f>
        <v>0</v>
      </c>
    </row>
    <row r="165" spans="1:25" x14ac:dyDescent="0.25">
      <c r="A165" t="s">
        <v>68</v>
      </c>
      <c r="B165" t="s">
        <v>70</v>
      </c>
      <c r="C165">
        <v>26</v>
      </c>
      <c r="D165" t="s">
        <v>82</v>
      </c>
      <c r="E165" t="s">
        <v>83</v>
      </c>
      <c r="F165" t="s">
        <v>84</v>
      </c>
      <c r="G165">
        <v>17.8147211981955</v>
      </c>
      <c r="H165">
        <v>2E+20</v>
      </c>
      <c r="I165">
        <v>17.546251031736698</v>
      </c>
      <c r="J165">
        <v>18.2067447892485</v>
      </c>
      <c r="K165">
        <v>3</v>
      </c>
      <c r="L165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27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17.711374161967051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0.8290956086013278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16.5757914382995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19.176092927841601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16.5757914382995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21.300704209721701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1.6</v>
      </c>
      <c r="W165" s="5">
        <f>IF((DiscreteStatsTable[[#This Row],[RepsRequested]]&gt;1),DiscreteStatsTable[[#This Row],[HalfWidth]],DiscreteStatsTable[[#This Row],[BatchMeansHalfWidth]])</f>
        <v>0.38802868912491251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20</v>
      </c>
      <c r="Y165" s="5">
        <f>IF(DiscreteStatsTable[[#This Row],[RepsRequested]]=DiscreteStatsTable[[#This Row],[RepsWithStatObserved]],1,0)</f>
        <v>0</v>
      </c>
    </row>
    <row r="166" spans="1:25" x14ac:dyDescent="0.25">
      <c r="A166" t="s">
        <v>68</v>
      </c>
      <c r="B166" t="s">
        <v>70</v>
      </c>
      <c r="C166">
        <v>27</v>
      </c>
      <c r="D166" t="s">
        <v>82</v>
      </c>
      <c r="E166" t="s">
        <v>83</v>
      </c>
      <c r="F166" t="s">
        <v>84</v>
      </c>
      <c r="G166">
        <v>18.565125338827201</v>
      </c>
      <c r="H166">
        <v>2E+20</v>
      </c>
      <c r="I166">
        <v>18.565125338827201</v>
      </c>
      <c r="J166">
        <v>18.565125338827201</v>
      </c>
      <c r="K166">
        <v>1</v>
      </c>
      <c r="L166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27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17.711374161967051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0.8290956086013278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0.38802868912491251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16.5757914382995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19.176092927841601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16.5757914382995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21.300704209721701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1.6</v>
      </c>
      <c r="W166" s="5">
        <f>IF((DiscreteStatsTable[[#This Row],[RepsRequested]]&gt;1),DiscreteStatsTable[[#This Row],[HalfWidth]],DiscreteStatsTable[[#This Row],[BatchMeansHalfWidth]])</f>
        <v>0.38802868912491251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20</v>
      </c>
      <c r="Y166" s="5">
        <f>IF(DiscreteStatsTable[[#This Row],[RepsRequested]]=DiscreteStatsTable[[#This Row],[RepsWithStatObserved]],1,0)</f>
        <v>0</v>
      </c>
    </row>
  </sheetData>
  <phoneticPr fontId="2" type="noConversion"/>
  <conditionalFormatting sqref="H2:H166 Q2:Q166">
    <cfRule type="expression" dxfId="20" priority="23">
      <formula>H2=200000000000000000000</formula>
    </cfRule>
  </conditionalFormatting>
  <conditionalFormatting sqref="H2:H166">
    <cfRule type="expression" dxfId="19" priority="21">
      <formula>H2=300000000000000000000</formula>
    </cfRule>
  </conditionalFormatting>
  <conditionalFormatting sqref="L2:Y166">
    <cfRule type="expression" dxfId="18" priority="19">
      <formula>MOD(ROW(),2)=0</formula>
    </cfRule>
  </conditionalFormatting>
  <conditionalFormatting sqref="Y2:Y166">
    <cfRule type="expression" dxfId="17" priority="14">
      <formula>Y2=0</formula>
    </cfRule>
    <cfRule type="expression" dxfId="16" priority="16">
      <formula>Y2=1</formula>
    </cfRule>
  </conditionalFormatting>
  <conditionalFormatting sqref="Y3:Y166">
    <cfRule type="expression" dxfId="15" priority="15">
      <formula>Y3=1</formula>
    </cfRule>
  </conditionalFormatting>
  <conditionalFormatting sqref="W2:W166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66 W2:W166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44"/>
  <sheetViews>
    <sheetView workbookViewId="0">
      <selection activeCell="A2" sqref="A2:L11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23.425781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55.285156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68</v>
      </c>
      <c r="B2" t="s">
        <v>70</v>
      </c>
      <c r="C2">
        <v>1</v>
      </c>
      <c r="D2" t="s">
        <v>71</v>
      </c>
      <c r="E2" t="s">
        <v>91</v>
      </c>
      <c r="F2" t="s">
        <v>73</v>
      </c>
      <c r="G2">
        <v>9.4430249510039505E-2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Escenario AEntity 1WIPEntity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27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0.128719646283251</v>
      </c>
      <c r="U2">
        <f>IF((ContinuousStatsTable[[#This Row],[RepsRequested]]&gt;1),ContinuousStatsTable[[#This Row],[HalfWidth]],ContinuousStatsTable[[#This Row],[BatchMeansHalfWidth]])</f>
        <v>1.3314003381859424E-2</v>
      </c>
    </row>
    <row r="3" spans="1:21" x14ac:dyDescent="0.25">
      <c r="A3" t="s">
        <v>68</v>
      </c>
      <c r="B3" t="s">
        <v>70</v>
      </c>
      <c r="C3">
        <v>1</v>
      </c>
      <c r="D3" t="s">
        <v>79</v>
      </c>
      <c r="E3" t="s">
        <v>92</v>
      </c>
      <c r="F3" t="s">
        <v>81</v>
      </c>
      <c r="G3">
        <v>0</v>
      </c>
      <c r="H3">
        <v>2E+20</v>
      </c>
      <c r="I3">
        <v>0</v>
      </c>
      <c r="J3">
        <v>0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27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</v>
      </c>
      <c r="U3">
        <f>IF((ContinuousStatsTable[[#This Row],[RepsRequested]]&gt;1),ContinuousStatsTable[[#This Row],[HalfWidth]],ContinuousStatsTable[[#This Row],[BatchMeansHalfWidth]])</f>
        <v>0</v>
      </c>
    </row>
    <row r="4" spans="1:21" x14ac:dyDescent="0.25">
      <c r="A4" t="s">
        <v>68</v>
      </c>
      <c r="B4" t="s">
        <v>70</v>
      </c>
      <c r="C4">
        <v>1</v>
      </c>
      <c r="D4" t="s">
        <v>90</v>
      </c>
      <c r="E4" t="s">
        <v>92</v>
      </c>
      <c r="F4" t="s">
        <v>81</v>
      </c>
      <c r="G4">
        <v>0</v>
      </c>
      <c r="H4">
        <v>2E+20</v>
      </c>
      <c r="I4">
        <v>0</v>
      </c>
      <c r="J4">
        <v>0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27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</v>
      </c>
      <c r="U4">
        <f>IF((ContinuousStatsTable[[#This Row],[RepsRequested]]&gt;1),ContinuousStatsTable[[#This Row],[HalfWidth]],ContinuousStatsTable[[#This Row],[BatchMeansHalfWidth]])</f>
        <v>0</v>
      </c>
    </row>
    <row r="5" spans="1:21" x14ac:dyDescent="0.25">
      <c r="A5" t="s">
        <v>68</v>
      </c>
      <c r="B5" t="s">
        <v>70</v>
      </c>
      <c r="C5">
        <v>1</v>
      </c>
      <c r="D5" t="s">
        <v>93</v>
      </c>
      <c r="E5" t="s">
        <v>94</v>
      </c>
      <c r="F5" t="s">
        <v>95</v>
      </c>
      <c r="G5">
        <v>3.14767498366798E-2</v>
      </c>
      <c r="H5">
        <v>2E+20</v>
      </c>
      <c r="I5">
        <v>0</v>
      </c>
      <c r="J5">
        <v>0.33333333333333298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27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4.2906548761083699E-2</v>
      </c>
      <c r="U5">
        <f>IF((ContinuousStatsTable[[#This Row],[RepsRequested]]&gt;1),ContinuousStatsTable[[#This Row],[HalfWidth]],ContinuousStatsTable[[#This Row],[BatchMeansHalfWidth]])</f>
        <v>4.4010751425322646E-3</v>
      </c>
    </row>
    <row r="6" spans="1:21" x14ac:dyDescent="0.25">
      <c r="A6" t="s">
        <v>68</v>
      </c>
      <c r="B6" t="s">
        <v>70</v>
      </c>
      <c r="C6">
        <v>1</v>
      </c>
      <c r="D6" t="s">
        <v>93</v>
      </c>
      <c r="E6" t="s">
        <v>96</v>
      </c>
      <c r="F6" t="s">
        <v>95</v>
      </c>
      <c r="G6">
        <v>9.4430249510039505E-2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27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0.128719646283251</v>
      </c>
      <c r="U6">
        <f>IF((ContinuousStatsTable[[#This Row],[RepsRequested]]&gt;1),ContinuousStatsTable[[#This Row],[HalfWidth]],ContinuousStatsTable[[#This Row],[BatchMeansHalfWidth]])</f>
        <v>1.3203225427596797E-2</v>
      </c>
    </row>
    <row r="7" spans="1:21" x14ac:dyDescent="0.25">
      <c r="A7" t="s">
        <v>68</v>
      </c>
      <c r="B7" t="s">
        <v>70</v>
      </c>
      <c r="C7">
        <v>1</v>
      </c>
      <c r="D7" t="s">
        <v>93</v>
      </c>
      <c r="E7" t="s">
        <v>97</v>
      </c>
      <c r="F7" t="s">
        <v>95</v>
      </c>
      <c r="G7">
        <v>3</v>
      </c>
      <c r="H7">
        <v>2E+20</v>
      </c>
      <c r="I7">
        <v>3</v>
      </c>
      <c r="J7">
        <v>3</v>
      </c>
      <c r="K7">
        <v>3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27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3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3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3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25">
      <c r="A8" t="s">
        <v>68</v>
      </c>
      <c r="B8" t="s">
        <v>70</v>
      </c>
      <c r="C8">
        <v>1</v>
      </c>
      <c r="D8" t="s">
        <v>98</v>
      </c>
      <c r="E8" t="s">
        <v>94</v>
      </c>
      <c r="F8" t="s">
        <v>95</v>
      </c>
      <c r="G8">
        <v>0</v>
      </c>
      <c r="H8">
        <v>2E+20</v>
      </c>
      <c r="I8">
        <v>0</v>
      </c>
      <c r="J8">
        <v>0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27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4.2820889862359999E-3</v>
      </c>
      <c r="U8">
        <f>IF((ContinuousStatsTable[[#This Row],[RepsRequested]]&gt;1),ContinuousStatsTable[[#This Row],[HalfWidth]],ContinuousStatsTable[[#This Row],[BatchMeansHalfWidth]])</f>
        <v>3.2599851741098198E-4</v>
      </c>
    </row>
    <row r="9" spans="1:21" x14ac:dyDescent="0.25">
      <c r="A9" t="s">
        <v>68</v>
      </c>
      <c r="B9" t="s">
        <v>70</v>
      </c>
      <c r="C9">
        <v>1</v>
      </c>
      <c r="D9" t="s">
        <v>98</v>
      </c>
      <c r="E9" t="s">
        <v>96</v>
      </c>
      <c r="F9" t="s">
        <v>95</v>
      </c>
      <c r="G9">
        <v>0</v>
      </c>
      <c r="H9">
        <v>2E+20</v>
      </c>
      <c r="I9">
        <v>0</v>
      </c>
      <c r="J9">
        <v>0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27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4.2820889862359999E-3</v>
      </c>
      <c r="U9">
        <f>IF((ContinuousStatsTable[[#This Row],[RepsRequested]]&gt;1),ContinuousStatsTable[[#This Row],[HalfWidth]],ContinuousStatsTable[[#This Row],[BatchMeansHalfWidth]])</f>
        <v>3.2599851741098198E-4</v>
      </c>
    </row>
    <row r="10" spans="1:21" x14ac:dyDescent="0.25">
      <c r="A10" t="s">
        <v>68</v>
      </c>
      <c r="B10" t="s">
        <v>70</v>
      </c>
      <c r="C10">
        <v>1</v>
      </c>
      <c r="D10" t="s">
        <v>98</v>
      </c>
      <c r="E10" t="s">
        <v>97</v>
      </c>
      <c r="F10" t="s">
        <v>95</v>
      </c>
      <c r="G10">
        <v>1</v>
      </c>
      <c r="H10">
        <v>2E+20</v>
      </c>
      <c r="I10">
        <v>1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27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1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1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25">
      <c r="A11" t="s">
        <v>68</v>
      </c>
      <c r="B11" t="s">
        <v>70</v>
      </c>
      <c r="C11">
        <v>2</v>
      </c>
      <c r="D11" t="s">
        <v>71</v>
      </c>
      <c r="E11" t="s">
        <v>91</v>
      </c>
      <c r="F11" t="s">
        <v>73</v>
      </c>
      <c r="G11">
        <v>5.9127034604370701E-2</v>
      </c>
      <c r="H11">
        <v>2E+20</v>
      </c>
      <c r="I11">
        <v>0</v>
      </c>
      <c r="J11">
        <v>1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Escenario AEntity 1WIPEntity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27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0.128719646283251</v>
      </c>
      <c r="U11">
        <f>IF((ContinuousStatsTable[[#This Row],[RepsRequested]]&gt;1),ContinuousStatsTable[[#This Row],[HalfWidth]],ContinuousStatsTable[[#This Row],[BatchMeansHalfWidth]])</f>
        <v>1.3314003381859424E-2</v>
      </c>
    </row>
    <row r="12" spans="1:21" x14ac:dyDescent="0.25">
      <c r="A12" t="s">
        <v>68</v>
      </c>
      <c r="B12" t="s">
        <v>70</v>
      </c>
      <c r="C12">
        <v>2</v>
      </c>
      <c r="D12" t="s">
        <v>79</v>
      </c>
      <c r="E12" t="s">
        <v>92</v>
      </c>
      <c r="F12" t="s">
        <v>81</v>
      </c>
      <c r="G12">
        <v>0</v>
      </c>
      <c r="H12">
        <v>2E+20</v>
      </c>
      <c r="I12">
        <v>0</v>
      </c>
      <c r="J12">
        <v>0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27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</v>
      </c>
      <c r="U12" s="5">
        <f>IF((ContinuousStatsTable[[#This Row],[RepsRequested]]&gt;1),ContinuousStatsTable[[#This Row],[HalfWidth]],ContinuousStatsTable[[#This Row],[BatchMeansHalfWidth]])</f>
        <v>0</v>
      </c>
    </row>
    <row r="13" spans="1:21" x14ac:dyDescent="0.25">
      <c r="A13" t="s">
        <v>68</v>
      </c>
      <c r="B13" t="s">
        <v>70</v>
      </c>
      <c r="C13">
        <v>2</v>
      </c>
      <c r="D13" t="s">
        <v>90</v>
      </c>
      <c r="E13" t="s">
        <v>92</v>
      </c>
      <c r="F13" t="s">
        <v>81</v>
      </c>
      <c r="G13">
        <v>0</v>
      </c>
      <c r="H13">
        <v>2E+20</v>
      </c>
      <c r="I13">
        <v>0</v>
      </c>
      <c r="J13">
        <v>0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27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</v>
      </c>
      <c r="U13" s="5">
        <f>IF((ContinuousStatsTable[[#This Row],[RepsRequested]]&gt;1),ContinuousStatsTable[[#This Row],[HalfWidth]],ContinuousStatsTable[[#This Row],[BatchMeansHalfWidth]])</f>
        <v>0</v>
      </c>
    </row>
    <row r="14" spans="1:21" x14ac:dyDescent="0.25">
      <c r="A14" t="s">
        <v>68</v>
      </c>
      <c r="B14" t="s">
        <v>70</v>
      </c>
      <c r="C14">
        <v>2</v>
      </c>
      <c r="D14" t="s">
        <v>93</v>
      </c>
      <c r="E14" t="s">
        <v>94</v>
      </c>
      <c r="F14" t="s">
        <v>95</v>
      </c>
      <c r="G14">
        <v>1.97090115347902E-2</v>
      </c>
      <c r="H14">
        <v>2E+20</v>
      </c>
      <c r="I14">
        <v>0</v>
      </c>
      <c r="J14">
        <v>0.33333333333333298</v>
      </c>
      <c r="K14">
        <v>0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27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4.2906548761083699E-2</v>
      </c>
      <c r="U14" s="5">
        <f>IF((ContinuousStatsTable[[#This Row],[RepsRequested]]&gt;1),ContinuousStatsTable[[#This Row],[HalfWidth]],ContinuousStatsTable[[#This Row],[BatchMeansHalfWidth]])</f>
        <v>4.4010751425322646E-3</v>
      </c>
    </row>
    <row r="15" spans="1:21" x14ac:dyDescent="0.25">
      <c r="A15" t="s">
        <v>68</v>
      </c>
      <c r="B15" t="s">
        <v>70</v>
      </c>
      <c r="C15">
        <v>2</v>
      </c>
      <c r="D15" t="s">
        <v>93</v>
      </c>
      <c r="E15" t="s">
        <v>96</v>
      </c>
      <c r="F15" t="s">
        <v>95</v>
      </c>
      <c r="G15">
        <v>5.9127034604370701E-2</v>
      </c>
      <c r="H15">
        <v>2E+20</v>
      </c>
      <c r="I15">
        <v>0</v>
      </c>
      <c r="J15">
        <v>1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27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0.128719646283251</v>
      </c>
      <c r="U15" s="5">
        <f>IF((ContinuousStatsTable[[#This Row],[RepsRequested]]&gt;1),ContinuousStatsTable[[#This Row],[HalfWidth]],ContinuousStatsTable[[#This Row],[BatchMeansHalfWidth]])</f>
        <v>1.3203225427596797E-2</v>
      </c>
    </row>
    <row r="16" spans="1:21" x14ac:dyDescent="0.25">
      <c r="A16" t="s">
        <v>68</v>
      </c>
      <c r="B16" t="s">
        <v>70</v>
      </c>
      <c r="C16">
        <v>2</v>
      </c>
      <c r="D16" t="s">
        <v>93</v>
      </c>
      <c r="E16" t="s">
        <v>97</v>
      </c>
      <c r="F16" t="s">
        <v>95</v>
      </c>
      <c r="G16">
        <v>3</v>
      </c>
      <c r="H16">
        <v>2E+20</v>
      </c>
      <c r="I16">
        <v>3</v>
      </c>
      <c r="J16">
        <v>3</v>
      </c>
      <c r="K16">
        <v>3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27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3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3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3</v>
      </c>
      <c r="U16" s="5">
        <f>IF((ContinuousStatsTable[[#This Row],[RepsRequested]]&gt;1),ContinuousStatsTable[[#This Row],[HalfWidth]],ContinuousStatsTable[[#This Row],[BatchMeansHalfWidth]])</f>
        <v>0</v>
      </c>
    </row>
    <row r="17" spans="1:21" x14ac:dyDescent="0.25">
      <c r="A17" t="s">
        <v>68</v>
      </c>
      <c r="B17" t="s">
        <v>70</v>
      </c>
      <c r="C17">
        <v>2</v>
      </c>
      <c r="D17" t="s">
        <v>98</v>
      </c>
      <c r="E17" t="s">
        <v>94</v>
      </c>
      <c r="F17" t="s">
        <v>95</v>
      </c>
      <c r="G17">
        <v>0</v>
      </c>
      <c r="H17">
        <v>2E+20</v>
      </c>
      <c r="I17">
        <v>0</v>
      </c>
      <c r="J17">
        <v>0</v>
      </c>
      <c r="K17">
        <v>0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27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4.2820889862359999E-3</v>
      </c>
      <c r="U17" s="5">
        <f>IF((ContinuousStatsTable[[#This Row],[RepsRequested]]&gt;1),ContinuousStatsTable[[#This Row],[HalfWidth]],ContinuousStatsTable[[#This Row],[BatchMeansHalfWidth]])</f>
        <v>3.2599851741098198E-4</v>
      </c>
    </row>
    <row r="18" spans="1:21" x14ac:dyDescent="0.25">
      <c r="A18" t="s">
        <v>68</v>
      </c>
      <c r="B18" t="s">
        <v>70</v>
      </c>
      <c r="C18">
        <v>2</v>
      </c>
      <c r="D18" t="s">
        <v>98</v>
      </c>
      <c r="E18" t="s">
        <v>96</v>
      </c>
      <c r="F18" t="s">
        <v>95</v>
      </c>
      <c r="G18">
        <v>0</v>
      </c>
      <c r="H18">
        <v>2E+20</v>
      </c>
      <c r="I18">
        <v>0</v>
      </c>
      <c r="J18">
        <v>0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27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4.2820889862359999E-3</v>
      </c>
      <c r="U18" s="5">
        <f>IF((ContinuousStatsTable[[#This Row],[RepsRequested]]&gt;1),ContinuousStatsTable[[#This Row],[HalfWidth]],ContinuousStatsTable[[#This Row],[BatchMeansHalfWidth]])</f>
        <v>3.2599851741098198E-4</v>
      </c>
    </row>
    <row r="19" spans="1:21" x14ac:dyDescent="0.25">
      <c r="A19" t="s">
        <v>68</v>
      </c>
      <c r="B19" t="s">
        <v>70</v>
      </c>
      <c r="C19">
        <v>2</v>
      </c>
      <c r="D19" t="s">
        <v>98</v>
      </c>
      <c r="E19" t="s">
        <v>97</v>
      </c>
      <c r="F19" t="s">
        <v>95</v>
      </c>
      <c r="G19">
        <v>1</v>
      </c>
      <c r="H19">
        <v>2E+20</v>
      </c>
      <c r="I19">
        <v>1</v>
      </c>
      <c r="J19">
        <v>1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27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1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1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 s="5">
        <f>IF((ContinuousStatsTable[[#This Row],[RepsRequested]]&gt;1),ContinuousStatsTable[[#This Row],[HalfWidth]],ContinuousStatsTable[[#This Row],[BatchMeansHalfWidth]])</f>
        <v>0</v>
      </c>
    </row>
    <row r="20" spans="1:21" x14ac:dyDescent="0.25">
      <c r="A20" t="s">
        <v>68</v>
      </c>
      <c r="B20" t="s">
        <v>70</v>
      </c>
      <c r="C20">
        <v>3</v>
      </c>
      <c r="D20" t="s">
        <v>71</v>
      </c>
      <c r="E20" t="s">
        <v>91</v>
      </c>
      <c r="F20" t="s">
        <v>73</v>
      </c>
      <c r="G20">
        <v>2.9205643334124402E-2</v>
      </c>
      <c r="H20">
        <v>2E+20</v>
      </c>
      <c r="I20">
        <v>0</v>
      </c>
      <c r="J20">
        <v>1</v>
      </c>
      <c r="K20">
        <v>0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27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0.128719646283251</v>
      </c>
      <c r="U20" s="5">
        <f>IF((ContinuousStatsTable[[#This Row],[RepsRequested]]&gt;1),ContinuousStatsTable[[#This Row],[HalfWidth]],ContinuousStatsTable[[#This Row],[BatchMeansHalfWidth]])</f>
        <v>1.3314003381859424E-2</v>
      </c>
    </row>
    <row r="21" spans="1:21" x14ac:dyDescent="0.25">
      <c r="A21" t="s">
        <v>68</v>
      </c>
      <c r="B21" t="s">
        <v>70</v>
      </c>
      <c r="C21">
        <v>3</v>
      </c>
      <c r="D21" t="s">
        <v>79</v>
      </c>
      <c r="E21" t="s">
        <v>92</v>
      </c>
      <c r="F21" t="s">
        <v>81</v>
      </c>
      <c r="G21">
        <v>0</v>
      </c>
      <c r="H21">
        <v>2E+20</v>
      </c>
      <c r="I21">
        <v>0</v>
      </c>
      <c r="J21">
        <v>0</v>
      </c>
      <c r="K21">
        <v>0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27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0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0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0</v>
      </c>
      <c r="U21" s="5">
        <f>IF((ContinuousStatsTable[[#This Row],[RepsRequested]]&gt;1),ContinuousStatsTable[[#This Row],[HalfWidth]],ContinuousStatsTable[[#This Row],[BatchMeansHalfWidth]])</f>
        <v>0</v>
      </c>
    </row>
    <row r="22" spans="1:21" x14ac:dyDescent="0.25">
      <c r="A22" t="s">
        <v>68</v>
      </c>
      <c r="B22" t="s">
        <v>70</v>
      </c>
      <c r="C22">
        <v>3</v>
      </c>
      <c r="D22" t="s">
        <v>90</v>
      </c>
      <c r="E22" t="s">
        <v>92</v>
      </c>
      <c r="F22" t="s">
        <v>81</v>
      </c>
      <c r="G22">
        <v>0</v>
      </c>
      <c r="H22">
        <v>2E+20</v>
      </c>
      <c r="I22">
        <v>0</v>
      </c>
      <c r="J22">
        <v>0</v>
      </c>
      <c r="K22">
        <v>0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27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0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0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0</v>
      </c>
      <c r="U22" s="5">
        <f>IF((ContinuousStatsTable[[#This Row],[RepsRequested]]&gt;1),ContinuousStatsTable[[#This Row],[HalfWidth]],ContinuousStatsTable[[#This Row],[BatchMeansHalfWidth]])</f>
        <v>0</v>
      </c>
    </row>
    <row r="23" spans="1:21" x14ac:dyDescent="0.25">
      <c r="A23" t="s">
        <v>68</v>
      </c>
      <c r="B23" t="s">
        <v>70</v>
      </c>
      <c r="C23">
        <v>3</v>
      </c>
      <c r="D23" t="s">
        <v>93</v>
      </c>
      <c r="E23" t="s">
        <v>94</v>
      </c>
      <c r="F23" t="s">
        <v>95</v>
      </c>
      <c r="G23">
        <v>9.7352144447081304E-3</v>
      </c>
      <c r="H23">
        <v>2E+20</v>
      </c>
      <c r="I23">
        <v>0</v>
      </c>
      <c r="J23">
        <v>0.33333333333333298</v>
      </c>
      <c r="K23">
        <v>0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27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4.2906548761083699E-2</v>
      </c>
      <c r="U23" s="5">
        <f>IF((ContinuousStatsTable[[#This Row],[RepsRequested]]&gt;1),ContinuousStatsTable[[#This Row],[HalfWidth]],ContinuousStatsTable[[#This Row],[BatchMeansHalfWidth]])</f>
        <v>4.4010751425322646E-3</v>
      </c>
    </row>
    <row r="24" spans="1:21" x14ac:dyDescent="0.25">
      <c r="A24" t="s">
        <v>68</v>
      </c>
      <c r="B24" t="s">
        <v>70</v>
      </c>
      <c r="C24">
        <v>3</v>
      </c>
      <c r="D24" t="s">
        <v>93</v>
      </c>
      <c r="E24" t="s">
        <v>96</v>
      </c>
      <c r="F24" t="s">
        <v>95</v>
      </c>
      <c r="G24">
        <v>2.9205643334124402E-2</v>
      </c>
      <c r="H24">
        <v>2E+20</v>
      </c>
      <c r="I24">
        <v>0</v>
      </c>
      <c r="J24">
        <v>1</v>
      </c>
      <c r="K24">
        <v>0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27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0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0.128719646283251</v>
      </c>
      <c r="U24" s="5">
        <f>IF((ContinuousStatsTable[[#This Row],[RepsRequested]]&gt;1),ContinuousStatsTable[[#This Row],[HalfWidth]],ContinuousStatsTable[[#This Row],[BatchMeansHalfWidth]])</f>
        <v>1.3203225427596797E-2</v>
      </c>
    </row>
    <row r="25" spans="1:21" x14ac:dyDescent="0.25">
      <c r="A25" t="s">
        <v>68</v>
      </c>
      <c r="B25" t="s">
        <v>70</v>
      </c>
      <c r="C25">
        <v>3</v>
      </c>
      <c r="D25" t="s">
        <v>93</v>
      </c>
      <c r="E25" t="s">
        <v>97</v>
      </c>
      <c r="F25" t="s">
        <v>95</v>
      </c>
      <c r="G25">
        <v>3</v>
      </c>
      <c r="H25">
        <v>2E+20</v>
      </c>
      <c r="I25">
        <v>3</v>
      </c>
      <c r="J25">
        <v>3</v>
      </c>
      <c r="K25">
        <v>3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27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3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3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3</v>
      </c>
      <c r="U25" s="5">
        <f>IF((ContinuousStatsTable[[#This Row],[RepsRequested]]&gt;1),ContinuousStatsTable[[#This Row],[HalfWidth]],ContinuousStatsTable[[#This Row],[BatchMeansHalfWidth]])</f>
        <v>0</v>
      </c>
    </row>
    <row r="26" spans="1:21" x14ac:dyDescent="0.25">
      <c r="A26" t="s">
        <v>68</v>
      </c>
      <c r="B26" t="s">
        <v>70</v>
      </c>
      <c r="C26">
        <v>3</v>
      </c>
      <c r="D26" t="s">
        <v>98</v>
      </c>
      <c r="E26" t="s">
        <v>94</v>
      </c>
      <c r="F26" t="s">
        <v>95</v>
      </c>
      <c r="G26">
        <v>0</v>
      </c>
      <c r="H26">
        <v>2E+20</v>
      </c>
      <c r="I26">
        <v>0</v>
      </c>
      <c r="J26">
        <v>0</v>
      </c>
      <c r="K26">
        <v>0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27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0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4.2820889862359999E-3</v>
      </c>
      <c r="U26" s="5">
        <f>IF((ContinuousStatsTable[[#This Row],[RepsRequested]]&gt;1),ContinuousStatsTable[[#This Row],[HalfWidth]],ContinuousStatsTable[[#This Row],[BatchMeansHalfWidth]])</f>
        <v>3.2599851741098198E-4</v>
      </c>
    </row>
    <row r="27" spans="1:21" x14ac:dyDescent="0.25">
      <c r="A27" t="s">
        <v>68</v>
      </c>
      <c r="B27" t="s">
        <v>70</v>
      </c>
      <c r="C27">
        <v>3</v>
      </c>
      <c r="D27" t="s">
        <v>98</v>
      </c>
      <c r="E27" t="s">
        <v>96</v>
      </c>
      <c r="F27" t="s">
        <v>95</v>
      </c>
      <c r="G27">
        <v>0</v>
      </c>
      <c r="H27">
        <v>2E+20</v>
      </c>
      <c r="I27">
        <v>0</v>
      </c>
      <c r="J27">
        <v>0</v>
      </c>
      <c r="K27">
        <v>0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27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0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4.2820889862359999E-3</v>
      </c>
      <c r="U27" s="5">
        <f>IF((ContinuousStatsTable[[#This Row],[RepsRequested]]&gt;1),ContinuousStatsTable[[#This Row],[HalfWidth]],ContinuousStatsTable[[#This Row],[BatchMeansHalfWidth]])</f>
        <v>3.2599851741098198E-4</v>
      </c>
    </row>
    <row r="28" spans="1:21" x14ac:dyDescent="0.25">
      <c r="A28" t="s">
        <v>68</v>
      </c>
      <c r="B28" t="s">
        <v>70</v>
      </c>
      <c r="C28">
        <v>3</v>
      </c>
      <c r="D28" t="s">
        <v>98</v>
      </c>
      <c r="E28" t="s">
        <v>97</v>
      </c>
      <c r="F28" t="s">
        <v>95</v>
      </c>
      <c r="G28">
        <v>1</v>
      </c>
      <c r="H28">
        <v>2E+20</v>
      </c>
      <c r="I28">
        <v>1</v>
      </c>
      <c r="J28">
        <v>1</v>
      </c>
      <c r="K28">
        <v>1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27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1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0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1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1</v>
      </c>
      <c r="U28" s="5">
        <f>IF((ContinuousStatsTable[[#This Row],[RepsRequested]]&gt;1),ContinuousStatsTable[[#This Row],[HalfWidth]],ContinuousStatsTable[[#This Row],[BatchMeansHalfWidth]])</f>
        <v>0</v>
      </c>
    </row>
    <row r="29" spans="1:21" x14ac:dyDescent="0.25">
      <c r="A29" t="s">
        <v>68</v>
      </c>
      <c r="B29" t="s">
        <v>70</v>
      </c>
      <c r="C29">
        <v>4</v>
      </c>
      <c r="D29" t="s">
        <v>71</v>
      </c>
      <c r="E29" t="s">
        <v>91</v>
      </c>
      <c r="F29" t="s">
        <v>73</v>
      </c>
      <c r="G29">
        <v>9.5880464639208102E-2</v>
      </c>
      <c r="H29">
        <v>2E+20</v>
      </c>
      <c r="I29">
        <v>0</v>
      </c>
      <c r="J29">
        <v>2</v>
      </c>
      <c r="K29">
        <v>0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27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0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0.128719646283251</v>
      </c>
      <c r="U29" s="5">
        <f>IF((ContinuousStatsTable[[#This Row],[RepsRequested]]&gt;1),ContinuousStatsTable[[#This Row],[HalfWidth]],ContinuousStatsTable[[#This Row],[BatchMeansHalfWidth]])</f>
        <v>1.3314003381859424E-2</v>
      </c>
    </row>
    <row r="30" spans="1:21" x14ac:dyDescent="0.25">
      <c r="A30" t="s">
        <v>68</v>
      </c>
      <c r="B30" t="s">
        <v>70</v>
      </c>
      <c r="C30">
        <v>4</v>
      </c>
      <c r="D30" t="s">
        <v>79</v>
      </c>
      <c r="E30" t="s">
        <v>92</v>
      </c>
      <c r="F30" t="s">
        <v>81</v>
      </c>
      <c r="G30">
        <v>0</v>
      </c>
      <c r="H30">
        <v>2E+20</v>
      </c>
      <c r="I30">
        <v>0</v>
      </c>
      <c r="J30">
        <v>0</v>
      </c>
      <c r="K30">
        <v>0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27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0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0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0</v>
      </c>
      <c r="U30" s="5">
        <f>IF((ContinuousStatsTable[[#This Row],[RepsRequested]]&gt;1),ContinuousStatsTable[[#This Row],[HalfWidth]],ContinuousStatsTable[[#This Row],[BatchMeansHalfWidth]])</f>
        <v>0</v>
      </c>
    </row>
    <row r="31" spans="1:21" x14ac:dyDescent="0.25">
      <c r="A31" t="s">
        <v>68</v>
      </c>
      <c r="B31" t="s">
        <v>70</v>
      </c>
      <c r="C31">
        <v>4</v>
      </c>
      <c r="D31" t="s">
        <v>90</v>
      </c>
      <c r="E31" t="s">
        <v>92</v>
      </c>
      <c r="F31" t="s">
        <v>81</v>
      </c>
      <c r="G31">
        <v>0</v>
      </c>
      <c r="H31">
        <v>2E+20</v>
      </c>
      <c r="I31">
        <v>0</v>
      </c>
      <c r="J31">
        <v>0</v>
      </c>
      <c r="K31">
        <v>0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27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0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0</v>
      </c>
      <c r="U31" s="5">
        <f>IF((ContinuousStatsTable[[#This Row],[RepsRequested]]&gt;1),ContinuousStatsTable[[#This Row],[HalfWidth]],ContinuousStatsTable[[#This Row],[BatchMeansHalfWidth]])</f>
        <v>0</v>
      </c>
    </row>
    <row r="32" spans="1:21" x14ac:dyDescent="0.25">
      <c r="A32" t="s">
        <v>68</v>
      </c>
      <c r="B32" t="s">
        <v>70</v>
      </c>
      <c r="C32">
        <v>4</v>
      </c>
      <c r="D32" t="s">
        <v>93</v>
      </c>
      <c r="E32" t="s">
        <v>94</v>
      </c>
      <c r="F32" t="s">
        <v>95</v>
      </c>
      <c r="G32">
        <v>3.0532791884324E-2</v>
      </c>
      <c r="H32">
        <v>2E+20</v>
      </c>
      <c r="I32">
        <v>0</v>
      </c>
      <c r="J32">
        <v>0.66666666666666696</v>
      </c>
      <c r="K32">
        <v>0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27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0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4.2906548761083699E-2</v>
      </c>
      <c r="U32" s="5">
        <f>IF((ContinuousStatsTable[[#This Row],[RepsRequested]]&gt;1),ContinuousStatsTable[[#This Row],[HalfWidth]],ContinuousStatsTable[[#This Row],[BatchMeansHalfWidth]])</f>
        <v>4.4010751425322646E-3</v>
      </c>
    </row>
    <row r="33" spans="1:21" x14ac:dyDescent="0.25">
      <c r="A33" t="s">
        <v>68</v>
      </c>
      <c r="B33" t="s">
        <v>70</v>
      </c>
      <c r="C33">
        <v>4</v>
      </c>
      <c r="D33" t="s">
        <v>93</v>
      </c>
      <c r="E33" t="s">
        <v>96</v>
      </c>
      <c r="F33" t="s">
        <v>95</v>
      </c>
      <c r="G33">
        <v>9.1598375652972103E-2</v>
      </c>
      <c r="H33">
        <v>2E+20</v>
      </c>
      <c r="I33">
        <v>0</v>
      </c>
      <c r="J33">
        <v>2</v>
      </c>
      <c r="K33">
        <v>0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27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0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0.128719646283251</v>
      </c>
      <c r="U33" s="5">
        <f>IF((ContinuousStatsTable[[#This Row],[RepsRequested]]&gt;1),ContinuousStatsTable[[#This Row],[HalfWidth]],ContinuousStatsTable[[#This Row],[BatchMeansHalfWidth]])</f>
        <v>1.3203225427596797E-2</v>
      </c>
    </row>
    <row r="34" spans="1:21" x14ac:dyDescent="0.25">
      <c r="A34" t="s">
        <v>68</v>
      </c>
      <c r="B34" t="s">
        <v>70</v>
      </c>
      <c r="C34">
        <v>4</v>
      </c>
      <c r="D34" t="s">
        <v>93</v>
      </c>
      <c r="E34" t="s">
        <v>97</v>
      </c>
      <c r="F34" t="s">
        <v>95</v>
      </c>
      <c r="G34">
        <v>3</v>
      </c>
      <c r="H34">
        <v>2E+20</v>
      </c>
      <c r="I34">
        <v>3</v>
      </c>
      <c r="J34">
        <v>3</v>
      </c>
      <c r="K34">
        <v>3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27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3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3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3</v>
      </c>
      <c r="U34" s="5">
        <f>IF((ContinuousStatsTable[[#This Row],[RepsRequested]]&gt;1),ContinuousStatsTable[[#This Row],[HalfWidth]],ContinuousStatsTable[[#This Row],[BatchMeansHalfWidth]])</f>
        <v>0</v>
      </c>
    </row>
    <row r="35" spans="1:21" x14ac:dyDescent="0.25">
      <c r="A35" t="s">
        <v>68</v>
      </c>
      <c r="B35" t="s">
        <v>70</v>
      </c>
      <c r="C35">
        <v>4</v>
      </c>
      <c r="D35" t="s">
        <v>98</v>
      </c>
      <c r="E35" t="s">
        <v>94</v>
      </c>
      <c r="F35" t="s">
        <v>95</v>
      </c>
      <c r="G35">
        <v>4.2820889862359999E-3</v>
      </c>
      <c r="H35">
        <v>2E+20</v>
      </c>
      <c r="I35">
        <v>0</v>
      </c>
      <c r="J35">
        <v>1</v>
      </c>
      <c r="K35">
        <v>0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27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0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4.2820889862359999E-3</v>
      </c>
      <c r="U35" s="5">
        <f>IF((ContinuousStatsTable[[#This Row],[RepsRequested]]&gt;1),ContinuousStatsTable[[#This Row],[HalfWidth]],ContinuousStatsTable[[#This Row],[BatchMeansHalfWidth]])</f>
        <v>3.2599851741098198E-4</v>
      </c>
    </row>
    <row r="36" spans="1:21" x14ac:dyDescent="0.25">
      <c r="A36" t="s">
        <v>68</v>
      </c>
      <c r="B36" t="s">
        <v>70</v>
      </c>
      <c r="C36">
        <v>4</v>
      </c>
      <c r="D36" t="s">
        <v>98</v>
      </c>
      <c r="E36" t="s">
        <v>96</v>
      </c>
      <c r="F36" t="s">
        <v>95</v>
      </c>
      <c r="G36">
        <v>4.2820889862359999E-3</v>
      </c>
      <c r="H36">
        <v>2E+20</v>
      </c>
      <c r="I36">
        <v>0</v>
      </c>
      <c r="J36">
        <v>1</v>
      </c>
      <c r="K36">
        <v>0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27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0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4.2820889862359999E-3</v>
      </c>
      <c r="U36" s="5">
        <f>IF((ContinuousStatsTable[[#This Row],[RepsRequested]]&gt;1),ContinuousStatsTable[[#This Row],[HalfWidth]],ContinuousStatsTable[[#This Row],[BatchMeansHalfWidth]])</f>
        <v>3.2599851741098198E-4</v>
      </c>
    </row>
    <row r="37" spans="1:21" x14ac:dyDescent="0.25">
      <c r="A37" t="s">
        <v>68</v>
      </c>
      <c r="B37" t="s">
        <v>70</v>
      </c>
      <c r="C37">
        <v>4</v>
      </c>
      <c r="D37" t="s">
        <v>98</v>
      </c>
      <c r="E37" t="s">
        <v>97</v>
      </c>
      <c r="F37" t="s">
        <v>95</v>
      </c>
      <c r="G37">
        <v>1</v>
      </c>
      <c r="H37">
        <v>2E+20</v>
      </c>
      <c r="I37">
        <v>1</v>
      </c>
      <c r="J37">
        <v>1</v>
      </c>
      <c r="K37">
        <v>1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27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1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1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1</v>
      </c>
      <c r="U37" s="5">
        <f>IF((ContinuousStatsTable[[#This Row],[RepsRequested]]&gt;1),ContinuousStatsTable[[#This Row],[HalfWidth]],ContinuousStatsTable[[#This Row],[BatchMeansHalfWidth]])</f>
        <v>0</v>
      </c>
    </row>
    <row r="38" spans="1:21" x14ac:dyDescent="0.25">
      <c r="A38" t="s">
        <v>68</v>
      </c>
      <c r="B38" t="s">
        <v>70</v>
      </c>
      <c r="C38">
        <v>5</v>
      </c>
      <c r="D38" t="s">
        <v>71</v>
      </c>
      <c r="E38" t="s">
        <v>91</v>
      </c>
      <c r="F38" t="s">
        <v>73</v>
      </c>
      <c r="G38">
        <v>0</v>
      </c>
      <c r="H38">
        <v>2E+20</v>
      </c>
      <c r="I38">
        <v>0</v>
      </c>
      <c r="J38">
        <v>0</v>
      </c>
      <c r="K38">
        <v>0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27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0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0.128719646283251</v>
      </c>
      <c r="U38" s="5">
        <f>IF((ContinuousStatsTable[[#This Row],[RepsRequested]]&gt;1),ContinuousStatsTable[[#This Row],[HalfWidth]],ContinuousStatsTable[[#This Row],[BatchMeansHalfWidth]])</f>
        <v>1.3314003381859424E-2</v>
      </c>
    </row>
    <row r="39" spans="1:21" x14ac:dyDescent="0.25">
      <c r="A39" t="s">
        <v>68</v>
      </c>
      <c r="B39" t="s">
        <v>70</v>
      </c>
      <c r="C39">
        <v>5</v>
      </c>
      <c r="D39" t="s">
        <v>79</v>
      </c>
      <c r="E39" t="s">
        <v>92</v>
      </c>
      <c r="F39" t="s">
        <v>81</v>
      </c>
      <c r="G39">
        <v>0</v>
      </c>
      <c r="H39">
        <v>2E+20</v>
      </c>
      <c r="I39">
        <v>0</v>
      </c>
      <c r="J39">
        <v>0</v>
      </c>
      <c r="K39">
        <v>0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27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0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0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0</v>
      </c>
      <c r="U39" s="5">
        <f>IF((ContinuousStatsTable[[#This Row],[RepsRequested]]&gt;1),ContinuousStatsTable[[#This Row],[HalfWidth]],ContinuousStatsTable[[#This Row],[BatchMeansHalfWidth]])</f>
        <v>0</v>
      </c>
    </row>
    <row r="40" spans="1:21" x14ac:dyDescent="0.25">
      <c r="A40" t="s">
        <v>68</v>
      </c>
      <c r="B40" t="s">
        <v>70</v>
      </c>
      <c r="C40">
        <v>5</v>
      </c>
      <c r="D40" t="s">
        <v>90</v>
      </c>
      <c r="E40" t="s">
        <v>92</v>
      </c>
      <c r="F40" t="s">
        <v>81</v>
      </c>
      <c r="G40">
        <v>0</v>
      </c>
      <c r="H40">
        <v>2E+20</v>
      </c>
      <c r="I40">
        <v>0</v>
      </c>
      <c r="J40">
        <v>0</v>
      </c>
      <c r="K40">
        <v>0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27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0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0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0</v>
      </c>
      <c r="U40" s="5">
        <f>IF((ContinuousStatsTable[[#This Row],[RepsRequested]]&gt;1),ContinuousStatsTable[[#This Row],[HalfWidth]],ContinuousStatsTable[[#This Row],[BatchMeansHalfWidth]])</f>
        <v>0</v>
      </c>
    </row>
    <row r="41" spans="1:21" x14ac:dyDescent="0.25">
      <c r="A41" t="s">
        <v>68</v>
      </c>
      <c r="B41" t="s">
        <v>70</v>
      </c>
      <c r="C41">
        <v>5</v>
      </c>
      <c r="D41" t="s">
        <v>93</v>
      </c>
      <c r="E41" t="s">
        <v>94</v>
      </c>
      <c r="F41" t="s">
        <v>95</v>
      </c>
      <c r="G41">
        <v>0</v>
      </c>
      <c r="H41">
        <v>2E+20</v>
      </c>
      <c r="I41">
        <v>0</v>
      </c>
      <c r="J41">
        <v>0</v>
      </c>
      <c r="K41">
        <v>0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27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0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4.2906548761083699E-2</v>
      </c>
      <c r="U41" s="5">
        <f>IF((ContinuousStatsTable[[#This Row],[RepsRequested]]&gt;1),ContinuousStatsTable[[#This Row],[HalfWidth]],ContinuousStatsTable[[#This Row],[BatchMeansHalfWidth]])</f>
        <v>4.4010751425322646E-3</v>
      </c>
    </row>
    <row r="42" spans="1:21" x14ac:dyDescent="0.25">
      <c r="A42" t="s">
        <v>68</v>
      </c>
      <c r="B42" t="s">
        <v>70</v>
      </c>
      <c r="C42">
        <v>5</v>
      </c>
      <c r="D42" t="s">
        <v>93</v>
      </c>
      <c r="E42" t="s">
        <v>96</v>
      </c>
      <c r="F42" t="s">
        <v>95</v>
      </c>
      <c r="G42">
        <v>0</v>
      </c>
      <c r="H42">
        <v>2E+20</v>
      </c>
      <c r="I42">
        <v>0</v>
      </c>
      <c r="J42">
        <v>0</v>
      </c>
      <c r="K42">
        <v>0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27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0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0.128719646283251</v>
      </c>
      <c r="U42" s="5">
        <f>IF((ContinuousStatsTable[[#This Row],[RepsRequested]]&gt;1),ContinuousStatsTable[[#This Row],[HalfWidth]],ContinuousStatsTable[[#This Row],[BatchMeansHalfWidth]])</f>
        <v>1.3203225427596797E-2</v>
      </c>
    </row>
    <row r="43" spans="1:21" x14ac:dyDescent="0.25">
      <c r="A43" t="s">
        <v>68</v>
      </c>
      <c r="B43" t="s">
        <v>70</v>
      </c>
      <c r="C43">
        <v>5</v>
      </c>
      <c r="D43" t="s">
        <v>93</v>
      </c>
      <c r="E43" t="s">
        <v>97</v>
      </c>
      <c r="F43" t="s">
        <v>95</v>
      </c>
      <c r="G43">
        <v>3</v>
      </c>
      <c r="H43">
        <v>2E+20</v>
      </c>
      <c r="I43">
        <v>3</v>
      </c>
      <c r="J43">
        <v>3</v>
      </c>
      <c r="K43">
        <v>3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27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3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3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3</v>
      </c>
      <c r="U43" s="5">
        <f>IF((ContinuousStatsTable[[#This Row],[RepsRequested]]&gt;1),ContinuousStatsTable[[#This Row],[HalfWidth]],ContinuousStatsTable[[#This Row],[BatchMeansHalfWidth]])</f>
        <v>0</v>
      </c>
    </row>
    <row r="44" spans="1:21" x14ac:dyDescent="0.25">
      <c r="A44" t="s">
        <v>68</v>
      </c>
      <c r="B44" t="s">
        <v>70</v>
      </c>
      <c r="C44">
        <v>5</v>
      </c>
      <c r="D44" t="s">
        <v>98</v>
      </c>
      <c r="E44" t="s">
        <v>94</v>
      </c>
      <c r="F44" t="s">
        <v>95</v>
      </c>
      <c r="G44">
        <v>0</v>
      </c>
      <c r="H44">
        <v>2E+20</v>
      </c>
      <c r="I44">
        <v>0</v>
      </c>
      <c r="J44">
        <v>0</v>
      </c>
      <c r="K44">
        <v>0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27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0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4.2820889862359999E-3</v>
      </c>
      <c r="U44" s="5">
        <f>IF((ContinuousStatsTable[[#This Row],[RepsRequested]]&gt;1),ContinuousStatsTable[[#This Row],[HalfWidth]],ContinuousStatsTable[[#This Row],[BatchMeansHalfWidth]])</f>
        <v>3.2599851741098198E-4</v>
      </c>
    </row>
    <row r="45" spans="1:21" x14ac:dyDescent="0.25">
      <c r="A45" t="s">
        <v>68</v>
      </c>
      <c r="B45" t="s">
        <v>70</v>
      </c>
      <c r="C45">
        <v>5</v>
      </c>
      <c r="D45" t="s">
        <v>98</v>
      </c>
      <c r="E45" t="s">
        <v>96</v>
      </c>
      <c r="F45" t="s">
        <v>95</v>
      </c>
      <c r="G45">
        <v>0</v>
      </c>
      <c r="H45">
        <v>2E+20</v>
      </c>
      <c r="I45">
        <v>0</v>
      </c>
      <c r="J45">
        <v>0</v>
      </c>
      <c r="K45">
        <v>0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27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0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4.2820889862359999E-3</v>
      </c>
      <c r="U45" s="5">
        <f>IF((ContinuousStatsTable[[#This Row],[RepsRequested]]&gt;1),ContinuousStatsTable[[#This Row],[HalfWidth]],ContinuousStatsTable[[#This Row],[BatchMeansHalfWidth]])</f>
        <v>3.2599851741098198E-4</v>
      </c>
    </row>
    <row r="46" spans="1:21" x14ac:dyDescent="0.25">
      <c r="A46" t="s">
        <v>68</v>
      </c>
      <c r="B46" t="s">
        <v>70</v>
      </c>
      <c r="C46">
        <v>5</v>
      </c>
      <c r="D46" t="s">
        <v>98</v>
      </c>
      <c r="E46" t="s">
        <v>97</v>
      </c>
      <c r="F46" t="s">
        <v>95</v>
      </c>
      <c r="G46">
        <v>1</v>
      </c>
      <c r="H46">
        <v>2E+20</v>
      </c>
      <c r="I46">
        <v>1</v>
      </c>
      <c r="J46">
        <v>1</v>
      </c>
      <c r="K46">
        <v>1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27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1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1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1</v>
      </c>
      <c r="U46" s="5">
        <f>IF((ContinuousStatsTable[[#This Row],[RepsRequested]]&gt;1),ContinuousStatsTable[[#This Row],[HalfWidth]],ContinuousStatsTable[[#This Row],[BatchMeansHalfWidth]])</f>
        <v>0</v>
      </c>
    </row>
    <row r="47" spans="1:21" x14ac:dyDescent="0.25">
      <c r="A47" t="s">
        <v>68</v>
      </c>
      <c r="B47" t="s">
        <v>70</v>
      </c>
      <c r="C47">
        <v>6</v>
      </c>
      <c r="D47" t="s">
        <v>71</v>
      </c>
      <c r="E47" t="s">
        <v>91</v>
      </c>
      <c r="F47" t="s">
        <v>73</v>
      </c>
      <c r="G47">
        <v>0</v>
      </c>
      <c r="H47">
        <v>2E+20</v>
      </c>
      <c r="I47">
        <v>0</v>
      </c>
      <c r="J47">
        <v>0</v>
      </c>
      <c r="K47">
        <v>0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27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0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0.128719646283251</v>
      </c>
      <c r="U47" s="5">
        <f>IF((ContinuousStatsTable[[#This Row],[RepsRequested]]&gt;1),ContinuousStatsTable[[#This Row],[HalfWidth]],ContinuousStatsTable[[#This Row],[BatchMeansHalfWidth]])</f>
        <v>1.3314003381859424E-2</v>
      </c>
    </row>
    <row r="48" spans="1:21" x14ac:dyDescent="0.25">
      <c r="A48" t="s">
        <v>68</v>
      </c>
      <c r="B48" t="s">
        <v>70</v>
      </c>
      <c r="C48">
        <v>6</v>
      </c>
      <c r="D48" t="s">
        <v>79</v>
      </c>
      <c r="E48" t="s">
        <v>92</v>
      </c>
      <c r="F48" t="s">
        <v>81</v>
      </c>
      <c r="G48">
        <v>0</v>
      </c>
      <c r="H48">
        <v>2E+20</v>
      </c>
      <c r="I48">
        <v>0</v>
      </c>
      <c r="J48">
        <v>0</v>
      </c>
      <c r="K48">
        <v>0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27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0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0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0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0</v>
      </c>
      <c r="U48" s="5">
        <f>IF((ContinuousStatsTable[[#This Row],[RepsRequested]]&gt;1),ContinuousStatsTable[[#This Row],[HalfWidth]],ContinuousStatsTable[[#This Row],[BatchMeansHalfWidth]])</f>
        <v>0</v>
      </c>
    </row>
    <row r="49" spans="1:21" x14ac:dyDescent="0.25">
      <c r="A49" t="s">
        <v>68</v>
      </c>
      <c r="B49" t="s">
        <v>70</v>
      </c>
      <c r="C49">
        <v>6</v>
      </c>
      <c r="D49" t="s">
        <v>90</v>
      </c>
      <c r="E49" t="s">
        <v>92</v>
      </c>
      <c r="F49" t="s">
        <v>81</v>
      </c>
      <c r="G49">
        <v>0</v>
      </c>
      <c r="H49">
        <v>2E+20</v>
      </c>
      <c r="I49">
        <v>0</v>
      </c>
      <c r="J49">
        <v>0</v>
      </c>
      <c r="K49">
        <v>0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27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0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0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0</v>
      </c>
      <c r="U49" s="5">
        <f>IF((ContinuousStatsTable[[#This Row],[RepsRequested]]&gt;1),ContinuousStatsTable[[#This Row],[HalfWidth]],ContinuousStatsTable[[#This Row],[BatchMeansHalfWidth]])</f>
        <v>0</v>
      </c>
    </row>
    <row r="50" spans="1:21" x14ac:dyDescent="0.25">
      <c r="A50" t="s">
        <v>68</v>
      </c>
      <c r="B50" t="s">
        <v>70</v>
      </c>
      <c r="C50">
        <v>6</v>
      </c>
      <c r="D50" t="s">
        <v>93</v>
      </c>
      <c r="E50" t="s">
        <v>94</v>
      </c>
      <c r="F50" t="s">
        <v>95</v>
      </c>
      <c r="G50">
        <v>0</v>
      </c>
      <c r="H50">
        <v>2E+20</v>
      </c>
      <c r="I50">
        <v>0</v>
      </c>
      <c r="J50">
        <v>0</v>
      </c>
      <c r="K50">
        <v>0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27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0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4.2906548761083699E-2</v>
      </c>
      <c r="U50" s="5">
        <f>IF((ContinuousStatsTable[[#This Row],[RepsRequested]]&gt;1),ContinuousStatsTable[[#This Row],[HalfWidth]],ContinuousStatsTable[[#This Row],[BatchMeansHalfWidth]])</f>
        <v>4.4010751425322646E-3</v>
      </c>
    </row>
    <row r="51" spans="1:21" x14ac:dyDescent="0.25">
      <c r="A51" t="s">
        <v>68</v>
      </c>
      <c r="B51" t="s">
        <v>70</v>
      </c>
      <c r="C51">
        <v>6</v>
      </c>
      <c r="D51" t="s">
        <v>93</v>
      </c>
      <c r="E51" t="s">
        <v>96</v>
      </c>
      <c r="F51" t="s">
        <v>95</v>
      </c>
      <c r="G51">
        <v>0</v>
      </c>
      <c r="H51">
        <v>2E+20</v>
      </c>
      <c r="I51">
        <v>0</v>
      </c>
      <c r="J51">
        <v>0</v>
      </c>
      <c r="K51">
        <v>0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27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0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0.128719646283251</v>
      </c>
      <c r="U51" s="5">
        <f>IF((ContinuousStatsTable[[#This Row],[RepsRequested]]&gt;1),ContinuousStatsTable[[#This Row],[HalfWidth]],ContinuousStatsTable[[#This Row],[BatchMeansHalfWidth]])</f>
        <v>1.3203225427596797E-2</v>
      </c>
    </row>
    <row r="52" spans="1:21" x14ac:dyDescent="0.25">
      <c r="A52" t="s">
        <v>68</v>
      </c>
      <c r="B52" t="s">
        <v>70</v>
      </c>
      <c r="C52">
        <v>6</v>
      </c>
      <c r="D52" t="s">
        <v>93</v>
      </c>
      <c r="E52" t="s">
        <v>97</v>
      </c>
      <c r="F52" t="s">
        <v>95</v>
      </c>
      <c r="G52">
        <v>3</v>
      </c>
      <c r="H52">
        <v>2E+20</v>
      </c>
      <c r="I52">
        <v>3</v>
      </c>
      <c r="J52">
        <v>3</v>
      </c>
      <c r="K52">
        <v>3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27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3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3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3</v>
      </c>
      <c r="U52" s="5">
        <f>IF((ContinuousStatsTable[[#This Row],[RepsRequested]]&gt;1),ContinuousStatsTable[[#This Row],[HalfWidth]],ContinuousStatsTable[[#This Row],[BatchMeansHalfWidth]])</f>
        <v>0</v>
      </c>
    </row>
    <row r="53" spans="1:21" x14ac:dyDescent="0.25">
      <c r="A53" t="s">
        <v>68</v>
      </c>
      <c r="B53" t="s">
        <v>70</v>
      </c>
      <c r="C53">
        <v>6</v>
      </c>
      <c r="D53" t="s">
        <v>98</v>
      </c>
      <c r="E53" t="s">
        <v>94</v>
      </c>
      <c r="F53" t="s">
        <v>95</v>
      </c>
      <c r="G53">
        <v>0</v>
      </c>
      <c r="H53">
        <v>2E+20</v>
      </c>
      <c r="I53">
        <v>0</v>
      </c>
      <c r="J53">
        <v>0</v>
      </c>
      <c r="K53">
        <v>0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27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0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4.2820889862359999E-3</v>
      </c>
      <c r="U53" s="5">
        <f>IF((ContinuousStatsTable[[#This Row],[RepsRequested]]&gt;1),ContinuousStatsTable[[#This Row],[HalfWidth]],ContinuousStatsTable[[#This Row],[BatchMeansHalfWidth]])</f>
        <v>3.2599851741098198E-4</v>
      </c>
    </row>
    <row r="54" spans="1:21" x14ac:dyDescent="0.25">
      <c r="A54" t="s">
        <v>68</v>
      </c>
      <c r="B54" t="s">
        <v>70</v>
      </c>
      <c r="C54">
        <v>6</v>
      </c>
      <c r="D54" t="s">
        <v>98</v>
      </c>
      <c r="E54" t="s">
        <v>96</v>
      </c>
      <c r="F54" t="s">
        <v>95</v>
      </c>
      <c r="G54">
        <v>0</v>
      </c>
      <c r="H54">
        <v>2E+20</v>
      </c>
      <c r="I54">
        <v>0</v>
      </c>
      <c r="J54">
        <v>0</v>
      </c>
      <c r="K54">
        <v>0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27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0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4.2820889862359999E-3</v>
      </c>
      <c r="U54" s="5">
        <f>IF((ContinuousStatsTable[[#This Row],[RepsRequested]]&gt;1),ContinuousStatsTable[[#This Row],[HalfWidth]],ContinuousStatsTable[[#This Row],[BatchMeansHalfWidth]])</f>
        <v>3.2599851741098198E-4</v>
      </c>
    </row>
    <row r="55" spans="1:21" x14ac:dyDescent="0.25">
      <c r="A55" t="s">
        <v>68</v>
      </c>
      <c r="B55" t="s">
        <v>70</v>
      </c>
      <c r="C55">
        <v>6</v>
      </c>
      <c r="D55" t="s">
        <v>98</v>
      </c>
      <c r="E55" t="s">
        <v>97</v>
      </c>
      <c r="F55" t="s">
        <v>95</v>
      </c>
      <c r="G55">
        <v>1</v>
      </c>
      <c r="H55">
        <v>2E+20</v>
      </c>
      <c r="I55">
        <v>1</v>
      </c>
      <c r="J55">
        <v>1</v>
      </c>
      <c r="K55">
        <v>1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27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1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1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1</v>
      </c>
      <c r="U55" s="5">
        <f>IF((ContinuousStatsTable[[#This Row],[RepsRequested]]&gt;1),ContinuousStatsTable[[#This Row],[HalfWidth]],ContinuousStatsTable[[#This Row],[BatchMeansHalfWidth]])</f>
        <v>0</v>
      </c>
    </row>
    <row r="56" spans="1:21" x14ac:dyDescent="0.25">
      <c r="A56" t="s">
        <v>68</v>
      </c>
      <c r="B56" t="s">
        <v>70</v>
      </c>
      <c r="C56">
        <v>7</v>
      </c>
      <c r="D56" t="s">
        <v>71</v>
      </c>
      <c r="E56" t="s">
        <v>91</v>
      </c>
      <c r="F56" t="s">
        <v>73</v>
      </c>
      <c r="G56">
        <v>2.81208416990829E-2</v>
      </c>
      <c r="H56">
        <v>2E+20</v>
      </c>
      <c r="I56">
        <v>0</v>
      </c>
      <c r="J56">
        <v>1</v>
      </c>
      <c r="K56">
        <v>0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27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0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0.128719646283251</v>
      </c>
      <c r="U56" s="5">
        <f>IF((ContinuousStatsTable[[#This Row],[RepsRequested]]&gt;1),ContinuousStatsTable[[#This Row],[HalfWidth]],ContinuousStatsTable[[#This Row],[BatchMeansHalfWidth]])</f>
        <v>1.3314003381859424E-2</v>
      </c>
    </row>
    <row r="57" spans="1:21" x14ac:dyDescent="0.25">
      <c r="A57" t="s">
        <v>68</v>
      </c>
      <c r="B57" t="s">
        <v>70</v>
      </c>
      <c r="C57">
        <v>7</v>
      </c>
      <c r="D57" t="s">
        <v>79</v>
      </c>
      <c r="E57" t="s">
        <v>92</v>
      </c>
      <c r="F57" t="s">
        <v>81</v>
      </c>
      <c r="G57">
        <v>0</v>
      </c>
      <c r="H57">
        <v>2E+20</v>
      </c>
      <c r="I57">
        <v>0</v>
      </c>
      <c r="J57">
        <v>0</v>
      </c>
      <c r="K57">
        <v>0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27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0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0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0</v>
      </c>
      <c r="U57" s="5">
        <f>IF((ContinuousStatsTable[[#This Row],[RepsRequested]]&gt;1),ContinuousStatsTable[[#This Row],[HalfWidth]],ContinuousStatsTable[[#This Row],[BatchMeansHalfWidth]])</f>
        <v>0</v>
      </c>
    </row>
    <row r="58" spans="1:21" x14ac:dyDescent="0.25">
      <c r="A58" t="s">
        <v>68</v>
      </c>
      <c r="B58" t="s">
        <v>70</v>
      </c>
      <c r="C58">
        <v>7</v>
      </c>
      <c r="D58" t="s">
        <v>90</v>
      </c>
      <c r="E58" t="s">
        <v>92</v>
      </c>
      <c r="F58" t="s">
        <v>81</v>
      </c>
      <c r="G58">
        <v>0</v>
      </c>
      <c r="H58">
        <v>2E+20</v>
      </c>
      <c r="I58">
        <v>0</v>
      </c>
      <c r="J58">
        <v>0</v>
      </c>
      <c r="K58">
        <v>0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27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0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0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0</v>
      </c>
      <c r="U58" s="5">
        <f>IF((ContinuousStatsTable[[#This Row],[RepsRequested]]&gt;1),ContinuousStatsTable[[#This Row],[HalfWidth]],ContinuousStatsTable[[#This Row],[BatchMeansHalfWidth]])</f>
        <v>0</v>
      </c>
    </row>
    <row r="59" spans="1:21" x14ac:dyDescent="0.25">
      <c r="A59" t="s">
        <v>68</v>
      </c>
      <c r="B59" t="s">
        <v>70</v>
      </c>
      <c r="C59">
        <v>7</v>
      </c>
      <c r="D59" t="s">
        <v>93</v>
      </c>
      <c r="E59" t="s">
        <v>94</v>
      </c>
      <c r="F59" t="s">
        <v>95</v>
      </c>
      <c r="G59">
        <v>9.3736138996943098E-3</v>
      </c>
      <c r="H59">
        <v>2E+20</v>
      </c>
      <c r="I59">
        <v>0</v>
      </c>
      <c r="J59">
        <v>0.33333333333333298</v>
      </c>
      <c r="K59">
        <v>0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27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0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4.2906548761083699E-2</v>
      </c>
      <c r="U59" s="5">
        <f>IF((ContinuousStatsTable[[#This Row],[RepsRequested]]&gt;1),ContinuousStatsTable[[#This Row],[HalfWidth]],ContinuousStatsTable[[#This Row],[BatchMeansHalfWidth]])</f>
        <v>4.4010751425322646E-3</v>
      </c>
    </row>
    <row r="60" spans="1:21" x14ac:dyDescent="0.25">
      <c r="A60" t="s">
        <v>68</v>
      </c>
      <c r="B60" t="s">
        <v>70</v>
      </c>
      <c r="C60">
        <v>7</v>
      </c>
      <c r="D60" t="s">
        <v>93</v>
      </c>
      <c r="E60" t="s">
        <v>96</v>
      </c>
      <c r="F60" t="s">
        <v>95</v>
      </c>
      <c r="G60">
        <v>2.81208416990829E-2</v>
      </c>
      <c r="H60">
        <v>2E+20</v>
      </c>
      <c r="I60">
        <v>0</v>
      </c>
      <c r="J60">
        <v>1</v>
      </c>
      <c r="K60">
        <v>0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27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0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0.128719646283251</v>
      </c>
      <c r="U60" s="5">
        <f>IF((ContinuousStatsTable[[#This Row],[RepsRequested]]&gt;1),ContinuousStatsTable[[#This Row],[HalfWidth]],ContinuousStatsTable[[#This Row],[BatchMeansHalfWidth]])</f>
        <v>1.3203225427596797E-2</v>
      </c>
    </row>
    <row r="61" spans="1:21" x14ac:dyDescent="0.25">
      <c r="A61" t="s">
        <v>68</v>
      </c>
      <c r="B61" t="s">
        <v>70</v>
      </c>
      <c r="C61">
        <v>7</v>
      </c>
      <c r="D61" t="s">
        <v>93</v>
      </c>
      <c r="E61" t="s">
        <v>97</v>
      </c>
      <c r="F61" t="s">
        <v>95</v>
      </c>
      <c r="G61">
        <v>3</v>
      </c>
      <c r="H61">
        <v>2E+20</v>
      </c>
      <c r="I61">
        <v>3</v>
      </c>
      <c r="J61">
        <v>3</v>
      </c>
      <c r="K61">
        <v>3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27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3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3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3</v>
      </c>
      <c r="U61" s="5">
        <f>IF((ContinuousStatsTable[[#This Row],[RepsRequested]]&gt;1),ContinuousStatsTable[[#This Row],[HalfWidth]],ContinuousStatsTable[[#This Row],[BatchMeansHalfWidth]])</f>
        <v>0</v>
      </c>
    </row>
    <row r="62" spans="1:21" x14ac:dyDescent="0.25">
      <c r="A62" t="s">
        <v>68</v>
      </c>
      <c r="B62" t="s">
        <v>70</v>
      </c>
      <c r="C62">
        <v>7</v>
      </c>
      <c r="D62" t="s">
        <v>98</v>
      </c>
      <c r="E62" t="s">
        <v>94</v>
      </c>
      <c r="F62" t="s">
        <v>95</v>
      </c>
      <c r="G62">
        <v>0</v>
      </c>
      <c r="H62">
        <v>2E+20</v>
      </c>
      <c r="I62">
        <v>0</v>
      </c>
      <c r="J62">
        <v>0</v>
      </c>
      <c r="K62">
        <v>0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27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0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4.2820889862359999E-3</v>
      </c>
      <c r="U62" s="5">
        <f>IF((ContinuousStatsTable[[#This Row],[RepsRequested]]&gt;1),ContinuousStatsTable[[#This Row],[HalfWidth]],ContinuousStatsTable[[#This Row],[BatchMeansHalfWidth]])</f>
        <v>3.2599851741098198E-4</v>
      </c>
    </row>
    <row r="63" spans="1:21" x14ac:dyDescent="0.25">
      <c r="A63" t="s">
        <v>68</v>
      </c>
      <c r="B63" t="s">
        <v>70</v>
      </c>
      <c r="C63">
        <v>7</v>
      </c>
      <c r="D63" t="s">
        <v>98</v>
      </c>
      <c r="E63" t="s">
        <v>96</v>
      </c>
      <c r="F63" t="s">
        <v>95</v>
      </c>
      <c r="G63">
        <v>0</v>
      </c>
      <c r="H63">
        <v>2E+20</v>
      </c>
      <c r="I63">
        <v>0</v>
      </c>
      <c r="J63">
        <v>0</v>
      </c>
      <c r="K63">
        <v>0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27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0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4.2820889862359999E-3</v>
      </c>
      <c r="U63" s="5">
        <f>IF((ContinuousStatsTable[[#This Row],[RepsRequested]]&gt;1),ContinuousStatsTable[[#This Row],[HalfWidth]],ContinuousStatsTable[[#This Row],[BatchMeansHalfWidth]])</f>
        <v>3.2599851741098198E-4</v>
      </c>
    </row>
    <row r="64" spans="1:21" x14ac:dyDescent="0.25">
      <c r="A64" t="s">
        <v>68</v>
      </c>
      <c r="B64" t="s">
        <v>70</v>
      </c>
      <c r="C64">
        <v>7</v>
      </c>
      <c r="D64" t="s">
        <v>98</v>
      </c>
      <c r="E64" t="s">
        <v>97</v>
      </c>
      <c r="F64" t="s">
        <v>95</v>
      </c>
      <c r="G64">
        <v>1</v>
      </c>
      <c r="H64">
        <v>2E+20</v>
      </c>
      <c r="I64">
        <v>1</v>
      </c>
      <c r="J64">
        <v>1</v>
      </c>
      <c r="K64">
        <v>1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27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1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1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1</v>
      </c>
      <c r="U64" s="5">
        <f>IF((ContinuousStatsTable[[#This Row],[RepsRequested]]&gt;1),ContinuousStatsTable[[#This Row],[HalfWidth]],ContinuousStatsTable[[#This Row],[BatchMeansHalfWidth]])</f>
        <v>0</v>
      </c>
    </row>
    <row r="65" spans="1:21" x14ac:dyDescent="0.25">
      <c r="A65" t="s">
        <v>68</v>
      </c>
      <c r="B65" t="s">
        <v>70</v>
      </c>
      <c r="C65">
        <v>8</v>
      </c>
      <c r="D65" t="s">
        <v>71</v>
      </c>
      <c r="E65" t="s">
        <v>91</v>
      </c>
      <c r="F65" t="s">
        <v>73</v>
      </c>
      <c r="G65">
        <v>2.7789899851861501E-2</v>
      </c>
      <c r="H65">
        <v>2E+20</v>
      </c>
      <c r="I65">
        <v>0</v>
      </c>
      <c r="J65">
        <v>1</v>
      </c>
      <c r="K65">
        <v>0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27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0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0.128719646283251</v>
      </c>
      <c r="U65" s="5">
        <f>IF((ContinuousStatsTable[[#This Row],[RepsRequested]]&gt;1),ContinuousStatsTable[[#This Row],[HalfWidth]],ContinuousStatsTable[[#This Row],[BatchMeansHalfWidth]])</f>
        <v>1.3314003381859424E-2</v>
      </c>
    </row>
    <row r="66" spans="1:21" x14ac:dyDescent="0.25">
      <c r="A66" t="s">
        <v>68</v>
      </c>
      <c r="B66" t="s">
        <v>70</v>
      </c>
      <c r="C66">
        <v>8</v>
      </c>
      <c r="D66" t="s">
        <v>79</v>
      </c>
      <c r="E66" t="s">
        <v>92</v>
      </c>
      <c r="F66" t="s">
        <v>81</v>
      </c>
      <c r="G66">
        <v>0</v>
      </c>
      <c r="H66">
        <v>2E+20</v>
      </c>
      <c r="I66">
        <v>0</v>
      </c>
      <c r="J66">
        <v>0</v>
      </c>
      <c r="K66">
        <v>0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27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0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0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0</v>
      </c>
      <c r="U66" s="5">
        <f>IF((ContinuousStatsTable[[#This Row],[RepsRequested]]&gt;1),ContinuousStatsTable[[#This Row],[HalfWidth]],ContinuousStatsTable[[#This Row],[BatchMeansHalfWidth]])</f>
        <v>0</v>
      </c>
    </row>
    <row r="67" spans="1:21" x14ac:dyDescent="0.25">
      <c r="A67" t="s">
        <v>68</v>
      </c>
      <c r="B67" t="s">
        <v>70</v>
      </c>
      <c r="C67">
        <v>8</v>
      </c>
      <c r="D67" t="s">
        <v>90</v>
      </c>
      <c r="E67" t="s">
        <v>92</v>
      </c>
      <c r="F67" t="s">
        <v>81</v>
      </c>
      <c r="G67">
        <v>0</v>
      </c>
      <c r="H67">
        <v>2E+20</v>
      </c>
      <c r="I67">
        <v>0</v>
      </c>
      <c r="J67">
        <v>0</v>
      </c>
      <c r="K67">
        <v>0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27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0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0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0</v>
      </c>
      <c r="U67" s="5">
        <f>IF((ContinuousStatsTable[[#This Row],[RepsRequested]]&gt;1),ContinuousStatsTable[[#This Row],[HalfWidth]],ContinuousStatsTable[[#This Row],[BatchMeansHalfWidth]])</f>
        <v>0</v>
      </c>
    </row>
    <row r="68" spans="1:21" x14ac:dyDescent="0.25">
      <c r="A68" t="s">
        <v>68</v>
      </c>
      <c r="B68" t="s">
        <v>70</v>
      </c>
      <c r="C68">
        <v>8</v>
      </c>
      <c r="D68" t="s">
        <v>93</v>
      </c>
      <c r="E68" t="s">
        <v>94</v>
      </c>
      <c r="F68" t="s">
        <v>95</v>
      </c>
      <c r="G68">
        <v>9.2632999506205103E-3</v>
      </c>
      <c r="H68">
        <v>2E+20</v>
      </c>
      <c r="I68">
        <v>0</v>
      </c>
      <c r="J68">
        <v>0.33333333333333298</v>
      </c>
      <c r="K68">
        <v>0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27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0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4.2906548761083699E-2</v>
      </c>
      <c r="U68" s="5">
        <f>IF((ContinuousStatsTable[[#This Row],[RepsRequested]]&gt;1),ContinuousStatsTable[[#This Row],[HalfWidth]],ContinuousStatsTable[[#This Row],[BatchMeansHalfWidth]])</f>
        <v>4.4010751425322646E-3</v>
      </c>
    </row>
    <row r="69" spans="1:21" x14ac:dyDescent="0.25">
      <c r="A69" t="s">
        <v>68</v>
      </c>
      <c r="B69" t="s">
        <v>70</v>
      </c>
      <c r="C69">
        <v>8</v>
      </c>
      <c r="D69" t="s">
        <v>93</v>
      </c>
      <c r="E69" t="s">
        <v>96</v>
      </c>
      <c r="F69" t="s">
        <v>95</v>
      </c>
      <c r="G69">
        <v>2.7789899851861501E-2</v>
      </c>
      <c r="H69">
        <v>2E+20</v>
      </c>
      <c r="I69">
        <v>0</v>
      </c>
      <c r="J69">
        <v>1</v>
      </c>
      <c r="K69">
        <v>0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27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0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0.128719646283251</v>
      </c>
      <c r="U69" s="5">
        <f>IF((ContinuousStatsTable[[#This Row],[RepsRequested]]&gt;1),ContinuousStatsTable[[#This Row],[HalfWidth]],ContinuousStatsTable[[#This Row],[BatchMeansHalfWidth]])</f>
        <v>1.3203225427596797E-2</v>
      </c>
    </row>
    <row r="70" spans="1:21" x14ac:dyDescent="0.25">
      <c r="A70" t="s">
        <v>68</v>
      </c>
      <c r="B70" t="s">
        <v>70</v>
      </c>
      <c r="C70">
        <v>8</v>
      </c>
      <c r="D70" t="s">
        <v>93</v>
      </c>
      <c r="E70" t="s">
        <v>97</v>
      </c>
      <c r="F70" t="s">
        <v>95</v>
      </c>
      <c r="G70">
        <v>3</v>
      </c>
      <c r="H70">
        <v>2E+20</v>
      </c>
      <c r="I70">
        <v>3</v>
      </c>
      <c r="J70">
        <v>3</v>
      </c>
      <c r="K70">
        <v>3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27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3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3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3</v>
      </c>
      <c r="U70" s="5">
        <f>IF((ContinuousStatsTable[[#This Row],[RepsRequested]]&gt;1),ContinuousStatsTable[[#This Row],[HalfWidth]],ContinuousStatsTable[[#This Row],[BatchMeansHalfWidth]])</f>
        <v>0</v>
      </c>
    </row>
    <row r="71" spans="1:21" x14ac:dyDescent="0.25">
      <c r="A71" t="s">
        <v>68</v>
      </c>
      <c r="B71" t="s">
        <v>70</v>
      </c>
      <c r="C71">
        <v>8</v>
      </c>
      <c r="D71" t="s">
        <v>98</v>
      </c>
      <c r="E71" t="s">
        <v>94</v>
      </c>
      <c r="F71" t="s">
        <v>95</v>
      </c>
      <c r="G71">
        <v>0</v>
      </c>
      <c r="H71">
        <v>2E+20</v>
      </c>
      <c r="I71">
        <v>0</v>
      </c>
      <c r="J71">
        <v>0</v>
      </c>
      <c r="K71">
        <v>0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27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0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4.2820889862359999E-3</v>
      </c>
      <c r="U71" s="5">
        <f>IF((ContinuousStatsTable[[#This Row],[RepsRequested]]&gt;1),ContinuousStatsTable[[#This Row],[HalfWidth]],ContinuousStatsTable[[#This Row],[BatchMeansHalfWidth]])</f>
        <v>3.2599851741098198E-4</v>
      </c>
    </row>
    <row r="72" spans="1:21" x14ac:dyDescent="0.25">
      <c r="A72" t="s">
        <v>68</v>
      </c>
      <c r="B72" t="s">
        <v>70</v>
      </c>
      <c r="C72">
        <v>8</v>
      </c>
      <c r="D72" t="s">
        <v>98</v>
      </c>
      <c r="E72" t="s">
        <v>96</v>
      </c>
      <c r="F72" t="s">
        <v>95</v>
      </c>
      <c r="G72">
        <v>0</v>
      </c>
      <c r="H72">
        <v>2E+20</v>
      </c>
      <c r="I72">
        <v>0</v>
      </c>
      <c r="J72">
        <v>0</v>
      </c>
      <c r="K72">
        <v>0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27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0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4.2820889862359999E-3</v>
      </c>
      <c r="U72" s="5">
        <f>IF((ContinuousStatsTable[[#This Row],[RepsRequested]]&gt;1),ContinuousStatsTable[[#This Row],[HalfWidth]],ContinuousStatsTable[[#This Row],[BatchMeansHalfWidth]])</f>
        <v>3.2599851741098198E-4</v>
      </c>
    </row>
    <row r="73" spans="1:21" x14ac:dyDescent="0.25">
      <c r="A73" t="s">
        <v>68</v>
      </c>
      <c r="B73" t="s">
        <v>70</v>
      </c>
      <c r="C73">
        <v>8</v>
      </c>
      <c r="D73" t="s">
        <v>98</v>
      </c>
      <c r="E73" t="s">
        <v>97</v>
      </c>
      <c r="F73" t="s">
        <v>95</v>
      </c>
      <c r="G73">
        <v>1</v>
      </c>
      <c r="H73">
        <v>2E+20</v>
      </c>
      <c r="I73">
        <v>1</v>
      </c>
      <c r="J73">
        <v>1</v>
      </c>
      <c r="K73">
        <v>1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27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1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1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1</v>
      </c>
      <c r="U73" s="5">
        <f>IF((ContinuousStatsTable[[#This Row],[RepsRequested]]&gt;1),ContinuousStatsTable[[#This Row],[HalfWidth]],ContinuousStatsTable[[#This Row],[BatchMeansHalfWidth]])</f>
        <v>0</v>
      </c>
    </row>
    <row r="74" spans="1:21" x14ac:dyDescent="0.25">
      <c r="A74" t="s">
        <v>68</v>
      </c>
      <c r="B74" t="s">
        <v>70</v>
      </c>
      <c r="C74">
        <v>9</v>
      </c>
      <c r="D74" t="s">
        <v>71</v>
      </c>
      <c r="E74" t="s">
        <v>91</v>
      </c>
      <c r="F74" t="s">
        <v>73</v>
      </c>
      <c r="G74">
        <v>0</v>
      </c>
      <c r="H74">
        <v>2E+20</v>
      </c>
      <c r="I74">
        <v>0</v>
      </c>
      <c r="J74">
        <v>0</v>
      </c>
      <c r="K74">
        <v>0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27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0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0.128719646283251</v>
      </c>
      <c r="U74" s="5">
        <f>IF((ContinuousStatsTable[[#This Row],[RepsRequested]]&gt;1),ContinuousStatsTable[[#This Row],[HalfWidth]],ContinuousStatsTable[[#This Row],[BatchMeansHalfWidth]])</f>
        <v>1.3314003381859424E-2</v>
      </c>
    </row>
    <row r="75" spans="1:21" x14ac:dyDescent="0.25">
      <c r="A75" t="s">
        <v>68</v>
      </c>
      <c r="B75" t="s">
        <v>70</v>
      </c>
      <c r="C75">
        <v>9</v>
      </c>
      <c r="D75" t="s">
        <v>79</v>
      </c>
      <c r="E75" t="s">
        <v>92</v>
      </c>
      <c r="F75" t="s">
        <v>81</v>
      </c>
      <c r="G75">
        <v>0</v>
      </c>
      <c r="H75">
        <v>2E+20</v>
      </c>
      <c r="I75">
        <v>0</v>
      </c>
      <c r="J75">
        <v>0</v>
      </c>
      <c r="K75">
        <v>0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27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0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0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0</v>
      </c>
      <c r="U75" s="5">
        <f>IF((ContinuousStatsTable[[#This Row],[RepsRequested]]&gt;1),ContinuousStatsTable[[#This Row],[HalfWidth]],ContinuousStatsTable[[#This Row],[BatchMeansHalfWidth]])</f>
        <v>0</v>
      </c>
    </row>
    <row r="76" spans="1:21" x14ac:dyDescent="0.25">
      <c r="A76" t="s">
        <v>68</v>
      </c>
      <c r="B76" t="s">
        <v>70</v>
      </c>
      <c r="C76">
        <v>9</v>
      </c>
      <c r="D76" t="s">
        <v>90</v>
      </c>
      <c r="E76" t="s">
        <v>92</v>
      </c>
      <c r="F76" t="s">
        <v>81</v>
      </c>
      <c r="G76">
        <v>0</v>
      </c>
      <c r="H76">
        <v>2E+20</v>
      </c>
      <c r="I76">
        <v>0</v>
      </c>
      <c r="J76">
        <v>0</v>
      </c>
      <c r="K76">
        <v>0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27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0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0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0</v>
      </c>
      <c r="U76" s="5">
        <f>IF((ContinuousStatsTable[[#This Row],[RepsRequested]]&gt;1),ContinuousStatsTable[[#This Row],[HalfWidth]],ContinuousStatsTable[[#This Row],[BatchMeansHalfWidth]])</f>
        <v>0</v>
      </c>
    </row>
    <row r="77" spans="1:21" x14ac:dyDescent="0.25">
      <c r="A77" t="s">
        <v>68</v>
      </c>
      <c r="B77" t="s">
        <v>70</v>
      </c>
      <c r="C77">
        <v>9</v>
      </c>
      <c r="D77" t="s">
        <v>93</v>
      </c>
      <c r="E77" t="s">
        <v>94</v>
      </c>
      <c r="F77" t="s">
        <v>95</v>
      </c>
      <c r="G77">
        <v>0</v>
      </c>
      <c r="H77">
        <v>2E+20</v>
      </c>
      <c r="I77">
        <v>0</v>
      </c>
      <c r="J77">
        <v>0</v>
      </c>
      <c r="K77">
        <v>0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77" s="5" cm="1">
        <f t="array" ref="N77">MAX(IF((ProjectInfoTable[ProjectName]=ContinuousStatsTable[[#This Row],[ProjectName]]),(ProjectInfoTable[ProjectName]=ContinuousStatsTable[[#This Row],[ProjectName]])*ProjectInfoTable[NumberOfReplications]))</f>
        <v>27</v>
      </c>
      <c r="O77" s="5" cm="1">
        <f t="array" ref="O77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77" s="5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77" s="5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77" s="5" cm="1">
        <f t="array" ref="S77">MIN(IF((ContinuousStatsTable[GroupByKey]=ContinuousStatsTable[[#This Row],[GroupByKey]]),(ContinuousStatsTable[GroupByKey]=ContinuousStatsTable[[#This Row],[GroupByKey]])*ContinuousStatsTable[Average]))</f>
        <v>0</v>
      </c>
      <c r="T77" s="5" cm="1">
        <f t="array" ref="T77">MAX(IF((ContinuousStatsTable[GroupByKey]=ContinuousStatsTable[[#This Row],[GroupByKey]]),(ContinuousStatsTable[GroupByKey]=ContinuousStatsTable[[#This Row],[GroupByKey]])*ContinuousStatsTable[Average]))</f>
        <v>4.2906548761083699E-2</v>
      </c>
      <c r="U77" s="5">
        <f>IF((ContinuousStatsTable[[#This Row],[RepsRequested]]&gt;1),ContinuousStatsTable[[#This Row],[HalfWidth]],ContinuousStatsTable[[#This Row],[BatchMeansHalfWidth]])</f>
        <v>4.4010751425322646E-3</v>
      </c>
    </row>
    <row r="78" spans="1:21" x14ac:dyDescent="0.25">
      <c r="A78" t="s">
        <v>68</v>
      </c>
      <c r="B78" t="s">
        <v>70</v>
      </c>
      <c r="C78">
        <v>9</v>
      </c>
      <c r="D78" t="s">
        <v>93</v>
      </c>
      <c r="E78" t="s">
        <v>96</v>
      </c>
      <c r="F78" t="s">
        <v>95</v>
      </c>
      <c r="G78">
        <v>0</v>
      </c>
      <c r="H78">
        <v>2E+20</v>
      </c>
      <c r="I78">
        <v>0</v>
      </c>
      <c r="J78">
        <v>0</v>
      </c>
      <c r="K78">
        <v>0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78" s="5" cm="1">
        <f t="array" ref="N78">MAX(IF((ProjectInfoTable[ProjectName]=ContinuousStatsTable[[#This Row],[ProjectName]]),(ProjectInfoTable[ProjectName]=ContinuousStatsTable[[#This Row],[ProjectName]])*ProjectInfoTable[NumberOfReplications]))</f>
        <v>27</v>
      </c>
      <c r="O78" s="5" cm="1">
        <f t="array" ref="O78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78" s="5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78" s="5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78" s="5" cm="1">
        <f t="array" ref="S78">MIN(IF((ContinuousStatsTable[GroupByKey]=ContinuousStatsTable[[#This Row],[GroupByKey]]),(ContinuousStatsTable[GroupByKey]=ContinuousStatsTable[[#This Row],[GroupByKey]])*ContinuousStatsTable[Average]))</f>
        <v>0</v>
      </c>
      <c r="T78" s="5" cm="1">
        <f t="array" ref="T78">MAX(IF((ContinuousStatsTable[GroupByKey]=ContinuousStatsTable[[#This Row],[GroupByKey]]),(ContinuousStatsTable[GroupByKey]=ContinuousStatsTable[[#This Row],[GroupByKey]])*ContinuousStatsTable[Average]))</f>
        <v>0.128719646283251</v>
      </c>
      <c r="U78" s="5">
        <f>IF((ContinuousStatsTable[[#This Row],[RepsRequested]]&gt;1),ContinuousStatsTable[[#This Row],[HalfWidth]],ContinuousStatsTable[[#This Row],[BatchMeansHalfWidth]])</f>
        <v>1.3203225427596797E-2</v>
      </c>
    </row>
    <row r="79" spans="1:21" x14ac:dyDescent="0.25">
      <c r="A79" t="s">
        <v>68</v>
      </c>
      <c r="B79" t="s">
        <v>70</v>
      </c>
      <c r="C79">
        <v>9</v>
      </c>
      <c r="D79" t="s">
        <v>93</v>
      </c>
      <c r="E79" t="s">
        <v>97</v>
      </c>
      <c r="F79" t="s">
        <v>95</v>
      </c>
      <c r="G79">
        <v>3</v>
      </c>
      <c r="H79">
        <v>2E+20</v>
      </c>
      <c r="I79">
        <v>3</v>
      </c>
      <c r="J79">
        <v>3</v>
      </c>
      <c r="K79">
        <v>3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79" s="5" cm="1">
        <f t="array" ref="N79">MAX(IF((ProjectInfoTable[ProjectName]=ContinuousStatsTable[[#This Row],[ProjectName]]),(ProjectInfoTable[ProjectName]=ContinuousStatsTable[[#This Row],[ProjectName]])*ProjectInfoTable[NumberOfReplications]))</f>
        <v>27</v>
      </c>
      <c r="O79" s="5" cm="1">
        <f t="array" ref="O79">IFERROR(AVERAGE(IF((ContinuousStatsTable[GroupByKey]=ContinuousStatsTable[[#This Row],[GroupByKey]]),(ContinuousStatsTable[GroupByKey]=ContinuousStatsTable[[#This Row],[GroupByKey]])*ContinuousStatsTable[Average])),0)</f>
        <v>3</v>
      </c>
      <c r="P79" s="5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s="5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s="5" cm="1">
        <f t="array" ref="S79">MIN(IF((ContinuousStatsTable[GroupByKey]=ContinuousStatsTable[[#This Row],[GroupByKey]]),(ContinuousStatsTable[GroupByKey]=ContinuousStatsTable[[#This Row],[GroupByKey]])*ContinuousStatsTable[Average]))</f>
        <v>3</v>
      </c>
      <c r="T79" s="5" cm="1">
        <f t="array" ref="T79">MAX(IF((ContinuousStatsTable[GroupByKey]=ContinuousStatsTable[[#This Row],[GroupByKey]]),(ContinuousStatsTable[GroupByKey]=ContinuousStatsTable[[#This Row],[GroupByKey]])*ContinuousStatsTable[Average]))</f>
        <v>3</v>
      </c>
      <c r="U79" s="5">
        <f>IF((ContinuousStatsTable[[#This Row],[RepsRequested]]&gt;1),ContinuousStatsTable[[#This Row],[HalfWidth]],ContinuousStatsTable[[#This Row],[BatchMeansHalfWidth]])</f>
        <v>0</v>
      </c>
    </row>
    <row r="80" spans="1:21" x14ac:dyDescent="0.25">
      <c r="A80" t="s">
        <v>68</v>
      </c>
      <c r="B80" t="s">
        <v>70</v>
      </c>
      <c r="C80">
        <v>9</v>
      </c>
      <c r="D80" t="s">
        <v>98</v>
      </c>
      <c r="E80" t="s">
        <v>94</v>
      </c>
      <c r="F80" t="s">
        <v>95</v>
      </c>
      <c r="G80">
        <v>0</v>
      </c>
      <c r="H80">
        <v>2E+20</v>
      </c>
      <c r="I80">
        <v>0</v>
      </c>
      <c r="J80">
        <v>0</v>
      </c>
      <c r="K80">
        <v>0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80" s="5" cm="1">
        <f t="array" ref="N80">MAX(IF((ProjectInfoTable[ProjectName]=ContinuousStatsTable[[#This Row],[ProjectName]]),(ProjectInfoTable[ProjectName]=ContinuousStatsTable[[#This Row],[ProjectName]])*ProjectInfoTable[NumberOfReplications]))</f>
        <v>27</v>
      </c>
      <c r="O80" s="5" cm="1">
        <f t="array" ref="O80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80" s="5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80" s="5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80" s="5" cm="1">
        <f t="array" ref="S80">MIN(IF((ContinuousStatsTable[GroupByKey]=ContinuousStatsTable[[#This Row],[GroupByKey]]),(ContinuousStatsTable[GroupByKey]=ContinuousStatsTable[[#This Row],[GroupByKey]])*ContinuousStatsTable[Average]))</f>
        <v>0</v>
      </c>
      <c r="T80" s="5" cm="1">
        <f t="array" ref="T80">MAX(IF((ContinuousStatsTable[GroupByKey]=ContinuousStatsTable[[#This Row],[GroupByKey]]),(ContinuousStatsTable[GroupByKey]=ContinuousStatsTable[[#This Row],[GroupByKey]])*ContinuousStatsTable[Average]))</f>
        <v>4.2820889862359999E-3</v>
      </c>
      <c r="U80" s="5">
        <f>IF((ContinuousStatsTable[[#This Row],[RepsRequested]]&gt;1),ContinuousStatsTable[[#This Row],[HalfWidth]],ContinuousStatsTable[[#This Row],[BatchMeansHalfWidth]])</f>
        <v>3.2599851741098198E-4</v>
      </c>
    </row>
    <row r="81" spans="1:21" x14ac:dyDescent="0.25">
      <c r="A81" t="s">
        <v>68</v>
      </c>
      <c r="B81" t="s">
        <v>70</v>
      </c>
      <c r="C81">
        <v>9</v>
      </c>
      <c r="D81" t="s">
        <v>98</v>
      </c>
      <c r="E81" t="s">
        <v>96</v>
      </c>
      <c r="F81" t="s">
        <v>95</v>
      </c>
      <c r="G81">
        <v>0</v>
      </c>
      <c r="H81">
        <v>2E+20</v>
      </c>
      <c r="I81">
        <v>0</v>
      </c>
      <c r="J81">
        <v>0</v>
      </c>
      <c r="K81">
        <v>0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81" s="5" cm="1">
        <f t="array" ref="N81">MAX(IF((ProjectInfoTable[ProjectName]=ContinuousStatsTable[[#This Row],[ProjectName]]),(ProjectInfoTable[ProjectName]=ContinuousStatsTable[[#This Row],[ProjectName]])*ProjectInfoTable[NumberOfReplications]))</f>
        <v>27</v>
      </c>
      <c r="O81" s="5" cm="1">
        <f t="array" ref="O81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81" s="5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81" s="5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81" s="5" cm="1">
        <f t="array" ref="S81">MIN(IF((ContinuousStatsTable[GroupByKey]=ContinuousStatsTable[[#This Row],[GroupByKey]]),(ContinuousStatsTable[GroupByKey]=ContinuousStatsTable[[#This Row],[GroupByKey]])*ContinuousStatsTable[Average]))</f>
        <v>0</v>
      </c>
      <c r="T81" s="5" cm="1">
        <f t="array" ref="T81">MAX(IF((ContinuousStatsTable[GroupByKey]=ContinuousStatsTable[[#This Row],[GroupByKey]]),(ContinuousStatsTable[GroupByKey]=ContinuousStatsTable[[#This Row],[GroupByKey]])*ContinuousStatsTable[Average]))</f>
        <v>4.2820889862359999E-3</v>
      </c>
      <c r="U81" s="5">
        <f>IF((ContinuousStatsTable[[#This Row],[RepsRequested]]&gt;1),ContinuousStatsTable[[#This Row],[HalfWidth]],ContinuousStatsTable[[#This Row],[BatchMeansHalfWidth]])</f>
        <v>3.2599851741098198E-4</v>
      </c>
    </row>
    <row r="82" spans="1:21" x14ac:dyDescent="0.25">
      <c r="A82" t="s">
        <v>68</v>
      </c>
      <c r="B82" t="s">
        <v>70</v>
      </c>
      <c r="C82">
        <v>9</v>
      </c>
      <c r="D82" t="s">
        <v>98</v>
      </c>
      <c r="E82" t="s">
        <v>97</v>
      </c>
      <c r="F82" t="s">
        <v>95</v>
      </c>
      <c r="G82">
        <v>1</v>
      </c>
      <c r="H82">
        <v>2E+20</v>
      </c>
      <c r="I82">
        <v>1</v>
      </c>
      <c r="J82">
        <v>1</v>
      </c>
      <c r="K82">
        <v>1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82" s="5" cm="1">
        <f t="array" ref="N82">MAX(IF((ProjectInfoTable[ProjectName]=ContinuousStatsTable[[#This Row],[ProjectName]]),(ProjectInfoTable[ProjectName]=ContinuousStatsTable[[#This Row],[ProjectName]])*ProjectInfoTable[NumberOfReplications]))</f>
        <v>27</v>
      </c>
      <c r="O82" s="5" cm="1">
        <f t="array" ref="O82">IFERROR(AVERAGE(IF((ContinuousStatsTable[GroupByKey]=ContinuousStatsTable[[#This Row],[GroupByKey]]),(ContinuousStatsTable[GroupByKey]=ContinuousStatsTable[[#This Row],[GroupByKey]])*ContinuousStatsTable[Average])),0)</f>
        <v>1</v>
      </c>
      <c r="P82" s="5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</v>
      </c>
      <c r="Q82" s="5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2" s="5" cm="1">
        <f t="array" ref="S82">MIN(IF((ContinuousStatsTable[GroupByKey]=ContinuousStatsTable[[#This Row],[GroupByKey]]),(ContinuousStatsTable[GroupByKey]=ContinuousStatsTable[[#This Row],[GroupByKey]])*ContinuousStatsTable[Average]))</f>
        <v>1</v>
      </c>
      <c r="T82" s="5" cm="1">
        <f t="array" ref="T82">MAX(IF((ContinuousStatsTable[GroupByKey]=ContinuousStatsTable[[#This Row],[GroupByKey]]),(ContinuousStatsTable[GroupByKey]=ContinuousStatsTable[[#This Row],[GroupByKey]])*ContinuousStatsTable[Average]))</f>
        <v>1</v>
      </c>
      <c r="U82" s="5">
        <f>IF((ContinuousStatsTable[[#This Row],[RepsRequested]]&gt;1),ContinuousStatsTable[[#This Row],[HalfWidth]],ContinuousStatsTable[[#This Row],[BatchMeansHalfWidth]])</f>
        <v>0</v>
      </c>
    </row>
    <row r="83" spans="1:21" x14ac:dyDescent="0.25">
      <c r="A83" t="s">
        <v>68</v>
      </c>
      <c r="B83" t="s">
        <v>70</v>
      </c>
      <c r="C83">
        <v>10</v>
      </c>
      <c r="D83" t="s">
        <v>71</v>
      </c>
      <c r="E83" t="s">
        <v>91</v>
      </c>
      <c r="F83" t="s">
        <v>73</v>
      </c>
      <c r="G83">
        <v>6.3264843319564903E-2</v>
      </c>
      <c r="H83">
        <v>2E+20</v>
      </c>
      <c r="I83">
        <v>0</v>
      </c>
      <c r="J83">
        <v>1</v>
      </c>
      <c r="K83">
        <v>0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83" s="5" cm="1">
        <f t="array" ref="N83">MAX(IF((ProjectInfoTable[ProjectName]=ContinuousStatsTable[[#This Row],[ProjectName]]),(ProjectInfoTable[ProjectName]=ContinuousStatsTable[[#This Row],[ProjectName]])*ProjectInfoTable[NumberOfReplications]))</f>
        <v>27</v>
      </c>
      <c r="O83" s="5" cm="1">
        <f t="array" ref="O83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83" s="5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83" s="5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83" s="5" cm="1">
        <f t="array" ref="S83">MIN(IF((ContinuousStatsTable[GroupByKey]=ContinuousStatsTable[[#This Row],[GroupByKey]]),(ContinuousStatsTable[GroupByKey]=ContinuousStatsTable[[#This Row],[GroupByKey]])*ContinuousStatsTable[Average]))</f>
        <v>0</v>
      </c>
      <c r="T83" s="5" cm="1">
        <f t="array" ref="T83">MAX(IF((ContinuousStatsTable[GroupByKey]=ContinuousStatsTable[[#This Row],[GroupByKey]]),(ContinuousStatsTable[GroupByKey]=ContinuousStatsTable[[#This Row],[GroupByKey]])*ContinuousStatsTable[Average]))</f>
        <v>0.128719646283251</v>
      </c>
      <c r="U83" s="5">
        <f>IF((ContinuousStatsTable[[#This Row],[RepsRequested]]&gt;1),ContinuousStatsTable[[#This Row],[HalfWidth]],ContinuousStatsTable[[#This Row],[BatchMeansHalfWidth]])</f>
        <v>1.3314003381859424E-2</v>
      </c>
    </row>
    <row r="84" spans="1:21" x14ac:dyDescent="0.25">
      <c r="A84" t="s">
        <v>68</v>
      </c>
      <c r="B84" t="s">
        <v>70</v>
      </c>
      <c r="C84">
        <v>10</v>
      </c>
      <c r="D84" t="s">
        <v>79</v>
      </c>
      <c r="E84" t="s">
        <v>92</v>
      </c>
      <c r="F84" t="s">
        <v>81</v>
      </c>
      <c r="G84">
        <v>0</v>
      </c>
      <c r="H84">
        <v>2E+20</v>
      </c>
      <c r="I84">
        <v>0</v>
      </c>
      <c r="J84">
        <v>0</v>
      </c>
      <c r="K84">
        <v>0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84" s="5" cm="1">
        <f t="array" ref="N84">MAX(IF((ProjectInfoTable[ProjectName]=ContinuousStatsTable[[#This Row],[ProjectName]]),(ProjectInfoTable[ProjectName]=ContinuousStatsTable[[#This Row],[ProjectName]])*ProjectInfoTable[NumberOfReplications]))</f>
        <v>27</v>
      </c>
      <c r="O84" s="5" cm="1">
        <f t="array" ref="O84">IFERROR(AVERAGE(IF((ContinuousStatsTable[GroupByKey]=ContinuousStatsTable[[#This Row],[GroupByKey]]),(ContinuousStatsTable[GroupByKey]=ContinuousStatsTable[[#This Row],[GroupByKey]])*ContinuousStatsTable[Average])),0)</f>
        <v>0</v>
      </c>
      <c r="P84" s="5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</v>
      </c>
      <c r="Q84" s="5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" s="5" cm="1">
        <f t="array" ref="S84">MIN(IF((ContinuousStatsTable[GroupByKey]=ContinuousStatsTable[[#This Row],[GroupByKey]]),(ContinuousStatsTable[GroupByKey]=ContinuousStatsTable[[#This Row],[GroupByKey]])*ContinuousStatsTable[Average]))</f>
        <v>0</v>
      </c>
      <c r="T84" s="5" cm="1">
        <f t="array" ref="T84">MAX(IF((ContinuousStatsTable[GroupByKey]=ContinuousStatsTable[[#This Row],[GroupByKey]]),(ContinuousStatsTable[GroupByKey]=ContinuousStatsTable[[#This Row],[GroupByKey]])*ContinuousStatsTable[Average]))</f>
        <v>0</v>
      </c>
      <c r="U84" s="5">
        <f>IF((ContinuousStatsTable[[#This Row],[RepsRequested]]&gt;1),ContinuousStatsTable[[#This Row],[HalfWidth]],ContinuousStatsTable[[#This Row],[BatchMeansHalfWidth]])</f>
        <v>0</v>
      </c>
    </row>
    <row r="85" spans="1:21" x14ac:dyDescent="0.25">
      <c r="A85" t="s">
        <v>68</v>
      </c>
      <c r="B85" t="s">
        <v>70</v>
      </c>
      <c r="C85">
        <v>10</v>
      </c>
      <c r="D85" t="s">
        <v>90</v>
      </c>
      <c r="E85" t="s">
        <v>92</v>
      </c>
      <c r="F85" t="s">
        <v>81</v>
      </c>
      <c r="G85">
        <v>0</v>
      </c>
      <c r="H85">
        <v>2E+20</v>
      </c>
      <c r="I85">
        <v>0</v>
      </c>
      <c r="J85">
        <v>0</v>
      </c>
      <c r="K85">
        <v>0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85" s="5" cm="1">
        <f t="array" ref="N85">MAX(IF((ProjectInfoTable[ProjectName]=ContinuousStatsTable[[#This Row],[ProjectName]]),(ProjectInfoTable[ProjectName]=ContinuousStatsTable[[#This Row],[ProjectName]])*ProjectInfoTable[NumberOfReplications]))</f>
        <v>27</v>
      </c>
      <c r="O85" s="5" cm="1">
        <f t="array" ref="O85">IFERROR(AVERAGE(IF((ContinuousStatsTable[GroupByKey]=ContinuousStatsTable[[#This Row],[GroupByKey]]),(ContinuousStatsTable[GroupByKey]=ContinuousStatsTable[[#This Row],[GroupByKey]])*ContinuousStatsTable[Average])),0)</f>
        <v>0</v>
      </c>
      <c r="P85" s="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s="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s="5" cm="1">
        <f t="array" ref="S85">MIN(IF((ContinuousStatsTable[GroupByKey]=ContinuousStatsTable[[#This Row],[GroupByKey]]),(ContinuousStatsTable[GroupByKey]=ContinuousStatsTable[[#This Row],[GroupByKey]])*ContinuousStatsTable[Average]))</f>
        <v>0</v>
      </c>
      <c r="T85" s="5" cm="1">
        <f t="array" ref="T85">MAX(IF((ContinuousStatsTable[GroupByKey]=ContinuousStatsTable[[#This Row],[GroupByKey]]),(ContinuousStatsTable[GroupByKey]=ContinuousStatsTable[[#This Row],[GroupByKey]])*ContinuousStatsTable[Average]))</f>
        <v>0</v>
      </c>
      <c r="U85" s="5">
        <f>IF((ContinuousStatsTable[[#This Row],[RepsRequested]]&gt;1),ContinuousStatsTable[[#This Row],[HalfWidth]],ContinuousStatsTable[[#This Row],[BatchMeansHalfWidth]])</f>
        <v>0</v>
      </c>
    </row>
    <row r="86" spans="1:21" x14ac:dyDescent="0.25">
      <c r="A86" t="s">
        <v>68</v>
      </c>
      <c r="B86" t="s">
        <v>70</v>
      </c>
      <c r="C86">
        <v>10</v>
      </c>
      <c r="D86" t="s">
        <v>93</v>
      </c>
      <c r="E86" t="s">
        <v>94</v>
      </c>
      <c r="F86" t="s">
        <v>95</v>
      </c>
      <c r="G86">
        <v>2.1088281106521601E-2</v>
      </c>
      <c r="H86">
        <v>2E+20</v>
      </c>
      <c r="I86">
        <v>0</v>
      </c>
      <c r="J86">
        <v>0.33333333333333298</v>
      </c>
      <c r="K86">
        <v>0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86" s="5" cm="1">
        <f t="array" ref="N86">MAX(IF((ProjectInfoTable[ProjectName]=ContinuousStatsTable[[#This Row],[ProjectName]]),(ProjectInfoTable[ProjectName]=ContinuousStatsTable[[#This Row],[ProjectName]])*ProjectInfoTable[NumberOfReplications]))</f>
        <v>27</v>
      </c>
      <c r="O86" s="5" cm="1">
        <f t="array" ref="O86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86" s="5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86" s="5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86" s="5" cm="1">
        <f t="array" ref="S86">MIN(IF((ContinuousStatsTable[GroupByKey]=ContinuousStatsTable[[#This Row],[GroupByKey]]),(ContinuousStatsTable[GroupByKey]=ContinuousStatsTable[[#This Row],[GroupByKey]])*ContinuousStatsTable[Average]))</f>
        <v>0</v>
      </c>
      <c r="T86" s="5" cm="1">
        <f t="array" ref="T86">MAX(IF((ContinuousStatsTable[GroupByKey]=ContinuousStatsTable[[#This Row],[GroupByKey]]),(ContinuousStatsTable[GroupByKey]=ContinuousStatsTable[[#This Row],[GroupByKey]])*ContinuousStatsTable[Average]))</f>
        <v>4.2906548761083699E-2</v>
      </c>
      <c r="U86" s="5">
        <f>IF((ContinuousStatsTable[[#This Row],[RepsRequested]]&gt;1),ContinuousStatsTable[[#This Row],[HalfWidth]],ContinuousStatsTable[[#This Row],[BatchMeansHalfWidth]])</f>
        <v>4.4010751425322646E-3</v>
      </c>
    </row>
    <row r="87" spans="1:21" x14ac:dyDescent="0.25">
      <c r="A87" t="s">
        <v>68</v>
      </c>
      <c r="B87" t="s">
        <v>70</v>
      </c>
      <c r="C87">
        <v>10</v>
      </c>
      <c r="D87" t="s">
        <v>93</v>
      </c>
      <c r="E87" t="s">
        <v>96</v>
      </c>
      <c r="F87" t="s">
        <v>95</v>
      </c>
      <c r="G87">
        <v>6.3264843319564903E-2</v>
      </c>
      <c r="H87">
        <v>2E+20</v>
      </c>
      <c r="I87">
        <v>0</v>
      </c>
      <c r="J87">
        <v>1</v>
      </c>
      <c r="K87">
        <v>0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87" s="5" cm="1">
        <f t="array" ref="N87">MAX(IF((ProjectInfoTable[ProjectName]=ContinuousStatsTable[[#This Row],[ProjectName]]),(ProjectInfoTable[ProjectName]=ContinuousStatsTable[[#This Row],[ProjectName]])*ProjectInfoTable[NumberOfReplications]))</f>
        <v>27</v>
      </c>
      <c r="O87" s="5" cm="1">
        <f t="array" ref="O87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87" s="5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87" s="5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87" s="5" cm="1">
        <f t="array" ref="S87">MIN(IF((ContinuousStatsTable[GroupByKey]=ContinuousStatsTable[[#This Row],[GroupByKey]]),(ContinuousStatsTable[GroupByKey]=ContinuousStatsTable[[#This Row],[GroupByKey]])*ContinuousStatsTable[Average]))</f>
        <v>0</v>
      </c>
      <c r="T87" s="5" cm="1">
        <f t="array" ref="T87">MAX(IF((ContinuousStatsTable[GroupByKey]=ContinuousStatsTable[[#This Row],[GroupByKey]]),(ContinuousStatsTable[GroupByKey]=ContinuousStatsTable[[#This Row],[GroupByKey]])*ContinuousStatsTable[Average]))</f>
        <v>0.128719646283251</v>
      </c>
      <c r="U87" s="5">
        <f>IF((ContinuousStatsTable[[#This Row],[RepsRequested]]&gt;1),ContinuousStatsTable[[#This Row],[HalfWidth]],ContinuousStatsTable[[#This Row],[BatchMeansHalfWidth]])</f>
        <v>1.3203225427596797E-2</v>
      </c>
    </row>
    <row r="88" spans="1:21" x14ac:dyDescent="0.25">
      <c r="A88" t="s">
        <v>68</v>
      </c>
      <c r="B88" t="s">
        <v>70</v>
      </c>
      <c r="C88">
        <v>10</v>
      </c>
      <c r="D88" t="s">
        <v>93</v>
      </c>
      <c r="E88" t="s">
        <v>97</v>
      </c>
      <c r="F88" t="s">
        <v>95</v>
      </c>
      <c r="G88">
        <v>3</v>
      </c>
      <c r="H88">
        <v>2E+20</v>
      </c>
      <c r="I88">
        <v>3</v>
      </c>
      <c r="J88">
        <v>3</v>
      </c>
      <c r="K88">
        <v>3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88" s="5" cm="1">
        <f t="array" ref="N88">MAX(IF((ProjectInfoTable[ProjectName]=ContinuousStatsTable[[#This Row],[ProjectName]]),(ProjectInfoTable[ProjectName]=ContinuousStatsTable[[#This Row],[ProjectName]])*ProjectInfoTable[NumberOfReplications]))</f>
        <v>27</v>
      </c>
      <c r="O88" s="5" cm="1">
        <f t="array" ref="O88">IFERROR(AVERAGE(IF((ContinuousStatsTable[GroupByKey]=ContinuousStatsTable[[#This Row],[GroupByKey]]),(ContinuousStatsTable[GroupByKey]=ContinuousStatsTable[[#This Row],[GroupByKey]])*ContinuousStatsTable[Average])),0)</f>
        <v>3</v>
      </c>
      <c r="P88" s="5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</v>
      </c>
      <c r="Q88" s="5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" s="5" cm="1">
        <f t="array" ref="S88">MIN(IF((ContinuousStatsTable[GroupByKey]=ContinuousStatsTable[[#This Row],[GroupByKey]]),(ContinuousStatsTable[GroupByKey]=ContinuousStatsTable[[#This Row],[GroupByKey]])*ContinuousStatsTable[Average]))</f>
        <v>3</v>
      </c>
      <c r="T88" s="5" cm="1">
        <f t="array" ref="T88">MAX(IF((ContinuousStatsTable[GroupByKey]=ContinuousStatsTable[[#This Row],[GroupByKey]]),(ContinuousStatsTable[GroupByKey]=ContinuousStatsTable[[#This Row],[GroupByKey]])*ContinuousStatsTable[Average]))</f>
        <v>3</v>
      </c>
      <c r="U88" s="5">
        <f>IF((ContinuousStatsTable[[#This Row],[RepsRequested]]&gt;1),ContinuousStatsTable[[#This Row],[HalfWidth]],ContinuousStatsTable[[#This Row],[BatchMeansHalfWidth]])</f>
        <v>0</v>
      </c>
    </row>
    <row r="89" spans="1:21" x14ac:dyDescent="0.25">
      <c r="A89" t="s">
        <v>68</v>
      </c>
      <c r="B89" t="s">
        <v>70</v>
      </c>
      <c r="C89">
        <v>10</v>
      </c>
      <c r="D89" t="s">
        <v>98</v>
      </c>
      <c r="E89" t="s">
        <v>94</v>
      </c>
      <c r="F89" t="s">
        <v>95</v>
      </c>
      <c r="G89">
        <v>0</v>
      </c>
      <c r="H89">
        <v>2E+20</v>
      </c>
      <c r="I89">
        <v>0</v>
      </c>
      <c r="J89">
        <v>0</v>
      </c>
      <c r="K89">
        <v>0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89" s="5" cm="1">
        <f t="array" ref="N89">MAX(IF((ProjectInfoTable[ProjectName]=ContinuousStatsTable[[#This Row],[ProjectName]]),(ProjectInfoTable[ProjectName]=ContinuousStatsTable[[#This Row],[ProjectName]])*ProjectInfoTable[NumberOfReplications]))</f>
        <v>27</v>
      </c>
      <c r="O89" s="5" cm="1">
        <f t="array" ref="O89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89" s="5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89" s="5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89" s="5" cm="1">
        <f t="array" ref="S89">MIN(IF((ContinuousStatsTable[GroupByKey]=ContinuousStatsTable[[#This Row],[GroupByKey]]),(ContinuousStatsTable[GroupByKey]=ContinuousStatsTable[[#This Row],[GroupByKey]])*ContinuousStatsTable[Average]))</f>
        <v>0</v>
      </c>
      <c r="T89" s="5" cm="1">
        <f t="array" ref="T89">MAX(IF((ContinuousStatsTable[GroupByKey]=ContinuousStatsTable[[#This Row],[GroupByKey]]),(ContinuousStatsTable[GroupByKey]=ContinuousStatsTable[[#This Row],[GroupByKey]])*ContinuousStatsTable[Average]))</f>
        <v>4.2820889862359999E-3</v>
      </c>
      <c r="U89" s="5">
        <f>IF((ContinuousStatsTable[[#This Row],[RepsRequested]]&gt;1),ContinuousStatsTable[[#This Row],[HalfWidth]],ContinuousStatsTable[[#This Row],[BatchMeansHalfWidth]])</f>
        <v>3.2599851741098198E-4</v>
      </c>
    </row>
    <row r="90" spans="1:21" x14ac:dyDescent="0.25">
      <c r="A90" t="s">
        <v>68</v>
      </c>
      <c r="B90" t="s">
        <v>70</v>
      </c>
      <c r="C90">
        <v>10</v>
      </c>
      <c r="D90" t="s">
        <v>98</v>
      </c>
      <c r="E90" t="s">
        <v>96</v>
      </c>
      <c r="F90" t="s">
        <v>95</v>
      </c>
      <c r="G90">
        <v>0</v>
      </c>
      <c r="H90">
        <v>2E+20</v>
      </c>
      <c r="I90">
        <v>0</v>
      </c>
      <c r="J90">
        <v>0</v>
      </c>
      <c r="K90">
        <v>0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90" s="5" cm="1">
        <f t="array" ref="N90">MAX(IF((ProjectInfoTable[ProjectName]=ContinuousStatsTable[[#This Row],[ProjectName]]),(ProjectInfoTable[ProjectName]=ContinuousStatsTable[[#This Row],[ProjectName]])*ProjectInfoTable[NumberOfReplications]))</f>
        <v>27</v>
      </c>
      <c r="O90" s="5" cm="1">
        <f t="array" ref="O90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90" s="5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90" s="5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90" s="5" cm="1">
        <f t="array" ref="S90">MIN(IF((ContinuousStatsTable[GroupByKey]=ContinuousStatsTable[[#This Row],[GroupByKey]]),(ContinuousStatsTable[GroupByKey]=ContinuousStatsTable[[#This Row],[GroupByKey]])*ContinuousStatsTable[Average]))</f>
        <v>0</v>
      </c>
      <c r="T90" s="5" cm="1">
        <f t="array" ref="T90">MAX(IF((ContinuousStatsTable[GroupByKey]=ContinuousStatsTable[[#This Row],[GroupByKey]]),(ContinuousStatsTable[GroupByKey]=ContinuousStatsTable[[#This Row],[GroupByKey]])*ContinuousStatsTable[Average]))</f>
        <v>4.2820889862359999E-3</v>
      </c>
      <c r="U90" s="5">
        <f>IF((ContinuousStatsTable[[#This Row],[RepsRequested]]&gt;1),ContinuousStatsTable[[#This Row],[HalfWidth]],ContinuousStatsTable[[#This Row],[BatchMeansHalfWidth]])</f>
        <v>3.2599851741098198E-4</v>
      </c>
    </row>
    <row r="91" spans="1:21" x14ac:dyDescent="0.25">
      <c r="A91" t="s">
        <v>68</v>
      </c>
      <c r="B91" t="s">
        <v>70</v>
      </c>
      <c r="C91">
        <v>10</v>
      </c>
      <c r="D91" t="s">
        <v>98</v>
      </c>
      <c r="E91" t="s">
        <v>97</v>
      </c>
      <c r="F91" t="s">
        <v>95</v>
      </c>
      <c r="G91">
        <v>1</v>
      </c>
      <c r="H91">
        <v>2E+20</v>
      </c>
      <c r="I91">
        <v>1</v>
      </c>
      <c r="J91">
        <v>1</v>
      </c>
      <c r="K91">
        <v>1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91" s="5" cm="1">
        <f t="array" ref="N91">MAX(IF((ProjectInfoTable[ProjectName]=ContinuousStatsTable[[#This Row],[ProjectName]]),(ProjectInfoTable[ProjectName]=ContinuousStatsTable[[#This Row],[ProjectName]])*ProjectInfoTable[NumberOfReplications]))</f>
        <v>27</v>
      </c>
      <c r="O91" s="5" cm="1">
        <f t="array" ref="O91">IFERROR(AVERAGE(IF((ContinuousStatsTable[GroupByKey]=ContinuousStatsTable[[#This Row],[GroupByKey]]),(ContinuousStatsTable[GroupByKey]=ContinuousStatsTable[[#This Row],[GroupByKey]])*ContinuousStatsTable[Average])),0)</f>
        <v>1</v>
      </c>
      <c r="P91" s="5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0</v>
      </c>
      <c r="Q91" s="5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1" s="5" cm="1">
        <f t="array" ref="S91">MIN(IF((ContinuousStatsTable[GroupByKey]=ContinuousStatsTable[[#This Row],[GroupByKey]]),(ContinuousStatsTable[GroupByKey]=ContinuousStatsTable[[#This Row],[GroupByKey]])*ContinuousStatsTable[Average]))</f>
        <v>1</v>
      </c>
      <c r="T91" s="5" cm="1">
        <f t="array" ref="T91">MAX(IF((ContinuousStatsTable[GroupByKey]=ContinuousStatsTable[[#This Row],[GroupByKey]]),(ContinuousStatsTable[GroupByKey]=ContinuousStatsTable[[#This Row],[GroupByKey]])*ContinuousStatsTable[Average]))</f>
        <v>1</v>
      </c>
      <c r="U91" s="5">
        <f>IF((ContinuousStatsTable[[#This Row],[RepsRequested]]&gt;1),ContinuousStatsTable[[#This Row],[HalfWidth]],ContinuousStatsTable[[#This Row],[BatchMeansHalfWidth]])</f>
        <v>0</v>
      </c>
    </row>
    <row r="92" spans="1:21" x14ac:dyDescent="0.25">
      <c r="A92" t="s">
        <v>68</v>
      </c>
      <c r="B92" t="s">
        <v>70</v>
      </c>
      <c r="C92">
        <v>11</v>
      </c>
      <c r="D92" t="s">
        <v>71</v>
      </c>
      <c r="E92" t="s">
        <v>91</v>
      </c>
      <c r="F92" t="s">
        <v>73</v>
      </c>
      <c r="G92">
        <v>2.7821715210644599E-2</v>
      </c>
      <c r="H92">
        <v>2E+20</v>
      </c>
      <c r="I92">
        <v>0</v>
      </c>
      <c r="J92">
        <v>1</v>
      </c>
      <c r="K92">
        <v>0</v>
      </c>
      <c r="L92">
        <v>0</v>
      </c>
      <c r="M92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92" s="5" cm="1">
        <f t="array" ref="N92">MAX(IF((ProjectInfoTable[ProjectName]=ContinuousStatsTable[[#This Row],[ProjectName]]),(ProjectInfoTable[ProjectName]=ContinuousStatsTable[[#This Row],[ProjectName]])*ProjectInfoTable[NumberOfReplications]))</f>
        <v>27</v>
      </c>
      <c r="O92" s="5" cm="1">
        <f t="array" ref="O92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92" s="5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92" s="5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92" s="5" cm="1">
        <f t="array" ref="S92">MIN(IF((ContinuousStatsTable[GroupByKey]=ContinuousStatsTable[[#This Row],[GroupByKey]]),(ContinuousStatsTable[GroupByKey]=ContinuousStatsTable[[#This Row],[GroupByKey]])*ContinuousStatsTable[Average]))</f>
        <v>0</v>
      </c>
      <c r="T92" s="5" cm="1">
        <f t="array" ref="T92">MAX(IF((ContinuousStatsTable[GroupByKey]=ContinuousStatsTable[[#This Row],[GroupByKey]]),(ContinuousStatsTable[GroupByKey]=ContinuousStatsTable[[#This Row],[GroupByKey]])*ContinuousStatsTable[Average]))</f>
        <v>0.128719646283251</v>
      </c>
      <c r="U92" s="5">
        <f>IF((ContinuousStatsTable[[#This Row],[RepsRequested]]&gt;1),ContinuousStatsTable[[#This Row],[HalfWidth]],ContinuousStatsTable[[#This Row],[BatchMeansHalfWidth]])</f>
        <v>1.3314003381859424E-2</v>
      </c>
    </row>
    <row r="93" spans="1:21" x14ac:dyDescent="0.25">
      <c r="A93" t="s">
        <v>68</v>
      </c>
      <c r="B93" t="s">
        <v>70</v>
      </c>
      <c r="C93">
        <v>11</v>
      </c>
      <c r="D93" t="s">
        <v>79</v>
      </c>
      <c r="E93" t="s">
        <v>92</v>
      </c>
      <c r="F93" t="s">
        <v>81</v>
      </c>
      <c r="G93">
        <v>0</v>
      </c>
      <c r="H93">
        <v>2E+20</v>
      </c>
      <c r="I93">
        <v>0</v>
      </c>
      <c r="J93">
        <v>0</v>
      </c>
      <c r="K93">
        <v>0</v>
      </c>
      <c r="L93">
        <v>0</v>
      </c>
      <c r="M93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93" s="5" cm="1">
        <f t="array" ref="N93">MAX(IF((ProjectInfoTable[ProjectName]=ContinuousStatsTable[[#This Row],[ProjectName]]),(ProjectInfoTable[ProjectName]=ContinuousStatsTable[[#This Row],[ProjectName]])*ProjectInfoTable[NumberOfReplications]))</f>
        <v>27</v>
      </c>
      <c r="O93" s="5" cm="1">
        <f t="array" ref="O93">IFERROR(AVERAGE(IF((ContinuousStatsTable[GroupByKey]=ContinuousStatsTable[[#This Row],[GroupByKey]]),(ContinuousStatsTable[GroupByKey]=ContinuousStatsTable[[#This Row],[GroupByKey]])*ContinuousStatsTable[Average])),0)</f>
        <v>0</v>
      </c>
      <c r="P93" s="5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0</v>
      </c>
      <c r="Q93" s="5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3" s="5" cm="1">
        <f t="array" ref="S93">MIN(IF((ContinuousStatsTable[GroupByKey]=ContinuousStatsTable[[#This Row],[GroupByKey]]),(ContinuousStatsTable[GroupByKey]=ContinuousStatsTable[[#This Row],[GroupByKey]])*ContinuousStatsTable[Average]))</f>
        <v>0</v>
      </c>
      <c r="T93" s="5" cm="1">
        <f t="array" ref="T93">MAX(IF((ContinuousStatsTable[GroupByKey]=ContinuousStatsTable[[#This Row],[GroupByKey]]),(ContinuousStatsTable[GroupByKey]=ContinuousStatsTable[[#This Row],[GroupByKey]])*ContinuousStatsTable[Average]))</f>
        <v>0</v>
      </c>
      <c r="U93" s="5">
        <f>IF((ContinuousStatsTable[[#This Row],[RepsRequested]]&gt;1),ContinuousStatsTable[[#This Row],[HalfWidth]],ContinuousStatsTable[[#This Row],[BatchMeansHalfWidth]])</f>
        <v>0</v>
      </c>
    </row>
    <row r="94" spans="1:21" x14ac:dyDescent="0.25">
      <c r="A94" t="s">
        <v>68</v>
      </c>
      <c r="B94" t="s">
        <v>70</v>
      </c>
      <c r="C94">
        <v>11</v>
      </c>
      <c r="D94" t="s">
        <v>90</v>
      </c>
      <c r="E94" t="s">
        <v>92</v>
      </c>
      <c r="F94" t="s">
        <v>81</v>
      </c>
      <c r="G94">
        <v>0</v>
      </c>
      <c r="H94">
        <v>2E+20</v>
      </c>
      <c r="I94">
        <v>0</v>
      </c>
      <c r="J94">
        <v>0</v>
      </c>
      <c r="K94">
        <v>0</v>
      </c>
      <c r="L94">
        <v>0</v>
      </c>
      <c r="M94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94" s="5" cm="1">
        <f t="array" ref="N94">MAX(IF((ProjectInfoTable[ProjectName]=ContinuousStatsTable[[#This Row],[ProjectName]]),(ProjectInfoTable[ProjectName]=ContinuousStatsTable[[#This Row],[ProjectName]])*ProjectInfoTable[NumberOfReplications]))</f>
        <v>27</v>
      </c>
      <c r="O94" s="5" cm="1">
        <f t="array" ref="O94">IFERROR(AVERAGE(IF((ContinuousStatsTable[GroupByKey]=ContinuousStatsTable[[#This Row],[GroupByKey]]),(ContinuousStatsTable[GroupByKey]=ContinuousStatsTable[[#This Row],[GroupByKey]])*ContinuousStatsTable[Average])),0)</f>
        <v>0</v>
      </c>
      <c r="P94" s="5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</v>
      </c>
      <c r="Q94" s="5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4" s="5" cm="1">
        <f t="array" ref="S94">MIN(IF((ContinuousStatsTable[GroupByKey]=ContinuousStatsTable[[#This Row],[GroupByKey]]),(ContinuousStatsTable[GroupByKey]=ContinuousStatsTable[[#This Row],[GroupByKey]])*ContinuousStatsTable[Average]))</f>
        <v>0</v>
      </c>
      <c r="T94" s="5" cm="1">
        <f t="array" ref="T94">MAX(IF((ContinuousStatsTable[GroupByKey]=ContinuousStatsTable[[#This Row],[GroupByKey]]),(ContinuousStatsTable[GroupByKey]=ContinuousStatsTable[[#This Row],[GroupByKey]])*ContinuousStatsTable[Average]))</f>
        <v>0</v>
      </c>
      <c r="U94" s="5">
        <f>IF((ContinuousStatsTable[[#This Row],[RepsRequested]]&gt;1),ContinuousStatsTable[[#This Row],[HalfWidth]],ContinuousStatsTable[[#This Row],[BatchMeansHalfWidth]])</f>
        <v>0</v>
      </c>
    </row>
    <row r="95" spans="1:21" x14ac:dyDescent="0.25">
      <c r="A95" t="s">
        <v>68</v>
      </c>
      <c r="B95" t="s">
        <v>70</v>
      </c>
      <c r="C95">
        <v>11</v>
      </c>
      <c r="D95" t="s">
        <v>93</v>
      </c>
      <c r="E95" t="s">
        <v>94</v>
      </c>
      <c r="F95" t="s">
        <v>95</v>
      </c>
      <c r="G95">
        <v>9.2739050702148607E-3</v>
      </c>
      <c r="H95">
        <v>2E+20</v>
      </c>
      <c r="I95">
        <v>0</v>
      </c>
      <c r="J95">
        <v>0.33333333333333298</v>
      </c>
      <c r="K95">
        <v>0</v>
      </c>
      <c r="L95">
        <v>0</v>
      </c>
      <c r="M95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95" s="5" cm="1">
        <f t="array" ref="N95">MAX(IF((ProjectInfoTable[ProjectName]=ContinuousStatsTable[[#This Row],[ProjectName]]),(ProjectInfoTable[ProjectName]=ContinuousStatsTable[[#This Row],[ProjectName]])*ProjectInfoTable[NumberOfReplications]))</f>
        <v>27</v>
      </c>
      <c r="O95" s="5" cm="1">
        <f t="array" ref="O95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95" s="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95" s="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95" s="5" cm="1">
        <f t="array" ref="S95">MIN(IF((ContinuousStatsTable[GroupByKey]=ContinuousStatsTable[[#This Row],[GroupByKey]]),(ContinuousStatsTable[GroupByKey]=ContinuousStatsTable[[#This Row],[GroupByKey]])*ContinuousStatsTable[Average]))</f>
        <v>0</v>
      </c>
      <c r="T95" s="5" cm="1">
        <f t="array" ref="T95">MAX(IF((ContinuousStatsTable[GroupByKey]=ContinuousStatsTable[[#This Row],[GroupByKey]]),(ContinuousStatsTable[GroupByKey]=ContinuousStatsTable[[#This Row],[GroupByKey]])*ContinuousStatsTable[Average]))</f>
        <v>4.2906548761083699E-2</v>
      </c>
      <c r="U95" s="5">
        <f>IF((ContinuousStatsTable[[#This Row],[RepsRequested]]&gt;1),ContinuousStatsTable[[#This Row],[HalfWidth]],ContinuousStatsTable[[#This Row],[BatchMeansHalfWidth]])</f>
        <v>4.4010751425322646E-3</v>
      </c>
    </row>
    <row r="96" spans="1:21" x14ac:dyDescent="0.25">
      <c r="A96" t="s">
        <v>68</v>
      </c>
      <c r="B96" t="s">
        <v>70</v>
      </c>
      <c r="C96">
        <v>11</v>
      </c>
      <c r="D96" t="s">
        <v>93</v>
      </c>
      <c r="E96" t="s">
        <v>96</v>
      </c>
      <c r="F96" t="s">
        <v>95</v>
      </c>
      <c r="G96">
        <v>2.7821715210644599E-2</v>
      </c>
      <c r="H96">
        <v>2E+20</v>
      </c>
      <c r="I96">
        <v>0</v>
      </c>
      <c r="J96">
        <v>1</v>
      </c>
      <c r="K96">
        <v>0</v>
      </c>
      <c r="L96">
        <v>0</v>
      </c>
      <c r="M96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96" s="5" cm="1">
        <f t="array" ref="N96">MAX(IF((ProjectInfoTable[ProjectName]=ContinuousStatsTable[[#This Row],[ProjectName]]),(ProjectInfoTable[ProjectName]=ContinuousStatsTable[[#This Row],[ProjectName]])*ProjectInfoTable[NumberOfReplications]))</f>
        <v>27</v>
      </c>
      <c r="O96" s="5" cm="1">
        <f t="array" ref="O96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96" s="5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96" s="5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96" s="5" cm="1">
        <f t="array" ref="S96">MIN(IF((ContinuousStatsTable[GroupByKey]=ContinuousStatsTable[[#This Row],[GroupByKey]]),(ContinuousStatsTable[GroupByKey]=ContinuousStatsTable[[#This Row],[GroupByKey]])*ContinuousStatsTable[Average]))</f>
        <v>0</v>
      </c>
      <c r="T96" s="5" cm="1">
        <f t="array" ref="T96">MAX(IF((ContinuousStatsTable[GroupByKey]=ContinuousStatsTable[[#This Row],[GroupByKey]]),(ContinuousStatsTable[GroupByKey]=ContinuousStatsTable[[#This Row],[GroupByKey]])*ContinuousStatsTable[Average]))</f>
        <v>0.128719646283251</v>
      </c>
      <c r="U96" s="5">
        <f>IF((ContinuousStatsTable[[#This Row],[RepsRequested]]&gt;1),ContinuousStatsTable[[#This Row],[HalfWidth]],ContinuousStatsTable[[#This Row],[BatchMeansHalfWidth]])</f>
        <v>1.3203225427596797E-2</v>
      </c>
    </row>
    <row r="97" spans="1:21" x14ac:dyDescent="0.25">
      <c r="A97" t="s">
        <v>68</v>
      </c>
      <c r="B97" t="s">
        <v>70</v>
      </c>
      <c r="C97">
        <v>11</v>
      </c>
      <c r="D97" t="s">
        <v>93</v>
      </c>
      <c r="E97" t="s">
        <v>97</v>
      </c>
      <c r="F97" t="s">
        <v>95</v>
      </c>
      <c r="G97">
        <v>3</v>
      </c>
      <c r="H97">
        <v>2E+20</v>
      </c>
      <c r="I97">
        <v>3</v>
      </c>
      <c r="J97">
        <v>3</v>
      </c>
      <c r="K97">
        <v>3</v>
      </c>
      <c r="L97">
        <v>0</v>
      </c>
      <c r="M97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97" s="5" cm="1">
        <f t="array" ref="N97">MAX(IF((ProjectInfoTable[ProjectName]=ContinuousStatsTable[[#This Row],[ProjectName]]),(ProjectInfoTable[ProjectName]=ContinuousStatsTable[[#This Row],[ProjectName]])*ProjectInfoTable[NumberOfReplications]))</f>
        <v>27</v>
      </c>
      <c r="O97" s="5" cm="1">
        <f t="array" ref="O97">IFERROR(AVERAGE(IF((ContinuousStatsTable[GroupByKey]=ContinuousStatsTable[[#This Row],[GroupByKey]]),(ContinuousStatsTable[GroupByKey]=ContinuousStatsTable[[#This Row],[GroupByKey]])*ContinuousStatsTable[Average])),0)</f>
        <v>3</v>
      </c>
      <c r="P97" s="5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</v>
      </c>
      <c r="Q97" s="5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7" s="5" cm="1">
        <f t="array" ref="S97">MIN(IF((ContinuousStatsTable[GroupByKey]=ContinuousStatsTable[[#This Row],[GroupByKey]]),(ContinuousStatsTable[GroupByKey]=ContinuousStatsTable[[#This Row],[GroupByKey]])*ContinuousStatsTable[Average]))</f>
        <v>3</v>
      </c>
      <c r="T97" s="5" cm="1">
        <f t="array" ref="T97">MAX(IF((ContinuousStatsTable[GroupByKey]=ContinuousStatsTable[[#This Row],[GroupByKey]]),(ContinuousStatsTable[GroupByKey]=ContinuousStatsTable[[#This Row],[GroupByKey]])*ContinuousStatsTable[Average]))</f>
        <v>3</v>
      </c>
      <c r="U97" s="5">
        <f>IF((ContinuousStatsTable[[#This Row],[RepsRequested]]&gt;1),ContinuousStatsTable[[#This Row],[HalfWidth]],ContinuousStatsTable[[#This Row],[BatchMeansHalfWidth]])</f>
        <v>0</v>
      </c>
    </row>
    <row r="98" spans="1:21" x14ac:dyDescent="0.25">
      <c r="A98" t="s">
        <v>68</v>
      </c>
      <c r="B98" t="s">
        <v>70</v>
      </c>
      <c r="C98">
        <v>11</v>
      </c>
      <c r="D98" t="s">
        <v>98</v>
      </c>
      <c r="E98" t="s">
        <v>94</v>
      </c>
      <c r="F98" t="s">
        <v>95</v>
      </c>
      <c r="G98">
        <v>0</v>
      </c>
      <c r="H98">
        <v>2E+20</v>
      </c>
      <c r="I98">
        <v>0</v>
      </c>
      <c r="J98">
        <v>0</v>
      </c>
      <c r="K98">
        <v>0</v>
      </c>
      <c r="L98">
        <v>0</v>
      </c>
      <c r="M98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98" s="5" cm="1">
        <f t="array" ref="N98">MAX(IF((ProjectInfoTable[ProjectName]=ContinuousStatsTable[[#This Row],[ProjectName]]),(ProjectInfoTable[ProjectName]=ContinuousStatsTable[[#This Row],[ProjectName]])*ProjectInfoTable[NumberOfReplications]))</f>
        <v>27</v>
      </c>
      <c r="O98" s="5" cm="1">
        <f t="array" ref="O98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98" s="5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98" s="5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98" s="5" cm="1">
        <f t="array" ref="S98">MIN(IF((ContinuousStatsTable[GroupByKey]=ContinuousStatsTable[[#This Row],[GroupByKey]]),(ContinuousStatsTable[GroupByKey]=ContinuousStatsTable[[#This Row],[GroupByKey]])*ContinuousStatsTable[Average]))</f>
        <v>0</v>
      </c>
      <c r="T98" s="5" cm="1">
        <f t="array" ref="T98">MAX(IF((ContinuousStatsTable[GroupByKey]=ContinuousStatsTable[[#This Row],[GroupByKey]]),(ContinuousStatsTable[GroupByKey]=ContinuousStatsTable[[#This Row],[GroupByKey]])*ContinuousStatsTable[Average]))</f>
        <v>4.2820889862359999E-3</v>
      </c>
      <c r="U98" s="5">
        <f>IF((ContinuousStatsTable[[#This Row],[RepsRequested]]&gt;1),ContinuousStatsTable[[#This Row],[HalfWidth]],ContinuousStatsTable[[#This Row],[BatchMeansHalfWidth]])</f>
        <v>3.2599851741098198E-4</v>
      </c>
    </row>
    <row r="99" spans="1:21" x14ac:dyDescent="0.25">
      <c r="A99" t="s">
        <v>68</v>
      </c>
      <c r="B99" t="s">
        <v>70</v>
      </c>
      <c r="C99">
        <v>11</v>
      </c>
      <c r="D99" t="s">
        <v>98</v>
      </c>
      <c r="E99" t="s">
        <v>96</v>
      </c>
      <c r="F99" t="s">
        <v>95</v>
      </c>
      <c r="G99">
        <v>0</v>
      </c>
      <c r="H99">
        <v>2E+20</v>
      </c>
      <c r="I99">
        <v>0</v>
      </c>
      <c r="J99">
        <v>0</v>
      </c>
      <c r="K99">
        <v>0</v>
      </c>
      <c r="L99">
        <v>0</v>
      </c>
      <c r="M99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99" s="5" cm="1">
        <f t="array" ref="N99">MAX(IF((ProjectInfoTable[ProjectName]=ContinuousStatsTable[[#This Row],[ProjectName]]),(ProjectInfoTable[ProjectName]=ContinuousStatsTable[[#This Row],[ProjectName]])*ProjectInfoTable[NumberOfReplications]))</f>
        <v>27</v>
      </c>
      <c r="O99" s="5" cm="1">
        <f t="array" ref="O99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99" s="5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99" s="5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99" s="5" cm="1">
        <f t="array" ref="S99">MIN(IF((ContinuousStatsTable[GroupByKey]=ContinuousStatsTable[[#This Row],[GroupByKey]]),(ContinuousStatsTable[GroupByKey]=ContinuousStatsTable[[#This Row],[GroupByKey]])*ContinuousStatsTable[Average]))</f>
        <v>0</v>
      </c>
      <c r="T99" s="5" cm="1">
        <f t="array" ref="T99">MAX(IF((ContinuousStatsTable[GroupByKey]=ContinuousStatsTable[[#This Row],[GroupByKey]]),(ContinuousStatsTable[GroupByKey]=ContinuousStatsTable[[#This Row],[GroupByKey]])*ContinuousStatsTable[Average]))</f>
        <v>4.2820889862359999E-3</v>
      </c>
      <c r="U99" s="5">
        <f>IF((ContinuousStatsTable[[#This Row],[RepsRequested]]&gt;1),ContinuousStatsTable[[#This Row],[HalfWidth]],ContinuousStatsTable[[#This Row],[BatchMeansHalfWidth]])</f>
        <v>3.2599851741098198E-4</v>
      </c>
    </row>
    <row r="100" spans="1:21" x14ac:dyDescent="0.25">
      <c r="A100" t="s">
        <v>68</v>
      </c>
      <c r="B100" t="s">
        <v>70</v>
      </c>
      <c r="C100">
        <v>11</v>
      </c>
      <c r="D100" t="s">
        <v>98</v>
      </c>
      <c r="E100" t="s">
        <v>97</v>
      </c>
      <c r="F100" t="s">
        <v>95</v>
      </c>
      <c r="G100">
        <v>1</v>
      </c>
      <c r="H100">
        <v>2E+20</v>
      </c>
      <c r="I100">
        <v>1</v>
      </c>
      <c r="J100">
        <v>1</v>
      </c>
      <c r="K100">
        <v>1</v>
      </c>
      <c r="L100">
        <v>0</v>
      </c>
      <c r="M100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100" s="5" cm="1">
        <f t="array" ref="N100">MAX(IF((ProjectInfoTable[ProjectName]=ContinuousStatsTable[[#This Row],[ProjectName]]),(ProjectInfoTable[ProjectName]=ContinuousStatsTable[[#This Row],[ProjectName]])*ProjectInfoTable[NumberOfReplications]))</f>
        <v>27</v>
      </c>
      <c r="O100" s="5" cm="1">
        <f t="array" ref="O100">IFERROR(AVERAGE(IF((ContinuousStatsTable[GroupByKey]=ContinuousStatsTable[[#This Row],[GroupByKey]]),(ContinuousStatsTable[GroupByKey]=ContinuousStatsTable[[#This Row],[GroupByKey]])*ContinuousStatsTable[Average])),0)</f>
        <v>1</v>
      </c>
      <c r="P100" s="5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s="5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s="5" cm="1">
        <f t="array" ref="S100">MIN(IF((ContinuousStatsTable[GroupByKey]=ContinuousStatsTable[[#This Row],[GroupByKey]]),(ContinuousStatsTable[GroupByKey]=ContinuousStatsTable[[#This Row],[GroupByKey]])*ContinuousStatsTable[Average]))</f>
        <v>1</v>
      </c>
      <c r="T100" s="5" cm="1">
        <f t="array" ref="T100">MAX(IF((ContinuousStatsTable[GroupByKey]=ContinuousStatsTable[[#This Row],[GroupByKey]]),(ContinuousStatsTable[GroupByKey]=ContinuousStatsTable[[#This Row],[GroupByKey]])*ContinuousStatsTable[Average]))</f>
        <v>1</v>
      </c>
      <c r="U100" s="5">
        <f>IF((ContinuousStatsTable[[#This Row],[RepsRequested]]&gt;1),ContinuousStatsTable[[#This Row],[HalfWidth]],ContinuousStatsTable[[#This Row],[BatchMeansHalfWidth]])</f>
        <v>0</v>
      </c>
    </row>
    <row r="101" spans="1:21" x14ac:dyDescent="0.25">
      <c r="A101" t="s">
        <v>68</v>
      </c>
      <c r="B101" t="s">
        <v>70</v>
      </c>
      <c r="C101">
        <v>12</v>
      </c>
      <c r="D101" t="s">
        <v>71</v>
      </c>
      <c r="E101" t="s">
        <v>91</v>
      </c>
      <c r="F101" t="s">
        <v>73</v>
      </c>
      <c r="G101">
        <v>3.0282725557134502E-2</v>
      </c>
      <c r="H101">
        <v>2E+20</v>
      </c>
      <c r="I101">
        <v>0</v>
      </c>
      <c r="J101">
        <v>1</v>
      </c>
      <c r="K101">
        <v>0</v>
      </c>
      <c r="L101">
        <v>0</v>
      </c>
      <c r="M101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101" s="5" cm="1">
        <f t="array" ref="N101">MAX(IF((ProjectInfoTable[ProjectName]=ContinuousStatsTable[[#This Row],[ProjectName]]),(ProjectInfoTable[ProjectName]=ContinuousStatsTable[[#This Row],[ProjectName]])*ProjectInfoTable[NumberOfReplications]))</f>
        <v>27</v>
      </c>
      <c r="O101" s="5" cm="1">
        <f t="array" ref="O101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101" s="5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101" s="5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101" s="5" cm="1">
        <f t="array" ref="S101">MIN(IF((ContinuousStatsTable[GroupByKey]=ContinuousStatsTable[[#This Row],[GroupByKey]]),(ContinuousStatsTable[GroupByKey]=ContinuousStatsTable[[#This Row],[GroupByKey]])*ContinuousStatsTable[Average]))</f>
        <v>0</v>
      </c>
      <c r="T101" s="5" cm="1">
        <f t="array" ref="T101">MAX(IF((ContinuousStatsTable[GroupByKey]=ContinuousStatsTable[[#This Row],[GroupByKey]]),(ContinuousStatsTable[GroupByKey]=ContinuousStatsTable[[#This Row],[GroupByKey]])*ContinuousStatsTable[Average]))</f>
        <v>0.128719646283251</v>
      </c>
      <c r="U101" s="5">
        <f>IF((ContinuousStatsTable[[#This Row],[RepsRequested]]&gt;1),ContinuousStatsTable[[#This Row],[HalfWidth]],ContinuousStatsTable[[#This Row],[BatchMeansHalfWidth]])</f>
        <v>1.3314003381859424E-2</v>
      </c>
    </row>
    <row r="102" spans="1:21" x14ac:dyDescent="0.25">
      <c r="A102" t="s">
        <v>68</v>
      </c>
      <c r="B102" t="s">
        <v>70</v>
      </c>
      <c r="C102">
        <v>12</v>
      </c>
      <c r="D102" t="s">
        <v>79</v>
      </c>
      <c r="E102" t="s">
        <v>92</v>
      </c>
      <c r="F102" t="s">
        <v>81</v>
      </c>
      <c r="G102">
        <v>0</v>
      </c>
      <c r="H102">
        <v>2E+20</v>
      </c>
      <c r="I102">
        <v>0</v>
      </c>
      <c r="J102">
        <v>0</v>
      </c>
      <c r="K102">
        <v>0</v>
      </c>
      <c r="L102">
        <v>0</v>
      </c>
      <c r="M102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102" s="5" cm="1">
        <f t="array" ref="N102">MAX(IF((ProjectInfoTable[ProjectName]=ContinuousStatsTable[[#This Row],[ProjectName]]),(ProjectInfoTable[ProjectName]=ContinuousStatsTable[[#This Row],[ProjectName]])*ProjectInfoTable[NumberOfReplications]))</f>
        <v>27</v>
      </c>
      <c r="O102" s="5" cm="1">
        <f t="array" ref="O102">IFERROR(AVERAGE(IF((ContinuousStatsTable[GroupByKey]=ContinuousStatsTable[[#This Row],[GroupByKey]]),(ContinuousStatsTable[GroupByKey]=ContinuousStatsTable[[#This Row],[GroupByKey]])*ContinuousStatsTable[Average])),0)</f>
        <v>0</v>
      </c>
      <c r="P102" s="5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</v>
      </c>
      <c r="Q102" s="5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2" s="5" cm="1">
        <f t="array" ref="S102">MIN(IF((ContinuousStatsTable[GroupByKey]=ContinuousStatsTable[[#This Row],[GroupByKey]]),(ContinuousStatsTable[GroupByKey]=ContinuousStatsTable[[#This Row],[GroupByKey]])*ContinuousStatsTable[Average]))</f>
        <v>0</v>
      </c>
      <c r="T102" s="5" cm="1">
        <f t="array" ref="T102">MAX(IF((ContinuousStatsTable[GroupByKey]=ContinuousStatsTable[[#This Row],[GroupByKey]]),(ContinuousStatsTable[GroupByKey]=ContinuousStatsTable[[#This Row],[GroupByKey]])*ContinuousStatsTable[Average]))</f>
        <v>0</v>
      </c>
      <c r="U102" s="5">
        <f>IF((ContinuousStatsTable[[#This Row],[RepsRequested]]&gt;1),ContinuousStatsTable[[#This Row],[HalfWidth]],ContinuousStatsTable[[#This Row],[BatchMeansHalfWidth]])</f>
        <v>0</v>
      </c>
    </row>
    <row r="103" spans="1:21" x14ac:dyDescent="0.25">
      <c r="A103" t="s">
        <v>68</v>
      </c>
      <c r="B103" t="s">
        <v>70</v>
      </c>
      <c r="C103">
        <v>12</v>
      </c>
      <c r="D103" t="s">
        <v>90</v>
      </c>
      <c r="E103" t="s">
        <v>92</v>
      </c>
      <c r="F103" t="s">
        <v>81</v>
      </c>
      <c r="G103">
        <v>0</v>
      </c>
      <c r="H103">
        <v>2E+20</v>
      </c>
      <c r="I103">
        <v>0</v>
      </c>
      <c r="J103">
        <v>0</v>
      </c>
      <c r="K103">
        <v>0</v>
      </c>
      <c r="L103">
        <v>0</v>
      </c>
      <c r="M103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103" s="5" cm="1">
        <f t="array" ref="N103">MAX(IF((ProjectInfoTable[ProjectName]=ContinuousStatsTable[[#This Row],[ProjectName]]),(ProjectInfoTable[ProjectName]=ContinuousStatsTable[[#This Row],[ProjectName]])*ProjectInfoTable[NumberOfReplications]))</f>
        <v>27</v>
      </c>
      <c r="O103" s="5" cm="1">
        <f t="array" ref="O103">IFERROR(AVERAGE(IF((ContinuousStatsTable[GroupByKey]=ContinuousStatsTable[[#This Row],[GroupByKey]]),(ContinuousStatsTable[GroupByKey]=ContinuousStatsTable[[#This Row],[GroupByKey]])*ContinuousStatsTable[Average])),0)</f>
        <v>0</v>
      </c>
      <c r="P103" s="5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0</v>
      </c>
      <c r="Q103" s="5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3" s="5" cm="1">
        <f t="array" ref="S103">MIN(IF((ContinuousStatsTable[GroupByKey]=ContinuousStatsTable[[#This Row],[GroupByKey]]),(ContinuousStatsTable[GroupByKey]=ContinuousStatsTable[[#This Row],[GroupByKey]])*ContinuousStatsTable[Average]))</f>
        <v>0</v>
      </c>
      <c r="T103" s="5" cm="1">
        <f t="array" ref="T103">MAX(IF((ContinuousStatsTable[GroupByKey]=ContinuousStatsTable[[#This Row],[GroupByKey]]),(ContinuousStatsTable[GroupByKey]=ContinuousStatsTable[[#This Row],[GroupByKey]])*ContinuousStatsTable[Average]))</f>
        <v>0</v>
      </c>
      <c r="U103" s="5">
        <f>IF((ContinuousStatsTable[[#This Row],[RepsRequested]]&gt;1),ContinuousStatsTable[[#This Row],[HalfWidth]],ContinuousStatsTable[[#This Row],[BatchMeansHalfWidth]])</f>
        <v>0</v>
      </c>
    </row>
    <row r="104" spans="1:21" x14ac:dyDescent="0.25">
      <c r="A104" t="s">
        <v>68</v>
      </c>
      <c r="B104" t="s">
        <v>70</v>
      </c>
      <c r="C104">
        <v>12</v>
      </c>
      <c r="D104" t="s">
        <v>93</v>
      </c>
      <c r="E104" t="s">
        <v>94</v>
      </c>
      <c r="F104" t="s">
        <v>95</v>
      </c>
      <c r="G104">
        <v>1.00942418523782E-2</v>
      </c>
      <c r="H104">
        <v>2E+20</v>
      </c>
      <c r="I104">
        <v>0</v>
      </c>
      <c r="J104">
        <v>0.33333333333333298</v>
      </c>
      <c r="K104">
        <v>0</v>
      </c>
      <c r="L104">
        <v>0</v>
      </c>
      <c r="M104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104" s="5" cm="1">
        <f t="array" ref="N104">MAX(IF((ProjectInfoTable[ProjectName]=ContinuousStatsTable[[#This Row],[ProjectName]]),(ProjectInfoTable[ProjectName]=ContinuousStatsTable[[#This Row],[ProjectName]])*ProjectInfoTable[NumberOfReplications]))</f>
        <v>27</v>
      </c>
      <c r="O104" s="5" cm="1">
        <f t="array" ref="O104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104" s="5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104" s="5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104" s="5" cm="1">
        <f t="array" ref="S104">MIN(IF((ContinuousStatsTable[GroupByKey]=ContinuousStatsTable[[#This Row],[GroupByKey]]),(ContinuousStatsTable[GroupByKey]=ContinuousStatsTable[[#This Row],[GroupByKey]])*ContinuousStatsTable[Average]))</f>
        <v>0</v>
      </c>
      <c r="T104" s="5" cm="1">
        <f t="array" ref="T104">MAX(IF((ContinuousStatsTable[GroupByKey]=ContinuousStatsTable[[#This Row],[GroupByKey]]),(ContinuousStatsTable[GroupByKey]=ContinuousStatsTable[[#This Row],[GroupByKey]])*ContinuousStatsTable[Average]))</f>
        <v>4.2906548761083699E-2</v>
      </c>
      <c r="U104" s="5">
        <f>IF((ContinuousStatsTable[[#This Row],[RepsRequested]]&gt;1),ContinuousStatsTable[[#This Row],[HalfWidth]],ContinuousStatsTable[[#This Row],[BatchMeansHalfWidth]])</f>
        <v>4.4010751425322646E-3</v>
      </c>
    </row>
    <row r="105" spans="1:21" x14ac:dyDescent="0.25">
      <c r="A105" t="s">
        <v>68</v>
      </c>
      <c r="B105" t="s">
        <v>70</v>
      </c>
      <c r="C105">
        <v>12</v>
      </c>
      <c r="D105" t="s">
        <v>93</v>
      </c>
      <c r="E105" t="s">
        <v>96</v>
      </c>
      <c r="F105" t="s">
        <v>95</v>
      </c>
      <c r="G105">
        <v>3.0282725557134502E-2</v>
      </c>
      <c r="H105">
        <v>2E+20</v>
      </c>
      <c r="I105">
        <v>0</v>
      </c>
      <c r="J105">
        <v>1</v>
      </c>
      <c r="K105">
        <v>0</v>
      </c>
      <c r="L105">
        <v>0</v>
      </c>
      <c r="M105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105" s="5" cm="1">
        <f t="array" ref="N105">MAX(IF((ProjectInfoTable[ProjectName]=ContinuousStatsTable[[#This Row],[ProjectName]]),(ProjectInfoTable[ProjectName]=ContinuousStatsTable[[#This Row],[ProjectName]])*ProjectInfoTable[NumberOfReplications]))</f>
        <v>27</v>
      </c>
      <c r="O105" s="5" cm="1">
        <f t="array" ref="O105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105" s="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105" s="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105" s="5" cm="1">
        <f t="array" ref="S105">MIN(IF((ContinuousStatsTable[GroupByKey]=ContinuousStatsTable[[#This Row],[GroupByKey]]),(ContinuousStatsTable[GroupByKey]=ContinuousStatsTable[[#This Row],[GroupByKey]])*ContinuousStatsTable[Average]))</f>
        <v>0</v>
      </c>
      <c r="T105" s="5" cm="1">
        <f t="array" ref="T105">MAX(IF((ContinuousStatsTable[GroupByKey]=ContinuousStatsTable[[#This Row],[GroupByKey]]),(ContinuousStatsTable[GroupByKey]=ContinuousStatsTable[[#This Row],[GroupByKey]])*ContinuousStatsTable[Average]))</f>
        <v>0.128719646283251</v>
      </c>
      <c r="U105" s="5">
        <f>IF((ContinuousStatsTable[[#This Row],[RepsRequested]]&gt;1),ContinuousStatsTable[[#This Row],[HalfWidth]],ContinuousStatsTable[[#This Row],[BatchMeansHalfWidth]])</f>
        <v>1.3203225427596797E-2</v>
      </c>
    </row>
    <row r="106" spans="1:21" x14ac:dyDescent="0.25">
      <c r="A106" t="s">
        <v>68</v>
      </c>
      <c r="B106" t="s">
        <v>70</v>
      </c>
      <c r="C106">
        <v>12</v>
      </c>
      <c r="D106" t="s">
        <v>93</v>
      </c>
      <c r="E106" t="s">
        <v>97</v>
      </c>
      <c r="F106" t="s">
        <v>95</v>
      </c>
      <c r="G106">
        <v>3</v>
      </c>
      <c r="H106">
        <v>2E+20</v>
      </c>
      <c r="I106">
        <v>3</v>
      </c>
      <c r="J106">
        <v>3</v>
      </c>
      <c r="K106">
        <v>3</v>
      </c>
      <c r="L106">
        <v>0</v>
      </c>
      <c r="M106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106" s="5" cm="1">
        <f t="array" ref="N106">MAX(IF((ProjectInfoTable[ProjectName]=ContinuousStatsTable[[#This Row],[ProjectName]]),(ProjectInfoTable[ProjectName]=ContinuousStatsTable[[#This Row],[ProjectName]])*ProjectInfoTable[NumberOfReplications]))</f>
        <v>27</v>
      </c>
      <c r="O106" s="5" cm="1">
        <f t="array" ref="O106">IFERROR(AVERAGE(IF((ContinuousStatsTable[GroupByKey]=ContinuousStatsTable[[#This Row],[GroupByKey]]),(ContinuousStatsTable[GroupByKey]=ContinuousStatsTable[[#This Row],[GroupByKey]])*ContinuousStatsTable[Average])),0)</f>
        <v>3</v>
      </c>
      <c r="P106" s="5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</v>
      </c>
      <c r="Q106" s="5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" s="5" cm="1">
        <f t="array" ref="S106">MIN(IF((ContinuousStatsTable[GroupByKey]=ContinuousStatsTable[[#This Row],[GroupByKey]]),(ContinuousStatsTable[GroupByKey]=ContinuousStatsTable[[#This Row],[GroupByKey]])*ContinuousStatsTable[Average]))</f>
        <v>3</v>
      </c>
      <c r="T106" s="5" cm="1">
        <f t="array" ref="T106">MAX(IF((ContinuousStatsTable[GroupByKey]=ContinuousStatsTable[[#This Row],[GroupByKey]]),(ContinuousStatsTable[GroupByKey]=ContinuousStatsTable[[#This Row],[GroupByKey]])*ContinuousStatsTable[Average]))</f>
        <v>3</v>
      </c>
      <c r="U106" s="5">
        <f>IF((ContinuousStatsTable[[#This Row],[RepsRequested]]&gt;1),ContinuousStatsTable[[#This Row],[HalfWidth]],ContinuousStatsTable[[#This Row],[BatchMeansHalfWidth]])</f>
        <v>0</v>
      </c>
    </row>
    <row r="107" spans="1:21" x14ac:dyDescent="0.25">
      <c r="A107" t="s">
        <v>68</v>
      </c>
      <c r="B107" t="s">
        <v>70</v>
      </c>
      <c r="C107">
        <v>12</v>
      </c>
      <c r="D107" t="s">
        <v>98</v>
      </c>
      <c r="E107" t="s">
        <v>94</v>
      </c>
      <c r="F107" t="s">
        <v>95</v>
      </c>
      <c r="G107">
        <v>0</v>
      </c>
      <c r="H107">
        <v>2E+20</v>
      </c>
      <c r="I107">
        <v>0</v>
      </c>
      <c r="J107">
        <v>0</v>
      </c>
      <c r="K107">
        <v>0</v>
      </c>
      <c r="L107">
        <v>0</v>
      </c>
      <c r="M107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107" s="5" cm="1">
        <f t="array" ref="N107">MAX(IF((ProjectInfoTable[ProjectName]=ContinuousStatsTable[[#This Row],[ProjectName]]),(ProjectInfoTable[ProjectName]=ContinuousStatsTable[[#This Row],[ProjectName]])*ProjectInfoTable[NumberOfReplications]))</f>
        <v>27</v>
      </c>
      <c r="O107" s="5" cm="1">
        <f t="array" ref="O107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107" s="5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107" s="5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107" s="5" cm="1">
        <f t="array" ref="S107">MIN(IF((ContinuousStatsTable[GroupByKey]=ContinuousStatsTable[[#This Row],[GroupByKey]]),(ContinuousStatsTable[GroupByKey]=ContinuousStatsTable[[#This Row],[GroupByKey]])*ContinuousStatsTable[Average]))</f>
        <v>0</v>
      </c>
      <c r="T107" s="5" cm="1">
        <f t="array" ref="T107">MAX(IF((ContinuousStatsTable[GroupByKey]=ContinuousStatsTable[[#This Row],[GroupByKey]]),(ContinuousStatsTable[GroupByKey]=ContinuousStatsTable[[#This Row],[GroupByKey]])*ContinuousStatsTable[Average]))</f>
        <v>4.2820889862359999E-3</v>
      </c>
      <c r="U107" s="5">
        <f>IF((ContinuousStatsTable[[#This Row],[RepsRequested]]&gt;1),ContinuousStatsTable[[#This Row],[HalfWidth]],ContinuousStatsTable[[#This Row],[BatchMeansHalfWidth]])</f>
        <v>3.2599851741098198E-4</v>
      </c>
    </row>
    <row r="108" spans="1:21" x14ac:dyDescent="0.25">
      <c r="A108" t="s">
        <v>68</v>
      </c>
      <c r="B108" t="s">
        <v>70</v>
      </c>
      <c r="C108">
        <v>12</v>
      </c>
      <c r="D108" t="s">
        <v>98</v>
      </c>
      <c r="E108" t="s">
        <v>96</v>
      </c>
      <c r="F108" t="s">
        <v>95</v>
      </c>
      <c r="G108">
        <v>0</v>
      </c>
      <c r="H108">
        <v>2E+20</v>
      </c>
      <c r="I108">
        <v>0</v>
      </c>
      <c r="J108">
        <v>0</v>
      </c>
      <c r="K108">
        <v>0</v>
      </c>
      <c r="L108">
        <v>0</v>
      </c>
      <c r="M108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108" s="5" cm="1">
        <f t="array" ref="N108">MAX(IF((ProjectInfoTable[ProjectName]=ContinuousStatsTable[[#This Row],[ProjectName]]),(ProjectInfoTable[ProjectName]=ContinuousStatsTable[[#This Row],[ProjectName]])*ProjectInfoTable[NumberOfReplications]))</f>
        <v>27</v>
      </c>
      <c r="O108" s="5" cm="1">
        <f t="array" ref="O108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108" s="5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108" s="5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108" s="5" cm="1">
        <f t="array" ref="S108">MIN(IF((ContinuousStatsTable[GroupByKey]=ContinuousStatsTable[[#This Row],[GroupByKey]]),(ContinuousStatsTable[GroupByKey]=ContinuousStatsTable[[#This Row],[GroupByKey]])*ContinuousStatsTable[Average]))</f>
        <v>0</v>
      </c>
      <c r="T108" s="5" cm="1">
        <f t="array" ref="T108">MAX(IF((ContinuousStatsTable[GroupByKey]=ContinuousStatsTable[[#This Row],[GroupByKey]]),(ContinuousStatsTable[GroupByKey]=ContinuousStatsTable[[#This Row],[GroupByKey]])*ContinuousStatsTable[Average]))</f>
        <v>4.2820889862359999E-3</v>
      </c>
      <c r="U108" s="5">
        <f>IF((ContinuousStatsTable[[#This Row],[RepsRequested]]&gt;1),ContinuousStatsTable[[#This Row],[HalfWidth]],ContinuousStatsTable[[#This Row],[BatchMeansHalfWidth]])</f>
        <v>3.2599851741098198E-4</v>
      </c>
    </row>
    <row r="109" spans="1:21" x14ac:dyDescent="0.25">
      <c r="A109" t="s">
        <v>68</v>
      </c>
      <c r="B109" t="s">
        <v>70</v>
      </c>
      <c r="C109">
        <v>12</v>
      </c>
      <c r="D109" t="s">
        <v>98</v>
      </c>
      <c r="E109" t="s">
        <v>97</v>
      </c>
      <c r="F109" t="s">
        <v>95</v>
      </c>
      <c r="G109">
        <v>1</v>
      </c>
      <c r="H109">
        <v>2E+20</v>
      </c>
      <c r="I109">
        <v>1</v>
      </c>
      <c r="J109">
        <v>1</v>
      </c>
      <c r="K109">
        <v>1</v>
      </c>
      <c r="L109">
        <v>0</v>
      </c>
      <c r="M109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109" s="5" cm="1">
        <f t="array" ref="N109">MAX(IF((ProjectInfoTable[ProjectName]=ContinuousStatsTable[[#This Row],[ProjectName]]),(ProjectInfoTable[ProjectName]=ContinuousStatsTable[[#This Row],[ProjectName]])*ProjectInfoTable[NumberOfReplications]))</f>
        <v>27</v>
      </c>
      <c r="O109" s="5" cm="1">
        <f t="array" ref="O109">IFERROR(AVERAGE(IF((ContinuousStatsTable[GroupByKey]=ContinuousStatsTable[[#This Row],[GroupByKey]]),(ContinuousStatsTable[GroupByKey]=ContinuousStatsTable[[#This Row],[GroupByKey]])*ContinuousStatsTable[Average])),0)</f>
        <v>1</v>
      </c>
      <c r="P109" s="5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</v>
      </c>
      <c r="Q109" s="5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" s="5" cm="1">
        <f t="array" ref="S109">MIN(IF((ContinuousStatsTable[GroupByKey]=ContinuousStatsTable[[#This Row],[GroupByKey]]),(ContinuousStatsTable[GroupByKey]=ContinuousStatsTable[[#This Row],[GroupByKey]])*ContinuousStatsTable[Average]))</f>
        <v>1</v>
      </c>
      <c r="T109" s="5" cm="1">
        <f t="array" ref="T109">MAX(IF((ContinuousStatsTable[GroupByKey]=ContinuousStatsTable[[#This Row],[GroupByKey]]),(ContinuousStatsTable[GroupByKey]=ContinuousStatsTable[[#This Row],[GroupByKey]])*ContinuousStatsTable[Average]))</f>
        <v>1</v>
      </c>
      <c r="U109" s="5">
        <f>IF((ContinuousStatsTable[[#This Row],[RepsRequested]]&gt;1),ContinuousStatsTable[[#This Row],[HalfWidth]],ContinuousStatsTable[[#This Row],[BatchMeansHalfWidth]])</f>
        <v>0</v>
      </c>
    </row>
    <row r="110" spans="1:21" x14ac:dyDescent="0.25">
      <c r="A110" t="s">
        <v>68</v>
      </c>
      <c r="B110" t="s">
        <v>70</v>
      </c>
      <c r="C110">
        <v>13</v>
      </c>
      <c r="D110" t="s">
        <v>71</v>
      </c>
      <c r="E110" t="s">
        <v>91</v>
      </c>
      <c r="F110" t="s">
        <v>73</v>
      </c>
      <c r="G110">
        <v>6.2204778210187099E-2</v>
      </c>
      <c r="H110">
        <v>2E+20</v>
      </c>
      <c r="I110">
        <v>0</v>
      </c>
      <c r="J110">
        <v>1</v>
      </c>
      <c r="K110">
        <v>0</v>
      </c>
      <c r="L110">
        <v>0</v>
      </c>
      <c r="M110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110" s="5" cm="1">
        <f t="array" ref="N110">MAX(IF((ProjectInfoTable[ProjectName]=ContinuousStatsTable[[#This Row],[ProjectName]]),(ProjectInfoTable[ProjectName]=ContinuousStatsTable[[#This Row],[ProjectName]])*ProjectInfoTable[NumberOfReplications]))</f>
        <v>27</v>
      </c>
      <c r="O110" s="5" cm="1">
        <f t="array" ref="O110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110" s="5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110" s="5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110" s="5" cm="1">
        <f t="array" ref="S110">MIN(IF((ContinuousStatsTable[GroupByKey]=ContinuousStatsTable[[#This Row],[GroupByKey]]),(ContinuousStatsTable[GroupByKey]=ContinuousStatsTable[[#This Row],[GroupByKey]])*ContinuousStatsTable[Average]))</f>
        <v>0</v>
      </c>
      <c r="T110" s="5" cm="1">
        <f t="array" ref="T110">MAX(IF((ContinuousStatsTable[GroupByKey]=ContinuousStatsTable[[#This Row],[GroupByKey]]),(ContinuousStatsTable[GroupByKey]=ContinuousStatsTable[[#This Row],[GroupByKey]])*ContinuousStatsTable[Average]))</f>
        <v>0.128719646283251</v>
      </c>
      <c r="U110" s="5">
        <f>IF((ContinuousStatsTable[[#This Row],[RepsRequested]]&gt;1),ContinuousStatsTable[[#This Row],[HalfWidth]],ContinuousStatsTable[[#This Row],[BatchMeansHalfWidth]])</f>
        <v>1.3314003381859424E-2</v>
      </c>
    </row>
    <row r="111" spans="1:21" x14ac:dyDescent="0.25">
      <c r="A111" t="s">
        <v>68</v>
      </c>
      <c r="B111" t="s">
        <v>70</v>
      </c>
      <c r="C111">
        <v>13</v>
      </c>
      <c r="D111" t="s">
        <v>79</v>
      </c>
      <c r="E111" t="s">
        <v>92</v>
      </c>
      <c r="F111" t="s">
        <v>81</v>
      </c>
      <c r="G111">
        <v>0</v>
      </c>
      <c r="H111">
        <v>2E+20</v>
      </c>
      <c r="I111">
        <v>0</v>
      </c>
      <c r="J111">
        <v>0</v>
      </c>
      <c r="K111">
        <v>0</v>
      </c>
      <c r="L111">
        <v>0</v>
      </c>
      <c r="M111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111" s="5" cm="1">
        <f t="array" ref="N111">MAX(IF((ProjectInfoTable[ProjectName]=ContinuousStatsTable[[#This Row],[ProjectName]]),(ProjectInfoTable[ProjectName]=ContinuousStatsTable[[#This Row],[ProjectName]])*ProjectInfoTable[NumberOfReplications]))</f>
        <v>27</v>
      </c>
      <c r="O111" s="5" cm="1">
        <f t="array" ref="O111">IFERROR(AVERAGE(IF((ContinuousStatsTable[GroupByKey]=ContinuousStatsTable[[#This Row],[GroupByKey]]),(ContinuousStatsTable[GroupByKey]=ContinuousStatsTable[[#This Row],[GroupByKey]])*ContinuousStatsTable[Average])),0)</f>
        <v>0</v>
      </c>
      <c r="P111" s="5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</v>
      </c>
      <c r="Q111" s="5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" s="5" cm="1">
        <f t="array" ref="S111">MIN(IF((ContinuousStatsTable[GroupByKey]=ContinuousStatsTable[[#This Row],[GroupByKey]]),(ContinuousStatsTable[GroupByKey]=ContinuousStatsTable[[#This Row],[GroupByKey]])*ContinuousStatsTable[Average]))</f>
        <v>0</v>
      </c>
      <c r="T111" s="5" cm="1">
        <f t="array" ref="T111">MAX(IF((ContinuousStatsTable[GroupByKey]=ContinuousStatsTable[[#This Row],[GroupByKey]]),(ContinuousStatsTable[GroupByKey]=ContinuousStatsTable[[#This Row],[GroupByKey]])*ContinuousStatsTable[Average]))</f>
        <v>0</v>
      </c>
      <c r="U111" s="5">
        <f>IF((ContinuousStatsTable[[#This Row],[RepsRequested]]&gt;1),ContinuousStatsTable[[#This Row],[HalfWidth]],ContinuousStatsTable[[#This Row],[BatchMeansHalfWidth]])</f>
        <v>0</v>
      </c>
    </row>
    <row r="112" spans="1:21" x14ac:dyDescent="0.25">
      <c r="A112" t="s">
        <v>68</v>
      </c>
      <c r="B112" t="s">
        <v>70</v>
      </c>
      <c r="C112">
        <v>13</v>
      </c>
      <c r="D112" t="s">
        <v>90</v>
      </c>
      <c r="E112" t="s">
        <v>92</v>
      </c>
      <c r="F112" t="s">
        <v>81</v>
      </c>
      <c r="G112">
        <v>0</v>
      </c>
      <c r="H112">
        <v>2E+20</v>
      </c>
      <c r="I112">
        <v>0</v>
      </c>
      <c r="J112">
        <v>0</v>
      </c>
      <c r="K112">
        <v>0</v>
      </c>
      <c r="L112">
        <v>0</v>
      </c>
      <c r="M112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112" s="5" cm="1">
        <f t="array" ref="N112">MAX(IF((ProjectInfoTable[ProjectName]=ContinuousStatsTable[[#This Row],[ProjectName]]),(ProjectInfoTable[ProjectName]=ContinuousStatsTable[[#This Row],[ProjectName]])*ProjectInfoTable[NumberOfReplications]))</f>
        <v>27</v>
      </c>
      <c r="O112" s="5" cm="1">
        <f t="array" ref="O112">IFERROR(AVERAGE(IF((ContinuousStatsTable[GroupByKey]=ContinuousStatsTable[[#This Row],[GroupByKey]]),(ContinuousStatsTable[GroupByKey]=ContinuousStatsTable[[#This Row],[GroupByKey]])*ContinuousStatsTable[Average])),0)</f>
        <v>0</v>
      </c>
      <c r="P112" s="5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</v>
      </c>
      <c r="Q112" s="5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2" s="5" cm="1">
        <f t="array" ref="S112">MIN(IF((ContinuousStatsTable[GroupByKey]=ContinuousStatsTable[[#This Row],[GroupByKey]]),(ContinuousStatsTable[GroupByKey]=ContinuousStatsTable[[#This Row],[GroupByKey]])*ContinuousStatsTable[Average]))</f>
        <v>0</v>
      </c>
      <c r="T112" s="5" cm="1">
        <f t="array" ref="T112">MAX(IF((ContinuousStatsTable[GroupByKey]=ContinuousStatsTable[[#This Row],[GroupByKey]]),(ContinuousStatsTable[GroupByKey]=ContinuousStatsTable[[#This Row],[GroupByKey]])*ContinuousStatsTable[Average]))</f>
        <v>0</v>
      </c>
      <c r="U112" s="5">
        <f>IF((ContinuousStatsTable[[#This Row],[RepsRequested]]&gt;1),ContinuousStatsTable[[#This Row],[HalfWidth]],ContinuousStatsTable[[#This Row],[BatchMeansHalfWidth]])</f>
        <v>0</v>
      </c>
    </row>
    <row r="113" spans="1:21" x14ac:dyDescent="0.25">
      <c r="A113" t="s">
        <v>68</v>
      </c>
      <c r="B113" t="s">
        <v>70</v>
      </c>
      <c r="C113">
        <v>13</v>
      </c>
      <c r="D113" t="s">
        <v>93</v>
      </c>
      <c r="E113" t="s">
        <v>94</v>
      </c>
      <c r="F113" t="s">
        <v>95</v>
      </c>
      <c r="G113">
        <v>2.0734926070062401E-2</v>
      </c>
      <c r="H113">
        <v>2E+20</v>
      </c>
      <c r="I113">
        <v>0</v>
      </c>
      <c r="J113">
        <v>0.33333333333333298</v>
      </c>
      <c r="K113">
        <v>0</v>
      </c>
      <c r="L113">
        <v>0</v>
      </c>
      <c r="M113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113" s="5" cm="1">
        <f t="array" ref="N113">MAX(IF((ProjectInfoTable[ProjectName]=ContinuousStatsTable[[#This Row],[ProjectName]]),(ProjectInfoTable[ProjectName]=ContinuousStatsTable[[#This Row],[ProjectName]])*ProjectInfoTable[NumberOfReplications]))</f>
        <v>27</v>
      </c>
      <c r="O113" s="5" cm="1">
        <f t="array" ref="O113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113" s="5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113" s="5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113" s="5" cm="1">
        <f t="array" ref="S113">MIN(IF((ContinuousStatsTable[GroupByKey]=ContinuousStatsTable[[#This Row],[GroupByKey]]),(ContinuousStatsTable[GroupByKey]=ContinuousStatsTable[[#This Row],[GroupByKey]])*ContinuousStatsTable[Average]))</f>
        <v>0</v>
      </c>
      <c r="T113" s="5" cm="1">
        <f t="array" ref="T113">MAX(IF((ContinuousStatsTable[GroupByKey]=ContinuousStatsTable[[#This Row],[GroupByKey]]),(ContinuousStatsTable[GroupByKey]=ContinuousStatsTable[[#This Row],[GroupByKey]])*ContinuousStatsTable[Average]))</f>
        <v>4.2906548761083699E-2</v>
      </c>
      <c r="U113" s="5">
        <f>IF((ContinuousStatsTable[[#This Row],[RepsRequested]]&gt;1),ContinuousStatsTable[[#This Row],[HalfWidth]],ContinuousStatsTable[[#This Row],[BatchMeansHalfWidth]])</f>
        <v>4.4010751425322646E-3</v>
      </c>
    </row>
    <row r="114" spans="1:21" x14ac:dyDescent="0.25">
      <c r="A114" t="s">
        <v>68</v>
      </c>
      <c r="B114" t="s">
        <v>70</v>
      </c>
      <c r="C114">
        <v>13</v>
      </c>
      <c r="D114" t="s">
        <v>93</v>
      </c>
      <c r="E114" t="s">
        <v>96</v>
      </c>
      <c r="F114" t="s">
        <v>95</v>
      </c>
      <c r="G114">
        <v>6.2204778210187099E-2</v>
      </c>
      <c r="H114">
        <v>2E+20</v>
      </c>
      <c r="I114">
        <v>0</v>
      </c>
      <c r="J114">
        <v>1</v>
      </c>
      <c r="K114">
        <v>0</v>
      </c>
      <c r="L114">
        <v>0</v>
      </c>
      <c r="M114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114" s="5" cm="1">
        <f t="array" ref="N114">MAX(IF((ProjectInfoTable[ProjectName]=ContinuousStatsTable[[#This Row],[ProjectName]]),(ProjectInfoTable[ProjectName]=ContinuousStatsTable[[#This Row],[ProjectName]])*ProjectInfoTable[NumberOfReplications]))</f>
        <v>27</v>
      </c>
      <c r="O114" s="5" cm="1">
        <f t="array" ref="O114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114" s="5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114" s="5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114" s="5" cm="1">
        <f t="array" ref="S114">MIN(IF((ContinuousStatsTable[GroupByKey]=ContinuousStatsTable[[#This Row],[GroupByKey]]),(ContinuousStatsTable[GroupByKey]=ContinuousStatsTable[[#This Row],[GroupByKey]])*ContinuousStatsTable[Average]))</f>
        <v>0</v>
      </c>
      <c r="T114" s="5" cm="1">
        <f t="array" ref="T114">MAX(IF((ContinuousStatsTable[GroupByKey]=ContinuousStatsTable[[#This Row],[GroupByKey]]),(ContinuousStatsTable[GroupByKey]=ContinuousStatsTable[[#This Row],[GroupByKey]])*ContinuousStatsTable[Average]))</f>
        <v>0.128719646283251</v>
      </c>
      <c r="U114" s="5">
        <f>IF((ContinuousStatsTable[[#This Row],[RepsRequested]]&gt;1),ContinuousStatsTable[[#This Row],[HalfWidth]],ContinuousStatsTable[[#This Row],[BatchMeansHalfWidth]])</f>
        <v>1.3203225427596797E-2</v>
      </c>
    </row>
    <row r="115" spans="1:21" x14ac:dyDescent="0.25">
      <c r="A115" t="s">
        <v>68</v>
      </c>
      <c r="B115" t="s">
        <v>70</v>
      </c>
      <c r="C115">
        <v>13</v>
      </c>
      <c r="D115" t="s">
        <v>93</v>
      </c>
      <c r="E115" t="s">
        <v>97</v>
      </c>
      <c r="F115" t="s">
        <v>95</v>
      </c>
      <c r="G115">
        <v>3</v>
      </c>
      <c r="H115">
        <v>2E+20</v>
      </c>
      <c r="I115">
        <v>3</v>
      </c>
      <c r="J115">
        <v>3</v>
      </c>
      <c r="K115">
        <v>3</v>
      </c>
      <c r="L115">
        <v>0</v>
      </c>
      <c r="M115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115" s="5" cm="1">
        <f t="array" ref="N115">MAX(IF((ProjectInfoTable[ProjectName]=ContinuousStatsTable[[#This Row],[ProjectName]]),(ProjectInfoTable[ProjectName]=ContinuousStatsTable[[#This Row],[ProjectName]])*ProjectInfoTable[NumberOfReplications]))</f>
        <v>27</v>
      </c>
      <c r="O115" s="5" cm="1">
        <f t="array" ref="O115">IFERROR(AVERAGE(IF((ContinuousStatsTable[GroupByKey]=ContinuousStatsTable[[#This Row],[GroupByKey]]),(ContinuousStatsTable[GroupByKey]=ContinuousStatsTable[[#This Row],[GroupByKey]])*ContinuousStatsTable[Average])),0)</f>
        <v>3</v>
      </c>
      <c r="P115" s="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s="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s="5" cm="1">
        <f t="array" ref="S115">MIN(IF((ContinuousStatsTable[GroupByKey]=ContinuousStatsTable[[#This Row],[GroupByKey]]),(ContinuousStatsTable[GroupByKey]=ContinuousStatsTable[[#This Row],[GroupByKey]])*ContinuousStatsTable[Average]))</f>
        <v>3</v>
      </c>
      <c r="T115" s="5" cm="1">
        <f t="array" ref="T115">MAX(IF((ContinuousStatsTable[GroupByKey]=ContinuousStatsTable[[#This Row],[GroupByKey]]),(ContinuousStatsTable[GroupByKey]=ContinuousStatsTable[[#This Row],[GroupByKey]])*ContinuousStatsTable[Average]))</f>
        <v>3</v>
      </c>
      <c r="U115" s="5">
        <f>IF((ContinuousStatsTable[[#This Row],[RepsRequested]]&gt;1),ContinuousStatsTable[[#This Row],[HalfWidth]],ContinuousStatsTable[[#This Row],[BatchMeansHalfWidth]])</f>
        <v>0</v>
      </c>
    </row>
    <row r="116" spans="1:21" x14ac:dyDescent="0.25">
      <c r="A116" t="s">
        <v>68</v>
      </c>
      <c r="B116" t="s">
        <v>70</v>
      </c>
      <c r="C116">
        <v>13</v>
      </c>
      <c r="D116" t="s">
        <v>98</v>
      </c>
      <c r="E116" t="s">
        <v>94</v>
      </c>
      <c r="F116" t="s">
        <v>95</v>
      </c>
      <c r="G116">
        <v>0</v>
      </c>
      <c r="H116">
        <v>2E+20</v>
      </c>
      <c r="I116">
        <v>0</v>
      </c>
      <c r="J116">
        <v>0</v>
      </c>
      <c r="K116">
        <v>0</v>
      </c>
      <c r="L116">
        <v>0</v>
      </c>
      <c r="M116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116" s="5" cm="1">
        <f t="array" ref="N116">MAX(IF((ProjectInfoTable[ProjectName]=ContinuousStatsTable[[#This Row],[ProjectName]]),(ProjectInfoTable[ProjectName]=ContinuousStatsTable[[#This Row],[ProjectName]])*ProjectInfoTable[NumberOfReplications]))</f>
        <v>27</v>
      </c>
      <c r="O116" s="5" cm="1">
        <f t="array" ref="O116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116" s="5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116" s="5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116" s="5" cm="1">
        <f t="array" ref="S116">MIN(IF((ContinuousStatsTable[GroupByKey]=ContinuousStatsTable[[#This Row],[GroupByKey]]),(ContinuousStatsTable[GroupByKey]=ContinuousStatsTable[[#This Row],[GroupByKey]])*ContinuousStatsTable[Average]))</f>
        <v>0</v>
      </c>
      <c r="T116" s="5" cm="1">
        <f t="array" ref="T116">MAX(IF((ContinuousStatsTable[GroupByKey]=ContinuousStatsTable[[#This Row],[GroupByKey]]),(ContinuousStatsTable[GroupByKey]=ContinuousStatsTable[[#This Row],[GroupByKey]])*ContinuousStatsTable[Average]))</f>
        <v>4.2820889862359999E-3</v>
      </c>
      <c r="U116" s="5">
        <f>IF((ContinuousStatsTable[[#This Row],[RepsRequested]]&gt;1),ContinuousStatsTable[[#This Row],[HalfWidth]],ContinuousStatsTable[[#This Row],[BatchMeansHalfWidth]])</f>
        <v>3.2599851741098198E-4</v>
      </c>
    </row>
    <row r="117" spans="1:21" x14ac:dyDescent="0.25">
      <c r="A117" t="s">
        <v>68</v>
      </c>
      <c r="B117" t="s">
        <v>70</v>
      </c>
      <c r="C117">
        <v>13</v>
      </c>
      <c r="D117" t="s">
        <v>98</v>
      </c>
      <c r="E117" t="s">
        <v>96</v>
      </c>
      <c r="F117" t="s">
        <v>95</v>
      </c>
      <c r="G117">
        <v>0</v>
      </c>
      <c r="H117">
        <v>2E+20</v>
      </c>
      <c r="I117">
        <v>0</v>
      </c>
      <c r="J117">
        <v>0</v>
      </c>
      <c r="K117">
        <v>0</v>
      </c>
      <c r="L117">
        <v>0</v>
      </c>
      <c r="M117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117" s="5" cm="1">
        <f t="array" ref="N117">MAX(IF((ProjectInfoTable[ProjectName]=ContinuousStatsTable[[#This Row],[ProjectName]]),(ProjectInfoTable[ProjectName]=ContinuousStatsTable[[#This Row],[ProjectName]])*ProjectInfoTable[NumberOfReplications]))</f>
        <v>27</v>
      </c>
      <c r="O117" s="5" cm="1">
        <f t="array" ref="O117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117" s="5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117" s="5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117" s="5" cm="1">
        <f t="array" ref="S117">MIN(IF((ContinuousStatsTable[GroupByKey]=ContinuousStatsTable[[#This Row],[GroupByKey]]),(ContinuousStatsTable[GroupByKey]=ContinuousStatsTable[[#This Row],[GroupByKey]])*ContinuousStatsTable[Average]))</f>
        <v>0</v>
      </c>
      <c r="T117" s="5" cm="1">
        <f t="array" ref="T117">MAX(IF((ContinuousStatsTable[GroupByKey]=ContinuousStatsTable[[#This Row],[GroupByKey]]),(ContinuousStatsTable[GroupByKey]=ContinuousStatsTable[[#This Row],[GroupByKey]])*ContinuousStatsTable[Average]))</f>
        <v>4.2820889862359999E-3</v>
      </c>
      <c r="U117" s="5">
        <f>IF((ContinuousStatsTable[[#This Row],[RepsRequested]]&gt;1),ContinuousStatsTable[[#This Row],[HalfWidth]],ContinuousStatsTable[[#This Row],[BatchMeansHalfWidth]])</f>
        <v>3.2599851741098198E-4</v>
      </c>
    </row>
    <row r="118" spans="1:21" x14ac:dyDescent="0.25">
      <c r="A118" t="s">
        <v>68</v>
      </c>
      <c r="B118" t="s">
        <v>70</v>
      </c>
      <c r="C118">
        <v>13</v>
      </c>
      <c r="D118" t="s">
        <v>98</v>
      </c>
      <c r="E118" t="s">
        <v>97</v>
      </c>
      <c r="F118" t="s">
        <v>95</v>
      </c>
      <c r="G118">
        <v>1</v>
      </c>
      <c r="H118">
        <v>2E+20</v>
      </c>
      <c r="I118">
        <v>1</v>
      </c>
      <c r="J118">
        <v>1</v>
      </c>
      <c r="K118">
        <v>1</v>
      </c>
      <c r="L118">
        <v>0</v>
      </c>
      <c r="M118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118" s="5" cm="1">
        <f t="array" ref="N118">MAX(IF((ProjectInfoTable[ProjectName]=ContinuousStatsTable[[#This Row],[ProjectName]]),(ProjectInfoTable[ProjectName]=ContinuousStatsTable[[#This Row],[ProjectName]])*ProjectInfoTable[NumberOfReplications]))</f>
        <v>27</v>
      </c>
      <c r="O118" s="5" cm="1">
        <f t="array" ref="O118">IFERROR(AVERAGE(IF((ContinuousStatsTable[GroupByKey]=ContinuousStatsTable[[#This Row],[GroupByKey]]),(ContinuousStatsTable[GroupByKey]=ContinuousStatsTable[[#This Row],[GroupByKey]])*ContinuousStatsTable[Average])),0)</f>
        <v>1</v>
      </c>
      <c r="P118" s="5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</v>
      </c>
      <c r="Q118" s="5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8" s="5" cm="1">
        <f t="array" ref="S118">MIN(IF((ContinuousStatsTable[GroupByKey]=ContinuousStatsTable[[#This Row],[GroupByKey]]),(ContinuousStatsTable[GroupByKey]=ContinuousStatsTable[[#This Row],[GroupByKey]])*ContinuousStatsTable[Average]))</f>
        <v>1</v>
      </c>
      <c r="T118" s="5" cm="1">
        <f t="array" ref="T118">MAX(IF((ContinuousStatsTable[GroupByKey]=ContinuousStatsTable[[#This Row],[GroupByKey]]),(ContinuousStatsTable[GroupByKey]=ContinuousStatsTable[[#This Row],[GroupByKey]])*ContinuousStatsTable[Average]))</f>
        <v>1</v>
      </c>
      <c r="U118" s="5">
        <f>IF((ContinuousStatsTable[[#This Row],[RepsRequested]]&gt;1),ContinuousStatsTable[[#This Row],[HalfWidth]],ContinuousStatsTable[[#This Row],[BatchMeansHalfWidth]])</f>
        <v>0</v>
      </c>
    </row>
    <row r="119" spans="1:21" x14ac:dyDescent="0.25">
      <c r="A119" t="s">
        <v>68</v>
      </c>
      <c r="B119" t="s">
        <v>70</v>
      </c>
      <c r="C119">
        <v>14</v>
      </c>
      <c r="D119" t="s">
        <v>71</v>
      </c>
      <c r="E119" t="s">
        <v>91</v>
      </c>
      <c r="F119" t="s">
        <v>73</v>
      </c>
      <c r="G119">
        <v>2.84466395796719E-2</v>
      </c>
      <c r="H119">
        <v>2E+20</v>
      </c>
      <c r="I119">
        <v>0</v>
      </c>
      <c r="J119">
        <v>1</v>
      </c>
      <c r="K119">
        <v>0</v>
      </c>
      <c r="L119">
        <v>0</v>
      </c>
      <c r="M119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119" s="5" cm="1">
        <f t="array" ref="N119">MAX(IF((ProjectInfoTable[ProjectName]=ContinuousStatsTable[[#This Row],[ProjectName]]),(ProjectInfoTable[ProjectName]=ContinuousStatsTable[[#This Row],[ProjectName]])*ProjectInfoTable[NumberOfReplications]))</f>
        <v>27</v>
      </c>
      <c r="O119" s="5" cm="1">
        <f t="array" ref="O119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119" s="5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119" s="5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119" s="5" cm="1">
        <f t="array" ref="S119">MIN(IF((ContinuousStatsTable[GroupByKey]=ContinuousStatsTable[[#This Row],[GroupByKey]]),(ContinuousStatsTable[GroupByKey]=ContinuousStatsTable[[#This Row],[GroupByKey]])*ContinuousStatsTable[Average]))</f>
        <v>0</v>
      </c>
      <c r="T119" s="5" cm="1">
        <f t="array" ref="T119">MAX(IF((ContinuousStatsTable[GroupByKey]=ContinuousStatsTable[[#This Row],[GroupByKey]]),(ContinuousStatsTable[GroupByKey]=ContinuousStatsTable[[#This Row],[GroupByKey]])*ContinuousStatsTable[Average]))</f>
        <v>0.128719646283251</v>
      </c>
      <c r="U119" s="5">
        <f>IF((ContinuousStatsTable[[#This Row],[RepsRequested]]&gt;1),ContinuousStatsTable[[#This Row],[HalfWidth]],ContinuousStatsTable[[#This Row],[BatchMeansHalfWidth]])</f>
        <v>1.3314003381859424E-2</v>
      </c>
    </row>
    <row r="120" spans="1:21" x14ac:dyDescent="0.25">
      <c r="A120" t="s">
        <v>68</v>
      </c>
      <c r="B120" t="s">
        <v>70</v>
      </c>
      <c r="C120">
        <v>14</v>
      </c>
      <c r="D120" t="s">
        <v>79</v>
      </c>
      <c r="E120" t="s">
        <v>92</v>
      </c>
      <c r="F120" t="s">
        <v>81</v>
      </c>
      <c r="G120">
        <v>0</v>
      </c>
      <c r="H120">
        <v>2E+20</v>
      </c>
      <c r="I120">
        <v>0</v>
      </c>
      <c r="J120">
        <v>0</v>
      </c>
      <c r="K120">
        <v>0</v>
      </c>
      <c r="L120">
        <v>0</v>
      </c>
      <c r="M120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120" s="5" cm="1">
        <f t="array" ref="N120">MAX(IF((ProjectInfoTable[ProjectName]=ContinuousStatsTable[[#This Row],[ProjectName]]),(ProjectInfoTable[ProjectName]=ContinuousStatsTable[[#This Row],[ProjectName]])*ProjectInfoTable[NumberOfReplications]))</f>
        <v>27</v>
      </c>
      <c r="O120" s="5" cm="1">
        <f t="array" ref="O120">IFERROR(AVERAGE(IF((ContinuousStatsTable[GroupByKey]=ContinuousStatsTable[[#This Row],[GroupByKey]]),(ContinuousStatsTable[GroupByKey]=ContinuousStatsTable[[#This Row],[GroupByKey]])*ContinuousStatsTable[Average])),0)</f>
        <v>0</v>
      </c>
      <c r="P120" s="5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s="5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s="5" cm="1">
        <f t="array" ref="S120">MIN(IF((ContinuousStatsTable[GroupByKey]=ContinuousStatsTable[[#This Row],[GroupByKey]]),(ContinuousStatsTable[GroupByKey]=ContinuousStatsTable[[#This Row],[GroupByKey]])*ContinuousStatsTable[Average]))</f>
        <v>0</v>
      </c>
      <c r="T120" s="5" cm="1">
        <f t="array" ref="T120">MAX(IF((ContinuousStatsTable[GroupByKey]=ContinuousStatsTable[[#This Row],[GroupByKey]]),(ContinuousStatsTable[GroupByKey]=ContinuousStatsTable[[#This Row],[GroupByKey]])*ContinuousStatsTable[Average]))</f>
        <v>0</v>
      </c>
      <c r="U120" s="5">
        <f>IF((ContinuousStatsTable[[#This Row],[RepsRequested]]&gt;1),ContinuousStatsTable[[#This Row],[HalfWidth]],ContinuousStatsTable[[#This Row],[BatchMeansHalfWidth]])</f>
        <v>0</v>
      </c>
    </row>
    <row r="121" spans="1:21" x14ac:dyDescent="0.25">
      <c r="A121" t="s">
        <v>68</v>
      </c>
      <c r="B121" t="s">
        <v>70</v>
      </c>
      <c r="C121">
        <v>14</v>
      </c>
      <c r="D121" t="s">
        <v>90</v>
      </c>
      <c r="E121" t="s">
        <v>92</v>
      </c>
      <c r="F121" t="s">
        <v>81</v>
      </c>
      <c r="G121">
        <v>0</v>
      </c>
      <c r="H121">
        <v>2E+20</v>
      </c>
      <c r="I121">
        <v>0</v>
      </c>
      <c r="J121">
        <v>0</v>
      </c>
      <c r="K121">
        <v>0</v>
      </c>
      <c r="L121">
        <v>0</v>
      </c>
      <c r="M121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121" s="5" cm="1">
        <f t="array" ref="N121">MAX(IF((ProjectInfoTable[ProjectName]=ContinuousStatsTable[[#This Row],[ProjectName]]),(ProjectInfoTable[ProjectName]=ContinuousStatsTable[[#This Row],[ProjectName]])*ProjectInfoTable[NumberOfReplications]))</f>
        <v>27</v>
      </c>
      <c r="O121" s="5" cm="1">
        <f t="array" ref="O121">IFERROR(AVERAGE(IF((ContinuousStatsTable[GroupByKey]=ContinuousStatsTable[[#This Row],[GroupByKey]]),(ContinuousStatsTable[GroupByKey]=ContinuousStatsTable[[#This Row],[GroupByKey]])*ContinuousStatsTable[Average])),0)</f>
        <v>0</v>
      </c>
      <c r="P121" s="5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</v>
      </c>
      <c r="Q121" s="5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1" s="5" cm="1">
        <f t="array" ref="S121">MIN(IF((ContinuousStatsTable[GroupByKey]=ContinuousStatsTable[[#This Row],[GroupByKey]]),(ContinuousStatsTable[GroupByKey]=ContinuousStatsTable[[#This Row],[GroupByKey]])*ContinuousStatsTable[Average]))</f>
        <v>0</v>
      </c>
      <c r="T121" s="5" cm="1">
        <f t="array" ref="T121">MAX(IF((ContinuousStatsTable[GroupByKey]=ContinuousStatsTable[[#This Row],[GroupByKey]]),(ContinuousStatsTable[GroupByKey]=ContinuousStatsTable[[#This Row],[GroupByKey]])*ContinuousStatsTable[Average]))</f>
        <v>0</v>
      </c>
      <c r="U121" s="5">
        <f>IF((ContinuousStatsTable[[#This Row],[RepsRequested]]&gt;1),ContinuousStatsTable[[#This Row],[HalfWidth]],ContinuousStatsTable[[#This Row],[BatchMeansHalfWidth]])</f>
        <v>0</v>
      </c>
    </row>
    <row r="122" spans="1:21" x14ac:dyDescent="0.25">
      <c r="A122" t="s">
        <v>68</v>
      </c>
      <c r="B122" t="s">
        <v>70</v>
      </c>
      <c r="C122">
        <v>14</v>
      </c>
      <c r="D122" t="s">
        <v>93</v>
      </c>
      <c r="E122" t="s">
        <v>94</v>
      </c>
      <c r="F122" t="s">
        <v>95</v>
      </c>
      <c r="G122">
        <v>9.48221319322398E-3</v>
      </c>
      <c r="H122">
        <v>2E+20</v>
      </c>
      <c r="I122">
        <v>0</v>
      </c>
      <c r="J122">
        <v>0.33333333333333298</v>
      </c>
      <c r="K122">
        <v>0</v>
      </c>
      <c r="L122">
        <v>0</v>
      </c>
      <c r="M122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122" s="5" cm="1">
        <f t="array" ref="N122">MAX(IF((ProjectInfoTable[ProjectName]=ContinuousStatsTable[[#This Row],[ProjectName]]),(ProjectInfoTable[ProjectName]=ContinuousStatsTable[[#This Row],[ProjectName]])*ProjectInfoTable[NumberOfReplications]))</f>
        <v>27</v>
      </c>
      <c r="O122" s="5" cm="1">
        <f t="array" ref="O122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122" s="5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122" s="5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122" s="5" cm="1">
        <f t="array" ref="S122">MIN(IF((ContinuousStatsTable[GroupByKey]=ContinuousStatsTable[[#This Row],[GroupByKey]]),(ContinuousStatsTable[GroupByKey]=ContinuousStatsTable[[#This Row],[GroupByKey]])*ContinuousStatsTable[Average]))</f>
        <v>0</v>
      </c>
      <c r="T122" s="5" cm="1">
        <f t="array" ref="T122">MAX(IF((ContinuousStatsTable[GroupByKey]=ContinuousStatsTable[[#This Row],[GroupByKey]]),(ContinuousStatsTable[GroupByKey]=ContinuousStatsTable[[#This Row],[GroupByKey]])*ContinuousStatsTable[Average]))</f>
        <v>4.2906548761083699E-2</v>
      </c>
      <c r="U122" s="5">
        <f>IF((ContinuousStatsTable[[#This Row],[RepsRequested]]&gt;1),ContinuousStatsTable[[#This Row],[HalfWidth]],ContinuousStatsTable[[#This Row],[BatchMeansHalfWidth]])</f>
        <v>4.4010751425322646E-3</v>
      </c>
    </row>
    <row r="123" spans="1:21" x14ac:dyDescent="0.25">
      <c r="A123" t="s">
        <v>68</v>
      </c>
      <c r="B123" t="s">
        <v>70</v>
      </c>
      <c r="C123">
        <v>14</v>
      </c>
      <c r="D123" t="s">
        <v>93</v>
      </c>
      <c r="E123" t="s">
        <v>96</v>
      </c>
      <c r="F123" t="s">
        <v>95</v>
      </c>
      <c r="G123">
        <v>2.84466395796719E-2</v>
      </c>
      <c r="H123">
        <v>2E+20</v>
      </c>
      <c r="I123">
        <v>0</v>
      </c>
      <c r="J123">
        <v>1</v>
      </c>
      <c r="K123">
        <v>0</v>
      </c>
      <c r="L123">
        <v>0</v>
      </c>
      <c r="M123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123" s="5" cm="1">
        <f t="array" ref="N123">MAX(IF((ProjectInfoTable[ProjectName]=ContinuousStatsTable[[#This Row],[ProjectName]]),(ProjectInfoTable[ProjectName]=ContinuousStatsTable[[#This Row],[ProjectName]])*ProjectInfoTable[NumberOfReplications]))</f>
        <v>27</v>
      </c>
      <c r="O123" s="5" cm="1">
        <f t="array" ref="O123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123" s="5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123" s="5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123" s="5" cm="1">
        <f t="array" ref="S123">MIN(IF((ContinuousStatsTable[GroupByKey]=ContinuousStatsTable[[#This Row],[GroupByKey]]),(ContinuousStatsTable[GroupByKey]=ContinuousStatsTable[[#This Row],[GroupByKey]])*ContinuousStatsTable[Average]))</f>
        <v>0</v>
      </c>
      <c r="T123" s="5" cm="1">
        <f t="array" ref="T123">MAX(IF((ContinuousStatsTable[GroupByKey]=ContinuousStatsTable[[#This Row],[GroupByKey]]),(ContinuousStatsTable[GroupByKey]=ContinuousStatsTable[[#This Row],[GroupByKey]])*ContinuousStatsTable[Average]))</f>
        <v>0.128719646283251</v>
      </c>
      <c r="U123" s="5">
        <f>IF((ContinuousStatsTable[[#This Row],[RepsRequested]]&gt;1),ContinuousStatsTable[[#This Row],[HalfWidth]],ContinuousStatsTable[[#This Row],[BatchMeansHalfWidth]])</f>
        <v>1.3203225427596797E-2</v>
      </c>
    </row>
    <row r="124" spans="1:21" x14ac:dyDescent="0.25">
      <c r="A124" t="s">
        <v>68</v>
      </c>
      <c r="B124" t="s">
        <v>70</v>
      </c>
      <c r="C124">
        <v>14</v>
      </c>
      <c r="D124" t="s">
        <v>93</v>
      </c>
      <c r="E124" t="s">
        <v>97</v>
      </c>
      <c r="F124" t="s">
        <v>95</v>
      </c>
      <c r="G124">
        <v>3</v>
      </c>
      <c r="H124">
        <v>2E+20</v>
      </c>
      <c r="I124">
        <v>3</v>
      </c>
      <c r="J124">
        <v>3</v>
      </c>
      <c r="K124">
        <v>3</v>
      </c>
      <c r="L124">
        <v>0</v>
      </c>
      <c r="M124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124" s="5" cm="1">
        <f t="array" ref="N124">MAX(IF((ProjectInfoTable[ProjectName]=ContinuousStatsTable[[#This Row],[ProjectName]]),(ProjectInfoTable[ProjectName]=ContinuousStatsTable[[#This Row],[ProjectName]])*ProjectInfoTable[NumberOfReplications]))</f>
        <v>27</v>
      </c>
      <c r="O124" s="5" cm="1">
        <f t="array" ref="O124">IFERROR(AVERAGE(IF((ContinuousStatsTable[GroupByKey]=ContinuousStatsTable[[#This Row],[GroupByKey]]),(ContinuousStatsTable[GroupByKey]=ContinuousStatsTable[[#This Row],[GroupByKey]])*ContinuousStatsTable[Average])),0)</f>
        <v>3</v>
      </c>
      <c r="P124" s="5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</v>
      </c>
      <c r="Q124" s="5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4" s="5" cm="1">
        <f t="array" ref="S124">MIN(IF((ContinuousStatsTable[GroupByKey]=ContinuousStatsTable[[#This Row],[GroupByKey]]),(ContinuousStatsTable[GroupByKey]=ContinuousStatsTable[[#This Row],[GroupByKey]])*ContinuousStatsTable[Average]))</f>
        <v>3</v>
      </c>
      <c r="T124" s="5" cm="1">
        <f t="array" ref="T124">MAX(IF((ContinuousStatsTable[GroupByKey]=ContinuousStatsTable[[#This Row],[GroupByKey]]),(ContinuousStatsTable[GroupByKey]=ContinuousStatsTable[[#This Row],[GroupByKey]])*ContinuousStatsTable[Average]))</f>
        <v>3</v>
      </c>
      <c r="U124" s="5">
        <f>IF((ContinuousStatsTable[[#This Row],[RepsRequested]]&gt;1),ContinuousStatsTable[[#This Row],[HalfWidth]],ContinuousStatsTable[[#This Row],[BatchMeansHalfWidth]])</f>
        <v>0</v>
      </c>
    </row>
    <row r="125" spans="1:21" x14ac:dyDescent="0.25">
      <c r="A125" t="s">
        <v>68</v>
      </c>
      <c r="B125" t="s">
        <v>70</v>
      </c>
      <c r="C125">
        <v>14</v>
      </c>
      <c r="D125" t="s">
        <v>98</v>
      </c>
      <c r="E125" t="s">
        <v>94</v>
      </c>
      <c r="F125" t="s">
        <v>95</v>
      </c>
      <c r="G125">
        <v>0</v>
      </c>
      <c r="H125">
        <v>2E+20</v>
      </c>
      <c r="I125">
        <v>0</v>
      </c>
      <c r="J125">
        <v>0</v>
      </c>
      <c r="K125">
        <v>0</v>
      </c>
      <c r="L125">
        <v>0</v>
      </c>
      <c r="M125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125" s="5" cm="1">
        <f t="array" ref="N125">MAX(IF((ProjectInfoTable[ProjectName]=ContinuousStatsTable[[#This Row],[ProjectName]]),(ProjectInfoTable[ProjectName]=ContinuousStatsTable[[#This Row],[ProjectName]])*ProjectInfoTable[NumberOfReplications]))</f>
        <v>27</v>
      </c>
      <c r="O125" s="5" cm="1">
        <f t="array" ref="O125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125" s="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125" s="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125" s="5" cm="1">
        <f t="array" ref="S125">MIN(IF((ContinuousStatsTable[GroupByKey]=ContinuousStatsTable[[#This Row],[GroupByKey]]),(ContinuousStatsTable[GroupByKey]=ContinuousStatsTable[[#This Row],[GroupByKey]])*ContinuousStatsTable[Average]))</f>
        <v>0</v>
      </c>
      <c r="T125" s="5" cm="1">
        <f t="array" ref="T125">MAX(IF((ContinuousStatsTable[GroupByKey]=ContinuousStatsTable[[#This Row],[GroupByKey]]),(ContinuousStatsTable[GroupByKey]=ContinuousStatsTable[[#This Row],[GroupByKey]])*ContinuousStatsTable[Average]))</f>
        <v>4.2820889862359999E-3</v>
      </c>
      <c r="U125" s="5">
        <f>IF((ContinuousStatsTable[[#This Row],[RepsRequested]]&gt;1),ContinuousStatsTable[[#This Row],[HalfWidth]],ContinuousStatsTable[[#This Row],[BatchMeansHalfWidth]])</f>
        <v>3.2599851741098198E-4</v>
      </c>
    </row>
    <row r="126" spans="1:21" x14ac:dyDescent="0.25">
      <c r="A126" t="s">
        <v>68</v>
      </c>
      <c r="B126" t="s">
        <v>70</v>
      </c>
      <c r="C126">
        <v>14</v>
      </c>
      <c r="D126" t="s">
        <v>98</v>
      </c>
      <c r="E126" t="s">
        <v>96</v>
      </c>
      <c r="F126" t="s">
        <v>95</v>
      </c>
      <c r="G126">
        <v>0</v>
      </c>
      <c r="H126">
        <v>2E+20</v>
      </c>
      <c r="I126">
        <v>0</v>
      </c>
      <c r="J126">
        <v>0</v>
      </c>
      <c r="K126">
        <v>0</v>
      </c>
      <c r="L126">
        <v>0</v>
      </c>
      <c r="M126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126" s="5" cm="1">
        <f t="array" ref="N126">MAX(IF((ProjectInfoTable[ProjectName]=ContinuousStatsTable[[#This Row],[ProjectName]]),(ProjectInfoTable[ProjectName]=ContinuousStatsTable[[#This Row],[ProjectName]])*ProjectInfoTable[NumberOfReplications]))</f>
        <v>27</v>
      </c>
      <c r="O126" s="5" cm="1">
        <f t="array" ref="O126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126" s="5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126" s="5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126" s="5" cm="1">
        <f t="array" ref="S126">MIN(IF((ContinuousStatsTable[GroupByKey]=ContinuousStatsTable[[#This Row],[GroupByKey]]),(ContinuousStatsTable[GroupByKey]=ContinuousStatsTable[[#This Row],[GroupByKey]])*ContinuousStatsTable[Average]))</f>
        <v>0</v>
      </c>
      <c r="T126" s="5" cm="1">
        <f t="array" ref="T126">MAX(IF((ContinuousStatsTable[GroupByKey]=ContinuousStatsTable[[#This Row],[GroupByKey]]),(ContinuousStatsTable[GroupByKey]=ContinuousStatsTable[[#This Row],[GroupByKey]])*ContinuousStatsTable[Average]))</f>
        <v>4.2820889862359999E-3</v>
      </c>
      <c r="U126" s="5">
        <f>IF((ContinuousStatsTable[[#This Row],[RepsRequested]]&gt;1),ContinuousStatsTable[[#This Row],[HalfWidth]],ContinuousStatsTable[[#This Row],[BatchMeansHalfWidth]])</f>
        <v>3.2599851741098198E-4</v>
      </c>
    </row>
    <row r="127" spans="1:21" x14ac:dyDescent="0.25">
      <c r="A127" t="s">
        <v>68</v>
      </c>
      <c r="B127" t="s">
        <v>70</v>
      </c>
      <c r="C127">
        <v>14</v>
      </c>
      <c r="D127" t="s">
        <v>98</v>
      </c>
      <c r="E127" t="s">
        <v>97</v>
      </c>
      <c r="F127" t="s">
        <v>95</v>
      </c>
      <c r="G127">
        <v>1</v>
      </c>
      <c r="H127">
        <v>2E+20</v>
      </c>
      <c r="I127">
        <v>1</v>
      </c>
      <c r="J127">
        <v>1</v>
      </c>
      <c r="K127">
        <v>1</v>
      </c>
      <c r="L127">
        <v>0</v>
      </c>
      <c r="M127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127" s="5" cm="1">
        <f t="array" ref="N127">MAX(IF((ProjectInfoTable[ProjectName]=ContinuousStatsTable[[#This Row],[ProjectName]]),(ProjectInfoTable[ProjectName]=ContinuousStatsTable[[#This Row],[ProjectName]])*ProjectInfoTable[NumberOfReplications]))</f>
        <v>27</v>
      </c>
      <c r="O127" s="5" cm="1">
        <f t="array" ref="O127">IFERROR(AVERAGE(IF((ContinuousStatsTable[GroupByKey]=ContinuousStatsTable[[#This Row],[GroupByKey]]),(ContinuousStatsTable[GroupByKey]=ContinuousStatsTable[[#This Row],[GroupByKey]])*ContinuousStatsTable[Average])),0)</f>
        <v>1</v>
      </c>
      <c r="P127" s="5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</v>
      </c>
      <c r="Q127" s="5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7" s="5" cm="1">
        <f t="array" ref="S127">MIN(IF((ContinuousStatsTable[GroupByKey]=ContinuousStatsTable[[#This Row],[GroupByKey]]),(ContinuousStatsTable[GroupByKey]=ContinuousStatsTable[[#This Row],[GroupByKey]])*ContinuousStatsTable[Average]))</f>
        <v>1</v>
      </c>
      <c r="T127" s="5" cm="1">
        <f t="array" ref="T127">MAX(IF((ContinuousStatsTable[GroupByKey]=ContinuousStatsTable[[#This Row],[GroupByKey]]),(ContinuousStatsTable[GroupByKey]=ContinuousStatsTable[[#This Row],[GroupByKey]])*ContinuousStatsTable[Average]))</f>
        <v>1</v>
      </c>
      <c r="U127" s="5">
        <f>IF((ContinuousStatsTable[[#This Row],[RepsRequested]]&gt;1),ContinuousStatsTable[[#This Row],[HalfWidth]],ContinuousStatsTable[[#This Row],[BatchMeansHalfWidth]])</f>
        <v>0</v>
      </c>
    </row>
    <row r="128" spans="1:21" x14ac:dyDescent="0.25">
      <c r="A128" t="s">
        <v>68</v>
      </c>
      <c r="B128" t="s">
        <v>70</v>
      </c>
      <c r="C128">
        <v>15</v>
      </c>
      <c r="D128" t="s">
        <v>71</v>
      </c>
      <c r="E128" t="s">
        <v>91</v>
      </c>
      <c r="F128" t="s">
        <v>73</v>
      </c>
      <c r="G128">
        <v>2.8852631373145799E-2</v>
      </c>
      <c r="H128">
        <v>2E+20</v>
      </c>
      <c r="I128">
        <v>0</v>
      </c>
      <c r="J128">
        <v>1</v>
      </c>
      <c r="K128">
        <v>0</v>
      </c>
      <c r="L128">
        <v>0</v>
      </c>
      <c r="M128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128" s="5" cm="1">
        <f t="array" ref="N128">MAX(IF((ProjectInfoTable[ProjectName]=ContinuousStatsTable[[#This Row],[ProjectName]]),(ProjectInfoTable[ProjectName]=ContinuousStatsTable[[#This Row],[ProjectName]])*ProjectInfoTable[NumberOfReplications]))</f>
        <v>27</v>
      </c>
      <c r="O128" s="5" cm="1">
        <f t="array" ref="O128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128" s="5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128" s="5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128" s="5" cm="1">
        <f t="array" ref="S128">MIN(IF((ContinuousStatsTable[GroupByKey]=ContinuousStatsTable[[#This Row],[GroupByKey]]),(ContinuousStatsTable[GroupByKey]=ContinuousStatsTable[[#This Row],[GroupByKey]])*ContinuousStatsTable[Average]))</f>
        <v>0</v>
      </c>
      <c r="T128" s="5" cm="1">
        <f t="array" ref="T128">MAX(IF((ContinuousStatsTable[GroupByKey]=ContinuousStatsTable[[#This Row],[GroupByKey]]),(ContinuousStatsTable[GroupByKey]=ContinuousStatsTable[[#This Row],[GroupByKey]])*ContinuousStatsTable[Average]))</f>
        <v>0.128719646283251</v>
      </c>
      <c r="U128" s="5">
        <f>IF((ContinuousStatsTable[[#This Row],[RepsRequested]]&gt;1),ContinuousStatsTable[[#This Row],[HalfWidth]],ContinuousStatsTable[[#This Row],[BatchMeansHalfWidth]])</f>
        <v>1.3314003381859424E-2</v>
      </c>
    </row>
    <row r="129" spans="1:21" x14ac:dyDescent="0.25">
      <c r="A129" t="s">
        <v>68</v>
      </c>
      <c r="B129" t="s">
        <v>70</v>
      </c>
      <c r="C129">
        <v>15</v>
      </c>
      <c r="D129" t="s">
        <v>79</v>
      </c>
      <c r="E129" t="s">
        <v>92</v>
      </c>
      <c r="F129" t="s">
        <v>81</v>
      </c>
      <c r="G129">
        <v>0</v>
      </c>
      <c r="H129">
        <v>2E+20</v>
      </c>
      <c r="I129">
        <v>0</v>
      </c>
      <c r="J129">
        <v>0</v>
      </c>
      <c r="K129">
        <v>0</v>
      </c>
      <c r="L129">
        <v>0</v>
      </c>
      <c r="M129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129" s="5" cm="1">
        <f t="array" ref="N129">MAX(IF((ProjectInfoTable[ProjectName]=ContinuousStatsTable[[#This Row],[ProjectName]]),(ProjectInfoTable[ProjectName]=ContinuousStatsTable[[#This Row],[ProjectName]])*ProjectInfoTable[NumberOfReplications]))</f>
        <v>27</v>
      </c>
      <c r="O129" s="5" cm="1">
        <f t="array" ref="O129">IFERROR(AVERAGE(IF((ContinuousStatsTable[GroupByKey]=ContinuousStatsTable[[#This Row],[GroupByKey]]),(ContinuousStatsTable[GroupByKey]=ContinuousStatsTable[[#This Row],[GroupByKey]])*ContinuousStatsTable[Average])),0)</f>
        <v>0</v>
      </c>
      <c r="P129" s="5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</v>
      </c>
      <c r="Q129" s="5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9" s="5" cm="1">
        <f t="array" ref="S129">MIN(IF((ContinuousStatsTable[GroupByKey]=ContinuousStatsTable[[#This Row],[GroupByKey]]),(ContinuousStatsTable[GroupByKey]=ContinuousStatsTable[[#This Row],[GroupByKey]])*ContinuousStatsTable[Average]))</f>
        <v>0</v>
      </c>
      <c r="T129" s="5" cm="1">
        <f t="array" ref="T129">MAX(IF((ContinuousStatsTable[GroupByKey]=ContinuousStatsTable[[#This Row],[GroupByKey]]),(ContinuousStatsTable[GroupByKey]=ContinuousStatsTable[[#This Row],[GroupByKey]])*ContinuousStatsTable[Average]))</f>
        <v>0</v>
      </c>
      <c r="U129" s="5">
        <f>IF((ContinuousStatsTable[[#This Row],[RepsRequested]]&gt;1),ContinuousStatsTable[[#This Row],[HalfWidth]],ContinuousStatsTable[[#This Row],[BatchMeansHalfWidth]])</f>
        <v>0</v>
      </c>
    </row>
    <row r="130" spans="1:21" x14ac:dyDescent="0.25">
      <c r="A130" t="s">
        <v>68</v>
      </c>
      <c r="B130" t="s">
        <v>70</v>
      </c>
      <c r="C130">
        <v>15</v>
      </c>
      <c r="D130" t="s">
        <v>90</v>
      </c>
      <c r="E130" t="s">
        <v>92</v>
      </c>
      <c r="F130" t="s">
        <v>81</v>
      </c>
      <c r="G130">
        <v>0</v>
      </c>
      <c r="H130">
        <v>2E+20</v>
      </c>
      <c r="I130">
        <v>0</v>
      </c>
      <c r="J130">
        <v>0</v>
      </c>
      <c r="K130">
        <v>0</v>
      </c>
      <c r="L130">
        <v>0</v>
      </c>
      <c r="M130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130" s="5" cm="1">
        <f t="array" ref="N130">MAX(IF((ProjectInfoTable[ProjectName]=ContinuousStatsTable[[#This Row],[ProjectName]]),(ProjectInfoTable[ProjectName]=ContinuousStatsTable[[#This Row],[ProjectName]])*ProjectInfoTable[NumberOfReplications]))</f>
        <v>27</v>
      </c>
      <c r="O130" s="5" cm="1">
        <f t="array" ref="O130">IFERROR(AVERAGE(IF((ContinuousStatsTable[GroupByKey]=ContinuousStatsTable[[#This Row],[GroupByKey]]),(ContinuousStatsTable[GroupByKey]=ContinuousStatsTable[[#This Row],[GroupByKey]])*ContinuousStatsTable[Average])),0)</f>
        <v>0</v>
      </c>
      <c r="P130" s="5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s="5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s="5" cm="1">
        <f t="array" ref="S130">MIN(IF((ContinuousStatsTable[GroupByKey]=ContinuousStatsTable[[#This Row],[GroupByKey]]),(ContinuousStatsTable[GroupByKey]=ContinuousStatsTable[[#This Row],[GroupByKey]])*ContinuousStatsTable[Average]))</f>
        <v>0</v>
      </c>
      <c r="T130" s="5" cm="1">
        <f t="array" ref="T130">MAX(IF((ContinuousStatsTable[GroupByKey]=ContinuousStatsTable[[#This Row],[GroupByKey]]),(ContinuousStatsTable[GroupByKey]=ContinuousStatsTable[[#This Row],[GroupByKey]])*ContinuousStatsTable[Average]))</f>
        <v>0</v>
      </c>
      <c r="U130" s="5">
        <f>IF((ContinuousStatsTable[[#This Row],[RepsRequested]]&gt;1),ContinuousStatsTable[[#This Row],[HalfWidth]],ContinuousStatsTable[[#This Row],[BatchMeansHalfWidth]])</f>
        <v>0</v>
      </c>
    </row>
    <row r="131" spans="1:21" x14ac:dyDescent="0.25">
      <c r="A131" t="s">
        <v>68</v>
      </c>
      <c r="B131" t="s">
        <v>70</v>
      </c>
      <c r="C131">
        <v>15</v>
      </c>
      <c r="D131" t="s">
        <v>93</v>
      </c>
      <c r="E131" t="s">
        <v>94</v>
      </c>
      <c r="F131" t="s">
        <v>95</v>
      </c>
      <c r="G131">
        <v>9.6175437910486009E-3</v>
      </c>
      <c r="H131">
        <v>2E+20</v>
      </c>
      <c r="I131">
        <v>0</v>
      </c>
      <c r="J131">
        <v>0.33333333333333298</v>
      </c>
      <c r="K131">
        <v>0</v>
      </c>
      <c r="L131">
        <v>0</v>
      </c>
      <c r="M131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131" s="5" cm="1">
        <f t="array" ref="N131">MAX(IF((ProjectInfoTable[ProjectName]=ContinuousStatsTable[[#This Row],[ProjectName]]),(ProjectInfoTable[ProjectName]=ContinuousStatsTable[[#This Row],[ProjectName]])*ProjectInfoTable[NumberOfReplications]))</f>
        <v>27</v>
      </c>
      <c r="O131" s="5" cm="1">
        <f t="array" ref="O131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131" s="5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131" s="5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131" s="5" cm="1">
        <f t="array" ref="S131">MIN(IF((ContinuousStatsTable[GroupByKey]=ContinuousStatsTable[[#This Row],[GroupByKey]]),(ContinuousStatsTable[GroupByKey]=ContinuousStatsTable[[#This Row],[GroupByKey]])*ContinuousStatsTable[Average]))</f>
        <v>0</v>
      </c>
      <c r="T131" s="5" cm="1">
        <f t="array" ref="T131">MAX(IF((ContinuousStatsTable[GroupByKey]=ContinuousStatsTable[[#This Row],[GroupByKey]]),(ContinuousStatsTable[GroupByKey]=ContinuousStatsTable[[#This Row],[GroupByKey]])*ContinuousStatsTable[Average]))</f>
        <v>4.2906548761083699E-2</v>
      </c>
      <c r="U131" s="5">
        <f>IF((ContinuousStatsTable[[#This Row],[RepsRequested]]&gt;1),ContinuousStatsTable[[#This Row],[HalfWidth]],ContinuousStatsTable[[#This Row],[BatchMeansHalfWidth]])</f>
        <v>4.4010751425322646E-3</v>
      </c>
    </row>
    <row r="132" spans="1:21" x14ac:dyDescent="0.25">
      <c r="A132" t="s">
        <v>68</v>
      </c>
      <c r="B132" t="s">
        <v>70</v>
      </c>
      <c r="C132">
        <v>15</v>
      </c>
      <c r="D132" t="s">
        <v>93</v>
      </c>
      <c r="E132" t="s">
        <v>96</v>
      </c>
      <c r="F132" t="s">
        <v>95</v>
      </c>
      <c r="G132">
        <v>2.8852631373145799E-2</v>
      </c>
      <c r="H132">
        <v>2E+20</v>
      </c>
      <c r="I132">
        <v>0</v>
      </c>
      <c r="J132">
        <v>1</v>
      </c>
      <c r="K132">
        <v>0</v>
      </c>
      <c r="L132">
        <v>0</v>
      </c>
      <c r="M132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132" s="5" cm="1">
        <f t="array" ref="N132">MAX(IF((ProjectInfoTable[ProjectName]=ContinuousStatsTable[[#This Row],[ProjectName]]),(ProjectInfoTable[ProjectName]=ContinuousStatsTable[[#This Row],[ProjectName]])*ProjectInfoTable[NumberOfReplications]))</f>
        <v>27</v>
      </c>
      <c r="O132" s="5" cm="1">
        <f t="array" ref="O132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132" s="5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132" s="5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132" s="5" cm="1">
        <f t="array" ref="S132">MIN(IF((ContinuousStatsTable[GroupByKey]=ContinuousStatsTable[[#This Row],[GroupByKey]]),(ContinuousStatsTable[GroupByKey]=ContinuousStatsTable[[#This Row],[GroupByKey]])*ContinuousStatsTable[Average]))</f>
        <v>0</v>
      </c>
      <c r="T132" s="5" cm="1">
        <f t="array" ref="T132">MAX(IF((ContinuousStatsTable[GroupByKey]=ContinuousStatsTable[[#This Row],[GroupByKey]]),(ContinuousStatsTable[GroupByKey]=ContinuousStatsTable[[#This Row],[GroupByKey]])*ContinuousStatsTable[Average]))</f>
        <v>0.128719646283251</v>
      </c>
      <c r="U132" s="5">
        <f>IF((ContinuousStatsTable[[#This Row],[RepsRequested]]&gt;1),ContinuousStatsTable[[#This Row],[HalfWidth]],ContinuousStatsTable[[#This Row],[BatchMeansHalfWidth]])</f>
        <v>1.3203225427596797E-2</v>
      </c>
    </row>
    <row r="133" spans="1:21" x14ac:dyDescent="0.25">
      <c r="A133" t="s">
        <v>68</v>
      </c>
      <c r="B133" t="s">
        <v>70</v>
      </c>
      <c r="C133">
        <v>15</v>
      </c>
      <c r="D133" t="s">
        <v>93</v>
      </c>
      <c r="E133" t="s">
        <v>97</v>
      </c>
      <c r="F133" t="s">
        <v>95</v>
      </c>
      <c r="G133">
        <v>3</v>
      </c>
      <c r="H133">
        <v>2E+20</v>
      </c>
      <c r="I133">
        <v>3</v>
      </c>
      <c r="J133">
        <v>3</v>
      </c>
      <c r="K133">
        <v>3</v>
      </c>
      <c r="L133">
        <v>0</v>
      </c>
      <c r="M133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133" s="5" cm="1">
        <f t="array" ref="N133">MAX(IF((ProjectInfoTable[ProjectName]=ContinuousStatsTable[[#This Row],[ProjectName]]),(ProjectInfoTable[ProjectName]=ContinuousStatsTable[[#This Row],[ProjectName]])*ProjectInfoTable[NumberOfReplications]))</f>
        <v>27</v>
      </c>
      <c r="O133" s="5" cm="1">
        <f t="array" ref="O133">IFERROR(AVERAGE(IF((ContinuousStatsTable[GroupByKey]=ContinuousStatsTable[[#This Row],[GroupByKey]]),(ContinuousStatsTable[GroupByKey]=ContinuousStatsTable[[#This Row],[GroupByKey]])*ContinuousStatsTable[Average])),0)</f>
        <v>3</v>
      </c>
      <c r="P133" s="5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0</v>
      </c>
      <c r="Q133" s="5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3" s="5" cm="1">
        <f t="array" ref="S133">MIN(IF((ContinuousStatsTable[GroupByKey]=ContinuousStatsTable[[#This Row],[GroupByKey]]),(ContinuousStatsTable[GroupByKey]=ContinuousStatsTable[[#This Row],[GroupByKey]])*ContinuousStatsTable[Average]))</f>
        <v>3</v>
      </c>
      <c r="T133" s="5" cm="1">
        <f t="array" ref="T133">MAX(IF((ContinuousStatsTable[GroupByKey]=ContinuousStatsTable[[#This Row],[GroupByKey]]),(ContinuousStatsTable[GroupByKey]=ContinuousStatsTable[[#This Row],[GroupByKey]])*ContinuousStatsTable[Average]))</f>
        <v>3</v>
      </c>
      <c r="U133" s="5">
        <f>IF((ContinuousStatsTable[[#This Row],[RepsRequested]]&gt;1),ContinuousStatsTable[[#This Row],[HalfWidth]],ContinuousStatsTable[[#This Row],[BatchMeansHalfWidth]])</f>
        <v>0</v>
      </c>
    </row>
    <row r="134" spans="1:21" x14ac:dyDescent="0.25">
      <c r="A134" t="s">
        <v>68</v>
      </c>
      <c r="B134" t="s">
        <v>70</v>
      </c>
      <c r="C134">
        <v>15</v>
      </c>
      <c r="D134" t="s">
        <v>98</v>
      </c>
      <c r="E134" t="s">
        <v>94</v>
      </c>
      <c r="F134" t="s">
        <v>95</v>
      </c>
      <c r="G134">
        <v>0</v>
      </c>
      <c r="H134">
        <v>2E+20</v>
      </c>
      <c r="I134">
        <v>0</v>
      </c>
      <c r="J134">
        <v>0</v>
      </c>
      <c r="K134">
        <v>0</v>
      </c>
      <c r="L134">
        <v>0</v>
      </c>
      <c r="M134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134" s="5" cm="1">
        <f t="array" ref="N134">MAX(IF((ProjectInfoTable[ProjectName]=ContinuousStatsTable[[#This Row],[ProjectName]]),(ProjectInfoTable[ProjectName]=ContinuousStatsTable[[#This Row],[ProjectName]])*ProjectInfoTable[NumberOfReplications]))</f>
        <v>27</v>
      </c>
      <c r="O134" s="5" cm="1">
        <f t="array" ref="O134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134" s="5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134" s="5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134" s="5" cm="1">
        <f t="array" ref="S134">MIN(IF((ContinuousStatsTable[GroupByKey]=ContinuousStatsTable[[#This Row],[GroupByKey]]),(ContinuousStatsTable[GroupByKey]=ContinuousStatsTable[[#This Row],[GroupByKey]])*ContinuousStatsTable[Average]))</f>
        <v>0</v>
      </c>
      <c r="T134" s="5" cm="1">
        <f t="array" ref="T134">MAX(IF((ContinuousStatsTable[GroupByKey]=ContinuousStatsTable[[#This Row],[GroupByKey]]),(ContinuousStatsTable[GroupByKey]=ContinuousStatsTable[[#This Row],[GroupByKey]])*ContinuousStatsTable[Average]))</f>
        <v>4.2820889862359999E-3</v>
      </c>
      <c r="U134" s="5">
        <f>IF((ContinuousStatsTable[[#This Row],[RepsRequested]]&gt;1),ContinuousStatsTable[[#This Row],[HalfWidth]],ContinuousStatsTable[[#This Row],[BatchMeansHalfWidth]])</f>
        <v>3.2599851741098198E-4</v>
      </c>
    </row>
    <row r="135" spans="1:21" x14ac:dyDescent="0.25">
      <c r="A135" t="s">
        <v>68</v>
      </c>
      <c r="B135" t="s">
        <v>70</v>
      </c>
      <c r="C135">
        <v>15</v>
      </c>
      <c r="D135" t="s">
        <v>98</v>
      </c>
      <c r="E135" t="s">
        <v>96</v>
      </c>
      <c r="F135" t="s">
        <v>95</v>
      </c>
      <c r="G135">
        <v>0</v>
      </c>
      <c r="H135">
        <v>2E+20</v>
      </c>
      <c r="I135">
        <v>0</v>
      </c>
      <c r="J135">
        <v>0</v>
      </c>
      <c r="K135">
        <v>0</v>
      </c>
      <c r="L135">
        <v>0</v>
      </c>
      <c r="M135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135" s="5" cm="1">
        <f t="array" ref="N135">MAX(IF((ProjectInfoTable[ProjectName]=ContinuousStatsTable[[#This Row],[ProjectName]]),(ProjectInfoTable[ProjectName]=ContinuousStatsTable[[#This Row],[ProjectName]])*ProjectInfoTable[NumberOfReplications]))</f>
        <v>27</v>
      </c>
      <c r="O135" s="5" cm="1">
        <f t="array" ref="O135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135" s="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135" s="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135" s="5" cm="1">
        <f t="array" ref="S135">MIN(IF((ContinuousStatsTable[GroupByKey]=ContinuousStatsTable[[#This Row],[GroupByKey]]),(ContinuousStatsTable[GroupByKey]=ContinuousStatsTable[[#This Row],[GroupByKey]])*ContinuousStatsTable[Average]))</f>
        <v>0</v>
      </c>
      <c r="T135" s="5" cm="1">
        <f t="array" ref="T135">MAX(IF((ContinuousStatsTable[GroupByKey]=ContinuousStatsTable[[#This Row],[GroupByKey]]),(ContinuousStatsTable[GroupByKey]=ContinuousStatsTable[[#This Row],[GroupByKey]])*ContinuousStatsTable[Average]))</f>
        <v>4.2820889862359999E-3</v>
      </c>
      <c r="U135" s="5">
        <f>IF((ContinuousStatsTable[[#This Row],[RepsRequested]]&gt;1),ContinuousStatsTable[[#This Row],[HalfWidth]],ContinuousStatsTable[[#This Row],[BatchMeansHalfWidth]])</f>
        <v>3.2599851741098198E-4</v>
      </c>
    </row>
    <row r="136" spans="1:21" x14ac:dyDescent="0.25">
      <c r="A136" t="s">
        <v>68</v>
      </c>
      <c r="B136" t="s">
        <v>70</v>
      </c>
      <c r="C136">
        <v>15</v>
      </c>
      <c r="D136" t="s">
        <v>98</v>
      </c>
      <c r="E136" t="s">
        <v>97</v>
      </c>
      <c r="F136" t="s">
        <v>95</v>
      </c>
      <c r="G136">
        <v>1</v>
      </c>
      <c r="H136">
        <v>2E+20</v>
      </c>
      <c r="I136">
        <v>1</v>
      </c>
      <c r="J136">
        <v>1</v>
      </c>
      <c r="K136">
        <v>1</v>
      </c>
      <c r="L136">
        <v>0</v>
      </c>
      <c r="M136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136" s="5" cm="1">
        <f t="array" ref="N136">MAX(IF((ProjectInfoTable[ProjectName]=ContinuousStatsTable[[#This Row],[ProjectName]]),(ProjectInfoTable[ProjectName]=ContinuousStatsTable[[#This Row],[ProjectName]])*ProjectInfoTable[NumberOfReplications]))</f>
        <v>27</v>
      </c>
      <c r="O136" s="5" cm="1">
        <f t="array" ref="O136">IFERROR(AVERAGE(IF((ContinuousStatsTable[GroupByKey]=ContinuousStatsTable[[#This Row],[GroupByKey]]),(ContinuousStatsTable[GroupByKey]=ContinuousStatsTable[[#This Row],[GroupByKey]])*ContinuousStatsTable[Average])),0)</f>
        <v>1</v>
      </c>
      <c r="P136" s="5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</v>
      </c>
      <c r="Q136" s="5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6" s="5" cm="1">
        <f t="array" ref="S136">MIN(IF((ContinuousStatsTable[GroupByKey]=ContinuousStatsTable[[#This Row],[GroupByKey]]),(ContinuousStatsTable[GroupByKey]=ContinuousStatsTable[[#This Row],[GroupByKey]])*ContinuousStatsTable[Average]))</f>
        <v>1</v>
      </c>
      <c r="T136" s="5" cm="1">
        <f t="array" ref="T136">MAX(IF((ContinuousStatsTable[GroupByKey]=ContinuousStatsTable[[#This Row],[GroupByKey]]),(ContinuousStatsTable[GroupByKey]=ContinuousStatsTable[[#This Row],[GroupByKey]])*ContinuousStatsTable[Average]))</f>
        <v>1</v>
      </c>
      <c r="U136" s="5">
        <f>IF((ContinuousStatsTable[[#This Row],[RepsRequested]]&gt;1),ContinuousStatsTable[[#This Row],[HalfWidth]],ContinuousStatsTable[[#This Row],[BatchMeansHalfWidth]])</f>
        <v>0</v>
      </c>
    </row>
    <row r="137" spans="1:21" x14ac:dyDescent="0.25">
      <c r="A137" t="s">
        <v>68</v>
      </c>
      <c r="B137" t="s">
        <v>70</v>
      </c>
      <c r="C137">
        <v>16</v>
      </c>
      <c r="D137" t="s">
        <v>71</v>
      </c>
      <c r="E137" t="s">
        <v>91</v>
      </c>
      <c r="F137" t="s">
        <v>73</v>
      </c>
      <c r="G137">
        <v>0</v>
      </c>
      <c r="H137">
        <v>2E+20</v>
      </c>
      <c r="I137">
        <v>0</v>
      </c>
      <c r="J137">
        <v>0</v>
      </c>
      <c r="K137">
        <v>0</v>
      </c>
      <c r="L137">
        <v>0</v>
      </c>
      <c r="M137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137" s="5" cm="1">
        <f t="array" ref="N137">MAX(IF((ProjectInfoTable[ProjectName]=ContinuousStatsTable[[#This Row],[ProjectName]]),(ProjectInfoTable[ProjectName]=ContinuousStatsTable[[#This Row],[ProjectName]])*ProjectInfoTable[NumberOfReplications]))</f>
        <v>27</v>
      </c>
      <c r="O137" s="5" cm="1">
        <f t="array" ref="O137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137" s="5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137" s="5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137" s="5" cm="1">
        <f t="array" ref="S137">MIN(IF((ContinuousStatsTable[GroupByKey]=ContinuousStatsTable[[#This Row],[GroupByKey]]),(ContinuousStatsTable[GroupByKey]=ContinuousStatsTable[[#This Row],[GroupByKey]])*ContinuousStatsTable[Average]))</f>
        <v>0</v>
      </c>
      <c r="T137" s="5" cm="1">
        <f t="array" ref="T137">MAX(IF((ContinuousStatsTable[GroupByKey]=ContinuousStatsTable[[#This Row],[GroupByKey]]),(ContinuousStatsTable[GroupByKey]=ContinuousStatsTable[[#This Row],[GroupByKey]])*ContinuousStatsTable[Average]))</f>
        <v>0.128719646283251</v>
      </c>
      <c r="U137" s="5">
        <f>IF((ContinuousStatsTable[[#This Row],[RepsRequested]]&gt;1),ContinuousStatsTable[[#This Row],[HalfWidth]],ContinuousStatsTable[[#This Row],[BatchMeansHalfWidth]])</f>
        <v>1.3314003381859424E-2</v>
      </c>
    </row>
    <row r="138" spans="1:21" x14ac:dyDescent="0.25">
      <c r="A138" t="s">
        <v>68</v>
      </c>
      <c r="B138" t="s">
        <v>70</v>
      </c>
      <c r="C138">
        <v>16</v>
      </c>
      <c r="D138" t="s">
        <v>79</v>
      </c>
      <c r="E138" t="s">
        <v>92</v>
      </c>
      <c r="F138" t="s">
        <v>81</v>
      </c>
      <c r="G138">
        <v>0</v>
      </c>
      <c r="H138">
        <v>2E+20</v>
      </c>
      <c r="I138">
        <v>0</v>
      </c>
      <c r="J138">
        <v>0</v>
      </c>
      <c r="K138">
        <v>0</v>
      </c>
      <c r="L138">
        <v>0</v>
      </c>
      <c r="M138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138" s="5" cm="1">
        <f t="array" ref="N138">MAX(IF((ProjectInfoTable[ProjectName]=ContinuousStatsTable[[#This Row],[ProjectName]]),(ProjectInfoTable[ProjectName]=ContinuousStatsTable[[#This Row],[ProjectName]])*ProjectInfoTable[NumberOfReplications]))</f>
        <v>27</v>
      </c>
      <c r="O138" s="5" cm="1">
        <f t="array" ref="O138">IFERROR(AVERAGE(IF((ContinuousStatsTable[GroupByKey]=ContinuousStatsTable[[#This Row],[GroupByKey]]),(ContinuousStatsTable[GroupByKey]=ContinuousStatsTable[[#This Row],[GroupByKey]])*ContinuousStatsTable[Average])),0)</f>
        <v>0</v>
      </c>
      <c r="P138" s="5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0</v>
      </c>
      <c r="Q138" s="5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8" s="5" cm="1">
        <f t="array" ref="S138">MIN(IF((ContinuousStatsTable[GroupByKey]=ContinuousStatsTable[[#This Row],[GroupByKey]]),(ContinuousStatsTable[GroupByKey]=ContinuousStatsTable[[#This Row],[GroupByKey]])*ContinuousStatsTable[Average]))</f>
        <v>0</v>
      </c>
      <c r="T138" s="5" cm="1">
        <f t="array" ref="T138">MAX(IF((ContinuousStatsTable[GroupByKey]=ContinuousStatsTable[[#This Row],[GroupByKey]]),(ContinuousStatsTable[GroupByKey]=ContinuousStatsTable[[#This Row],[GroupByKey]])*ContinuousStatsTable[Average]))</f>
        <v>0</v>
      </c>
      <c r="U138" s="5">
        <f>IF((ContinuousStatsTable[[#This Row],[RepsRequested]]&gt;1),ContinuousStatsTable[[#This Row],[HalfWidth]],ContinuousStatsTable[[#This Row],[BatchMeansHalfWidth]])</f>
        <v>0</v>
      </c>
    </row>
    <row r="139" spans="1:21" x14ac:dyDescent="0.25">
      <c r="A139" t="s">
        <v>68</v>
      </c>
      <c r="B139" t="s">
        <v>70</v>
      </c>
      <c r="C139">
        <v>16</v>
      </c>
      <c r="D139" t="s">
        <v>90</v>
      </c>
      <c r="E139" t="s">
        <v>92</v>
      </c>
      <c r="F139" t="s">
        <v>81</v>
      </c>
      <c r="G139">
        <v>0</v>
      </c>
      <c r="H139">
        <v>2E+20</v>
      </c>
      <c r="I139">
        <v>0</v>
      </c>
      <c r="J139">
        <v>0</v>
      </c>
      <c r="K139">
        <v>0</v>
      </c>
      <c r="L139">
        <v>0</v>
      </c>
      <c r="M139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139" s="5" cm="1">
        <f t="array" ref="N139">MAX(IF((ProjectInfoTable[ProjectName]=ContinuousStatsTable[[#This Row],[ProjectName]]),(ProjectInfoTable[ProjectName]=ContinuousStatsTable[[#This Row],[ProjectName]])*ProjectInfoTable[NumberOfReplications]))</f>
        <v>27</v>
      </c>
      <c r="O139" s="5" cm="1">
        <f t="array" ref="O139">IFERROR(AVERAGE(IF((ContinuousStatsTable[GroupByKey]=ContinuousStatsTable[[#This Row],[GroupByKey]]),(ContinuousStatsTable[GroupByKey]=ContinuousStatsTable[[#This Row],[GroupByKey]])*ContinuousStatsTable[Average])),0)</f>
        <v>0</v>
      </c>
      <c r="P139" s="5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</v>
      </c>
      <c r="Q139" s="5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9" s="5" cm="1">
        <f t="array" ref="S139">MIN(IF((ContinuousStatsTable[GroupByKey]=ContinuousStatsTable[[#This Row],[GroupByKey]]),(ContinuousStatsTable[GroupByKey]=ContinuousStatsTable[[#This Row],[GroupByKey]])*ContinuousStatsTable[Average]))</f>
        <v>0</v>
      </c>
      <c r="T139" s="5" cm="1">
        <f t="array" ref="T139">MAX(IF((ContinuousStatsTable[GroupByKey]=ContinuousStatsTable[[#This Row],[GroupByKey]]),(ContinuousStatsTable[GroupByKey]=ContinuousStatsTable[[#This Row],[GroupByKey]])*ContinuousStatsTable[Average]))</f>
        <v>0</v>
      </c>
      <c r="U139" s="5">
        <f>IF((ContinuousStatsTable[[#This Row],[RepsRequested]]&gt;1),ContinuousStatsTable[[#This Row],[HalfWidth]],ContinuousStatsTable[[#This Row],[BatchMeansHalfWidth]])</f>
        <v>0</v>
      </c>
    </row>
    <row r="140" spans="1:21" x14ac:dyDescent="0.25">
      <c r="A140" t="s">
        <v>68</v>
      </c>
      <c r="B140" t="s">
        <v>70</v>
      </c>
      <c r="C140">
        <v>16</v>
      </c>
      <c r="D140" t="s">
        <v>93</v>
      </c>
      <c r="E140" t="s">
        <v>94</v>
      </c>
      <c r="F140" t="s">
        <v>95</v>
      </c>
      <c r="G140">
        <v>0</v>
      </c>
      <c r="H140">
        <v>2E+20</v>
      </c>
      <c r="I140">
        <v>0</v>
      </c>
      <c r="J140">
        <v>0</v>
      </c>
      <c r="K140">
        <v>0</v>
      </c>
      <c r="L140">
        <v>0</v>
      </c>
      <c r="M140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140" s="5" cm="1">
        <f t="array" ref="N140">MAX(IF((ProjectInfoTable[ProjectName]=ContinuousStatsTable[[#This Row],[ProjectName]]),(ProjectInfoTable[ProjectName]=ContinuousStatsTable[[#This Row],[ProjectName]])*ProjectInfoTable[NumberOfReplications]))</f>
        <v>27</v>
      </c>
      <c r="O140" s="5" cm="1">
        <f t="array" ref="O140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140" s="5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140" s="5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140" s="5" cm="1">
        <f t="array" ref="S140">MIN(IF((ContinuousStatsTable[GroupByKey]=ContinuousStatsTable[[#This Row],[GroupByKey]]),(ContinuousStatsTable[GroupByKey]=ContinuousStatsTable[[#This Row],[GroupByKey]])*ContinuousStatsTable[Average]))</f>
        <v>0</v>
      </c>
      <c r="T140" s="5" cm="1">
        <f t="array" ref="T140">MAX(IF((ContinuousStatsTable[GroupByKey]=ContinuousStatsTable[[#This Row],[GroupByKey]]),(ContinuousStatsTable[GroupByKey]=ContinuousStatsTable[[#This Row],[GroupByKey]])*ContinuousStatsTable[Average]))</f>
        <v>4.2906548761083699E-2</v>
      </c>
      <c r="U140" s="5">
        <f>IF((ContinuousStatsTable[[#This Row],[RepsRequested]]&gt;1),ContinuousStatsTable[[#This Row],[HalfWidth]],ContinuousStatsTable[[#This Row],[BatchMeansHalfWidth]])</f>
        <v>4.4010751425322646E-3</v>
      </c>
    </row>
    <row r="141" spans="1:21" x14ac:dyDescent="0.25">
      <c r="A141" t="s">
        <v>68</v>
      </c>
      <c r="B141" t="s">
        <v>70</v>
      </c>
      <c r="C141">
        <v>16</v>
      </c>
      <c r="D141" t="s">
        <v>93</v>
      </c>
      <c r="E141" t="s">
        <v>96</v>
      </c>
      <c r="F141" t="s">
        <v>95</v>
      </c>
      <c r="G141">
        <v>0</v>
      </c>
      <c r="H141">
        <v>2E+20</v>
      </c>
      <c r="I141">
        <v>0</v>
      </c>
      <c r="J141">
        <v>0</v>
      </c>
      <c r="K141">
        <v>0</v>
      </c>
      <c r="L141">
        <v>0</v>
      </c>
      <c r="M141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141" s="5" cm="1">
        <f t="array" ref="N141">MAX(IF((ProjectInfoTable[ProjectName]=ContinuousStatsTable[[#This Row],[ProjectName]]),(ProjectInfoTable[ProjectName]=ContinuousStatsTable[[#This Row],[ProjectName]])*ProjectInfoTable[NumberOfReplications]))</f>
        <v>27</v>
      </c>
      <c r="O141" s="5" cm="1">
        <f t="array" ref="O141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141" s="5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141" s="5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141" s="5" cm="1">
        <f t="array" ref="S141">MIN(IF((ContinuousStatsTable[GroupByKey]=ContinuousStatsTable[[#This Row],[GroupByKey]]),(ContinuousStatsTable[GroupByKey]=ContinuousStatsTable[[#This Row],[GroupByKey]])*ContinuousStatsTable[Average]))</f>
        <v>0</v>
      </c>
      <c r="T141" s="5" cm="1">
        <f t="array" ref="T141">MAX(IF((ContinuousStatsTable[GroupByKey]=ContinuousStatsTable[[#This Row],[GroupByKey]]),(ContinuousStatsTable[GroupByKey]=ContinuousStatsTable[[#This Row],[GroupByKey]])*ContinuousStatsTable[Average]))</f>
        <v>0.128719646283251</v>
      </c>
      <c r="U141" s="5">
        <f>IF((ContinuousStatsTable[[#This Row],[RepsRequested]]&gt;1),ContinuousStatsTable[[#This Row],[HalfWidth]],ContinuousStatsTable[[#This Row],[BatchMeansHalfWidth]])</f>
        <v>1.3203225427596797E-2</v>
      </c>
    </row>
    <row r="142" spans="1:21" x14ac:dyDescent="0.25">
      <c r="A142" t="s">
        <v>68</v>
      </c>
      <c r="B142" t="s">
        <v>70</v>
      </c>
      <c r="C142">
        <v>16</v>
      </c>
      <c r="D142" t="s">
        <v>93</v>
      </c>
      <c r="E142" t="s">
        <v>97</v>
      </c>
      <c r="F142" t="s">
        <v>95</v>
      </c>
      <c r="G142">
        <v>3</v>
      </c>
      <c r="H142">
        <v>2E+20</v>
      </c>
      <c r="I142">
        <v>3</v>
      </c>
      <c r="J142">
        <v>3</v>
      </c>
      <c r="K142">
        <v>3</v>
      </c>
      <c r="L142">
        <v>0</v>
      </c>
      <c r="M142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142" s="5" cm="1">
        <f t="array" ref="N142">MAX(IF((ProjectInfoTable[ProjectName]=ContinuousStatsTable[[#This Row],[ProjectName]]),(ProjectInfoTable[ProjectName]=ContinuousStatsTable[[#This Row],[ProjectName]])*ProjectInfoTable[NumberOfReplications]))</f>
        <v>27</v>
      </c>
      <c r="O142" s="5" cm="1">
        <f t="array" ref="O142">IFERROR(AVERAGE(IF((ContinuousStatsTable[GroupByKey]=ContinuousStatsTable[[#This Row],[GroupByKey]]),(ContinuousStatsTable[GroupByKey]=ContinuousStatsTable[[#This Row],[GroupByKey]])*ContinuousStatsTable[Average])),0)</f>
        <v>3</v>
      </c>
      <c r="P142" s="5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</v>
      </c>
      <c r="Q142" s="5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2" s="5" cm="1">
        <f t="array" ref="S142">MIN(IF((ContinuousStatsTable[GroupByKey]=ContinuousStatsTable[[#This Row],[GroupByKey]]),(ContinuousStatsTable[GroupByKey]=ContinuousStatsTable[[#This Row],[GroupByKey]])*ContinuousStatsTable[Average]))</f>
        <v>3</v>
      </c>
      <c r="T142" s="5" cm="1">
        <f t="array" ref="T142">MAX(IF((ContinuousStatsTable[GroupByKey]=ContinuousStatsTable[[#This Row],[GroupByKey]]),(ContinuousStatsTable[GroupByKey]=ContinuousStatsTable[[#This Row],[GroupByKey]])*ContinuousStatsTable[Average]))</f>
        <v>3</v>
      </c>
      <c r="U142" s="5">
        <f>IF((ContinuousStatsTable[[#This Row],[RepsRequested]]&gt;1),ContinuousStatsTable[[#This Row],[HalfWidth]],ContinuousStatsTable[[#This Row],[BatchMeansHalfWidth]])</f>
        <v>0</v>
      </c>
    </row>
    <row r="143" spans="1:21" x14ac:dyDescent="0.25">
      <c r="A143" t="s">
        <v>68</v>
      </c>
      <c r="B143" t="s">
        <v>70</v>
      </c>
      <c r="C143">
        <v>16</v>
      </c>
      <c r="D143" t="s">
        <v>98</v>
      </c>
      <c r="E143" t="s">
        <v>94</v>
      </c>
      <c r="F143" t="s">
        <v>95</v>
      </c>
      <c r="G143">
        <v>0</v>
      </c>
      <c r="H143">
        <v>2E+20</v>
      </c>
      <c r="I143">
        <v>0</v>
      </c>
      <c r="J143">
        <v>0</v>
      </c>
      <c r="K143">
        <v>0</v>
      </c>
      <c r="L143">
        <v>0</v>
      </c>
      <c r="M143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143" s="5" cm="1">
        <f t="array" ref="N143">MAX(IF((ProjectInfoTable[ProjectName]=ContinuousStatsTable[[#This Row],[ProjectName]]),(ProjectInfoTable[ProjectName]=ContinuousStatsTable[[#This Row],[ProjectName]])*ProjectInfoTable[NumberOfReplications]))</f>
        <v>27</v>
      </c>
      <c r="O143" s="5" cm="1">
        <f t="array" ref="O143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143" s="5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143" s="5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143" s="5" cm="1">
        <f t="array" ref="S143">MIN(IF((ContinuousStatsTable[GroupByKey]=ContinuousStatsTable[[#This Row],[GroupByKey]]),(ContinuousStatsTable[GroupByKey]=ContinuousStatsTable[[#This Row],[GroupByKey]])*ContinuousStatsTable[Average]))</f>
        <v>0</v>
      </c>
      <c r="T143" s="5" cm="1">
        <f t="array" ref="T143">MAX(IF((ContinuousStatsTable[GroupByKey]=ContinuousStatsTable[[#This Row],[GroupByKey]]),(ContinuousStatsTable[GroupByKey]=ContinuousStatsTable[[#This Row],[GroupByKey]])*ContinuousStatsTable[Average]))</f>
        <v>4.2820889862359999E-3</v>
      </c>
      <c r="U143" s="5">
        <f>IF((ContinuousStatsTable[[#This Row],[RepsRequested]]&gt;1),ContinuousStatsTable[[#This Row],[HalfWidth]],ContinuousStatsTable[[#This Row],[BatchMeansHalfWidth]])</f>
        <v>3.2599851741098198E-4</v>
      </c>
    </row>
    <row r="144" spans="1:21" x14ac:dyDescent="0.25">
      <c r="A144" t="s">
        <v>68</v>
      </c>
      <c r="B144" t="s">
        <v>70</v>
      </c>
      <c r="C144">
        <v>16</v>
      </c>
      <c r="D144" t="s">
        <v>98</v>
      </c>
      <c r="E144" t="s">
        <v>96</v>
      </c>
      <c r="F144" t="s">
        <v>95</v>
      </c>
      <c r="G144">
        <v>0</v>
      </c>
      <c r="H144">
        <v>2E+20</v>
      </c>
      <c r="I144">
        <v>0</v>
      </c>
      <c r="J144">
        <v>0</v>
      </c>
      <c r="K144">
        <v>0</v>
      </c>
      <c r="L144">
        <v>0</v>
      </c>
      <c r="M144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144" s="5" cm="1">
        <f t="array" ref="N144">MAX(IF((ProjectInfoTable[ProjectName]=ContinuousStatsTable[[#This Row],[ProjectName]]),(ProjectInfoTable[ProjectName]=ContinuousStatsTable[[#This Row],[ProjectName]])*ProjectInfoTable[NumberOfReplications]))</f>
        <v>27</v>
      </c>
      <c r="O144" s="5" cm="1">
        <f t="array" ref="O144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144" s="5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144" s="5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144" s="5" cm="1">
        <f t="array" ref="S144">MIN(IF((ContinuousStatsTable[GroupByKey]=ContinuousStatsTable[[#This Row],[GroupByKey]]),(ContinuousStatsTable[GroupByKey]=ContinuousStatsTable[[#This Row],[GroupByKey]])*ContinuousStatsTable[Average]))</f>
        <v>0</v>
      </c>
      <c r="T144" s="5" cm="1">
        <f t="array" ref="T144">MAX(IF((ContinuousStatsTable[GroupByKey]=ContinuousStatsTable[[#This Row],[GroupByKey]]),(ContinuousStatsTable[GroupByKey]=ContinuousStatsTable[[#This Row],[GroupByKey]])*ContinuousStatsTable[Average]))</f>
        <v>4.2820889862359999E-3</v>
      </c>
      <c r="U144" s="5">
        <f>IF((ContinuousStatsTable[[#This Row],[RepsRequested]]&gt;1),ContinuousStatsTable[[#This Row],[HalfWidth]],ContinuousStatsTable[[#This Row],[BatchMeansHalfWidth]])</f>
        <v>3.2599851741098198E-4</v>
      </c>
    </row>
    <row r="145" spans="1:21" x14ac:dyDescent="0.25">
      <c r="A145" t="s">
        <v>68</v>
      </c>
      <c r="B145" t="s">
        <v>70</v>
      </c>
      <c r="C145">
        <v>16</v>
      </c>
      <c r="D145" t="s">
        <v>98</v>
      </c>
      <c r="E145" t="s">
        <v>97</v>
      </c>
      <c r="F145" t="s">
        <v>95</v>
      </c>
      <c r="G145">
        <v>1</v>
      </c>
      <c r="H145">
        <v>2E+20</v>
      </c>
      <c r="I145">
        <v>1</v>
      </c>
      <c r="J145">
        <v>1</v>
      </c>
      <c r="K145">
        <v>1</v>
      </c>
      <c r="L145">
        <v>0</v>
      </c>
      <c r="M145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145" s="5" cm="1">
        <f t="array" ref="N145">MAX(IF((ProjectInfoTable[ProjectName]=ContinuousStatsTable[[#This Row],[ProjectName]]),(ProjectInfoTable[ProjectName]=ContinuousStatsTable[[#This Row],[ProjectName]])*ProjectInfoTable[NumberOfReplications]))</f>
        <v>27</v>
      </c>
      <c r="O145" s="5" cm="1">
        <f t="array" ref="O145">IFERROR(AVERAGE(IF((ContinuousStatsTable[GroupByKey]=ContinuousStatsTable[[#This Row],[GroupByKey]]),(ContinuousStatsTable[GroupByKey]=ContinuousStatsTable[[#This Row],[GroupByKey]])*ContinuousStatsTable[Average])),0)</f>
        <v>1</v>
      </c>
      <c r="P145" s="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s="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s="5" cm="1">
        <f t="array" ref="S145">MIN(IF((ContinuousStatsTable[GroupByKey]=ContinuousStatsTable[[#This Row],[GroupByKey]]),(ContinuousStatsTable[GroupByKey]=ContinuousStatsTable[[#This Row],[GroupByKey]])*ContinuousStatsTable[Average]))</f>
        <v>1</v>
      </c>
      <c r="T145" s="5" cm="1">
        <f t="array" ref="T145">MAX(IF((ContinuousStatsTable[GroupByKey]=ContinuousStatsTable[[#This Row],[GroupByKey]]),(ContinuousStatsTable[GroupByKey]=ContinuousStatsTable[[#This Row],[GroupByKey]])*ContinuousStatsTable[Average]))</f>
        <v>1</v>
      </c>
      <c r="U145" s="5">
        <f>IF((ContinuousStatsTable[[#This Row],[RepsRequested]]&gt;1),ContinuousStatsTable[[#This Row],[HalfWidth]],ContinuousStatsTable[[#This Row],[BatchMeansHalfWidth]])</f>
        <v>0</v>
      </c>
    </row>
    <row r="146" spans="1:21" x14ac:dyDescent="0.25">
      <c r="A146" t="s">
        <v>68</v>
      </c>
      <c r="B146" t="s">
        <v>70</v>
      </c>
      <c r="C146">
        <v>17</v>
      </c>
      <c r="D146" t="s">
        <v>71</v>
      </c>
      <c r="E146" t="s">
        <v>91</v>
      </c>
      <c r="F146" t="s">
        <v>73</v>
      </c>
      <c r="G146">
        <v>2.96027111732345E-2</v>
      </c>
      <c r="H146">
        <v>2E+20</v>
      </c>
      <c r="I146">
        <v>0</v>
      </c>
      <c r="J146">
        <v>1</v>
      </c>
      <c r="K146">
        <v>0</v>
      </c>
      <c r="L146">
        <v>0</v>
      </c>
      <c r="M146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146" s="5" cm="1">
        <f t="array" ref="N146">MAX(IF((ProjectInfoTable[ProjectName]=ContinuousStatsTable[[#This Row],[ProjectName]]),(ProjectInfoTable[ProjectName]=ContinuousStatsTable[[#This Row],[ProjectName]])*ProjectInfoTable[NumberOfReplications]))</f>
        <v>27</v>
      </c>
      <c r="O146" s="5" cm="1">
        <f t="array" ref="O146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146" s="5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146" s="5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146" s="5" cm="1">
        <f t="array" ref="S146">MIN(IF((ContinuousStatsTable[GroupByKey]=ContinuousStatsTable[[#This Row],[GroupByKey]]),(ContinuousStatsTable[GroupByKey]=ContinuousStatsTable[[#This Row],[GroupByKey]])*ContinuousStatsTable[Average]))</f>
        <v>0</v>
      </c>
      <c r="T146" s="5" cm="1">
        <f t="array" ref="T146">MAX(IF((ContinuousStatsTable[GroupByKey]=ContinuousStatsTable[[#This Row],[GroupByKey]]),(ContinuousStatsTable[GroupByKey]=ContinuousStatsTable[[#This Row],[GroupByKey]])*ContinuousStatsTable[Average]))</f>
        <v>0.128719646283251</v>
      </c>
      <c r="U146" s="5">
        <f>IF((ContinuousStatsTable[[#This Row],[RepsRequested]]&gt;1),ContinuousStatsTable[[#This Row],[HalfWidth]],ContinuousStatsTable[[#This Row],[BatchMeansHalfWidth]])</f>
        <v>1.3314003381859424E-2</v>
      </c>
    </row>
    <row r="147" spans="1:21" x14ac:dyDescent="0.25">
      <c r="A147" t="s">
        <v>68</v>
      </c>
      <c r="B147" t="s">
        <v>70</v>
      </c>
      <c r="C147">
        <v>17</v>
      </c>
      <c r="D147" t="s">
        <v>79</v>
      </c>
      <c r="E147" t="s">
        <v>92</v>
      </c>
      <c r="F147" t="s">
        <v>81</v>
      </c>
      <c r="G147">
        <v>0</v>
      </c>
      <c r="H147">
        <v>2E+20</v>
      </c>
      <c r="I147">
        <v>0</v>
      </c>
      <c r="J147">
        <v>0</v>
      </c>
      <c r="K147">
        <v>0</v>
      </c>
      <c r="L147">
        <v>0</v>
      </c>
      <c r="M147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147" s="5" cm="1">
        <f t="array" ref="N147">MAX(IF((ProjectInfoTable[ProjectName]=ContinuousStatsTable[[#This Row],[ProjectName]]),(ProjectInfoTable[ProjectName]=ContinuousStatsTable[[#This Row],[ProjectName]])*ProjectInfoTable[NumberOfReplications]))</f>
        <v>27</v>
      </c>
      <c r="O147" s="5" cm="1">
        <f t="array" ref="O147">IFERROR(AVERAGE(IF((ContinuousStatsTable[GroupByKey]=ContinuousStatsTable[[#This Row],[GroupByKey]]),(ContinuousStatsTable[GroupByKey]=ContinuousStatsTable[[#This Row],[GroupByKey]])*ContinuousStatsTable[Average])),0)</f>
        <v>0</v>
      </c>
      <c r="P147" s="5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</v>
      </c>
      <c r="Q147" s="5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7" s="5" cm="1">
        <f t="array" ref="S147">MIN(IF((ContinuousStatsTable[GroupByKey]=ContinuousStatsTable[[#This Row],[GroupByKey]]),(ContinuousStatsTable[GroupByKey]=ContinuousStatsTable[[#This Row],[GroupByKey]])*ContinuousStatsTable[Average]))</f>
        <v>0</v>
      </c>
      <c r="T147" s="5" cm="1">
        <f t="array" ref="T147">MAX(IF((ContinuousStatsTable[GroupByKey]=ContinuousStatsTable[[#This Row],[GroupByKey]]),(ContinuousStatsTable[GroupByKey]=ContinuousStatsTable[[#This Row],[GroupByKey]])*ContinuousStatsTable[Average]))</f>
        <v>0</v>
      </c>
      <c r="U147" s="5">
        <f>IF((ContinuousStatsTable[[#This Row],[RepsRequested]]&gt;1),ContinuousStatsTable[[#This Row],[HalfWidth]],ContinuousStatsTable[[#This Row],[BatchMeansHalfWidth]])</f>
        <v>0</v>
      </c>
    </row>
    <row r="148" spans="1:21" x14ac:dyDescent="0.25">
      <c r="A148" t="s">
        <v>68</v>
      </c>
      <c r="B148" t="s">
        <v>70</v>
      </c>
      <c r="C148">
        <v>17</v>
      </c>
      <c r="D148" t="s">
        <v>90</v>
      </c>
      <c r="E148" t="s">
        <v>92</v>
      </c>
      <c r="F148" t="s">
        <v>81</v>
      </c>
      <c r="G148">
        <v>0</v>
      </c>
      <c r="H148">
        <v>2E+20</v>
      </c>
      <c r="I148">
        <v>0</v>
      </c>
      <c r="J148">
        <v>0</v>
      </c>
      <c r="K148">
        <v>0</v>
      </c>
      <c r="L148">
        <v>0</v>
      </c>
      <c r="M148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148" s="5" cm="1">
        <f t="array" ref="N148">MAX(IF((ProjectInfoTable[ProjectName]=ContinuousStatsTable[[#This Row],[ProjectName]]),(ProjectInfoTable[ProjectName]=ContinuousStatsTable[[#This Row],[ProjectName]])*ProjectInfoTable[NumberOfReplications]))</f>
        <v>27</v>
      </c>
      <c r="O148" s="5" cm="1">
        <f t="array" ref="O148">IFERROR(AVERAGE(IF((ContinuousStatsTable[GroupByKey]=ContinuousStatsTable[[#This Row],[GroupByKey]]),(ContinuousStatsTable[GroupByKey]=ContinuousStatsTable[[#This Row],[GroupByKey]])*ContinuousStatsTable[Average])),0)</f>
        <v>0</v>
      </c>
      <c r="P148" s="5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0</v>
      </c>
      <c r="Q148" s="5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8" s="5" cm="1">
        <f t="array" ref="S148">MIN(IF((ContinuousStatsTable[GroupByKey]=ContinuousStatsTable[[#This Row],[GroupByKey]]),(ContinuousStatsTable[GroupByKey]=ContinuousStatsTable[[#This Row],[GroupByKey]])*ContinuousStatsTable[Average]))</f>
        <v>0</v>
      </c>
      <c r="T148" s="5" cm="1">
        <f t="array" ref="T148">MAX(IF((ContinuousStatsTable[GroupByKey]=ContinuousStatsTable[[#This Row],[GroupByKey]]),(ContinuousStatsTable[GroupByKey]=ContinuousStatsTable[[#This Row],[GroupByKey]])*ContinuousStatsTable[Average]))</f>
        <v>0</v>
      </c>
      <c r="U148" s="5">
        <f>IF((ContinuousStatsTable[[#This Row],[RepsRequested]]&gt;1),ContinuousStatsTable[[#This Row],[HalfWidth]],ContinuousStatsTable[[#This Row],[BatchMeansHalfWidth]])</f>
        <v>0</v>
      </c>
    </row>
    <row r="149" spans="1:21" x14ac:dyDescent="0.25">
      <c r="A149" t="s">
        <v>68</v>
      </c>
      <c r="B149" t="s">
        <v>70</v>
      </c>
      <c r="C149">
        <v>17</v>
      </c>
      <c r="D149" t="s">
        <v>93</v>
      </c>
      <c r="E149" t="s">
        <v>94</v>
      </c>
      <c r="F149" t="s">
        <v>95</v>
      </c>
      <c r="G149">
        <v>9.8675703910781603E-3</v>
      </c>
      <c r="H149">
        <v>2E+20</v>
      </c>
      <c r="I149">
        <v>0</v>
      </c>
      <c r="J149">
        <v>0.33333333333333298</v>
      </c>
      <c r="K149">
        <v>0</v>
      </c>
      <c r="L149">
        <v>0</v>
      </c>
      <c r="M149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149" s="5" cm="1">
        <f t="array" ref="N149">MAX(IF((ProjectInfoTable[ProjectName]=ContinuousStatsTable[[#This Row],[ProjectName]]),(ProjectInfoTable[ProjectName]=ContinuousStatsTable[[#This Row],[ProjectName]])*ProjectInfoTable[NumberOfReplications]))</f>
        <v>27</v>
      </c>
      <c r="O149" s="5" cm="1">
        <f t="array" ref="O149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149" s="5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149" s="5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149" s="5" cm="1">
        <f t="array" ref="S149">MIN(IF((ContinuousStatsTable[GroupByKey]=ContinuousStatsTable[[#This Row],[GroupByKey]]),(ContinuousStatsTable[GroupByKey]=ContinuousStatsTable[[#This Row],[GroupByKey]])*ContinuousStatsTable[Average]))</f>
        <v>0</v>
      </c>
      <c r="T149" s="5" cm="1">
        <f t="array" ref="T149">MAX(IF((ContinuousStatsTable[GroupByKey]=ContinuousStatsTable[[#This Row],[GroupByKey]]),(ContinuousStatsTable[GroupByKey]=ContinuousStatsTable[[#This Row],[GroupByKey]])*ContinuousStatsTable[Average]))</f>
        <v>4.2906548761083699E-2</v>
      </c>
      <c r="U149" s="5">
        <f>IF((ContinuousStatsTable[[#This Row],[RepsRequested]]&gt;1),ContinuousStatsTable[[#This Row],[HalfWidth]],ContinuousStatsTable[[#This Row],[BatchMeansHalfWidth]])</f>
        <v>4.4010751425322646E-3</v>
      </c>
    </row>
    <row r="150" spans="1:21" x14ac:dyDescent="0.25">
      <c r="A150" t="s">
        <v>68</v>
      </c>
      <c r="B150" t="s">
        <v>70</v>
      </c>
      <c r="C150">
        <v>17</v>
      </c>
      <c r="D150" t="s">
        <v>93</v>
      </c>
      <c r="E150" t="s">
        <v>96</v>
      </c>
      <c r="F150" t="s">
        <v>95</v>
      </c>
      <c r="G150">
        <v>2.96027111732345E-2</v>
      </c>
      <c r="H150">
        <v>2E+20</v>
      </c>
      <c r="I150">
        <v>0</v>
      </c>
      <c r="J150">
        <v>1</v>
      </c>
      <c r="K150">
        <v>0</v>
      </c>
      <c r="L150">
        <v>0</v>
      </c>
      <c r="M150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150" s="5" cm="1">
        <f t="array" ref="N150">MAX(IF((ProjectInfoTable[ProjectName]=ContinuousStatsTable[[#This Row],[ProjectName]]),(ProjectInfoTable[ProjectName]=ContinuousStatsTable[[#This Row],[ProjectName]])*ProjectInfoTable[NumberOfReplications]))</f>
        <v>27</v>
      </c>
      <c r="O150" s="5" cm="1">
        <f t="array" ref="O150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150" s="5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150" s="5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150" s="5" cm="1">
        <f t="array" ref="S150">MIN(IF((ContinuousStatsTable[GroupByKey]=ContinuousStatsTable[[#This Row],[GroupByKey]]),(ContinuousStatsTable[GroupByKey]=ContinuousStatsTable[[#This Row],[GroupByKey]])*ContinuousStatsTable[Average]))</f>
        <v>0</v>
      </c>
      <c r="T150" s="5" cm="1">
        <f t="array" ref="T150">MAX(IF((ContinuousStatsTable[GroupByKey]=ContinuousStatsTable[[#This Row],[GroupByKey]]),(ContinuousStatsTable[GroupByKey]=ContinuousStatsTable[[#This Row],[GroupByKey]])*ContinuousStatsTable[Average]))</f>
        <v>0.128719646283251</v>
      </c>
      <c r="U150" s="5">
        <f>IF((ContinuousStatsTable[[#This Row],[RepsRequested]]&gt;1),ContinuousStatsTable[[#This Row],[HalfWidth]],ContinuousStatsTable[[#This Row],[BatchMeansHalfWidth]])</f>
        <v>1.3203225427596797E-2</v>
      </c>
    </row>
    <row r="151" spans="1:21" x14ac:dyDescent="0.25">
      <c r="A151" t="s">
        <v>68</v>
      </c>
      <c r="B151" t="s">
        <v>70</v>
      </c>
      <c r="C151">
        <v>17</v>
      </c>
      <c r="D151" t="s">
        <v>93</v>
      </c>
      <c r="E151" t="s">
        <v>97</v>
      </c>
      <c r="F151" t="s">
        <v>95</v>
      </c>
      <c r="G151">
        <v>3</v>
      </c>
      <c r="H151">
        <v>2E+20</v>
      </c>
      <c r="I151">
        <v>3</v>
      </c>
      <c r="J151">
        <v>3</v>
      </c>
      <c r="K151">
        <v>3</v>
      </c>
      <c r="L151">
        <v>0</v>
      </c>
      <c r="M151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151" s="5" cm="1">
        <f t="array" ref="N151">MAX(IF((ProjectInfoTable[ProjectName]=ContinuousStatsTable[[#This Row],[ProjectName]]),(ProjectInfoTable[ProjectName]=ContinuousStatsTable[[#This Row],[ProjectName]])*ProjectInfoTable[NumberOfReplications]))</f>
        <v>27</v>
      </c>
      <c r="O151" s="5" cm="1">
        <f t="array" ref="O151">IFERROR(AVERAGE(IF((ContinuousStatsTable[GroupByKey]=ContinuousStatsTable[[#This Row],[GroupByKey]]),(ContinuousStatsTable[GroupByKey]=ContinuousStatsTable[[#This Row],[GroupByKey]])*ContinuousStatsTable[Average])),0)</f>
        <v>3</v>
      </c>
      <c r="P151" s="5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</v>
      </c>
      <c r="Q151" s="5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1" s="5" cm="1">
        <f t="array" ref="S151">MIN(IF((ContinuousStatsTable[GroupByKey]=ContinuousStatsTable[[#This Row],[GroupByKey]]),(ContinuousStatsTable[GroupByKey]=ContinuousStatsTable[[#This Row],[GroupByKey]])*ContinuousStatsTable[Average]))</f>
        <v>3</v>
      </c>
      <c r="T151" s="5" cm="1">
        <f t="array" ref="T151">MAX(IF((ContinuousStatsTable[GroupByKey]=ContinuousStatsTable[[#This Row],[GroupByKey]]),(ContinuousStatsTable[GroupByKey]=ContinuousStatsTable[[#This Row],[GroupByKey]])*ContinuousStatsTable[Average]))</f>
        <v>3</v>
      </c>
      <c r="U151" s="5">
        <f>IF((ContinuousStatsTable[[#This Row],[RepsRequested]]&gt;1),ContinuousStatsTable[[#This Row],[HalfWidth]],ContinuousStatsTable[[#This Row],[BatchMeansHalfWidth]])</f>
        <v>0</v>
      </c>
    </row>
    <row r="152" spans="1:21" x14ac:dyDescent="0.25">
      <c r="A152" t="s">
        <v>68</v>
      </c>
      <c r="B152" t="s">
        <v>70</v>
      </c>
      <c r="C152">
        <v>17</v>
      </c>
      <c r="D152" t="s">
        <v>98</v>
      </c>
      <c r="E152" t="s">
        <v>94</v>
      </c>
      <c r="F152" t="s">
        <v>95</v>
      </c>
      <c r="G152">
        <v>0</v>
      </c>
      <c r="H152">
        <v>2E+20</v>
      </c>
      <c r="I152">
        <v>0</v>
      </c>
      <c r="J152">
        <v>0</v>
      </c>
      <c r="K152">
        <v>0</v>
      </c>
      <c r="L152">
        <v>0</v>
      </c>
      <c r="M152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152" s="5" cm="1">
        <f t="array" ref="N152">MAX(IF((ProjectInfoTable[ProjectName]=ContinuousStatsTable[[#This Row],[ProjectName]]),(ProjectInfoTable[ProjectName]=ContinuousStatsTable[[#This Row],[ProjectName]])*ProjectInfoTable[NumberOfReplications]))</f>
        <v>27</v>
      </c>
      <c r="O152" s="5" cm="1">
        <f t="array" ref="O152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152" s="5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152" s="5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152" s="5" cm="1">
        <f t="array" ref="S152">MIN(IF((ContinuousStatsTable[GroupByKey]=ContinuousStatsTable[[#This Row],[GroupByKey]]),(ContinuousStatsTable[GroupByKey]=ContinuousStatsTable[[#This Row],[GroupByKey]])*ContinuousStatsTable[Average]))</f>
        <v>0</v>
      </c>
      <c r="T152" s="5" cm="1">
        <f t="array" ref="T152">MAX(IF((ContinuousStatsTable[GroupByKey]=ContinuousStatsTable[[#This Row],[GroupByKey]]),(ContinuousStatsTable[GroupByKey]=ContinuousStatsTable[[#This Row],[GroupByKey]])*ContinuousStatsTable[Average]))</f>
        <v>4.2820889862359999E-3</v>
      </c>
      <c r="U152" s="5">
        <f>IF((ContinuousStatsTable[[#This Row],[RepsRequested]]&gt;1),ContinuousStatsTable[[#This Row],[HalfWidth]],ContinuousStatsTable[[#This Row],[BatchMeansHalfWidth]])</f>
        <v>3.2599851741098198E-4</v>
      </c>
    </row>
    <row r="153" spans="1:21" x14ac:dyDescent="0.25">
      <c r="A153" t="s">
        <v>68</v>
      </c>
      <c r="B153" t="s">
        <v>70</v>
      </c>
      <c r="C153">
        <v>17</v>
      </c>
      <c r="D153" t="s">
        <v>98</v>
      </c>
      <c r="E153" t="s">
        <v>96</v>
      </c>
      <c r="F153" t="s">
        <v>95</v>
      </c>
      <c r="G153">
        <v>0</v>
      </c>
      <c r="H153">
        <v>2E+20</v>
      </c>
      <c r="I153">
        <v>0</v>
      </c>
      <c r="J153">
        <v>0</v>
      </c>
      <c r="K153">
        <v>0</v>
      </c>
      <c r="L153">
        <v>0</v>
      </c>
      <c r="M153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153" s="5" cm="1">
        <f t="array" ref="N153">MAX(IF((ProjectInfoTable[ProjectName]=ContinuousStatsTable[[#This Row],[ProjectName]]),(ProjectInfoTable[ProjectName]=ContinuousStatsTable[[#This Row],[ProjectName]])*ProjectInfoTable[NumberOfReplications]))</f>
        <v>27</v>
      </c>
      <c r="O153" s="5" cm="1">
        <f t="array" ref="O153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153" s="5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153" s="5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153" s="5" cm="1">
        <f t="array" ref="S153">MIN(IF((ContinuousStatsTable[GroupByKey]=ContinuousStatsTable[[#This Row],[GroupByKey]]),(ContinuousStatsTable[GroupByKey]=ContinuousStatsTable[[#This Row],[GroupByKey]])*ContinuousStatsTable[Average]))</f>
        <v>0</v>
      </c>
      <c r="T153" s="5" cm="1">
        <f t="array" ref="T153">MAX(IF((ContinuousStatsTable[GroupByKey]=ContinuousStatsTable[[#This Row],[GroupByKey]]),(ContinuousStatsTable[GroupByKey]=ContinuousStatsTable[[#This Row],[GroupByKey]])*ContinuousStatsTable[Average]))</f>
        <v>4.2820889862359999E-3</v>
      </c>
      <c r="U153" s="5">
        <f>IF((ContinuousStatsTable[[#This Row],[RepsRequested]]&gt;1),ContinuousStatsTable[[#This Row],[HalfWidth]],ContinuousStatsTable[[#This Row],[BatchMeansHalfWidth]])</f>
        <v>3.2599851741098198E-4</v>
      </c>
    </row>
    <row r="154" spans="1:21" x14ac:dyDescent="0.25">
      <c r="A154" t="s">
        <v>68</v>
      </c>
      <c r="B154" t="s">
        <v>70</v>
      </c>
      <c r="C154">
        <v>17</v>
      </c>
      <c r="D154" t="s">
        <v>98</v>
      </c>
      <c r="E154" t="s">
        <v>97</v>
      </c>
      <c r="F154" t="s">
        <v>95</v>
      </c>
      <c r="G154">
        <v>1</v>
      </c>
      <c r="H154">
        <v>2E+20</v>
      </c>
      <c r="I154">
        <v>1</v>
      </c>
      <c r="J154">
        <v>1</v>
      </c>
      <c r="K154">
        <v>1</v>
      </c>
      <c r="L154">
        <v>0</v>
      </c>
      <c r="M154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154" s="5" cm="1">
        <f t="array" ref="N154">MAX(IF((ProjectInfoTable[ProjectName]=ContinuousStatsTable[[#This Row],[ProjectName]]),(ProjectInfoTable[ProjectName]=ContinuousStatsTable[[#This Row],[ProjectName]])*ProjectInfoTable[NumberOfReplications]))</f>
        <v>27</v>
      </c>
      <c r="O154" s="5" cm="1">
        <f t="array" ref="O154">IFERROR(AVERAGE(IF((ContinuousStatsTable[GroupByKey]=ContinuousStatsTable[[#This Row],[GroupByKey]]),(ContinuousStatsTable[GroupByKey]=ContinuousStatsTable[[#This Row],[GroupByKey]])*ContinuousStatsTable[Average])),0)</f>
        <v>1</v>
      </c>
      <c r="P154" s="5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0</v>
      </c>
      <c r="Q154" s="5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4" s="5" cm="1">
        <f t="array" ref="S154">MIN(IF((ContinuousStatsTable[GroupByKey]=ContinuousStatsTable[[#This Row],[GroupByKey]]),(ContinuousStatsTable[GroupByKey]=ContinuousStatsTable[[#This Row],[GroupByKey]])*ContinuousStatsTable[Average]))</f>
        <v>1</v>
      </c>
      <c r="T154" s="5" cm="1">
        <f t="array" ref="T154">MAX(IF((ContinuousStatsTable[GroupByKey]=ContinuousStatsTable[[#This Row],[GroupByKey]]),(ContinuousStatsTable[GroupByKey]=ContinuousStatsTable[[#This Row],[GroupByKey]])*ContinuousStatsTable[Average]))</f>
        <v>1</v>
      </c>
      <c r="U154" s="5">
        <f>IF((ContinuousStatsTable[[#This Row],[RepsRequested]]&gt;1),ContinuousStatsTable[[#This Row],[HalfWidth]],ContinuousStatsTable[[#This Row],[BatchMeansHalfWidth]])</f>
        <v>0</v>
      </c>
    </row>
    <row r="155" spans="1:21" x14ac:dyDescent="0.25">
      <c r="A155" t="s">
        <v>68</v>
      </c>
      <c r="B155" t="s">
        <v>70</v>
      </c>
      <c r="C155">
        <v>18</v>
      </c>
      <c r="D155" t="s">
        <v>71</v>
      </c>
      <c r="E155" t="s">
        <v>91</v>
      </c>
      <c r="F155" t="s">
        <v>73</v>
      </c>
      <c r="G155">
        <v>2.9093806598931401E-2</v>
      </c>
      <c r="H155">
        <v>2E+20</v>
      </c>
      <c r="I155">
        <v>0</v>
      </c>
      <c r="J155">
        <v>1</v>
      </c>
      <c r="K155">
        <v>0</v>
      </c>
      <c r="L155">
        <v>0</v>
      </c>
      <c r="M155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155" s="5" cm="1">
        <f t="array" ref="N155">MAX(IF((ProjectInfoTable[ProjectName]=ContinuousStatsTable[[#This Row],[ProjectName]]),(ProjectInfoTable[ProjectName]=ContinuousStatsTable[[#This Row],[ProjectName]])*ProjectInfoTable[NumberOfReplications]))</f>
        <v>27</v>
      </c>
      <c r="O155" s="5" cm="1">
        <f t="array" ref="O155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155" s="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155" s="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155" s="5" cm="1">
        <f t="array" ref="S155">MIN(IF((ContinuousStatsTable[GroupByKey]=ContinuousStatsTable[[#This Row],[GroupByKey]]),(ContinuousStatsTable[GroupByKey]=ContinuousStatsTable[[#This Row],[GroupByKey]])*ContinuousStatsTable[Average]))</f>
        <v>0</v>
      </c>
      <c r="T155" s="5" cm="1">
        <f t="array" ref="T155">MAX(IF((ContinuousStatsTable[GroupByKey]=ContinuousStatsTable[[#This Row],[GroupByKey]]),(ContinuousStatsTable[GroupByKey]=ContinuousStatsTable[[#This Row],[GroupByKey]])*ContinuousStatsTable[Average]))</f>
        <v>0.128719646283251</v>
      </c>
      <c r="U155" s="5">
        <f>IF((ContinuousStatsTable[[#This Row],[RepsRequested]]&gt;1),ContinuousStatsTable[[#This Row],[HalfWidth]],ContinuousStatsTable[[#This Row],[BatchMeansHalfWidth]])</f>
        <v>1.3314003381859424E-2</v>
      </c>
    </row>
    <row r="156" spans="1:21" x14ac:dyDescent="0.25">
      <c r="A156" t="s">
        <v>68</v>
      </c>
      <c r="B156" t="s">
        <v>70</v>
      </c>
      <c r="C156">
        <v>18</v>
      </c>
      <c r="D156" t="s">
        <v>79</v>
      </c>
      <c r="E156" t="s">
        <v>92</v>
      </c>
      <c r="F156" t="s">
        <v>81</v>
      </c>
      <c r="G156">
        <v>0</v>
      </c>
      <c r="H156">
        <v>2E+20</v>
      </c>
      <c r="I156">
        <v>0</v>
      </c>
      <c r="J156">
        <v>0</v>
      </c>
      <c r="K156">
        <v>0</v>
      </c>
      <c r="L156">
        <v>0</v>
      </c>
      <c r="M156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156" s="5" cm="1">
        <f t="array" ref="N156">MAX(IF((ProjectInfoTable[ProjectName]=ContinuousStatsTable[[#This Row],[ProjectName]]),(ProjectInfoTable[ProjectName]=ContinuousStatsTable[[#This Row],[ProjectName]])*ProjectInfoTable[NumberOfReplications]))</f>
        <v>27</v>
      </c>
      <c r="O156" s="5" cm="1">
        <f t="array" ref="O156">IFERROR(AVERAGE(IF((ContinuousStatsTable[GroupByKey]=ContinuousStatsTable[[#This Row],[GroupByKey]]),(ContinuousStatsTable[GroupByKey]=ContinuousStatsTable[[#This Row],[GroupByKey]])*ContinuousStatsTable[Average])),0)</f>
        <v>0</v>
      </c>
      <c r="P156" s="5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0</v>
      </c>
      <c r="Q156" s="5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6" s="5" cm="1">
        <f t="array" ref="S156">MIN(IF((ContinuousStatsTable[GroupByKey]=ContinuousStatsTable[[#This Row],[GroupByKey]]),(ContinuousStatsTable[GroupByKey]=ContinuousStatsTable[[#This Row],[GroupByKey]])*ContinuousStatsTable[Average]))</f>
        <v>0</v>
      </c>
      <c r="T156" s="5" cm="1">
        <f t="array" ref="T156">MAX(IF((ContinuousStatsTable[GroupByKey]=ContinuousStatsTable[[#This Row],[GroupByKey]]),(ContinuousStatsTable[GroupByKey]=ContinuousStatsTable[[#This Row],[GroupByKey]])*ContinuousStatsTable[Average]))</f>
        <v>0</v>
      </c>
      <c r="U156" s="5">
        <f>IF((ContinuousStatsTable[[#This Row],[RepsRequested]]&gt;1),ContinuousStatsTable[[#This Row],[HalfWidth]],ContinuousStatsTable[[#This Row],[BatchMeansHalfWidth]])</f>
        <v>0</v>
      </c>
    </row>
    <row r="157" spans="1:21" x14ac:dyDescent="0.25">
      <c r="A157" t="s">
        <v>68</v>
      </c>
      <c r="B157" t="s">
        <v>70</v>
      </c>
      <c r="C157">
        <v>18</v>
      </c>
      <c r="D157" t="s">
        <v>90</v>
      </c>
      <c r="E157" t="s">
        <v>92</v>
      </c>
      <c r="F157" t="s">
        <v>81</v>
      </c>
      <c r="G157">
        <v>0</v>
      </c>
      <c r="H157">
        <v>2E+20</v>
      </c>
      <c r="I157">
        <v>0</v>
      </c>
      <c r="J157">
        <v>0</v>
      </c>
      <c r="K157">
        <v>0</v>
      </c>
      <c r="L157">
        <v>0</v>
      </c>
      <c r="M157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157" s="5" cm="1">
        <f t="array" ref="N157">MAX(IF((ProjectInfoTable[ProjectName]=ContinuousStatsTable[[#This Row],[ProjectName]]),(ProjectInfoTable[ProjectName]=ContinuousStatsTable[[#This Row],[ProjectName]])*ProjectInfoTable[NumberOfReplications]))</f>
        <v>27</v>
      </c>
      <c r="O157" s="5" cm="1">
        <f t="array" ref="O157">IFERROR(AVERAGE(IF((ContinuousStatsTable[GroupByKey]=ContinuousStatsTable[[#This Row],[GroupByKey]]),(ContinuousStatsTable[GroupByKey]=ContinuousStatsTable[[#This Row],[GroupByKey]])*ContinuousStatsTable[Average])),0)</f>
        <v>0</v>
      </c>
      <c r="P157" s="5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0</v>
      </c>
      <c r="Q157" s="5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7" s="5" cm="1">
        <f t="array" ref="S157">MIN(IF((ContinuousStatsTable[GroupByKey]=ContinuousStatsTable[[#This Row],[GroupByKey]]),(ContinuousStatsTable[GroupByKey]=ContinuousStatsTable[[#This Row],[GroupByKey]])*ContinuousStatsTable[Average]))</f>
        <v>0</v>
      </c>
      <c r="T157" s="5" cm="1">
        <f t="array" ref="T157">MAX(IF((ContinuousStatsTable[GroupByKey]=ContinuousStatsTable[[#This Row],[GroupByKey]]),(ContinuousStatsTable[GroupByKey]=ContinuousStatsTable[[#This Row],[GroupByKey]])*ContinuousStatsTable[Average]))</f>
        <v>0</v>
      </c>
      <c r="U157" s="5">
        <f>IF((ContinuousStatsTable[[#This Row],[RepsRequested]]&gt;1),ContinuousStatsTable[[#This Row],[HalfWidth]],ContinuousStatsTable[[#This Row],[BatchMeansHalfWidth]])</f>
        <v>0</v>
      </c>
    </row>
    <row r="158" spans="1:21" x14ac:dyDescent="0.25">
      <c r="A158" t="s">
        <v>68</v>
      </c>
      <c r="B158" t="s">
        <v>70</v>
      </c>
      <c r="C158">
        <v>18</v>
      </c>
      <c r="D158" t="s">
        <v>93</v>
      </c>
      <c r="E158" t="s">
        <v>94</v>
      </c>
      <c r="F158" t="s">
        <v>95</v>
      </c>
      <c r="G158">
        <v>9.6979355329771203E-3</v>
      </c>
      <c r="H158">
        <v>2E+20</v>
      </c>
      <c r="I158">
        <v>0</v>
      </c>
      <c r="J158">
        <v>0.33333333333333298</v>
      </c>
      <c r="K158">
        <v>0</v>
      </c>
      <c r="L158">
        <v>0</v>
      </c>
      <c r="M158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158" s="5" cm="1">
        <f t="array" ref="N158">MAX(IF((ProjectInfoTable[ProjectName]=ContinuousStatsTable[[#This Row],[ProjectName]]),(ProjectInfoTable[ProjectName]=ContinuousStatsTable[[#This Row],[ProjectName]])*ProjectInfoTable[NumberOfReplications]))</f>
        <v>27</v>
      </c>
      <c r="O158" s="5" cm="1">
        <f t="array" ref="O158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158" s="5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158" s="5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158" s="5" cm="1">
        <f t="array" ref="S158">MIN(IF((ContinuousStatsTable[GroupByKey]=ContinuousStatsTable[[#This Row],[GroupByKey]]),(ContinuousStatsTable[GroupByKey]=ContinuousStatsTable[[#This Row],[GroupByKey]])*ContinuousStatsTable[Average]))</f>
        <v>0</v>
      </c>
      <c r="T158" s="5" cm="1">
        <f t="array" ref="T158">MAX(IF((ContinuousStatsTable[GroupByKey]=ContinuousStatsTable[[#This Row],[GroupByKey]]),(ContinuousStatsTable[GroupByKey]=ContinuousStatsTable[[#This Row],[GroupByKey]])*ContinuousStatsTable[Average]))</f>
        <v>4.2906548761083699E-2</v>
      </c>
      <c r="U158" s="5">
        <f>IF((ContinuousStatsTable[[#This Row],[RepsRequested]]&gt;1),ContinuousStatsTable[[#This Row],[HalfWidth]],ContinuousStatsTable[[#This Row],[BatchMeansHalfWidth]])</f>
        <v>4.4010751425322646E-3</v>
      </c>
    </row>
    <row r="159" spans="1:21" x14ac:dyDescent="0.25">
      <c r="A159" t="s">
        <v>68</v>
      </c>
      <c r="B159" t="s">
        <v>70</v>
      </c>
      <c r="C159">
        <v>18</v>
      </c>
      <c r="D159" t="s">
        <v>93</v>
      </c>
      <c r="E159" t="s">
        <v>96</v>
      </c>
      <c r="F159" t="s">
        <v>95</v>
      </c>
      <c r="G159">
        <v>2.9093806598931401E-2</v>
      </c>
      <c r="H159">
        <v>2E+20</v>
      </c>
      <c r="I159">
        <v>0</v>
      </c>
      <c r="J159">
        <v>1</v>
      </c>
      <c r="K159">
        <v>0</v>
      </c>
      <c r="L159">
        <v>0</v>
      </c>
      <c r="M159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159" s="5" cm="1">
        <f t="array" ref="N159">MAX(IF((ProjectInfoTable[ProjectName]=ContinuousStatsTable[[#This Row],[ProjectName]]),(ProjectInfoTable[ProjectName]=ContinuousStatsTable[[#This Row],[ProjectName]])*ProjectInfoTable[NumberOfReplications]))</f>
        <v>27</v>
      </c>
      <c r="O159" s="5" cm="1">
        <f t="array" ref="O159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159" s="5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159" s="5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159" s="5" cm="1">
        <f t="array" ref="S159">MIN(IF((ContinuousStatsTable[GroupByKey]=ContinuousStatsTable[[#This Row],[GroupByKey]]),(ContinuousStatsTable[GroupByKey]=ContinuousStatsTable[[#This Row],[GroupByKey]])*ContinuousStatsTable[Average]))</f>
        <v>0</v>
      </c>
      <c r="T159" s="5" cm="1">
        <f t="array" ref="T159">MAX(IF((ContinuousStatsTable[GroupByKey]=ContinuousStatsTable[[#This Row],[GroupByKey]]),(ContinuousStatsTable[GroupByKey]=ContinuousStatsTable[[#This Row],[GroupByKey]])*ContinuousStatsTable[Average]))</f>
        <v>0.128719646283251</v>
      </c>
      <c r="U159" s="5">
        <f>IF((ContinuousStatsTable[[#This Row],[RepsRequested]]&gt;1),ContinuousStatsTable[[#This Row],[HalfWidth]],ContinuousStatsTable[[#This Row],[BatchMeansHalfWidth]])</f>
        <v>1.3203225427596797E-2</v>
      </c>
    </row>
    <row r="160" spans="1:21" x14ac:dyDescent="0.25">
      <c r="A160" t="s">
        <v>68</v>
      </c>
      <c r="B160" t="s">
        <v>70</v>
      </c>
      <c r="C160">
        <v>18</v>
      </c>
      <c r="D160" t="s">
        <v>93</v>
      </c>
      <c r="E160" t="s">
        <v>97</v>
      </c>
      <c r="F160" t="s">
        <v>95</v>
      </c>
      <c r="G160">
        <v>3</v>
      </c>
      <c r="H160">
        <v>2E+20</v>
      </c>
      <c r="I160">
        <v>3</v>
      </c>
      <c r="J160">
        <v>3</v>
      </c>
      <c r="K160">
        <v>3</v>
      </c>
      <c r="L160">
        <v>0</v>
      </c>
      <c r="M160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160" s="5" cm="1">
        <f t="array" ref="N160">MAX(IF((ProjectInfoTable[ProjectName]=ContinuousStatsTable[[#This Row],[ProjectName]]),(ProjectInfoTable[ProjectName]=ContinuousStatsTable[[#This Row],[ProjectName]])*ProjectInfoTable[NumberOfReplications]))</f>
        <v>27</v>
      </c>
      <c r="O160" s="5" cm="1">
        <f t="array" ref="O160">IFERROR(AVERAGE(IF((ContinuousStatsTable[GroupByKey]=ContinuousStatsTable[[#This Row],[GroupByKey]]),(ContinuousStatsTable[GroupByKey]=ContinuousStatsTable[[#This Row],[GroupByKey]])*ContinuousStatsTable[Average])),0)</f>
        <v>3</v>
      </c>
      <c r="P160" s="5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0</v>
      </c>
      <c r="Q160" s="5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0" s="5" cm="1">
        <f t="array" ref="S160">MIN(IF((ContinuousStatsTable[GroupByKey]=ContinuousStatsTable[[#This Row],[GroupByKey]]),(ContinuousStatsTable[GroupByKey]=ContinuousStatsTable[[#This Row],[GroupByKey]])*ContinuousStatsTable[Average]))</f>
        <v>3</v>
      </c>
      <c r="T160" s="5" cm="1">
        <f t="array" ref="T160">MAX(IF((ContinuousStatsTable[GroupByKey]=ContinuousStatsTable[[#This Row],[GroupByKey]]),(ContinuousStatsTable[GroupByKey]=ContinuousStatsTable[[#This Row],[GroupByKey]])*ContinuousStatsTable[Average]))</f>
        <v>3</v>
      </c>
      <c r="U160" s="5">
        <f>IF((ContinuousStatsTable[[#This Row],[RepsRequested]]&gt;1),ContinuousStatsTable[[#This Row],[HalfWidth]],ContinuousStatsTable[[#This Row],[BatchMeansHalfWidth]])</f>
        <v>0</v>
      </c>
    </row>
    <row r="161" spans="1:21" x14ac:dyDescent="0.25">
      <c r="A161" t="s">
        <v>68</v>
      </c>
      <c r="B161" t="s">
        <v>70</v>
      </c>
      <c r="C161">
        <v>18</v>
      </c>
      <c r="D161" t="s">
        <v>98</v>
      </c>
      <c r="E161" t="s">
        <v>94</v>
      </c>
      <c r="F161" t="s">
        <v>95</v>
      </c>
      <c r="G161">
        <v>0</v>
      </c>
      <c r="H161">
        <v>2E+20</v>
      </c>
      <c r="I161">
        <v>0</v>
      </c>
      <c r="J161">
        <v>0</v>
      </c>
      <c r="K161">
        <v>0</v>
      </c>
      <c r="L161">
        <v>0</v>
      </c>
      <c r="M161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161" s="5" cm="1">
        <f t="array" ref="N161">MAX(IF((ProjectInfoTable[ProjectName]=ContinuousStatsTable[[#This Row],[ProjectName]]),(ProjectInfoTable[ProjectName]=ContinuousStatsTable[[#This Row],[ProjectName]])*ProjectInfoTable[NumberOfReplications]))</f>
        <v>27</v>
      </c>
      <c r="O161" s="5" cm="1">
        <f t="array" ref="O161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161" s="5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161" s="5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161" s="5" cm="1">
        <f t="array" ref="S161">MIN(IF((ContinuousStatsTable[GroupByKey]=ContinuousStatsTable[[#This Row],[GroupByKey]]),(ContinuousStatsTable[GroupByKey]=ContinuousStatsTable[[#This Row],[GroupByKey]])*ContinuousStatsTable[Average]))</f>
        <v>0</v>
      </c>
      <c r="T161" s="5" cm="1">
        <f t="array" ref="T161">MAX(IF((ContinuousStatsTable[GroupByKey]=ContinuousStatsTable[[#This Row],[GroupByKey]]),(ContinuousStatsTable[GroupByKey]=ContinuousStatsTable[[#This Row],[GroupByKey]])*ContinuousStatsTable[Average]))</f>
        <v>4.2820889862359999E-3</v>
      </c>
      <c r="U161" s="5">
        <f>IF((ContinuousStatsTable[[#This Row],[RepsRequested]]&gt;1),ContinuousStatsTable[[#This Row],[HalfWidth]],ContinuousStatsTable[[#This Row],[BatchMeansHalfWidth]])</f>
        <v>3.2599851741098198E-4</v>
      </c>
    </row>
    <row r="162" spans="1:21" x14ac:dyDescent="0.25">
      <c r="A162" t="s">
        <v>68</v>
      </c>
      <c r="B162" t="s">
        <v>70</v>
      </c>
      <c r="C162">
        <v>18</v>
      </c>
      <c r="D162" t="s">
        <v>98</v>
      </c>
      <c r="E162" t="s">
        <v>96</v>
      </c>
      <c r="F162" t="s">
        <v>95</v>
      </c>
      <c r="G162">
        <v>0</v>
      </c>
      <c r="H162">
        <v>2E+20</v>
      </c>
      <c r="I162">
        <v>0</v>
      </c>
      <c r="J162">
        <v>0</v>
      </c>
      <c r="K162">
        <v>0</v>
      </c>
      <c r="L162">
        <v>0</v>
      </c>
      <c r="M162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162" s="5" cm="1">
        <f t="array" ref="N162">MAX(IF((ProjectInfoTable[ProjectName]=ContinuousStatsTable[[#This Row],[ProjectName]]),(ProjectInfoTable[ProjectName]=ContinuousStatsTable[[#This Row],[ProjectName]])*ProjectInfoTable[NumberOfReplications]))</f>
        <v>27</v>
      </c>
      <c r="O162" s="5" cm="1">
        <f t="array" ref="O162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162" s="5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162" s="5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162" s="5" cm="1">
        <f t="array" ref="S162">MIN(IF((ContinuousStatsTable[GroupByKey]=ContinuousStatsTable[[#This Row],[GroupByKey]]),(ContinuousStatsTable[GroupByKey]=ContinuousStatsTable[[#This Row],[GroupByKey]])*ContinuousStatsTable[Average]))</f>
        <v>0</v>
      </c>
      <c r="T162" s="5" cm="1">
        <f t="array" ref="T162">MAX(IF((ContinuousStatsTable[GroupByKey]=ContinuousStatsTable[[#This Row],[GroupByKey]]),(ContinuousStatsTable[GroupByKey]=ContinuousStatsTable[[#This Row],[GroupByKey]])*ContinuousStatsTable[Average]))</f>
        <v>4.2820889862359999E-3</v>
      </c>
      <c r="U162" s="5">
        <f>IF((ContinuousStatsTable[[#This Row],[RepsRequested]]&gt;1),ContinuousStatsTable[[#This Row],[HalfWidth]],ContinuousStatsTable[[#This Row],[BatchMeansHalfWidth]])</f>
        <v>3.2599851741098198E-4</v>
      </c>
    </row>
    <row r="163" spans="1:21" x14ac:dyDescent="0.25">
      <c r="A163" t="s">
        <v>68</v>
      </c>
      <c r="B163" t="s">
        <v>70</v>
      </c>
      <c r="C163">
        <v>18</v>
      </c>
      <c r="D163" t="s">
        <v>98</v>
      </c>
      <c r="E163" t="s">
        <v>97</v>
      </c>
      <c r="F163" t="s">
        <v>95</v>
      </c>
      <c r="G163">
        <v>1</v>
      </c>
      <c r="H163">
        <v>2E+20</v>
      </c>
      <c r="I163">
        <v>1</v>
      </c>
      <c r="J163">
        <v>1</v>
      </c>
      <c r="K163">
        <v>1</v>
      </c>
      <c r="L163">
        <v>0</v>
      </c>
      <c r="M163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163" s="5" cm="1">
        <f t="array" ref="N163">MAX(IF((ProjectInfoTable[ProjectName]=ContinuousStatsTable[[#This Row],[ProjectName]]),(ProjectInfoTable[ProjectName]=ContinuousStatsTable[[#This Row],[ProjectName]])*ProjectInfoTable[NumberOfReplications]))</f>
        <v>27</v>
      </c>
      <c r="O163" s="5" cm="1">
        <f t="array" ref="O163">IFERROR(AVERAGE(IF((ContinuousStatsTable[GroupByKey]=ContinuousStatsTable[[#This Row],[GroupByKey]]),(ContinuousStatsTable[GroupByKey]=ContinuousStatsTable[[#This Row],[GroupByKey]])*ContinuousStatsTable[Average])),0)</f>
        <v>1</v>
      </c>
      <c r="P163" s="5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0</v>
      </c>
      <c r="Q163" s="5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3" s="5" cm="1">
        <f t="array" ref="S163">MIN(IF((ContinuousStatsTable[GroupByKey]=ContinuousStatsTable[[#This Row],[GroupByKey]]),(ContinuousStatsTable[GroupByKey]=ContinuousStatsTable[[#This Row],[GroupByKey]])*ContinuousStatsTable[Average]))</f>
        <v>1</v>
      </c>
      <c r="T163" s="5" cm="1">
        <f t="array" ref="T163">MAX(IF((ContinuousStatsTable[GroupByKey]=ContinuousStatsTable[[#This Row],[GroupByKey]]),(ContinuousStatsTable[GroupByKey]=ContinuousStatsTable[[#This Row],[GroupByKey]])*ContinuousStatsTable[Average]))</f>
        <v>1</v>
      </c>
      <c r="U163" s="5">
        <f>IF((ContinuousStatsTable[[#This Row],[RepsRequested]]&gt;1),ContinuousStatsTable[[#This Row],[HalfWidth]],ContinuousStatsTable[[#This Row],[BatchMeansHalfWidth]])</f>
        <v>0</v>
      </c>
    </row>
    <row r="164" spans="1:21" x14ac:dyDescent="0.25">
      <c r="A164" t="s">
        <v>68</v>
      </c>
      <c r="B164" t="s">
        <v>70</v>
      </c>
      <c r="C164">
        <v>19</v>
      </c>
      <c r="D164" t="s">
        <v>71</v>
      </c>
      <c r="E164" t="s">
        <v>91</v>
      </c>
      <c r="F164" t="s">
        <v>73</v>
      </c>
      <c r="G164">
        <v>4.4388034173141203E-2</v>
      </c>
      <c r="H164">
        <v>2E+20</v>
      </c>
      <c r="I164">
        <v>0</v>
      </c>
      <c r="J164">
        <v>1</v>
      </c>
      <c r="K164">
        <v>1</v>
      </c>
      <c r="L164">
        <v>0</v>
      </c>
      <c r="M164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164" s="5" cm="1">
        <f t="array" ref="N164">MAX(IF((ProjectInfoTable[ProjectName]=ContinuousStatsTable[[#This Row],[ProjectName]]),(ProjectInfoTable[ProjectName]=ContinuousStatsTable[[#This Row],[ProjectName]])*ProjectInfoTable[NumberOfReplications]))</f>
        <v>27</v>
      </c>
      <c r="O164" s="5" cm="1">
        <f t="array" ref="O164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164" s="5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164" s="5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164" s="5" cm="1">
        <f t="array" ref="S164">MIN(IF((ContinuousStatsTable[GroupByKey]=ContinuousStatsTable[[#This Row],[GroupByKey]]),(ContinuousStatsTable[GroupByKey]=ContinuousStatsTable[[#This Row],[GroupByKey]])*ContinuousStatsTable[Average]))</f>
        <v>0</v>
      </c>
      <c r="T164" s="5" cm="1">
        <f t="array" ref="T164">MAX(IF((ContinuousStatsTable[GroupByKey]=ContinuousStatsTable[[#This Row],[GroupByKey]]),(ContinuousStatsTable[GroupByKey]=ContinuousStatsTable[[#This Row],[GroupByKey]])*ContinuousStatsTable[Average]))</f>
        <v>0.128719646283251</v>
      </c>
      <c r="U164" s="5">
        <f>IF((ContinuousStatsTable[[#This Row],[RepsRequested]]&gt;1),ContinuousStatsTable[[#This Row],[HalfWidth]],ContinuousStatsTable[[#This Row],[BatchMeansHalfWidth]])</f>
        <v>1.3314003381859424E-2</v>
      </c>
    </row>
    <row r="165" spans="1:21" x14ac:dyDescent="0.25">
      <c r="A165" t="s">
        <v>68</v>
      </c>
      <c r="B165" t="s">
        <v>70</v>
      </c>
      <c r="C165">
        <v>19</v>
      </c>
      <c r="D165" t="s">
        <v>79</v>
      </c>
      <c r="E165" t="s">
        <v>92</v>
      </c>
      <c r="F165" t="s">
        <v>81</v>
      </c>
      <c r="G165">
        <v>0</v>
      </c>
      <c r="H165">
        <v>2E+20</v>
      </c>
      <c r="I165">
        <v>0</v>
      </c>
      <c r="J165">
        <v>0</v>
      </c>
      <c r="K165">
        <v>0</v>
      </c>
      <c r="L165">
        <v>0</v>
      </c>
      <c r="M165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165" s="5" cm="1">
        <f t="array" ref="N165">MAX(IF((ProjectInfoTable[ProjectName]=ContinuousStatsTable[[#This Row],[ProjectName]]),(ProjectInfoTable[ProjectName]=ContinuousStatsTable[[#This Row],[ProjectName]])*ProjectInfoTable[NumberOfReplications]))</f>
        <v>27</v>
      </c>
      <c r="O165" s="5" cm="1">
        <f t="array" ref="O165">IFERROR(AVERAGE(IF((ContinuousStatsTable[GroupByKey]=ContinuousStatsTable[[#This Row],[GroupByKey]]),(ContinuousStatsTable[GroupByKey]=ContinuousStatsTable[[#This Row],[GroupByKey]])*ContinuousStatsTable[Average])),0)</f>
        <v>0</v>
      </c>
      <c r="P165" s="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0</v>
      </c>
      <c r="Q165" s="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5" s="5" cm="1">
        <f t="array" ref="S165">MIN(IF((ContinuousStatsTable[GroupByKey]=ContinuousStatsTable[[#This Row],[GroupByKey]]),(ContinuousStatsTable[GroupByKey]=ContinuousStatsTable[[#This Row],[GroupByKey]])*ContinuousStatsTable[Average]))</f>
        <v>0</v>
      </c>
      <c r="T165" s="5" cm="1">
        <f t="array" ref="T165">MAX(IF((ContinuousStatsTable[GroupByKey]=ContinuousStatsTable[[#This Row],[GroupByKey]]),(ContinuousStatsTable[GroupByKey]=ContinuousStatsTable[[#This Row],[GroupByKey]])*ContinuousStatsTable[Average]))</f>
        <v>0</v>
      </c>
      <c r="U165" s="5">
        <f>IF((ContinuousStatsTable[[#This Row],[RepsRequested]]&gt;1),ContinuousStatsTable[[#This Row],[HalfWidth]],ContinuousStatsTable[[#This Row],[BatchMeansHalfWidth]])</f>
        <v>0</v>
      </c>
    </row>
    <row r="166" spans="1:21" x14ac:dyDescent="0.25">
      <c r="A166" t="s">
        <v>68</v>
      </c>
      <c r="B166" t="s">
        <v>70</v>
      </c>
      <c r="C166">
        <v>19</v>
      </c>
      <c r="D166" t="s">
        <v>90</v>
      </c>
      <c r="E166" t="s">
        <v>92</v>
      </c>
      <c r="F166" t="s">
        <v>81</v>
      </c>
      <c r="G166">
        <v>0</v>
      </c>
      <c r="H166">
        <v>2E+20</v>
      </c>
      <c r="I166">
        <v>0</v>
      </c>
      <c r="J166">
        <v>0</v>
      </c>
      <c r="K166">
        <v>0</v>
      </c>
      <c r="L166">
        <v>0</v>
      </c>
      <c r="M166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166" s="5" cm="1">
        <f t="array" ref="N166">MAX(IF((ProjectInfoTable[ProjectName]=ContinuousStatsTable[[#This Row],[ProjectName]]),(ProjectInfoTable[ProjectName]=ContinuousStatsTable[[#This Row],[ProjectName]])*ProjectInfoTable[NumberOfReplications]))</f>
        <v>27</v>
      </c>
      <c r="O166" s="5" cm="1">
        <f t="array" ref="O166">IFERROR(AVERAGE(IF((ContinuousStatsTable[GroupByKey]=ContinuousStatsTable[[#This Row],[GroupByKey]]),(ContinuousStatsTable[GroupByKey]=ContinuousStatsTable[[#This Row],[GroupByKey]])*ContinuousStatsTable[Average])),0)</f>
        <v>0</v>
      </c>
      <c r="P166" s="5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</v>
      </c>
      <c r="Q166" s="5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6" s="5" cm="1">
        <f t="array" ref="S166">MIN(IF((ContinuousStatsTable[GroupByKey]=ContinuousStatsTable[[#This Row],[GroupByKey]]),(ContinuousStatsTable[GroupByKey]=ContinuousStatsTable[[#This Row],[GroupByKey]])*ContinuousStatsTable[Average]))</f>
        <v>0</v>
      </c>
      <c r="T166" s="5" cm="1">
        <f t="array" ref="T166">MAX(IF((ContinuousStatsTable[GroupByKey]=ContinuousStatsTable[[#This Row],[GroupByKey]]),(ContinuousStatsTable[GroupByKey]=ContinuousStatsTable[[#This Row],[GroupByKey]])*ContinuousStatsTable[Average]))</f>
        <v>0</v>
      </c>
      <c r="U166" s="5">
        <f>IF((ContinuousStatsTable[[#This Row],[RepsRequested]]&gt;1),ContinuousStatsTable[[#This Row],[HalfWidth]],ContinuousStatsTable[[#This Row],[BatchMeansHalfWidth]])</f>
        <v>0</v>
      </c>
    </row>
    <row r="167" spans="1:21" x14ac:dyDescent="0.25">
      <c r="A167" t="s">
        <v>68</v>
      </c>
      <c r="B167" t="s">
        <v>70</v>
      </c>
      <c r="C167">
        <v>19</v>
      </c>
      <c r="D167" t="s">
        <v>93</v>
      </c>
      <c r="E167" t="s">
        <v>94</v>
      </c>
      <c r="F167" t="s">
        <v>95</v>
      </c>
      <c r="G167">
        <v>1.47960113910471E-2</v>
      </c>
      <c r="H167">
        <v>2E+20</v>
      </c>
      <c r="I167">
        <v>0</v>
      </c>
      <c r="J167">
        <v>0.33333333333333298</v>
      </c>
      <c r="K167">
        <v>0.33333333333333298</v>
      </c>
      <c r="L167">
        <v>0</v>
      </c>
      <c r="M167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167" s="5" cm="1">
        <f t="array" ref="N167">MAX(IF((ProjectInfoTable[ProjectName]=ContinuousStatsTable[[#This Row],[ProjectName]]),(ProjectInfoTable[ProjectName]=ContinuousStatsTable[[#This Row],[ProjectName]])*ProjectInfoTable[NumberOfReplications]))</f>
        <v>27</v>
      </c>
      <c r="O167" s="5" cm="1">
        <f t="array" ref="O167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167" s="5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167" s="5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167" s="5" cm="1">
        <f t="array" ref="S167">MIN(IF((ContinuousStatsTable[GroupByKey]=ContinuousStatsTable[[#This Row],[GroupByKey]]),(ContinuousStatsTable[GroupByKey]=ContinuousStatsTable[[#This Row],[GroupByKey]])*ContinuousStatsTable[Average]))</f>
        <v>0</v>
      </c>
      <c r="T167" s="5" cm="1">
        <f t="array" ref="T167">MAX(IF((ContinuousStatsTable[GroupByKey]=ContinuousStatsTable[[#This Row],[GroupByKey]]),(ContinuousStatsTable[GroupByKey]=ContinuousStatsTable[[#This Row],[GroupByKey]])*ContinuousStatsTable[Average]))</f>
        <v>4.2906548761083699E-2</v>
      </c>
      <c r="U167" s="5">
        <f>IF((ContinuousStatsTable[[#This Row],[RepsRequested]]&gt;1),ContinuousStatsTable[[#This Row],[HalfWidth]],ContinuousStatsTable[[#This Row],[BatchMeansHalfWidth]])</f>
        <v>4.4010751425322646E-3</v>
      </c>
    </row>
    <row r="168" spans="1:21" x14ac:dyDescent="0.25">
      <c r="A168" t="s">
        <v>68</v>
      </c>
      <c r="B168" t="s">
        <v>70</v>
      </c>
      <c r="C168">
        <v>19</v>
      </c>
      <c r="D168" t="s">
        <v>93</v>
      </c>
      <c r="E168" t="s">
        <v>96</v>
      </c>
      <c r="F168" t="s">
        <v>95</v>
      </c>
      <c r="G168">
        <v>4.4388034173141203E-2</v>
      </c>
      <c r="H168">
        <v>2E+20</v>
      </c>
      <c r="I168">
        <v>0</v>
      </c>
      <c r="J168">
        <v>1</v>
      </c>
      <c r="K168">
        <v>1</v>
      </c>
      <c r="L168">
        <v>0</v>
      </c>
      <c r="M168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168" s="5" cm="1">
        <f t="array" ref="N168">MAX(IF((ProjectInfoTable[ProjectName]=ContinuousStatsTable[[#This Row],[ProjectName]]),(ProjectInfoTable[ProjectName]=ContinuousStatsTable[[#This Row],[ProjectName]])*ProjectInfoTable[NumberOfReplications]))</f>
        <v>27</v>
      </c>
      <c r="O168" s="5" cm="1">
        <f t="array" ref="O168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168" s="5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168" s="5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168" s="5" cm="1">
        <f t="array" ref="S168">MIN(IF((ContinuousStatsTable[GroupByKey]=ContinuousStatsTable[[#This Row],[GroupByKey]]),(ContinuousStatsTable[GroupByKey]=ContinuousStatsTable[[#This Row],[GroupByKey]])*ContinuousStatsTable[Average]))</f>
        <v>0</v>
      </c>
      <c r="T168" s="5" cm="1">
        <f t="array" ref="T168">MAX(IF((ContinuousStatsTable[GroupByKey]=ContinuousStatsTable[[#This Row],[GroupByKey]]),(ContinuousStatsTable[GroupByKey]=ContinuousStatsTable[[#This Row],[GroupByKey]])*ContinuousStatsTable[Average]))</f>
        <v>0.128719646283251</v>
      </c>
      <c r="U168" s="5">
        <f>IF((ContinuousStatsTable[[#This Row],[RepsRequested]]&gt;1),ContinuousStatsTable[[#This Row],[HalfWidth]],ContinuousStatsTable[[#This Row],[BatchMeansHalfWidth]])</f>
        <v>1.3203225427596797E-2</v>
      </c>
    </row>
    <row r="169" spans="1:21" x14ac:dyDescent="0.25">
      <c r="A169" t="s">
        <v>68</v>
      </c>
      <c r="B169" t="s">
        <v>70</v>
      </c>
      <c r="C169">
        <v>19</v>
      </c>
      <c r="D169" t="s">
        <v>93</v>
      </c>
      <c r="E169" t="s">
        <v>97</v>
      </c>
      <c r="F169" t="s">
        <v>95</v>
      </c>
      <c r="G169">
        <v>3</v>
      </c>
      <c r="H169">
        <v>2E+20</v>
      </c>
      <c r="I169">
        <v>3</v>
      </c>
      <c r="J169">
        <v>3</v>
      </c>
      <c r="K169">
        <v>3</v>
      </c>
      <c r="L169">
        <v>0</v>
      </c>
      <c r="M169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169" s="5" cm="1">
        <f t="array" ref="N169">MAX(IF((ProjectInfoTable[ProjectName]=ContinuousStatsTable[[#This Row],[ProjectName]]),(ProjectInfoTable[ProjectName]=ContinuousStatsTable[[#This Row],[ProjectName]])*ProjectInfoTable[NumberOfReplications]))</f>
        <v>27</v>
      </c>
      <c r="O169" s="5" cm="1">
        <f t="array" ref="O169">IFERROR(AVERAGE(IF((ContinuousStatsTable[GroupByKey]=ContinuousStatsTable[[#This Row],[GroupByKey]]),(ContinuousStatsTable[GroupByKey]=ContinuousStatsTable[[#This Row],[GroupByKey]])*ContinuousStatsTable[Average])),0)</f>
        <v>3</v>
      </c>
      <c r="P169" s="5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0</v>
      </c>
      <c r="Q169" s="5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9" s="5" cm="1">
        <f t="array" ref="S169">MIN(IF((ContinuousStatsTable[GroupByKey]=ContinuousStatsTable[[#This Row],[GroupByKey]]),(ContinuousStatsTable[GroupByKey]=ContinuousStatsTable[[#This Row],[GroupByKey]])*ContinuousStatsTable[Average]))</f>
        <v>3</v>
      </c>
      <c r="T169" s="5" cm="1">
        <f t="array" ref="T169">MAX(IF((ContinuousStatsTable[GroupByKey]=ContinuousStatsTable[[#This Row],[GroupByKey]]),(ContinuousStatsTable[GroupByKey]=ContinuousStatsTable[[#This Row],[GroupByKey]])*ContinuousStatsTable[Average]))</f>
        <v>3</v>
      </c>
      <c r="U169" s="5">
        <f>IF((ContinuousStatsTable[[#This Row],[RepsRequested]]&gt;1),ContinuousStatsTable[[#This Row],[HalfWidth]],ContinuousStatsTable[[#This Row],[BatchMeansHalfWidth]])</f>
        <v>0</v>
      </c>
    </row>
    <row r="170" spans="1:21" x14ac:dyDescent="0.25">
      <c r="A170" t="s">
        <v>68</v>
      </c>
      <c r="B170" t="s">
        <v>70</v>
      </c>
      <c r="C170">
        <v>19</v>
      </c>
      <c r="D170" t="s">
        <v>98</v>
      </c>
      <c r="E170" t="s">
        <v>94</v>
      </c>
      <c r="F170" t="s">
        <v>95</v>
      </c>
      <c r="G170">
        <v>0</v>
      </c>
      <c r="H170">
        <v>2E+20</v>
      </c>
      <c r="I170">
        <v>0</v>
      </c>
      <c r="J170">
        <v>0</v>
      </c>
      <c r="K170">
        <v>0</v>
      </c>
      <c r="L170">
        <v>0</v>
      </c>
      <c r="M170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170" s="5" cm="1">
        <f t="array" ref="N170">MAX(IF((ProjectInfoTable[ProjectName]=ContinuousStatsTable[[#This Row],[ProjectName]]),(ProjectInfoTable[ProjectName]=ContinuousStatsTable[[#This Row],[ProjectName]])*ProjectInfoTable[NumberOfReplications]))</f>
        <v>27</v>
      </c>
      <c r="O170" s="5" cm="1">
        <f t="array" ref="O170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170" s="5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170" s="5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170" s="5" cm="1">
        <f t="array" ref="S170">MIN(IF((ContinuousStatsTable[GroupByKey]=ContinuousStatsTable[[#This Row],[GroupByKey]]),(ContinuousStatsTable[GroupByKey]=ContinuousStatsTable[[#This Row],[GroupByKey]])*ContinuousStatsTable[Average]))</f>
        <v>0</v>
      </c>
      <c r="T170" s="5" cm="1">
        <f t="array" ref="T170">MAX(IF((ContinuousStatsTable[GroupByKey]=ContinuousStatsTable[[#This Row],[GroupByKey]]),(ContinuousStatsTable[GroupByKey]=ContinuousStatsTable[[#This Row],[GroupByKey]])*ContinuousStatsTable[Average]))</f>
        <v>4.2820889862359999E-3</v>
      </c>
      <c r="U170" s="5">
        <f>IF((ContinuousStatsTable[[#This Row],[RepsRequested]]&gt;1),ContinuousStatsTable[[#This Row],[HalfWidth]],ContinuousStatsTable[[#This Row],[BatchMeansHalfWidth]])</f>
        <v>3.2599851741098198E-4</v>
      </c>
    </row>
    <row r="171" spans="1:21" x14ac:dyDescent="0.25">
      <c r="A171" t="s">
        <v>68</v>
      </c>
      <c r="B171" t="s">
        <v>70</v>
      </c>
      <c r="C171">
        <v>19</v>
      </c>
      <c r="D171" t="s">
        <v>98</v>
      </c>
      <c r="E171" t="s">
        <v>96</v>
      </c>
      <c r="F171" t="s">
        <v>95</v>
      </c>
      <c r="G171">
        <v>0</v>
      </c>
      <c r="H171">
        <v>2E+20</v>
      </c>
      <c r="I171">
        <v>0</v>
      </c>
      <c r="J171">
        <v>0</v>
      </c>
      <c r="K171">
        <v>0</v>
      </c>
      <c r="L171">
        <v>0</v>
      </c>
      <c r="M171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171" s="5" cm="1">
        <f t="array" ref="N171">MAX(IF((ProjectInfoTable[ProjectName]=ContinuousStatsTable[[#This Row],[ProjectName]]),(ProjectInfoTable[ProjectName]=ContinuousStatsTable[[#This Row],[ProjectName]])*ProjectInfoTable[NumberOfReplications]))</f>
        <v>27</v>
      </c>
      <c r="O171" s="5" cm="1">
        <f t="array" ref="O171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171" s="5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171" s="5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171" s="5" cm="1">
        <f t="array" ref="S171">MIN(IF((ContinuousStatsTable[GroupByKey]=ContinuousStatsTable[[#This Row],[GroupByKey]]),(ContinuousStatsTable[GroupByKey]=ContinuousStatsTable[[#This Row],[GroupByKey]])*ContinuousStatsTable[Average]))</f>
        <v>0</v>
      </c>
      <c r="T171" s="5" cm="1">
        <f t="array" ref="T171">MAX(IF((ContinuousStatsTable[GroupByKey]=ContinuousStatsTable[[#This Row],[GroupByKey]]),(ContinuousStatsTable[GroupByKey]=ContinuousStatsTable[[#This Row],[GroupByKey]])*ContinuousStatsTable[Average]))</f>
        <v>4.2820889862359999E-3</v>
      </c>
      <c r="U171" s="5">
        <f>IF((ContinuousStatsTable[[#This Row],[RepsRequested]]&gt;1),ContinuousStatsTable[[#This Row],[HalfWidth]],ContinuousStatsTable[[#This Row],[BatchMeansHalfWidth]])</f>
        <v>3.2599851741098198E-4</v>
      </c>
    </row>
    <row r="172" spans="1:21" x14ac:dyDescent="0.25">
      <c r="A172" t="s">
        <v>68</v>
      </c>
      <c r="B172" t="s">
        <v>70</v>
      </c>
      <c r="C172">
        <v>19</v>
      </c>
      <c r="D172" t="s">
        <v>98</v>
      </c>
      <c r="E172" t="s">
        <v>97</v>
      </c>
      <c r="F172" t="s">
        <v>95</v>
      </c>
      <c r="G172">
        <v>1</v>
      </c>
      <c r="H172">
        <v>2E+20</v>
      </c>
      <c r="I172">
        <v>1</v>
      </c>
      <c r="J172">
        <v>1</v>
      </c>
      <c r="K172">
        <v>1</v>
      </c>
      <c r="L172">
        <v>0</v>
      </c>
      <c r="M172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172" s="5" cm="1">
        <f t="array" ref="N172">MAX(IF((ProjectInfoTable[ProjectName]=ContinuousStatsTable[[#This Row],[ProjectName]]),(ProjectInfoTable[ProjectName]=ContinuousStatsTable[[#This Row],[ProjectName]])*ProjectInfoTable[NumberOfReplications]))</f>
        <v>27</v>
      </c>
      <c r="O172" s="5" cm="1">
        <f t="array" ref="O172">IFERROR(AVERAGE(IF((ContinuousStatsTable[GroupByKey]=ContinuousStatsTable[[#This Row],[GroupByKey]]),(ContinuousStatsTable[GroupByKey]=ContinuousStatsTable[[#This Row],[GroupByKey]])*ContinuousStatsTable[Average])),0)</f>
        <v>1</v>
      </c>
      <c r="P172" s="5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0</v>
      </c>
      <c r="Q172" s="5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2" s="5" cm="1">
        <f t="array" ref="S172">MIN(IF((ContinuousStatsTable[GroupByKey]=ContinuousStatsTable[[#This Row],[GroupByKey]]),(ContinuousStatsTable[GroupByKey]=ContinuousStatsTable[[#This Row],[GroupByKey]])*ContinuousStatsTable[Average]))</f>
        <v>1</v>
      </c>
      <c r="T172" s="5" cm="1">
        <f t="array" ref="T172">MAX(IF((ContinuousStatsTable[GroupByKey]=ContinuousStatsTable[[#This Row],[GroupByKey]]),(ContinuousStatsTable[GroupByKey]=ContinuousStatsTable[[#This Row],[GroupByKey]])*ContinuousStatsTable[Average]))</f>
        <v>1</v>
      </c>
      <c r="U172" s="5">
        <f>IF((ContinuousStatsTable[[#This Row],[RepsRequested]]&gt;1),ContinuousStatsTable[[#This Row],[HalfWidth]],ContinuousStatsTable[[#This Row],[BatchMeansHalfWidth]])</f>
        <v>0</v>
      </c>
    </row>
    <row r="173" spans="1:21" x14ac:dyDescent="0.25">
      <c r="A173" t="s">
        <v>68</v>
      </c>
      <c r="B173" t="s">
        <v>70</v>
      </c>
      <c r="C173">
        <v>20</v>
      </c>
      <c r="D173" t="s">
        <v>71</v>
      </c>
      <c r="E173" t="s">
        <v>91</v>
      </c>
      <c r="F173" t="s">
        <v>73</v>
      </c>
      <c r="G173">
        <v>2.84655196697393E-2</v>
      </c>
      <c r="H173">
        <v>2E+20</v>
      </c>
      <c r="I173">
        <v>0</v>
      </c>
      <c r="J173">
        <v>1</v>
      </c>
      <c r="K173">
        <v>0</v>
      </c>
      <c r="L173">
        <v>0</v>
      </c>
      <c r="M173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173" s="5" cm="1">
        <f t="array" ref="N173">MAX(IF((ProjectInfoTable[ProjectName]=ContinuousStatsTable[[#This Row],[ProjectName]]),(ProjectInfoTable[ProjectName]=ContinuousStatsTable[[#This Row],[ProjectName]])*ProjectInfoTable[NumberOfReplications]))</f>
        <v>27</v>
      </c>
      <c r="O173" s="5" cm="1">
        <f t="array" ref="O173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173" s="5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173" s="5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173" s="5" cm="1">
        <f t="array" ref="S173">MIN(IF((ContinuousStatsTable[GroupByKey]=ContinuousStatsTable[[#This Row],[GroupByKey]]),(ContinuousStatsTable[GroupByKey]=ContinuousStatsTable[[#This Row],[GroupByKey]])*ContinuousStatsTable[Average]))</f>
        <v>0</v>
      </c>
      <c r="T173" s="5" cm="1">
        <f t="array" ref="T173">MAX(IF((ContinuousStatsTable[GroupByKey]=ContinuousStatsTable[[#This Row],[GroupByKey]]),(ContinuousStatsTable[GroupByKey]=ContinuousStatsTable[[#This Row],[GroupByKey]])*ContinuousStatsTable[Average]))</f>
        <v>0.128719646283251</v>
      </c>
      <c r="U173" s="5">
        <f>IF((ContinuousStatsTable[[#This Row],[RepsRequested]]&gt;1),ContinuousStatsTable[[#This Row],[HalfWidth]],ContinuousStatsTable[[#This Row],[BatchMeansHalfWidth]])</f>
        <v>1.3314003381859424E-2</v>
      </c>
    </row>
    <row r="174" spans="1:21" x14ac:dyDescent="0.25">
      <c r="A174" t="s">
        <v>68</v>
      </c>
      <c r="B174" t="s">
        <v>70</v>
      </c>
      <c r="C174">
        <v>20</v>
      </c>
      <c r="D174" t="s">
        <v>79</v>
      </c>
      <c r="E174" t="s">
        <v>92</v>
      </c>
      <c r="F174" t="s">
        <v>81</v>
      </c>
      <c r="G174">
        <v>0</v>
      </c>
      <c r="H174">
        <v>2E+20</v>
      </c>
      <c r="I174">
        <v>0</v>
      </c>
      <c r="J174">
        <v>0</v>
      </c>
      <c r="K174">
        <v>0</v>
      </c>
      <c r="L174">
        <v>0</v>
      </c>
      <c r="M174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174" s="5" cm="1">
        <f t="array" ref="N174">MAX(IF((ProjectInfoTable[ProjectName]=ContinuousStatsTable[[#This Row],[ProjectName]]),(ProjectInfoTable[ProjectName]=ContinuousStatsTable[[#This Row],[ProjectName]])*ProjectInfoTable[NumberOfReplications]))</f>
        <v>27</v>
      </c>
      <c r="O174" s="5" cm="1">
        <f t="array" ref="O174">IFERROR(AVERAGE(IF((ContinuousStatsTable[GroupByKey]=ContinuousStatsTable[[#This Row],[GroupByKey]]),(ContinuousStatsTable[GroupByKey]=ContinuousStatsTable[[#This Row],[GroupByKey]])*ContinuousStatsTable[Average])),0)</f>
        <v>0</v>
      </c>
      <c r="P174" s="5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0</v>
      </c>
      <c r="Q174" s="5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4" s="5" cm="1">
        <f t="array" ref="S174">MIN(IF((ContinuousStatsTable[GroupByKey]=ContinuousStatsTable[[#This Row],[GroupByKey]]),(ContinuousStatsTable[GroupByKey]=ContinuousStatsTable[[#This Row],[GroupByKey]])*ContinuousStatsTable[Average]))</f>
        <v>0</v>
      </c>
      <c r="T174" s="5" cm="1">
        <f t="array" ref="T174">MAX(IF((ContinuousStatsTable[GroupByKey]=ContinuousStatsTable[[#This Row],[GroupByKey]]),(ContinuousStatsTable[GroupByKey]=ContinuousStatsTable[[#This Row],[GroupByKey]])*ContinuousStatsTable[Average]))</f>
        <v>0</v>
      </c>
      <c r="U174" s="5">
        <f>IF((ContinuousStatsTable[[#This Row],[RepsRequested]]&gt;1),ContinuousStatsTable[[#This Row],[HalfWidth]],ContinuousStatsTable[[#This Row],[BatchMeansHalfWidth]])</f>
        <v>0</v>
      </c>
    </row>
    <row r="175" spans="1:21" x14ac:dyDescent="0.25">
      <c r="A175" t="s">
        <v>68</v>
      </c>
      <c r="B175" t="s">
        <v>70</v>
      </c>
      <c r="C175">
        <v>20</v>
      </c>
      <c r="D175" t="s">
        <v>90</v>
      </c>
      <c r="E175" t="s">
        <v>92</v>
      </c>
      <c r="F175" t="s">
        <v>81</v>
      </c>
      <c r="G175">
        <v>0</v>
      </c>
      <c r="H175">
        <v>2E+20</v>
      </c>
      <c r="I175">
        <v>0</v>
      </c>
      <c r="J175">
        <v>0</v>
      </c>
      <c r="K175">
        <v>0</v>
      </c>
      <c r="L175">
        <v>0</v>
      </c>
      <c r="M175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175" s="5" cm="1">
        <f t="array" ref="N175">MAX(IF((ProjectInfoTable[ProjectName]=ContinuousStatsTable[[#This Row],[ProjectName]]),(ProjectInfoTable[ProjectName]=ContinuousStatsTable[[#This Row],[ProjectName]])*ProjectInfoTable[NumberOfReplications]))</f>
        <v>27</v>
      </c>
      <c r="O175" s="5" cm="1">
        <f t="array" ref="O175">IFERROR(AVERAGE(IF((ContinuousStatsTable[GroupByKey]=ContinuousStatsTable[[#This Row],[GroupByKey]]),(ContinuousStatsTable[GroupByKey]=ContinuousStatsTable[[#This Row],[GroupByKey]])*ContinuousStatsTable[Average])),0)</f>
        <v>0</v>
      </c>
      <c r="P175" s="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0</v>
      </c>
      <c r="Q175" s="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5" s="5" cm="1">
        <f t="array" ref="S175">MIN(IF((ContinuousStatsTable[GroupByKey]=ContinuousStatsTable[[#This Row],[GroupByKey]]),(ContinuousStatsTable[GroupByKey]=ContinuousStatsTable[[#This Row],[GroupByKey]])*ContinuousStatsTable[Average]))</f>
        <v>0</v>
      </c>
      <c r="T175" s="5" cm="1">
        <f t="array" ref="T175">MAX(IF((ContinuousStatsTable[GroupByKey]=ContinuousStatsTable[[#This Row],[GroupByKey]]),(ContinuousStatsTable[GroupByKey]=ContinuousStatsTable[[#This Row],[GroupByKey]])*ContinuousStatsTable[Average]))</f>
        <v>0</v>
      </c>
      <c r="U175" s="5">
        <f>IF((ContinuousStatsTable[[#This Row],[RepsRequested]]&gt;1),ContinuousStatsTable[[#This Row],[HalfWidth]],ContinuousStatsTable[[#This Row],[BatchMeansHalfWidth]])</f>
        <v>0</v>
      </c>
    </row>
    <row r="176" spans="1:21" x14ac:dyDescent="0.25">
      <c r="A176" t="s">
        <v>68</v>
      </c>
      <c r="B176" t="s">
        <v>70</v>
      </c>
      <c r="C176">
        <v>20</v>
      </c>
      <c r="D176" t="s">
        <v>93</v>
      </c>
      <c r="E176" t="s">
        <v>94</v>
      </c>
      <c r="F176" t="s">
        <v>95</v>
      </c>
      <c r="G176">
        <v>9.4885065565797604E-3</v>
      </c>
      <c r="H176">
        <v>2E+20</v>
      </c>
      <c r="I176">
        <v>0</v>
      </c>
      <c r="J176">
        <v>0.33333333333333298</v>
      </c>
      <c r="K176">
        <v>0</v>
      </c>
      <c r="L176">
        <v>0</v>
      </c>
      <c r="M176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176" s="5" cm="1">
        <f t="array" ref="N176">MAX(IF((ProjectInfoTable[ProjectName]=ContinuousStatsTable[[#This Row],[ProjectName]]),(ProjectInfoTable[ProjectName]=ContinuousStatsTable[[#This Row],[ProjectName]])*ProjectInfoTable[NumberOfReplications]))</f>
        <v>27</v>
      </c>
      <c r="O176" s="5" cm="1">
        <f t="array" ref="O176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176" s="5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176" s="5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176" s="5" cm="1">
        <f t="array" ref="S176">MIN(IF((ContinuousStatsTable[GroupByKey]=ContinuousStatsTable[[#This Row],[GroupByKey]]),(ContinuousStatsTable[GroupByKey]=ContinuousStatsTable[[#This Row],[GroupByKey]])*ContinuousStatsTable[Average]))</f>
        <v>0</v>
      </c>
      <c r="T176" s="5" cm="1">
        <f t="array" ref="T176">MAX(IF((ContinuousStatsTable[GroupByKey]=ContinuousStatsTable[[#This Row],[GroupByKey]]),(ContinuousStatsTable[GroupByKey]=ContinuousStatsTable[[#This Row],[GroupByKey]])*ContinuousStatsTable[Average]))</f>
        <v>4.2906548761083699E-2</v>
      </c>
      <c r="U176" s="5">
        <f>IF((ContinuousStatsTable[[#This Row],[RepsRequested]]&gt;1),ContinuousStatsTable[[#This Row],[HalfWidth]],ContinuousStatsTable[[#This Row],[BatchMeansHalfWidth]])</f>
        <v>4.4010751425322646E-3</v>
      </c>
    </row>
    <row r="177" spans="1:21" x14ac:dyDescent="0.25">
      <c r="A177" t="s">
        <v>68</v>
      </c>
      <c r="B177" t="s">
        <v>70</v>
      </c>
      <c r="C177">
        <v>20</v>
      </c>
      <c r="D177" t="s">
        <v>93</v>
      </c>
      <c r="E177" t="s">
        <v>96</v>
      </c>
      <c r="F177" t="s">
        <v>95</v>
      </c>
      <c r="G177">
        <v>2.84655196697393E-2</v>
      </c>
      <c r="H177">
        <v>2E+20</v>
      </c>
      <c r="I177">
        <v>0</v>
      </c>
      <c r="J177">
        <v>1</v>
      </c>
      <c r="K177">
        <v>0</v>
      </c>
      <c r="L177">
        <v>0</v>
      </c>
      <c r="M177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177" s="5" cm="1">
        <f t="array" ref="N177">MAX(IF((ProjectInfoTable[ProjectName]=ContinuousStatsTable[[#This Row],[ProjectName]]),(ProjectInfoTable[ProjectName]=ContinuousStatsTable[[#This Row],[ProjectName]])*ProjectInfoTable[NumberOfReplications]))</f>
        <v>27</v>
      </c>
      <c r="O177" s="5" cm="1">
        <f t="array" ref="O177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177" s="5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177" s="5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177" s="5" cm="1">
        <f t="array" ref="S177">MIN(IF((ContinuousStatsTable[GroupByKey]=ContinuousStatsTable[[#This Row],[GroupByKey]]),(ContinuousStatsTable[GroupByKey]=ContinuousStatsTable[[#This Row],[GroupByKey]])*ContinuousStatsTable[Average]))</f>
        <v>0</v>
      </c>
      <c r="T177" s="5" cm="1">
        <f t="array" ref="T177">MAX(IF((ContinuousStatsTable[GroupByKey]=ContinuousStatsTable[[#This Row],[GroupByKey]]),(ContinuousStatsTable[GroupByKey]=ContinuousStatsTable[[#This Row],[GroupByKey]])*ContinuousStatsTable[Average]))</f>
        <v>0.128719646283251</v>
      </c>
      <c r="U177" s="5">
        <f>IF((ContinuousStatsTable[[#This Row],[RepsRequested]]&gt;1),ContinuousStatsTable[[#This Row],[HalfWidth]],ContinuousStatsTable[[#This Row],[BatchMeansHalfWidth]])</f>
        <v>1.3203225427596797E-2</v>
      </c>
    </row>
    <row r="178" spans="1:21" x14ac:dyDescent="0.25">
      <c r="A178" t="s">
        <v>68</v>
      </c>
      <c r="B178" t="s">
        <v>70</v>
      </c>
      <c r="C178">
        <v>20</v>
      </c>
      <c r="D178" t="s">
        <v>93</v>
      </c>
      <c r="E178" t="s">
        <v>97</v>
      </c>
      <c r="F178" t="s">
        <v>95</v>
      </c>
      <c r="G178">
        <v>3</v>
      </c>
      <c r="H178">
        <v>2E+20</v>
      </c>
      <c r="I178">
        <v>3</v>
      </c>
      <c r="J178">
        <v>3</v>
      </c>
      <c r="K178">
        <v>3</v>
      </c>
      <c r="L178">
        <v>0</v>
      </c>
      <c r="M178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178" s="5" cm="1">
        <f t="array" ref="N178">MAX(IF((ProjectInfoTable[ProjectName]=ContinuousStatsTable[[#This Row],[ProjectName]]),(ProjectInfoTable[ProjectName]=ContinuousStatsTable[[#This Row],[ProjectName]])*ProjectInfoTable[NumberOfReplications]))</f>
        <v>27</v>
      </c>
      <c r="O178" s="5" cm="1">
        <f t="array" ref="O178">IFERROR(AVERAGE(IF((ContinuousStatsTable[GroupByKey]=ContinuousStatsTable[[#This Row],[GroupByKey]]),(ContinuousStatsTable[GroupByKey]=ContinuousStatsTable[[#This Row],[GroupByKey]])*ContinuousStatsTable[Average])),0)</f>
        <v>3</v>
      </c>
      <c r="P178" s="5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0</v>
      </c>
      <c r="Q178" s="5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8" s="5" cm="1">
        <f t="array" ref="S178">MIN(IF((ContinuousStatsTable[GroupByKey]=ContinuousStatsTable[[#This Row],[GroupByKey]]),(ContinuousStatsTable[GroupByKey]=ContinuousStatsTable[[#This Row],[GroupByKey]])*ContinuousStatsTable[Average]))</f>
        <v>3</v>
      </c>
      <c r="T178" s="5" cm="1">
        <f t="array" ref="T178">MAX(IF((ContinuousStatsTable[GroupByKey]=ContinuousStatsTable[[#This Row],[GroupByKey]]),(ContinuousStatsTable[GroupByKey]=ContinuousStatsTable[[#This Row],[GroupByKey]])*ContinuousStatsTable[Average]))</f>
        <v>3</v>
      </c>
      <c r="U178" s="5">
        <f>IF((ContinuousStatsTable[[#This Row],[RepsRequested]]&gt;1),ContinuousStatsTable[[#This Row],[HalfWidth]],ContinuousStatsTable[[#This Row],[BatchMeansHalfWidth]])</f>
        <v>0</v>
      </c>
    </row>
    <row r="179" spans="1:21" x14ac:dyDescent="0.25">
      <c r="A179" t="s">
        <v>68</v>
      </c>
      <c r="B179" t="s">
        <v>70</v>
      </c>
      <c r="C179">
        <v>20</v>
      </c>
      <c r="D179" t="s">
        <v>98</v>
      </c>
      <c r="E179" t="s">
        <v>94</v>
      </c>
      <c r="F179" t="s">
        <v>95</v>
      </c>
      <c r="G179">
        <v>0</v>
      </c>
      <c r="H179">
        <v>2E+20</v>
      </c>
      <c r="I179">
        <v>0</v>
      </c>
      <c r="J179">
        <v>0</v>
      </c>
      <c r="K179">
        <v>0</v>
      </c>
      <c r="L179">
        <v>0</v>
      </c>
      <c r="M179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179" s="5" cm="1">
        <f t="array" ref="N179">MAX(IF((ProjectInfoTable[ProjectName]=ContinuousStatsTable[[#This Row],[ProjectName]]),(ProjectInfoTable[ProjectName]=ContinuousStatsTable[[#This Row],[ProjectName]])*ProjectInfoTable[NumberOfReplications]))</f>
        <v>27</v>
      </c>
      <c r="O179" s="5" cm="1">
        <f t="array" ref="O179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179" s="5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179" s="5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179" s="5" cm="1">
        <f t="array" ref="S179">MIN(IF((ContinuousStatsTable[GroupByKey]=ContinuousStatsTable[[#This Row],[GroupByKey]]),(ContinuousStatsTable[GroupByKey]=ContinuousStatsTable[[#This Row],[GroupByKey]])*ContinuousStatsTable[Average]))</f>
        <v>0</v>
      </c>
      <c r="T179" s="5" cm="1">
        <f t="array" ref="T179">MAX(IF((ContinuousStatsTable[GroupByKey]=ContinuousStatsTable[[#This Row],[GroupByKey]]),(ContinuousStatsTable[GroupByKey]=ContinuousStatsTable[[#This Row],[GroupByKey]])*ContinuousStatsTable[Average]))</f>
        <v>4.2820889862359999E-3</v>
      </c>
      <c r="U179" s="5">
        <f>IF((ContinuousStatsTable[[#This Row],[RepsRequested]]&gt;1),ContinuousStatsTable[[#This Row],[HalfWidth]],ContinuousStatsTable[[#This Row],[BatchMeansHalfWidth]])</f>
        <v>3.2599851741098198E-4</v>
      </c>
    </row>
    <row r="180" spans="1:21" x14ac:dyDescent="0.25">
      <c r="A180" t="s">
        <v>68</v>
      </c>
      <c r="B180" t="s">
        <v>70</v>
      </c>
      <c r="C180">
        <v>20</v>
      </c>
      <c r="D180" t="s">
        <v>98</v>
      </c>
      <c r="E180" t="s">
        <v>96</v>
      </c>
      <c r="F180" t="s">
        <v>95</v>
      </c>
      <c r="G180">
        <v>0</v>
      </c>
      <c r="H180">
        <v>2E+20</v>
      </c>
      <c r="I180">
        <v>0</v>
      </c>
      <c r="J180">
        <v>0</v>
      </c>
      <c r="K180">
        <v>0</v>
      </c>
      <c r="L180">
        <v>0</v>
      </c>
      <c r="M180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180" s="5" cm="1">
        <f t="array" ref="N180">MAX(IF((ProjectInfoTable[ProjectName]=ContinuousStatsTable[[#This Row],[ProjectName]]),(ProjectInfoTable[ProjectName]=ContinuousStatsTable[[#This Row],[ProjectName]])*ProjectInfoTable[NumberOfReplications]))</f>
        <v>27</v>
      </c>
      <c r="O180" s="5" cm="1">
        <f t="array" ref="O180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180" s="5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180" s="5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180" s="5" cm="1">
        <f t="array" ref="S180">MIN(IF((ContinuousStatsTable[GroupByKey]=ContinuousStatsTable[[#This Row],[GroupByKey]]),(ContinuousStatsTable[GroupByKey]=ContinuousStatsTable[[#This Row],[GroupByKey]])*ContinuousStatsTable[Average]))</f>
        <v>0</v>
      </c>
      <c r="T180" s="5" cm="1">
        <f t="array" ref="T180">MAX(IF((ContinuousStatsTable[GroupByKey]=ContinuousStatsTable[[#This Row],[GroupByKey]]),(ContinuousStatsTable[GroupByKey]=ContinuousStatsTable[[#This Row],[GroupByKey]])*ContinuousStatsTable[Average]))</f>
        <v>4.2820889862359999E-3</v>
      </c>
      <c r="U180" s="5">
        <f>IF((ContinuousStatsTable[[#This Row],[RepsRequested]]&gt;1),ContinuousStatsTable[[#This Row],[HalfWidth]],ContinuousStatsTable[[#This Row],[BatchMeansHalfWidth]])</f>
        <v>3.2599851741098198E-4</v>
      </c>
    </row>
    <row r="181" spans="1:21" x14ac:dyDescent="0.25">
      <c r="A181" t="s">
        <v>68</v>
      </c>
      <c r="B181" t="s">
        <v>70</v>
      </c>
      <c r="C181">
        <v>20</v>
      </c>
      <c r="D181" t="s">
        <v>98</v>
      </c>
      <c r="E181" t="s">
        <v>97</v>
      </c>
      <c r="F181" t="s">
        <v>95</v>
      </c>
      <c r="G181">
        <v>1</v>
      </c>
      <c r="H181">
        <v>2E+20</v>
      </c>
      <c r="I181">
        <v>1</v>
      </c>
      <c r="J181">
        <v>1</v>
      </c>
      <c r="K181">
        <v>1</v>
      </c>
      <c r="L181">
        <v>0</v>
      </c>
      <c r="M181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181" s="5" cm="1">
        <f t="array" ref="N181">MAX(IF((ProjectInfoTable[ProjectName]=ContinuousStatsTable[[#This Row],[ProjectName]]),(ProjectInfoTable[ProjectName]=ContinuousStatsTable[[#This Row],[ProjectName]])*ProjectInfoTable[NumberOfReplications]))</f>
        <v>27</v>
      </c>
      <c r="O181" s="5" cm="1">
        <f t="array" ref="O181">IFERROR(AVERAGE(IF((ContinuousStatsTable[GroupByKey]=ContinuousStatsTable[[#This Row],[GroupByKey]]),(ContinuousStatsTable[GroupByKey]=ContinuousStatsTable[[#This Row],[GroupByKey]])*ContinuousStatsTable[Average])),0)</f>
        <v>1</v>
      </c>
      <c r="P181" s="5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0</v>
      </c>
      <c r="Q181" s="5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1" s="5" cm="1">
        <f t="array" ref="S181">MIN(IF((ContinuousStatsTable[GroupByKey]=ContinuousStatsTable[[#This Row],[GroupByKey]]),(ContinuousStatsTable[GroupByKey]=ContinuousStatsTable[[#This Row],[GroupByKey]])*ContinuousStatsTable[Average]))</f>
        <v>1</v>
      </c>
      <c r="T181" s="5" cm="1">
        <f t="array" ref="T181">MAX(IF((ContinuousStatsTable[GroupByKey]=ContinuousStatsTable[[#This Row],[GroupByKey]]),(ContinuousStatsTable[GroupByKey]=ContinuousStatsTable[[#This Row],[GroupByKey]])*ContinuousStatsTable[Average]))</f>
        <v>1</v>
      </c>
      <c r="U181" s="5">
        <f>IF((ContinuousStatsTable[[#This Row],[RepsRequested]]&gt;1),ContinuousStatsTable[[#This Row],[HalfWidth]],ContinuousStatsTable[[#This Row],[BatchMeansHalfWidth]])</f>
        <v>0</v>
      </c>
    </row>
    <row r="182" spans="1:21" x14ac:dyDescent="0.25">
      <c r="A182" t="s">
        <v>68</v>
      </c>
      <c r="B182" t="s">
        <v>70</v>
      </c>
      <c r="C182">
        <v>21</v>
      </c>
      <c r="D182" t="s">
        <v>71</v>
      </c>
      <c r="E182" t="s">
        <v>91</v>
      </c>
      <c r="F182" t="s">
        <v>73</v>
      </c>
      <c r="G182">
        <v>2.7626319063832401E-2</v>
      </c>
      <c r="H182">
        <v>2E+20</v>
      </c>
      <c r="I182">
        <v>0</v>
      </c>
      <c r="J182">
        <v>1</v>
      </c>
      <c r="K182">
        <v>0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27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0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0.128719646283251</v>
      </c>
      <c r="U182" s="5">
        <f>IF((ContinuousStatsTable[[#This Row],[RepsRequested]]&gt;1),ContinuousStatsTable[[#This Row],[HalfWidth]],ContinuousStatsTable[[#This Row],[BatchMeansHalfWidth]])</f>
        <v>1.3314003381859424E-2</v>
      </c>
    </row>
    <row r="183" spans="1:21" x14ac:dyDescent="0.25">
      <c r="A183" t="s">
        <v>68</v>
      </c>
      <c r="B183" t="s">
        <v>70</v>
      </c>
      <c r="C183">
        <v>21</v>
      </c>
      <c r="D183" t="s">
        <v>79</v>
      </c>
      <c r="E183" t="s">
        <v>92</v>
      </c>
      <c r="F183" t="s">
        <v>81</v>
      </c>
      <c r="G183">
        <v>0</v>
      </c>
      <c r="H183">
        <v>2E+20</v>
      </c>
      <c r="I183">
        <v>0</v>
      </c>
      <c r="J183">
        <v>0</v>
      </c>
      <c r="K183">
        <v>0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27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0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0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0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0</v>
      </c>
      <c r="U183" s="5">
        <f>IF((ContinuousStatsTable[[#This Row],[RepsRequested]]&gt;1),ContinuousStatsTable[[#This Row],[HalfWidth]],ContinuousStatsTable[[#This Row],[BatchMeansHalfWidth]])</f>
        <v>0</v>
      </c>
    </row>
    <row r="184" spans="1:21" x14ac:dyDescent="0.25">
      <c r="A184" t="s">
        <v>68</v>
      </c>
      <c r="B184" t="s">
        <v>70</v>
      </c>
      <c r="C184">
        <v>21</v>
      </c>
      <c r="D184" t="s">
        <v>90</v>
      </c>
      <c r="E184" t="s">
        <v>92</v>
      </c>
      <c r="F184" t="s">
        <v>81</v>
      </c>
      <c r="G184">
        <v>0</v>
      </c>
      <c r="H184">
        <v>2E+20</v>
      </c>
      <c r="I184">
        <v>0</v>
      </c>
      <c r="J184">
        <v>0</v>
      </c>
      <c r="K184">
        <v>0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27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0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0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0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0</v>
      </c>
      <c r="U184" s="5">
        <f>IF((ContinuousStatsTable[[#This Row],[RepsRequested]]&gt;1),ContinuousStatsTable[[#This Row],[HalfWidth]],ContinuousStatsTable[[#This Row],[BatchMeansHalfWidth]])</f>
        <v>0</v>
      </c>
    </row>
    <row r="185" spans="1:21" x14ac:dyDescent="0.25">
      <c r="A185" t="s">
        <v>68</v>
      </c>
      <c r="B185" t="s">
        <v>70</v>
      </c>
      <c r="C185">
        <v>21</v>
      </c>
      <c r="D185" t="s">
        <v>93</v>
      </c>
      <c r="E185" t="s">
        <v>94</v>
      </c>
      <c r="F185" t="s">
        <v>95</v>
      </c>
      <c r="G185">
        <v>9.2087730212774797E-3</v>
      </c>
      <c r="H185">
        <v>2E+20</v>
      </c>
      <c r="I185">
        <v>0</v>
      </c>
      <c r="J185">
        <v>0.33333333333333298</v>
      </c>
      <c r="K185">
        <v>0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27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0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4.2906548761083699E-2</v>
      </c>
      <c r="U185" s="5">
        <f>IF((ContinuousStatsTable[[#This Row],[RepsRequested]]&gt;1),ContinuousStatsTable[[#This Row],[HalfWidth]],ContinuousStatsTable[[#This Row],[BatchMeansHalfWidth]])</f>
        <v>4.4010751425322646E-3</v>
      </c>
    </row>
    <row r="186" spans="1:21" x14ac:dyDescent="0.25">
      <c r="A186" t="s">
        <v>68</v>
      </c>
      <c r="B186" t="s">
        <v>70</v>
      </c>
      <c r="C186">
        <v>21</v>
      </c>
      <c r="D186" t="s">
        <v>93</v>
      </c>
      <c r="E186" t="s">
        <v>96</v>
      </c>
      <c r="F186" t="s">
        <v>95</v>
      </c>
      <c r="G186">
        <v>2.7626319063832401E-2</v>
      </c>
      <c r="H186">
        <v>2E+20</v>
      </c>
      <c r="I186">
        <v>0</v>
      </c>
      <c r="J186">
        <v>1</v>
      </c>
      <c r="K186">
        <v>0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27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0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0.128719646283251</v>
      </c>
      <c r="U186" s="5">
        <f>IF((ContinuousStatsTable[[#This Row],[RepsRequested]]&gt;1),ContinuousStatsTable[[#This Row],[HalfWidth]],ContinuousStatsTable[[#This Row],[BatchMeansHalfWidth]])</f>
        <v>1.3203225427596797E-2</v>
      </c>
    </row>
    <row r="187" spans="1:21" x14ac:dyDescent="0.25">
      <c r="A187" t="s">
        <v>68</v>
      </c>
      <c r="B187" t="s">
        <v>70</v>
      </c>
      <c r="C187">
        <v>21</v>
      </c>
      <c r="D187" t="s">
        <v>93</v>
      </c>
      <c r="E187" t="s">
        <v>97</v>
      </c>
      <c r="F187" t="s">
        <v>95</v>
      </c>
      <c r="G187">
        <v>3</v>
      </c>
      <c r="H187">
        <v>2E+20</v>
      </c>
      <c r="I187">
        <v>3</v>
      </c>
      <c r="J187">
        <v>3</v>
      </c>
      <c r="K187">
        <v>3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27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3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0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3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3</v>
      </c>
      <c r="U187" s="5">
        <f>IF((ContinuousStatsTable[[#This Row],[RepsRequested]]&gt;1),ContinuousStatsTable[[#This Row],[HalfWidth]],ContinuousStatsTable[[#This Row],[BatchMeansHalfWidth]])</f>
        <v>0</v>
      </c>
    </row>
    <row r="188" spans="1:21" x14ac:dyDescent="0.25">
      <c r="A188" t="s">
        <v>68</v>
      </c>
      <c r="B188" t="s">
        <v>70</v>
      </c>
      <c r="C188">
        <v>21</v>
      </c>
      <c r="D188" t="s">
        <v>98</v>
      </c>
      <c r="E188" t="s">
        <v>94</v>
      </c>
      <c r="F188" t="s">
        <v>95</v>
      </c>
      <c r="G188">
        <v>0</v>
      </c>
      <c r="H188">
        <v>2E+20</v>
      </c>
      <c r="I188">
        <v>0</v>
      </c>
      <c r="J188">
        <v>0</v>
      </c>
      <c r="K188">
        <v>0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27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0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4.2820889862359999E-3</v>
      </c>
      <c r="U188" s="5">
        <f>IF((ContinuousStatsTable[[#This Row],[RepsRequested]]&gt;1),ContinuousStatsTable[[#This Row],[HalfWidth]],ContinuousStatsTable[[#This Row],[BatchMeansHalfWidth]])</f>
        <v>3.2599851741098198E-4</v>
      </c>
    </row>
    <row r="189" spans="1:21" x14ac:dyDescent="0.25">
      <c r="A189" t="s">
        <v>68</v>
      </c>
      <c r="B189" t="s">
        <v>70</v>
      </c>
      <c r="C189">
        <v>21</v>
      </c>
      <c r="D189" t="s">
        <v>98</v>
      </c>
      <c r="E189" t="s">
        <v>96</v>
      </c>
      <c r="F189" t="s">
        <v>95</v>
      </c>
      <c r="G189">
        <v>0</v>
      </c>
      <c r="H189">
        <v>2E+20</v>
      </c>
      <c r="I189">
        <v>0</v>
      </c>
      <c r="J189">
        <v>0</v>
      </c>
      <c r="K189">
        <v>0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27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0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4.2820889862359999E-3</v>
      </c>
      <c r="U189" s="5">
        <f>IF((ContinuousStatsTable[[#This Row],[RepsRequested]]&gt;1),ContinuousStatsTable[[#This Row],[HalfWidth]],ContinuousStatsTable[[#This Row],[BatchMeansHalfWidth]])</f>
        <v>3.2599851741098198E-4</v>
      </c>
    </row>
    <row r="190" spans="1:21" x14ac:dyDescent="0.25">
      <c r="A190" t="s">
        <v>68</v>
      </c>
      <c r="B190" t="s">
        <v>70</v>
      </c>
      <c r="C190">
        <v>21</v>
      </c>
      <c r="D190" t="s">
        <v>98</v>
      </c>
      <c r="E190" t="s">
        <v>97</v>
      </c>
      <c r="F190" t="s">
        <v>95</v>
      </c>
      <c r="G190">
        <v>1</v>
      </c>
      <c r="H190">
        <v>2E+20</v>
      </c>
      <c r="I190">
        <v>1</v>
      </c>
      <c r="J190">
        <v>1</v>
      </c>
      <c r="K190">
        <v>1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27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1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0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1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1</v>
      </c>
      <c r="U190" s="5">
        <f>IF((ContinuousStatsTable[[#This Row],[RepsRequested]]&gt;1),ContinuousStatsTable[[#This Row],[HalfWidth]],ContinuousStatsTable[[#This Row],[BatchMeansHalfWidth]])</f>
        <v>0</v>
      </c>
    </row>
    <row r="191" spans="1:21" x14ac:dyDescent="0.25">
      <c r="A191" t="s">
        <v>68</v>
      </c>
      <c r="B191" t="s">
        <v>70</v>
      </c>
      <c r="C191">
        <v>22</v>
      </c>
      <c r="D191" t="s">
        <v>71</v>
      </c>
      <c r="E191" t="s">
        <v>91</v>
      </c>
      <c r="F191" t="s">
        <v>73</v>
      </c>
      <c r="G191">
        <v>1.10830070778114E-2</v>
      </c>
      <c r="H191">
        <v>2E+20</v>
      </c>
      <c r="I191">
        <v>0</v>
      </c>
      <c r="J191">
        <v>1</v>
      </c>
      <c r="K191">
        <v>1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27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0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0.128719646283251</v>
      </c>
      <c r="U191" s="5">
        <f>IF((ContinuousStatsTable[[#This Row],[RepsRequested]]&gt;1),ContinuousStatsTable[[#This Row],[HalfWidth]],ContinuousStatsTable[[#This Row],[BatchMeansHalfWidth]])</f>
        <v>1.3314003381859424E-2</v>
      </c>
    </row>
    <row r="192" spans="1:21" x14ac:dyDescent="0.25">
      <c r="A192" t="s">
        <v>68</v>
      </c>
      <c r="B192" t="s">
        <v>70</v>
      </c>
      <c r="C192">
        <v>22</v>
      </c>
      <c r="D192" t="s">
        <v>79</v>
      </c>
      <c r="E192" t="s">
        <v>92</v>
      </c>
      <c r="F192" t="s">
        <v>81</v>
      </c>
      <c r="G192">
        <v>0</v>
      </c>
      <c r="H192">
        <v>2E+20</v>
      </c>
      <c r="I192">
        <v>0</v>
      </c>
      <c r="J192">
        <v>0</v>
      </c>
      <c r="K192">
        <v>0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27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0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0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0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0</v>
      </c>
      <c r="U192" s="5">
        <f>IF((ContinuousStatsTable[[#This Row],[RepsRequested]]&gt;1),ContinuousStatsTable[[#This Row],[HalfWidth]],ContinuousStatsTable[[#This Row],[BatchMeansHalfWidth]])</f>
        <v>0</v>
      </c>
    </row>
    <row r="193" spans="1:21" x14ac:dyDescent="0.25">
      <c r="A193" t="s">
        <v>68</v>
      </c>
      <c r="B193" t="s">
        <v>70</v>
      </c>
      <c r="C193">
        <v>22</v>
      </c>
      <c r="D193" t="s">
        <v>90</v>
      </c>
      <c r="E193" t="s">
        <v>92</v>
      </c>
      <c r="F193" t="s">
        <v>81</v>
      </c>
      <c r="G193">
        <v>0</v>
      </c>
      <c r="H193">
        <v>2E+20</v>
      </c>
      <c r="I193">
        <v>0</v>
      </c>
      <c r="J193">
        <v>0</v>
      </c>
      <c r="K193">
        <v>0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27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0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0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0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0</v>
      </c>
      <c r="U193" s="5">
        <f>IF((ContinuousStatsTable[[#This Row],[RepsRequested]]&gt;1),ContinuousStatsTable[[#This Row],[HalfWidth]],ContinuousStatsTable[[#This Row],[BatchMeansHalfWidth]])</f>
        <v>0</v>
      </c>
    </row>
    <row r="194" spans="1:21" x14ac:dyDescent="0.25">
      <c r="A194" t="s">
        <v>68</v>
      </c>
      <c r="B194" t="s">
        <v>70</v>
      </c>
      <c r="C194">
        <v>22</v>
      </c>
      <c r="D194" t="s">
        <v>93</v>
      </c>
      <c r="E194" t="s">
        <v>94</v>
      </c>
      <c r="F194" t="s">
        <v>95</v>
      </c>
      <c r="G194">
        <v>3.6943356926037898E-3</v>
      </c>
      <c r="H194">
        <v>2E+20</v>
      </c>
      <c r="I194">
        <v>0</v>
      </c>
      <c r="J194">
        <v>0.33333333333333298</v>
      </c>
      <c r="K194">
        <v>0.33333333333333298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27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0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4.2906548761083699E-2</v>
      </c>
      <c r="U194" s="5">
        <f>IF((ContinuousStatsTable[[#This Row],[RepsRequested]]&gt;1),ContinuousStatsTable[[#This Row],[HalfWidth]],ContinuousStatsTable[[#This Row],[BatchMeansHalfWidth]])</f>
        <v>4.4010751425322646E-3</v>
      </c>
    </row>
    <row r="195" spans="1:21" x14ac:dyDescent="0.25">
      <c r="A195" t="s">
        <v>68</v>
      </c>
      <c r="B195" t="s">
        <v>70</v>
      </c>
      <c r="C195">
        <v>22</v>
      </c>
      <c r="D195" t="s">
        <v>93</v>
      </c>
      <c r="E195" t="s">
        <v>96</v>
      </c>
      <c r="F195" t="s">
        <v>95</v>
      </c>
      <c r="G195">
        <v>1.10830070778114E-2</v>
      </c>
      <c r="H195">
        <v>2E+20</v>
      </c>
      <c r="I195">
        <v>0</v>
      </c>
      <c r="J195">
        <v>1</v>
      </c>
      <c r="K195">
        <v>1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27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0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0.128719646283251</v>
      </c>
      <c r="U195" s="5">
        <f>IF((ContinuousStatsTable[[#This Row],[RepsRequested]]&gt;1),ContinuousStatsTable[[#This Row],[HalfWidth]],ContinuousStatsTable[[#This Row],[BatchMeansHalfWidth]])</f>
        <v>1.3203225427596797E-2</v>
      </c>
    </row>
    <row r="196" spans="1:21" x14ac:dyDescent="0.25">
      <c r="A196" t="s">
        <v>68</v>
      </c>
      <c r="B196" t="s">
        <v>70</v>
      </c>
      <c r="C196">
        <v>22</v>
      </c>
      <c r="D196" t="s">
        <v>93</v>
      </c>
      <c r="E196" t="s">
        <v>97</v>
      </c>
      <c r="F196" t="s">
        <v>95</v>
      </c>
      <c r="G196">
        <v>3</v>
      </c>
      <c r="H196">
        <v>2E+20</v>
      </c>
      <c r="I196">
        <v>3</v>
      </c>
      <c r="J196">
        <v>3</v>
      </c>
      <c r="K196">
        <v>3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27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3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0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3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3</v>
      </c>
      <c r="U196" s="5">
        <f>IF((ContinuousStatsTable[[#This Row],[RepsRequested]]&gt;1),ContinuousStatsTable[[#This Row],[HalfWidth]],ContinuousStatsTable[[#This Row],[BatchMeansHalfWidth]])</f>
        <v>0</v>
      </c>
    </row>
    <row r="197" spans="1:21" x14ac:dyDescent="0.25">
      <c r="A197" t="s">
        <v>68</v>
      </c>
      <c r="B197" t="s">
        <v>70</v>
      </c>
      <c r="C197">
        <v>22</v>
      </c>
      <c r="D197" t="s">
        <v>98</v>
      </c>
      <c r="E197" t="s">
        <v>94</v>
      </c>
      <c r="F197" t="s">
        <v>95</v>
      </c>
      <c r="G197">
        <v>0</v>
      </c>
      <c r="H197">
        <v>2E+20</v>
      </c>
      <c r="I197">
        <v>0</v>
      </c>
      <c r="J197">
        <v>0</v>
      </c>
      <c r="K197">
        <v>0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27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0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4.2820889862359999E-3</v>
      </c>
      <c r="U197" s="5">
        <f>IF((ContinuousStatsTable[[#This Row],[RepsRequested]]&gt;1),ContinuousStatsTable[[#This Row],[HalfWidth]],ContinuousStatsTable[[#This Row],[BatchMeansHalfWidth]])</f>
        <v>3.2599851741098198E-4</v>
      </c>
    </row>
    <row r="198" spans="1:21" x14ac:dyDescent="0.25">
      <c r="A198" t="s">
        <v>68</v>
      </c>
      <c r="B198" t="s">
        <v>70</v>
      </c>
      <c r="C198">
        <v>22</v>
      </c>
      <c r="D198" t="s">
        <v>98</v>
      </c>
      <c r="E198" t="s">
        <v>96</v>
      </c>
      <c r="F198" t="s">
        <v>95</v>
      </c>
      <c r="G198">
        <v>0</v>
      </c>
      <c r="H198">
        <v>2E+20</v>
      </c>
      <c r="I198">
        <v>0</v>
      </c>
      <c r="J198">
        <v>0</v>
      </c>
      <c r="K198">
        <v>0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27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0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4.2820889862359999E-3</v>
      </c>
      <c r="U198" s="5">
        <f>IF((ContinuousStatsTable[[#This Row],[RepsRequested]]&gt;1),ContinuousStatsTable[[#This Row],[HalfWidth]],ContinuousStatsTable[[#This Row],[BatchMeansHalfWidth]])</f>
        <v>3.2599851741098198E-4</v>
      </c>
    </row>
    <row r="199" spans="1:21" x14ac:dyDescent="0.25">
      <c r="A199" t="s">
        <v>68</v>
      </c>
      <c r="B199" t="s">
        <v>70</v>
      </c>
      <c r="C199">
        <v>22</v>
      </c>
      <c r="D199" t="s">
        <v>98</v>
      </c>
      <c r="E199" t="s">
        <v>97</v>
      </c>
      <c r="F199" t="s">
        <v>95</v>
      </c>
      <c r="G199">
        <v>1</v>
      </c>
      <c r="H199">
        <v>2E+20</v>
      </c>
      <c r="I199">
        <v>1</v>
      </c>
      <c r="J199">
        <v>1</v>
      </c>
      <c r="K199">
        <v>1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27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1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0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1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1</v>
      </c>
      <c r="U199" s="5">
        <f>IF((ContinuousStatsTable[[#This Row],[RepsRequested]]&gt;1),ContinuousStatsTable[[#This Row],[HalfWidth]],ContinuousStatsTable[[#This Row],[BatchMeansHalfWidth]])</f>
        <v>0</v>
      </c>
    </row>
    <row r="200" spans="1:21" x14ac:dyDescent="0.25">
      <c r="A200" t="s">
        <v>68</v>
      </c>
      <c r="B200" t="s">
        <v>70</v>
      </c>
      <c r="C200">
        <v>23</v>
      </c>
      <c r="D200" t="s">
        <v>71</v>
      </c>
      <c r="E200" t="s">
        <v>91</v>
      </c>
      <c r="F200" t="s">
        <v>73</v>
      </c>
      <c r="G200">
        <v>0</v>
      </c>
      <c r="H200">
        <v>2E+20</v>
      </c>
      <c r="I200">
        <v>0</v>
      </c>
      <c r="J200">
        <v>0</v>
      </c>
      <c r="K200">
        <v>0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27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0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0.128719646283251</v>
      </c>
      <c r="U200" s="5">
        <f>IF((ContinuousStatsTable[[#This Row],[RepsRequested]]&gt;1),ContinuousStatsTable[[#This Row],[HalfWidth]],ContinuousStatsTable[[#This Row],[BatchMeansHalfWidth]])</f>
        <v>1.3314003381859424E-2</v>
      </c>
    </row>
    <row r="201" spans="1:21" x14ac:dyDescent="0.25">
      <c r="A201" t="s">
        <v>68</v>
      </c>
      <c r="B201" t="s">
        <v>70</v>
      </c>
      <c r="C201">
        <v>23</v>
      </c>
      <c r="D201" t="s">
        <v>79</v>
      </c>
      <c r="E201" t="s">
        <v>92</v>
      </c>
      <c r="F201" t="s">
        <v>81</v>
      </c>
      <c r="G201">
        <v>0</v>
      </c>
      <c r="H201">
        <v>2E+20</v>
      </c>
      <c r="I201">
        <v>0</v>
      </c>
      <c r="J201">
        <v>0</v>
      </c>
      <c r="K201">
        <v>0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27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0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0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0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0</v>
      </c>
      <c r="U201" s="5">
        <f>IF((ContinuousStatsTable[[#This Row],[RepsRequested]]&gt;1),ContinuousStatsTable[[#This Row],[HalfWidth]],ContinuousStatsTable[[#This Row],[BatchMeansHalfWidth]])</f>
        <v>0</v>
      </c>
    </row>
    <row r="202" spans="1:21" x14ac:dyDescent="0.25">
      <c r="A202" t="s">
        <v>68</v>
      </c>
      <c r="B202" t="s">
        <v>70</v>
      </c>
      <c r="C202">
        <v>23</v>
      </c>
      <c r="D202" t="s">
        <v>90</v>
      </c>
      <c r="E202" t="s">
        <v>92</v>
      </c>
      <c r="F202" t="s">
        <v>81</v>
      </c>
      <c r="G202">
        <v>0</v>
      </c>
      <c r="H202">
        <v>2E+20</v>
      </c>
      <c r="I202">
        <v>0</v>
      </c>
      <c r="J202">
        <v>0</v>
      </c>
      <c r="K202">
        <v>0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27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0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0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0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0</v>
      </c>
      <c r="U202" s="5">
        <f>IF((ContinuousStatsTable[[#This Row],[RepsRequested]]&gt;1),ContinuousStatsTable[[#This Row],[HalfWidth]],ContinuousStatsTable[[#This Row],[BatchMeansHalfWidth]])</f>
        <v>0</v>
      </c>
    </row>
    <row r="203" spans="1:21" x14ac:dyDescent="0.25">
      <c r="A203" t="s">
        <v>68</v>
      </c>
      <c r="B203" t="s">
        <v>70</v>
      </c>
      <c r="C203">
        <v>23</v>
      </c>
      <c r="D203" t="s">
        <v>93</v>
      </c>
      <c r="E203" t="s">
        <v>94</v>
      </c>
      <c r="F203" t="s">
        <v>95</v>
      </c>
      <c r="G203">
        <v>0</v>
      </c>
      <c r="H203">
        <v>2E+20</v>
      </c>
      <c r="I203">
        <v>0</v>
      </c>
      <c r="J203">
        <v>0</v>
      </c>
      <c r="K203">
        <v>0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27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0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4.2906548761083699E-2</v>
      </c>
      <c r="U203" s="5">
        <f>IF((ContinuousStatsTable[[#This Row],[RepsRequested]]&gt;1),ContinuousStatsTable[[#This Row],[HalfWidth]],ContinuousStatsTable[[#This Row],[BatchMeansHalfWidth]])</f>
        <v>4.4010751425322646E-3</v>
      </c>
    </row>
    <row r="204" spans="1:21" x14ac:dyDescent="0.25">
      <c r="A204" t="s">
        <v>68</v>
      </c>
      <c r="B204" t="s">
        <v>70</v>
      </c>
      <c r="C204">
        <v>23</v>
      </c>
      <c r="D204" t="s">
        <v>93</v>
      </c>
      <c r="E204" t="s">
        <v>96</v>
      </c>
      <c r="F204" t="s">
        <v>95</v>
      </c>
      <c r="G204">
        <v>0</v>
      </c>
      <c r="H204">
        <v>2E+20</v>
      </c>
      <c r="I204">
        <v>0</v>
      </c>
      <c r="J204">
        <v>0</v>
      </c>
      <c r="K204">
        <v>0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27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0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0.128719646283251</v>
      </c>
      <c r="U204" s="5">
        <f>IF((ContinuousStatsTable[[#This Row],[RepsRequested]]&gt;1),ContinuousStatsTable[[#This Row],[HalfWidth]],ContinuousStatsTable[[#This Row],[BatchMeansHalfWidth]])</f>
        <v>1.3203225427596797E-2</v>
      </c>
    </row>
    <row r="205" spans="1:21" x14ac:dyDescent="0.25">
      <c r="A205" t="s">
        <v>68</v>
      </c>
      <c r="B205" t="s">
        <v>70</v>
      </c>
      <c r="C205">
        <v>23</v>
      </c>
      <c r="D205" t="s">
        <v>93</v>
      </c>
      <c r="E205" t="s">
        <v>97</v>
      </c>
      <c r="F205" t="s">
        <v>95</v>
      </c>
      <c r="G205">
        <v>3</v>
      </c>
      <c r="H205">
        <v>2E+20</v>
      </c>
      <c r="I205">
        <v>3</v>
      </c>
      <c r="J205">
        <v>3</v>
      </c>
      <c r="K205">
        <v>3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27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3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0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3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3</v>
      </c>
      <c r="U205" s="5">
        <f>IF((ContinuousStatsTable[[#This Row],[RepsRequested]]&gt;1),ContinuousStatsTable[[#This Row],[HalfWidth]],ContinuousStatsTable[[#This Row],[BatchMeansHalfWidth]])</f>
        <v>0</v>
      </c>
    </row>
    <row r="206" spans="1:21" x14ac:dyDescent="0.25">
      <c r="A206" t="s">
        <v>68</v>
      </c>
      <c r="B206" t="s">
        <v>70</v>
      </c>
      <c r="C206">
        <v>23</v>
      </c>
      <c r="D206" t="s">
        <v>98</v>
      </c>
      <c r="E206" t="s">
        <v>94</v>
      </c>
      <c r="F206" t="s">
        <v>95</v>
      </c>
      <c r="G206">
        <v>0</v>
      </c>
      <c r="H206">
        <v>2E+20</v>
      </c>
      <c r="I206">
        <v>0</v>
      </c>
      <c r="J206">
        <v>0</v>
      </c>
      <c r="K206">
        <v>0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27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0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4.2820889862359999E-3</v>
      </c>
      <c r="U206" s="5">
        <f>IF((ContinuousStatsTable[[#This Row],[RepsRequested]]&gt;1),ContinuousStatsTable[[#This Row],[HalfWidth]],ContinuousStatsTable[[#This Row],[BatchMeansHalfWidth]])</f>
        <v>3.2599851741098198E-4</v>
      </c>
    </row>
    <row r="207" spans="1:21" x14ac:dyDescent="0.25">
      <c r="A207" t="s">
        <v>68</v>
      </c>
      <c r="B207" t="s">
        <v>70</v>
      </c>
      <c r="C207">
        <v>23</v>
      </c>
      <c r="D207" t="s">
        <v>98</v>
      </c>
      <c r="E207" t="s">
        <v>96</v>
      </c>
      <c r="F207" t="s">
        <v>95</v>
      </c>
      <c r="G207">
        <v>0</v>
      </c>
      <c r="H207">
        <v>2E+20</v>
      </c>
      <c r="I207">
        <v>0</v>
      </c>
      <c r="J207">
        <v>0</v>
      </c>
      <c r="K207">
        <v>0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27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0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4.2820889862359999E-3</v>
      </c>
      <c r="U207" s="5">
        <f>IF((ContinuousStatsTable[[#This Row],[RepsRequested]]&gt;1),ContinuousStatsTable[[#This Row],[HalfWidth]],ContinuousStatsTable[[#This Row],[BatchMeansHalfWidth]])</f>
        <v>3.2599851741098198E-4</v>
      </c>
    </row>
    <row r="208" spans="1:21" x14ac:dyDescent="0.25">
      <c r="A208" t="s">
        <v>68</v>
      </c>
      <c r="B208" t="s">
        <v>70</v>
      </c>
      <c r="C208">
        <v>23</v>
      </c>
      <c r="D208" t="s">
        <v>98</v>
      </c>
      <c r="E208" t="s">
        <v>97</v>
      </c>
      <c r="F208" t="s">
        <v>95</v>
      </c>
      <c r="G208">
        <v>1</v>
      </c>
      <c r="H208">
        <v>2E+20</v>
      </c>
      <c r="I208">
        <v>1</v>
      </c>
      <c r="J208">
        <v>1</v>
      </c>
      <c r="K208">
        <v>1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27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1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0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1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1</v>
      </c>
      <c r="U208" s="5">
        <f>IF((ContinuousStatsTable[[#This Row],[RepsRequested]]&gt;1),ContinuousStatsTable[[#This Row],[HalfWidth]],ContinuousStatsTable[[#This Row],[BatchMeansHalfWidth]])</f>
        <v>0</v>
      </c>
    </row>
    <row r="209" spans="1:21" x14ac:dyDescent="0.25">
      <c r="A209" t="s">
        <v>68</v>
      </c>
      <c r="B209" t="s">
        <v>70</v>
      </c>
      <c r="C209">
        <v>24</v>
      </c>
      <c r="D209" t="s">
        <v>71</v>
      </c>
      <c r="E209" t="s">
        <v>91</v>
      </c>
      <c r="F209" t="s">
        <v>73</v>
      </c>
      <c r="G209">
        <v>0</v>
      </c>
      <c r="H209">
        <v>2E+20</v>
      </c>
      <c r="I209">
        <v>0</v>
      </c>
      <c r="J209">
        <v>0</v>
      </c>
      <c r="K209">
        <v>0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27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0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0.128719646283251</v>
      </c>
      <c r="U209" s="5">
        <f>IF((ContinuousStatsTable[[#This Row],[RepsRequested]]&gt;1),ContinuousStatsTable[[#This Row],[HalfWidth]],ContinuousStatsTable[[#This Row],[BatchMeansHalfWidth]])</f>
        <v>1.3314003381859424E-2</v>
      </c>
    </row>
    <row r="210" spans="1:21" x14ac:dyDescent="0.25">
      <c r="A210" t="s">
        <v>68</v>
      </c>
      <c r="B210" t="s">
        <v>70</v>
      </c>
      <c r="C210">
        <v>24</v>
      </c>
      <c r="D210" t="s">
        <v>79</v>
      </c>
      <c r="E210" t="s">
        <v>92</v>
      </c>
      <c r="F210" t="s">
        <v>81</v>
      </c>
      <c r="G210">
        <v>0</v>
      </c>
      <c r="H210">
        <v>2E+20</v>
      </c>
      <c r="I210">
        <v>0</v>
      </c>
      <c r="J210">
        <v>0</v>
      </c>
      <c r="K210">
        <v>0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27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0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0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0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0</v>
      </c>
      <c r="U210" s="5">
        <f>IF((ContinuousStatsTable[[#This Row],[RepsRequested]]&gt;1),ContinuousStatsTable[[#This Row],[HalfWidth]],ContinuousStatsTable[[#This Row],[BatchMeansHalfWidth]])</f>
        <v>0</v>
      </c>
    </row>
    <row r="211" spans="1:21" x14ac:dyDescent="0.25">
      <c r="A211" t="s">
        <v>68</v>
      </c>
      <c r="B211" t="s">
        <v>70</v>
      </c>
      <c r="C211">
        <v>24</v>
      </c>
      <c r="D211" t="s">
        <v>90</v>
      </c>
      <c r="E211" t="s">
        <v>92</v>
      </c>
      <c r="F211" t="s">
        <v>81</v>
      </c>
      <c r="G211">
        <v>0</v>
      </c>
      <c r="H211">
        <v>2E+20</v>
      </c>
      <c r="I211">
        <v>0</v>
      </c>
      <c r="J211">
        <v>0</v>
      </c>
      <c r="K211">
        <v>0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27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0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0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0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0</v>
      </c>
      <c r="U211" s="5">
        <f>IF((ContinuousStatsTable[[#This Row],[RepsRequested]]&gt;1),ContinuousStatsTable[[#This Row],[HalfWidth]],ContinuousStatsTable[[#This Row],[BatchMeansHalfWidth]])</f>
        <v>0</v>
      </c>
    </row>
    <row r="212" spans="1:21" x14ac:dyDescent="0.25">
      <c r="A212" t="s">
        <v>68</v>
      </c>
      <c r="B212" t="s">
        <v>70</v>
      </c>
      <c r="C212">
        <v>24</v>
      </c>
      <c r="D212" t="s">
        <v>93</v>
      </c>
      <c r="E212" t="s">
        <v>94</v>
      </c>
      <c r="F212" t="s">
        <v>95</v>
      </c>
      <c r="G212">
        <v>0</v>
      </c>
      <c r="H212">
        <v>2E+20</v>
      </c>
      <c r="I212">
        <v>0</v>
      </c>
      <c r="J212">
        <v>0</v>
      </c>
      <c r="K212">
        <v>0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27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0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4.2906548761083699E-2</v>
      </c>
      <c r="U212" s="5">
        <f>IF((ContinuousStatsTable[[#This Row],[RepsRequested]]&gt;1),ContinuousStatsTable[[#This Row],[HalfWidth]],ContinuousStatsTable[[#This Row],[BatchMeansHalfWidth]])</f>
        <v>4.4010751425322646E-3</v>
      </c>
    </row>
    <row r="213" spans="1:21" x14ac:dyDescent="0.25">
      <c r="A213" t="s">
        <v>68</v>
      </c>
      <c r="B213" t="s">
        <v>70</v>
      </c>
      <c r="C213">
        <v>24</v>
      </c>
      <c r="D213" t="s">
        <v>93</v>
      </c>
      <c r="E213" t="s">
        <v>96</v>
      </c>
      <c r="F213" t="s">
        <v>95</v>
      </c>
      <c r="G213">
        <v>0</v>
      </c>
      <c r="H213">
        <v>2E+20</v>
      </c>
      <c r="I213">
        <v>0</v>
      </c>
      <c r="J213">
        <v>0</v>
      </c>
      <c r="K213">
        <v>0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27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0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0.128719646283251</v>
      </c>
      <c r="U213" s="5">
        <f>IF((ContinuousStatsTable[[#This Row],[RepsRequested]]&gt;1),ContinuousStatsTable[[#This Row],[HalfWidth]],ContinuousStatsTable[[#This Row],[BatchMeansHalfWidth]])</f>
        <v>1.3203225427596797E-2</v>
      </c>
    </row>
    <row r="214" spans="1:21" x14ac:dyDescent="0.25">
      <c r="A214" t="s">
        <v>68</v>
      </c>
      <c r="B214" t="s">
        <v>70</v>
      </c>
      <c r="C214">
        <v>24</v>
      </c>
      <c r="D214" t="s">
        <v>93</v>
      </c>
      <c r="E214" t="s">
        <v>97</v>
      </c>
      <c r="F214" t="s">
        <v>95</v>
      </c>
      <c r="G214">
        <v>3</v>
      </c>
      <c r="H214">
        <v>2E+20</v>
      </c>
      <c r="I214">
        <v>3</v>
      </c>
      <c r="J214">
        <v>3</v>
      </c>
      <c r="K214">
        <v>3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27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3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0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3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3</v>
      </c>
      <c r="U214" s="5">
        <f>IF((ContinuousStatsTable[[#This Row],[RepsRequested]]&gt;1),ContinuousStatsTable[[#This Row],[HalfWidth]],ContinuousStatsTable[[#This Row],[BatchMeansHalfWidth]])</f>
        <v>0</v>
      </c>
    </row>
    <row r="215" spans="1:21" x14ac:dyDescent="0.25">
      <c r="A215" t="s">
        <v>68</v>
      </c>
      <c r="B215" t="s">
        <v>70</v>
      </c>
      <c r="C215">
        <v>24</v>
      </c>
      <c r="D215" t="s">
        <v>98</v>
      </c>
      <c r="E215" t="s">
        <v>94</v>
      </c>
      <c r="F215" t="s">
        <v>95</v>
      </c>
      <c r="G215">
        <v>0</v>
      </c>
      <c r="H215">
        <v>2E+20</v>
      </c>
      <c r="I215">
        <v>0</v>
      </c>
      <c r="J215">
        <v>0</v>
      </c>
      <c r="K215">
        <v>0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27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0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4.2820889862359999E-3</v>
      </c>
      <c r="U215" s="5">
        <f>IF((ContinuousStatsTable[[#This Row],[RepsRequested]]&gt;1),ContinuousStatsTable[[#This Row],[HalfWidth]],ContinuousStatsTable[[#This Row],[BatchMeansHalfWidth]])</f>
        <v>3.2599851741098198E-4</v>
      </c>
    </row>
    <row r="216" spans="1:21" x14ac:dyDescent="0.25">
      <c r="A216" t="s">
        <v>68</v>
      </c>
      <c r="B216" t="s">
        <v>70</v>
      </c>
      <c r="C216">
        <v>24</v>
      </c>
      <c r="D216" t="s">
        <v>98</v>
      </c>
      <c r="E216" t="s">
        <v>96</v>
      </c>
      <c r="F216" t="s">
        <v>95</v>
      </c>
      <c r="G216">
        <v>0</v>
      </c>
      <c r="H216">
        <v>2E+20</v>
      </c>
      <c r="I216">
        <v>0</v>
      </c>
      <c r="J216">
        <v>0</v>
      </c>
      <c r="K216">
        <v>0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27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0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4.2820889862359999E-3</v>
      </c>
      <c r="U216" s="5">
        <f>IF((ContinuousStatsTable[[#This Row],[RepsRequested]]&gt;1),ContinuousStatsTable[[#This Row],[HalfWidth]],ContinuousStatsTable[[#This Row],[BatchMeansHalfWidth]])</f>
        <v>3.2599851741098198E-4</v>
      </c>
    </row>
    <row r="217" spans="1:21" x14ac:dyDescent="0.25">
      <c r="A217" t="s">
        <v>68</v>
      </c>
      <c r="B217" t="s">
        <v>70</v>
      </c>
      <c r="C217">
        <v>24</v>
      </c>
      <c r="D217" t="s">
        <v>98</v>
      </c>
      <c r="E217" t="s">
        <v>97</v>
      </c>
      <c r="F217" t="s">
        <v>95</v>
      </c>
      <c r="G217">
        <v>1</v>
      </c>
      <c r="H217">
        <v>2E+20</v>
      </c>
      <c r="I217">
        <v>1</v>
      </c>
      <c r="J217">
        <v>1</v>
      </c>
      <c r="K217">
        <v>1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27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1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0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1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1</v>
      </c>
      <c r="U217" s="5">
        <f>IF((ContinuousStatsTable[[#This Row],[RepsRequested]]&gt;1),ContinuousStatsTable[[#This Row],[HalfWidth]],ContinuousStatsTable[[#This Row],[BatchMeansHalfWidth]])</f>
        <v>0</v>
      </c>
    </row>
    <row r="218" spans="1:21" x14ac:dyDescent="0.25">
      <c r="A218" t="s">
        <v>68</v>
      </c>
      <c r="B218" t="s">
        <v>70</v>
      </c>
      <c r="C218">
        <v>25</v>
      </c>
      <c r="D218" t="s">
        <v>71</v>
      </c>
      <c r="E218" t="s">
        <v>91</v>
      </c>
      <c r="F218" t="s">
        <v>73</v>
      </c>
      <c r="G218">
        <v>0.128719646283251</v>
      </c>
      <c r="H218">
        <v>2E+20</v>
      </c>
      <c r="I218">
        <v>0</v>
      </c>
      <c r="J218">
        <v>2</v>
      </c>
      <c r="K218">
        <v>1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27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0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0.128719646283251</v>
      </c>
      <c r="U218" s="5">
        <f>IF((ContinuousStatsTable[[#This Row],[RepsRequested]]&gt;1),ContinuousStatsTable[[#This Row],[HalfWidth]],ContinuousStatsTable[[#This Row],[BatchMeansHalfWidth]])</f>
        <v>1.3314003381859424E-2</v>
      </c>
    </row>
    <row r="219" spans="1:21" x14ac:dyDescent="0.25">
      <c r="A219" t="s">
        <v>68</v>
      </c>
      <c r="B219" t="s">
        <v>70</v>
      </c>
      <c r="C219">
        <v>25</v>
      </c>
      <c r="D219" t="s">
        <v>79</v>
      </c>
      <c r="E219" t="s">
        <v>92</v>
      </c>
      <c r="F219" t="s">
        <v>81</v>
      </c>
      <c r="G219">
        <v>0</v>
      </c>
      <c r="H219">
        <v>2E+20</v>
      </c>
      <c r="I219">
        <v>0</v>
      </c>
      <c r="J219">
        <v>0</v>
      </c>
      <c r="K219">
        <v>0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27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0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0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0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0</v>
      </c>
      <c r="U219" s="5">
        <f>IF((ContinuousStatsTable[[#This Row],[RepsRequested]]&gt;1),ContinuousStatsTable[[#This Row],[HalfWidth]],ContinuousStatsTable[[#This Row],[BatchMeansHalfWidth]])</f>
        <v>0</v>
      </c>
    </row>
    <row r="220" spans="1:21" x14ac:dyDescent="0.25">
      <c r="A220" t="s">
        <v>68</v>
      </c>
      <c r="B220" t="s">
        <v>70</v>
      </c>
      <c r="C220">
        <v>25</v>
      </c>
      <c r="D220" t="s">
        <v>90</v>
      </c>
      <c r="E220" t="s">
        <v>92</v>
      </c>
      <c r="F220" t="s">
        <v>81</v>
      </c>
      <c r="G220">
        <v>0</v>
      </c>
      <c r="H220">
        <v>2E+20</v>
      </c>
      <c r="I220">
        <v>0</v>
      </c>
      <c r="J220">
        <v>0</v>
      </c>
      <c r="K220">
        <v>0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27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0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0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0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0</v>
      </c>
      <c r="U220" s="5">
        <f>IF((ContinuousStatsTable[[#This Row],[RepsRequested]]&gt;1),ContinuousStatsTable[[#This Row],[HalfWidth]],ContinuousStatsTable[[#This Row],[BatchMeansHalfWidth]])</f>
        <v>0</v>
      </c>
    </row>
    <row r="221" spans="1:21" x14ac:dyDescent="0.25">
      <c r="A221" t="s">
        <v>68</v>
      </c>
      <c r="B221" t="s">
        <v>70</v>
      </c>
      <c r="C221">
        <v>25</v>
      </c>
      <c r="D221" t="s">
        <v>93</v>
      </c>
      <c r="E221" t="s">
        <v>94</v>
      </c>
      <c r="F221" t="s">
        <v>95</v>
      </c>
      <c r="G221">
        <v>4.2906548761083699E-2</v>
      </c>
      <c r="H221">
        <v>2E+20</v>
      </c>
      <c r="I221">
        <v>0</v>
      </c>
      <c r="J221">
        <v>0.66666666666666696</v>
      </c>
      <c r="K221">
        <v>0.33333333333333298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27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0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4.2906548761083699E-2</v>
      </c>
      <c r="U221" s="5">
        <f>IF((ContinuousStatsTable[[#This Row],[RepsRequested]]&gt;1),ContinuousStatsTable[[#This Row],[HalfWidth]],ContinuousStatsTable[[#This Row],[BatchMeansHalfWidth]])</f>
        <v>4.4010751425322646E-3</v>
      </c>
    </row>
    <row r="222" spans="1:21" x14ac:dyDescent="0.25">
      <c r="A222" t="s">
        <v>68</v>
      </c>
      <c r="B222" t="s">
        <v>70</v>
      </c>
      <c r="C222">
        <v>25</v>
      </c>
      <c r="D222" t="s">
        <v>93</v>
      </c>
      <c r="E222" t="s">
        <v>96</v>
      </c>
      <c r="F222" t="s">
        <v>95</v>
      </c>
      <c r="G222">
        <v>0.128719646283251</v>
      </c>
      <c r="H222">
        <v>2E+20</v>
      </c>
      <c r="I222">
        <v>0</v>
      </c>
      <c r="J222">
        <v>2</v>
      </c>
      <c r="K222">
        <v>1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27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0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0.128719646283251</v>
      </c>
      <c r="U222" s="5">
        <f>IF((ContinuousStatsTable[[#This Row],[RepsRequested]]&gt;1),ContinuousStatsTable[[#This Row],[HalfWidth]],ContinuousStatsTable[[#This Row],[BatchMeansHalfWidth]])</f>
        <v>1.3203225427596797E-2</v>
      </c>
    </row>
    <row r="223" spans="1:21" x14ac:dyDescent="0.25">
      <c r="A223" t="s">
        <v>68</v>
      </c>
      <c r="B223" t="s">
        <v>70</v>
      </c>
      <c r="C223">
        <v>25</v>
      </c>
      <c r="D223" t="s">
        <v>93</v>
      </c>
      <c r="E223" t="s">
        <v>97</v>
      </c>
      <c r="F223" t="s">
        <v>95</v>
      </c>
      <c r="G223">
        <v>3</v>
      </c>
      <c r="H223">
        <v>2E+20</v>
      </c>
      <c r="I223">
        <v>3</v>
      </c>
      <c r="J223">
        <v>3</v>
      </c>
      <c r="K223">
        <v>3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27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3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0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3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3</v>
      </c>
      <c r="U223" s="5">
        <f>IF((ContinuousStatsTable[[#This Row],[RepsRequested]]&gt;1),ContinuousStatsTable[[#This Row],[HalfWidth]],ContinuousStatsTable[[#This Row],[BatchMeansHalfWidth]])</f>
        <v>0</v>
      </c>
    </row>
    <row r="224" spans="1:21" x14ac:dyDescent="0.25">
      <c r="A224" t="s">
        <v>68</v>
      </c>
      <c r="B224" t="s">
        <v>70</v>
      </c>
      <c r="C224">
        <v>25</v>
      </c>
      <c r="D224" t="s">
        <v>98</v>
      </c>
      <c r="E224" t="s">
        <v>94</v>
      </c>
      <c r="F224" t="s">
        <v>95</v>
      </c>
      <c r="G224">
        <v>0</v>
      </c>
      <c r="H224">
        <v>2E+20</v>
      </c>
      <c r="I224">
        <v>0</v>
      </c>
      <c r="J224">
        <v>0</v>
      </c>
      <c r="K224">
        <v>0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27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0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4.2820889862359999E-3</v>
      </c>
      <c r="U224" s="5">
        <f>IF((ContinuousStatsTable[[#This Row],[RepsRequested]]&gt;1),ContinuousStatsTable[[#This Row],[HalfWidth]],ContinuousStatsTable[[#This Row],[BatchMeansHalfWidth]])</f>
        <v>3.2599851741098198E-4</v>
      </c>
    </row>
    <row r="225" spans="1:21" x14ac:dyDescent="0.25">
      <c r="A225" t="s">
        <v>68</v>
      </c>
      <c r="B225" t="s">
        <v>70</v>
      </c>
      <c r="C225">
        <v>25</v>
      </c>
      <c r="D225" t="s">
        <v>98</v>
      </c>
      <c r="E225" t="s">
        <v>96</v>
      </c>
      <c r="F225" t="s">
        <v>95</v>
      </c>
      <c r="G225">
        <v>0</v>
      </c>
      <c r="H225">
        <v>2E+20</v>
      </c>
      <c r="I225">
        <v>0</v>
      </c>
      <c r="J225">
        <v>0</v>
      </c>
      <c r="K225">
        <v>0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27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0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4.2820889862359999E-3</v>
      </c>
      <c r="U225" s="5">
        <f>IF((ContinuousStatsTable[[#This Row],[RepsRequested]]&gt;1),ContinuousStatsTable[[#This Row],[HalfWidth]],ContinuousStatsTable[[#This Row],[BatchMeansHalfWidth]])</f>
        <v>3.2599851741098198E-4</v>
      </c>
    </row>
    <row r="226" spans="1:21" x14ac:dyDescent="0.25">
      <c r="A226" t="s">
        <v>68</v>
      </c>
      <c r="B226" t="s">
        <v>70</v>
      </c>
      <c r="C226">
        <v>25</v>
      </c>
      <c r="D226" t="s">
        <v>98</v>
      </c>
      <c r="E226" t="s">
        <v>97</v>
      </c>
      <c r="F226" t="s">
        <v>95</v>
      </c>
      <c r="G226">
        <v>1</v>
      </c>
      <c r="H226">
        <v>2E+20</v>
      </c>
      <c r="I226">
        <v>1</v>
      </c>
      <c r="J226">
        <v>1</v>
      </c>
      <c r="K226">
        <v>1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27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1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0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1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1</v>
      </c>
      <c r="U226" s="5">
        <f>IF((ContinuousStatsTable[[#This Row],[RepsRequested]]&gt;1),ContinuousStatsTable[[#This Row],[HalfWidth]],ContinuousStatsTable[[#This Row],[BatchMeansHalfWidth]])</f>
        <v>0</v>
      </c>
    </row>
    <row r="227" spans="1:21" x14ac:dyDescent="0.25">
      <c r="A227" t="s">
        <v>68</v>
      </c>
      <c r="B227" t="s">
        <v>70</v>
      </c>
      <c r="C227">
        <v>26</v>
      </c>
      <c r="D227" t="s">
        <v>71</v>
      </c>
      <c r="E227" t="s">
        <v>91</v>
      </c>
      <c r="F227" t="s">
        <v>73</v>
      </c>
      <c r="G227">
        <v>8.9073605990977495E-2</v>
      </c>
      <c r="H227">
        <v>2E+20</v>
      </c>
      <c r="I227">
        <v>0</v>
      </c>
      <c r="J227">
        <v>1</v>
      </c>
      <c r="K227">
        <v>0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27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0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0.128719646283251</v>
      </c>
      <c r="U227" s="5">
        <f>IF((ContinuousStatsTable[[#This Row],[RepsRequested]]&gt;1),ContinuousStatsTable[[#This Row],[HalfWidth]],ContinuousStatsTable[[#This Row],[BatchMeansHalfWidth]])</f>
        <v>1.3314003381859424E-2</v>
      </c>
    </row>
    <row r="228" spans="1:21" x14ac:dyDescent="0.25">
      <c r="A228" t="s">
        <v>68</v>
      </c>
      <c r="B228" t="s">
        <v>70</v>
      </c>
      <c r="C228">
        <v>26</v>
      </c>
      <c r="D228" t="s">
        <v>79</v>
      </c>
      <c r="E228" t="s">
        <v>92</v>
      </c>
      <c r="F228" t="s">
        <v>81</v>
      </c>
      <c r="G228">
        <v>0</v>
      </c>
      <c r="H228">
        <v>2E+20</v>
      </c>
      <c r="I228">
        <v>0</v>
      </c>
      <c r="J228">
        <v>0</v>
      </c>
      <c r="K228">
        <v>0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27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0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0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0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0</v>
      </c>
      <c r="U228" s="5">
        <f>IF((ContinuousStatsTable[[#This Row],[RepsRequested]]&gt;1),ContinuousStatsTable[[#This Row],[HalfWidth]],ContinuousStatsTable[[#This Row],[BatchMeansHalfWidth]])</f>
        <v>0</v>
      </c>
    </row>
    <row r="229" spans="1:21" x14ac:dyDescent="0.25">
      <c r="A229" t="s">
        <v>68</v>
      </c>
      <c r="B229" t="s">
        <v>70</v>
      </c>
      <c r="C229">
        <v>26</v>
      </c>
      <c r="D229" t="s">
        <v>90</v>
      </c>
      <c r="E229" t="s">
        <v>92</v>
      </c>
      <c r="F229" t="s">
        <v>81</v>
      </c>
      <c r="G229">
        <v>0</v>
      </c>
      <c r="H229">
        <v>2E+20</v>
      </c>
      <c r="I229">
        <v>0</v>
      </c>
      <c r="J229">
        <v>0</v>
      </c>
      <c r="K229">
        <v>0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27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0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0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0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0</v>
      </c>
      <c r="U229" s="5">
        <f>IF((ContinuousStatsTable[[#This Row],[RepsRequested]]&gt;1),ContinuousStatsTable[[#This Row],[HalfWidth]],ContinuousStatsTable[[#This Row],[BatchMeansHalfWidth]])</f>
        <v>0</v>
      </c>
    </row>
    <row r="230" spans="1:21" x14ac:dyDescent="0.25">
      <c r="A230" t="s">
        <v>68</v>
      </c>
      <c r="B230" t="s">
        <v>70</v>
      </c>
      <c r="C230">
        <v>26</v>
      </c>
      <c r="D230" t="s">
        <v>93</v>
      </c>
      <c r="E230" t="s">
        <v>94</v>
      </c>
      <c r="F230" t="s">
        <v>95</v>
      </c>
      <c r="G230">
        <v>2.9691201996992499E-2</v>
      </c>
      <c r="H230">
        <v>2E+20</v>
      </c>
      <c r="I230">
        <v>0</v>
      </c>
      <c r="J230">
        <v>0.33333333333333298</v>
      </c>
      <c r="K230">
        <v>0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27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0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4.2906548761083699E-2</v>
      </c>
      <c r="U230" s="5">
        <f>IF((ContinuousStatsTable[[#This Row],[RepsRequested]]&gt;1),ContinuousStatsTable[[#This Row],[HalfWidth]],ContinuousStatsTable[[#This Row],[BatchMeansHalfWidth]])</f>
        <v>4.4010751425322646E-3</v>
      </c>
    </row>
    <row r="231" spans="1:21" x14ac:dyDescent="0.25">
      <c r="A231" t="s">
        <v>68</v>
      </c>
      <c r="B231" t="s">
        <v>70</v>
      </c>
      <c r="C231">
        <v>26</v>
      </c>
      <c r="D231" t="s">
        <v>93</v>
      </c>
      <c r="E231" t="s">
        <v>96</v>
      </c>
      <c r="F231" t="s">
        <v>95</v>
      </c>
      <c r="G231">
        <v>8.9073605990977495E-2</v>
      </c>
      <c r="H231">
        <v>2E+20</v>
      </c>
      <c r="I231">
        <v>0</v>
      </c>
      <c r="J231">
        <v>1</v>
      </c>
      <c r="K231">
        <v>0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27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0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0.128719646283251</v>
      </c>
      <c r="U231" s="5">
        <f>IF((ContinuousStatsTable[[#This Row],[RepsRequested]]&gt;1),ContinuousStatsTable[[#This Row],[HalfWidth]],ContinuousStatsTable[[#This Row],[BatchMeansHalfWidth]])</f>
        <v>1.3203225427596797E-2</v>
      </c>
    </row>
    <row r="232" spans="1:21" x14ac:dyDescent="0.25">
      <c r="A232" t="s">
        <v>68</v>
      </c>
      <c r="B232" t="s">
        <v>70</v>
      </c>
      <c r="C232">
        <v>26</v>
      </c>
      <c r="D232" t="s">
        <v>93</v>
      </c>
      <c r="E232" t="s">
        <v>97</v>
      </c>
      <c r="F232" t="s">
        <v>95</v>
      </c>
      <c r="G232">
        <v>3</v>
      </c>
      <c r="H232">
        <v>2E+20</v>
      </c>
      <c r="I232">
        <v>3</v>
      </c>
      <c r="J232">
        <v>3</v>
      </c>
      <c r="K232">
        <v>3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27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3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0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3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3</v>
      </c>
      <c r="U232" s="5">
        <f>IF((ContinuousStatsTable[[#This Row],[RepsRequested]]&gt;1),ContinuousStatsTable[[#This Row],[HalfWidth]],ContinuousStatsTable[[#This Row],[BatchMeansHalfWidth]])</f>
        <v>0</v>
      </c>
    </row>
    <row r="233" spans="1:21" x14ac:dyDescent="0.25">
      <c r="A233" t="s">
        <v>68</v>
      </c>
      <c r="B233" t="s">
        <v>70</v>
      </c>
      <c r="C233">
        <v>26</v>
      </c>
      <c r="D233" t="s">
        <v>98</v>
      </c>
      <c r="E233" t="s">
        <v>94</v>
      </c>
      <c r="F233" t="s">
        <v>95</v>
      </c>
      <c r="G233">
        <v>0</v>
      </c>
      <c r="H233">
        <v>2E+20</v>
      </c>
      <c r="I233">
        <v>0</v>
      </c>
      <c r="J233">
        <v>0</v>
      </c>
      <c r="K233">
        <v>0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27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0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4.2820889862359999E-3</v>
      </c>
      <c r="U233" s="5">
        <f>IF((ContinuousStatsTable[[#This Row],[RepsRequested]]&gt;1),ContinuousStatsTable[[#This Row],[HalfWidth]],ContinuousStatsTable[[#This Row],[BatchMeansHalfWidth]])</f>
        <v>3.2599851741098198E-4</v>
      </c>
    </row>
    <row r="234" spans="1:21" x14ac:dyDescent="0.25">
      <c r="A234" t="s">
        <v>68</v>
      </c>
      <c r="B234" t="s">
        <v>70</v>
      </c>
      <c r="C234">
        <v>26</v>
      </c>
      <c r="D234" t="s">
        <v>98</v>
      </c>
      <c r="E234" t="s">
        <v>96</v>
      </c>
      <c r="F234" t="s">
        <v>95</v>
      </c>
      <c r="G234">
        <v>0</v>
      </c>
      <c r="H234">
        <v>2E+20</v>
      </c>
      <c r="I234">
        <v>0</v>
      </c>
      <c r="J234">
        <v>0</v>
      </c>
      <c r="K234">
        <v>0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27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0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4.2820889862359999E-3</v>
      </c>
      <c r="U234" s="5">
        <f>IF((ContinuousStatsTable[[#This Row],[RepsRequested]]&gt;1),ContinuousStatsTable[[#This Row],[HalfWidth]],ContinuousStatsTable[[#This Row],[BatchMeansHalfWidth]])</f>
        <v>3.2599851741098198E-4</v>
      </c>
    </row>
    <row r="235" spans="1:21" x14ac:dyDescent="0.25">
      <c r="A235" t="s">
        <v>68</v>
      </c>
      <c r="B235" t="s">
        <v>70</v>
      </c>
      <c r="C235">
        <v>26</v>
      </c>
      <c r="D235" t="s">
        <v>98</v>
      </c>
      <c r="E235" t="s">
        <v>97</v>
      </c>
      <c r="F235" t="s">
        <v>95</v>
      </c>
      <c r="G235">
        <v>1</v>
      </c>
      <c r="H235">
        <v>2E+20</v>
      </c>
      <c r="I235">
        <v>1</v>
      </c>
      <c r="J235">
        <v>1</v>
      </c>
      <c r="K235">
        <v>1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27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1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0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1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1</v>
      </c>
      <c r="U235" s="5">
        <f>IF((ContinuousStatsTable[[#This Row],[RepsRequested]]&gt;1),ContinuousStatsTable[[#This Row],[HalfWidth]],ContinuousStatsTable[[#This Row],[BatchMeansHalfWidth]])</f>
        <v>0</v>
      </c>
    </row>
    <row r="236" spans="1:21" x14ac:dyDescent="0.25">
      <c r="A236" t="s">
        <v>68</v>
      </c>
      <c r="B236" t="s">
        <v>70</v>
      </c>
      <c r="C236">
        <v>27</v>
      </c>
      <c r="D236" t="s">
        <v>71</v>
      </c>
      <c r="E236" t="s">
        <v>91</v>
      </c>
      <c r="F236" t="s">
        <v>73</v>
      </c>
      <c r="G236">
        <v>3.0941875564712E-2</v>
      </c>
      <c r="H236">
        <v>2E+20</v>
      </c>
      <c r="I236">
        <v>0</v>
      </c>
      <c r="J236">
        <v>1</v>
      </c>
      <c r="K236">
        <v>0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27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3.6830444166098757E-2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3.3656336721817545E-2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1.3314003381859424E-2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0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0.128719646283251</v>
      </c>
      <c r="U236" s="5">
        <f>IF((ContinuousStatsTable[[#This Row],[RepsRequested]]&gt;1),ContinuousStatsTable[[#This Row],[HalfWidth]],ContinuousStatsTable[[#This Row],[BatchMeansHalfWidth]])</f>
        <v>1.3314003381859424E-2</v>
      </c>
    </row>
    <row r="237" spans="1:21" x14ac:dyDescent="0.25">
      <c r="A237" t="s">
        <v>68</v>
      </c>
      <c r="B237" t="s">
        <v>70</v>
      </c>
      <c r="C237">
        <v>27</v>
      </c>
      <c r="D237" t="s">
        <v>79</v>
      </c>
      <c r="E237" t="s">
        <v>92</v>
      </c>
      <c r="F237" t="s">
        <v>81</v>
      </c>
      <c r="G237">
        <v>0</v>
      </c>
      <c r="H237">
        <v>2E+20</v>
      </c>
      <c r="I237">
        <v>0</v>
      </c>
      <c r="J237">
        <v>0</v>
      </c>
      <c r="K237">
        <v>0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27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0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0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0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0</v>
      </c>
      <c r="U237" s="5">
        <f>IF((ContinuousStatsTable[[#This Row],[RepsRequested]]&gt;1),ContinuousStatsTable[[#This Row],[HalfWidth]],ContinuousStatsTable[[#This Row],[BatchMeansHalfWidth]])</f>
        <v>0</v>
      </c>
    </row>
    <row r="238" spans="1:21" x14ac:dyDescent="0.25">
      <c r="A238" t="s">
        <v>68</v>
      </c>
      <c r="B238" t="s">
        <v>70</v>
      </c>
      <c r="C238">
        <v>27</v>
      </c>
      <c r="D238" t="s">
        <v>90</v>
      </c>
      <c r="E238" t="s">
        <v>92</v>
      </c>
      <c r="F238" t="s">
        <v>81</v>
      </c>
      <c r="G238">
        <v>0</v>
      </c>
      <c r="H238">
        <v>2E+20</v>
      </c>
      <c r="I238">
        <v>0</v>
      </c>
      <c r="J238">
        <v>0</v>
      </c>
      <c r="K238">
        <v>0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27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0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0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0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0</v>
      </c>
      <c r="U238" s="5">
        <f>IF((ContinuousStatsTable[[#This Row],[RepsRequested]]&gt;1),ContinuousStatsTable[[#This Row],[HalfWidth]],ContinuousStatsTable[[#This Row],[BatchMeansHalfWidth]])</f>
        <v>0</v>
      </c>
    </row>
    <row r="239" spans="1:21" x14ac:dyDescent="0.25">
      <c r="A239" t="s">
        <v>68</v>
      </c>
      <c r="B239" t="s">
        <v>70</v>
      </c>
      <c r="C239">
        <v>27</v>
      </c>
      <c r="D239" t="s">
        <v>93</v>
      </c>
      <c r="E239" t="s">
        <v>94</v>
      </c>
      <c r="F239" t="s">
        <v>95</v>
      </c>
      <c r="G239">
        <v>1.03139585215707E-2</v>
      </c>
      <c r="H239">
        <v>2E+20</v>
      </c>
      <c r="I239">
        <v>0</v>
      </c>
      <c r="J239">
        <v>0.33333333333333298</v>
      </c>
      <c r="K239">
        <v>0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27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1.2223949425906553E-2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1.112543407769513E-2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4.4010751425322646E-3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0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4.2906548761083699E-2</v>
      </c>
      <c r="U239" s="5">
        <f>IF((ContinuousStatsTable[[#This Row],[RepsRequested]]&gt;1),ContinuousStatsTable[[#This Row],[HalfWidth]],ContinuousStatsTable[[#This Row],[BatchMeansHalfWidth]])</f>
        <v>4.4010751425322646E-3</v>
      </c>
    </row>
    <row r="240" spans="1:21" x14ac:dyDescent="0.25">
      <c r="A240" t="s">
        <v>68</v>
      </c>
      <c r="B240" t="s">
        <v>70</v>
      </c>
      <c r="C240">
        <v>27</v>
      </c>
      <c r="D240" t="s">
        <v>93</v>
      </c>
      <c r="E240" t="s">
        <v>96</v>
      </c>
      <c r="F240" t="s">
        <v>95</v>
      </c>
      <c r="G240">
        <v>3.0941875564712E-2</v>
      </c>
      <c r="H240">
        <v>2E+20</v>
      </c>
      <c r="I240">
        <v>0</v>
      </c>
      <c r="J240">
        <v>1</v>
      </c>
      <c r="K240">
        <v>0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27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3.6671848277719646E-2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3.3376302233085402E-2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1.3203225427596797E-2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0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0.128719646283251</v>
      </c>
      <c r="U240" s="5">
        <f>IF((ContinuousStatsTable[[#This Row],[RepsRequested]]&gt;1),ContinuousStatsTable[[#This Row],[HalfWidth]],ContinuousStatsTable[[#This Row],[BatchMeansHalfWidth]])</f>
        <v>1.3203225427596797E-2</v>
      </c>
    </row>
    <row r="241" spans="1:21" x14ac:dyDescent="0.25">
      <c r="A241" t="s">
        <v>68</v>
      </c>
      <c r="B241" t="s">
        <v>70</v>
      </c>
      <c r="C241">
        <v>27</v>
      </c>
      <c r="D241" t="s">
        <v>93</v>
      </c>
      <c r="E241" t="s">
        <v>97</v>
      </c>
      <c r="F241" t="s">
        <v>95</v>
      </c>
      <c r="G241">
        <v>3</v>
      </c>
      <c r="H241">
        <v>2E+20</v>
      </c>
      <c r="I241">
        <v>3</v>
      </c>
      <c r="J241">
        <v>3</v>
      </c>
      <c r="K241">
        <v>3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27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3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0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3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3</v>
      </c>
      <c r="U241" s="5">
        <f>IF((ContinuousStatsTable[[#This Row],[RepsRequested]]&gt;1),ContinuousStatsTable[[#This Row],[HalfWidth]],ContinuousStatsTable[[#This Row],[BatchMeansHalfWidth]])</f>
        <v>0</v>
      </c>
    </row>
    <row r="242" spans="1:21" x14ac:dyDescent="0.25">
      <c r="A242" t="s">
        <v>68</v>
      </c>
      <c r="B242" t="s">
        <v>70</v>
      </c>
      <c r="C242">
        <v>27</v>
      </c>
      <c r="D242" t="s">
        <v>98</v>
      </c>
      <c r="E242" t="s">
        <v>94</v>
      </c>
      <c r="F242" t="s">
        <v>95</v>
      </c>
      <c r="G242">
        <v>0</v>
      </c>
      <c r="H242">
        <v>2E+20</v>
      </c>
      <c r="I242">
        <v>0</v>
      </c>
      <c r="J242">
        <v>0</v>
      </c>
      <c r="K242">
        <v>0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27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0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4.2820889862359999E-3</v>
      </c>
      <c r="U242" s="5">
        <f>IF((ContinuousStatsTable[[#This Row],[RepsRequested]]&gt;1),ContinuousStatsTable[[#This Row],[HalfWidth]],ContinuousStatsTable[[#This Row],[BatchMeansHalfWidth]])</f>
        <v>3.2599851741098198E-4</v>
      </c>
    </row>
    <row r="243" spans="1:21" x14ac:dyDescent="0.25">
      <c r="A243" t="s">
        <v>68</v>
      </c>
      <c r="B243" t="s">
        <v>70</v>
      </c>
      <c r="C243">
        <v>27</v>
      </c>
      <c r="D243" t="s">
        <v>98</v>
      </c>
      <c r="E243" t="s">
        <v>96</v>
      </c>
      <c r="F243" t="s">
        <v>95</v>
      </c>
      <c r="G243">
        <v>0</v>
      </c>
      <c r="H243">
        <v>2E+20</v>
      </c>
      <c r="I243">
        <v>0</v>
      </c>
      <c r="J243">
        <v>0</v>
      </c>
      <c r="K243">
        <v>0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27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1.5859588837911111E-4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8.2408840963242873E-4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3.2599851741098198E-4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0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4.2820889862359999E-3</v>
      </c>
      <c r="U243" s="5">
        <f>IF((ContinuousStatsTable[[#This Row],[RepsRequested]]&gt;1),ContinuousStatsTable[[#This Row],[HalfWidth]],ContinuousStatsTable[[#This Row],[BatchMeansHalfWidth]])</f>
        <v>3.2599851741098198E-4</v>
      </c>
    </row>
    <row r="244" spans="1:21" x14ac:dyDescent="0.25">
      <c r="A244" t="s">
        <v>68</v>
      </c>
      <c r="B244" t="s">
        <v>70</v>
      </c>
      <c r="C244">
        <v>27</v>
      </c>
      <c r="D244" t="s">
        <v>98</v>
      </c>
      <c r="E244" t="s">
        <v>97</v>
      </c>
      <c r="F244" t="s">
        <v>95</v>
      </c>
      <c r="G244">
        <v>1</v>
      </c>
      <c r="H244">
        <v>2E+20</v>
      </c>
      <c r="I244">
        <v>1</v>
      </c>
      <c r="J244">
        <v>1</v>
      </c>
      <c r="K244">
        <v>1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27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1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0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1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1</v>
      </c>
      <c r="U244" s="5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244">
    <cfRule type="expression" dxfId="11" priority="9">
      <formula>H2=200000000000000000000</formula>
    </cfRule>
  </conditionalFormatting>
  <conditionalFormatting sqref="H2:H244">
    <cfRule type="expression" dxfId="10" priority="7">
      <formula>H2=300000000000000000000</formula>
    </cfRule>
  </conditionalFormatting>
  <conditionalFormatting sqref="M2:U244">
    <cfRule type="expression" dxfId="9" priority="5">
      <formula>MOD(ROW(),2)=0</formula>
    </cfRule>
  </conditionalFormatting>
  <conditionalFormatting sqref="U2:U244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244 U2:U244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98"/>
  <sheetViews>
    <sheetView workbookViewId="0">
      <selection activeCell="A2" sqref="A2:H31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32.710937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71.28515625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68</v>
      </c>
      <c r="B2" t="s">
        <v>70</v>
      </c>
      <c r="C2">
        <v>1</v>
      </c>
      <c r="D2" t="s">
        <v>99</v>
      </c>
      <c r="E2" t="s">
        <v>100</v>
      </c>
      <c r="F2" t="s">
        <v>73</v>
      </c>
      <c r="G2">
        <v>3</v>
      </c>
      <c r="H2">
        <v>0</v>
      </c>
      <c r="I2" t="str">
        <f>OutputTable[[#This Row],[ProjectName]]&amp;OutputTable[[#This Row],[Name]]&amp;OutputTable[[#This Row],[Type]]&amp;OutputTable[[#This Row],[Source]]</f>
        <v>Escenario AEntity 1.NumberInNumber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27</v>
      </c>
      <c r="K2" cm="1">
        <f t="array" ref="K2">IFERROR(AVERAGE(IF((OutputTable[GroupByKey]=OutputTable[[#This Row],[GroupByKey]]),(OutputTable[GroupByKey]=OutputTable[[#This Row],[GroupByKey]])*OutputTable[RecordedValue])),0)</f>
        <v>1.2962962962962963</v>
      </c>
      <c r="L2" cm="1">
        <f t="array" ref="L2">IFERROR(_xlfn.STDEV.S(IF((OutputTable[GroupByKey]=OutputTable[[#This Row],[GroupByKey]]),(OutputTable[GroupByKey]=OutputTable[[#This Row],[GroupByKey]])*OutputTable[RecordedValue])),0)</f>
        <v>1.1706281947614154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2" cm="1">
        <f t="array" ref="O2">MIN(IF((OutputTable[GroupByKey]=OutputTable[[#This Row],[GroupByKey]]),(OutputTable[GroupByKey]=OutputTable[[#This Row],[GroupByKey]])*OutputTable[RecordedValue]))</f>
        <v>0</v>
      </c>
      <c r="P2" cm="1">
        <f t="array" ref="P2">MAX(IF((OutputTable[GroupByKey]=OutputTable[[#This Row],[GroupByKey]]),(OutputTable[GroupByKey]=OutputTable[[#This Row],[GroupByKey]])*OutputTable[RecordedValue]))</f>
        <v>5</v>
      </c>
    </row>
    <row r="3" spans="1:16" x14ac:dyDescent="0.25">
      <c r="A3" t="s">
        <v>68</v>
      </c>
      <c r="B3" t="s">
        <v>70</v>
      </c>
      <c r="C3">
        <v>1</v>
      </c>
      <c r="D3" t="s">
        <v>101</v>
      </c>
      <c r="E3" t="s">
        <v>102</v>
      </c>
      <c r="F3" t="s">
        <v>73</v>
      </c>
      <c r="G3">
        <v>3</v>
      </c>
      <c r="H3">
        <v>0</v>
      </c>
      <c r="I3" t="str">
        <f>OutputTable[[#This Row],[ProjectName]]&amp;OutputTable[[#This Row],[Name]]&amp;OutputTable[[#This Row],[Type]]&amp;OutputTable[[#This Row],[Source]]</f>
        <v>Escenario AEntity 1.NumberOutNumber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27</v>
      </c>
      <c r="K3" cm="1">
        <f t="array" ref="K3">IFERROR(AVERAGE(IF((OutputTable[GroupByKey]=OutputTable[[#This Row],[GroupByKey]]),(OutputTable[GroupByKey]=OutputTable[[#This Row],[GroupByKey]])*OutputTable[RecordedValue])),0)</f>
        <v>1.1851851851851851</v>
      </c>
      <c r="L3" cm="1">
        <f t="array" ref="L3">IFERROR(_xlfn.STDEV.S(IF((OutputTable[GroupByKey]=OutputTable[[#This Row],[GroupByKey]]),(OutputTable[GroupByKey]=OutputTable[[#This Row],[GroupByKey]])*OutputTable[RecordedValue])),0)</f>
        <v>1.0754976321197349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3" cm="1">
        <f t="array" ref="O3">MIN(IF((OutputTable[GroupByKey]=OutputTable[[#This Row],[GroupByKey]]),(OutputTable[GroupByKey]=OutputTable[[#This Row],[GroupByKey]])*OutputTable[RecordedValue]))</f>
        <v>0</v>
      </c>
      <c r="P3" cm="1">
        <f t="array" ref="P3">MAX(IF((OutputTable[GroupByKey]=OutputTable[[#This Row],[GroupByKey]]),(OutputTable[GroupByKey]=OutputTable[[#This Row],[GroupByKey]])*OutputTable[RecordedValue]))</f>
        <v>4</v>
      </c>
    </row>
    <row r="4" spans="1:16" x14ac:dyDescent="0.25">
      <c r="A4" t="s">
        <v>68</v>
      </c>
      <c r="B4" t="s">
        <v>70</v>
      </c>
      <c r="C4">
        <v>1</v>
      </c>
      <c r="D4" t="s">
        <v>103</v>
      </c>
      <c r="E4" t="s">
        <v>104</v>
      </c>
      <c r="F4" t="s">
        <v>87</v>
      </c>
      <c r="G4">
        <v>0</v>
      </c>
      <c r="H4">
        <v>0</v>
      </c>
      <c r="I4" t="str">
        <f>OutputTable[[#This Row],[ProjectName]]&amp;OutputTable[[#This Row],[Name]]&amp;OutputTable[[#This Row],[Type]]&amp;OutputTable[[#This Row],[Source]]</f>
        <v>Escenario ASeguimiemto Accum VA TimeAccum VA TimeProcess</v>
      </c>
      <c r="J4" cm="1">
        <f t="array" ref="J4">MAX(IF((ProjectInfoTable[ProjectName]=OutputTable[[#This Row],[ProjectName]]),(ProjectInfoTable[ProjectName]=OutputTable[[#This Row],[ProjectName]])*ProjectInfoTable[NumberOfReplications]))</f>
        <v>27</v>
      </c>
      <c r="K4" cm="1">
        <f t="array" ref="K4">IFERROR(AVERAGE(IF((OutputTable[GroupByKey]=OutputTable[[#This Row],[GroupByKey]]),(OutputTable[GroupByKey]=OutputTable[[#This Row],[GroupByKey]])*OutputTable[RecordedValue])),0)</f>
        <v>9.5157533027466656E-2</v>
      </c>
      <c r="L4" cm="1">
        <f t="array" ref="L4">IFERROR(_xlfn.STDEV.S(IF((OutputTable[GroupByKey]=OutputTable[[#This Row],[GroupByKey]]),(OutputTable[GroupByKey]=OutputTable[[#This Row],[GroupByKey]])*OutputTable[RecordedValue])),0)</f>
        <v>0.4944530457794572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4" cm="1">
        <f t="array" ref="O4">MIN(IF((OutputTable[GroupByKey]=OutputTable[[#This Row],[GroupByKey]]),(OutputTable[GroupByKey]=OutputTable[[#This Row],[GroupByKey]])*OutputTable[RecordedValue]))</f>
        <v>0</v>
      </c>
      <c r="P4" cm="1">
        <f t="array" ref="P4">MAX(IF((OutputTable[GroupByKey]=OutputTable[[#This Row],[GroupByKey]]),(OutputTable[GroupByKey]=OutputTable[[#This Row],[GroupByKey]])*OutputTable[RecordedValue]))</f>
        <v>2.5692533917415998</v>
      </c>
    </row>
    <row r="5" spans="1:16" x14ac:dyDescent="0.25">
      <c r="A5" t="s">
        <v>68</v>
      </c>
      <c r="B5" t="s">
        <v>70</v>
      </c>
      <c r="C5">
        <v>1</v>
      </c>
      <c r="D5" t="s">
        <v>105</v>
      </c>
      <c r="E5" t="s">
        <v>106</v>
      </c>
      <c r="F5" t="s">
        <v>87</v>
      </c>
      <c r="G5">
        <v>0</v>
      </c>
      <c r="H5">
        <v>0</v>
      </c>
      <c r="I5" t="str">
        <f>OutputTable[[#This Row],[ProjectName]]&amp;OutputTable[[#This Row],[Name]]&amp;OutputTable[[#This Row],[Type]]&amp;OutputTable[[#This Row],[Source]]</f>
        <v>Escenario ASeguimiemto Accum Wait TimeAccum Wait TimeProcess</v>
      </c>
      <c r="J5" cm="1">
        <f t="array" ref="J5">MAX(IF((ProjectInfoTable[ProjectName]=OutputTable[[#This Row],[ProjectName]]),(ProjectInfoTable[ProjectName]=OutputTable[[#This Row],[ProjectName]])*ProjectInfoTable[NumberOfReplications]))</f>
        <v>27</v>
      </c>
      <c r="K5" cm="1">
        <f t="array" ref="K5">IFERROR(AVERAGE(IF((OutputTable[GroupByKey]=OutputTable[[#This Row],[GroupByKey]]),(OutputTable[GroupByKey]=OutputTable[[#This Row],[GroupByKey]])*OutputTable[RecordedValue])),0)</f>
        <v>0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" cm="1">
        <f t="array" ref="O5">MIN(IF((OutputTable[GroupByKey]=OutputTable[[#This Row],[GroupByKey]]),(OutputTable[GroupByKey]=OutputTable[[#This Row],[GroupByKey]])*OutputTable[RecordedValue]))</f>
        <v>0</v>
      </c>
      <c r="P5" cm="1">
        <f t="array" ref="P5">MAX(IF((OutputTable[GroupByKey]=OutputTable[[#This Row],[GroupByKey]]),(OutputTable[GroupByKey]=OutputTable[[#This Row],[GroupByKey]])*OutputTable[RecordedValue]))</f>
        <v>0</v>
      </c>
    </row>
    <row r="6" spans="1:16" x14ac:dyDescent="0.25">
      <c r="A6" t="s">
        <v>68</v>
      </c>
      <c r="B6" t="s">
        <v>70</v>
      </c>
      <c r="C6">
        <v>1</v>
      </c>
      <c r="D6" t="s">
        <v>107</v>
      </c>
      <c r="E6" t="s">
        <v>100</v>
      </c>
      <c r="F6" t="s">
        <v>87</v>
      </c>
      <c r="G6">
        <v>0</v>
      </c>
      <c r="H6">
        <v>0</v>
      </c>
      <c r="I6" t="str">
        <f>OutputTable[[#This Row],[ProjectName]]&amp;OutputTable[[#This Row],[Name]]&amp;OutputTable[[#This Row],[Type]]&amp;OutputTable[[#This Row],[Source]]</f>
        <v>Escenario ASeguimiemto Number InNumber InProcess</v>
      </c>
      <c r="J6" cm="1">
        <f t="array" ref="J6">MAX(IF((ProjectInfoTable[ProjectName]=OutputTable[[#This Row],[ProjectName]]),(ProjectInfoTable[ProjectName]=OutputTable[[#This Row],[ProjectName]])*ProjectInfoTable[NumberOfReplications]))</f>
        <v>27</v>
      </c>
      <c r="K6" cm="1">
        <f t="array" ref="K6">IFERROR(AVERAGE(IF((OutputTable[GroupByKey]=OutputTable[[#This Row],[GroupByKey]]),(OutputTable[GroupByKey]=OutputTable[[#This Row],[GroupByKey]])*OutputTable[RecordedValue])),0)</f>
        <v>3.7037037037037035E-2</v>
      </c>
      <c r="L6" cm="1">
        <f t="array" ref="L6">IFERROR(_xlfn.STDEV.S(IF((OutputTable[GroupByKey]=OutputTable[[#This Row],[GroupByKey]]),(OutputTable[GroupByKey]=OutputTable[[#This Row],[GroupByKey]])*OutputTable[RecordedValue])),0)</f>
        <v>0.19245008972987526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6" cm="1">
        <f t="array" ref="O6">MIN(IF((OutputTable[GroupByKey]=OutputTable[[#This Row],[GroupByKey]]),(OutputTable[GroupByKey]=OutputTable[[#This Row],[GroupByKey]])*OutputTable[RecordedValue]))</f>
        <v>0</v>
      </c>
      <c r="P6" cm="1">
        <f t="array" ref="P6">MAX(IF((OutputTable[GroupByKey]=OutputTable[[#This Row],[GroupByKey]]),(OutputTable[GroupByKey]=OutputTable[[#This Row],[GroupByKey]])*OutputTable[RecordedValue]))</f>
        <v>1</v>
      </c>
    </row>
    <row r="7" spans="1:16" x14ac:dyDescent="0.25">
      <c r="A7" t="s">
        <v>68</v>
      </c>
      <c r="B7" t="s">
        <v>70</v>
      </c>
      <c r="C7">
        <v>1</v>
      </c>
      <c r="D7" t="s">
        <v>108</v>
      </c>
      <c r="E7" t="s">
        <v>102</v>
      </c>
      <c r="F7" t="s">
        <v>87</v>
      </c>
      <c r="G7">
        <v>0</v>
      </c>
      <c r="H7">
        <v>0</v>
      </c>
      <c r="I7" t="str">
        <f>OutputTable[[#This Row],[ProjectName]]&amp;OutputTable[[#This Row],[Name]]&amp;OutputTable[[#This Row],[Type]]&amp;OutputTable[[#This Row],[Source]]</f>
        <v>Escenario ASeguimiemto Number OutNumber OutProcess</v>
      </c>
      <c r="J7" cm="1">
        <f t="array" ref="J7">MAX(IF((ProjectInfoTable[ProjectName]=OutputTable[[#This Row],[ProjectName]]),(ProjectInfoTable[ProjectName]=OutputTable[[#This Row],[ProjectName]])*ProjectInfoTable[NumberOfReplications]))</f>
        <v>27</v>
      </c>
      <c r="K7" cm="1">
        <f t="array" ref="K7">IFERROR(AVERAGE(IF((OutputTable[GroupByKey]=OutputTable[[#This Row],[GroupByKey]]),(OutputTable[GroupByKey]=OutputTable[[#This Row],[GroupByKey]])*OutputTable[RecordedValue])),0)</f>
        <v>3.7037037037037035E-2</v>
      </c>
      <c r="L7" cm="1">
        <f t="array" ref="L7">IFERROR(_xlfn.STDEV.S(IF((OutputTable[GroupByKey]=OutputTable[[#This Row],[GroupByKey]]),(OutputTable[GroupByKey]=OutputTable[[#This Row],[GroupByKey]])*OutputTable[RecordedValue])),0)</f>
        <v>0.19245008972987526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7" cm="1">
        <f t="array" ref="O7">MIN(IF((OutputTable[GroupByKey]=OutputTable[[#This Row],[GroupByKey]]),(OutputTable[GroupByKey]=OutputTable[[#This Row],[GroupByKey]])*OutputTable[RecordedValue]))</f>
        <v>0</v>
      </c>
      <c r="P7" cm="1">
        <f t="array" ref="P7">MAX(IF((OutputTable[GroupByKey]=OutputTable[[#This Row],[GroupByKey]]),(OutputTable[GroupByKey]=OutputTable[[#This Row],[GroupByKey]])*OutputTable[RecordedValue]))</f>
        <v>1</v>
      </c>
    </row>
    <row r="8" spans="1:16" x14ac:dyDescent="0.25">
      <c r="A8" t="s">
        <v>68</v>
      </c>
      <c r="B8" t="s">
        <v>70</v>
      </c>
      <c r="C8">
        <v>1</v>
      </c>
      <c r="D8" t="s">
        <v>109</v>
      </c>
      <c r="E8" t="s">
        <v>102</v>
      </c>
      <c r="F8" t="s">
        <v>110</v>
      </c>
      <c r="G8">
        <v>3</v>
      </c>
      <c r="H8">
        <v>0</v>
      </c>
      <c r="I8" t="str">
        <f>OutputTable[[#This Row],[ProjectName]]&amp;OutputTable[[#This Row],[Name]]&amp;OutputTable[[#This Row],[Type]]&amp;OutputTable[[#This Row],[Source]]</f>
        <v>Escenario ASystem.NumberOutNumber OutSystem</v>
      </c>
      <c r="J8" cm="1">
        <f t="array" ref="J8">MAX(IF((ProjectInfoTable[ProjectName]=OutputTable[[#This Row],[ProjectName]]),(ProjectInfoTable[ProjectName]=OutputTable[[#This Row],[ProjectName]])*ProjectInfoTable[NumberOfReplications]))</f>
        <v>27</v>
      </c>
      <c r="K8" cm="1">
        <f t="array" ref="K8">IFERROR(AVERAGE(IF((OutputTable[GroupByKey]=OutputTable[[#This Row],[GroupByKey]]),(OutputTable[GroupByKey]=OutputTable[[#This Row],[GroupByKey]])*OutputTable[RecordedValue])),0)</f>
        <v>1.1851851851851851</v>
      </c>
      <c r="L8" cm="1">
        <f t="array" ref="L8">IFERROR(_xlfn.STDEV.S(IF((OutputTable[GroupByKey]=OutputTable[[#This Row],[GroupByKey]]),(OutputTable[GroupByKey]=OutputTable[[#This Row],[GroupByKey]])*OutputTable[RecordedValue])),0)</f>
        <v>1.0754976321197349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8" cm="1">
        <f t="array" ref="O8">MIN(IF((OutputTable[GroupByKey]=OutputTable[[#This Row],[GroupByKey]]),(OutputTable[GroupByKey]=OutputTable[[#This Row],[GroupByKey]])*OutputTable[RecordedValue]))</f>
        <v>0</v>
      </c>
      <c r="P8" cm="1">
        <f t="array" ref="P8">MAX(IF((OutputTable[GroupByKey]=OutputTable[[#This Row],[GroupByKey]]),(OutputTable[GroupByKey]=OutputTable[[#This Row],[GroupByKey]])*OutputTable[RecordedValue]))</f>
        <v>4</v>
      </c>
    </row>
    <row r="9" spans="1:16" x14ac:dyDescent="0.25">
      <c r="A9" t="s">
        <v>68</v>
      </c>
      <c r="B9" t="s">
        <v>70</v>
      </c>
      <c r="C9">
        <v>1</v>
      </c>
      <c r="D9" t="s">
        <v>111</v>
      </c>
      <c r="E9" t="s">
        <v>112</v>
      </c>
      <c r="F9" t="s">
        <v>95</v>
      </c>
      <c r="G9">
        <v>3</v>
      </c>
      <c r="H9">
        <v>0</v>
      </c>
      <c r="I9" t="str">
        <f>OutputTable[[#This Row],[ProjectName]]&amp;OutputTable[[#This Row],[Name]]&amp;OutputTable[[#This Row],[Type]]&amp;OutputTable[[#This Row],[Source]]</f>
        <v>Escenario ArEnfermera.NumberSeizedTotal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27</v>
      </c>
      <c r="K9" cm="1">
        <f t="array" ref="K9">IFERROR(AVERAGE(IF((OutputTable[GroupByKey]=OutputTable[[#This Row],[GroupByKey]]),(OutputTable[GroupByKey]=OutputTable[[#This Row],[GroupByKey]])*OutputTable[RecordedValue])),0)</f>
        <v>1.2962962962962963</v>
      </c>
      <c r="L9" cm="1">
        <f t="array" ref="L9">IFERROR(_xlfn.STDEV.S(IF((OutputTable[GroupByKey]=OutputTable[[#This Row],[GroupByKey]]),(OutputTable[GroupByKey]=OutputTable[[#This Row],[GroupByKey]])*OutputTable[RecordedValue])),0)</f>
        <v>1.1706281947614154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9" cm="1">
        <f t="array" ref="O9">MIN(IF((OutputTable[GroupByKey]=OutputTable[[#This Row],[GroupByKey]]),(OutputTable[GroupByKey]=OutputTable[[#This Row],[GroupByKey]])*OutputTable[RecordedValue]))</f>
        <v>0</v>
      </c>
      <c r="P9" cm="1">
        <f t="array" ref="P9">MAX(IF((OutputTable[GroupByKey]=OutputTable[[#This Row],[GroupByKey]]),(OutputTable[GroupByKey]=OutputTable[[#This Row],[GroupByKey]])*OutputTable[RecordedValue]))</f>
        <v>5</v>
      </c>
    </row>
    <row r="10" spans="1:16" x14ac:dyDescent="0.25">
      <c r="A10" t="s">
        <v>68</v>
      </c>
      <c r="B10" t="s">
        <v>70</v>
      </c>
      <c r="C10">
        <v>1</v>
      </c>
      <c r="D10" t="s">
        <v>113</v>
      </c>
      <c r="E10" t="s">
        <v>114</v>
      </c>
      <c r="F10" t="s">
        <v>95</v>
      </c>
      <c r="G10">
        <v>3.14767498366798E-2</v>
      </c>
      <c r="H10">
        <v>0</v>
      </c>
      <c r="I10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27</v>
      </c>
      <c r="K10" cm="1">
        <f t="array" ref="K10">IFERROR(AVERAGE(IF((OutputTable[GroupByKey]=OutputTable[[#This Row],[GroupByKey]]),(OutputTable[GroupByKey]=OutputTable[[#This Row],[GroupByKey]])*OutputTable[RecordedValue])),0)</f>
        <v>1.2223949425906553E-2</v>
      </c>
      <c r="L10" cm="1">
        <f t="array" ref="L10">IFERROR(_xlfn.STDEV.S(IF((OutputTable[GroupByKey]=OutputTable[[#This Row],[GroupByKey]]),(OutputTable[GroupByKey]=OutputTable[[#This Row],[GroupByKey]])*OutputTable[RecordedValue])),0)</f>
        <v>1.112543407769513E-2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10" cm="1">
        <f t="array" ref="O10">MIN(IF((OutputTable[GroupByKey]=OutputTable[[#This Row],[GroupByKey]]),(OutputTable[GroupByKey]=OutputTable[[#This Row],[GroupByKey]])*OutputTable[RecordedValue]))</f>
        <v>0</v>
      </c>
      <c r="P10" cm="1">
        <f t="array" ref="P10">MAX(IF((OutputTable[GroupByKey]=OutputTable[[#This Row],[GroupByKey]]),(OutputTable[GroupByKey]=OutputTable[[#This Row],[GroupByKey]])*OutputTable[RecordedValue]))</f>
        <v>4.2906548761083699E-2</v>
      </c>
    </row>
    <row r="11" spans="1:16" x14ac:dyDescent="0.25">
      <c r="A11" t="s">
        <v>68</v>
      </c>
      <c r="B11" t="s">
        <v>70</v>
      </c>
      <c r="C11">
        <v>1</v>
      </c>
      <c r="D11" t="s">
        <v>115</v>
      </c>
      <c r="E11" t="s">
        <v>112</v>
      </c>
      <c r="F11" t="s">
        <v>95</v>
      </c>
      <c r="G11">
        <v>0</v>
      </c>
      <c r="H11">
        <v>0</v>
      </c>
      <c r="I11" t="str">
        <f>OutputTable[[#This Row],[ProjectName]]&amp;OutputTable[[#This Row],[Name]]&amp;OutputTable[[#This Row],[Type]]&amp;OutputTable[[#This Row],[Source]]</f>
        <v>Escenario ArSeguimiento.NumberSeizedTotal Number SeizedResource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27</v>
      </c>
      <c r="K11" cm="1">
        <f t="array" ref="K11">IFERROR(AVERAGE(IF((OutputTable[GroupByKey]=OutputTable[[#This Row],[GroupByKey]]),(OutputTable[GroupByKey]=OutputTable[[#This Row],[GroupByKey]])*OutputTable[RecordedValue])),0)</f>
        <v>3.7037037037037035E-2</v>
      </c>
      <c r="L11" cm="1">
        <f t="array" ref="L11">IFERROR(_xlfn.STDEV.S(IF((OutputTable[GroupByKey]=OutputTable[[#This Row],[GroupByKey]]),(OutputTable[GroupByKey]=OutputTable[[#This Row],[GroupByKey]])*OutputTable[RecordedValue])),0)</f>
        <v>0.19245008972987526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1" cm="1">
        <f t="array" ref="O11">MIN(IF((OutputTable[GroupByKey]=OutputTable[[#This Row],[GroupByKey]]),(OutputTable[GroupByKey]=OutputTable[[#This Row],[GroupByKey]])*OutputTable[RecordedValue]))</f>
        <v>0</v>
      </c>
      <c r="P11" cm="1">
        <f t="array" ref="P11">MAX(IF((OutputTable[GroupByKey]=OutputTable[[#This Row],[GroupByKey]]),(OutputTable[GroupByKey]=OutputTable[[#This Row],[GroupByKey]])*OutputTable[RecordedValue]))</f>
        <v>1</v>
      </c>
    </row>
    <row r="12" spans="1:16" x14ac:dyDescent="0.25">
      <c r="A12" t="s">
        <v>68</v>
      </c>
      <c r="B12" t="s">
        <v>70</v>
      </c>
      <c r="C12">
        <v>1</v>
      </c>
      <c r="D12" t="s">
        <v>116</v>
      </c>
      <c r="E12" t="s">
        <v>114</v>
      </c>
      <c r="F12" t="s">
        <v>95</v>
      </c>
      <c r="G12">
        <v>0</v>
      </c>
      <c r="H12">
        <v>0</v>
      </c>
      <c r="I12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27</v>
      </c>
      <c r="K12" cm="1">
        <f t="array" ref="K12">IFERROR(AVERAGE(IF((OutputTable[GroupByKey]=OutputTable[[#This Row],[GroupByKey]]),(OutputTable[GroupByKey]=OutputTable[[#This Row],[GroupByKey]])*OutputTable[RecordedValue])),0)</f>
        <v>1.5859588837911111E-4</v>
      </c>
      <c r="L12" cm="1">
        <f t="array" ref="L12">IFERROR(_xlfn.STDEV.S(IF((OutputTable[GroupByKey]=OutputTable[[#This Row],[GroupByKey]]),(OutputTable[GroupByKey]=OutputTable[[#This Row],[GroupByKey]])*OutputTable[RecordedValue])),0)</f>
        <v>8.2408840963242873E-4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12" cm="1">
        <f t="array" ref="O12">MIN(IF((OutputTable[GroupByKey]=OutputTable[[#This Row],[GroupByKey]]),(OutputTable[GroupByKey]=OutputTable[[#This Row],[GroupByKey]])*OutputTable[RecordedValue]))</f>
        <v>0</v>
      </c>
      <c r="P12" cm="1">
        <f t="array" ref="P12">MAX(IF((OutputTable[GroupByKey]=OutputTable[[#This Row],[GroupByKey]]),(OutputTable[GroupByKey]=OutputTable[[#This Row],[GroupByKey]])*OutputTable[RecordedValue]))</f>
        <v>4.2820889862359999E-3</v>
      </c>
    </row>
    <row r="13" spans="1:16" x14ac:dyDescent="0.25">
      <c r="A13" t="s">
        <v>68</v>
      </c>
      <c r="B13" t="s">
        <v>70</v>
      </c>
      <c r="C13">
        <v>2</v>
      </c>
      <c r="D13" t="s">
        <v>99</v>
      </c>
      <c r="E13" t="s">
        <v>100</v>
      </c>
      <c r="F13" t="s">
        <v>73</v>
      </c>
      <c r="G13">
        <v>2</v>
      </c>
      <c r="H13">
        <v>0</v>
      </c>
      <c r="I13" t="str">
        <f>OutputTable[[#This Row],[ProjectName]]&amp;OutputTable[[#This Row],[Name]]&amp;OutputTable[[#This Row],[Type]]&amp;OutputTable[[#This Row],[Source]]</f>
        <v>Escenario AEntity 1.NumberInNumber InEntity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27</v>
      </c>
      <c r="K13" cm="1">
        <f t="array" ref="K13">IFERROR(AVERAGE(IF((OutputTable[GroupByKey]=OutputTable[[#This Row],[GroupByKey]]),(OutputTable[GroupByKey]=OutputTable[[#This Row],[GroupByKey]])*OutputTable[RecordedValue])),0)</f>
        <v>1.2962962962962963</v>
      </c>
      <c r="L13" cm="1">
        <f t="array" ref="L13">IFERROR(_xlfn.STDEV.S(IF((OutputTable[GroupByKey]=OutputTable[[#This Row],[GroupByKey]]),(OutputTable[GroupByKey]=OutputTable[[#This Row],[GroupByKey]])*OutputTable[RecordedValue])),0)</f>
        <v>1.1706281947614154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13" cm="1">
        <f t="array" ref="O13">MIN(IF((OutputTable[GroupByKey]=OutputTable[[#This Row],[GroupByKey]]),(OutputTable[GroupByKey]=OutputTable[[#This Row],[GroupByKey]])*OutputTable[RecordedValue]))</f>
        <v>0</v>
      </c>
      <c r="P13" cm="1">
        <f t="array" ref="P13">MAX(IF((OutputTable[GroupByKey]=OutputTable[[#This Row],[GroupByKey]]),(OutputTable[GroupByKey]=OutputTable[[#This Row],[GroupByKey]])*OutputTable[RecordedValue]))</f>
        <v>5</v>
      </c>
    </row>
    <row r="14" spans="1:16" x14ac:dyDescent="0.25">
      <c r="A14" t="s">
        <v>68</v>
      </c>
      <c r="B14" t="s">
        <v>70</v>
      </c>
      <c r="C14">
        <v>2</v>
      </c>
      <c r="D14" t="s">
        <v>101</v>
      </c>
      <c r="E14" t="s">
        <v>102</v>
      </c>
      <c r="F14" t="s">
        <v>73</v>
      </c>
      <c r="G14">
        <v>2</v>
      </c>
      <c r="H14">
        <v>0</v>
      </c>
      <c r="I14" t="str">
        <f>OutputTable[[#This Row],[ProjectName]]&amp;OutputTable[[#This Row],[Name]]&amp;OutputTable[[#This Row],[Type]]&amp;OutputTable[[#This Row],[Source]]</f>
        <v>Escenario AEntity 1.NumberOutNumber OutEntity</v>
      </c>
      <c r="J14" cm="1">
        <f t="array" ref="J14">MAX(IF((ProjectInfoTable[ProjectName]=OutputTable[[#This Row],[ProjectName]]),(ProjectInfoTable[ProjectName]=OutputTable[[#This Row],[ProjectName]])*ProjectInfoTable[NumberOfReplications]))</f>
        <v>27</v>
      </c>
      <c r="K14" cm="1">
        <f t="array" ref="K14">IFERROR(AVERAGE(IF((OutputTable[GroupByKey]=OutputTable[[#This Row],[GroupByKey]]),(OutputTable[GroupByKey]=OutputTable[[#This Row],[GroupByKey]])*OutputTable[RecordedValue])),0)</f>
        <v>1.1851851851851851</v>
      </c>
      <c r="L14" cm="1">
        <f t="array" ref="L14">IFERROR(_xlfn.STDEV.S(IF((OutputTable[GroupByKey]=OutputTable[[#This Row],[GroupByKey]]),(OutputTable[GroupByKey]=OutputTable[[#This Row],[GroupByKey]])*OutputTable[RecordedValue])),0)</f>
        <v>1.0754976321197349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14" cm="1">
        <f t="array" ref="O14">MIN(IF((OutputTable[GroupByKey]=OutputTable[[#This Row],[GroupByKey]]),(OutputTable[GroupByKey]=OutputTable[[#This Row],[GroupByKey]])*OutputTable[RecordedValue]))</f>
        <v>0</v>
      </c>
      <c r="P14" cm="1">
        <f t="array" ref="P14">MAX(IF((OutputTable[GroupByKey]=OutputTable[[#This Row],[GroupByKey]]),(OutputTable[GroupByKey]=OutputTable[[#This Row],[GroupByKey]])*OutputTable[RecordedValue]))</f>
        <v>4</v>
      </c>
    </row>
    <row r="15" spans="1:16" x14ac:dyDescent="0.25">
      <c r="A15" t="s">
        <v>68</v>
      </c>
      <c r="B15" t="s">
        <v>70</v>
      </c>
      <c r="C15">
        <v>2</v>
      </c>
      <c r="D15" t="s">
        <v>103</v>
      </c>
      <c r="E15" t="s">
        <v>104</v>
      </c>
      <c r="F15" t="s">
        <v>87</v>
      </c>
      <c r="G15">
        <v>0</v>
      </c>
      <c r="H15">
        <v>0</v>
      </c>
      <c r="I15" t="str">
        <f>OutputTable[[#This Row],[ProjectName]]&amp;OutputTable[[#This Row],[Name]]&amp;OutputTable[[#This Row],[Type]]&amp;OutputTable[[#This Row],[Source]]</f>
        <v>Escenario ASeguimiemto Accum VA TimeAccum VA TimeProcess</v>
      </c>
      <c r="J15" cm="1">
        <f t="array" ref="J15">MAX(IF((ProjectInfoTable[ProjectName]=OutputTable[[#This Row],[ProjectName]]),(ProjectInfoTable[ProjectName]=OutputTable[[#This Row],[ProjectName]])*ProjectInfoTable[NumberOfReplications]))</f>
        <v>27</v>
      </c>
      <c r="K15" cm="1">
        <f t="array" ref="K15">IFERROR(AVERAGE(IF((OutputTable[GroupByKey]=OutputTable[[#This Row],[GroupByKey]]),(OutputTable[GroupByKey]=OutputTable[[#This Row],[GroupByKey]])*OutputTable[RecordedValue])),0)</f>
        <v>9.5157533027466656E-2</v>
      </c>
      <c r="L15" cm="1">
        <f t="array" ref="L15">IFERROR(_xlfn.STDEV.S(IF((OutputTable[GroupByKey]=OutputTable[[#This Row],[GroupByKey]]),(OutputTable[GroupByKey]=OutputTable[[#This Row],[GroupByKey]])*OutputTable[RecordedValue])),0)</f>
        <v>0.4944530457794572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15" cm="1">
        <f t="array" ref="O15">MIN(IF((OutputTable[GroupByKey]=OutputTable[[#This Row],[GroupByKey]]),(OutputTable[GroupByKey]=OutputTable[[#This Row],[GroupByKey]])*OutputTable[RecordedValue]))</f>
        <v>0</v>
      </c>
      <c r="P15" cm="1">
        <f t="array" ref="P15">MAX(IF((OutputTable[GroupByKey]=OutputTable[[#This Row],[GroupByKey]]),(OutputTable[GroupByKey]=OutputTable[[#This Row],[GroupByKey]])*OutputTable[RecordedValue]))</f>
        <v>2.5692533917415998</v>
      </c>
    </row>
    <row r="16" spans="1:16" x14ac:dyDescent="0.25">
      <c r="A16" t="s">
        <v>68</v>
      </c>
      <c r="B16" t="s">
        <v>70</v>
      </c>
      <c r="C16">
        <v>2</v>
      </c>
      <c r="D16" t="s">
        <v>105</v>
      </c>
      <c r="E16" t="s">
        <v>106</v>
      </c>
      <c r="F16" t="s">
        <v>87</v>
      </c>
      <c r="G16">
        <v>0</v>
      </c>
      <c r="H16">
        <v>0</v>
      </c>
      <c r="I16" t="str">
        <f>OutputTable[[#This Row],[ProjectName]]&amp;OutputTable[[#This Row],[Name]]&amp;OutputTable[[#This Row],[Type]]&amp;OutputTable[[#This Row],[Source]]</f>
        <v>Escenario ASeguimiemto Accum Wait TimeAccum Wait TimeProcess</v>
      </c>
      <c r="J16" cm="1">
        <f t="array" ref="J16">MAX(IF((ProjectInfoTable[ProjectName]=OutputTable[[#This Row],[ProjectName]]),(ProjectInfoTable[ProjectName]=OutputTable[[#This Row],[ProjectName]])*ProjectInfoTable[NumberOfReplications]))</f>
        <v>27</v>
      </c>
      <c r="K16" cm="1">
        <f t="array" ref="K16">IFERROR(AVERAGE(IF((OutputTable[GroupByKey]=OutputTable[[#This Row],[GroupByKey]]),(OutputTable[GroupByKey]=OutputTable[[#This Row],[GroupByKey]])*OutputTable[RecordedValue])),0)</f>
        <v>0</v>
      </c>
      <c r="L16" cm="1">
        <f t="array" ref="L16">IFERROR(_xlfn.STDEV.S(IF((OutputTable[GroupByKey]=OutputTable[[#This Row],[GroupByKey]]),(OutputTable[GroupByKey]=OutputTable[[#This Row],[GroupByKey]])*OutputTable[RecordedValue])),0)</f>
        <v>0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" cm="1">
        <f t="array" ref="O16">MIN(IF((OutputTable[GroupByKey]=OutputTable[[#This Row],[GroupByKey]]),(OutputTable[GroupByKey]=OutputTable[[#This Row],[GroupByKey]])*OutputTable[RecordedValue]))</f>
        <v>0</v>
      </c>
      <c r="P16" cm="1">
        <f t="array" ref="P16">MAX(IF((OutputTable[GroupByKey]=OutputTable[[#This Row],[GroupByKey]]),(OutputTable[GroupByKey]=OutputTable[[#This Row],[GroupByKey]])*OutputTable[RecordedValue]))</f>
        <v>0</v>
      </c>
    </row>
    <row r="17" spans="1:16" x14ac:dyDescent="0.25">
      <c r="A17" t="s">
        <v>68</v>
      </c>
      <c r="B17" t="s">
        <v>70</v>
      </c>
      <c r="C17">
        <v>2</v>
      </c>
      <c r="D17" t="s">
        <v>107</v>
      </c>
      <c r="E17" t="s">
        <v>100</v>
      </c>
      <c r="F17" t="s">
        <v>87</v>
      </c>
      <c r="G17">
        <v>0</v>
      </c>
      <c r="H17">
        <v>0</v>
      </c>
      <c r="I17" t="str">
        <f>OutputTable[[#This Row],[ProjectName]]&amp;OutputTable[[#This Row],[Name]]&amp;OutputTable[[#This Row],[Type]]&amp;OutputTable[[#This Row],[Source]]</f>
        <v>Escenario ASeguimiemto Number InNumber InProcess</v>
      </c>
      <c r="J17" cm="1">
        <f t="array" ref="J17">MAX(IF((ProjectInfoTable[ProjectName]=OutputTable[[#This Row],[ProjectName]]),(ProjectInfoTable[ProjectName]=OutputTable[[#This Row],[ProjectName]])*ProjectInfoTable[NumberOfReplications]))</f>
        <v>27</v>
      </c>
      <c r="K17" cm="1">
        <f t="array" ref="K17">IFERROR(AVERAGE(IF((OutputTable[GroupByKey]=OutputTable[[#This Row],[GroupByKey]]),(OutputTable[GroupByKey]=OutputTable[[#This Row],[GroupByKey]])*OutputTable[RecordedValue])),0)</f>
        <v>3.7037037037037035E-2</v>
      </c>
      <c r="L17" cm="1">
        <f t="array" ref="L17">IFERROR(_xlfn.STDEV.S(IF((OutputTable[GroupByKey]=OutputTable[[#This Row],[GroupByKey]]),(OutputTable[GroupByKey]=OutputTable[[#This Row],[GroupByKey]])*OutputTable[RecordedValue])),0)</f>
        <v>0.19245008972987526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7" cm="1">
        <f t="array" ref="O17">MIN(IF((OutputTable[GroupByKey]=OutputTable[[#This Row],[GroupByKey]]),(OutputTable[GroupByKey]=OutputTable[[#This Row],[GroupByKey]])*OutputTable[RecordedValue]))</f>
        <v>0</v>
      </c>
      <c r="P17" cm="1">
        <f t="array" ref="P17">MAX(IF((OutputTable[GroupByKey]=OutputTable[[#This Row],[GroupByKey]]),(OutputTable[GroupByKey]=OutputTable[[#This Row],[GroupByKey]])*OutputTable[RecordedValue]))</f>
        <v>1</v>
      </c>
    </row>
    <row r="18" spans="1:16" x14ac:dyDescent="0.25">
      <c r="A18" t="s">
        <v>68</v>
      </c>
      <c r="B18" t="s">
        <v>70</v>
      </c>
      <c r="C18">
        <v>2</v>
      </c>
      <c r="D18" t="s">
        <v>108</v>
      </c>
      <c r="E18" t="s">
        <v>102</v>
      </c>
      <c r="F18" t="s">
        <v>87</v>
      </c>
      <c r="G18">
        <v>0</v>
      </c>
      <c r="H18">
        <v>0</v>
      </c>
      <c r="I18" t="str">
        <f>OutputTable[[#This Row],[ProjectName]]&amp;OutputTable[[#This Row],[Name]]&amp;OutputTable[[#This Row],[Type]]&amp;OutputTable[[#This Row],[Source]]</f>
        <v>Escenario ASeguimiemto Number OutNumber OutProcess</v>
      </c>
      <c r="J18" cm="1">
        <f t="array" ref="J18">MAX(IF((ProjectInfoTable[ProjectName]=OutputTable[[#This Row],[ProjectName]]),(ProjectInfoTable[ProjectName]=OutputTable[[#This Row],[ProjectName]])*ProjectInfoTable[NumberOfReplications]))</f>
        <v>27</v>
      </c>
      <c r="K18" cm="1">
        <f t="array" ref="K18">IFERROR(AVERAGE(IF((OutputTable[GroupByKey]=OutputTable[[#This Row],[GroupByKey]]),(OutputTable[GroupByKey]=OutputTable[[#This Row],[GroupByKey]])*OutputTable[RecordedValue])),0)</f>
        <v>3.7037037037037035E-2</v>
      </c>
      <c r="L18" cm="1">
        <f t="array" ref="L18">IFERROR(_xlfn.STDEV.S(IF((OutputTable[GroupByKey]=OutputTable[[#This Row],[GroupByKey]]),(OutputTable[GroupByKey]=OutputTable[[#This Row],[GroupByKey]])*OutputTable[RecordedValue])),0)</f>
        <v>0.19245008972987526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8" cm="1">
        <f t="array" ref="O18">MIN(IF((OutputTable[GroupByKey]=OutputTable[[#This Row],[GroupByKey]]),(OutputTable[GroupByKey]=OutputTable[[#This Row],[GroupByKey]])*OutputTable[RecordedValue]))</f>
        <v>0</v>
      </c>
      <c r="P18" cm="1">
        <f t="array" ref="P18">MAX(IF((OutputTable[GroupByKey]=OutputTable[[#This Row],[GroupByKey]]),(OutputTable[GroupByKey]=OutputTable[[#This Row],[GroupByKey]])*OutputTable[RecordedValue]))</f>
        <v>1</v>
      </c>
    </row>
    <row r="19" spans="1:16" x14ac:dyDescent="0.25">
      <c r="A19" t="s">
        <v>68</v>
      </c>
      <c r="B19" t="s">
        <v>70</v>
      </c>
      <c r="C19">
        <v>2</v>
      </c>
      <c r="D19" t="s">
        <v>109</v>
      </c>
      <c r="E19" t="s">
        <v>102</v>
      </c>
      <c r="F19" t="s">
        <v>110</v>
      </c>
      <c r="G19">
        <v>2</v>
      </c>
      <c r="H19">
        <v>0</v>
      </c>
      <c r="I19" t="str">
        <f>OutputTable[[#This Row],[ProjectName]]&amp;OutputTable[[#This Row],[Name]]&amp;OutputTable[[#This Row],[Type]]&amp;OutputTable[[#This Row],[Source]]</f>
        <v>Escenario ASystem.NumberOutNumber OutSystem</v>
      </c>
      <c r="J19" cm="1">
        <f t="array" ref="J19">MAX(IF((ProjectInfoTable[ProjectName]=OutputTable[[#This Row],[ProjectName]]),(ProjectInfoTable[ProjectName]=OutputTable[[#This Row],[ProjectName]])*ProjectInfoTable[NumberOfReplications]))</f>
        <v>27</v>
      </c>
      <c r="K19" cm="1">
        <f t="array" ref="K19">IFERROR(AVERAGE(IF((OutputTable[GroupByKey]=OutputTable[[#This Row],[GroupByKey]]),(OutputTable[GroupByKey]=OutputTable[[#This Row],[GroupByKey]])*OutputTable[RecordedValue])),0)</f>
        <v>1.1851851851851851</v>
      </c>
      <c r="L19" cm="1">
        <f t="array" ref="L19">IFERROR(_xlfn.STDEV.S(IF((OutputTable[GroupByKey]=OutputTable[[#This Row],[GroupByKey]]),(OutputTable[GroupByKey]=OutputTable[[#This Row],[GroupByKey]])*OutputTable[RecordedValue])),0)</f>
        <v>1.0754976321197349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19" cm="1">
        <f t="array" ref="O19">MIN(IF((OutputTable[GroupByKey]=OutputTable[[#This Row],[GroupByKey]]),(OutputTable[GroupByKey]=OutputTable[[#This Row],[GroupByKey]])*OutputTable[RecordedValue]))</f>
        <v>0</v>
      </c>
      <c r="P19" cm="1">
        <f t="array" ref="P19">MAX(IF((OutputTable[GroupByKey]=OutputTable[[#This Row],[GroupByKey]]),(OutputTable[GroupByKey]=OutputTable[[#This Row],[GroupByKey]])*OutputTable[RecordedValue]))</f>
        <v>4</v>
      </c>
    </row>
    <row r="20" spans="1:16" x14ac:dyDescent="0.25">
      <c r="A20" t="s">
        <v>68</v>
      </c>
      <c r="B20" t="s">
        <v>70</v>
      </c>
      <c r="C20">
        <v>2</v>
      </c>
      <c r="D20" t="s">
        <v>111</v>
      </c>
      <c r="E20" t="s">
        <v>112</v>
      </c>
      <c r="F20" t="s">
        <v>95</v>
      </c>
      <c r="G20">
        <v>2</v>
      </c>
      <c r="H20">
        <v>0</v>
      </c>
      <c r="I20" t="str">
        <f>OutputTable[[#This Row],[ProjectName]]&amp;OutputTable[[#This Row],[Name]]&amp;OutputTable[[#This Row],[Type]]&amp;OutputTable[[#This Row],[Source]]</f>
        <v>Escenario ArEnfermera.NumberSeizedTotal Number SeizedResource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27</v>
      </c>
      <c r="K20" cm="1">
        <f t="array" ref="K20">IFERROR(AVERAGE(IF((OutputTable[GroupByKey]=OutputTable[[#This Row],[GroupByKey]]),(OutputTable[GroupByKey]=OutputTable[[#This Row],[GroupByKey]])*OutputTable[RecordedValue])),0)</f>
        <v>1.2962962962962963</v>
      </c>
      <c r="L20" cm="1">
        <f t="array" ref="L20">IFERROR(_xlfn.STDEV.S(IF((OutputTable[GroupByKey]=OutputTable[[#This Row],[GroupByKey]]),(OutputTable[GroupByKey]=OutputTable[[#This Row],[GroupByKey]])*OutputTable[RecordedValue])),0)</f>
        <v>1.1706281947614154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20" cm="1">
        <f t="array" ref="O20">MIN(IF((OutputTable[GroupByKey]=OutputTable[[#This Row],[GroupByKey]]),(OutputTable[GroupByKey]=OutputTable[[#This Row],[GroupByKey]])*OutputTable[RecordedValue]))</f>
        <v>0</v>
      </c>
      <c r="P20" cm="1">
        <f t="array" ref="P20">MAX(IF((OutputTable[GroupByKey]=OutputTable[[#This Row],[GroupByKey]]),(OutputTable[GroupByKey]=OutputTable[[#This Row],[GroupByKey]])*OutputTable[RecordedValue]))</f>
        <v>5</v>
      </c>
    </row>
    <row r="21" spans="1:16" x14ac:dyDescent="0.25">
      <c r="A21" t="s">
        <v>68</v>
      </c>
      <c r="B21" t="s">
        <v>70</v>
      </c>
      <c r="C21">
        <v>2</v>
      </c>
      <c r="D21" t="s">
        <v>113</v>
      </c>
      <c r="E21" t="s">
        <v>114</v>
      </c>
      <c r="F21" t="s">
        <v>95</v>
      </c>
      <c r="G21">
        <v>1.97090115347902E-2</v>
      </c>
      <c r="H21">
        <v>0</v>
      </c>
      <c r="I21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21" cm="1">
        <f t="array" ref="J21">MAX(IF((ProjectInfoTable[ProjectName]=OutputTable[[#This Row],[ProjectName]]),(ProjectInfoTable[ProjectName]=OutputTable[[#This Row],[ProjectName]])*ProjectInfoTable[NumberOfReplications]))</f>
        <v>27</v>
      </c>
      <c r="K21" cm="1">
        <f t="array" ref="K21">IFERROR(AVERAGE(IF((OutputTable[GroupByKey]=OutputTable[[#This Row],[GroupByKey]]),(OutputTable[GroupByKey]=OutputTable[[#This Row],[GroupByKey]])*OutputTable[RecordedValue])),0)</f>
        <v>1.2223949425906553E-2</v>
      </c>
      <c r="L21" cm="1">
        <f t="array" ref="L21">IFERROR(_xlfn.STDEV.S(IF((OutputTable[GroupByKey]=OutputTable[[#This Row],[GroupByKey]]),(OutputTable[GroupByKey]=OutputTable[[#This Row],[GroupByKey]])*OutputTable[RecordedValue])),0)</f>
        <v>1.112543407769513E-2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21" cm="1">
        <f t="array" ref="O21">MIN(IF((OutputTable[GroupByKey]=OutputTable[[#This Row],[GroupByKey]]),(OutputTable[GroupByKey]=OutputTable[[#This Row],[GroupByKey]])*OutputTable[RecordedValue]))</f>
        <v>0</v>
      </c>
      <c r="P21" cm="1">
        <f t="array" ref="P21">MAX(IF((OutputTable[GroupByKey]=OutputTable[[#This Row],[GroupByKey]]),(OutputTable[GroupByKey]=OutputTable[[#This Row],[GroupByKey]])*OutputTable[RecordedValue]))</f>
        <v>4.2906548761083699E-2</v>
      </c>
    </row>
    <row r="22" spans="1:16" x14ac:dyDescent="0.25">
      <c r="A22" t="s">
        <v>68</v>
      </c>
      <c r="B22" t="s">
        <v>70</v>
      </c>
      <c r="C22">
        <v>2</v>
      </c>
      <c r="D22" t="s">
        <v>115</v>
      </c>
      <c r="E22" t="s">
        <v>112</v>
      </c>
      <c r="F22" t="s">
        <v>95</v>
      </c>
      <c r="G22">
        <v>0</v>
      </c>
      <c r="H22">
        <v>0</v>
      </c>
      <c r="I22" t="str">
        <f>OutputTable[[#This Row],[ProjectName]]&amp;OutputTable[[#This Row],[Name]]&amp;OutputTable[[#This Row],[Type]]&amp;OutputTable[[#This Row],[Source]]</f>
        <v>Escenario ArSeguimiento.NumberSeizedTotal Number SeizedResource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27</v>
      </c>
      <c r="K22" cm="1">
        <f t="array" ref="K22">IFERROR(AVERAGE(IF((OutputTable[GroupByKey]=OutputTable[[#This Row],[GroupByKey]]),(OutputTable[GroupByKey]=OutputTable[[#This Row],[GroupByKey]])*OutputTable[RecordedValue])),0)</f>
        <v>3.7037037037037035E-2</v>
      </c>
      <c r="L22" cm="1">
        <f t="array" ref="L22">IFERROR(_xlfn.STDEV.S(IF((OutputTable[GroupByKey]=OutputTable[[#This Row],[GroupByKey]]),(OutputTable[GroupByKey]=OutputTable[[#This Row],[GroupByKey]])*OutputTable[RecordedValue])),0)</f>
        <v>0.19245008972987526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2" cm="1">
        <f t="array" ref="O22">MIN(IF((OutputTable[GroupByKey]=OutputTable[[#This Row],[GroupByKey]]),(OutputTable[GroupByKey]=OutputTable[[#This Row],[GroupByKey]])*OutputTable[RecordedValue]))</f>
        <v>0</v>
      </c>
      <c r="P22" cm="1">
        <f t="array" ref="P22">MAX(IF((OutputTable[GroupByKey]=OutputTable[[#This Row],[GroupByKey]]),(OutputTable[GroupByKey]=OutputTable[[#This Row],[GroupByKey]])*OutputTable[RecordedValue]))</f>
        <v>1</v>
      </c>
    </row>
    <row r="23" spans="1:16" x14ac:dyDescent="0.25">
      <c r="A23" t="s">
        <v>68</v>
      </c>
      <c r="B23" t="s">
        <v>70</v>
      </c>
      <c r="C23">
        <v>2</v>
      </c>
      <c r="D23" t="s">
        <v>116</v>
      </c>
      <c r="E23" t="s">
        <v>114</v>
      </c>
      <c r="F23" t="s">
        <v>95</v>
      </c>
      <c r="G23">
        <v>0</v>
      </c>
      <c r="H23">
        <v>0</v>
      </c>
      <c r="I23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23" cm="1">
        <f t="array" ref="J23">MAX(IF((ProjectInfoTable[ProjectName]=OutputTable[[#This Row],[ProjectName]]),(ProjectInfoTable[ProjectName]=OutputTable[[#This Row],[ProjectName]])*ProjectInfoTable[NumberOfReplications]))</f>
        <v>27</v>
      </c>
      <c r="K23" cm="1">
        <f t="array" ref="K23">IFERROR(AVERAGE(IF((OutputTable[GroupByKey]=OutputTable[[#This Row],[GroupByKey]]),(OutputTable[GroupByKey]=OutputTable[[#This Row],[GroupByKey]])*OutputTable[RecordedValue])),0)</f>
        <v>1.5859588837911111E-4</v>
      </c>
      <c r="L23" cm="1">
        <f t="array" ref="L23">IFERROR(_xlfn.STDEV.S(IF((OutputTable[GroupByKey]=OutputTable[[#This Row],[GroupByKey]]),(OutputTable[GroupByKey]=OutputTable[[#This Row],[GroupByKey]])*OutputTable[RecordedValue])),0)</f>
        <v>8.2408840963242873E-4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23" cm="1">
        <f t="array" ref="O23">MIN(IF((OutputTable[GroupByKey]=OutputTable[[#This Row],[GroupByKey]]),(OutputTable[GroupByKey]=OutputTable[[#This Row],[GroupByKey]])*OutputTable[RecordedValue]))</f>
        <v>0</v>
      </c>
      <c r="P23" cm="1">
        <f t="array" ref="P23">MAX(IF((OutputTable[GroupByKey]=OutputTable[[#This Row],[GroupByKey]]),(OutputTable[GroupByKey]=OutputTable[[#This Row],[GroupByKey]])*OutputTable[RecordedValue]))</f>
        <v>4.2820889862359999E-3</v>
      </c>
    </row>
    <row r="24" spans="1:16" x14ac:dyDescent="0.25">
      <c r="A24" t="s">
        <v>68</v>
      </c>
      <c r="B24" t="s">
        <v>70</v>
      </c>
      <c r="C24">
        <v>3</v>
      </c>
      <c r="D24" t="s">
        <v>99</v>
      </c>
      <c r="E24" t="s">
        <v>100</v>
      </c>
      <c r="F24" t="s">
        <v>73</v>
      </c>
      <c r="G24">
        <v>1</v>
      </c>
      <c r="H24">
        <v>0</v>
      </c>
      <c r="I24" t="str">
        <f>OutputTable[[#This Row],[ProjectName]]&amp;OutputTable[[#This Row],[Name]]&amp;OutputTable[[#This Row],[Type]]&amp;OutputTable[[#This Row],[Source]]</f>
        <v>Escenario AEntity 1.NumberInNumber InEntity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27</v>
      </c>
      <c r="K24" cm="1">
        <f t="array" ref="K24">IFERROR(AVERAGE(IF((OutputTable[GroupByKey]=OutputTable[[#This Row],[GroupByKey]]),(OutputTable[GroupByKey]=OutputTable[[#This Row],[GroupByKey]])*OutputTable[RecordedValue])),0)</f>
        <v>1.2962962962962963</v>
      </c>
      <c r="L24" cm="1">
        <f t="array" ref="L24">IFERROR(_xlfn.STDEV.S(IF((OutputTable[GroupByKey]=OutputTable[[#This Row],[GroupByKey]]),(OutputTable[GroupByKey]=OutputTable[[#This Row],[GroupByKey]])*OutputTable[RecordedValue])),0)</f>
        <v>1.1706281947614154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24" cm="1">
        <f t="array" ref="O24">MIN(IF((OutputTable[GroupByKey]=OutputTable[[#This Row],[GroupByKey]]),(OutputTable[GroupByKey]=OutputTable[[#This Row],[GroupByKey]])*OutputTable[RecordedValue]))</f>
        <v>0</v>
      </c>
      <c r="P24" cm="1">
        <f t="array" ref="P24">MAX(IF((OutputTable[GroupByKey]=OutputTable[[#This Row],[GroupByKey]]),(OutputTable[GroupByKey]=OutputTable[[#This Row],[GroupByKey]])*OutputTable[RecordedValue]))</f>
        <v>5</v>
      </c>
    </row>
    <row r="25" spans="1:16" x14ac:dyDescent="0.25">
      <c r="A25" t="s">
        <v>68</v>
      </c>
      <c r="B25" t="s">
        <v>70</v>
      </c>
      <c r="C25">
        <v>3</v>
      </c>
      <c r="D25" t="s">
        <v>101</v>
      </c>
      <c r="E25" t="s">
        <v>102</v>
      </c>
      <c r="F25" t="s">
        <v>73</v>
      </c>
      <c r="G25">
        <v>1</v>
      </c>
      <c r="H25">
        <v>0</v>
      </c>
      <c r="I25" t="str">
        <f>OutputTable[[#This Row],[ProjectName]]&amp;OutputTable[[#This Row],[Name]]&amp;OutputTable[[#This Row],[Type]]&amp;OutputTable[[#This Row],[Source]]</f>
        <v>Escenario AEntity 1.NumberOutNumber OutEntity</v>
      </c>
      <c r="J25" cm="1">
        <f t="array" ref="J25">MAX(IF((ProjectInfoTable[ProjectName]=OutputTable[[#This Row],[ProjectName]]),(ProjectInfoTable[ProjectName]=OutputTable[[#This Row],[ProjectName]])*ProjectInfoTable[NumberOfReplications]))</f>
        <v>27</v>
      </c>
      <c r="K25" cm="1">
        <f t="array" ref="K25">IFERROR(AVERAGE(IF((OutputTable[GroupByKey]=OutputTable[[#This Row],[GroupByKey]]),(OutputTable[GroupByKey]=OutputTable[[#This Row],[GroupByKey]])*OutputTable[RecordedValue])),0)</f>
        <v>1.1851851851851851</v>
      </c>
      <c r="L25" cm="1">
        <f t="array" ref="L25">IFERROR(_xlfn.STDEV.S(IF((OutputTable[GroupByKey]=OutputTable[[#This Row],[GroupByKey]]),(OutputTable[GroupByKey]=OutputTable[[#This Row],[GroupByKey]])*OutputTable[RecordedValue])),0)</f>
        <v>1.0754976321197349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25" cm="1">
        <f t="array" ref="O25">MIN(IF((OutputTable[GroupByKey]=OutputTable[[#This Row],[GroupByKey]]),(OutputTable[GroupByKey]=OutputTable[[#This Row],[GroupByKey]])*OutputTable[RecordedValue]))</f>
        <v>0</v>
      </c>
      <c r="P25" cm="1">
        <f t="array" ref="P25">MAX(IF((OutputTable[GroupByKey]=OutputTable[[#This Row],[GroupByKey]]),(OutputTable[GroupByKey]=OutputTable[[#This Row],[GroupByKey]])*OutputTable[RecordedValue]))</f>
        <v>4</v>
      </c>
    </row>
    <row r="26" spans="1:16" x14ac:dyDescent="0.25">
      <c r="A26" t="s">
        <v>68</v>
      </c>
      <c r="B26" t="s">
        <v>70</v>
      </c>
      <c r="C26">
        <v>3</v>
      </c>
      <c r="D26" t="s">
        <v>103</v>
      </c>
      <c r="E26" t="s">
        <v>104</v>
      </c>
      <c r="F26" t="s">
        <v>87</v>
      </c>
      <c r="G26">
        <v>0</v>
      </c>
      <c r="H26">
        <v>0</v>
      </c>
      <c r="I26" t="str">
        <f>OutputTable[[#This Row],[ProjectName]]&amp;OutputTable[[#This Row],[Name]]&amp;OutputTable[[#This Row],[Type]]&amp;OutputTable[[#This Row],[Source]]</f>
        <v>Escenario ASeguimiemto Accum VA TimeAccum VA TimeProcess</v>
      </c>
      <c r="J26" cm="1">
        <f t="array" ref="J26">MAX(IF((ProjectInfoTable[ProjectName]=OutputTable[[#This Row],[ProjectName]]),(ProjectInfoTable[ProjectName]=OutputTable[[#This Row],[ProjectName]])*ProjectInfoTable[NumberOfReplications]))</f>
        <v>27</v>
      </c>
      <c r="K26" cm="1">
        <f t="array" ref="K26">IFERROR(AVERAGE(IF((OutputTable[GroupByKey]=OutputTable[[#This Row],[GroupByKey]]),(OutputTable[GroupByKey]=OutputTable[[#This Row],[GroupByKey]])*OutputTable[RecordedValue])),0)</f>
        <v>9.5157533027466656E-2</v>
      </c>
      <c r="L26" cm="1">
        <f t="array" ref="L26">IFERROR(_xlfn.STDEV.S(IF((OutputTable[GroupByKey]=OutputTable[[#This Row],[GroupByKey]]),(OutputTable[GroupByKey]=OutputTable[[#This Row],[GroupByKey]])*OutputTable[RecordedValue])),0)</f>
        <v>0.4944530457794572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26" cm="1">
        <f t="array" ref="O26">MIN(IF((OutputTable[GroupByKey]=OutputTable[[#This Row],[GroupByKey]]),(OutputTable[GroupByKey]=OutputTable[[#This Row],[GroupByKey]])*OutputTable[RecordedValue]))</f>
        <v>0</v>
      </c>
      <c r="P26" cm="1">
        <f t="array" ref="P26">MAX(IF((OutputTable[GroupByKey]=OutputTable[[#This Row],[GroupByKey]]),(OutputTable[GroupByKey]=OutputTable[[#This Row],[GroupByKey]])*OutputTable[RecordedValue]))</f>
        <v>2.5692533917415998</v>
      </c>
    </row>
    <row r="27" spans="1:16" x14ac:dyDescent="0.25">
      <c r="A27" t="s">
        <v>68</v>
      </c>
      <c r="B27" t="s">
        <v>70</v>
      </c>
      <c r="C27">
        <v>3</v>
      </c>
      <c r="D27" t="s">
        <v>105</v>
      </c>
      <c r="E27" t="s">
        <v>106</v>
      </c>
      <c r="F27" t="s">
        <v>87</v>
      </c>
      <c r="G27">
        <v>0</v>
      </c>
      <c r="H27">
        <v>0</v>
      </c>
      <c r="I27" t="str">
        <f>OutputTable[[#This Row],[ProjectName]]&amp;OutputTable[[#This Row],[Name]]&amp;OutputTable[[#This Row],[Type]]&amp;OutputTable[[#This Row],[Source]]</f>
        <v>Escenario ASeguimiemto Accum Wait TimeAccum Wait TimeProcess</v>
      </c>
      <c r="J27" cm="1">
        <f t="array" ref="J27">MAX(IF((ProjectInfoTable[ProjectName]=OutputTable[[#This Row],[ProjectName]]),(ProjectInfoTable[ProjectName]=OutputTable[[#This Row],[ProjectName]])*ProjectInfoTable[NumberOfReplications]))</f>
        <v>27</v>
      </c>
      <c r="K27" cm="1">
        <f t="array" ref="K27">IFERROR(AVERAGE(IF((OutputTable[GroupByKey]=OutputTable[[#This Row],[GroupByKey]]),(OutputTable[GroupByKey]=OutputTable[[#This Row],[GroupByKey]])*OutputTable[RecordedValue])),0)</f>
        <v>0</v>
      </c>
      <c r="L27" cm="1">
        <f t="array" ref="L27">IFERROR(_xlfn.STDEV.S(IF((OutputTable[GroupByKey]=OutputTable[[#This Row],[GroupByKey]]),(OutputTable[GroupByKey]=OutputTable[[#This Row],[GroupByKey]])*OutputTable[RecordedValue])),0)</f>
        <v>0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" cm="1">
        <f t="array" ref="O27">MIN(IF((OutputTable[GroupByKey]=OutputTable[[#This Row],[GroupByKey]]),(OutputTable[GroupByKey]=OutputTable[[#This Row],[GroupByKey]])*OutputTable[RecordedValue]))</f>
        <v>0</v>
      </c>
      <c r="P27" cm="1">
        <f t="array" ref="P27">MAX(IF((OutputTable[GroupByKey]=OutputTable[[#This Row],[GroupByKey]]),(OutputTable[GroupByKey]=OutputTable[[#This Row],[GroupByKey]])*OutputTable[RecordedValue]))</f>
        <v>0</v>
      </c>
    </row>
    <row r="28" spans="1:16" x14ac:dyDescent="0.25">
      <c r="A28" t="s">
        <v>68</v>
      </c>
      <c r="B28" t="s">
        <v>70</v>
      </c>
      <c r="C28">
        <v>3</v>
      </c>
      <c r="D28" t="s">
        <v>107</v>
      </c>
      <c r="E28" t="s">
        <v>100</v>
      </c>
      <c r="F28" t="s">
        <v>87</v>
      </c>
      <c r="G28">
        <v>0</v>
      </c>
      <c r="H28">
        <v>0</v>
      </c>
      <c r="I28" t="str">
        <f>OutputTable[[#This Row],[ProjectName]]&amp;OutputTable[[#This Row],[Name]]&amp;OutputTable[[#This Row],[Type]]&amp;OutputTable[[#This Row],[Source]]</f>
        <v>Escenario ASeguimiemto Number InNumber InProcess</v>
      </c>
      <c r="J28" cm="1">
        <f t="array" ref="J28">MAX(IF((ProjectInfoTable[ProjectName]=OutputTable[[#This Row],[ProjectName]]),(ProjectInfoTable[ProjectName]=OutputTable[[#This Row],[ProjectName]])*ProjectInfoTable[NumberOfReplications]))</f>
        <v>27</v>
      </c>
      <c r="K28" cm="1">
        <f t="array" ref="K28">IFERROR(AVERAGE(IF((OutputTable[GroupByKey]=OutputTable[[#This Row],[GroupByKey]]),(OutputTable[GroupByKey]=OutputTable[[#This Row],[GroupByKey]])*OutputTable[RecordedValue])),0)</f>
        <v>3.7037037037037035E-2</v>
      </c>
      <c r="L28" cm="1">
        <f t="array" ref="L28">IFERROR(_xlfn.STDEV.S(IF((OutputTable[GroupByKey]=OutputTable[[#This Row],[GroupByKey]]),(OutputTable[GroupByKey]=OutputTable[[#This Row],[GroupByKey]])*OutputTable[RecordedValue])),0)</f>
        <v>0.19245008972987526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8" cm="1">
        <f t="array" ref="O28">MIN(IF((OutputTable[GroupByKey]=OutputTable[[#This Row],[GroupByKey]]),(OutputTable[GroupByKey]=OutputTable[[#This Row],[GroupByKey]])*OutputTable[RecordedValue]))</f>
        <v>0</v>
      </c>
      <c r="P28" cm="1">
        <f t="array" ref="P28">MAX(IF((OutputTable[GroupByKey]=OutputTable[[#This Row],[GroupByKey]]),(OutputTable[GroupByKey]=OutputTable[[#This Row],[GroupByKey]])*OutputTable[RecordedValue]))</f>
        <v>1</v>
      </c>
    </row>
    <row r="29" spans="1:16" x14ac:dyDescent="0.25">
      <c r="A29" t="s">
        <v>68</v>
      </c>
      <c r="B29" t="s">
        <v>70</v>
      </c>
      <c r="C29">
        <v>3</v>
      </c>
      <c r="D29" t="s">
        <v>108</v>
      </c>
      <c r="E29" t="s">
        <v>102</v>
      </c>
      <c r="F29" t="s">
        <v>87</v>
      </c>
      <c r="G29">
        <v>0</v>
      </c>
      <c r="H29">
        <v>0</v>
      </c>
      <c r="I29" t="str">
        <f>OutputTable[[#This Row],[ProjectName]]&amp;OutputTable[[#This Row],[Name]]&amp;OutputTable[[#This Row],[Type]]&amp;OutputTable[[#This Row],[Source]]</f>
        <v>Escenario ASeguimiemto Number OutNumber OutProcess</v>
      </c>
      <c r="J29" cm="1">
        <f t="array" ref="J29">MAX(IF((ProjectInfoTable[ProjectName]=OutputTable[[#This Row],[ProjectName]]),(ProjectInfoTable[ProjectName]=OutputTable[[#This Row],[ProjectName]])*ProjectInfoTable[NumberOfReplications]))</f>
        <v>27</v>
      </c>
      <c r="K29" cm="1">
        <f t="array" ref="K29">IFERROR(AVERAGE(IF((OutputTable[GroupByKey]=OutputTable[[#This Row],[GroupByKey]]),(OutputTable[GroupByKey]=OutputTable[[#This Row],[GroupByKey]])*OutputTable[RecordedValue])),0)</f>
        <v>3.7037037037037035E-2</v>
      </c>
      <c r="L29" cm="1">
        <f t="array" ref="L29">IFERROR(_xlfn.STDEV.S(IF((OutputTable[GroupByKey]=OutputTable[[#This Row],[GroupByKey]]),(OutputTable[GroupByKey]=OutputTable[[#This Row],[GroupByKey]])*OutputTable[RecordedValue])),0)</f>
        <v>0.19245008972987526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9" cm="1">
        <f t="array" ref="O29">MIN(IF((OutputTable[GroupByKey]=OutputTable[[#This Row],[GroupByKey]]),(OutputTable[GroupByKey]=OutputTable[[#This Row],[GroupByKey]])*OutputTable[RecordedValue]))</f>
        <v>0</v>
      </c>
      <c r="P29" cm="1">
        <f t="array" ref="P29">MAX(IF((OutputTable[GroupByKey]=OutputTable[[#This Row],[GroupByKey]]),(OutputTable[GroupByKey]=OutputTable[[#This Row],[GroupByKey]])*OutputTable[RecordedValue]))</f>
        <v>1</v>
      </c>
    </row>
    <row r="30" spans="1:16" x14ac:dyDescent="0.25">
      <c r="A30" t="s">
        <v>68</v>
      </c>
      <c r="B30" t="s">
        <v>70</v>
      </c>
      <c r="C30">
        <v>3</v>
      </c>
      <c r="D30" t="s">
        <v>109</v>
      </c>
      <c r="E30" t="s">
        <v>102</v>
      </c>
      <c r="F30" t="s">
        <v>110</v>
      </c>
      <c r="G30">
        <v>1</v>
      </c>
      <c r="H30">
        <v>0</v>
      </c>
      <c r="I30" t="str">
        <f>OutputTable[[#This Row],[ProjectName]]&amp;OutputTable[[#This Row],[Name]]&amp;OutputTable[[#This Row],[Type]]&amp;OutputTable[[#This Row],[Source]]</f>
        <v>Escenario ASystem.NumberOutNumber OutSystem</v>
      </c>
      <c r="J30" cm="1">
        <f t="array" ref="J30">MAX(IF((ProjectInfoTable[ProjectName]=OutputTable[[#This Row],[ProjectName]]),(ProjectInfoTable[ProjectName]=OutputTable[[#This Row],[ProjectName]])*ProjectInfoTable[NumberOfReplications]))</f>
        <v>27</v>
      </c>
      <c r="K30" cm="1">
        <f t="array" ref="K30">IFERROR(AVERAGE(IF((OutputTable[GroupByKey]=OutputTable[[#This Row],[GroupByKey]]),(OutputTable[GroupByKey]=OutputTable[[#This Row],[GroupByKey]])*OutputTable[RecordedValue])),0)</f>
        <v>1.1851851851851851</v>
      </c>
      <c r="L30" cm="1">
        <f t="array" ref="L30">IFERROR(_xlfn.STDEV.S(IF((OutputTable[GroupByKey]=OutputTable[[#This Row],[GroupByKey]]),(OutputTable[GroupByKey]=OutputTable[[#This Row],[GroupByKey]])*OutputTable[RecordedValue])),0)</f>
        <v>1.0754976321197349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30" cm="1">
        <f t="array" ref="O30">MIN(IF((OutputTable[GroupByKey]=OutputTable[[#This Row],[GroupByKey]]),(OutputTable[GroupByKey]=OutputTable[[#This Row],[GroupByKey]])*OutputTable[RecordedValue]))</f>
        <v>0</v>
      </c>
      <c r="P30" cm="1">
        <f t="array" ref="P30">MAX(IF((OutputTable[GroupByKey]=OutputTable[[#This Row],[GroupByKey]]),(OutputTable[GroupByKey]=OutputTable[[#This Row],[GroupByKey]])*OutputTable[RecordedValue]))</f>
        <v>4</v>
      </c>
    </row>
    <row r="31" spans="1:16" x14ac:dyDescent="0.25">
      <c r="A31" t="s">
        <v>68</v>
      </c>
      <c r="B31" t="s">
        <v>70</v>
      </c>
      <c r="C31">
        <v>3</v>
      </c>
      <c r="D31" t="s">
        <v>111</v>
      </c>
      <c r="E31" t="s">
        <v>112</v>
      </c>
      <c r="F31" t="s">
        <v>95</v>
      </c>
      <c r="G31">
        <v>1</v>
      </c>
      <c r="H31">
        <v>0</v>
      </c>
      <c r="I31" t="str">
        <f>OutputTable[[#This Row],[ProjectName]]&amp;OutputTable[[#This Row],[Name]]&amp;OutputTable[[#This Row],[Type]]&amp;OutputTable[[#This Row],[Source]]</f>
        <v>Escenario ArEnfermera.NumberSeizedTotal Number SeizedResource</v>
      </c>
      <c r="J31" cm="1">
        <f t="array" ref="J31">MAX(IF((ProjectInfoTable[ProjectName]=OutputTable[[#This Row],[ProjectName]]),(ProjectInfoTable[ProjectName]=OutputTable[[#This Row],[ProjectName]])*ProjectInfoTable[NumberOfReplications]))</f>
        <v>27</v>
      </c>
      <c r="K31" cm="1">
        <f t="array" ref="K31">IFERROR(AVERAGE(IF((OutputTable[GroupByKey]=OutputTable[[#This Row],[GroupByKey]]),(OutputTable[GroupByKey]=OutputTable[[#This Row],[GroupByKey]])*OutputTable[RecordedValue])),0)</f>
        <v>1.2962962962962963</v>
      </c>
      <c r="L31" cm="1">
        <f t="array" ref="L31">IFERROR(_xlfn.STDEV.S(IF((OutputTable[GroupByKey]=OutputTable[[#This Row],[GroupByKey]]),(OutputTable[GroupByKey]=OutputTable[[#This Row],[GroupByKey]])*OutputTable[RecordedValue])),0)</f>
        <v>1.1706281947614154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31" cm="1">
        <f t="array" ref="O31">MIN(IF((OutputTable[GroupByKey]=OutputTable[[#This Row],[GroupByKey]]),(OutputTable[GroupByKey]=OutputTable[[#This Row],[GroupByKey]])*OutputTable[RecordedValue]))</f>
        <v>0</v>
      </c>
      <c r="P31" cm="1">
        <f t="array" ref="P31">MAX(IF((OutputTable[GroupByKey]=OutputTable[[#This Row],[GroupByKey]]),(OutputTable[GroupByKey]=OutputTable[[#This Row],[GroupByKey]])*OutputTable[RecordedValue]))</f>
        <v>5</v>
      </c>
    </row>
    <row r="32" spans="1:16" x14ac:dyDescent="0.25">
      <c r="A32" t="s">
        <v>68</v>
      </c>
      <c r="B32" t="s">
        <v>70</v>
      </c>
      <c r="C32">
        <v>3</v>
      </c>
      <c r="D32" t="s">
        <v>113</v>
      </c>
      <c r="E32" t="s">
        <v>114</v>
      </c>
      <c r="F32" t="s">
        <v>95</v>
      </c>
      <c r="G32">
        <v>9.7352144447081304E-3</v>
      </c>
      <c r="H32">
        <v>0</v>
      </c>
      <c r="I32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27</v>
      </c>
      <c r="K32" s="5" cm="1">
        <f t="array" ref="K32">IFERROR(AVERAGE(IF((OutputTable[GroupByKey]=OutputTable[[#This Row],[GroupByKey]]),(OutputTable[GroupByKey]=OutputTable[[#This Row],[GroupByKey]])*OutputTable[RecordedValue])),0)</f>
        <v>1.2223949425906553E-2</v>
      </c>
      <c r="L32" s="5" cm="1">
        <f t="array" ref="L32">IFERROR(_xlfn.STDEV.S(IF((OutputTable[GroupByKey]=OutputTable[[#This Row],[GroupByKey]]),(OutputTable[GroupByKey]=OutputTable[[#This Row],[GroupByKey]])*OutputTable[RecordedValue])),0)</f>
        <v>1.112543407769513E-2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32" s="5" cm="1">
        <f t="array" ref="O32">MIN(IF((OutputTable[GroupByKey]=OutputTable[[#This Row],[GroupByKey]]),(OutputTable[GroupByKey]=OutputTable[[#This Row],[GroupByKey]])*OutputTable[RecordedValue]))</f>
        <v>0</v>
      </c>
      <c r="P32" s="5" cm="1">
        <f t="array" ref="P32">MAX(IF((OutputTable[GroupByKey]=OutputTable[[#This Row],[GroupByKey]]),(OutputTable[GroupByKey]=OutputTable[[#This Row],[GroupByKey]])*OutputTable[RecordedValue]))</f>
        <v>4.2906548761083699E-2</v>
      </c>
    </row>
    <row r="33" spans="1:16" x14ac:dyDescent="0.25">
      <c r="A33" t="s">
        <v>68</v>
      </c>
      <c r="B33" t="s">
        <v>70</v>
      </c>
      <c r="C33">
        <v>3</v>
      </c>
      <c r="D33" t="s">
        <v>115</v>
      </c>
      <c r="E33" t="s">
        <v>112</v>
      </c>
      <c r="F33" t="s">
        <v>95</v>
      </c>
      <c r="G33">
        <v>0</v>
      </c>
      <c r="H33">
        <v>0</v>
      </c>
      <c r="I33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27</v>
      </c>
      <c r="K33" s="5" cm="1">
        <f t="array" ref="K33">IFERROR(AVERAGE(IF((OutputTable[GroupByKey]=OutputTable[[#This Row],[GroupByKey]]),(OutputTable[GroupByKey]=OutputTable[[#This Row],[GroupByKey]])*OutputTable[RecordedValue])),0)</f>
        <v>3.7037037037037035E-2</v>
      </c>
      <c r="L33" s="5" cm="1">
        <f t="array" ref="L33">IFERROR(_xlfn.STDEV.S(IF((OutputTable[GroupByKey]=OutputTable[[#This Row],[GroupByKey]]),(OutputTable[GroupByKey]=OutputTable[[#This Row],[GroupByKey]])*OutputTable[RecordedValue])),0)</f>
        <v>0.19245008972987526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33" s="5" cm="1">
        <f t="array" ref="O33">MIN(IF((OutputTable[GroupByKey]=OutputTable[[#This Row],[GroupByKey]]),(OutputTable[GroupByKey]=OutputTable[[#This Row],[GroupByKey]])*OutputTable[RecordedValue]))</f>
        <v>0</v>
      </c>
      <c r="P33" s="5" cm="1">
        <f t="array" ref="P33">MAX(IF((OutputTable[GroupByKey]=OutputTable[[#This Row],[GroupByKey]]),(OutputTable[GroupByKey]=OutputTable[[#This Row],[GroupByKey]])*OutputTable[RecordedValue]))</f>
        <v>1</v>
      </c>
    </row>
    <row r="34" spans="1:16" x14ac:dyDescent="0.25">
      <c r="A34" t="s">
        <v>68</v>
      </c>
      <c r="B34" t="s">
        <v>70</v>
      </c>
      <c r="C34">
        <v>3</v>
      </c>
      <c r="D34" t="s">
        <v>116</v>
      </c>
      <c r="E34" t="s">
        <v>114</v>
      </c>
      <c r="F34" t="s">
        <v>95</v>
      </c>
      <c r="G34">
        <v>0</v>
      </c>
      <c r="H34">
        <v>0</v>
      </c>
      <c r="I34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27</v>
      </c>
      <c r="K34" s="5" cm="1">
        <f t="array" ref="K34">IFERROR(AVERAGE(IF((OutputTable[GroupByKey]=OutputTable[[#This Row],[GroupByKey]]),(OutputTable[GroupByKey]=OutputTable[[#This Row],[GroupByKey]])*OutputTable[RecordedValue])),0)</f>
        <v>1.5859588837911111E-4</v>
      </c>
      <c r="L34" s="5" cm="1">
        <f t="array" ref="L34">IFERROR(_xlfn.STDEV.S(IF((OutputTable[GroupByKey]=OutputTable[[#This Row],[GroupByKey]]),(OutputTable[GroupByKey]=OutputTable[[#This Row],[GroupByKey]])*OutputTable[RecordedValue])),0)</f>
        <v>8.2408840963242873E-4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34" s="5" cm="1">
        <f t="array" ref="O34">MIN(IF((OutputTable[GroupByKey]=OutputTable[[#This Row],[GroupByKey]]),(OutputTable[GroupByKey]=OutputTable[[#This Row],[GroupByKey]])*OutputTable[RecordedValue]))</f>
        <v>0</v>
      </c>
      <c r="P34" s="5" cm="1">
        <f t="array" ref="P34">MAX(IF((OutputTable[GroupByKey]=OutputTable[[#This Row],[GroupByKey]]),(OutputTable[GroupByKey]=OutputTable[[#This Row],[GroupByKey]])*OutputTable[RecordedValue]))</f>
        <v>4.2820889862359999E-3</v>
      </c>
    </row>
    <row r="35" spans="1:16" x14ac:dyDescent="0.25">
      <c r="A35" t="s">
        <v>68</v>
      </c>
      <c r="B35" t="s">
        <v>70</v>
      </c>
      <c r="C35">
        <v>4</v>
      </c>
      <c r="D35" t="s">
        <v>99</v>
      </c>
      <c r="E35" t="s">
        <v>100</v>
      </c>
      <c r="F35" t="s">
        <v>73</v>
      </c>
      <c r="G35">
        <v>3</v>
      </c>
      <c r="H35">
        <v>0</v>
      </c>
      <c r="I35" s="5" t="str">
        <f>OutputTable[[#This Row],[ProjectName]]&amp;OutputTable[[#This Row],[Name]]&amp;OutputTable[[#This Row],[Type]]&amp;OutputTable[[#This Row],[Source]]</f>
        <v>Escenario AEntity 1.NumberInNumber InEntity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27</v>
      </c>
      <c r="K35" s="5" cm="1">
        <f t="array" ref="K35">IFERROR(AVERAGE(IF((OutputTable[GroupByKey]=OutputTable[[#This Row],[GroupByKey]]),(OutputTable[GroupByKey]=OutputTable[[#This Row],[GroupByKey]])*OutputTable[RecordedValue])),0)</f>
        <v>1.2962962962962963</v>
      </c>
      <c r="L35" s="5" cm="1">
        <f t="array" ref="L35">IFERROR(_xlfn.STDEV.S(IF((OutputTable[GroupByKey]=OutputTable[[#This Row],[GroupByKey]]),(OutputTable[GroupByKey]=OutputTable[[#This Row],[GroupByKey]])*OutputTable[RecordedValue])),0)</f>
        <v>1.1706281947614154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35" s="5" cm="1">
        <f t="array" ref="O35">MIN(IF((OutputTable[GroupByKey]=OutputTable[[#This Row],[GroupByKey]]),(OutputTable[GroupByKey]=OutputTable[[#This Row],[GroupByKey]])*OutputTable[RecordedValue]))</f>
        <v>0</v>
      </c>
      <c r="P35" s="5" cm="1">
        <f t="array" ref="P35">MAX(IF((OutputTable[GroupByKey]=OutputTable[[#This Row],[GroupByKey]]),(OutputTable[GroupByKey]=OutputTable[[#This Row],[GroupByKey]])*OutputTable[RecordedValue]))</f>
        <v>5</v>
      </c>
    </row>
    <row r="36" spans="1:16" x14ac:dyDescent="0.25">
      <c r="A36" t="s">
        <v>68</v>
      </c>
      <c r="B36" t="s">
        <v>70</v>
      </c>
      <c r="C36">
        <v>4</v>
      </c>
      <c r="D36" t="s">
        <v>101</v>
      </c>
      <c r="E36" t="s">
        <v>102</v>
      </c>
      <c r="F36" t="s">
        <v>73</v>
      </c>
      <c r="G36">
        <v>3</v>
      </c>
      <c r="H36">
        <v>0</v>
      </c>
      <c r="I36" s="5" t="str">
        <f>OutputTable[[#This Row],[ProjectName]]&amp;OutputTable[[#This Row],[Name]]&amp;OutputTable[[#This Row],[Type]]&amp;OutputTable[[#This Row],[Source]]</f>
        <v>Escenario AEntity 1.NumberOutNumber OutEntity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27</v>
      </c>
      <c r="K36" s="5" cm="1">
        <f t="array" ref="K36">IFERROR(AVERAGE(IF((OutputTable[GroupByKey]=OutputTable[[#This Row],[GroupByKey]]),(OutputTable[GroupByKey]=OutputTable[[#This Row],[GroupByKey]])*OutputTable[RecordedValue])),0)</f>
        <v>1.1851851851851851</v>
      </c>
      <c r="L36" s="5" cm="1">
        <f t="array" ref="L36">IFERROR(_xlfn.STDEV.S(IF((OutputTable[GroupByKey]=OutputTable[[#This Row],[GroupByKey]]),(OutputTable[GroupByKey]=OutputTable[[#This Row],[GroupByKey]])*OutputTable[RecordedValue])),0)</f>
        <v>1.0754976321197349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36" s="5" cm="1">
        <f t="array" ref="O36">MIN(IF((OutputTable[GroupByKey]=OutputTable[[#This Row],[GroupByKey]]),(OutputTable[GroupByKey]=OutputTable[[#This Row],[GroupByKey]])*OutputTable[RecordedValue]))</f>
        <v>0</v>
      </c>
      <c r="P36" s="5" cm="1">
        <f t="array" ref="P36">MAX(IF((OutputTable[GroupByKey]=OutputTable[[#This Row],[GroupByKey]]),(OutputTable[GroupByKey]=OutputTable[[#This Row],[GroupByKey]])*OutputTable[RecordedValue]))</f>
        <v>4</v>
      </c>
    </row>
    <row r="37" spans="1:16" x14ac:dyDescent="0.25">
      <c r="A37" t="s">
        <v>68</v>
      </c>
      <c r="B37" t="s">
        <v>70</v>
      </c>
      <c r="C37">
        <v>4</v>
      </c>
      <c r="D37" t="s">
        <v>103</v>
      </c>
      <c r="E37" t="s">
        <v>104</v>
      </c>
      <c r="F37" t="s">
        <v>87</v>
      </c>
      <c r="G37">
        <v>2.5692533917415998</v>
      </c>
      <c r="H37">
        <v>0</v>
      </c>
      <c r="I37" s="5" t="str">
        <f>OutputTable[[#This Row],[ProjectName]]&amp;OutputTable[[#This Row],[Name]]&amp;OutputTable[[#This Row],[Type]]&amp;OutputTable[[#This Row],[Source]]</f>
        <v>Escenario ASeguimiemto Accum VA TimeAccum VA TimeProcess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27</v>
      </c>
      <c r="K37" s="5" cm="1">
        <f t="array" ref="K37">IFERROR(AVERAGE(IF((OutputTable[GroupByKey]=OutputTable[[#This Row],[GroupByKey]]),(OutputTable[GroupByKey]=OutputTable[[#This Row],[GroupByKey]])*OutputTable[RecordedValue])),0)</f>
        <v>9.5157533027466656E-2</v>
      </c>
      <c r="L37" s="5" cm="1">
        <f t="array" ref="L37">IFERROR(_xlfn.STDEV.S(IF((OutputTable[GroupByKey]=OutputTable[[#This Row],[GroupByKey]]),(OutputTable[GroupByKey]=OutputTable[[#This Row],[GroupByKey]])*OutputTable[RecordedValue])),0)</f>
        <v>0.4944530457794572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37" s="5" cm="1">
        <f t="array" ref="O37">MIN(IF((OutputTable[GroupByKey]=OutputTable[[#This Row],[GroupByKey]]),(OutputTable[GroupByKey]=OutputTable[[#This Row],[GroupByKey]])*OutputTable[RecordedValue]))</f>
        <v>0</v>
      </c>
      <c r="P37" s="5" cm="1">
        <f t="array" ref="P37">MAX(IF((OutputTable[GroupByKey]=OutputTable[[#This Row],[GroupByKey]]),(OutputTable[GroupByKey]=OutputTable[[#This Row],[GroupByKey]])*OutputTable[RecordedValue]))</f>
        <v>2.5692533917415998</v>
      </c>
    </row>
    <row r="38" spans="1:16" x14ac:dyDescent="0.25">
      <c r="A38" t="s">
        <v>68</v>
      </c>
      <c r="B38" t="s">
        <v>70</v>
      </c>
      <c r="C38">
        <v>4</v>
      </c>
      <c r="D38" t="s">
        <v>105</v>
      </c>
      <c r="E38" t="s">
        <v>106</v>
      </c>
      <c r="F38" t="s">
        <v>87</v>
      </c>
      <c r="G38">
        <v>0</v>
      </c>
      <c r="H38">
        <v>0</v>
      </c>
      <c r="I38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27</v>
      </c>
      <c r="K38" s="5" cm="1">
        <f t="array" ref="K38">IFERROR(AVERAGE(IF((OutputTable[GroupByKey]=OutputTable[[#This Row],[GroupByKey]]),(OutputTable[GroupByKey]=OutputTable[[#This Row],[GroupByKey]])*OutputTable[RecordedValue])),0)</f>
        <v>0</v>
      </c>
      <c r="L38" s="5" cm="1">
        <f t="array" ref="L38">IFERROR(_xlfn.STDEV.S(IF((OutputTable[GroupByKey]=OutputTable[[#This Row],[GroupByKey]]),(OutputTable[GroupByKey]=OutputTable[[#This Row],[GroupByKey]])*OutputTable[RecordedValue])),0)</f>
        <v>0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" s="5" cm="1">
        <f t="array" ref="O38">MIN(IF((OutputTable[GroupByKey]=OutputTable[[#This Row],[GroupByKey]]),(OutputTable[GroupByKey]=OutputTable[[#This Row],[GroupByKey]])*OutputTable[RecordedValue]))</f>
        <v>0</v>
      </c>
      <c r="P38" s="5" cm="1">
        <f t="array" ref="P38">MAX(IF((OutputTable[GroupByKey]=OutputTable[[#This Row],[GroupByKey]]),(OutputTable[GroupByKey]=OutputTable[[#This Row],[GroupByKey]])*OutputTable[RecordedValue]))</f>
        <v>0</v>
      </c>
    </row>
    <row r="39" spans="1:16" x14ac:dyDescent="0.25">
      <c r="A39" t="s">
        <v>68</v>
      </c>
      <c r="B39" t="s">
        <v>70</v>
      </c>
      <c r="C39">
        <v>4</v>
      </c>
      <c r="D39" t="s">
        <v>107</v>
      </c>
      <c r="E39" t="s">
        <v>100</v>
      </c>
      <c r="F39" t="s">
        <v>87</v>
      </c>
      <c r="G39">
        <v>1</v>
      </c>
      <c r="H39">
        <v>0</v>
      </c>
      <c r="I39" s="5" t="str">
        <f>OutputTable[[#This Row],[ProjectName]]&amp;OutputTable[[#This Row],[Name]]&amp;OutputTable[[#This Row],[Type]]&amp;OutputTable[[#This Row],[Source]]</f>
        <v>Escenario ASeguimiemto Number InNumber InProcess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27</v>
      </c>
      <c r="K39" s="5" cm="1">
        <f t="array" ref="K39">IFERROR(AVERAGE(IF((OutputTable[GroupByKey]=OutputTable[[#This Row],[GroupByKey]]),(OutputTable[GroupByKey]=OutputTable[[#This Row],[GroupByKey]])*OutputTable[RecordedValue])),0)</f>
        <v>3.7037037037037035E-2</v>
      </c>
      <c r="L39" s="5" cm="1">
        <f t="array" ref="L39">IFERROR(_xlfn.STDEV.S(IF((OutputTable[GroupByKey]=OutputTable[[#This Row],[GroupByKey]]),(OutputTable[GroupByKey]=OutputTable[[#This Row],[GroupByKey]])*OutputTable[RecordedValue])),0)</f>
        <v>0.19245008972987526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39" s="5" cm="1">
        <f t="array" ref="O39">MIN(IF((OutputTable[GroupByKey]=OutputTable[[#This Row],[GroupByKey]]),(OutputTable[GroupByKey]=OutputTable[[#This Row],[GroupByKey]])*OutputTable[RecordedValue]))</f>
        <v>0</v>
      </c>
      <c r="P39" s="5" cm="1">
        <f t="array" ref="P39">MAX(IF((OutputTable[GroupByKey]=OutputTable[[#This Row],[GroupByKey]]),(OutputTable[GroupByKey]=OutputTable[[#This Row],[GroupByKey]])*OutputTable[RecordedValue]))</f>
        <v>1</v>
      </c>
    </row>
    <row r="40" spans="1:16" x14ac:dyDescent="0.25">
      <c r="A40" t="s">
        <v>68</v>
      </c>
      <c r="B40" t="s">
        <v>70</v>
      </c>
      <c r="C40">
        <v>4</v>
      </c>
      <c r="D40" t="s">
        <v>108</v>
      </c>
      <c r="E40" t="s">
        <v>102</v>
      </c>
      <c r="F40" t="s">
        <v>87</v>
      </c>
      <c r="G40">
        <v>1</v>
      </c>
      <c r="H40">
        <v>0</v>
      </c>
      <c r="I40" s="5" t="str">
        <f>OutputTable[[#This Row],[ProjectName]]&amp;OutputTable[[#This Row],[Name]]&amp;OutputTable[[#This Row],[Type]]&amp;OutputTable[[#This Row],[Source]]</f>
        <v>Escenario ASeguimiemto Number OutNumber OutProcess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27</v>
      </c>
      <c r="K40" s="5" cm="1">
        <f t="array" ref="K40">IFERROR(AVERAGE(IF((OutputTable[GroupByKey]=OutputTable[[#This Row],[GroupByKey]]),(OutputTable[GroupByKey]=OutputTable[[#This Row],[GroupByKey]])*OutputTable[RecordedValue])),0)</f>
        <v>3.7037037037037035E-2</v>
      </c>
      <c r="L40" s="5" cm="1">
        <f t="array" ref="L40">IFERROR(_xlfn.STDEV.S(IF((OutputTable[GroupByKey]=OutputTable[[#This Row],[GroupByKey]]),(OutputTable[GroupByKey]=OutputTable[[#This Row],[GroupByKey]])*OutputTable[RecordedValue])),0)</f>
        <v>0.19245008972987526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40" s="5" cm="1">
        <f t="array" ref="O40">MIN(IF((OutputTable[GroupByKey]=OutputTable[[#This Row],[GroupByKey]]),(OutputTable[GroupByKey]=OutputTable[[#This Row],[GroupByKey]])*OutputTable[RecordedValue]))</f>
        <v>0</v>
      </c>
      <c r="P40" s="5" cm="1">
        <f t="array" ref="P40">MAX(IF((OutputTable[GroupByKey]=OutputTable[[#This Row],[GroupByKey]]),(OutputTable[GroupByKey]=OutputTable[[#This Row],[GroupByKey]])*OutputTable[RecordedValue]))</f>
        <v>1</v>
      </c>
    </row>
    <row r="41" spans="1:16" x14ac:dyDescent="0.25">
      <c r="A41" t="s">
        <v>68</v>
      </c>
      <c r="B41" t="s">
        <v>70</v>
      </c>
      <c r="C41">
        <v>4</v>
      </c>
      <c r="D41" t="s">
        <v>109</v>
      </c>
      <c r="E41" t="s">
        <v>102</v>
      </c>
      <c r="F41" t="s">
        <v>110</v>
      </c>
      <c r="G41">
        <v>3</v>
      </c>
      <c r="H41">
        <v>0</v>
      </c>
      <c r="I41" s="5" t="str">
        <f>OutputTable[[#This Row],[ProjectName]]&amp;OutputTable[[#This Row],[Name]]&amp;OutputTable[[#This Row],[Type]]&amp;OutputTable[[#This Row],[Source]]</f>
        <v>Escenario ASystem.NumberOutNumber OutSystem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27</v>
      </c>
      <c r="K41" s="5" cm="1">
        <f t="array" ref="K41">IFERROR(AVERAGE(IF((OutputTable[GroupByKey]=OutputTable[[#This Row],[GroupByKey]]),(OutputTable[GroupByKey]=OutputTable[[#This Row],[GroupByKey]])*OutputTable[RecordedValue])),0)</f>
        <v>1.1851851851851851</v>
      </c>
      <c r="L41" s="5" cm="1">
        <f t="array" ref="L41">IFERROR(_xlfn.STDEV.S(IF((OutputTable[GroupByKey]=OutputTable[[#This Row],[GroupByKey]]),(OutputTable[GroupByKey]=OutputTable[[#This Row],[GroupByKey]])*OutputTable[RecordedValue])),0)</f>
        <v>1.0754976321197349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41" s="5" cm="1">
        <f t="array" ref="O41">MIN(IF((OutputTable[GroupByKey]=OutputTable[[#This Row],[GroupByKey]]),(OutputTable[GroupByKey]=OutputTable[[#This Row],[GroupByKey]])*OutputTable[RecordedValue]))</f>
        <v>0</v>
      </c>
      <c r="P41" s="5" cm="1">
        <f t="array" ref="P41">MAX(IF((OutputTable[GroupByKey]=OutputTable[[#This Row],[GroupByKey]]),(OutputTable[GroupByKey]=OutputTable[[#This Row],[GroupByKey]])*OutputTable[RecordedValue]))</f>
        <v>4</v>
      </c>
    </row>
    <row r="42" spans="1:16" x14ac:dyDescent="0.25">
      <c r="A42" t="s">
        <v>68</v>
      </c>
      <c r="B42" t="s">
        <v>70</v>
      </c>
      <c r="C42">
        <v>4</v>
      </c>
      <c r="D42" t="s">
        <v>111</v>
      </c>
      <c r="E42" t="s">
        <v>112</v>
      </c>
      <c r="F42" t="s">
        <v>95</v>
      </c>
      <c r="G42">
        <v>3</v>
      </c>
      <c r="H42">
        <v>0</v>
      </c>
      <c r="I42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27</v>
      </c>
      <c r="K42" s="5" cm="1">
        <f t="array" ref="K42">IFERROR(AVERAGE(IF((OutputTable[GroupByKey]=OutputTable[[#This Row],[GroupByKey]]),(OutputTable[GroupByKey]=OutputTable[[#This Row],[GroupByKey]])*OutputTable[RecordedValue])),0)</f>
        <v>1.2962962962962963</v>
      </c>
      <c r="L42" s="5" cm="1">
        <f t="array" ref="L42">IFERROR(_xlfn.STDEV.S(IF((OutputTable[GroupByKey]=OutputTable[[#This Row],[GroupByKey]]),(OutputTable[GroupByKey]=OutputTable[[#This Row],[GroupByKey]])*OutputTable[RecordedValue])),0)</f>
        <v>1.1706281947614154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42" s="5" cm="1">
        <f t="array" ref="O42">MIN(IF((OutputTable[GroupByKey]=OutputTable[[#This Row],[GroupByKey]]),(OutputTable[GroupByKey]=OutputTable[[#This Row],[GroupByKey]])*OutputTable[RecordedValue]))</f>
        <v>0</v>
      </c>
      <c r="P42" s="5" cm="1">
        <f t="array" ref="P42">MAX(IF((OutputTable[GroupByKey]=OutputTable[[#This Row],[GroupByKey]]),(OutputTable[GroupByKey]=OutputTable[[#This Row],[GroupByKey]])*OutputTable[RecordedValue]))</f>
        <v>5</v>
      </c>
    </row>
    <row r="43" spans="1:16" x14ac:dyDescent="0.25">
      <c r="A43" t="s">
        <v>68</v>
      </c>
      <c r="B43" t="s">
        <v>70</v>
      </c>
      <c r="C43">
        <v>4</v>
      </c>
      <c r="D43" t="s">
        <v>113</v>
      </c>
      <c r="E43" t="s">
        <v>114</v>
      </c>
      <c r="F43" t="s">
        <v>95</v>
      </c>
      <c r="G43">
        <v>3.0532791884324E-2</v>
      </c>
      <c r="H43">
        <v>0</v>
      </c>
      <c r="I43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27</v>
      </c>
      <c r="K43" s="5" cm="1">
        <f t="array" ref="K43">IFERROR(AVERAGE(IF((OutputTable[GroupByKey]=OutputTable[[#This Row],[GroupByKey]]),(OutputTable[GroupByKey]=OutputTable[[#This Row],[GroupByKey]])*OutputTable[RecordedValue])),0)</f>
        <v>1.2223949425906553E-2</v>
      </c>
      <c r="L43" s="5" cm="1">
        <f t="array" ref="L43">IFERROR(_xlfn.STDEV.S(IF((OutputTable[GroupByKey]=OutputTable[[#This Row],[GroupByKey]]),(OutputTable[GroupByKey]=OutputTable[[#This Row],[GroupByKey]])*OutputTable[RecordedValue])),0)</f>
        <v>1.112543407769513E-2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43" s="5" cm="1">
        <f t="array" ref="O43">MIN(IF((OutputTable[GroupByKey]=OutputTable[[#This Row],[GroupByKey]]),(OutputTable[GroupByKey]=OutputTable[[#This Row],[GroupByKey]])*OutputTable[RecordedValue]))</f>
        <v>0</v>
      </c>
      <c r="P43" s="5" cm="1">
        <f t="array" ref="P43">MAX(IF((OutputTable[GroupByKey]=OutputTable[[#This Row],[GroupByKey]]),(OutputTable[GroupByKey]=OutputTable[[#This Row],[GroupByKey]])*OutputTable[RecordedValue]))</f>
        <v>4.2906548761083699E-2</v>
      </c>
    </row>
    <row r="44" spans="1:16" x14ac:dyDescent="0.25">
      <c r="A44" t="s">
        <v>68</v>
      </c>
      <c r="B44" t="s">
        <v>70</v>
      </c>
      <c r="C44">
        <v>4</v>
      </c>
      <c r="D44" t="s">
        <v>115</v>
      </c>
      <c r="E44" t="s">
        <v>112</v>
      </c>
      <c r="F44" t="s">
        <v>95</v>
      </c>
      <c r="G44">
        <v>1</v>
      </c>
      <c r="H44">
        <v>0</v>
      </c>
      <c r="I44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27</v>
      </c>
      <c r="K44" s="5" cm="1">
        <f t="array" ref="K44">IFERROR(AVERAGE(IF((OutputTable[GroupByKey]=OutputTable[[#This Row],[GroupByKey]]),(OutputTable[GroupByKey]=OutputTable[[#This Row],[GroupByKey]])*OutputTable[RecordedValue])),0)</f>
        <v>3.7037037037037035E-2</v>
      </c>
      <c r="L44" s="5" cm="1">
        <f t="array" ref="L44">IFERROR(_xlfn.STDEV.S(IF((OutputTable[GroupByKey]=OutputTable[[#This Row],[GroupByKey]]),(OutputTable[GroupByKey]=OutputTable[[#This Row],[GroupByKey]])*OutputTable[RecordedValue])),0)</f>
        <v>0.19245008972987526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44" s="5" cm="1">
        <f t="array" ref="O44">MIN(IF((OutputTable[GroupByKey]=OutputTable[[#This Row],[GroupByKey]]),(OutputTable[GroupByKey]=OutputTable[[#This Row],[GroupByKey]])*OutputTable[RecordedValue]))</f>
        <v>0</v>
      </c>
      <c r="P44" s="5" cm="1">
        <f t="array" ref="P44">MAX(IF((OutputTable[GroupByKey]=OutputTable[[#This Row],[GroupByKey]]),(OutputTable[GroupByKey]=OutputTable[[#This Row],[GroupByKey]])*OutputTable[RecordedValue]))</f>
        <v>1</v>
      </c>
    </row>
    <row r="45" spans="1:16" x14ac:dyDescent="0.25">
      <c r="A45" t="s">
        <v>68</v>
      </c>
      <c r="B45" t="s">
        <v>70</v>
      </c>
      <c r="C45">
        <v>4</v>
      </c>
      <c r="D45" t="s">
        <v>116</v>
      </c>
      <c r="E45" t="s">
        <v>114</v>
      </c>
      <c r="F45" t="s">
        <v>95</v>
      </c>
      <c r="G45">
        <v>4.2820889862359999E-3</v>
      </c>
      <c r="H45">
        <v>0</v>
      </c>
      <c r="I45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27</v>
      </c>
      <c r="K45" s="5" cm="1">
        <f t="array" ref="K45">IFERROR(AVERAGE(IF((OutputTable[GroupByKey]=OutputTable[[#This Row],[GroupByKey]]),(OutputTable[GroupByKey]=OutputTable[[#This Row],[GroupByKey]])*OutputTable[RecordedValue])),0)</f>
        <v>1.5859588837911111E-4</v>
      </c>
      <c r="L45" s="5" cm="1">
        <f t="array" ref="L45">IFERROR(_xlfn.STDEV.S(IF((OutputTable[GroupByKey]=OutputTable[[#This Row],[GroupByKey]]),(OutputTable[GroupByKey]=OutputTable[[#This Row],[GroupByKey]])*OutputTable[RecordedValue])),0)</f>
        <v>8.2408840963242873E-4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45" s="5" cm="1">
        <f t="array" ref="O45">MIN(IF((OutputTable[GroupByKey]=OutputTable[[#This Row],[GroupByKey]]),(OutputTable[GroupByKey]=OutputTable[[#This Row],[GroupByKey]])*OutputTable[RecordedValue]))</f>
        <v>0</v>
      </c>
      <c r="P45" s="5" cm="1">
        <f t="array" ref="P45">MAX(IF((OutputTable[GroupByKey]=OutputTable[[#This Row],[GroupByKey]]),(OutputTable[GroupByKey]=OutputTable[[#This Row],[GroupByKey]])*OutputTable[RecordedValue]))</f>
        <v>4.2820889862359999E-3</v>
      </c>
    </row>
    <row r="46" spans="1:16" x14ac:dyDescent="0.25">
      <c r="A46" t="s">
        <v>68</v>
      </c>
      <c r="B46" t="s">
        <v>70</v>
      </c>
      <c r="C46">
        <v>5</v>
      </c>
      <c r="D46" t="s">
        <v>99</v>
      </c>
      <c r="E46" t="s">
        <v>100</v>
      </c>
      <c r="F46" t="s">
        <v>73</v>
      </c>
      <c r="G46">
        <v>0</v>
      </c>
      <c r="H46">
        <v>0</v>
      </c>
      <c r="I46" s="5" t="str">
        <f>OutputTable[[#This Row],[ProjectName]]&amp;OutputTable[[#This Row],[Name]]&amp;OutputTable[[#This Row],[Type]]&amp;OutputTable[[#This Row],[Source]]</f>
        <v>Escenario AEntity 1.NumberInNumber InEntity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27</v>
      </c>
      <c r="K46" s="5" cm="1">
        <f t="array" ref="K46">IFERROR(AVERAGE(IF((OutputTable[GroupByKey]=OutputTable[[#This Row],[GroupByKey]]),(OutputTable[GroupByKey]=OutputTable[[#This Row],[GroupByKey]])*OutputTable[RecordedValue])),0)</f>
        <v>1.2962962962962963</v>
      </c>
      <c r="L46" s="5" cm="1">
        <f t="array" ref="L46">IFERROR(_xlfn.STDEV.S(IF((OutputTable[GroupByKey]=OutputTable[[#This Row],[GroupByKey]]),(OutputTable[GroupByKey]=OutputTable[[#This Row],[GroupByKey]])*OutputTable[RecordedValue])),0)</f>
        <v>1.1706281947614154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46" s="5" cm="1">
        <f t="array" ref="O46">MIN(IF((OutputTable[GroupByKey]=OutputTable[[#This Row],[GroupByKey]]),(OutputTable[GroupByKey]=OutputTable[[#This Row],[GroupByKey]])*OutputTable[RecordedValue]))</f>
        <v>0</v>
      </c>
      <c r="P46" s="5" cm="1">
        <f t="array" ref="P46">MAX(IF((OutputTable[GroupByKey]=OutputTable[[#This Row],[GroupByKey]]),(OutputTable[GroupByKey]=OutputTable[[#This Row],[GroupByKey]])*OutputTable[RecordedValue]))</f>
        <v>5</v>
      </c>
    </row>
    <row r="47" spans="1:16" x14ac:dyDescent="0.25">
      <c r="A47" t="s">
        <v>68</v>
      </c>
      <c r="B47" t="s">
        <v>70</v>
      </c>
      <c r="C47">
        <v>5</v>
      </c>
      <c r="D47" t="s">
        <v>101</v>
      </c>
      <c r="E47" t="s">
        <v>102</v>
      </c>
      <c r="F47" t="s">
        <v>73</v>
      </c>
      <c r="G47">
        <v>0</v>
      </c>
      <c r="H47">
        <v>0</v>
      </c>
      <c r="I47" s="5" t="str">
        <f>OutputTable[[#This Row],[ProjectName]]&amp;OutputTable[[#This Row],[Name]]&amp;OutputTable[[#This Row],[Type]]&amp;OutputTable[[#This Row],[Source]]</f>
        <v>Escenario AEntity 1.NumberOutNumber OutEntity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27</v>
      </c>
      <c r="K47" s="5" cm="1">
        <f t="array" ref="K47">IFERROR(AVERAGE(IF((OutputTable[GroupByKey]=OutputTable[[#This Row],[GroupByKey]]),(OutputTable[GroupByKey]=OutputTable[[#This Row],[GroupByKey]])*OutputTable[RecordedValue])),0)</f>
        <v>1.1851851851851851</v>
      </c>
      <c r="L47" s="5" cm="1">
        <f t="array" ref="L47">IFERROR(_xlfn.STDEV.S(IF((OutputTable[GroupByKey]=OutputTable[[#This Row],[GroupByKey]]),(OutputTable[GroupByKey]=OutputTable[[#This Row],[GroupByKey]])*OutputTable[RecordedValue])),0)</f>
        <v>1.0754976321197349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47" s="5" cm="1">
        <f t="array" ref="O47">MIN(IF((OutputTable[GroupByKey]=OutputTable[[#This Row],[GroupByKey]]),(OutputTable[GroupByKey]=OutputTable[[#This Row],[GroupByKey]])*OutputTable[RecordedValue]))</f>
        <v>0</v>
      </c>
      <c r="P47" s="5" cm="1">
        <f t="array" ref="P47">MAX(IF((OutputTable[GroupByKey]=OutputTable[[#This Row],[GroupByKey]]),(OutputTable[GroupByKey]=OutputTable[[#This Row],[GroupByKey]])*OutputTable[RecordedValue]))</f>
        <v>4</v>
      </c>
    </row>
    <row r="48" spans="1:16" x14ac:dyDescent="0.25">
      <c r="A48" t="s">
        <v>68</v>
      </c>
      <c r="B48" t="s">
        <v>70</v>
      </c>
      <c r="C48">
        <v>5</v>
      </c>
      <c r="D48" t="s">
        <v>103</v>
      </c>
      <c r="E48" t="s">
        <v>104</v>
      </c>
      <c r="F48" t="s">
        <v>87</v>
      </c>
      <c r="G48">
        <v>0</v>
      </c>
      <c r="H48">
        <v>0</v>
      </c>
      <c r="I48" s="5" t="str">
        <f>OutputTable[[#This Row],[ProjectName]]&amp;OutputTable[[#This Row],[Name]]&amp;OutputTable[[#This Row],[Type]]&amp;OutputTable[[#This Row],[Source]]</f>
        <v>Escenario ASeguimiemto Accum VA TimeAccum VA TimeProcess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27</v>
      </c>
      <c r="K48" s="5" cm="1">
        <f t="array" ref="K48">IFERROR(AVERAGE(IF((OutputTable[GroupByKey]=OutputTable[[#This Row],[GroupByKey]]),(OutputTable[GroupByKey]=OutputTable[[#This Row],[GroupByKey]])*OutputTable[RecordedValue])),0)</f>
        <v>9.5157533027466656E-2</v>
      </c>
      <c r="L48" s="5" cm="1">
        <f t="array" ref="L48">IFERROR(_xlfn.STDEV.S(IF((OutputTable[GroupByKey]=OutputTable[[#This Row],[GroupByKey]]),(OutputTable[GroupByKey]=OutputTable[[#This Row],[GroupByKey]])*OutputTable[RecordedValue])),0)</f>
        <v>0.4944530457794572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48" s="5" cm="1">
        <f t="array" ref="O48">MIN(IF((OutputTable[GroupByKey]=OutputTable[[#This Row],[GroupByKey]]),(OutputTable[GroupByKey]=OutputTable[[#This Row],[GroupByKey]])*OutputTable[RecordedValue]))</f>
        <v>0</v>
      </c>
      <c r="P48" s="5" cm="1">
        <f t="array" ref="P48">MAX(IF((OutputTable[GroupByKey]=OutputTable[[#This Row],[GroupByKey]]),(OutputTable[GroupByKey]=OutputTable[[#This Row],[GroupByKey]])*OutputTable[RecordedValue]))</f>
        <v>2.5692533917415998</v>
      </c>
    </row>
    <row r="49" spans="1:16" x14ac:dyDescent="0.25">
      <c r="A49" t="s">
        <v>68</v>
      </c>
      <c r="B49" t="s">
        <v>70</v>
      </c>
      <c r="C49">
        <v>5</v>
      </c>
      <c r="D49" t="s">
        <v>105</v>
      </c>
      <c r="E49" t="s">
        <v>106</v>
      </c>
      <c r="F49" t="s">
        <v>87</v>
      </c>
      <c r="G49">
        <v>0</v>
      </c>
      <c r="H49">
        <v>0</v>
      </c>
      <c r="I49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27</v>
      </c>
      <c r="K49" s="5" cm="1">
        <f t="array" ref="K49">IFERROR(AVERAGE(IF((OutputTable[GroupByKey]=OutputTable[[#This Row],[GroupByKey]]),(OutputTable[GroupByKey]=OutputTable[[#This Row],[GroupByKey]])*OutputTable[RecordedValue])),0)</f>
        <v>0</v>
      </c>
      <c r="L49" s="5" cm="1">
        <f t="array" ref="L49">IFERROR(_xlfn.STDEV.S(IF((OutputTable[GroupByKey]=OutputTable[[#This Row],[GroupByKey]]),(OutputTable[GroupByKey]=OutputTable[[#This Row],[GroupByKey]])*OutputTable[RecordedValue])),0)</f>
        <v>0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" s="5" cm="1">
        <f t="array" ref="O49">MIN(IF((OutputTable[GroupByKey]=OutputTable[[#This Row],[GroupByKey]]),(OutputTable[GroupByKey]=OutputTable[[#This Row],[GroupByKey]])*OutputTable[RecordedValue]))</f>
        <v>0</v>
      </c>
      <c r="P49" s="5" cm="1">
        <f t="array" ref="P49">MAX(IF((OutputTable[GroupByKey]=OutputTable[[#This Row],[GroupByKey]]),(OutputTable[GroupByKey]=OutputTable[[#This Row],[GroupByKey]])*OutputTable[RecordedValue]))</f>
        <v>0</v>
      </c>
    </row>
    <row r="50" spans="1:16" x14ac:dyDescent="0.25">
      <c r="A50" t="s">
        <v>68</v>
      </c>
      <c r="B50" t="s">
        <v>70</v>
      </c>
      <c r="C50">
        <v>5</v>
      </c>
      <c r="D50" t="s">
        <v>107</v>
      </c>
      <c r="E50" t="s">
        <v>100</v>
      </c>
      <c r="F50" t="s">
        <v>87</v>
      </c>
      <c r="G50">
        <v>0</v>
      </c>
      <c r="H50">
        <v>0</v>
      </c>
      <c r="I50" s="5" t="str">
        <f>OutputTable[[#This Row],[ProjectName]]&amp;OutputTable[[#This Row],[Name]]&amp;OutputTable[[#This Row],[Type]]&amp;OutputTable[[#This Row],[Source]]</f>
        <v>Escenario ASeguimiemto Number InNumber InProcess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27</v>
      </c>
      <c r="K50" s="5" cm="1">
        <f t="array" ref="K50">IFERROR(AVERAGE(IF((OutputTable[GroupByKey]=OutputTable[[#This Row],[GroupByKey]]),(OutputTable[GroupByKey]=OutputTable[[#This Row],[GroupByKey]])*OutputTable[RecordedValue])),0)</f>
        <v>3.7037037037037035E-2</v>
      </c>
      <c r="L50" s="5" cm="1">
        <f t="array" ref="L50">IFERROR(_xlfn.STDEV.S(IF((OutputTable[GroupByKey]=OutputTable[[#This Row],[GroupByKey]]),(OutputTable[GroupByKey]=OutputTable[[#This Row],[GroupByKey]])*OutputTable[RecordedValue])),0)</f>
        <v>0.19245008972987526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50" s="5" cm="1">
        <f t="array" ref="O50">MIN(IF((OutputTable[GroupByKey]=OutputTable[[#This Row],[GroupByKey]]),(OutputTable[GroupByKey]=OutputTable[[#This Row],[GroupByKey]])*OutputTable[RecordedValue]))</f>
        <v>0</v>
      </c>
      <c r="P50" s="5" cm="1">
        <f t="array" ref="P50">MAX(IF((OutputTable[GroupByKey]=OutputTable[[#This Row],[GroupByKey]]),(OutputTable[GroupByKey]=OutputTable[[#This Row],[GroupByKey]])*OutputTable[RecordedValue]))</f>
        <v>1</v>
      </c>
    </row>
    <row r="51" spans="1:16" x14ac:dyDescent="0.25">
      <c r="A51" t="s">
        <v>68</v>
      </c>
      <c r="B51" t="s">
        <v>70</v>
      </c>
      <c r="C51">
        <v>5</v>
      </c>
      <c r="D51" t="s">
        <v>108</v>
      </c>
      <c r="E51" t="s">
        <v>102</v>
      </c>
      <c r="F51" t="s">
        <v>87</v>
      </c>
      <c r="G51">
        <v>0</v>
      </c>
      <c r="H51">
        <v>0</v>
      </c>
      <c r="I51" s="5" t="str">
        <f>OutputTable[[#This Row],[ProjectName]]&amp;OutputTable[[#This Row],[Name]]&amp;OutputTable[[#This Row],[Type]]&amp;OutputTable[[#This Row],[Source]]</f>
        <v>Escenario ASeguimiemto Number OutNumber OutProcess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27</v>
      </c>
      <c r="K51" s="5" cm="1">
        <f t="array" ref="K51">IFERROR(AVERAGE(IF((OutputTable[GroupByKey]=OutputTable[[#This Row],[GroupByKey]]),(OutputTable[GroupByKey]=OutputTable[[#This Row],[GroupByKey]])*OutputTable[RecordedValue])),0)</f>
        <v>3.7037037037037035E-2</v>
      </c>
      <c r="L51" s="5" cm="1">
        <f t="array" ref="L51">IFERROR(_xlfn.STDEV.S(IF((OutputTable[GroupByKey]=OutputTable[[#This Row],[GroupByKey]]),(OutputTable[GroupByKey]=OutputTable[[#This Row],[GroupByKey]])*OutputTable[RecordedValue])),0)</f>
        <v>0.19245008972987526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51" s="5" cm="1">
        <f t="array" ref="O51">MIN(IF((OutputTable[GroupByKey]=OutputTable[[#This Row],[GroupByKey]]),(OutputTable[GroupByKey]=OutputTable[[#This Row],[GroupByKey]])*OutputTable[RecordedValue]))</f>
        <v>0</v>
      </c>
      <c r="P51" s="5" cm="1">
        <f t="array" ref="P51">MAX(IF((OutputTable[GroupByKey]=OutputTable[[#This Row],[GroupByKey]]),(OutputTable[GroupByKey]=OutputTable[[#This Row],[GroupByKey]])*OutputTable[RecordedValue]))</f>
        <v>1</v>
      </c>
    </row>
    <row r="52" spans="1:16" x14ac:dyDescent="0.25">
      <c r="A52" t="s">
        <v>68</v>
      </c>
      <c r="B52" t="s">
        <v>70</v>
      </c>
      <c r="C52">
        <v>5</v>
      </c>
      <c r="D52" t="s">
        <v>109</v>
      </c>
      <c r="E52" t="s">
        <v>102</v>
      </c>
      <c r="F52" t="s">
        <v>110</v>
      </c>
      <c r="G52">
        <v>0</v>
      </c>
      <c r="H52">
        <v>0</v>
      </c>
      <c r="I52" s="5" t="str">
        <f>OutputTable[[#This Row],[ProjectName]]&amp;OutputTable[[#This Row],[Name]]&amp;OutputTable[[#This Row],[Type]]&amp;OutputTable[[#This Row],[Source]]</f>
        <v>Escenario ASystem.NumberOutNumber OutSystem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27</v>
      </c>
      <c r="K52" s="5" cm="1">
        <f t="array" ref="K52">IFERROR(AVERAGE(IF((OutputTable[GroupByKey]=OutputTable[[#This Row],[GroupByKey]]),(OutputTable[GroupByKey]=OutputTable[[#This Row],[GroupByKey]])*OutputTable[RecordedValue])),0)</f>
        <v>1.1851851851851851</v>
      </c>
      <c r="L52" s="5" cm="1">
        <f t="array" ref="L52">IFERROR(_xlfn.STDEV.S(IF((OutputTable[GroupByKey]=OutputTable[[#This Row],[GroupByKey]]),(OutputTable[GroupByKey]=OutputTable[[#This Row],[GroupByKey]])*OutputTable[RecordedValue])),0)</f>
        <v>1.0754976321197349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52" s="5" cm="1">
        <f t="array" ref="O52">MIN(IF((OutputTable[GroupByKey]=OutputTable[[#This Row],[GroupByKey]]),(OutputTable[GroupByKey]=OutputTable[[#This Row],[GroupByKey]])*OutputTable[RecordedValue]))</f>
        <v>0</v>
      </c>
      <c r="P52" s="5" cm="1">
        <f t="array" ref="P52">MAX(IF((OutputTable[GroupByKey]=OutputTable[[#This Row],[GroupByKey]]),(OutputTable[GroupByKey]=OutputTable[[#This Row],[GroupByKey]])*OutputTable[RecordedValue]))</f>
        <v>4</v>
      </c>
    </row>
    <row r="53" spans="1:16" x14ac:dyDescent="0.25">
      <c r="A53" t="s">
        <v>68</v>
      </c>
      <c r="B53" t="s">
        <v>70</v>
      </c>
      <c r="C53">
        <v>5</v>
      </c>
      <c r="D53" t="s">
        <v>111</v>
      </c>
      <c r="E53" t="s">
        <v>112</v>
      </c>
      <c r="F53" t="s">
        <v>95</v>
      </c>
      <c r="G53">
        <v>0</v>
      </c>
      <c r="H53">
        <v>0</v>
      </c>
      <c r="I53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27</v>
      </c>
      <c r="K53" s="5" cm="1">
        <f t="array" ref="K53">IFERROR(AVERAGE(IF((OutputTable[GroupByKey]=OutputTable[[#This Row],[GroupByKey]]),(OutputTable[GroupByKey]=OutputTable[[#This Row],[GroupByKey]])*OutputTable[RecordedValue])),0)</f>
        <v>1.2962962962962963</v>
      </c>
      <c r="L53" s="5" cm="1">
        <f t="array" ref="L53">IFERROR(_xlfn.STDEV.S(IF((OutputTable[GroupByKey]=OutputTable[[#This Row],[GroupByKey]]),(OutputTable[GroupByKey]=OutputTable[[#This Row],[GroupByKey]])*OutputTable[RecordedValue])),0)</f>
        <v>1.1706281947614154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53" s="5" cm="1">
        <f t="array" ref="O53">MIN(IF((OutputTable[GroupByKey]=OutputTable[[#This Row],[GroupByKey]]),(OutputTable[GroupByKey]=OutputTable[[#This Row],[GroupByKey]])*OutputTable[RecordedValue]))</f>
        <v>0</v>
      </c>
      <c r="P53" s="5" cm="1">
        <f t="array" ref="P53">MAX(IF((OutputTable[GroupByKey]=OutputTable[[#This Row],[GroupByKey]]),(OutputTable[GroupByKey]=OutputTable[[#This Row],[GroupByKey]])*OutputTable[RecordedValue]))</f>
        <v>5</v>
      </c>
    </row>
    <row r="54" spans="1:16" x14ac:dyDescent="0.25">
      <c r="A54" t="s">
        <v>68</v>
      </c>
      <c r="B54" t="s">
        <v>70</v>
      </c>
      <c r="C54">
        <v>5</v>
      </c>
      <c r="D54" t="s">
        <v>113</v>
      </c>
      <c r="E54" t="s">
        <v>114</v>
      </c>
      <c r="F54" t="s">
        <v>95</v>
      </c>
      <c r="G54">
        <v>0</v>
      </c>
      <c r="H54">
        <v>0</v>
      </c>
      <c r="I54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27</v>
      </c>
      <c r="K54" s="5" cm="1">
        <f t="array" ref="K54">IFERROR(AVERAGE(IF((OutputTable[GroupByKey]=OutputTable[[#This Row],[GroupByKey]]),(OutputTable[GroupByKey]=OutputTable[[#This Row],[GroupByKey]])*OutputTable[RecordedValue])),0)</f>
        <v>1.2223949425906553E-2</v>
      </c>
      <c r="L54" s="5" cm="1">
        <f t="array" ref="L54">IFERROR(_xlfn.STDEV.S(IF((OutputTable[GroupByKey]=OutputTable[[#This Row],[GroupByKey]]),(OutputTable[GroupByKey]=OutputTable[[#This Row],[GroupByKey]])*OutputTable[RecordedValue])),0)</f>
        <v>1.112543407769513E-2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54" s="5" cm="1">
        <f t="array" ref="O54">MIN(IF((OutputTable[GroupByKey]=OutputTable[[#This Row],[GroupByKey]]),(OutputTable[GroupByKey]=OutputTable[[#This Row],[GroupByKey]])*OutputTable[RecordedValue]))</f>
        <v>0</v>
      </c>
      <c r="P54" s="5" cm="1">
        <f t="array" ref="P54">MAX(IF((OutputTable[GroupByKey]=OutputTable[[#This Row],[GroupByKey]]),(OutputTable[GroupByKey]=OutputTable[[#This Row],[GroupByKey]])*OutputTable[RecordedValue]))</f>
        <v>4.2906548761083699E-2</v>
      </c>
    </row>
    <row r="55" spans="1:16" x14ac:dyDescent="0.25">
      <c r="A55" t="s">
        <v>68</v>
      </c>
      <c r="B55" t="s">
        <v>70</v>
      </c>
      <c r="C55">
        <v>5</v>
      </c>
      <c r="D55" t="s">
        <v>115</v>
      </c>
      <c r="E55" t="s">
        <v>112</v>
      </c>
      <c r="F55" t="s">
        <v>95</v>
      </c>
      <c r="G55">
        <v>0</v>
      </c>
      <c r="H55">
        <v>0</v>
      </c>
      <c r="I55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27</v>
      </c>
      <c r="K55" s="5" cm="1">
        <f t="array" ref="K55">IFERROR(AVERAGE(IF((OutputTable[GroupByKey]=OutputTable[[#This Row],[GroupByKey]]),(OutputTable[GroupByKey]=OutputTable[[#This Row],[GroupByKey]])*OutputTable[RecordedValue])),0)</f>
        <v>3.7037037037037035E-2</v>
      </c>
      <c r="L55" s="5" cm="1">
        <f t="array" ref="L55">IFERROR(_xlfn.STDEV.S(IF((OutputTable[GroupByKey]=OutputTable[[#This Row],[GroupByKey]]),(OutputTable[GroupByKey]=OutputTable[[#This Row],[GroupByKey]])*OutputTable[RecordedValue])),0)</f>
        <v>0.19245008972987526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55" s="5" cm="1">
        <f t="array" ref="O55">MIN(IF((OutputTable[GroupByKey]=OutputTable[[#This Row],[GroupByKey]]),(OutputTable[GroupByKey]=OutputTable[[#This Row],[GroupByKey]])*OutputTable[RecordedValue]))</f>
        <v>0</v>
      </c>
      <c r="P55" s="5" cm="1">
        <f t="array" ref="P55">MAX(IF((OutputTable[GroupByKey]=OutputTable[[#This Row],[GroupByKey]]),(OutputTable[GroupByKey]=OutputTable[[#This Row],[GroupByKey]])*OutputTable[RecordedValue]))</f>
        <v>1</v>
      </c>
    </row>
    <row r="56" spans="1:16" x14ac:dyDescent="0.25">
      <c r="A56" t="s">
        <v>68</v>
      </c>
      <c r="B56" t="s">
        <v>70</v>
      </c>
      <c r="C56">
        <v>5</v>
      </c>
      <c r="D56" t="s">
        <v>116</v>
      </c>
      <c r="E56" t="s">
        <v>114</v>
      </c>
      <c r="F56" t="s">
        <v>95</v>
      </c>
      <c r="G56">
        <v>0</v>
      </c>
      <c r="H56">
        <v>0</v>
      </c>
      <c r="I56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27</v>
      </c>
      <c r="K56" s="5" cm="1">
        <f t="array" ref="K56">IFERROR(AVERAGE(IF((OutputTable[GroupByKey]=OutputTable[[#This Row],[GroupByKey]]),(OutputTable[GroupByKey]=OutputTable[[#This Row],[GroupByKey]])*OutputTable[RecordedValue])),0)</f>
        <v>1.5859588837911111E-4</v>
      </c>
      <c r="L56" s="5" cm="1">
        <f t="array" ref="L56">IFERROR(_xlfn.STDEV.S(IF((OutputTable[GroupByKey]=OutputTable[[#This Row],[GroupByKey]]),(OutputTable[GroupByKey]=OutputTable[[#This Row],[GroupByKey]])*OutputTable[RecordedValue])),0)</f>
        <v>8.2408840963242873E-4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56" s="5" cm="1">
        <f t="array" ref="O56">MIN(IF((OutputTable[GroupByKey]=OutputTable[[#This Row],[GroupByKey]]),(OutputTable[GroupByKey]=OutputTable[[#This Row],[GroupByKey]])*OutputTable[RecordedValue]))</f>
        <v>0</v>
      </c>
      <c r="P56" s="5" cm="1">
        <f t="array" ref="P56">MAX(IF((OutputTable[GroupByKey]=OutputTable[[#This Row],[GroupByKey]]),(OutputTable[GroupByKey]=OutputTable[[#This Row],[GroupByKey]])*OutputTable[RecordedValue]))</f>
        <v>4.2820889862359999E-3</v>
      </c>
    </row>
    <row r="57" spans="1:16" x14ac:dyDescent="0.25">
      <c r="A57" t="s">
        <v>68</v>
      </c>
      <c r="B57" t="s">
        <v>70</v>
      </c>
      <c r="C57">
        <v>6</v>
      </c>
      <c r="D57" t="s">
        <v>99</v>
      </c>
      <c r="E57" t="s">
        <v>100</v>
      </c>
      <c r="F57" t="s">
        <v>73</v>
      </c>
      <c r="G57">
        <v>0</v>
      </c>
      <c r="H57">
        <v>0</v>
      </c>
      <c r="I57" s="5" t="str">
        <f>OutputTable[[#This Row],[ProjectName]]&amp;OutputTable[[#This Row],[Name]]&amp;OutputTable[[#This Row],[Type]]&amp;OutputTable[[#This Row],[Source]]</f>
        <v>Escenario AEntity 1.NumberInNumber InEntity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27</v>
      </c>
      <c r="K57" s="5" cm="1">
        <f t="array" ref="K57">IFERROR(AVERAGE(IF((OutputTable[GroupByKey]=OutputTable[[#This Row],[GroupByKey]]),(OutputTable[GroupByKey]=OutputTable[[#This Row],[GroupByKey]])*OutputTable[RecordedValue])),0)</f>
        <v>1.2962962962962963</v>
      </c>
      <c r="L57" s="5" cm="1">
        <f t="array" ref="L57">IFERROR(_xlfn.STDEV.S(IF((OutputTable[GroupByKey]=OutputTable[[#This Row],[GroupByKey]]),(OutputTable[GroupByKey]=OutputTable[[#This Row],[GroupByKey]])*OutputTable[RecordedValue])),0)</f>
        <v>1.1706281947614154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57" s="5" cm="1">
        <f t="array" ref="O57">MIN(IF((OutputTable[GroupByKey]=OutputTable[[#This Row],[GroupByKey]]),(OutputTable[GroupByKey]=OutputTable[[#This Row],[GroupByKey]])*OutputTable[RecordedValue]))</f>
        <v>0</v>
      </c>
      <c r="P57" s="5" cm="1">
        <f t="array" ref="P57">MAX(IF((OutputTable[GroupByKey]=OutputTable[[#This Row],[GroupByKey]]),(OutputTable[GroupByKey]=OutputTable[[#This Row],[GroupByKey]])*OutputTable[RecordedValue]))</f>
        <v>5</v>
      </c>
    </row>
    <row r="58" spans="1:16" x14ac:dyDescent="0.25">
      <c r="A58" t="s">
        <v>68</v>
      </c>
      <c r="B58" t="s">
        <v>70</v>
      </c>
      <c r="C58">
        <v>6</v>
      </c>
      <c r="D58" t="s">
        <v>101</v>
      </c>
      <c r="E58" t="s">
        <v>102</v>
      </c>
      <c r="F58" t="s">
        <v>73</v>
      </c>
      <c r="G58">
        <v>0</v>
      </c>
      <c r="H58">
        <v>0</v>
      </c>
      <c r="I58" s="5" t="str">
        <f>OutputTable[[#This Row],[ProjectName]]&amp;OutputTable[[#This Row],[Name]]&amp;OutputTable[[#This Row],[Type]]&amp;OutputTable[[#This Row],[Source]]</f>
        <v>Escenario AEntity 1.NumberOutNumber OutEntity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27</v>
      </c>
      <c r="K58" s="5" cm="1">
        <f t="array" ref="K58">IFERROR(AVERAGE(IF((OutputTable[GroupByKey]=OutputTable[[#This Row],[GroupByKey]]),(OutputTable[GroupByKey]=OutputTable[[#This Row],[GroupByKey]])*OutputTable[RecordedValue])),0)</f>
        <v>1.1851851851851851</v>
      </c>
      <c r="L58" s="5" cm="1">
        <f t="array" ref="L58">IFERROR(_xlfn.STDEV.S(IF((OutputTable[GroupByKey]=OutputTable[[#This Row],[GroupByKey]]),(OutputTable[GroupByKey]=OutputTable[[#This Row],[GroupByKey]])*OutputTable[RecordedValue])),0)</f>
        <v>1.0754976321197349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58" s="5" cm="1">
        <f t="array" ref="O58">MIN(IF((OutputTable[GroupByKey]=OutputTable[[#This Row],[GroupByKey]]),(OutputTable[GroupByKey]=OutputTable[[#This Row],[GroupByKey]])*OutputTable[RecordedValue]))</f>
        <v>0</v>
      </c>
      <c r="P58" s="5" cm="1">
        <f t="array" ref="P58">MAX(IF((OutputTable[GroupByKey]=OutputTable[[#This Row],[GroupByKey]]),(OutputTable[GroupByKey]=OutputTable[[#This Row],[GroupByKey]])*OutputTable[RecordedValue]))</f>
        <v>4</v>
      </c>
    </row>
    <row r="59" spans="1:16" x14ac:dyDescent="0.25">
      <c r="A59" t="s">
        <v>68</v>
      </c>
      <c r="B59" t="s">
        <v>70</v>
      </c>
      <c r="C59">
        <v>6</v>
      </c>
      <c r="D59" t="s">
        <v>103</v>
      </c>
      <c r="E59" t="s">
        <v>104</v>
      </c>
      <c r="F59" t="s">
        <v>87</v>
      </c>
      <c r="G59">
        <v>0</v>
      </c>
      <c r="H59">
        <v>0</v>
      </c>
      <c r="I59" s="5" t="str">
        <f>OutputTable[[#This Row],[ProjectName]]&amp;OutputTable[[#This Row],[Name]]&amp;OutputTable[[#This Row],[Type]]&amp;OutputTable[[#This Row],[Source]]</f>
        <v>Escenario ASeguimiemto Accum VA TimeAccum VA TimeProcess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27</v>
      </c>
      <c r="K59" s="5" cm="1">
        <f t="array" ref="K59">IFERROR(AVERAGE(IF((OutputTable[GroupByKey]=OutputTable[[#This Row],[GroupByKey]]),(OutputTable[GroupByKey]=OutputTable[[#This Row],[GroupByKey]])*OutputTable[RecordedValue])),0)</f>
        <v>9.5157533027466656E-2</v>
      </c>
      <c r="L59" s="5" cm="1">
        <f t="array" ref="L59">IFERROR(_xlfn.STDEV.S(IF((OutputTable[GroupByKey]=OutputTable[[#This Row],[GroupByKey]]),(OutputTable[GroupByKey]=OutputTable[[#This Row],[GroupByKey]])*OutputTable[RecordedValue])),0)</f>
        <v>0.4944530457794572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59" s="5" cm="1">
        <f t="array" ref="O59">MIN(IF((OutputTable[GroupByKey]=OutputTable[[#This Row],[GroupByKey]]),(OutputTable[GroupByKey]=OutputTable[[#This Row],[GroupByKey]])*OutputTable[RecordedValue]))</f>
        <v>0</v>
      </c>
      <c r="P59" s="5" cm="1">
        <f t="array" ref="P59">MAX(IF((OutputTable[GroupByKey]=OutputTable[[#This Row],[GroupByKey]]),(OutputTable[GroupByKey]=OutputTable[[#This Row],[GroupByKey]])*OutputTable[RecordedValue]))</f>
        <v>2.5692533917415998</v>
      </c>
    </row>
    <row r="60" spans="1:16" x14ac:dyDescent="0.25">
      <c r="A60" t="s">
        <v>68</v>
      </c>
      <c r="B60" t="s">
        <v>70</v>
      </c>
      <c r="C60">
        <v>6</v>
      </c>
      <c r="D60" t="s">
        <v>105</v>
      </c>
      <c r="E60" t="s">
        <v>106</v>
      </c>
      <c r="F60" t="s">
        <v>87</v>
      </c>
      <c r="G60">
        <v>0</v>
      </c>
      <c r="H60">
        <v>0</v>
      </c>
      <c r="I60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27</v>
      </c>
      <c r="K60" s="5" cm="1">
        <f t="array" ref="K60">IFERROR(AVERAGE(IF((OutputTable[GroupByKey]=OutputTable[[#This Row],[GroupByKey]]),(OutputTable[GroupByKey]=OutputTable[[#This Row],[GroupByKey]])*OutputTable[RecordedValue])),0)</f>
        <v>0</v>
      </c>
      <c r="L60" s="5" cm="1">
        <f t="array" ref="L60">IFERROR(_xlfn.STDEV.S(IF((OutputTable[GroupByKey]=OutputTable[[#This Row],[GroupByKey]]),(OutputTable[GroupByKey]=OutputTable[[#This Row],[GroupByKey]])*OutputTable[RecordedValue])),0)</f>
        <v>0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" s="5" cm="1">
        <f t="array" ref="O60">MIN(IF((OutputTable[GroupByKey]=OutputTable[[#This Row],[GroupByKey]]),(OutputTable[GroupByKey]=OutputTable[[#This Row],[GroupByKey]])*OutputTable[RecordedValue]))</f>
        <v>0</v>
      </c>
      <c r="P60" s="5" cm="1">
        <f t="array" ref="P60">MAX(IF((OutputTable[GroupByKey]=OutputTable[[#This Row],[GroupByKey]]),(OutputTable[GroupByKey]=OutputTable[[#This Row],[GroupByKey]])*OutputTable[RecordedValue]))</f>
        <v>0</v>
      </c>
    </row>
    <row r="61" spans="1:16" x14ac:dyDescent="0.25">
      <c r="A61" t="s">
        <v>68</v>
      </c>
      <c r="B61" t="s">
        <v>70</v>
      </c>
      <c r="C61">
        <v>6</v>
      </c>
      <c r="D61" t="s">
        <v>107</v>
      </c>
      <c r="E61" t="s">
        <v>100</v>
      </c>
      <c r="F61" t="s">
        <v>87</v>
      </c>
      <c r="G61">
        <v>0</v>
      </c>
      <c r="H61">
        <v>0</v>
      </c>
      <c r="I61" s="5" t="str">
        <f>OutputTable[[#This Row],[ProjectName]]&amp;OutputTable[[#This Row],[Name]]&amp;OutputTable[[#This Row],[Type]]&amp;OutputTable[[#This Row],[Source]]</f>
        <v>Escenario ASeguimiemto Number InNumber InProcess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27</v>
      </c>
      <c r="K61" s="5" cm="1">
        <f t="array" ref="K61">IFERROR(AVERAGE(IF((OutputTable[GroupByKey]=OutputTable[[#This Row],[GroupByKey]]),(OutputTable[GroupByKey]=OutputTable[[#This Row],[GroupByKey]])*OutputTable[RecordedValue])),0)</f>
        <v>3.7037037037037035E-2</v>
      </c>
      <c r="L61" s="5" cm="1">
        <f t="array" ref="L61">IFERROR(_xlfn.STDEV.S(IF((OutputTable[GroupByKey]=OutputTable[[#This Row],[GroupByKey]]),(OutputTable[GroupByKey]=OutputTable[[#This Row],[GroupByKey]])*OutputTable[RecordedValue])),0)</f>
        <v>0.19245008972987526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61" s="5" cm="1">
        <f t="array" ref="O61">MIN(IF((OutputTable[GroupByKey]=OutputTable[[#This Row],[GroupByKey]]),(OutputTable[GroupByKey]=OutputTable[[#This Row],[GroupByKey]])*OutputTable[RecordedValue]))</f>
        <v>0</v>
      </c>
      <c r="P61" s="5" cm="1">
        <f t="array" ref="P61">MAX(IF((OutputTable[GroupByKey]=OutputTable[[#This Row],[GroupByKey]]),(OutputTable[GroupByKey]=OutputTable[[#This Row],[GroupByKey]])*OutputTable[RecordedValue]))</f>
        <v>1</v>
      </c>
    </row>
    <row r="62" spans="1:16" x14ac:dyDescent="0.25">
      <c r="A62" t="s">
        <v>68</v>
      </c>
      <c r="B62" t="s">
        <v>70</v>
      </c>
      <c r="C62">
        <v>6</v>
      </c>
      <c r="D62" t="s">
        <v>108</v>
      </c>
      <c r="E62" t="s">
        <v>102</v>
      </c>
      <c r="F62" t="s">
        <v>87</v>
      </c>
      <c r="G62">
        <v>0</v>
      </c>
      <c r="H62">
        <v>0</v>
      </c>
      <c r="I62" s="5" t="str">
        <f>OutputTable[[#This Row],[ProjectName]]&amp;OutputTable[[#This Row],[Name]]&amp;OutputTable[[#This Row],[Type]]&amp;OutputTable[[#This Row],[Source]]</f>
        <v>Escenario ASeguimiemto Number OutNumber OutProcess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27</v>
      </c>
      <c r="K62" s="5" cm="1">
        <f t="array" ref="K62">IFERROR(AVERAGE(IF((OutputTable[GroupByKey]=OutputTable[[#This Row],[GroupByKey]]),(OutputTable[GroupByKey]=OutputTable[[#This Row],[GroupByKey]])*OutputTable[RecordedValue])),0)</f>
        <v>3.7037037037037035E-2</v>
      </c>
      <c r="L62" s="5" cm="1">
        <f t="array" ref="L62">IFERROR(_xlfn.STDEV.S(IF((OutputTable[GroupByKey]=OutputTable[[#This Row],[GroupByKey]]),(OutputTable[GroupByKey]=OutputTable[[#This Row],[GroupByKey]])*OutputTable[RecordedValue])),0)</f>
        <v>0.19245008972987526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62" s="5" cm="1">
        <f t="array" ref="O62">MIN(IF((OutputTable[GroupByKey]=OutputTable[[#This Row],[GroupByKey]]),(OutputTable[GroupByKey]=OutputTable[[#This Row],[GroupByKey]])*OutputTable[RecordedValue]))</f>
        <v>0</v>
      </c>
      <c r="P62" s="5" cm="1">
        <f t="array" ref="P62">MAX(IF((OutputTable[GroupByKey]=OutputTable[[#This Row],[GroupByKey]]),(OutputTable[GroupByKey]=OutputTable[[#This Row],[GroupByKey]])*OutputTable[RecordedValue]))</f>
        <v>1</v>
      </c>
    </row>
    <row r="63" spans="1:16" x14ac:dyDescent="0.25">
      <c r="A63" t="s">
        <v>68</v>
      </c>
      <c r="B63" t="s">
        <v>70</v>
      </c>
      <c r="C63">
        <v>6</v>
      </c>
      <c r="D63" t="s">
        <v>109</v>
      </c>
      <c r="E63" t="s">
        <v>102</v>
      </c>
      <c r="F63" t="s">
        <v>110</v>
      </c>
      <c r="G63">
        <v>0</v>
      </c>
      <c r="H63">
        <v>0</v>
      </c>
      <c r="I63" s="5" t="str">
        <f>OutputTable[[#This Row],[ProjectName]]&amp;OutputTable[[#This Row],[Name]]&amp;OutputTable[[#This Row],[Type]]&amp;OutputTable[[#This Row],[Source]]</f>
        <v>Escenario ASystem.NumberOutNumber OutSystem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27</v>
      </c>
      <c r="K63" s="5" cm="1">
        <f t="array" ref="K63">IFERROR(AVERAGE(IF((OutputTable[GroupByKey]=OutputTable[[#This Row],[GroupByKey]]),(OutputTable[GroupByKey]=OutputTable[[#This Row],[GroupByKey]])*OutputTable[RecordedValue])),0)</f>
        <v>1.1851851851851851</v>
      </c>
      <c r="L63" s="5" cm="1">
        <f t="array" ref="L63">IFERROR(_xlfn.STDEV.S(IF((OutputTable[GroupByKey]=OutputTable[[#This Row],[GroupByKey]]),(OutputTable[GroupByKey]=OutputTable[[#This Row],[GroupByKey]])*OutputTable[RecordedValue])),0)</f>
        <v>1.0754976321197349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63" s="5" cm="1">
        <f t="array" ref="O63">MIN(IF((OutputTable[GroupByKey]=OutputTable[[#This Row],[GroupByKey]]),(OutputTable[GroupByKey]=OutputTable[[#This Row],[GroupByKey]])*OutputTable[RecordedValue]))</f>
        <v>0</v>
      </c>
      <c r="P63" s="5" cm="1">
        <f t="array" ref="P63">MAX(IF((OutputTable[GroupByKey]=OutputTable[[#This Row],[GroupByKey]]),(OutputTable[GroupByKey]=OutputTable[[#This Row],[GroupByKey]])*OutputTable[RecordedValue]))</f>
        <v>4</v>
      </c>
    </row>
    <row r="64" spans="1:16" x14ac:dyDescent="0.25">
      <c r="A64" t="s">
        <v>68</v>
      </c>
      <c r="B64" t="s">
        <v>70</v>
      </c>
      <c r="C64">
        <v>6</v>
      </c>
      <c r="D64" t="s">
        <v>111</v>
      </c>
      <c r="E64" t="s">
        <v>112</v>
      </c>
      <c r="F64" t="s">
        <v>95</v>
      </c>
      <c r="G64">
        <v>0</v>
      </c>
      <c r="H64">
        <v>0</v>
      </c>
      <c r="I64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27</v>
      </c>
      <c r="K64" s="5" cm="1">
        <f t="array" ref="K64">IFERROR(AVERAGE(IF((OutputTable[GroupByKey]=OutputTable[[#This Row],[GroupByKey]]),(OutputTable[GroupByKey]=OutputTable[[#This Row],[GroupByKey]])*OutputTable[RecordedValue])),0)</f>
        <v>1.2962962962962963</v>
      </c>
      <c r="L64" s="5" cm="1">
        <f t="array" ref="L64">IFERROR(_xlfn.STDEV.S(IF((OutputTable[GroupByKey]=OutputTable[[#This Row],[GroupByKey]]),(OutputTable[GroupByKey]=OutputTable[[#This Row],[GroupByKey]])*OutputTable[RecordedValue])),0)</f>
        <v>1.1706281947614154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64" s="5" cm="1">
        <f t="array" ref="O64">MIN(IF((OutputTable[GroupByKey]=OutputTable[[#This Row],[GroupByKey]]),(OutputTable[GroupByKey]=OutputTable[[#This Row],[GroupByKey]])*OutputTable[RecordedValue]))</f>
        <v>0</v>
      </c>
      <c r="P64" s="5" cm="1">
        <f t="array" ref="P64">MAX(IF((OutputTable[GroupByKey]=OutputTable[[#This Row],[GroupByKey]]),(OutputTable[GroupByKey]=OutputTable[[#This Row],[GroupByKey]])*OutputTable[RecordedValue]))</f>
        <v>5</v>
      </c>
    </row>
    <row r="65" spans="1:16" x14ac:dyDescent="0.25">
      <c r="A65" t="s">
        <v>68</v>
      </c>
      <c r="B65" t="s">
        <v>70</v>
      </c>
      <c r="C65">
        <v>6</v>
      </c>
      <c r="D65" t="s">
        <v>113</v>
      </c>
      <c r="E65" t="s">
        <v>114</v>
      </c>
      <c r="F65" t="s">
        <v>95</v>
      </c>
      <c r="G65">
        <v>0</v>
      </c>
      <c r="H65">
        <v>0</v>
      </c>
      <c r="I65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27</v>
      </c>
      <c r="K65" s="5" cm="1">
        <f t="array" ref="K65">IFERROR(AVERAGE(IF((OutputTable[GroupByKey]=OutputTable[[#This Row],[GroupByKey]]),(OutputTable[GroupByKey]=OutputTable[[#This Row],[GroupByKey]])*OutputTable[RecordedValue])),0)</f>
        <v>1.2223949425906553E-2</v>
      </c>
      <c r="L65" s="5" cm="1">
        <f t="array" ref="L65">IFERROR(_xlfn.STDEV.S(IF((OutputTable[GroupByKey]=OutputTable[[#This Row],[GroupByKey]]),(OutputTable[GroupByKey]=OutputTable[[#This Row],[GroupByKey]])*OutputTable[RecordedValue])),0)</f>
        <v>1.112543407769513E-2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65" s="5" cm="1">
        <f t="array" ref="O65">MIN(IF((OutputTable[GroupByKey]=OutputTable[[#This Row],[GroupByKey]]),(OutputTable[GroupByKey]=OutputTable[[#This Row],[GroupByKey]])*OutputTable[RecordedValue]))</f>
        <v>0</v>
      </c>
      <c r="P65" s="5" cm="1">
        <f t="array" ref="P65">MAX(IF((OutputTable[GroupByKey]=OutputTable[[#This Row],[GroupByKey]]),(OutputTable[GroupByKey]=OutputTable[[#This Row],[GroupByKey]])*OutputTable[RecordedValue]))</f>
        <v>4.2906548761083699E-2</v>
      </c>
    </row>
    <row r="66" spans="1:16" x14ac:dyDescent="0.25">
      <c r="A66" t="s">
        <v>68</v>
      </c>
      <c r="B66" t="s">
        <v>70</v>
      </c>
      <c r="C66">
        <v>6</v>
      </c>
      <c r="D66" t="s">
        <v>115</v>
      </c>
      <c r="E66" t="s">
        <v>112</v>
      </c>
      <c r="F66" t="s">
        <v>95</v>
      </c>
      <c r="G66">
        <v>0</v>
      </c>
      <c r="H66">
        <v>0</v>
      </c>
      <c r="I66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27</v>
      </c>
      <c r="K66" s="5" cm="1">
        <f t="array" ref="K66">IFERROR(AVERAGE(IF((OutputTable[GroupByKey]=OutputTable[[#This Row],[GroupByKey]]),(OutputTable[GroupByKey]=OutputTable[[#This Row],[GroupByKey]])*OutputTable[RecordedValue])),0)</f>
        <v>3.7037037037037035E-2</v>
      </c>
      <c r="L66" s="5" cm="1">
        <f t="array" ref="L66">IFERROR(_xlfn.STDEV.S(IF((OutputTable[GroupByKey]=OutputTable[[#This Row],[GroupByKey]]),(OutputTable[GroupByKey]=OutputTable[[#This Row],[GroupByKey]])*OutputTable[RecordedValue])),0)</f>
        <v>0.19245008972987526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66" s="5" cm="1">
        <f t="array" ref="O66">MIN(IF((OutputTable[GroupByKey]=OutputTable[[#This Row],[GroupByKey]]),(OutputTable[GroupByKey]=OutputTable[[#This Row],[GroupByKey]])*OutputTable[RecordedValue]))</f>
        <v>0</v>
      </c>
      <c r="P66" s="5" cm="1">
        <f t="array" ref="P66">MAX(IF((OutputTable[GroupByKey]=OutputTable[[#This Row],[GroupByKey]]),(OutputTable[GroupByKey]=OutputTable[[#This Row],[GroupByKey]])*OutputTable[RecordedValue]))</f>
        <v>1</v>
      </c>
    </row>
    <row r="67" spans="1:16" x14ac:dyDescent="0.25">
      <c r="A67" t="s">
        <v>68</v>
      </c>
      <c r="B67" t="s">
        <v>70</v>
      </c>
      <c r="C67">
        <v>6</v>
      </c>
      <c r="D67" t="s">
        <v>116</v>
      </c>
      <c r="E67" t="s">
        <v>114</v>
      </c>
      <c r="F67" t="s">
        <v>95</v>
      </c>
      <c r="G67">
        <v>0</v>
      </c>
      <c r="H67">
        <v>0</v>
      </c>
      <c r="I67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27</v>
      </c>
      <c r="K67" s="5" cm="1">
        <f t="array" ref="K67">IFERROR(AVERAGE(IF((OutputTable[GroupByKey]=OutputTable[[#This Row],[GroupByKey]]),(OutputTable[GroupByKey]=OutputTable[[#This Row],[GroupByKey]])*OutputTable[RecordedValue])),0)</f>
        <v>1.5859588837911111E-4</v>
      </c>
      <c r="L67" s="5" cm="1">
        <f t="array" ref="L67">IFERROR(_xlfn.STDEV.S(IF((OutputTable[GroupByKey]=OutputTable[[#This Row],[GroupByKey]]),(OutputTable[GroupByKey]=OutputTable[[#This Row],[GroupByKey]])*OutputTable[RecordedValue])),0)</f>
        <v>8.2408840963242873E-4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67" s="5" cm="1">
        <f t="array" ref="O67">MIN(IF((OutputTable[GroupByKey]=OutputTable[[#This Row],[GroupByKey]]),(OutputTable[GroupByKey]=OutputTable[[#This Row],[GroupByKey]])*OutputTable[RecordedValue]))</f>
        <v>0</v>
      </c>
      <c r="P67" s="5" cm="1">
        <f t="array" ref="P67">MAX(IF((OutputTable[GroupByKey]=OutputTable[[#This Row],[GroupByKey]]),(OutputTable[GroupByKey]=OutputTable[[#This Row],[GroupByKey]])*OutputTable[RecordedValue]))</f>
        <v>4.2820889862359999E-3</v>
      </c>
    </row>
    <row r="68" spans="1:16" x14ac:dyDescent="0.25">
      <c r="A68" t="s">
        <v>68</v>
      </c>
      <c r="B68" t="s">
        <v>70</v>
      </c>
      <c r="C68">
        <v>7</v>
      </c>
      <c r="D68" t="s">
        <v>99</v>
      </c>
      <c r="E68" t="s">
        <v>100</v>
      </c>
      <c r="F68" t="s">
        <v>73</v>
      </c>
      <c r="G68">
        <v>1</v>
      </c>
      <c r="H68">
        <v>0</v>
      </c>
      <c r="I68" s="5" t="str">
        <f>OutputTable[[#This Row],[ProjectName]]&amp;OutputTable[[#This Row],[Name]]&amp;OutputTable[[#This Row],[Type]]&amp;OutputTable[[#This Row],[Source]]</f>
        <v>Escenario AEntity 1.NumberInNumber InEntity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27</v>
      </c>
      <c r="K68" s="5" cm="1">
        <f t="array" ref="K68">IFERROR(AVERAGE(IF((OutputTable[GroupByKey]=OutputTable[[#This Row],[GroupByKey]]),(OutputTable[GroupByKey]=OutputTable[[#This Row],[GroupByKey]])*OutputTable[RecordedValue])),0)</f>
        <v>1.2962962962962963</v>
      </c>
      <c r="L68" s="5" cm="1">
        <f t="array" ref="L68">IFERROR(_xlfn.STDEV.S(IF((OutputTable[GroupByKey]=OutputTable[[#This Row],[GroupByKey]]),(OutputTable[GroupByKey]=OutputTable[[#This Row],[GroupByKey]])*OutputTable[RecordedValue])),0)</f>
        <v>1.1706281947614154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68" s="5" cm="1">
        <f t="array" ref="O68">MIN(IF((OutputTable[GroupByKey]=OutputTable[[#This Row],[GroupByKey]]),(OutputTable[GroupByKey]=OutputTable[[#This Row],[GroupByKey]])*OutputTable[RecordedValue]))</f>
        <v>0</v>
      </c>
      <c r="P68" s="5" cm="1">
        <f t="array" ref="P68">MAX(IF((OutputTable[GroupByKey]=OutputTable[[#This Row],[GroupByKey]]),(OutputTable[GroupByKey]=OutputTable[[#This Row],[GroupByKey]])*OutputTable[RecordedValue]))</f>
        <v>5</v>
      </c>
    </row>
    <row r="69" spans="1:16" x14ac:dyDescent="0.25">
      <c r="A69" t="s">
        <v>68</v>
      </c>
      <c r="B69" t="s">
        <v>70</v>
      </c>
      <c r="C69">
        <v>7</v>
      </c>
      <c r="D69" t="s">
        <v>101</v>
      </c>
      <c r="E69" t="s">
        <v>102</v>
      </c>
      <c r="F69" t="s">
        <v>73</v>
      </c>
      <c r="G69">
        <v>1</v>
      </c>
      <c r="H69">
        <v>0</v>
      </c>
      <c r="I69" s="5" t="str">
        <f>OutputTable[[#This Row],[ProjectName]]&amp;OutputTable[[#This Row],[Name]]&amp;OutputTable[[#This Row],[Type]]&amp;OutputTable[[#This Row],[Source]]</f>
        <v>Escenario AEntity 1.NumberOutNumber OutEntity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27</v>
      </c>
      <c r="K69" s="5" cm="1">
        <f t="array" ref="K69">IFERROR(AVERAGE(IF((OutputTable[GroupByKey]=OutputTable[[#This Row],[GroupByKey]]),(OutputTable[GroupByKey]=OutputTable[[#This Row],[GroupByKey]])*OutputTable[RecordedValue])),0)</f>
        <v>1.1851851851851851</v>
      </c>
      <c r="L69" s="5" cm="1">
        <f t="array" ref="L69">IFERROR(_xlfn.STDEV.S(IF((OutputTable[GroupByKey]=OutputTable[[#This Row],[GroupByKey]]),(OutputTable[GroupByKey]=OutputTable[[#This Row],[GroupByKey]])*OutputTable[RecordedValue])),0)</f>
        <v>1.0754976321197349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69" s="5" cm="1">
        <f t="array" ref="O69">MIN(IF((OutputTable[GroupByKey]=OutputTable[[#This Row],[GroupByKey]]),(OutputTable[GroupByKey]=OutputTable[[#This Row],[GroupByKey]])*OutputTable[RecordedValue]))</f>
        <v>0</v>
      </c>
      <c r="P69" s="5" cm="1">
        <f t="array" ref="P69">MAX(IF((OutputTable[GroupByKey]=OutputTable[[#This Row],[GroupByKey]]),(OutputTable[GroupByKey]=OutputTable[[#This Row],[GroupByKey]])*OutputTable[RecordedValue]))</f>
        <v>4</v>
      </c>
    </row>
    <row r="70" spans="1:16" x14ac:dyDescent="0.25">
      <c r="A70" t="s">
        <v>68</v>
      </c>
      <c r="B70" t="s">
        <v>70</v>
      </c>
      <c r="C70">
        <v>7</v>
      </c>
      <c r="D70" t="s">
        <v>103</v>
      </c>
      <c r="E70" t="s">
        <v>104</v>
      </c>
      <c r="F70" t="s">
        <v>87</v>
      </c>
      <c r="G70">
        <v>0</v>
      </c>
      <c r="H70">
        <v>0</v>
      </c>
      <c r="I70" s="5" t="str">
        <f>OutputTable[[#This Row],[ProjectName]]&amp;OutputTable[[#This Row],[Name]]&amp;OutputTable[[#This Row],[Type]]&amp;OutputTable[[#This Row],[Source]]</f>
        <v>Escenario ASeguimiemto Accum VA TimeAccum VA TimeProcess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27</v>
      </c>
      <c r="K70" s="5" cm="1">
        <f t="array" ref="K70">IFERROR(AVERAGE(IF((OutputTable[GroupByKey]=OutputTable[[#This Row],[GroupByKey]]),(OutputTable[GroupByKey]=OutputTable[[#This Row],[GroupByKey]])*OutputTable[RecordedValue])),0)</f>
        <v>9.5157533027466656E-2</v>
      </c>
      <c r="L70" s="5" cm="1">
        <f t="array" ref="L70">IFERROR(_xlfn.STDEV.S(IF((OutputTable[GroupByKey]=OutputTable[[#This Row],[GroupByKey]]),(OutputTable[GroupByKey]=OutputTable[[#This Row],[GroupByKey]])*OutputTable[RecordedValue])),0)</f>
        <v>0.4944530457794572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70" s="5" cm="1">
        <f t="array" ref="O70">MIN(IF((OutputTable[GroupByKey]=OutputTable[[#This Row],[GroupByKey]]),(OutputTable[GroupByKey]=OutputTable[[#This Row],[GroupByKey]])*OutputTable[RecordedValue]))</f>
        <v>0</v>
      </c>
      <c r="P70" s="5" cm="1">
        <f t="array" ref="P70">MAX(IF((OutputTable[GroupByKey]=OutputTable[[#This Row],[GroupByKey]]),(OutputTable[GroupByKey]=OutputTable[[#This Row],[GroupByKey]])*OutputTable[RecordedValue]))</f>
        <v>2.5692533917415998</v>
      </c>
    </row>
    <row r="71" spans="1:16" x14ac:dyDescent="0.25">
      <c r="A71" t="s">
        <v>68</v>
      </c>
      <c r="B71" t="s">
        <v>70</v>
      </c>
      <c r="C71">
        <v>7</v>
      </c>
      <c r="D71" t="s">
        <v>105</v>
      </c>
      <c r="E71" t="s">
        <v>106</v>
      </c>
      <c r="F71" t="s">
        <v>87</v>
      </c>
      <c r="G71">
        <v>0</v>
      </c>
      <c r="H71">
        <v>0</v>
      </c>
      <c r="I71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27</v>
      </c>
      <c r="K71" s="5" cm="1">
        <f t="array" ref="K71">IFERROR(AVERAGE(IF((OutputTable[GroupByKey]=OutputTable[[#This Row],[GroupByKey]]),(OutputTable[GroupByKey]=OutputTable[[#This Row],[GroupByKey]])*OutputTable[RecordedValue])),0)</f>
        <v>0</v>
      </c>
      <c r="L71" s="5" cm="1">
        <f t="array" ref="L71">IFERROR(_xlfn.STDEV.S(IF((OutputTable[GroupByKey]=OutputTable[[#This Row],[GroupByKey]]),(OutputTable[GroupByKey]=OutputTable[[#This Row],[GroupByKey]])*OutputTable[RecordedValue])),0)</f>
        <v>0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" s="5" cm="1">
        <f t="array" ref="O71">MIN(IF((OutputTable[GroupByKey]=OutputTable[[#This Row],[GroupByKey]]),(OutputTable[GroupByKey]=OutputTable[[#This Row],[GroupByKey]])*OutputTable[RecordedValue]))</f>
        <v>0</v>
      </c>
      <c r="P71" s="5" cm="1">
        <f t="array" ref="P71">MAX(IF((OutputTable[GroupByKey]=OutputTable[[#This Row],[GroupByKey]]),(OutputTable[GroupByKey]=OutputTable[[#This Row],[GroupByKey]])*OutputTable[RecordedValue]))</f>
        <v>0</v>
      </c>
    </row>
    <row r="72" spans="1:16" x14ac:dyDescent="0.25">
      <c r="A72" t="s">
        <v>68</v>
      </c>
      <c r="B72" t="s">
        <v>70</v>
      </c>
      <c r="C72">
        <v>7</v>
      </c>
      <c r="D72" t="s">
        <v>107</v>
      </c>
      <c r="E72" t="s">
        <v>100</v>
      </c>
      <c r="F72" t="s">
        <v>87</v>
      </c>
      <c r="G72">
        <v>0</v>
      </c>
      <c r="H72">
        <v>0</v>
      </c>
      <c r="I72" s="5" t="str">
        <f>OutputTable[[#This Row],[ProjectName]]&amp;OutputTable[[#This Row],[Name]]&amp;OutputTable[[#This Row],[Type]]&amp;OutputTable[[#This Row],[Source]]</f>
        <v>Escenario ASeguimiemto Number InNumber InProcess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27</v>
      </c>
      <c r="K72" s="5" cm="1">
        <f t="array" ref="K72">IFERROR(AVERAGE(IF((OutputTable[GroupByKey]=OutputTable[[#This Row],[GroupByKey]]),(OutputTable[GroupByKey]=OutputTable[[#This Row],[GroupByKey]])*OutputTable[RecordedValue])),0)</f>
        <v>3.7037037037037035E-2</v>
      </c>
      <c r="L72" s="5" cm="1">
        <f t="array" ref="L72">IFERROR(_xlfn.STDEV.S(IF((OutputTable[GroupByKey]=OutputTable[[#This Row],[GroupByKey]]),(OutputTable[GroupByKey]=OutputTable[[#This Row],[GroupByKey]])*OutputTable[RecordedValue])),0)</f>
        <v>0.19245008972987526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72" s="5" cm="1">
        <f t="array" ref="O72">MIN(IF((OutputTable[GroupByKey]=OutputTable[[#This Row],[GroupByKey]]),(OutputTable[GroupByKey]=OutputTable[[#This Row],[GroupByKey]])*OutputTable[RecordedValue]))</f>
        <v>0</v>
      </c>
      <c r="P72" s="5" cm="1">
        <f t="array" ref="P72">MAX(IF((OutputTable[GroupByKey]=OutputTable[[#This Row],[GroupByKey]]),(OutputTable[GroupByKey]=OutputTable[[#This Row],[GroupByKey]])*OutputTable[RecordedValue]))</f>
        <v>1</v>
      </c>
    </row>
    <row r="73" spans="1:16" x14ac:dyDescent="0.25">
      <c r="A73" t="s">
        <v>68</v>
      </c>
      <c r="B73" t="s">
        <v>70</v>
      </c>
      <c r="C73">
        <v>7</v>
      </c>
      <c r="D73" t="s">
        <v>108</v>
      </c>
      <c r="E73" t="s">
        <v>102</v>
      </c>
      <c r="F73" t="s">
        <v>87</v>
      </c>
      <c r="G73">
        <v>0</v>
      </c>
      <c r="H73">
        <v>0</v>
      </c>
      <c r="I73" s="5" t="str">
        <f>OutputTable[[#This Row],[ProjectName]]&amp;OutputTable[[#This Row],[Name]]&amp;OutputTable[[#This Row],[Type]]&amp;OutputTable[[#This Row],[Source]]</f>
        <v>Escenario ASeguimiemto Number OutNumber OutProcess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27</v>
      </c>
      <c r="K73" s="5" cm="1">
        <f t="array" ref="K73">IFERROR(AVERAGE(IF((OutputTable[GroupByKey]=OutputTable[[#This Row],[GroupByKey]]),(OutputTable[GroupByKey]=OutputTable[[#This Row],[GroupByKey]])*OutputTable[RecordedValue])),0)</f>
        <v>3.7037037037037035E-2</v>
      </c>
      <c r="L73" s="5" cm="1">
        <f t="array" ref="L73">IFERROR(_xlfn.STDEV.S(IF((OutputTable[GroupByKey]=OutputTable[[#This Row],[GroupByKey]]),(OutputTable[GroupByKey]=OutputTable[[#This Row],[GroupByKey]])*OutputTable[RecordedValue])),0)</f>
        <v>0.19245008972987526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73" s="5" cm="1">
        <f t="array" ref="O73">MIN(IF((OutputTable[GroupByKey]=OutputTable[[#This Row],[GroupByKey]]),(OutputTable[GroupByKey]=OutputTable[[#This Row],[GroupByKey]])*OutputTable[RecordedValue]))</f>
        <v>0</v>
      </c>
      <c r="P73" s="5" cm="1">
        <f t="array" ref="P73">MAX(IF((OutputTable[GroupByKey]=OutputTable[[#This Row],[GroupByKey]]),(OutputTable[GroupByKey]=OutputTable[[#This Row],[GroupByKey]])*OutputTable[RecordedValue]))</f>
        <v>1</v>
      </c>
    </row>
    <row r="74" spans="1:16" x14ac:dyDescent="0.25">
      <c r="A74" t="s">
        <v>68</v>
      </c>
      <c r="B74" t="s">
        <v>70</v>
      </c>
      <c r="C74">
        <v>7</v>
      </c>
      <c r="D74" t="s">
        <v>109</v>
      </c>
      <c r="E74" t="s">
        <v>102</v>
      </c>
      <c r="F74" t="s">
        <v>110</v>
      </c>
      <c r="G74">
        <v>1</v>
      </c>
      <c r="H74">
        <v>0</v>
      </c>
      <c r="I74" s="5" t="str">
        <f>OutputTable[[#This Row],[ProjectName]]&amp;OutputTable[[#This Row],[Name]]&amp;OutputTable[[#This Row],[Type]]&amp;OutputTable[[#This Row],[Source]]</f>
        <v>Escenario ASystem.NumberOutNumber OutSystem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27</v>
      </c>
      <c r="K74" s="5" cm="1">
        <f t="array" ref="K74">IFERROR(AVERAGE(IF((OutputTable[GroupByKey]=OutputTable[[#This Row],[GroupByKey]]),(OutputTable[GroupByKey]=OutputTable[[#This Row],[GroupByKey]])*OutputTable[RecordedValue])),0)</f>
        <v>1.1851851851851851</v>
      </c>
      <c r="L74" s="5" cm="1">
        <f t="array" ref="L74">IFERROR(_xlfn.STDEV.S(IF((OutputTable[GroupByKey]=OutputTable[[#This Row],[GroupByKey]]),(OutputTable[GroupByKey]=OutputTable[[#This Row],[GroupByKey]])*OutputTable[RecordedValue])),0)</f>
        <v>1.0754976321197349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74" s="5" cm="1">
        <f t="array" ref="O74">MIN(IF((OutputTable[GroupByKey]=OutputTable[[#This Row],[GroupByKey]]),(OutputTable[GroupByKey]=OutputTable[[#This Row],[GroupByKey]])*OutputTable[RecordedValue]))</f>
        <v>0</v>
      </c>
      <c r="P74" s="5" cm="1">
        <f t="array" ref="P74">MAX(IF((OutputTable[GroupByKey]=OutputTable[[#This Row],[GroupByKey]]),(OutputTable[GroupByKey]=OutputTable[[#This Row],[GroupByKey]])*OutputTable[RecordedValue]))</f>
        <v>4</v>
      </c>
    </row>
    <row r="75" spans="1:16" x14ac:dyDescent="0.25">
      <c r="A75" t="s">
        <v>68</v>
      </c>
      <c r="B75" t="s">
        <v>70</v>
      </c>
      <c r="C75">
        <v>7</v>
      </c>
      <c r="D75" t="s">
        <v>111</v>
      </c>
      <c r="E75" t="s">
        <v>112</v>
      </c>
      <c r="F75" t="s">
        <v>95</v>
      </c>
      <c r="G75">
        <v>1</v>
      </c>
      <c r="H75">
        <v>0</v>
      </c>
      <c r="I75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27</v>
      </c>
      <c r="K75" s="5" cm="1">
        <f t="array" ref="K75">IFERROR(AVERAGE(IF((OutputTable[GroupByKey]=OutputTable[[#This Row],[GroupByKey]]),(OutputTable[GroupByKey]=OutputTable[[#This Row],[GroupByKey]])*OutputTable[RecordedValue])),0)</f>
        <v>1.2962962962962963</v>
      </c>
      <c r="L75" s="5" cm="1">
        <f t="array" ref="L75">IFERROR(_xlfn.STDEV.S(IF((OutputTable[GroupByKey]=OutputTable[[#This Row],[GroupByKey]]),(OutputTable[GroupByKey]=OutputTable[[#This Row],[GroupByKey]])*OutputTable[RecordedValue])),0)</f>
        <v>1.1706281947614154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75" s="5" cm="1">
        <f t="array" ref="O75">MIN(IF((OutputTable[GroupByKey]=OutputTable[[#This Row],[GroupByKey]]),(OutputTable[GroupByKey]=OutputTable[[#This Row],[GroupByKey]])*OutputTable[RecordedValue]))</f>
        <v>0</v>
      </c>
      <c r="P75" s="5" cm="1">
        <f t="array" ref="P75">MAX(IF((OutputTable[GroupByKey]=OutputTable[[#This Row],[GroupByKey]]),(OutputTable[GroupByKey]=OutputTable[[#This Row],[GroupByKey]])*OutputTable[RecordedValue]))</f>
        <v>5</v>
      </c>
    </row>
    <row r="76" spans="1:16" x14ac:dyDescent="0.25">
      <c r="A76" t="s">
        <v>68</v>
      </c>
      <c r="B76" t="s">
        <v>70</v>
      </c>
      <c r="C76">
        <v>7</v>
      </c>
      <c r="D76" t="s">
        <v>113</v>
      </c>
      <c r="E76" t="s">
        <v>114</v>
      </c>
      <c r="F76" t="s">
        <v>95</v>
      </c>
      <c r="G76">
        <v>9.3736138996943098E-3</v>
      </c>
      <c r="H76">
        <v>0</v>
      </c>
      <c r="I76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27</v>
      </c>
      <c r="K76" s="5" cm="1">
        <f t="array" ref="K76">IFERROR(AVERAGE(IF((OutputTable[GroupByKey]=OutputTable[[#This Row],[GroupByKey]]),(OutputTable[GroupByKey]=OutputTable[[#This Row],[GroupByKey]])*OutputTable[RecordedValue])),0)</f>
        <v>1.2223949425906553E-2</v>
      </c>
      <c r="L76" s="5" cm="1">
        <f t="array" ref="L76">IFERROR(_xlfn.STDEV.S(IF((OutputTable[GroupByKey]=OutputTable[[#This Row],[GroupByKey]]),(OutputTable[GroupByKey]=OutputTable[[#This Row],[GroupByKey]])*OutputTable[RecordedValue])),0)</f>
        <v>1.112543407769513E-2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76" s="5" cm="1">
        <f t="array" ref="O76">MIN(IF((OutputTable[GroupByKey]=OutputTable[[#This Row],[GroupByKey]]),(OutputTable[GroupByKey]=OutputTable[[#This Row],[GroupByKey]])*OutputTable[RecordedValue]))</f>
        <v>0</v>
      </c>
      <c r="P76" s="5" cm="1">
        <f t="array" ref="P76">MAX(IF((OutputTable[GroupByKey]=OutputTable[[#This Row],[GroupByKey]]),(OutputTable[GroupByKey]=OutputTable[[#This Row],[GroupByKey]])*OutputTable[RecordedValue]))</f>
        <v>4.2906548761083699E-2</v>
      </c>
    </row>
    <row r="77" spans="1:16" x14ac:dyDescent="0.25">
      <c r="A77" t="s">
        <v>68</v>
      </c>
      <c r="B77" t="s">
        <v>70</v>
      </c>
      <c r="C77">
        <v>7</v>
      </c>
      <c r="D77" t="s">
        <v>115</v>
      </c>
      <c r="E77" t="s">
        <v>112</v>
      </c>
      <c r="F77" t="s">
        <v>95</v>
      </c>
      <c r="G77">
        <v>0</v>
      </c>
      <c r="H77">
        <v>0</v>
      </c>
      <c r="I77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77" s="5" cm="1">
        <f t="array" ref="J77">MAX(IF((ProjectInfoTable[ProjectName]=OutputTable[[#This Row],[ProjectName]]),(ProjectInfoTable[ProjectName]=OutputTable[[#This Row],[ProjectName]])*ProjectInfoTable[NumberOfReplications]))</f>
        <v>27</v>
      </c>
      <c r="K77" s="5" cm="1">
        <f t="array" ref="K77">IFERROR(AVERAGE(IF((OutputTable[GroupByKey]=OutputTable[[#This Row],[GroupByKey]]),(OutputTable[GroupByKey]=OutputTable[[#This Row],[GroupByKey]])*OutputTable[RecordedValue])),0)</f>
        <v>3.7037037037037035E-2</v>
      </c>
      <c r="L77" s="5" cm="1">
        <f t="array" ref="L77">IFERROR(_xlfn.STDEV.S(IF((OutputTable[GroupByKey]=OutputTable[[#This Row],[GroupByKey]]),(OutputTable[GroupByKey]=OutputTable[[#This Row],[GroupByKey]])*OutputTable[RecordedValue])),0)</f>
        <v>0.19245008972987526</v>
      </c>
      <c r="M77" s="5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77" s="5" cm="1">
        <f t="array" ref="O77">MIN(IF((OutputTable[GroupByKey]=OutputTable[[#This Row],[GroupByKey]]),(OutputTable[GroupByKey]=OutputTable[[#This Row],[GroupByKey]])*OutputTable[RecordedValue]))</f>
        <v>0</v>
      </c>
      <c r="P77" s="5" cm="1">
        <f t="array" ref="P77">MAX(IF((OutputTable[GroupByKey]=OutputTable[[#This Row],[GroupByKey]]),(OutputTable[GroupByKey]=OutputTable[[#This Row],[GroupByKey]])*OutputTable[RecordedValue]))</f>
        <v>1</v>
      </c>
    </row>
    <row r="78" spans="1:16" x14ac:dyDescent="0.25">
      <c r="A78" t="s">
        <v>68</v>
      </c>
      <c r="B78" t="s">
        <v>70</v>
      </c>
      <c r="C78">
        <v>7</v>
      </c>
      <c r="D78" t="s">
        <v>116</v>
      </c>
      <c r="E78" t="s">
        <v>114</v>
      </c>
      <c r="F78" t="s">
        <v>95</v>
      </c>
      <c r="G78">
        <v>0</v>
      </c>
      <c r="H78">
        <v>0</v>
      </c>
      <c r="I78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78" s="5" cm="1">
        <f t="array" ref="J78">MAX(IF((ProjectInfoTable[ProjectName]=OutputTable[[#This Row],[ProjectName]]),(ProjectInfoTable[ProjectName]=OutputTable[[#This Row],[ProjectName]])*ProjectInfoTable[NumberOfReplications]))</f>
        <v>27</v>
      </c>
      <c r="K78" s="5" cm="1">
        <f t="array" ref="K78">IFERROR(AVERAGE(IF((OutputTable[GroupByKey]=OutputTable[[#This Row],[GroupByKey]]),(OutputTable[GroupByKey]=OutputTable[[#This Row],[GroupByKey]])*OutputTable[RecordedValue])),0)</f>
        <v>1.5859588837911111E-4</v>
      </c>
      <c r="L78" s="5" cm="1">
        <f t="array" ref="L78">IFERROR(_xlfn.STDEV.S(IF((OutputTable[GroupByKey]=OutputTable[[#This Row],[GroupByKey]]),(OutputTable[GroupByKey]=OutputTable[[#This Row],[GroupByKey]])*OutputTable[RecordedValue])),0)</f>
        <v>8.2408840963242873E-4</v>
      </c>
      <c r="M78" s="5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78" s="5" cm="1">
        <f t="array" ref="O78">MIN(IF((OutputTable[GroupByKey]=OutputTable[[#This Row],[GroupByKey]]),(OutputTable[GroupByKey]=OutputTable[[#This Row],[GroupByKey]])*OutputTable[RecordedValue]))</f>
        <v>0</v>
      </c>
      <c r="P78" s="5" cm="1">
        <f t="array" ref="P78">MAX(IF((OutputTable[GroupByKey]=OutputTable[[#This Row],[GroupByKey]]),(OutputTable[GroupByKey]=OutputTable[[#This Row],[GroupByKey]])*OutputTable[RecordedValue]))</f>
        <v>4.2820889862359999E-3</v>
      </c>
    </row>
    <row r="79" spans="1:16" x14ac:dyDescent="0.25">
      <c r="A79" t="s">
        <v>68</v>
      </c>
      <c r="B79" t="s">
        <v>70</v>
      </c>
      <c r="C79">
        <v>8</v>
      </c>
      <c r="D79" t="s">
        <v>99</v>
      </c>
      <c r="E79" t="s">
        <v>100</v>
      </c>
      <c r="F79" t="s">
        <v>73</v>
      </c>
      <c r="G79">
        <v>1</v>
      </c>
      <c r="H79">
        <v>0</v>
      </c>
      <c r="I79" s="5" t="str">
        <f>OutputTable[[#This Row],[ProjectName]]&amp;OutputTable[[#This Row],[Name]]&amp;OutputTable[[#This Row],[Type]]&amp;OutputTable[[#This Row],[Source]]</f>
        <v>Escenario AEntity 1.NumberInNumber InEntity</v>
      </c>
      <c r="J79" s="5" cm="1">
        <f t="array" ref="J79">MAX(IF((ProjectInfoTable[ProjectName]=OutputTable[[#This Row],[ProjectName]]),(ProjectInfoTable[ProjectName]=OutputTable[[#This Row],[ProjectName]])*ProjectInfoTable[NumberOfReplications]))</f>
        <v>27</v>
      </c>
      <c r="K79" s="5" cm="1">
        <f t="array" ref="K79">IFERROR(AVERAGE(IF((OutputTable[GroupByKey]=OutputTable[[#This Row],[GroupByKey]]),(OutputTable[GroupByKey]=OutputTable[[#This Row],[GroupByKey]])*OutputTable[RecordedValue])),0)</f>
        <v>1.2962962962962963</v>
      </c>
      <c r="L79" s="5" cm="1">
        <f t="array" ref="L79">IFERROR(_xlfn.STDEV.S(IF((OutputTable[GroupByKey]=OutputTable[[#This Row],[GroupByKey]]),(OutputTable[GroupByKey]=OutputTable[[#This Row],[GroupByKey]])*OutputTable[RecordedValue])),0)</f>
        <v>1.1706281947614154</v>
      </c>
      <c r="M79" s="5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79" s="5" cm="1">
        <f t="array" ref="O79">MIN(IF((OutputTable[GroupByKey]=OutputTable[[#This Row],[GroupByKey]]),(OutputTable[GroupByKey]=OutputTable[[#This Row],[GroupByKey]])*OutputTable[RecordedValue]))</f>
        <v>0</v>
      </c>
      <c r="P79" s="5" cm="1">
        <f t="array" ref="P79">MAX(IF((OutputTable[GroupByKey]=OutputTable[[#This Row],[GroupByKey]]),(OutputTable[GroupByKey]=OutputTable[[#This Row],[GroupByKey]])*OutputTable[RecordedValue]))</f>
        <v>5</v>
      </c>
    </row>
    <row r="80" spans="1:16" x14ac:dyDescent="0.25">
      <c r="A80" t="s">
        <v>68</v>
      </c>
      <c r="B80" t="s">
        <v>70</v>
      </c>
      <c r="C80">
        <v>8</v>
      </c>
      <c r="D80" t="s">
        <v>101</v>
      </c>
      <c r="E80" t="s">
        <v>102</v>
      </c>
      <c r="F80" t="s">
        <v>73</v>
      </c>
      <c r="G80">
        <v>1</v>
      </c>
      <c r="H80">
        <v>0</v>
      </c>
      <c r="I80" s="5" t="str">
        <f>OutputTable[[#This Row],[ProjectName]]&amp;OutputTable[[#This Row],[Name]]&amp;OutputTable[[#This Row],[Type]]&amp;OutputTable[[#This Row],[Source]]</f>
        <v>Escenario AEntity 1.NumberOutNumber OutEntity</v>
      </c>
      <c r="J80" s="5" cm="1">
        <f t="array" ref="J80">MAX(IF((ProjectInfoTable[ProjectName]=OutputTable[[#This Row],[ProjectName]]),(ProjectInfoTable[ProjectName]=OutputTable[[#This Row],[ProjectName]])*ProjectInfoTable[NumberOfReplications]))</f>
        <v>27</v>
      </c>
      <c r="K80" s="5" cm="1">
        <f t="array" ref="K80">IFERROR(AVERAGE(IF((OutputTable[GroupByKey]=OutputTable[[#This Row],[GroupByKey]]),(OutputTable[GroupByKey]=OutputTable[[#This Row],[GroupByKey]])*OutputTable[RecordedValue])),0)</f>
        <v>1.1851851851851851</v>
      </c>
      <c r="L80" s="5" cm="1">
        <f t="array" ref="L80">IFERROR(_xlfn.STDEV.S(IF((OutputTable[GroupByKey]=OutputTable[[#This Row],[GroupByKey]]),(OutputTable[GroupByKey]=OutputTable[[#This Row],[GroupByKey]])*OutputTable[RecordedValue])),0)</f>
        <v>1.0754976321197349</v>
      </c>
      <c r="M80" s="5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80" s="5" cm="1">
        <f t="array" ref="O80">MIN(IF((OutputTable[GroupByKey]=OutputTable[[#This Row],[GroupByKey]]),(OutputTable[GroupByKey]=OutputTable[[#This Row],[GroupByKey]])*OutputTable[RecordedValue]))</f>
        <v>0</v>
      </c>
      <c r="P80" s="5" cm="1">
        <f t="array" ref="P80">MAX(IF((OutputTable[GroupByKey]=OutputTable[[#This Row],[GroupByKey]]),(OutputTable[GroupByKey]=OutputTable[[#This Row],[GroupByKey]])*OutputTable[RecordedValue]))</f>
        <v>4</v>
      </c>
    </row>
    <row r="81" spans="1:16" x14ac:dyDescent="0.25">
      <c r="A81" t="s">
        <v>68</v>
      </c>
      <c r="B81" t="s">
        <v>70</v>
      </c>
      <c r="C81">
        <v>8</v>
      </c>
      <c r="D81" t="s">
        <v>103</v>
      </c>
      <c r="E81" t="s">
        <v>104</v>
      </c>
      <c r="F81" t="s">
        <v>87</v>
      </c>
      <c r="G81">
        <v>0</v>
      </c>
      <c r="H81">
        <v>0</v>
      </c>
      <c r="I81" s="5" t="str">
        <f>OutputTable[[#This Row],[ProjectName]]&amp;OutputTable[[#This Row],[Name]]&amp;OutputTable[[#This Row],[Type]]&amp;OutputTable[[#This Row],[Source]]</f>
        <v>Escenario ASeguimiemto Accum VA TimeAccum VA TimeProcess</v>
      </c>
      <c r="J81" s="5" cm="1">
        <f t="array" ref="J81">MAX(IF((ProjectInfoTable[ProjectName]=OutputTable[[#This Row],[ProjectName]]),(ProjectInfoTable[ProjectName]=OutputTable[[#This Row],[ProjectName]])*ProjectInfoTable[NumberOfReplications]))</f>
        <v>27</v>
      </c>
      <c r="K81" s="5" cm="1">
        <f t="array" ref="K81">IFERROR(AVERAGE(IF((OutputTable[GroupByKey]=OutputTable[[#This Row],[GroupByKey]]),(OutputTable[GroupByKey]=OutputTable[[#This Row],[GroupByKey]])*OutputTable[RecordedValue])),0)</f>
        <v>9.5157533027466656E-2</v>
      </c>
      <c r="L81" s="5" cm="1">
        <f t="array" ref="L81">IFERROR(_xlfn.STDEV.S(IF((OutputTable[GroupByKey]=OutputTable[[#This Row],[GroupByKey]]),(OutputTable[GroupByKey]=OutputTable[[#This Row],[GroupByKey]])*OutputTable[RecordedValue])),0)</f>
        <v>0.4944530457794572</v>
      </c>
      <c r="M81" s="5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81" s="5" cm="1">
        <f t="array" ref="O81">MIN(IF((OutputTable[GroupByKey]=OutputTable[[#This Row],[GroupByKey]]),(OutputTable[GroupByKey]=OutputTable[[#This Row],[GroupByKey]])*OutputTable[RecordedValue]))</f>
        <v>0</v>
      </c>
      <c r="P81" s="5" cm="1">
        <f t="array" ref="P81">MAX(IF((OutputTable[GroupByKey]=OutputTable[[#This Row],[GroupByKey]]),(OutputTable[GroupByKey]=OutputTable[[#This Row],[GroupByKey]])*OutputTable[RecordedValue]))</f>
        <v>2.5692533917415998</v>
      </c>
    </row>
    <row r="82" spans="1:16" x14ac:dyDescent="0.25">
      <c r="A82" t="s">
        <v>68</v>
      </c>
      <c r="B82" t="s">
        <v>70</v>
      </c>
      <c r="C82">
        <v>8</v>
      </c>
      <c r="D82" t="s">
        <v>105</v>
      </c>
      <c r="E82" t="s">
        <v>106</v>
      </c>
      <c r="F82" t="s">
        <v>87</v>
      </c>
      <c r="G82">
        <v>0</v>
      </c>
      <c r="H82">
        <v>0</v>
      </c>
      <c r="I82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82" s="5" cm="1">
        <f t="array" ref="J82">MAX(IF((ProjectInfoTable[ProjectName]=OutputTable[[#This Row],[ProjectName]]),(ProjectInfoTable[ProjectName]=OutputTable[[#This Row],[ProjectName]])*ProjectInfoTable[NumberOfReplications]))</f>
        <v>27</v>
      </c>
      <c r="K82" s="5" cm="1">
        <f t="array" ref="K82">IFERROR(AVERAGE(IF((OutputTable[GroupByKey]=OutputTable[[#This Row],[GroupByKey]]),(OutputTable[GroupByKey]=OutputTable[[#This Row],[GroupByKey]])*OutputTable[RecordedValue])),0)</f>
        <v>0</v>
      </c>
      <c r="L82" s="5" cm="1">
        <f t="array" ref="L82">IFERROR(_xlfn.STDEV.S(IF((OutputTable[GroupByKey]=OutputTable[[#This Row],[GroupByKey]]),(OutputTable[GroupByKey]=OutputTable[[#This Row],[GroupByKey]])*OutputTable[RecordedValue])),0)</f>
        <v>0</v>
      </c>
      <c r="M82" s="5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" s="5" cm="1">
        <f t="array" ref="O82">MIN(IF((OutputTable[GroupByKey]=OutputTable[[#This Row],[GroupByKey]]),(OutputTable[GroupByKey]=OutputTable[[#This Row],[GroupByKey]])*OutputTable[RecordedValue]))</f>
        <v>0</v>
      </c>
      <c r="P82" s="5" cm="1">
        <f t="array" ref="P82">MAX(IF((OutputTable[GroupByKey]=OutputTable[[#This Row],[GroupByKey]]),(OutputTable[GroupByKey]=OutputTable[[#This Row],[GroupByKey]])*OutputTable[RecordedValue]))</f>
        <v>0</v>
      </c>
    </row>
    <row r="83" spans="1:16" x14ac:dyDescent="0.25">
      <c r="A83" t="s">
        <v>68</v>
      </c>
      <c r="B83" t="s">
        <v>70</v>
      </c>
      <c r="C83">
        <v>8</v>
      </c>
      <c r="D83" t="s">
        <v>107</v>
      </c>
      <c r="E83" t="s">
        <v>100</v>
      </c>
      <c r="F83" t="s">
        <v>87</v>
      </c>
      <c r="G83">
        <v>0</v>
      </c>
      <c r="H83">
        <v>0</v>
      </c>
      <c r="I83" s="5" t="str">
        <f>OutputTable[[#This Row],[ProjectName]]&amp;OutputTable[[#This Row],[Name]]&amp;OutputTable[[#This Row],[Type]]&amp;OutputTable[[#This Row],[Source]]</f>
        <v>Escenario ASeguimiemto Number InNumber InProcess</v>
      </c>
      <c r="J83" s="5" cm="1">
        <f t="array" ref="J83">MAX(IF((ProjectInfoTable[ProjectName]=OutputTable[[#This Row],[ProjectName]]),(ProjectInfoTable[ProjectName]=OutputTable[[#This Row],[ProjectName]])*ProjectInfoTable[NumberOfReplications]))</f>
        <v>27</v>
      </c>
      <c r="K83" s="5" cm="1">
        <f t="array" ref="K83">IFERROR(AVERAGE(IF((OutputTable[GroupByKey]=OutputTable[[#This Row],[GroupByKey]]),(OutputTable[GroupByKey]=OutputTable[[#This Row],[GroupByKey]])*OutputTable[RecordedValue])),0)</f>
        <v>3.7037037037037035E-2</v>
      </c>
      <c r="L83" s="5" cm="1">
        <f t="array" ref="L83">IFERROR(_xlfn.STDEV.S(IF((OutputTable[GroupByKey]=OutputTable[[#This Row],[GroupByKey]]),(OutputTable[GroupByKey]=OutputTable[[#This Row],[GroupByKey]])*OutputTable[RecordedValue])),0)</f>
        <v>0.19245008972987526</v>
      </c>
      <c r="M83" s="5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83" s="5" cm="1">
        <f t="array" ref="O83">MIN(IF((OutputTable[GroupByKey]=OutputTable[[#This Row],[GroupByKey]]),(OutputTable[GroupByKey]=OutputTable[[#This Row],[GroupByKey]])*OutputTable[RecordedValue]))</f>
        <v>0</v>
      </c>
      <c r="P83" s="5" cm="1">
        <f t="array" ref="P83">MAX(IF((OutputTable[GroupByKey]=OutputTable[[#This Row],[GroupByKey]]),(OutputTable[GroupByKey]=OutputTable[[#This Row],[GroupByKey]])*OutputTable[RecordedValue]))</f>
        <v>1</v>
      </c>
    </row>
    <row r="84" spans="1:16" x14ac:dyDescent="0.25">
      <c r="A84" t="s">
        <v>68</v>
      </c>
      <c r="B84" t="s">
        <v>70</v>
      </c>
      <c r="C84">
        <v>8</v>
      </c>
      <c r="D84" t="s">
        <v>108</v>
      </c>
      <c r="E84" t="s">
        <v>102</v>
      </c>
      <c r="F84" t="s">
        <v>87</v>
      </c>
      <c r="G84">
        <v>0</v>
      </c>
      <c r="H84">
        <v>0</v>
      </c>
      <c r="I84" s="5" t="str">
        <f>OutputTable[[#This Row],[ProjectName]]&amp;OutputTable[[#This Row],[Name]]&amp;OutputTable[[#This Row],[Type]]&amp;OutputTable[[#This Row],[Source]]</f>
        <v>Escenario ASeguimiemto Number OutNumber OutProcess</v>
      </c>
      <c r="J84" s="5" cm="1">
        <f t="array" ref="J84">MAX(IF((ProjectInfoTable[ProjectName]=OutputTable[[#This Row],[ProjectName]]),(ProjectInfoTable[ProjectName]=OutputTable[[#This Row],[ProjectName]])*ProjectInfoTable[NumberOfReplications]))</f>
        <v>27</v>
      </c>
      <c r="K84" s="5" cm="1">
        <f t="array" ref="K84">IFERROR(AVERAGE(IF((OutputTable[GroupByKey]=OutputTable[[#This Row],[GroupByKey]]),(OutputTable[GroupByKey]=OutputTable[[#This Row],[GroupByKey]])*OutputTable[RecordedValue])),0)</f>
        <v>3.7037037037037035E-2</v>
      </c>
      <c r="L84" s="5" cm="1">
        <f t="array" ref="L84">IFERROR(_xlfn.STDEV.S(IF((OutputTable[GroupByKey]=OutputTable[[#This Row],[GroupByKey]]),(OutputTable[GroupByKey]=OutputTable[[#This Row],[GroupByKey]])*OutputTable[RecordedValue])),0)</f>
        <v>0.19245008972987526</v>
      </c>
      <c r="M84" s="5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84" s="5" cm="1">
        <f t="array" ref="O84">MIN(IF((OutputTable[GroupByKey]=OutputTable[[#This Row],[GroupByKey]]),(OutputTable[GroupByKey]=OutputTable[[#This Row],[GroupByKey]])*OutputTable[RecordedValue]))</f>
        <v>0</v>
      </c>
      <c r="P84" s="5" cm="1">
        <f t="array" ref="P84">MAX(IF((OutputTable[GroupByKey]=OutputTable[[#This Row],[GroupByKey]]),(OutputTable[GroupByKey]=OutputTable[[#This Row],[GroupByKey]])*OutputTable[RecordedValue]))</f>
        <v>1</v>
      </c>
    </row>
    <row r="85" spans="1:16" x14ac:dyDescent="0.25">
      <c r="A85" t="s">
        <v>68</v>
      </c>
      <c r="B85" t="s">
        <v>70</v>
      </c>
      <c r="C85">
        <v>8</v>
      </c>
      <c r="D85" t="s">
        <v>109</v>
      </c>
      <c r="E85" t="s">
        <v>102</v>
      </c>
      <c r="F85" t="s">
        <v>110</v>
      </c>
      <c r="G85">
        <v>1</v>
      </c>
      <c r="H85">
        <v>0</v>
      </c>
      <c r="I85" s="5" t="str">
        <f>OutputTable[[#This Row],[ProjectName]]&amp;OutputTable[[#This Row],[Name]]&amp;OutputTable[[#This Row],[Type]]&amp;OutputTable[[#This Row],[Source]]</f>
        <v>Escenario ASystem.NumberOutNumber OutSystem</v>
      </c>
      <c r="J85" s="5" cm="1">
        <f t="array" ref="J85">MAX(IF((ProjectInfoTable[ProjectName]=OutputTable[[#This Row],[ProjectName]]),(ProjectInfoTable[ProjectName]=OutputTable[[#This Row],[ProjectName]])*ProjectInfoTable[NumberOfReplications]))</f>
        <v>27</v>
      </c>
      <c r="K85" s="5" cm="1">
        <f t="array" ref="K85">IFERROR(AVERAGE(IF((OutputTable[GroupByKey]=OutputTable[[#This Row],[GroupByKey]]),(OutputTable[GroupByKey]=OutputTable[[#This Row],[GroupByKey]])*OutputTable[RecordedValue])),0)</f>
        <v>1.1851851851851851</v>
      </c>
      <c r="L85" s="5" cm="1">
        <f t="array" ref="L85">IFERROR(_xlfn.STDEV.S(IF((OutputTable[GroupByKey]=OutputTable[[#This Row],[GroupByKey]]),(OutputTable[GroupByKey]=OutputTable[[#This Row],[GroupByKey]])*OutputTable[RecordedValue])),0)</f>
        <v>1.0754976321197349</v>
      </c>
      <c r="M85" s="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85" s="5" cm="1">
        <f t="array" ref="O85">MIN(IF((OutputTable[GroupByKey]=OutputTable[[#This Row],[GroupByKey]]),(OutputTable[GroupByKey]=OutputTable[[#This Row],[GroupByKey]])*OutputTable[RecordedValue]))</f>
        <v>0</v>
      </c>
      <c r="P85" s="5" cm="1">
        <f t="array" ref="P85">MAX(IF((OutputTable[GroupByKey]=OutputTable[[#This Row],[GroupByKey]]),(OutputTable[GroupByKey]=OutputTable[[#This Row],[GroupByKey]])*OutputTable[RecordedValue]))</f>
        <v>4</v>
      </c>
    </row>
    <row r="86" spans="1:16" x14ac:dyDescent="0.25">
      <c r="A86" t="s">
        <v>68</v>
      </c>
      <c r="B86" t="s">
        <v>70</v>
      </c>
      <c r="C86">
        <v>8</v>
      </c>
      <c r="D86" t="s">
        <v>111</v>
      </c>
      <c r="E86" t="s">
        <v>112</v>
      </c>
      <c r="F86" t="s">
        <v>95</v>
      </c>
      <c r="G86">
        <v>1</v>
      </c>
      <c r="H86">
        <v>0</v>
      </c>
      <c r="I86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27</v>
      </c>
      <c r="K86" s="5" cm="1">
        <f t="array" ref="K86">IFERROR(AVERAGE(IF((OutputTable[GroupByKey]=OutputTable[[#This Row],[GroupByKey]]),(OutputTable[GroupByKey]=OutputTable[[#This Row],[GroupByKey]])*OutputTable[RecordedValue])),0)</f>
        <v>1.2962962962962963</v>
      </c>
      <c r="L86" s="5" cm="1">
        <f t="array" ref="L86">IFERROR(_xlfn.STDEV.S(IF((OutputTable[GroupByKey]=OutputTable[[#This Row],[GroupByKey]]),(OutputTable[GroupByKey]=OutputTable[[#This Row],[GroupByKey]])*OutputTable[RecordedValue])),0)</f>
        <v>1.1706281947614154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86" s="5" cm="1">
        <f t="array" ref="O86">MIN(IF((OutputTable[GroupByKey]=OutputTable[[#This Row],[GroupByKey]]),(OutputTable[GroupByKey]=OutputTable[[#This Row],[GroupByKey]])*OutputTable[RecordedValue]))</f>
        <v>0</v>
      </c>
      <c r="P86" s="5" cm="1">
        <f t="array" ref="P86">MAX(IF((OutputTable[GroupByKey]=OutputTable[[#This Row],[GroupByKey]]),(OutputTable[GroupByKey]=OutputTable[[#This Row],[GroupByKey]])*OutputTable[RecordedValue]))</f>
        <v>5</v>
      </c>
    </row>
    <row r="87" spans="1:16" x14ac:dyDescent="0.25">
      <c r="A87" t="s">
        <v>68</v>
      </c>
      <c r="B87" t="s">
        <v>70</v>
      </c>
      <c r="C87">
        <v>8</v>
      </c>
      <c r="D87" t="s">
        <v>113</v>
      </c>
      <c r="E87" t="s">
        <v>114</v>
      </c>
      <c r="F87" t="s">
        <v>95</v>
      </c>
      <c r="G87">
        <v>9.2632999506205103E-3</v>
      </c>
      <c r="H87">
        <v>0</v>
      </c>
      <c r="I87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27</v>
      </c>
      <c r="K87" s="5" cm="1">
        <f t="array" ref="K87">IFERROR(AVERAGE(IF((OutputTable[GroupByKey]=OutputTable[[#This Row],[GroupByKey]]),(OutputTable[GroupByKey]=OutputTable[[#This Row],[GroupByKey]])*OutputTable[RecordedValue])),0)</f>
        <v>1.2223949425906553E-2</v>
      </c>
      <c r="L87" s="5" cm="1">
        <f t="array" ref="L87">IFERROR(_xlfn.STDEV.S(IF((OutputTable[GroupByKey]=OutputTable[[#This Row],[GroupByKey]]),(OutputTable[GroupByKey]=OutputTable[[#This Row],[GroupByKey]])*OutputTable[RecordedValue])),0)</f>
        <v>1.112543407769513E-2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87" s="5" cm="1">
        <f t="array" ref="O87">MIN(IF((OutputTable[GroupByKey]=OutputTable[[#This Row],[GroupByKey]]),(OutputTable[GroupByKey]=OutputTable[[#This Row],[GroupByKey]])*OutputTable[RecordedValue]))</f>
        <v>0</v>
      </c>
      <c r="P87" s="5" cm="1">
        <f t="array" ref="P87">MAX(IF((OutputTable[GroupByKey]=OutputTable[[#This Row],[GroupByKey]]),(OutputTable[GroupByKey]=OutputTable[[#This Row],[GroupByKey]])*OutputTable[RecordedValue]))</f>
        <v>4.2906548761083699E-2</v>
      </c>
    </row>
    <row r="88" spans="1:16" x14ac:dyDescent="0.25">
      <c r="A88" t="s">
        <v>68</v>
      </c>
      <c r="B88" t="s">
        <v>70</v>
      </c>
      <c r="C88">
        <v>8</v>
      </c>
      <c r="D88" t="s">
        <v>115</v>
      </c>
      <c r="E88" t="s">
        <v>112</v>
      </c>
      <c r="F88" t="s">
        <v>95</v>
      </c>
      <c r="G88">
        <v>0</v>
      </c>
      <c r="H88">
        <v>0</v>
      </c>
      <c r="I88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27</v>
      </c>
      <c r="K88" s="5" cm="1">
        <f t="array" ref="K88">IFERROR(AVERAGE(IF((OutputTable[GroupByKey]=OutputTable[[#This Row],[GroupByKey]]),(OutputTable[GroupByKey]=OutputTable[[#This Row],[GroupByKey]])*OutputTable[RecordedValue])),0)</f>
        <v>3.7037037037037035E-2</v>
      </c>
      <c r="L88" s="5" cm="1">
        <f t="array" ref="L88">IFERROR(_xlfn.STDEV.S(IF((OutputTable[GroupByKey]=OutputTable[[#This Row],[GroupByKey]]),(OutputTable[GroupByKey]=OutputTable[[#This Row],[GroupByKey]])*OutputTable[RecordedValue])),0)</f>
        <v>0.19245008972987526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88" s="5" cm="1">
        <f t="array" ref="O88">MIN(IF((OutputTable[GroupByKey]=OutputTable[[#This Row],[GroupByKey]]),(OutputTable[GroupByKey]=OutputTable[[#This Row],[GroupByKey]])*OutputTable[RecordedValue]))</f>
        <v>0</v>
      </c>
      <c r="P88" s="5" cm="1">
        <f t="array" ref="P88">MAX(IF((OutputTable[GroupByKey]=OutputTable[[#This Row],[GroupByKey]]),(OutputTable[GroupByKey]=OutputTable[[#This Row],[GroupByKey]])*OutputTable[RecordedValue]))</f>
        <v>1</v>
      </c>
    </row>
    <row r="89" spans="1:16" x14ac:dyDescent="0.25">
      <c r="A89" t="s">
        <v>68</v>
      </c>
      <c r="B89" t="s">
        <v>70</v>
      </c>
      <c r="C89">
        <v>8</v>
      </c>
      <c r="D89" t="s">
        <v>116</v>
      </c>
      <c r="E89" t="s">
        <v>114</v>
      </c>
      <c r="F89" t="s">
        <v>95</v>
      </c>
      <c r="G89">
        <v>0</v>
      </c>
      <c r="H89">
        <v>0</v>
      </c>
      <c r="I89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27</v>
      </c>
      <c r="K89" s="5" cm="1">
        <f t="array" ref="K89">IFERROR(AVERAGE(IF((OutputTable[GroupByKey]=OutputTable[[#This Row],[GroupByKey]]),(OutputTable[GroupByKey]=OutputTable[[#This Row],[GroupByKey]])*OutputTable[RecordedValue])),0)</f>
        <v>1.5859588837911111E-4</v>
      </c>
      <c r="L89" s="5" cm="1">
        <f t="array" ref="L89">IFERROR(_xlfn.STDEV.S(IF((OutputTable[GroupByKey]=OutputTable[[#This Row],[GroupByKey]]),(OutputTable[GroupByKey]=OutputTable[[#This Row],[GroupByKey]])*OutputTable[RecordedValue])),0)</f>
        <v>8.2408840963242873E-4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89" s="5" cm="1">
        <f t="array" ref="O89">MIN(IF((OutputTable[GroupByKey]=OutputTable[[#This Row],[GroupByKey]]),(OutputTable[GroupByKey]=OutputTable[[#This Row],[GroupByKey]])*OutputTable[RecordedValue]))</f>
        <v>0</v>
      </c>
      <c r="P89" s="5" cm="1">
        <f t="array" ref="P89">MAX(IF((OutputTable[GroupByKey]=OutputTable[[#This Row],[GroupByKey]]),(OutputTable[GroupByKey]=OutputTable[[#This Row],[GroupByKey]])*OutputTable[RecordedValue]))</f>
        <v>4.2820889862359999E-3</v>
      </c>
    </row>
    <row r="90" spans="1:16" x14ac:dyDescent="0.25">
      <c r="A90" t="s">
        <v>68</v>
      </c>
      <c r="B90" t="s">
        <v>70</v>
      </c>
      <c r="C90">
        <v>9</v>
      </c>
      <c r="D90" t="s">
        <v>99</v>
      </c>
      <c r="E90" t="s">
        <v>100</v>
      </c>
      <c r="F90" t="s">
        <v>73</v>
      </c>
      <c r="G90">
        <v>0</v>
      </c>
      <c r="H90">
        <v>0</v>
      </c>
      <c r="I90" s="5" t="str">
        <f>OutputTable[[#This Row],[ProjectName]]&amp;OutputTable[[#This Row],[Name]]&amp;OutputTable[[#This Row],[Type]]&amp;OutputTable[[#This Row],[Source]]</f>
        <v>Escenario AEntity 1.NumberInNumber InEntity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27</v>
      </c>
      <c r="K90" s="5" cm="1">
        <f t="array" ref="K90">IFERROR(AVERAGE(IF((OutputTable[GroupByKey]=OutputTable[[#This Row],[GroupByKey]]),(OutputTable[GroupByKey]=OutputTable[[#This Row],[GroupByKey]])*OutputTable[RecordedValue])),0)</f>
        <v>1.2962962962962963</v>
      </c>
      <c r="L90" s="5" cm="1">
        <f t="array" ref="L90">IFERROR(_xlfn.STDEV.S(IF((OutputTable[GroupByKey]=OutputTable[[#This Row],[GroupByKey]]),(OutputTable[GroupByKey]=OutputTable[[#This Row],[GroupByKey]])*OutputTable[RecordedValue])),0)</f>
        <v>1.1706281947614154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90" s="5" cm="1">
        <f t="array" ref="O90">MIN(IF((OutputTable[GroupByKey]=OutputTable[[#This Row],[GroupByKey]]),(OutputTable[GroupByKey]=OutputTable[[#This Row],[GroupByKey]])*OutputTable[RecordedValue]))</f>
        <v>0</v>
      </c>
      <c r="P90" s="5" cm="1">
        <f t="array" ref="P90">MAX(IF((OutputTable[GroupByKey]=OutputTable[[#This Row],[GroupByKey]]),(OutputTable[GroupByKey]=OutputTable[[#This Row],[GroupByKey]])*OutputTable[RecordedValue]))</f>
        <v>5</v>
      </c>
    </row>
    <row r="91" spans="1:16" x14ac:dyDescent="0.25">
      <c r="A91" t="s">
        <v>68</v>
      </c>
      <c r="B91" t="s">
        <v>70</v>
      </c>
      <c r="C91">
        <v>9</v>
      </c>
      <c r="D91" t="s">
        <v>101</v>
      </c>
      <c r="E91" t="s">
        <v>102</v>
      </c>
      <c r="F91" t="s">
        <v>73</v>
      </c>
      <c r="G91">
        <v>0</v>
      </c>
      <c r="H91">
        <v>0</v>
      </c>
      <c r="I91" s="5" t="str">
        <f>OutputTable[[#This Row],[ProjectName]]&amp;OutputTable[[#This Row],[Name]]&amp;OutputTable[[#This Row],[Type]]&amp;OutputTable[[#This Row],[Source]]</f>
        <v>Escenario AEntity 1.NumberOutNumber OutEntity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27</v>
      </c>
      <c r="K91" s="5" cm="1">
        <f t="array" ref="K91">IFERROR(AVERAGE(IF((OutputTable[GroupByKey]=OutputTable[[#This Row],[GroupByKey]]),(OutputTable[GroupByKey]=OutputTable[[#This Row],[GroupByKey]])*OutputTable[RecordedValue])),0)</f>
        <v>1.1851851851851851</v>
      </c>
      <c r="L91" s="5" cm="1">
        <f t="array" ref="L91">IFERROR(_xlfn.STDEV.S(IF((OutputTable[GroupByKey]=OutputTable[[#This Row],[GroupByKey]]),(OutputTable[GroupByKey]=OutputTable[[#This Row],[GroupByKey]])*OutputTable[RecordedValue])),0)</f>
        <v>1.0754976321197349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91" s="5" cm="1">
        <f t="array" ref="O91">MIN(IF((OutputTable[GroupByKey]=OutputTable[[#This Row],[GroupByKey]]),(OutputTable[GroupByKey]=OutputTable[[#This Row],[GroupByKey]])*OutputTable[RecordedValue]))</f>
        <v>0</v>
      </c>
      <c r="P91" s="5" cm="1">
        <f t="array" ref="P91">MAX(IF((OutputTable[GroupByKey]=OutputTable[[#This Row],[GroupByKey]]),(OutputTable[GroupByKey]=OutputTable[[#This Row],[GroupByKey]])*OutputTable[RecordedValue]))</f>
        <v>4</v>
      </c>
    </row>
    <row r="92" spans="1:16" x14ac:dyDescent="0.25">
      <c r="A92" t="s">
        <v>68</v>
      </c>
      <c r="B92" t="s">
        <v>70</v>
      </c>
      <c r="C92">
        <v>9</v>
      </c>
      <c r="D92" t="s">
        <v>103</v>
      </c>
      <c r="E92" t="s">
        <v>104</v>
      </c>
      <c r="F92" t="s">
        <v>87</v>
      </c>
      <c r="G92">
        <v>0</v>
      </c>
      <c r="H92">
        <v>0</v>
      </c>
      <c r="I92" s="5" t="str">
        <f>OutputTable[[#This Row],[ProjectName]]&amp;OutputTable[[#This Row],[Name]]&amp;OutputTable[[#This Row],[Type]]&amp;OutputTable[[#This Row],[Source]]</f>
        <v>Escenario ASeguimiemto Accum VA TimeAccum VA TimeProcess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27</v>
      </c>
      <c r="K92" s="5" cm="1">
        <f t="array" ref="K92">IFERROR(AVERAGE(IF((OutputTable[GroupByKey]=OutputTable[[#This Row],[GroupByKey]]),(OutputTable[GroupByKey]=OutputTable[[#This Row],[GroupByKey]])*OutputTable[RecordedValue])),0)</f>
        <v>9.5157533027466656E-2</v>
      </c>
      <c r="L92" s="5" cm="1">
        <f t="array" ref="L92">IFERROR(_xlfn.STDEV.S(IF((OutputTable[GroupByKey]=OutputTable[[#This Row],[GroupByKey]]),(OutputTable[GroupByKey]=OutputTable[[#This Row],[GroupByKey]])*OutputTable[RecordedValue])),0)</f>
        <v>0.4944530457794572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92" s="5" cm="1">
        <f t="array" ref="O92">MIN(IF((OutputTable[GroupByKey]=OutputTable[[#This Row],[GroupByKey]]),(OutputTable[GroupByKey]=OutputTable[[#This Row],[GroupByKey]])*OutputTable[RecordedValue]))</f>
        <v>0</v>
      </c>
      <c r="P92" s="5" cm="1">
        <f t="array" ref="P92">MAX(IF((OutputTable[GroupByKey]=OutputTable[[#This Row],[GroupByKey]]),(OutputTable[GroupByKey]=OutputTable[[#This Row],[GroupByKey]])*OutputTable[RecordedValue]))</f>
        <v>2.5692533917415998</v>
      </c>
    </row>
    <row r="93" spans="1:16" x14ac:dyDescent="0.25">
      <c r="A93" t="s">
        <v>68</v>
      </c>
      <c r="B93" t="s">
        <v>70</v>
      </c>
      <c r="C93">
        <v>9</v>
      </c>
      <c r="D93" t="s">
        <v>105</v>
      </c>
      <c r="E93" t="s">
        <v>106</v>
      </c>
      <c r="F93" t="s">
        <v>87</v>
      </c>
      <c r="G93">
        <v>0</v>
      </c>
      <c r="H93">
        <v>0</v>
      </c>
      <c r="I93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93" s="5" cm="1">
        <f t="array" ref="J93">MAX(IF((ProjectInfoTable[ProjectName]=OutputTable[[#This Row],[ProjectName]]),(ProjectInfoTable[ProjectName]=OutputTable[[#This Row],[ProjectName]])*ProjectInfoTable[NumberOfReplications]))</f>
        <v>27</v>
      </c>
      <c r="K93" s="5" cm="1">
        <f t="array" ref="K93">IFERROR(AVERAGE(IF((OutputTable[GroupByKey]=OutputTable[[#This Row],[GroupByKey]]),(OutputTable[GroupByKey]=OutputTable[[#This Row],[GroupByKey]])*OutputTable[RecordedValue])),0)</f>
        <v>0</v>
      </c>
      <c r="L93" s="5" cm="1">
        <f t="array" ref="L93">IFERROR(_xlfn.STDEV.S(IF((OutputTable[GroupByKey]=OutputTable[[#This Row],[GroupByKey]]),(OutputTable[GroupByKey]=OutputTable[[#This Row],[GroupByKey]])*OutputTable[RecordedValue])),0)</f>
        <v>0</v>
      </c>
      <c r="M93" s="5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" s="5" cm="1">
        <f t="array" ref="O93">MIN(IF((OutputTable[GroupByKey]=OutputTable[[#This Row],[GroupByKey]]),(OutputTable[GroupByKey]=OutputTable[[#This Row],[GroupByKey]])*OutputTable[RecordedValue]))</f>
        <v>0</v>
      </c>
      <c r="P93" s="5" cm="1">
        <f t="array" ref="P93">MAX(IF((OutputTable[GroupByKey]=OutputTable[[#This Row],[GroupByKey]]),(OutputTable[GroupByKey]=OutputTable[[#This Row],[GroupByKey]])*OutputTable[RecordedValue]))</f>
        <v>0</v>
      </c>
    </row>
    <row r="94" spans="1:16" x14ac:dyDescent="0.25">
      <c r="A94" t="s">
        <v>68</v>
      </c>
      <c r="B94" t="s">
        <v>70</v>
      </c>
      <c r="C94">
        <v>9</v>
      </c>
      <c r="D94" t="s">
        <v>107</v>
      </c>
      <c r="E94" t="s">
        <v>100</v>
      </c>
      <c r="F94" t="s">
        <v>87</v>
      </c>
      <c r="G94">
        <v>0</v>
      </c>
      <c r="H94">
        <v>0</v>
      </c>
      <c r="I94" s="5" t="str">
        <f>OutputTable[[#This Row],[ProjectName]]&amp;OutputTable[[#This Row],[Name]]&amp;OutputTable[[#This Row],[Type]]&amp;OutputTable[[#This Row],[Source]]</f>
        <v>Escenario ASeguimiemto Number InNumber InProcess</v>
      </c>
      <c r="J94" s="5" cm="1">
        <f t="array" ref="J94">MAX(IF((ProjectInfoTable[ProjectName]=OutputTable[[#This Row],[ProjectName]]),(ProjectInfoTable[ProjectName]=OutputTable[[#This Row],[ProjectName]])*ProjectInfoTable[NumberOfReplications]))</f>
        <v>27</v>
      </c>
      <c r="K94" s="5" cm="1">
        <f t="array" ref="K94">IFERROR(AVERAGE(IF((OutputTable[GroupByKey]=OutputTable[[#This Row],[GroupByKey]]),(OutputTable[GroupByKey]=OutputTable[[#This Row],[GroupByKey]])*OutputTable[RecordedValue])),0)</f>
        <v>3.7037037037037035E-2</v>
      </c>
      <c r="L94" s="5" cm="1">
        <f t="array" ref="L94">IFERROR(_xlfn.STDEV.S(IF((OutputTable[GroupByKey]=OutputTable[[#This Row],[GroupByKey]]),(OutputTable[GroupByKey]=OutputTable[[#This Row],[GroupByKey]])*OutputTable[RecordedValue])),0)</f>
        <v>0.19245008972987526</v>
      </c>
      <c r="M94" s="5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94" s="5" cm="1">
        <f t="array" ref="O94">MIN(IF((OutputTable[GroupByKey]=OutputTable[[#This Row],[GroupByKey]]),(OutputTable[GroupByKey]=OutputTable[[#This Row],[GroupByKey]])*OutputTable[RecordedValue]))</f>
        <v>0</v>
      </c>
      <c r="P94" s="5" cm="1">
        <f t="array" ref="P94">MAX(IF((OutputTable[GroupByKey]=OutputTable[[#This Row],[GroupByKey]]),(OutputTable[GroupByKey]=OutputTable[[#This Row],[GroupByKey]])*OutputTable[RecordedValue]))</f>
        <v>1</v>
      </c>
    </row>
    <row r="95" spans="1:16" x14ac:dyDescent="0.25">
      <c r="A95" t="s">
        <v>68</v>
      </c>
      <c r="B95" t="s">
        <v>70</v>
      </c>
      <c r="C95">
        <v>9</v>
      </c>
      <c r="D95" t="s">
        <v>108</v>
      </c>
      <c r="E95" t="s">
        <v>102</v>
      </c>
      <c r="F95" t="s">
        <v>87</v>
      </c>
      <c r="G95">
        <v>0</v>
      </c>
      <c r="H95">
        <v>0</v>
      </c>
      <c r="I95" s="5" t="str">
        <f>OutputTable[[#This Row],[ProjectName]]&amp;OutputTable[[#This Row],[Name]]&amp;OutputTable[[#This Row],[Type]]&amp;OutputTable[[#This Row],[Source]]</f>
        <v>Escenario ASeguimiemto Number OutNumber OutProcess</v>
      </c>
      <c r="J95" s="5" cm="1">
        <f t="array" ref="J95">MAX(IF((ProjectInfoTable[ProjectName]=OutputTable[[#This Row],[ProjectName]]),(ProjectInfoTable[ProjectName]=OutputTable[[#This Row],[ProjectName]])*ProjectInfoTable[NumberOfReplications]))</f>
        <v>27</v>
      </c>
      <c r="K95" s="5" cm="1">
        <f t="array" ref="K95">IFERROR(AVERAGE(IF((OutputTable[GroupByKey]=OutputTable[[#This Row],[GroupByKey]]),(OutputTable[GroupByKey]=OutputTable[[#This Row],[GroupByKey]])*OutputTable[RecordedValue])),0)</f>
        <v>3.7037037037037035E-2</v>
      </c>
      <c r="L95" s="5" cm="1">
        <f t="array" ref="L95">IFERROR(_xlfn.STDEV.S(IF((OutputTable[GroupByKey]=OutputTable[[#This Row],[GroupByKey]]),(OutputTable[GroupByKey]=OutputTable[[#This Row],[GroupByKey]])*OutputTable[RecordedValue])),0)</f>
        <v>0.19245008972987526</v>
      </c>
      <c r="M95" s="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95" s="5" cm="1">
        <f t="array" ref="O95">MIN(IF((OutputTable[GroupByKey]=OutputTable[[#This Row],[GroupByKey]]),(OutputTable[GroupByKey]=OutputTable[[#This Row],[GroupByKey]])*OutputTable[RecordedValue]))</f>
        <v>0</v>
      </c>
      <c r="P95" s="5" cm="1">
        <f t="array" ref="P95">MAX(IF((OutputTable[GroupByKey]=OutputTable[[#This Row],[GroupByKey]]),(OutputTable[GroupByKey]=OutputTable[[#This Row],[GroupByKey]])*OutputTable[RecordedValue]))</f>
        <v>1</v>
      </c>
    </row>
    <row r="96" spans="1:16" x14ac:dyDescent="0.25">
      <c r="A96" t="s">
        <v>68</v>
      </c>
      <c r="B96" t="s">
        <v>70</v>
      </c>
      <c r="C96">
        <v>9</v>
      </c>
      <c r="D96" t="s">
        <v>109</v>
      </c>
      <c r="E96" t="s">
        <v>102</v>
      </c>
      <c r="F96" t="s">
        <v>110</v>
      </c>
      <c r="G96">
        <v>0</v>
      </c>
      <c r="H96">
        <v>0</v>
      </c>
      <c r="I96" s="5" t="str">
        <f>OutputTable[[#This Row],[ProjectName]]&amp;OutputTable[[#This Row],[Name]]&amp;OutputTable[[#This Row],[Type]]&amp;OutputTable[[#This Row],[Source]]</f>
        <v>Escenario ASystem.NumberOutNumber OutSystem</v>
      </c>
      <c r="J96" s="5" cm="1">
        <f t="array" ref="J96">MAX(IF((ProjectInfoTable[ProjectName]=OutputTable[[#This Row],[ProjectName]]),(ProjectInfoTable[ProjectName]=OutputTable[[#This Row],[ProjectName]])*ProjectInfoTable[NumberOfReplications]))</f>
        <v>27</v>
      </c>
      <c r="K96" s="5" cm="1">
        <f t="array" ref="K96">IFERROR(AVERAGE(IF((OutputTable[GroupByKey]=OutputTable[[#This Row],[GroupByKey]]),(OutputTable[GroupByKey]=OutputTable[[#This Row],[GroupByKey]])*OutputTable[RecordedValue])),0)</f>
        <v>1.1851851851851851</v>
      </c>
      <c r="L96" s="5" cm="1">
        <f t="array" ref="L96">IFERROR(_xlfn.STDEV.S(IF((OutputTable[GroupByKey]=OutputTable[[#This Row],[GroupByKey]]),(OutputTable[GroupByKey]=OutputTable[[#This Row],[GroupByKey]])*OutputTable[RecordedValue])),0)</f>
        <v>1.0754976321197349</v>
      </c>
      <c r="M96" s="5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96" s="5" cm="1">
        <f t="array" ref="O96">MIN(IF((OutputTable[GroupByKey]=OutputTable[[#This Row],[GroupByKey]]),(OutputTable[GroupByKey]=OutputTable[[#This Row],[GroupByKey]])*OutputTable[RecordedValue]))</f>
        <v>0</v>
      </c>
      <c r="P96" s="5" cm="1">
        <f t="array" ref="P96">MAX(IF((OutputTable[GroupByKey]=OutputTable[[#This Row],[GroupByKey]]),(OutputTable[GroupByKey]=OutputTable[[#This Row],[GroupByKey]])*OutputTable[RecordedValue]))</f>
        <v>4</v>
      </c>
    </row>
    <row r="97" spans="1:16" x14ac:dyDescent="0.25">
      <c r="A97" t="s">
        <v>68</v>
      </c>
      <c r="B97" t="s">
        <v>70</v>
      </c>
      <c r="C97">
        <v>9</v>
      </c>
      <c r="D97" t="s">
        <v>111</v>
      </c>
      <c r="E97" t="s">
        <v>112</v>
      </c>
      <c r="F97" t="s">
        <v>95</v>
      </c>
      <c r="G97">
        <v>0</v>
      </c>
      <c r="H97">
        <v>0</v>
      </c>
      <c r="I97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97" s="5" cm="1">
        <f t="array" ref="J97">MAX(IF((ProjectInfoTable[ProjectName]=OutputTable[[#This Row],[ProjectName]]),(ProjectInfoTable[ProjectName]=OutputTable[[#This Row],[ProjectName]])*ProjectInfoTable[NumberOfReplications]))</f>
        <v>27</v>
      </c>
      <c r="K97" s="5" cm="1">
        <f t="array" ref="K97">IFERROR(AVERAGE(IF((OutputTable[GroupByKey]=OutputTable[[#This Row],[GroupByKey]]),(OutputTable[GroupByKey]=OutputTable[[#This Row],[GroupByKey]])*OutputTable[RecordedValue])),0)</f>
        <v>1.2962962962962963</v>
      </c>
      <c r="L97" s="5" cm="1">
        <f t="array" ref="L97">IFERROR(_xlfn.STDEV.S(IF((OutputTable[GroupByKey]=OutputTable[[#This Row],[GroupByKey]]),(OutputTable[GroupByKey]=OutputTable[[#This Row],[GroupByKey]])*OutputTable[RecordedValue])),0)</f>
        <v>1.1706281947614154</v>
      </c>
      <c r="M97" s="5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97" s="5" cm="1">
        <f t="array" ref="O97">MIN(IF((OutputTable[GroupByKey]=OutputTable[[#This Row],[GroupByKey]]),(OutputTable[GroupByKey]=OutputTable[[#This Row],[GroupByKey]])*OutputTable[RecordedValue]))</f>
        <v>0</v>
      </c>
      <c r="P97" s="5" cm="1">
        <f t="array" ref="P97">MAX(IF((OutputTable[GroupByKey]=OutputTable[[#This Row],[GroupByKey]]),(OutputTable[GroupByKey]=OutputTable[[#This Row],[GroupByKey]])*OutputTable[RecordedValue]))</f>
        <v>5</v>
      </c>
    </row>
    <row r="98" spans="1:16" x14ac:dyDescent="0.25">
      <c r="A98" t="s">
        <v>68</v>
      </c>
      <c r="B98" t="s">
        <v>70</v>
      </c>
      <c r="C98">
        <v>9</v>
      </c>
      <c r="D98" t="s">
        <v>113</v>
      </c>
      <c r="E98" t="s">
        <v>114</v>
      </c>
      <c r="F98" t="s">
        <v>95</v>
      </c>
      <c r="G98">
        <v>0</v>
      </c>
      <c r="H98">
        <v>0</v>
      </c>
      <c r="I98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98" s="5" cm="1">
        <f t="array" ref="J98">MAX(IF((ProjectInfoTable[ProjectName]=OutputTable[[#This Row],[ProjectName]]),(ProjectInfoTable[ProjectName]=OutputTable[[#This Row],[ProjectName]])*ProjectInfoTable[NumberOfReplications]))</f>
        <v>27</v>
      </c>
      <c r="K98" s="5" cm="1">
        <f t="array" ref="K98">IFERROR(AVERAGE(IF((OutputTable[GroupByKey]=OutputTable[[#This Row],[GroupByKey]]),(OutputTable[GroupByKey]=OutputTable[[#This Row],[GroupByKey]])*OutputTable[RecordedValue])),0)</f>
        <v>1.2223949425906553E-2</v>
      </c>
      <c r="L98" s="5" cm="1">
        <f t="array" ref="L98">IFERROR(_xlfn.STDEV.S(IF((OutputTable[GroupByKey]=OutputTable[[#This Row],[GroupByKey]]),(OutputTable[GroupByKey]=OutputTable[[#This Row],[GroupByKey]])*OutputTable[RecordedValue])),0)</f>
        <v>1.112543407769513E-2</v>
      </c>
      <c r="M98" s="5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98" s="5" cm="1">
        <f t="array" ref="O98">MIN(IF((OutputTable[GroupByKey]=OutputTable[[#This Row],[GroupByKey]]),(OutputTable[GroupByKey]=OutputTable[[#This Row],[GroupByKey]])*OutputTable[RecordedValue]))</f>
        <v>0</v>
      </c>
      <c r="P98" s="5" cm="1">
        <f t="array" ref="P98">MAX(IF((OutputTable[GroupByKey]=OutputTable[[#This Row],[GroupByKey]]),(OutputTable[GroupByKey]=OutputTable[[#This Row],[GroupByKey]])*OutputTable[RecordedValue]))</f>
        <v>4.2906548761083699E-2</v>
      </c>
    </row>
    <row r="99" spans="1:16" x14ac:dyDescent="0.25">
      <c r="A99" t="s">
        <v>68</v>
      </c>
      <c r="B99" t="s">
        <v>70</v>
      </c>
      <c r="C99">
        <v>9</v>
      </c>
      <c r="D99" t="s">
        <v>115</v>
      </c>
      <c r="E99" t="s">
        <v>112</v>
      </c>
      <c r="F99" t="s">
        <v>95</v>
      </c>
      <c r="G99">
        <v>0</v>
      </c>
      <c r="H99">
        <v>0</v>
      </c>
      <c r="I99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99" s="5" cm="1">
        <f t="array" ref="J99">MAX(IF((ProjectInfoTable[ProjectName]=OutputTable[[#This Row],[ProjectName]]),(ProjectInfoTable[ProjectName]=OutputTable[[#This Row],[ProjectName]])*ProjectInfoTable[NumberOfReplications]))</f>
        <v>27</v>
      </c>
      <c r="K99" s="5" cm="1">
        <f t="array" ref="K99">IFERROR(AVERAGE(IF((OutputTable[GroupByKey]=OutputTable[[#This Row],[GroupByKey]]),(OutputTable[GroupByKey]=OutputTable[[#This Row],[GroupByKey]])*OutputTable[RecordedValue])),0)</f>
        <v>3.7037037037037035E-2</v>
      </c>
      <c r="L99" s="5" cm="1">
        <f t="array" ref="L99">IFERROR(_xlfn.STDEV.S(IF((OutputTable[GroupByKey]=OutputTable[[#This Row],[GroupByKey]]),(OutputTable[GroupByKey]=OutputTable[[#This Row],[GroupByKey]])*OutputTable[RecordedValue])),0)</f>
        <v>0.19245008972987526</v>
      </c>
      <c r="M99" s="5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99" s="5" cm="1">
        <f t="array" ref="O99">MIN(IF((OutputTable[GroupByKey]=OutputTable[[#This Row],[GroupByKey]]),(OutputTable[GroupByKey]=OutputTable[[#This Row],[GroupByKey]])*OutputTable[RecordedValue]))</f>
        <v>0</v>
      </c>
      <c r="P99" s="5" cm="1">
        <f t="array" ref="P99">MAX(IF((OutputTable[GroupByKey]=OutputTable[[#This Row],[GroupByKey]]),(OutputTable[GroupByKey]=OutputTable[[#This Row],[GroupByKey]])*OutputTable[RecordedValue]))</f>
        <v>1</v>
      </c>
    </row>
    <row r="100" spans="1:16" x14ac:dyDescent="0.25">
      <c r="A100" t="s">
        <v>68</v>
      </c>
      <c r="B100" t="s">
        <v>70</v>
      </c>
      <c r="C100">
        <v>9</v>
      </c>
      <c r="D100" t="s">
        <v>116</v>
      </c>
      <c r="E100" t="s">
        <v>114</v>
      </c>
      <c r="F100" t="s">
        <v>95</v>
      </c>
      <c r="G100">
        <v>0</v>
      </c>
      <c r="H100">
        <v>0</v>
      </c>
      <c r="I100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100" s="5" cm="1">
        <f t="array" ref="J100">MAX(IF((ProjectInfoTable[ProjectName]=OutputTable[[#This Row],[ProjectName]]),(ProjectInfoTable[ProjectName]=OutputTable[[#This Row],[ProjectName]])*ProjectInfoTable[NumberOfReplications]))</f>
        <v>27</v>
      </c>
      <c r="K100" s="5" cm="1">
        <f t="array" ref="K100">IFERROR(AVERAGE(IF((OutputTable[GroupByKey]=OutputTable[[#This Row],[GroupByKey]]),(OutputTable[GroupByKey]=OutputTable[[#This Row],[GroupByKey]])*OutputTable[RecordedValue])),0)</f>
        <v>1.5859588837911111E-4</v>
      </c>
      <c r="L100" s="5" cm="1">
        <f t="array" ref="L100">IFERROR(_xlfn.STDEV.S(IF((OutputTable[GroupByKey]=OutputTable[[#This Row],[GroupByKey]]),(OutputTable[GroupByKey]=OutputTable[[#This Row],[GroupByKey]])*OutputTable[RecordedValue])),0)</f>
        <v>8.2408840963242873E-4</v>
      </c>
      <c r="M100" s="5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100" s="5" cm="1">
        <f t="array" ref="O100">MIN(IF((OutputTable[GroupByKey]=OutputTable[[#This Row],[GroupByKey]]),(OutputTable[GroupByKey]=OutputTable[[#This Row],[GroupByKey]])*OutputTable[RecordedValue]))</f>
        <v>0</v>
      </c>
      <c r="P100" s="5" cm="1">
        <f t="array" ref="P100">MAX(IF((OutputTable[GroupByKey]=OutputTable[[#This Row],[GroupByKey]]),(OutputTable[GroupByKey]=OutputTable[[#This Row],[GroupByKey]])*OutputTable[RecordedValue]))</f>
        <v>4.2820889862359999E-3</v>
      </c>
    </row>
    <row r="101" spans="1:16" x14ac:dyDescent="0.25">
      <c r="A101" t="s">
        <v>68</v>
      </c>
      <c r="B101" t="s">
        <v>70</v>
      </c>
      <c r="C101">
        <v>10</v>
      </c>
      <c r="D101" t="s">
        <v>99</v>
      </c>
      <c r="E101" t="s">
        <v>100</v>
      </c>
      <c r="F101" t="s">
        <v>73</v>
      </c>
      <c r="G101">
        <v>2</v>
      </c>
      <c r="H101">
        <v>0</v>
      </c>
      <c r="I101" s="5" t="str">
        <f>OutputTable[[#This Row],[ProjectName]]&amp;OutputTable[[#This Row],[Name]]&amp;OutputTable[[#This Row],[Type]]&amp;OutputTable[[#This Row],[Source]]</f>
        <v>Escenario AEntity 1.NumberInNumber InEntity</v>
      </c>
      <c r="J101" s="5" cm="1">
        <f t="array" ref="J101">MAX(IF((ProjectInfoTable[ProjectName]=OutputTable[[#This Row],[ProjectName]]),(ProjectInfoTable[ProjectName]=OutputTable[[#This Row],[ProjectName]])*ProjectInfoTable[NumberOfReplications]))</f>
        <v>27</v>
      </c>
      <c r="K101" s="5" cm="1">
        <f t="array" ref="K101">IFERROR(AVERAGE(IF((OutputTable[GroupByKey]=OutputTable[[#This Row],[GroupByKey]]),(OutputTable[GroupByKey]=OutputTable[[#This Row],[GroupByKey]])*OutputTable[RecordedValue])),0)</f>
        <v>1.2962962962962963</v>
      </c>
      <c r="L101" s="5" cm="1">
        <f t="array" ref="L101">IFERROR(_xlfn.STDEV.S(IF((OutputTable[GroupByKey]=OutputTable[[#This Row],[GroupByKey]]),(OutputTable[GroupByKey]=OutputTable[[#This Row],[GroupByKey]])*OutputTable[RecordedValue])),0)</f>
        <v>1.1706281947614154</v>
      </c>
      <c r="M101" s="5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101" s="5" cm="1">
        <f t="array" ref="O101">MIN(IF((OutputTable[GroupByKey]=OutputTable[[#This Row],[GroupByKey]]),(OutputTable[GroupByKey]=OutputTable[[#This Row],[GroupByKey]])*OutputTable[RecordedValue]))</f>
        <v>0</v>
      </c>
      <c r="P101" s="5" cm="1">
        <f t="array" ref="P101">MAX(IF((OutputTable[GroupByKey]=OutputTable[[#This Row],[GroupByKey]]),(OutputTable[GroupByKey]=OutputTable[[#This Row],[GroupByKey]])*OutputTable[RecordedValue]))</f>
        <v>5</v>
      </c>
    </row>
    <row r="102" spans="1:16" x14ac:dyDescent="0.25">
      <c r="A102" t="s">
        <v>68</v>
      </c>
      <c r="B102" t="s">
        <v>70</v>
      </c>
      <c r="C102">
        <v>10</v>
      </c>
      <c r="D102" t="s">
        <v>101</v>
      </c>
      <c r="E102" t="s">
        <v>102</v>
      </c>
      <c r="F102" t="s">
        <v>73</v>
      </c>
      <c r="G102">
        <v>2</v>
      </c>
      <c r="H102">
        <v>0</v>
      </c>
      <c r="I102" s="5" t="str">
        <f>OutputTable[[#This Row],[ProjectName]]&amp;OutputTable[[#This Row],[Name]]&amp;OutputTable[[#This Row],[Type]]&amp;OutputTable[[#This Row],[Source]]</f>
        <v>Escenario AEntity 1.NumberOutNumber OutEntity</v>
      </c>
      <c r="J102" s="5" cm="1">
        <f t="array" ref="J102">MAX(IF((ProjectInfoTable[ProjectName]=OutputTable[[#This Row],[ProjectName]]),(ProjectInfoTable[ProjectName]=OutputTable[[#This Row],[ProjectName]])*ProjectInfoTable[NumberOfReplications]))</f>
        <v>27</v>
      </c>
      <c r="K102" s="5" cm="1">
        <f t="array" ref="K102">IFERROR(AVERAGE(IF((OutputTable[GroupByKey]=OutputTable[[#This Row],[GroupByKey]]),(OutputTable[GroupByKey]=OutputTable[[#This Row],[GroupByKey]])*OutputTable[RecordedValue])),0)</f>
        <v>1.1851851851851851</v>
      </c>
      <c r="L102" s="5" cm="1">
        <f t="array" ref="L102">IFERROR(_xlfn.STDEV.S(IF((OutputTable[GroupByKey]=OutputTable[[#This Row],[GroupByKey]]),(OutputTable[GroupByKey]=OutputTable[[#This Row],[GroupByKey]])*OutputTable[RecordedValue])),0)</f>
        <v>1.0754976321197349</v>
      </c>
      <c r="M102" s="5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102" s="5" cm="1">
        <f t="array" ref="O102">MIN(IF((OutputTable[GroupByKey]=OutputTable[[#This Row],[GroupByKey]]),(OutputTable[GroupByKey]=OutputTable[[#This Row],[GroupByKey]])*OutputTable[RecordedValue]))</f>
        <v>0</v>
      </c>
      <c r="P102" s="5" cm="1">
        <f t="array" ref="P102">MAX(IF((OutputTable[GroupByKey]=OutputTable[[#This Row],[GroupByKey]]),(OutputTable[GroupByKey]=OutputTable[[#This Row],[GroupByKey]])*OutputTable[RecordedValue]))</f>
        <v>4</v>
      </c>
    </row>
    <row r="103" spans="1:16" x14ac:dyDescent="0.25">
      <c r="A103" t="s">
        <v>68</v>
      </c>
      <c r="B103" t="s">
        <v>70</v>
      </c>
      <c r="C103">
        <v>10</v>
      </c>
      <c r="D103" t="s">
        <v>103</v>
      </c>
      <c r="E103" t="s">
        <v>104</v>
      </c>
      <c r="F103" t="s">
        <v>87</v>
      </c>
      <c r="G103">
        <v>0</v>
      </c>
      <c r="H103">
        <v>0</v>
      </c>
      <c r="I103" s="5" t="str">
        <f>OutputTable[[#This Row],[ProjectName]]&amp;OutputTable[[#This Row],[Name]]&amp;OutputTable[[#This Row],[Type]]&amp;OutputTable[[#This Row],[Source]]</f>
        <v>Escenario ASeguimiemto Accum VA TimeAccum VA TimeProcess</v>
      </c>
      <c r="J103" s="5" cm="1">
        <f t="array" ref="J103">MAX(IF((ProjectInfoTable[ProjectName]=OutputTable[[#This Row],[ProjectName]]),(ProjectInfoTable[ProjectName]=OutputTable[[#This Row],[ProjectName]])*ProjectInfoTable[NumberOfReplications]))</f>
        <v>27</v>
      </c>
      <c r="K103" s="5" cm="1">
        <f t="array" ref="K103">IFERROR(AVERAGE(IF((OutputTable[GroupByKey]=OutputTable[[#This Row],[GroupByKey]]),(OutputTable[GroupByKey]=OutputTable[[#This Row],[GroupByKey]])*OutputTable[RecordedValue])),0)</f>
        <v>9.5157533027466656E-2</v>
      </c>
      <c r="L103" s="5" cm="1">
        <f t="array" ref="L103">IFERROR(_xlfn.STDEV.S(IF((OutputTable[GroupByKey]=OutputTable[[#This Row],[GroupByKey]]),(OutputTable[GroupByKey]=OutputTable[[#This Row],[GroupByKey]])*OutputTable[RecordedValue])),0)</f>
        <v>0.4944530457794572</v>
      </c>
      <c r="M103" s="5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103" s="5" cm="1">
        <f t="array" ref="O103">MIN(IF((OutputTable[GroupByKey]=OutputTable[[#This Row],[GroupByKey]]),(OutputTable[GroupByKey]=OutputTable[[#This Row],[GroupByKey]])*OutputTable[RecordedValue]))</f>
        <v>0</v>
      </c>
      <c r="P103" s="5" cm="1">
        <f t="array" ref="P103">MAX(IF((OutputTable[GroupByKey]=OutputTable[[#This Row],[GroupByKey]]),(OutputTable[GroupByKey]=OutputTable[[#This Row],[GroupByKey]])*OutputTable[RecordedValue]))</f>
        <v>2.5692533917415998</v>
      </c>
    </row>
    <row r="104" spans="1:16" x14ac:dyDescent="0.25">
      <c r="A104" t="s">
        <v>68</v>
      </c>
      <c r="B104" t="s">
        <v>70</v>
      </c>
      <c r="C104">
        <v>10</v>
      </c>
      <c r="D104" t="s">
        <v>105</v>
      </c>
      <c r="E104" t="s">
        <v>106</v>
      </c>
      <c r="F104" t="s">
        <v>87</v>
      </c>
      <c r="G104">
        <v>0</v>
      </c>
      <c r="H104">
        <v>0</v>
      </c>
      <c r="I104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104" s="5" cm="1">
        <f t="array" ref="J104">MAX(IF((ProjectInfoTable[ProjectName]=OutputTable[[#This Row],[ProjectName]]),(ProjectInfoTable[ProjectName]=OutputTable[[#This Row],[ProjectName]])*ProjectInfoTable[NumberOfReplications]))</f>
        <v>27</v>
      </c>
      <c r="K104" s="5" cm="1">
        <f t="array" ref="K104">IFERROR(AVERAGE(IF((OutputTable[GroupByKey]=OutputTable[[#This Row],[GroupByKey]]),(OutputTable[GroupByKey]=OutputTable[[#This Row],[GroupByKey]])*OutputTable[RecordedValue])),0)</f>
        <v>0</v>
      </c>
      <c r="L104" s="5" cm="1">
        <f t="array" ref="L104">IFERROR(_xlfn.STDEV.S(IF((OutputTable[GroupByKey]=OutputTable[[#This Row],[GroupByKey]]),(OutputTable[GroupByKey]=OutputTable[[#This Row],[GroupByKey]])*OutputTable[RecordedValue])),0)</f>
        <v>0</v>
      </c>
      <c r="M104" s="5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" s="5" cm="1">
        <f t="array" ref="O104">MIN(IF((OutputTable[GroupByKey]=OutputTable[[#This Row],[GroupByKey]]),(OutputTable[GroupByKey]=OutputTable[[#This Row],[GroupByKey]])*OutputTable[RecordedValue]))</f>
        <v>0</v>
      </c>
      <c r="P104" s="5" cm="1">
        <f t="array" ref="P104">MAX(IF((OutputTable[GroupByKey]=OutputTable[[#This Row],[GroupByKey]]),(OutputTable[GroupByKey]=OutputTable[[#This Row],[GroupByKey]])*OutputTable[RecordedValue]))</f>
        <v>0</v>
      </c>
    </row>
    <row r="105" spans="1:16" x14ac:dyDescent="0.25">
      <c r="A105" t="s">
        <v>68</v>
      </c>
      <c r="B105" t="s">
        <v>70</v>
      </c>
      <c r="C105">
        <v>10</v>
      </c>
      <c r="D105" t="s">
        <v>107</v>
      </c>
      <c r="E105" t="s">
        <v>100</v>
      </c>
      <c r="F105" t="s">
        <v>87</v>
      </c>
      <c r="G105">
        <v>0</v>
      </c>
      <c r="H105">
        <v>0</v>
      </c>
      <c r="I105" s="5" t="str">
        <f>OutputTable[[#This Row],[ProjectName]]&amp;OutputTable[[#This Row],[Name]]&amp;OutputTable[[#This Row],[Type]]&amp;OutputTable[[#This Row],[Source]]</f>
        <v>Escenario ASeguimiemto Number InNumber InProcess</v>
      </c>
      <c r="J105" s="5" cm="1">
        <f t="array" ref="J105">MAX(IF((ProjectInfoTable[ProjectName]=OutputTable[[#This Row],[ProjectName]]),(ProjectInfoTable[ProjectName]=OutputTable[[#This Row],[ProjectName]])*ProjectInfoTable[NumberOfReplications]))</f>
        <v>27</v>
      </c>
      <c r="K105" s="5" cm="1">
        <f t="array" ref="K105">IFERROR(AVERAGE(IF((OutputTable[GroupByKey]=OutputTable[[#This Row],[GroupByKey]]),(OutputTable[GroupByKey]=OutputTable[[#This Row],[GroupByKey]])*OutputTable[RecordedValue])),0)</f>
        <v>3.7037037037037035E-2</v>
      </c>
      <c r="L105" s="5" cm="1">
        <f t="array" ref="L105">IFERROR(_xlfn.STDEV.S(IF((OutputTable[GroupByKey]=OutputTable[[#This Row],[GroupByKey]]),(OutputTable[GroupByKey]=OutputTable[[#This Row],[GroupByKey]])*OutputTable[RecordedValue])),0)</f>
        <v>0.19245008972987526</v>
      </c>
      <c r="M105" s="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05" s="5" cm="1">
        <f t="array" ref="O105">MIN(IF((OutputTable[GroupByKey]=OutputTable[[#This Row],[GroupByKey]]),(OutputTable[GroupByKey]=OutputTable[[#This Row],[GroupByKey]])*OutputTable[RecordedValue]))</f>
        <v>0</v>
      </c>
      <c r="P105" s="5" cm="1">
        <f t="array" ref="P105">MAX(IF((OutputTable[GroupByKey]=OutputTable[[#This Row],[GroupByKey]]),(OutputTable[GroupByKey]=OutputTable[[#This Row],[GroupByKey]])*OutputTable[RecordedValue]))</f>
        <v>1</v>
      </c>
    </row>
    <row r="106" spans="1:16" x14ac:dyDescent="0.25">
      <c r="A106" t="s">
        <v>68</v>
      </c>
      <c r="B106" t="s">
        <v>70</v>
      </c>
      <c r="C106">
        <v>10</v>
      </c>
      <c r="D106" t="s">
        <v>108</v>
      </c>
      <c r="E106" t="s">
        <v>102</v>
      </c>
      <c r="F106" t="s">
        <v>87</v>
      </c>
      <c r="G106">
        <v>0</v>
      </c>
      <c r="H106">
        <v>0</v>
      </c>
      <c r="I106" s="5" t="str">
        <f>OutputTable[[#This Row],[ProjectName]]&amp;OutputTable[[#This Row],[Name]]&amp;OutputTable[[#This Row],[Type]]&amp;OutputTable[[#This Row],[Source]]</f>
        <v>Escenario ASeguimiemto Number OutNumber OutProcess</v>
      </c>
      <c r="J106" s="5" cm="1">
        <f t="array" ref="J106">MAX(IF((ProjectInfoTable[ProjectName]=OutputTable[[#This Row],[ProjectName]]),(ProjectInfoTable[ProjectName]=OutputTable[[#This Row],[ProjectName]])*ProjectInfoTable[NumberOfReplications]))</f>
        <v>27</v>
      </c>
      <c r="K106" s="5" cm="1">
        <f t="array" ref="K106">IFERROR(AVERAGE(IF((OutputTable[GroupByKey]=OutputTable[[#This Row],[GroupByKey]]),(OutputTable[GroupByKey]=OutputTable[[#This Row],[GroupByKey]])*OutputTable[RecordedValue])),0)</f>
        <v>3.7037037037037035E-2</v>
      </c>
      <c r="L106" s="5" cm="1">
        <f t="array" ref="L106">IFERROR(_xlfn.STDEV.S(IF((OutputTable[GroupByKey]=OutputTable[[#This Row],[GroupByKey]]),(OutputTable[GroupByKey]=OutputTable[[#This Row],[GroupByKey]])*OutputTable[RecordedValue])),0)</f>
        <v>0.19245008972987526</v>
      </c>
      <c r="M106" s="5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06" s="5" cm="1">
        <f t="array" ref="O106">MIN(IF((OutputTable[GroupByKey]=OutputTable[[#This Row],[GroupByKey]]),(OutputTable[GroupByKey]=OutputTable[[#This Row],[GroupByKey]])*OutputTable[RecordedValue]))</f>
        <v>0</v>
      </c>
      <c r="P106" s="5" cm="1">
        <f t="array" ref="P106">MAX(IF((OutputTable[GroupByKey]=OutputTable[[#This Row],[GroupByKey]]),(OutputTable[GroupByKey]=OutputTable[[#This Row],[GroupByKey]])*OutputTable[RecordedValue]))</f>
        <v>1</v>
      </c>
    </row>
    <row r="107" spans="1:16" x14ac:dyDescent="0.25">
      <c r="A107" t="s">
        <v>68</v>
      </c>
      <c r="B107" t="s">
        <v>70</v>
      </c>
      <c r="C107">
        <v>10</v>
      </c>
      <c r="D107" t="s">
        <v>109</v>
      </c>
      <c r="E107" t="s">
        <v>102</v>
      </c>
      <c r="F107" t="s">
        <v>110</v>
      </c>
      <c r="G107">
        <v>2</v>
      </c>
      <c r="H107">
        <v>0</v>
      </c>
      <c r="I107" s="5" t="str">
        <f>OutputTable[[#This Row],[ProjectName]]&amp;OutputTable[[#This Row],[Name]]&amp;OutputTable[[#This Row],[Type]]&amp;OutputTable[[#This Row],[Source]]</f>
        <v>Escenario ASystem.NumberOutNumber OutSystem</v>
      </c>
      <c r="J107" s="5" cm="1">
        <f t="array" ref="J107">MAX(IF((ProjectInfoTable[ProjectName]=OutputTable[[#This Row],[ProjectName]]),(ProjectInfoTable[ProjectName]=OutputTable[[#This Row],[ProjectName]])*ProjectInfoTable[NumberOfReplications]))</f>
        <v>27</v>
      </c>
      <c r="K107" s="5" cm="1">
        <f t="array" ref="K107">IFERROR(AVERAGE(IF((OutputTable[GroupByKey]=OutputTable[[#This Row],[GroupByKey]]),(OutputTable[GroupByKey]=OutputTable[[#This Row],[GroupByKey]])*OutputTable[RecordedValue])),0)</f>
        <v>1.1851851851851851</v>
      </c>
      <c r="L107" s="5" cm="1">
        <f t="array" ref="L107">IFERROR(_xlfn.STDEV.S(IF((OutputTable[GroupByKey]=OutputTable[[#This Row],[GroupByKey]]),(OutputTable[GroupByKey]=OutputTable[[#This Row],[GroupByKey]])*OutputTable[RecordedValue])),0)</f>
        <v>1.0754976321197349</v>
      </c>
      <c r="M107" s="5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107" s="5" cm="1">
        <f t="array" ref="O107">MIN(IF((OutputTable[GroupByKey]=OutputTable[[#This Row],[GroupByKey]]),(OutputTable[GroupByKey]=OutputTable[[#This Row],[GroupByKey]])*OutputTable[RecordedValue]))</f>
        <v>0</v>
      </c>
      <c r="P107" s="5" cm="1">
        <f t="array" ref="P107">MAX(IF((OutputTable[GroupByKey]=OutputTable[[#This Row],[GroupByKey]]),(OutputTable[GroupByKey]=OutputTable[[#This Row],[GroupByKey]])*OutputTable[RecordedValue]))</f>
        <v>4</v>
      </c>
    </row>
    <row r="108" spans="1:16" x14ac:dyDescent="0.25">
      <c r="A108" t="s">
        <v>68</v>
      </c>
      <c r="B108" t="s">
        <v>70</v>
      </c>
      <c r="C108">
        <v>10</v>
      </c>
      <c r="D108" t="s">
        <v>111</v>
      </c>
      <c r="E108" t="s">
        <v>112</v>
      </c>
      <c r="F108" t="s">
        <v>95</v>
      </c>
      <c r="G108">
        <v>2</v>
      </c>
      <c r="H108">
        <v>0</v>
      </c>
      <c r="I108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108" s="5" cm="1">
        <f t="array" ref="J108">MAX(IF((ProjectInfoTable[ProjectName]=OutputTable[[#This Row],[ProjectName]]),(ProjectInfoTable[ProjectName]=OutputTable[[#This Row],[ProjectName]])*ProjectInfoTable[NumberOfReplications]))</f>
        <v>27</v>
      </c>
      <c r="K108" s="5" cm="1">
        <f t="array" ref="K108">IFERROR(AVERAGE(IF((OutputTable[GroupByKey]=OutputTable[[#This Row],[GroupByKey]]),(OutputTable[GroupByKey]=OutputTable[[#This Row],[GroupByKey]])*OutputTable[RecordedValue])),0)</f>
        <v>1.2962962962962963</v>
      </c>
      <c r="L108" s="5" cm="1">
        <f t="array" ref="L108">IFERROR(_xlfn.STDEV.S(IF((OutputTable[GroupByKey]=OutputTable[[#This Row],[GroupByKey]]),(OutputTable[GroupByKey]=OutputTable[[#This Row],[GroupByKey]])*OutputTable[RecordedValue])),0)</f>
        <v>1.1706281947614154</v>
      </c>
      <c r="M108" s="5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108" s="5" cm="1">
        <f t="array" ref="O108">MIN(IF((OutputTable[GroupByKey]=OutputTable[[#This Row],[GroupByKey]]),(OutputTable[GroupByKey]=OutputTable[[#This Row],[GroupByKey]])*OutputTable[RecordedValue]))</f>
        <v>0</v>
      </c>
      <c r="P108" s="5" cm="1">
        <f t="array" ref="P108">MAX(IF((OutputTable[GroupByKey]=OutputTable[[#This Row],[GroupByKey]]),(OutputTable[GroupByKey]=OutputTable[[#This Row],[GroupByKey]])*OutputTable[RecordedValue]))</f>
        <v>5</v>
      </c>
    </row>
    <row r="109" spans="1:16" x14ac:dyDescent="0.25">
      <c r="A109" t="s">
        <v>68</v>
      </c>
      <c r="B109" t="s">
        <v>70</v>
      </c>
      <c r="C109">
        <v>10</v>
      </c>
      <c r="D109" t="s">
        <v>113</v>
      </c>
      <c r="E109" t="s">
        <v>114</v>
      </c>
      <c r="F109" t="s">
        <v>95</v>
      </c>
      <c r="G109">
        <v>2.1088281106521601E-2</v>
      </c>
      <c r="H109">
        <v>0</v>
      </c>
      <c r="I109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109" s="5" cm="1">
        <f t="array" ref="J109">MAX(IF((ProjectInfoTable[ProjectName]=OutputTable[[#This Row],[ProjectName]]),(ProjectInfoTable[ProjectName]=OutputTable[[#This Row],[ProjectName]])*ProjectInfoTable[NumberOfReplications]))</f>
        <v>27</v>
      </c>
      <c r="K109" s="5" cm="1">
        <f t="array" ref="K109">IFERROR(AVERAGE(IF((OutputTable[GroupByKey]=OutputTable[[#This Row],[GroupByKey]]),(OutputTable[GroupByKey]=OutputTable[[#This Row],[GroupByKey]])*OutputTable[RecordedValue])),0)</f>
        <v>1.2223949425906553E-2</v>
      </c>
      <c r="L109" s="5" cm="1">
        <f t="array" ref="L109">IFERROR(_xlfn.STDEV.S(IF((OutputTable[GroupByKey]=OutputTable[[#This Row],[GroupByKey]]),(OutputTable[GroupByKey]=OutputTable[[#This Row],[GroupByKey]])*OutputTable[RecordedValue])),0)</f>
        <v>1.112543407769513E-2</v>
      </c>
      <c r="M109" s="5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109" s="5" cm="1">
        <f t="array" ref="O109">MIN(IF((OutputTable[GroupByKey]=OutputTable[[#This Row],[GroupByKey]]),(OutputTable[GroupByKey]=OutputTable[[#This Row],[GroupByKey]])*OutputTable[RecordedValue]))</f>
        <v>0</v>
      </c>
      <c r="P109" s="5" cm="1">
        <f t="array" ref="P109">MAX(IF((OutputTable[GroupByKey]=OutputTable[[#This Row],[GroupByKey]]),(OutputTable[GroupByKey]=OutputTable[[#This Row],[GroupByKey]])*OutputTable[RecordedValue]))</f>
        <v>4.2906548761083699E-2</v>
      </c>
    </row>
    <row r="110" spans="1:16" x14ac:dyDescent="0.25">
      <c r="A110" t="s">
        <v>68</v>
      </c>
      <c r="B110" t="s">
        <v>70</v>
      </c>
      <c r="C110">
        <v>10</v>
      </c>
      <c r="D110" t="s">
        <v>115</v>
      </c>
      <c r="E110" t="s">
        <v>112</v>
      </c>
      <c r="F110" t="s">
        <v>95</v>
      </c>
      <c r="G110">
        <v>0</v>
      </c>
      <c r="H110">
        <v>0</v>
      </c>
      <c r="I110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110" s="5" cm="1">
        <f t="array" ref="J110">MAX(IF((ProjectInfoTable[ProjectName]=OutputTable[[#This Row],[ProjectName]]),(ProjectInfoTable[ProjectName]=OutputTable[[#This Row],[ProjectName]])*ProjectInfoTable[NumberOfReplications]))</f>
        <v>27</v>
      </c>
      <c r="K110" s="5" cm="1">
        <f t="array" ref="K110">IFERROR(AVERAGE(IF((OutputTable[GroupByKey]=OutputTable[[#This Row],[GroupByKey]]),(OutputTable[GroupByKey]=OutputTable[[#This Row],[GroupByKey]])*OutputTable[RecordedValue])),0)</f>
        <v>3.7037037037037035E-2</v>
      </c>
      <c r="L110" s="5" cm="1">
        <f t="array" ref="L110">IFERROR(_xlfn.STDEV.S(IF((OutputTable[GroupByKey]=OutputTable[[#This Row],[GroupByKey]]),(OutputTable[GroupByKey]=OutputTable[[#This Row],[GroupByKey]])*OutputTable[RecordedValue])),0)</f>
        <v>0.19245008972987526</v>
      </c>
      <c r="M110" s="5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10" s="5" cm="1">
        <f t="array" ref="O110">MIN(IF((OutputTable[GroupByKey]=OutputTable[[#This Row],[GroupByKey]]),(OutputTable[GroupByKey]=OutputTable[[#This Row],[GroupByKey]])*OutputTable[RecordedValue]))</f>
        <v>0</v>
      </c>
      <c r="P110" s="5" cm="1">
        <f t="array" ref="P110">MAX(IF((OutputTable[GroupByKey]=OutputTable[[#This Row],[GroupByKey]]),(OutputTable[GroupByKey]=OutputTable[[#This Row],[GroupByKey]])*OutputTable[RecordedValue]))</f>
        <v>1</v>
      </c>
    </row>
    <row r="111" spans="1:16" x14ac:dyDescent="0.25">
      <c r="A111" t="s">
        <v>68</v>
      </c>
      <c r="B111" t="s">
        <v>70</v>
      </c>
      <c r="C111">
        <v>10</v>
      </c>
      <c r="D111" t="s">
        <v>116</v>
      </c>
      <c r="E111" t="s">
        <v>114</v>
      </c>
      <c r="F111" t="s">
        <v>95</v>
      </c>
      <c r="G111">
        <v>0</v>
      </c>
      <c r="H111">
        <v>0</v>
      </c>
      <c r="I111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111" s="5" cm="1">
        <f t="array" ref="J111">MAX(IF((ProjectInfoTable[ProjectName]=OutputTable[[#This Row],[ProjectName]]),(ProjectInfoTable[ProjectName]=OutputTable[[#This Row],[ProjectName]])*ProjectInfoTable[NumberOfReplications]))</f>
        <v>27</v>
      </c>
      <c r="K111" s="5" cm="1">
        <f t="array" ref="K111">IFERROR(AVERAGE(IF((OutputTable[GroupByKey]=OutputTable[[#This Row],[GroupByKey]]),(OutputTable[GroupByKey]=OutputTable[[#This Row],[GroupByKey]])*OutputTable[RecordedValue])),0)</f>
        <v>1.5859588837911111E-4</v>
      </c>
      <c r="L111" s="5" cm="1">
        <f t="array" ref="L111">IFERROR(_xlfn.STDEV.S(IF((OutputTable[GroupByKey]=OutputTable[[#This Row],[GroupByKey]]),(OutputTable[GroupByKey]=OutputTable[[#This Row],[GroupByKey]])*OutputTable[RecordedValue])),0)</f>
        <v>8.2408840963242873E-4</v>
      </c>
      <c r="M111" s="5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111" s="5" cm="1">
        <f t="array" ref="O111">MIN(IF((OutputTable[GroupByKey]=OutputTable[[#This Row],[GroupByKey]]),(OutputTable[GroupByKey]=OutputTable[[#This Row],[GroupByKey]])*OutputTable[RecordedValue]))</f>
        <v>0</v>
      </c>
      <c r="P111" s="5" cm="1">
        <f t="array" ref="P111">MAX(IF((OutputTable[GroupByKey]=OutputTable[[#This Row],[GroupByKey]]),(OutputTable[GroupByKey]=OutputTable[[#This Row],[GroupByKey]])*OutputTable[RecordedValue]))</f>
        <v>4.2820889862359999E-3</v>
      </c>
    </row>
    <row r="112" spans="1:16" x14ac:dyDescent="0.25">
      <c r="A112" t="s">
        <v>68</v>
      </c>
      <c r="B112" t="s">
        <v>70</v>
      </c>
      <c r="C112">
        <v>11</v>
      </c>
      <c r="D112" t="s">
        <v>99</v>
      </c>
      <c r="E112" t="s">
        <v>100</v>
      </c>
      <c r="F112" t="s">
        <v>73</v>
      </c>
      <c r="G112">
        <v>1</v>
      </c>
      <c r="H112">
        <v>0</v>
      </c>
      <c r="I112" s="5" t="str">
        <f>OutputTable[[#This Row],[ProjectName]]&amp;OutputTable[[#This Row],[Name]]&amp;OutputTable[[#This Row],[Type]]&amp;OutputTable[[#This Row],[Source]]</f>
        <v>Escenario AEntity 1.NumberInNumber InEntity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27</v>
      </c>
      <c r="K112" s="5" cm="1">
        <f t="array" ref="K112">IFERROR(AVERAGE(IF((OutputTable[GroupByKey]=OutputTable[[#This Row],[GroupByKey]]),(OutputTable[GroupByKey]=OutputTable[[#This Row],[GroupByKey]])*OutputTable[RecordedValue])),0)</f>
        <v>1.2962962962962963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1.1706281947614154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112" s="5" cm="1">
        <f t="array" ref="O112">MIN(IF((OutputTable[GroupByKey]=OutputTable[[#This Row],[GroupByKey]]),(OutputTable[GroupByKey]=OutputTable[[#This Row],[GroupByKey]])*OutputTable[RecordedValue]))</f>
        <v>0</v>
      </c>
      <c r="P112" s="5" cm="1">
        <f t="array" ref="P112">MAX(IF((OutputTable[GroupByKey]=OutputTable[[#This Row],[GroupByKey]]),(OutputTable[GroupByKey]=OutputTable[[#This Row],[GroupByKey]])*OutputTable[RecordedValue]))</f>
        <v>5</v>
      </c>
    </row>
    <row r="113" spans="1:16" x14ac:dyDescent="0.25">
      <c r="A113" t="s">
        <v>68</v>
      </c>
      <c r="B113" t="s">
        <v>70</v>
      </c>
      <c r="C113">
        <v>11</v>
      </c>
      <c r="D113" t="s">
        <v>101</v>
      </c>
      <c r="E113" t="s">
        <v>102</v>
      </c>
      <c r="F113" t="s">
        <v>73</v>
      </c>
      <c r="G113">
        <v>1</v>
      </c>
      <c r="H113">
        <v>0</v>
      </c>
      <c r="I113" s="5" t="str">
        <f>OutputTable[[#This Row],[ProjectName]]&amp;OutputTable[[#This Row],[Name]]&amp;OutputTable[[#This Row],[Type]]&amp;OutputTable[[#This Row],[Source]]</f>
        <v>Escenario AEntity 1.NumberOutNumber OutEntity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27</v>
      </c>
      <c r="K113" s="5" cm="1">
        <f t="array" ref="K113">IFERROR(AVERAGE(IF((OutputTable[GroupByKey]=OutputTable[[#This Row],[GroupByKey]]),(OutputTable[GroupByKey]=OutputTable[[#This Row],[GroupByKey]])*OutputTable[RecordedValue])),0)</f>
        <v>1.1851851851851851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1.0754976321197349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113" s="5" cm="1">
        <f t="array" ref="O113">MIN(IF((OutputTable[GroupByKey]=OutputTable[[#This Row],[GroupByKey]]),(OutputTable[GroupByKey]=OutputTable[[#This Row],[GroupByKey]])*OutputTable[RecordedValue]))</f>
        <v>0</v>
      </c>
      <c r="P113" s="5" cm="1">
        <f t="array" ref="P113">MAX(IF((OutputTable[GroupByKey]=OutputTable[[#This Row],[GroupByKey]]),(OutputTable[GroupByKey]=OutputTable[[#This Row],[GroupByKey]])*OutputTable[RecordedValue]))</f>
        <v>4</v>
      </c>
    </row>
    <row r="114" spans="1:16" x14ac:dyDescent="0.25">
      <c r="A114" t="s">
        <v>68</v>
      </c>
      <c r="B114" t="s">
        <v>70</v>
      </c>
      <c r="C114">
        <v>11</v>
      </c>
      <c r="D114" t="s">
        <v>103</v>
      </c>
      <c r="E114" t="s">
        <v>104</v>
      </c>
      <c r="F114" t="s">
        <v>87</v>
      </c>
      <c r="G114">
        <v>0</v>
      </c>
      <c r="H114">
        <v>0</v>
      </c>
      <c r="I114" s="5" t="str">
        <f>OutputTable[[#This Row],[ProjectName]]&amp;OutputTable[[#This Row],[Name]]&amp;OutputTable[[#This Row],[Type]]&amp;OutputTable[[#This Row],[Source]]</f>
        <v>Escenario ASeguimiemto Accum VA TimeAccum VA TimeProcess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27</v>
      </c>
      <c r="K114" s="5" cm="1">
        <f t="array" ref="K114">IFERROR(AVERAGE(IF((OutputTable[GroupByKey]=OutputTable[[#This Row],[GroupByKey]]),(OutputTable[GroupByKey]=OutputTable[[#This Row],[GroupByKey]])*OutputTable[RecordedValue])),0)</f>
        <v>9.5157533027466656E-2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0.4944530457794572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114" s="5" cm="1">
        <f t="array" ref="O114">MIN(IF((OutputTable[GroupByKey]=OutputTable[[#This Row],[GroupByKey]]),(OutputTable[GroupByKey]=OutputTable[[#This Row],[GroupByKey]])*OutputTable[RecordedValue]))</f>
        <v>0</v>
      </c>
      <c r="P114" s="5" cm="1">
        <f t="array" ref="P114">MAX(IF((OutputTable[GroupByKey]=OutputTable[[#This Row],[GroupByKey]]),(OutputTable[GroupByKey]=OutputTable[[#This Row],[GroupByKey]])*OutputTable[RecordedValue]))</f>
        <v>2.5692533917415998</v>
      </c>
    </row>
    <row r="115" spans="1:16" x14ac:dyDescent="0.25">
      <c r="A115" t="s">
        <v>68</v>
      </c>
      <c r="B115" t="s">
        <v>70</v>
      </c>
      <c r="C115">
        <v>11</v>
      </c>
      <c r="D115" t="s">
        <v>105</v>
      </c>
      <c r="E115" t="s">
        <v>106</v>
      </c>
      <c r="F115" t="s">
        <v>87</v>
      </c>
      <c r="G115">
        <v>0</v>
      </c>
      <c r="H115">
        <v>0</v>
      </c>
      <c r="I115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27</v>
      </c>
      <c r="K115" s="5" cm="1">
        <f t="array" ref="K115">IFERROR(AVERAGE(IF((OutputTable[GroupByKey]=OutputTable[[#This Row],[GroupByKey]]),(OutputTable[GroupByKey]=OutputTable[[#This Row],[GroupByKey]])*OutputTable[RecordedValue])),0)</f>
        <v>0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0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5" s="5" cm="1">
        <f t="array" ref="O115">MIN(IF((OutputTable[GroupByKey]=OutputTable[[#This Row],[GroupByKey]]),(OutputTable[GroupByKey]=OutputTable[[#This Row],[GroupByKey]])*OutputTable[RecordedValue]))</f>
        <v>0</v>
      </c>
      <c r="P115" s="5" cm="1">
        <f t="array" ref="P115">MAX(IF((OutputTable[GroupByKey]=OutputTable[[#This Row],[GroupByKey]]),(OutputTable[GroupByKey]=OutputTable[[#This Row],[GroupByKey]])*OutputTable[RecordedValue]))</f>
        <v>0</v>
      </c>
    </row>
    <row r="116" spans="1:16" x14ac:dyDescent="0.25">
      <c r="A116" t="s">
        <v>68</v>
      </c>
      <c r="B116" t="s">
        <v>70</v>
      </c>
      <c r="C116">
        <v>11</v>
      </c>
      <c r="D116" t="s">
        <v>107</v>
      </c>
      <c r="E116" t="s">
        <v>100</v>
      </c>
      <c r="F116" t="s">
        <v>87</v>
      </c>
      <c r="G116">
        <v>0</v>
      </c>
      <c r="H116">
        <v>0</v>
      </c>
      <c r="I116" s="5" t="str">
        <f>OutputTable[[#This Row],[ProjectName]]&amp;OutputTable[[#This Row],[Name]]&amp;OutputTable[[#This Row],[Type]]&amp;OutputTable[[#This Row],[Source]]</f>
        <v>Escenario ASeguimiemto Number InNumber InProcess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27</v>
      </c>
      <c r="K116" s="5" cm="1">
        <f t="array" ref="K116">IFERROR(AVERAGE(IF((OutputTable[GroupByKey]=OutputTable[[#This Row],[GroupByKey]]),(OutputTable[GroupByKey]=OutputTable[[#This Row],[GroupByKey]])*OutputTable[RecordedValue])),0)</f>
        <v>3.7037037037037035E-2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0.19245008972987526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16" s="5" cm="1">
        <f t="array" ref="O116">MIN(IF((OutputTable[GroupByKey]=OutputTable[[#This Row],[GroupByKey]]),(OutputTable[GroupByKey]=OutputTable[[#This Row],[GroupByKey]])*OutputTable[RecordedValue]))</f>
        <v>0</v>
      </c>
      <c r="P116" s="5" cm="1">
        <f t="array" ref="P116">MAX(IF((OutputTable[GroupByKey]=OutputTable[[#This Row],[GroupByKey]]),(OutputTable[GroupByKey]=OutputTable[[#This Row],[GroupByKey]])*OutputTable[RecordedValue]))</f>
        <v>1</v>
      </c>
    </row>
    <row r="117" spans="1:16" x14ac:dyDescent="0.25">
      <c r="A117" t="s">
        <v>68</v>
      </c>
      <c r="B117" t="s">
        <v>70</v>
      </c>
      <c r="C117">
        <v>11</v>
      </c>
      <c r="D117" t="s">
        <v>108</v>
      </c>
      <c r="E117" t="s">
        <v>102</v>
      </c>
      <c r="F117" t="s">
        <v>87</v>
      </c>
      <c r="G117">
        <v>0</v>
      </c>
      <c r="H117">
        <v>0</v>
      </c>
      <c r="I117" s="5" t="str">
        <f>OutputTable[[#This Row],[ProjectName]]&amp;OutputTable[[#This Row],[Name]]&amp;OutputTable[[#This Row],[Type]]&amp;OutputTable[[#This Row],[Source]]</f>
        <v>Escenario ASeguimiemto Number OutNumber OutProcess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27</v>
      </c>
      <c r="K117" s="5" cm="1">
        <f t="array" ref="K117">IFERROR(AVERAGE(IF((OutputTable[GroupByKey]=OutputTable[[#This Row],[GroupByKey]]),(OutputTable[GroupByKey]=OutputTable[[#This Row],[GroupByKey]])*OutputTable[RecordedValue])),0)</f>
        <v>3.7037037037037035E-2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0.19245008972987526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17" s="5" cm="1">
        <f t="array" ref="O117">MIN(IF((OutputTable[GroupByKey]=OutputTable[[#This Row],[GroupByKey]]),(OutputTable[GroupByKey]=OutputTable[[#This Row],[GroupByKey]])*OutputTable[RecordedValue]))</f>
        <v>0</v>
      </c>
      <c r="P117" s="5" cm="1">
        <f t="array" ref="P117">MAX(IF((OutputTable[GroupByKey]=OutputTable[[#This Row],[GroupByKey]]),(OutputTable[GroupByKey]=OutputTable[[#This Row],[GroupByKey]])*OutputTable[RecordedValue]))</f>
        <v>1</v>
      </c>
    </row>
    <row r="118" spans="1:16" x14ac:dyDescent="0.25">
      <c r="A118" t="s">
        <v>68</v>
      </c>
      <c r="B118" t="s">
        <v>70</v>
      </c>
      <c r="C118">
        <v>11</v>
      </c>
      <c r="D118" t="s">
        <v>109</v>
      </c>
      <c r="E118" t="s">
        <v>102</v>
      </c>
      <c r="F118" t="s">
        <v>110</v>
      </c>
      <c r="G118">
        <v>1</v>
      </c>
      <c r="H118">
        <v>0</v>
      </c>
      <c r="I118" s="5" t="str">
        <f>OutputTable[[#This Row],[ProjectName]]&amp;OutputTable[[#This Row],[Name]]&amp;OutputTable[[#This Row],[Type]]&amp;OutputTable[[#This Row],[Source]]</f>
        <v>Escenario ASystem.NumberOutNumber OutSystem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27</v>
      </c>
      <c r="K118" s="5" cm="1">
        <f t="array" ref="K118">IFERROR(AVERAGE(IF((OutputTable[GroupByKey]=OutputTable[[#This Row],[GroupByKey]]),(OutputTable[GroupByKey]=OutputTable[[#This Row],[GroupByKey]])*OutputTable[RecordedValue])),0)</f>
        <v>1.1851851851851851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1.0754976321197349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118" s="5" cm="1">
        <f t="array" ref="O118">MIN(IF((OutputTable[GroupByKey]=OutputTable[[#This Row],[GroupByKey]]),(OutputTable[GroupByKey]=OutputTable[[#This Row],[GroupByKey]])*OutputTable[RecordedValue]))</f>
        <v>0</v>
      </c>
      <c r="P118" s="5" cm="1">
        <f t="array" ref="P118">MAX(IF((OutputTable[GroupByKey]=OutputTable[[#This Row],[GroupByKey]]),(OutputTable[GroupByKey]=OutputTable[[#This Row],[GroupByKey]])*OutputTable[RecordedValue]))</f>
        <v>4</v>
      </c>
    </row>
    <row r="119" spans="1:16" x14ac:dyDescent="0.25">
      <c r="A119" t="s">
        <v>68</v>
      </c>
      <c r="B119" t="s">
        <v>70</v>
      </c>
      <c r="C119">
        <v>11</v>
      </c>
      <c r="D119" t="s">
        <v>111</v>
      </c>
      <c r="E119" t="s">
        <v>112</v>
      </c>
      <c r="F119" t="s">
        <v>95</v>
      </c>
      <c r="G119">
        <v>1</v>
      </c>
      <c r="H119">
        <v>0</v>
      </c>
      <c r="I119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27</v>
      </c>
      <c r="K119" s="5" cm="1">
        <f t="array" ref="K119">IFERROR(AVERAGE(IF((OutputTable[GroupByKey]=OutputTable[[#This Row],[GroupByKey]]),(OutputTable[GroupByKey]=OutputTable[[#This Row],[GroupByKey]])*OutputTable[RecordedValue])),0)</f>
        <v>1.2962962962962963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1.1706281947614154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119" s="5" cm="1">
        <f t="array" ref="O119">MIN(IF((OutputTable[GroupByKey]=OutputTable[[#This Row],[GroupByKey]]),(OutputTable[GroupByKey]=OutputTable[[#This Row],[GroupByKey]])*OutputTable[RecordedValue]))</f>
        <v>0</v>
      </c>
      <c r="P119" s="5" cm="1">
        <f t="array" ref="P119">MAX(IF((OutputTable[GroupByKey]=OutputTable[[#This Row],[GroupByKey]]),(OutputTable[GroupByKey]=OutputTable[[#This Row],[GroupByKey]])*OutputTable[RecordedValue]))</f>
        <v>5</v>
      </c>
    </row>
    <row r="120" spans="1:16" x14ac:dyDescent="0.25">
      <c r="A120" t="s">
        <v>68</v>
      </c>
      <c r="B120" t="s">
        <v>70</v>
      </c>
      <c r="C120">
        <v>11</v>
      </c>
      <c r="D120" t="s">
        <v>113</v>
      </c>
      <c r="E120" t="s">
        <v>114</v>
      </c>
      <c r="F120" t="s">
        <v>95</v>
      </c>
      <c r="G120">
        <v>9.2739050702148607E-3</v>
      </c>
      <c r="H120">
        <v>0</v>
      </c>
      <c r="I120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27</v>
      </c>
      <c r="K120" s="5" cm="1">
        <f t="array" ref="K120">IFERROR(AVERAGE(IF((OutputTable[GroupByKey]=OutputTable[[#This Row],[GroupByKey]]),(OutputTable[GroupByKey]=OutputTable[[#This Row],[GroupByKey]])*OutputTable[RecordedValue])),0)</f>
        <v>1.2223949425906553E-2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1.112543407769513E-2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120" s="5" cm="1">
        <f t="array" ref="O120">MIN(IF((OutputTable[GroupByKey]=OutputTable[[#This Row],[GroupByKey]]),(OutputTable[GroupByKey]=OutputTable[[#This Row],[GroupByKey]])*OutputTable[RecordedValue]))</f>
        <v>0</v>
      </c>
      <c r="P120" s="5" cm="1">
        <f t="array" ref="P120">MAX(IF((OutputTable[GroupByKey]=OutputTable[[#This Row],[GroupByKey]]),(OutputTable[GroupByKey]=OutputTable[[#This Row],[GroupByKey]])*OutputTable[RecordedValue]))</f>
        <v>4.2906548761083699E-2</v>
      </c>
    </row>
    <row r="121" spans="1:16" x14ac:dyDescent="0.25">
      <c r="A121" t="s">
        <v>68</v>
      </c>
      <c r="B121" t="s">
        <v>70</v>
      </c>
      <c r="C121">
        <v>11</v>
      </c>
      <c r="D121" t="s">
        <v>115</v>
      </c>
      <c r="E121" t="s">
        <v>112</v>
      </c>
      <c r="F121" t="s">
        <v>95</v>
      </c>
      <c r="G121">
        <v>0</v>
      </c>
      <c r="H121">
        <v>0</v>
      </c>
      <c r="I121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27</v>
      </c>
      <c r="K121" s="5" cm="1">
        <f t="array" ref="K121">IFERROR(AVERAGE(IF((OutputTable[GroupByKey]=OutputTable[[#This Row],[GroupByKey]]),(OutputTable[GroupByKey]=OutputTable[[#This Row],[GroupByKey]])*OutputTable[RecordedValue])),0)</f>
        <v>3.7037037037037035E-2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0.19245008972987526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21" s="5" cm="1">
        <f t="array" ref="O121">MIN(IF((OutputTable[GroupByKey]=OutputTable[[#This Row],[GroupByKey]]),(OutputTable[GroupByKey]=OutputTable[[#This Row],[GroupByKey]])*OutputTable[RecordedValue]))</f>
        <v>0</v>
      </c>
      <c r="P121" s="5" cm="1">
        <f t="array" ref="P121">MAX(IF((OutputTable[GroupByKey]=OutputTable[[#This Row],[GroupByKey]]),(OutputTable[GroupByKey]=OutputTable[[#This Row],[GroupByKey]])*OutputTable[RecordedValue]))</f>
        <v>1</v>
      </c>
    </row>
    <row r="122" spans="1:16" x14ac:dyDescent="0.25">
      <c r="A122" t="s">
        <v>68</v>
      </c>
      <c r="B122" t="s">
        <v>70</v>
      </c>
      <c r="C122">
        <v>11</v>
      </c>
      <c r="D122" t="s">
        <v>116</v>
      </c>
      <c r="E122" t="s">
        <v>114</v>
      </c>
      <c r="F122" t="s">
        <v>95</v>
      </c>
      <c r="G122">
        <v>0</v>
      </c>
      <c r="H122">
        <v>0</v>
      </c>
      <c r="I122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27</v>
      </c>
      <c r="K122" s="5" cm="1">
        <f t="array" ref="K122">IFERROR(AVERAGE(IF((OutputTable[GroupByKey]=OutputTable[[#This Row],[GroupByKey]]),(OutputTable[GroupByKey]=OutputTable[[#This Row],[GroupByKey]])*OutputTable[RecordedValue])),0)</f>
        <v>1.5859588837911111E-4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8.2408840963242873E-4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122" s="5" cm="1">
        <f t="array" ref="O122">MIN(IF((OutputTable[GroupByKey]=OutputTable[[#This Row],[GroupByKey]]),(OutputTable[GroupByKey]=OutputTable[[#This Row],[GroupByKey]])*OutputTable[RecordedValue]))</f>
        <v>0</v>
      </c>
      <c r="P122" s="5" cm="1">
        <f t="array" ref="P122">MAX(IF((OutputTable[GroupByKey]=OutputTable[[#This Row],[GroupByKey]]),(OutputTable[GroupByKey]=OutputTable[[#This Row],[GroupByKey]])*OutputTable[RecordedValue]))</f>
        <v>4.2820889862359999E-3</v>
      </c>
    </row>
    <row r="123" spans="1:16" x14ac:dyDescent="0.25">
      <c r="A123" t="s">
        <v>68</v>
      </c>
      <c r="B123" t="s">
        <v>70</v>
      </c>
      <c r="C123">
        <v>12</v>
      </c>
      <c r="D123" t="s">
        <v>99</v>
      </c>
      <c r="E123" t="s">
        <v>100</v>
      </c>
      <c r="F123" t="s">
        <v>73</v>
      </c>
      <c r="G123">
        <v>1</v>
      </c>
      <c r="H123">
        <v>0</v>
      </c>
      <c r="I123" s="5" t="str">
        <f>OutputTable[[#This Row],[ProjectName]]&amp;OutputTable[[#This Row],[Name]]&amp;OutputTable[[#This Row],[Type]]&amp;OutputTable[[#This Row],[Source]]</f>
        <v>Escenario AEntity 1.NumberInNumber InEntity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27</v>
      </c>
      <c r="K123" s="5" cm="1">
        <f t="array" ref="K123">IFERROR(AVERAGE(IF((OutputTable[GroupByKey]=OutputTable[[#This Row],[GroupByKey]]),(OutputTable[GroupByKey]=OutputTable[[#This Row],[GroupByKey]])*OutputTable[RecordedValue])),0)</f>
        <v>1.2962962962962963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1.1706281947614154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123" s="5" cm="1">
        <f t="array" ref="O123">MIN(IF((OutputTable[GroupByKey]=OutputTable[[#This Row],[GroupByKey]]),(OutputTable[GroupByKey]=OutputTable[[#This Row],[GroupByKey]])*OutputTable[RecordedValue]))</f>
        <v>0</v>
      </c>
      <c r="P123" s="5" cm="1">
        <f t="array" ref="P123">MAX(IF((OutputTable[GroupByKey]=OutputTable[[#This Row],[GroupByKey]]),(OutputTable[GroupByKey]=OutputTable[[#This Row],[GroupByKey]])*OutputTable[RecordedValue]))</f>
        <v>5</v>
      </c>
    </row>
    <row r="124" spans="1:16" x14ac:dyDescent="0.25">
      <c r="A124" t="s">
        <v>68</v>
      </c>
      <c r="B124" t="s">
        <v>70</v>
      </c>
      <c r="C124">
        <v>12</v>
      </c>
      <c r="D124" t="s">
        <v>101</v>
      </c>
      <c r="E124" t="s">
        <v>102</v>
      </c>
      <c r="F124" t="s">
        <v>73</v>
      </c>
      <c r="G124">
        <v>1</v>
      </c>
      <c r="H124">
        <v>0</v>
      </c>
      <c r="I124" s="5" t="str">
        <f>OutputTable[[#This Row],[ProjectName]]&amp;OutputTable[[#This Row],[Name]]&amp;OutputTable[[#This Row],[Type]]&amp;OutputTable[[#This Row],[Source]]</f>
        <v>Escenario AEntity 1.NumberOutNumber OutEntity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27</v>
      </c>
      <c r="K124" s="5" cm="1">
        <f t="array" ref="K124">IFERROR(AVERAGE(IF((OutputTable[GroupByKey]=OutputTable[[#This Row],[GroupByKey]]),(OutputTable[GroupByKey]=OutputTable[[#This Row],[GroupByKey]])*OutputTable[RecordedValue])),0)</f>
        <v>1.1851851851851851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1.0754976321197349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124" s="5" cm="1">
        <f t="array" ref="O124">MIN(IF((OutputTable[GroupByKey]=OutputTable[[#This Row],[GroupByKey]]),(OutputTable[GroupByKey]=OutputTable[[#This Row],[GroupByKey]])*OutputTable[RecordedValue]))</f>
        <v>0</v>
      </c>
      <c r="P124" s="5" cm="1">
        <f t="array" ref="P124">MAX(IF((OutputTable[GroupByKey]=OutputTable[[#This Row],[GroupByKey]]),(OutputTable[GroupByKey]=OutputTable[[#This Row],[GroupByKey]])*OutputTable[RecordedValue]))</f>
        <v>4</v>
      </c>
    </row>
    <row r="125" spans="1:16" x14ac:dyDescent="0.25">
      <c r="A125" t="s">
        <v>68</v>
      </c>
      <c r="B125" t="s">
        <v>70</v>
      </c>
      <c r="C125">
        <v>12</v>
      </c>
      <c r="D125" t="s">
        <v>103</v>
      </c>
      <c r="E125" t="s">
        <v>104</v>
      </c>
      <c r="F125" t="s">
        <v>87</v>
      </c>
      <c r="G125">
        <v>0</v>
      </c>
      <c r="H125">
        <v>0</v>
      </c>
      <c r="I125" s="5" t="str">
        <f>OutputTable[[#This Row],[ProjectName]]&amp;OutputTable[[#This Row],[Name]]&amp;OutputTable[[#This Row],[Type]]&amp;OutputTable[[#This Row],[Source]]</f>
        <v>Escenario ASeguimiemto Accum VA TimeAccum VA TimeProcess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27</v>
      </c>
      <c r="K125" s="5" cm="1">
        <f t="array" ref="K125">IFERROR(AVERAGE(IF((OutputTable[GroupByKey]=OutputTable[[#This Row],[GroupByKey]]),(OutputTable[GroupByKey]=OutputTable[[#This Row],[GroupByKey]])*OutputTable[RecordedValue])),0)</f>
        <v>9.5157533027466656E-2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0.4944530457794572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125" s="5" cm="1">
        <f t="array" ref="O125">MIN(IF((OutputTable[GroupByKey]=OutputTable[[#This Row],[GroupByKey]]),(OutputTable[GroupByKey]=OutputTable[[#This Row],[GroupByKey]])*OutputTable[RecordedValue]))</f>
        <v>0</v>
      </c>
      <c r="P125" s="5" cm="1">
        <f t="array" ref="P125">MAX(IF((OutputTable[GroupByKey]=OutputTable[[#This Row],[GroupByKey]]),(OutputTable[GroupByKey]=OutputTable[[#This Row],[GroupByKey]])*OutputTable[RecordedValue]))</f>
        <v>2.5692533917415998</v>
      </c>
    </row>
    <row r="126" spans="1:16" x14ac:dyDescent="0.25">
      <c r="A126" t="s">
        <v>68</v>
      </c>
      <c r="B126" t="s">
        <v>70</v>
      </c>
      <c r="C126">
        <v>12</v>
      </c>
      <c r="D126" t="s">
        <v>105</v>
      </c>
      <c r="E126" t="s">
        <v>106</v>
      </c>
      <c r="F126" t="s">
        <v>87</v>
      </c>
      <c r="G126">
        <v>0</v>
      </c>
      <c r="H126">
        <v>0</v>
      </c>
      <c r="I126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27</v>
      </c>
      <c r="K126" s="5" cm="1">
        <f t="array" ref="K126">IFERROR(AVERAGE(IF((OutputTable[GroupByKey]=OutputTable[[#This Row],[GroupByKey]]),(OutputTable[GroupByKey]=OutputTable[[#This Row],[GroupByKey]])*OutputTable[RecordedValue])),0)</f>
        <v>0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0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" s="5" cm="1">
        <f t="array" ref="O126">MIN(IF((OutputTable[GroupByKey]=OutputTable[[#This Row],[GroupByKey]]),(OutputTable[GroupByKey]=OutputTable[[#This Row],[GroupByKey]])*OutputTable[RecordedValue]))</f>
        <v>0</v>
      </c>
      <c r="P126" s="5" cm="1">
        <f t="array" ref="P126">MAX(IF((OutputTable[GroupByKey]=OutputTable[[#This Row],[GroupByKey]]),(OutputTable[GroupByKey]=OutputTable[[#This Row],[GroupByKey]])*OutputTable[RecordedValue]))</f>
        <v>0</v>
      </c>
    </row>
    <row r="127" spans="1:16" x14ac:dyDescent="0.25">
      <c r="A127" t="s">
        <v>68</v>
      </c>
      <c r="B127" t="s">
        <v>70</v>
      </c>
      <c r="C127">
        <v>12</v>
      </c>
      <c r="D127" t="s">
        <v>107</v>
      </c>
      <c r="E127" t="s">
        <v>100</v>
      </c>
      <c r="F127" t="s">
        <v>87</v>
      </c>
      <c r="G127">
        <v>0</v>
      </c>
      <c r="H127">
        <v>0</v>
      </c>
      <c r="I127" s="5" t="str">
        <f>OutputTable[[#This Row],[ProjectName]]&amp;OutputTable[[#This Row],[Name]]&amp;OutputTable[[#This Row],[Type]]&amp;OutputTable[[#This Row],[Source]]</f>
        <v>Escenario ASeguimiemto Number InNumber InProcess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27</v>
      </c>
      <c r="K127" s="5" cm="1">
        <f t="array" ref="K127">IFERROR(AVERAGE(IF((OutputTable[GroupByKey]=OutputTable[[#This Row],[GroupByKey]]),(OutputTable[GroupByKey]=OutputTable[[#This Row],[GroupByKey]])*OutputTable[RecordedValue])),0)</f>
        <v>3.7037037037037035E-2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0.19245008972987526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27" s="5" cm="1">
        <f t="array" ref="O127">MIN(IF((OutputTable[GroupByKey]=OutputTable[[#This Row],[GroupByKey]]),(OutputTable[GroupByKey]=OutputTable[[#This Row],[GroupByKey]])*OutputTable[RecordedValue]))</f>
        <v>0</v>
      </c>
      <c r="P127" s="5" cm="1">
        <f t="array" ref="P127">MAX(IF((OutputTable[GroupByKey]=OutputTable[[#This Row],[GroupByKey]]),(OutputTable[GroupByKey]=OutputTable[[#This Row],[GroupByKey]])*OutputTable[RecordedValue]))</f>
        <v>1</v>
      </c>
    </row>
    <row r="128" spans="1:16" x14ac:dyDescent="0.25">
      <c r="A128" t="s">
        <v>68</v>
      </c>
      <c r="B128" t="s">
        <v>70</v>
      </c>
      <c r="C128">
        <v>12</v>
      </c>
      <c r="D128" t="s">
        <v>108</v>
      </c>
      <c r="E128" t="s">
        <v>102</v>
      </c>
      <c r="F128" t="s">
        <v>87</v>
      </c>
      <c r="G128">
        <v>0</v>
      </c>
      <c r="H128">
        <v>0</v>
      </c>
      <c r="I128" s="5" t="str">
        <f>OutputTable[[#This Row],[ProjectName]]&amp;OutputTable[[#This Row],[Name]]&amp;OutputTable[[#This Row],[Type]]&amp;OutputTable[[#This Row],[Source]]</f>
        <v>Escenario ASeguimiemto Number OutNumber OutProcess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27</v>
      </c>
      <c r="K128" s="5" cm="1">
        <f t="array" ref="K128">IFERROR(AVERAGE(IF((OutputTable[GroupByKey]=OutputTable[[#This Row],[GroupByKey]]),(OutputTable[GroupByKey]=OutputTable[[#This Row],[GroupByKey]])*OutputTable[RecordedValue])),0)</f>
        <v>3.7037037037037035E-2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0.19245008972987526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28" s="5" cm="1">
        <f t="array" ref="O128">MIN(IF((OutputTable[GroupByKey]=OutputTable[[#This Row],[GroupByKey]]),(OutputTable[GroupByKey]=OutputTable[[#This Row],[GroupByKey]])*OutputTable[RecordedValue]))</f>
        <v>0</v>
      </c>
      <c r="P128" s="5" cm="1">
        <f t="array" ref="P128">MAX(IF((OutputTable[GroupByKey]=OutputTable[[#This Row],[GroupByKey]]),(OutputTable[GroupByKey]=OutputTable[[#This Row],[GroupByKey]])*OutputTable[RecordedValue]))</f>
        <v>1</v>
      </c>
    </row>
    <row r="129" spans="1:16" x14ac:dyDescent="0.25">
      <c r="A129" t="s">
        <v>68</v>
      </c>
      <c r="B129" t="s">
        <v>70</v>
      </c>
      <c r="C129">
        <v>12</v>
      </c>
      <c r="D129" t="s">
        <v>109</v>
      </c>
      <c r="E129" t="s">
        <v>102</v>
      </c>
      <c r="F129" t="s">
        <v>110</v>
      </c>
      <c r="G129">
        <v>1</v>
      </c>
      <c r="H129">
        <v>0</v>
      </c>
      <c r="I129" s="5" t="str">
        <f>OutputTable[[#This Row],[ProjectName]]&amp;OutputTable[[#This Row],[Name]]&amp;OutputTable[[#This Row],[Type]]&amp;OutputTable[[#This Row],[Source]]</f>
        <v>Escenario ASystem.NumberOutNumber OutSystem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27</v>
      </c>
      <c r="K129" s="5" cm="1">
        <f t="array" ref="K129">IFERROR(AVERAGE(IF((OutputTable[GroupByKey]=OutputTable[[#This Row],[GroupByKey]]),(OutputTable[GroupByKey]=OutputTable[[#This Row],[GroupByKey]])*OutputTable[RecordedValue])),0)</f>
        <v>1.1851851851851851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1.0754976321197349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129" s="5" cm="1">
        <f t="array" ref="O129">MIN(IF((OutputTable[GroupByKey]=OutputTable[[#This Row],[GroupByKey]]),(OutputTable[GroupByKey]=OutputTable[[#This Row],[GroupByKey]])*OutputTable[RecordedValue]))</f>
        <v>0</v>
      </c>
      <c r="P129" s="5" cm="1">
        <f t="array" ref="P129">MAX(IF((OutputTable[GroupByKey]=OutputTable[[#This Row],[GroupByKey]]),(OutputTable[GroupByKey]=OutputTable[[#This Row],[GroupByKey]])*OutputTable[RecordedValue]))</f>
        <v>4</v>
      </c>
    </row>
    <row r="130" spans="1:16" x14ac:dyDescent="0.25">
      <c r="A130" t="s">
        <v>68</v>
      </c>
      <c r="B130" t="s">
        <v>70</v>
      </c>
      <c r="C130">
        <v>12</v>
      </c>
      <c r="D130" t="s">
        <v>111</v>
      </c>
      <c r="E130" t="s">
        <v>112</v>
      </c>
      <c r="F130" t="s">
        <v>95</v>
      </c>
      <c r="G130">
        <v>1</v>
      </c>
      <c r="H130">
        <v>0</v>
      </c>
      <c r="I130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27</v>
      </c>
      <c r="K130" s="5" cm="1">
        <f t="array" ref="K130">IFERROR(AVERAGE(IF((OutputTable[GroupByKey]=OutputTable[[#This Row],[GroupByKey]]),(OutputTable[GroupByKey]=OutputTable[[#This Row],[GroupByKey]])*OutputTable[RecordedValue])),0)</f>
        <v>1.2962962962962963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1.1706281947614154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130" s="5" cm="1">
        <f t="array" ref="O130">MIN(IF((OutputTable[GroupByKey]=OutputTable[[#This Row],[GroupByKey]]),(OutputTable[GroupByKey]=OutputTable[[#This Row],[GroupByKey]])*OutputTable[RecordedValue]))</f>
        <v>0</v>
      </c>
      <c r="P130" s="5" cm="1">
        <f t="array" ref="P130">MAX(IF((OutputTable[GroupByKey]=OutputTable[[#This Row],[GroupByKey]]),(OutputTable[GroupByKey]=OutputTable[[#This Row],[GroupByKey]])*OutputTable[RecordedValue]))</f>
        <v>5</v>
      </c>
    </row>
    <row r="131" spans="1:16" x14ac:dyDescent="0.25">
      <c r="A131" t="s">
        <v>68</v>
      </c>
      <c r="B131" t="s">
        <v>70</v>
      </c>
      <c r="C131">
        <v>12</v>
      </c>
      <c r="D131" t="s">
        <v>113</v>
      </c>
      <c r="E131" t="s">
        <v>114</v>
      </c>
      <c r="F131" t="s">
        <v>95</v>
      </c>
      <c r="G131">
        <v>1.00942418523782E-2</v>
      </c>
      <c r="H131">
        <v>0</v>
      </c>
      <c r="I131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27</v>
      </c>
      <c r="K131" s="5" cm="1">
        <f t="array" ref="K131">IFERROR(AVERAGE(IF((OutputTable[GroupByKey]=OutputTable[[#This Row],[GroupByKey]]),(OutputTable[GroupByKey]=OutputTable[[#This Row],[GroupByKey]])*OutputTable[RecordedValue])),0)</f>
        <v>1.2223949425906553E-2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1.112543407769513E-2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131" s="5" cm="1">
        <f t="array" ref="O131">MIN(IF((OutputTable[GroupByKey]=OutputTable[[#This Row],[GroupByKey]]),(OutputTable[GroupByKey]=OutputTable[[#This Row],[GroupByKey]])*OutputTable[RecordedValue]))</f>
        <v>0</v>
      </c>
      <c r="P131" s="5" cm="1">
        <f t="array" ref="P131">MAX(IF((OutputTable[GroupByKey]=OutputTable[[#This Row],[GroupByKey]]),(OutputTable[GroupByKey]=OutputTable[[#This Row],[GroupByKey]])*OutputTable[RecordedValue]))</f>
        <v>4.2906548761083699E-2</v>
      </c>
    </row>
    <row r="132" spans="1:16" x14ac:dyDescent="0.25">
      <c r="A132" t="s">
        <v>68</v>
      </c>
      <c r="B132" t="s">
        <v>70</v>
      </c>
      <c r="C132">
        <v>12</v>
      </c>
      <c r="D132" t="s">
        <v>115</v>
      </c>
      <c r="E132" t="s">
        <v>112</v>
      </c>
      <c r="F132" t="s">
        <v>95</v>
      </c>
      <c r="G132">
        <v>0</v>
      </c>
      <c r="H132">
        <v>0</v>
      </c>
      <c r="I132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27</v>
      </c>
      <c r="K132" s="5" cm="1">
        <f t="array" ref="K132">IFERROR(AVERAGE(IF((OutputTable[GroupByKey]=OutputTable[[#This Row],[GroupByKey]]),(OutputTable[GroupByKey]=OutputTable[[#This Row],[GroupByKey]])*OutputTable[RecordedValue])),0)</f>
        <v>3.7037037037037035E-2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0.19245008972987526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32" s="5" cm="1">
        <f t="array" ref="O132">MIN(IF((OutputTable[GroupByKey]=OutputTable[[#This Row],[GroupByKey]]),(OutputTable[GroupByKey]=OutputTable[[#This Row],[GroupByKey]])*OutputTable[RecordedValue]))</f>
        <v>0</v>
      </c>
      <c r="P132" s="5" cm="1">
        <f t="array" ref="P132">MAX(IF((OutputTable[GroupByKey]=OutputTable[[#This Row],[GroupByKey]]),(OutputTable[GroupByKey]=OutputTable[[#This Row],[GroupByKey]])*OutputTable[RecordedValue]))</f>
        <v>1</v>
      </c>
    </row>
    <row r="133" spans="1:16" x14ac:dyDescent="0.25">
      <c r="A133" t="s">
        <v>68</v>
      </c>
      <c r="B133" t="s">
        <v>70</v>
      </c>
      <c r="C133">
        <v>12</v>
      </c>
      <c r="D133" t="s">
        <v>116</v>
      </c>
      <c r="E133" t="s">
        <v>114</v>
      </c>
      <c r="F133" t="s">
        <v>95</v>
      </c>
      <c r="G133">
        <v>0</v>
      </c>
      <c r="H133">
        <v>0</v>
      </c>
      <c r="I133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27</v>
      </c>
      <c r="K133" s="5" cm="1">
        <f t="array" ref="K133">IFERROR(AVERAGE(IF((OutputTable[GroupByKey]=OutputTable[[#This Row],[GroupByKey]]),(OutputTable[GroupByKey]=OutputTable[[#This Row],[GroupByKey]])*OutputTable[RecordedValue])),0)</f>
        <v>1.5859588837911111E-4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8.2408840963242873E-4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133" s="5" cm="1">
        <f t="array" ref="O133">MIN(IF((OutputTable[GroupByKey]=OutputTable[[#This Row],[GroupByKey]]),(OutputTable[GroupByKey]=OutputTable[[#This Row],[GroupByKey]])*OutputTable[RecordedValue]))</f>
        <v>0</v>
      </c>
      <c r="P133" s="5" cm="1">
        <f t="array" ref="P133">MAX(IF((OutputTable[GroupByKey]=OutputTable[[#This Row],[GroupByKey]]),(OutputTable[GroupByKey]=OutputTable[[#This Row],[GroupByKey]])*OutputTable[RecordedValue]))</f>
        <v>4.2820889862359999E-3</v>
      </c>
    </row>
    <row r="134" spans="1:16" x14ac:dyDescent="0.25">
      <c r="A134" t="s">
        <v>68</v>
      </c>
      <c r="B134" t="s">
        <v>70</v>
      </c>
      <c r="C134">
        <v>13</v>
      </c>
      <c r="D134" t="s">
        <v>99</v>
      </c>
      <c r="E134" t="s">
        <v>100</v>
      </c>
      <c r="F134" t="s">
        <v>73</v>
      </c>
      <c r="G134">
        <v>2</v>
      </c>
      <c r="H134">
        <v>0</v>
      </c>
      <c r="I134" s="5" t="str">
        <f>OutputTable[[#This Row],[ProjectName]]&amp;OutputTable[[#This Row],[Name]]&amp;OutputTable[[#This Row],[Type]]&amp;OutputTable[[#This Row],[Source]]</f>
        <v>Escenario AEntity 1.NumberInNumber InEntity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27</v>
      </c>
      <c r="K134" s="5" cm="1">
        <f t="array" ref="K134">IFERROR(AVERAGE(IF((OutputTable[GroupByKey]=OutputTable[[#This Row],[GroupByKey]]),(OutputTable[GroupByKey]=OutputTable[[#This Row],[GroupByKey]])*OutputTable[RecordedValue])),0)</f>
        <v>1.2962962962962963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1.1706281947614154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134" s="5" cm="1">
        <f t="array" ref="O134">MIN(IF((OutputTable[GroupByKey]=OutputTable[[#This Row],[GroupByKey]]),(OutputTable[GroupByKey]=OutputTable[[#This Row],[GroupByKey]])*OutputTable[RecordedValue]))</f>
        <v>0</v>
      </c>
      <c r="P134" s="5" cm="1">
        <f t="array" ref="P134">MAX(IF((OutputTable[GroupByKey]=OutputTable[[#This Row],[GroupByKey]]),(OutputTable[GroupByKey]=OutputTable[[#This Row],[GroupByKey]])*OutputTable[RecordedValue]))</f>
        <v>5</v>
      </c>
    </row>
    <row r="135" spans="1:16" x14ac:dyDescent="0.25">
      <c r="A135" t="s">
        <v>68</v>
      </c>
      <c r="B135" t="s">
        <v>70</v>
      </c>
      <c r="C135">
        <v>13</v>
      </c>
      <c r="D135" t="s">
        <v>101</v>
      </c>
      <c r="E135" t="s">
        <v>102</v>
      </c>
      <c r="F135" t="s">
        <v>73</v>
      </c>
      <c r="G135">
        <v>2</v>
      </c>
      <c r="H135">
        <v>0</v>
      </c>
      <c r="I135" s="5" t="str">
        <f>OutputTable[[#This Row],[ProjectName]]&amp;OutputTable[[#This Row],[Name]]&amp;OutputTable[[#This Row],[Type]]&amp;OutputTable[[#This Row],[Source]]</f>
        <v>Escenario AEntity 1.NumberOutNumber OutEntity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27</v>
      </c>
      <c r="K135" s="5" cm="1">
        <f t="array" ref="K135">IFERROR(AVERAGE(IF((OutputTable[GroupByKey]=OutputTable[[#This Row],[GroupByKey]]),(OutputTable[GroupByKey]=OutputTable[[#This Row],[GroupByKey]])*OutputTable[RecordedValue])),0)</f>
        <v>1.1851851851851851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1.0754976321197349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135" s="5" cm="1">
        <f t="array" ref="O135">MIN(IF((OutputTable[GroupByKey]=OutputTable[[#This Row],[GroupByKey]]),(OutputTable[GroupByKey]=OutputTable[[#This Row],[GroupByKey]])*OutputTable[RecordedValue]))</f>
        <v>0</v>
      </c>
      <c r="P135" s="5" cm="1">
        <f t="array" ref="P135">MAX(IF((OutputTable[GroupByKey]=OutputTable[[#This Row],[GroupByKey]]),(OutputTable[GroupByKey]=OutputTable[[#This Row],[GroupByKey]])*OutputTable[RecordedValue]))</f>
        <v>4</v>
      </c>
    </row>
    <row r="136" spans="1:16" x14ac:dyDescent="0.25">
      <c r="A136" t="s">
        <v>68</v>
      </c>
      <c r="B136" t="s">
        <v>70</v>
      </c>
      <c r="C136">
        <v>13</v>
      </c>
      <c r="D136" t="s">
        <v>103</v>
      </c>
      <c r="E136" t="s">
        <v>104</v>
      </c>
      <c r="F136" t="s">
        <v>87</v>
      </c>
      <c r="G136">
        <v>0</v>
      </c>
      <c r="H136">
        <v>0</v>
      </c>
      <c r="I136" s="5" t="str">
        <f>OutputTable[[#This Row],[ProjectName]]&amp;OutputTable[[#This Row],[Name]]&amp;OutputTable[[#This Row],[Type]]&amp;OutputTable[[#This Row],[Source]]</f>
        <v>Escenario ASeguimiemto Accum VA TimeAccum VA TimeProcess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27</v>
      </c>
      <c r="K136" s="5" cm="1">
        <f t="array" ref="K136">IFERROR(AVERAGE(IF((OutputTable[GroupByKey]=OutputTable[[#This Row],[GroupByKey]]),(OutputTable[GroupByKey]=OutputTable[[#This Row],[GroupByKey]])*OutputTable[RecordedValue])),0)</f>
        <v>9.5157533027466656E-2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0.4944530457794572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136" s="5" cm="1">
        <f t="array" ref="O136">MIN(IF((OutputTable[GroupByKey]=OutputTable[[#This Row],[GroupByKey]]),(OutputTable[GroupByKey]=OutputTable[[#This Row],[GroupByKey]])*OutputTable[RecordedValue]))</f>
        <v>0</v>
      </c>
      <c r="P136" s="5" cm="1">
        <f t="array" ref="P136">MAX(IF((OutputTable[GroupByKey]=OutputTable[[#This Row],[GroupByKey]]),(OutputTable[GroupByKey]=OutputTable[[#This Row],[GroupByKey]])*OutputTable[RecordedValue]))</f>
        <v>2.5692533917415998</v>
      </c>
    </row>
    <row r="137" spans="1:16" x14ac:dyDescent="0.25">
      <c r="A137" t="s">
        <v>68</v>
      </c>
      <c r="B137" t="s">
        <v>70</v>
      </c>
      <c r="C137">
        <v>13</v>
      </c>
      <c r="D137" t="s">
        <v>105</v>
      </c>
      <c r="E137" t="s">
        <v>106</v>
      </c>
      <c r="F137" t="s">
        <v>87</v>
      </c>
      <c r="G137">
        <v>0</v>
      </c>
      <c r="H137">
        <v>0</v>
      </c>
      <c r="I137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27</v>
      </c>
      <c r="K137" s="5" cm="1">
        <f t="array" ref="K137">IFERROR(AVERAGE(IF((OutputTable[GroupByKey]=OutputTable[[#This Row],[GroupByKey]]),(OutputTable[GroupByKey]=OutputTable[[#This Row],[GroupByKey]])*OutputTable[RecordedValue])),0)</f>
        <v>0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0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7" s="5" cm="1">
        <f t="array" ref="O137">MIN(IF((OutputTable[GroupByKey]=OutputTable[[#This Row],[GroupByKey]]),(OutputTable[GroupByKey]=OutputTable[[#This Row],[GroupByKey]])*OutputTable[RecordedValue]))</f>
        <v>0</v>
      </c>
      <c r="P137" s="5" cm="1">
        <f t="array" ref="P137">MAX(IF((OutputTable[GroupByKey]=OutputTable[[#This Row],[GroupByKey]]),(OutputTable[GroupByKey]=OutputTable[[#This Row],[GroupByKey]])*OutputTable[RecordedValue]))</f>
        <v>0</v>
      </c>
    </row>
    <row r="138" spans="1:16" x14ac:dyDescent="0.25">
      <c r="A138" t="s">
        <v>68</v>
      </c>
      <c r="B138" t="s">
        <v>70</v>
      </c>
      <c r="C138">
        <v>13</v>
      </c>
      <c r="D138" t="s">
        <v>107</v>
      </c>
      <c r="E138" t="s">
        <v>100</v>
      </c>
      <c r="F138" t="s">
        <v>87</v>
      </c>
      <c r="G138">
        <v>0</v>
      </c>
      <c r="H138">
        <v>0</v>
      </c>
      <c r="I138" s="5" t="str">
        <f>OutputTable[[#This Row],[ProjectName]]&amp;OutputTable[[#This Row],[Name]]&amp;OutputTable[[#This Row],[Type]]&amp;OutputTable[[#This Row],[Source]]</f>
        <v>Escenario ASeguimiemto Number InNumber InProcess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27</v>
      </c>
      <c r="K138" s="5" cm="1">
        <f t="array" ref="K138">IFERROR(AVERAGE(IF((OutputTable[GroupByKey]=OutputTable[[#This Row],[GroupByKey]]),(OutputTable[GroupByKey]=OutputTable[[#This Row],[GroupByKey]])*OutputTable[RecordedValue])),0)</f>
        <v>3.7037037037037035E-2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0.19245008972987526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38" s="5" cm="1">
        <f t="array" ref="O138">MIN(IF((OutputTable[GroupByKey]=OutputTable[[#This Row],[GroupByKey]]),(OutputTable[GroupByKey]=OutputTable[[#This Row],[GroupByKey]])*OutputTable[RecordedValue]))</f>
        <v>0</v>
      </c>
      <c r="P138" s="5" cm="1">
        <f t="array" ref="P138">MAX(IF((OutputTable[GroupByKey]=OutputTable[[#This Row],[GroupByKey]]),(OutputTable[GroupByKey]=OutputTable[[#This Row],[GroupByKey]])*OutputTable[RecordedValue]))</f>
        <v>1</v>
      </c>
    </row>
    <row r="139" spans="1:16" x14ac:dyDescent="0.25">
      <c r="A139" t="s">
        <v>68</v>
      </c>
      <c r="B139" t="s">
        <v>70</v>
      </c>
      <c r="C139">
        <v>13</v>
      </c>
      <c r="D139" t="s">
        <v>108</v>
      </c>
      <c r="E139" t="s">
        <v>102</v>
      </c>
      <c r="F139" t="s">
        <v>87</v>
      </c>
      <c r="G139">
        <v>0</v>
      </c>
      <c r="H139">
        <v>0</v>
      </c>
      <c r="I139" s="5" t="str">
        <f>OutputTable[[#This Row],[ProjectName]]&amp;OutputTable[[#This Row],[Name]]&amp;OutputTable[[#This Row],[Type]]&amp;OutputTable[[#This Row],[Source]]</f>
        <v>Escenario ASeguimiemto Number OutNumber OutProcess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27</v>
      </c>
      <c r="K139" s="5" cm="1">
        <f t="array" ref="K139">IFERROR(AVERAGE(IF((OutputTable[GroupByKey]=OutputTable[[#This Row],[GroupByKey]]),(OutputTable[GroupByKey]=OutputTable[[#This Row],[GroupByKey]])*OutputTable[RecordedValue])),0)</f>
        <v>3.7037037037037035E-2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0.19245008972987526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39" s="5" cm="1">
        <f t="array" ref="O139">MIN(IF((OutputTable[GroupByKey]=OutputTable[[#This Row],[GroupByKey]]),(OutputTable[GroupByKey]=OutputTable[[#This Row],[GroupByKey]])*OutputTable[RecordedValue]))</f>
        <v>0</v>
      </c>
      <c r="P139" s="5" cm="1">
        <f t="array" ref="P139">MAX(IF((OutputTable[GroupByKey]=OutputTable[[#This Row],[GroupByKey]]),(OutputTable[GroupByKey]=OutputTable[[#This Row],[GroupByKey]])*OutputTable[RecordedValue]))</f>
        <v>1</v>
      </c>
    </row>
    <row r="140" spans="1:16" x14ac:dyDescent="0.25">
      <c r="A140" t="s">
        <v>68</v>
      </c>
      <c r="B140" t="s">
        <v>70</v>
      </c>
      <c r="C140">
        <v>13</v>
      </c>
      <c r="D140" t="s">
        <v>109</v>
      </c>
      <c r="E140" t="s">
        <v>102</v>
      </c>
      <c r="F140" t="s">
        <v>110</v>
      </c>
      <c r="G140">
        <v>2</v>
      </c>
      <c r="H140">
        <v>0</v>
      </c>
      <c r="I140" s="5" t="str">
        <f>OutputTable[[#This Row],[ProjectName]]&amp;OutputTable[[#This Row],[Name]]&amp;OutputTable[[#This Row],[Type]]&amp;OutputTable[[#This Row],[Source]]</f>
        <v>Escenario ASystem.NumberOutNumber OutSystem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27</v>
      </c>
      <c r="K140" s="5" cm="1">
        <f t="array" ref="K140">IFERROR(AVERAGE(IF((OutputTable[GroupByKey]=OutputTable[[#This Row],[GroupByKey]]),(OutputTable[GroupByKey]=OutputTable[[#This Row],[GroupByKey]])*OutputTable[RecordedValue])),0)</f>
        <v>1.1851851851851851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1.0754976321197349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140" s="5" cm="1">
        <f t="array" ref="O140">MIN(IF((OutputTable[GroupByKey]=OutputTable[[#This Row],[GroupByKey]]),(OutputTable[GroupByKey]=OutputTable[[#This Row],[GroupByKey]])*OutputTable[RecordedValue]))</f>
        <v>0</v>
      </c>
      <c r="P140" s="5" cm="1">
        <f t="array" ref="P140">MAX(IF((OutputTable[GroupByKey]=OutputTable[[#This Row],[GroupByKey]]),(OutputTable[GroupByKey]=OutputTable[[#This Row],[GroupByKey]])*OutputTable[RecordedValue]))</f>
        <v>4</v>
      </c>
    </row>
    <row r="141" spans="1:16" x14ac:dyDescent="0.25">
      <c r="A141" t="s">
        <v>68</v>
      </c>
      <c r="B141" t="s">
        <v>70</v>
      </c>
      <c r="C141">
        <v>13</v>
      </c>
      <c r="D141" t="s">
        <v>111</v>
      </c>
      <c r="E141" t="s">
        <v>112</v>
      </c>
      <c r="F141" t="s">
        <v>95</v>
      </c>
      <c r="G141">
        <v>2</v>
      </c>
      <c r="H141">
        <v>0</v>
      </c>
      <c r="I141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27</v>
      </c>
      <c r="K141" s="5" cm="1">
        <f t="array" ref="K141">IFERROR(AVERAGE(IF((OutputTable[GroupByKey]=OutputTable[[#This Row],[GroupByKey]]),(OutputTable[GroupByKey]=OutputTable[[#This Row],[GroupByKey]])*OutputTable[RecordedValue])),0)</f>
        <v>1.2962962962962963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1.1706281947614154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141" s="5" cm="1">
        <f t="array" ref="O141">MIN(IF((OutputTable[GroupByKey]=OutputTable[[#This Row],[GroupByKey]]),(OutputTable[GroupByKey]=OutputTable[[#This Row],[GroupByKey]])*OutputTable[RecordedValue]))</f>
        <v>0</v>
      </c>
      <c r="P141" s="5" cm="1">
        <f t="array" ref="P141">MAX(IF((OutputTable[GroupByKey]=OutputTable[[#This Row],[GroupByKey]]),(OutputTable[GroupByKey]=OutputTable[[#This Row],[GroupByKey]])*OutputTable[RecordedValue]))</f>
        <v>5</v>
      </c>
    </row>
    <row r="142" spans="1:16" x14ac:dyDescent="0.25">
      <c r="A142" t="s">
        <v>68</v>
      </c>
      <c r="B142" t="s">
        <v>70</v>
      </c>
      <c r="C142">
        <v>13</v>
      </c>
      <c r="D142" t="s">
        <v>113</v>
      </c>
      <c r="E142" t="s">
        <v>114</v>
      </c>
      <c r="F142" t="s">
        <v>95</v>
      </c>
      <c r="G142">
        <v>2.0734926070062401E-2</v>
      </c>
      <c r="H142">
        <v>0</v>
      </c>
      <c r="I142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27</v>
      </c>
      <c r="K142" s="5" cm="1">
        <f t="array" ref="K142">IFERROR(AVERAGE(IF((OutputTable[GroupByKey]=OutputTable[[#This Row],[GroupByKey]]),(OutputTable[GroupByKey]=OutputTable[[#This Row],[GroupByKey]])*OutputTable[RecordedValue])),0)</f>
        <v>1.2223949425906553E-2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1.112543407769513E-2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142" s="5" cm="1">
        <f t="array" ref="O142">MIN(IF((OutputTable[GroupByKey]=OutputTable[[#This Row],[GroupByKey]]),(OutputTable[GroupByKey]=OutputTable[[#This Row],[GroupByKey]])*OutputTable[RecordedValue]))</f>
        <v>0</v>
      </c>
      <c r="P142" s="5" cm="1">
        <f t="array" ref="P142">MAX(IF((OutputTable[GroupByKey]=OutputTable[[#This Row],[GroupByKey]]),(OutputTable[GroupByKey]=OutputTable[[#This Row],[GroupByKey]])*OutputTable[RecordedValue]))</f>
        <v>4.2906548761083699E-2</v>
      </c>
    </row>
    <row r="143" spans="1:16" x14ac:dyDescent="0.25">
      <c r="A143" t="s">
        <v>68</v>
      </c>
      <c r="B143" t="s">
        <v>70</v>
      </c>
      <c r="C143">
        <v>13</v>
      </c>
      <c r="D143" t="s">
        <v>115</v>
      </c>
      <c r="E143" t="s">
        <v>112</v>
      </c>
      <c r="F143" t="s">
        <v>95</v>
      </c>
      <c r="G143">
        <v>0</v>
      </c>
      <c r="H143">
        <v>0</v>
      </c>
      <c r="I143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27</v>
      </c>
      <c r="K143" s="5" cm="1">
        <f t="array" ref="K143">IFERROR(AVERAGE(IF((OutputTable[GroupByKey]=OutputTable[[#This Row],[GroupByKey]]),(OutputTable[GroupByKey]=OutputTable[[#This Row],[GroupByKey]])*OutputTable[RecordedValue])),0)</f>
        <v>3.7037037037037035E-2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0.19245008972987526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43" s="5" cm="1">
        <f t="array" ref="O143">MIN(IF((OutputTable[GroupByKey]=OutputTable[[#This Row],[GroupByKey]]),(OutputTable[GroupByKey]=OutputTable[[#This Row],[GroupByKey]])*OutputTable[RecordedValue]))</f>
        <v>0</v>
      </c>
      <c r="P143" s="5" cm="1">
        <f t="array" ref="P143">MAX(IF((OutputTable[GroupByKey]=OutputTable[[#This Row],[GroupByKey]]),(OutputTable[GroupByKey]=OutputTable[[#This Row],[GroupByKey]])*OutputTable[RecordedValue]))</f>
        <v>1</v>
      </c>
    </row>
    <row r="144" spans="1:16" x14ac:dyDescent="0.25">
      <c r="A144" t="s">
        <v>68</v>
      </c>
      <c r="B144" t="s">
        <v>70</v>
      </c>
      <c r="C144">
        <v>13</v>
      </c>
      <c r="D144" t="s">
        <v>116</v>
      </c>
      <c r="E144" t="s">
        <v>114</v>
      </c>
      <c r="F144" t="s">
        <v>95</v>
      </c>
      <c r="G144">
        <v>0</v>
      </c>
      <c r="H144">
        <v>0</v>
      </c>
      <c r="I144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27</v>
      </c>
      <c r="K144" s="5" cm="1">
        <f t="array" ref="K144">IFERROR(AVERAGE(IF((OutputTable[GroupByKey]=OutputTable[[#This Row],[GroupByKey]]),(OutputTable[GroupByKey]=OutputTable[[#This Row],[GroupByKey]])*OutputTable[RecordedValue])),0)</f>
        <v>1.5859588837911111E-4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8.2408840963242873E-4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144" s="5" cm="1">
        <f t="array" ref="O144">MIN(IF((OutputTable[GroupByKey]=OutputTable[[#This Row],[GroupByKey]]),(OutputTable[GroupByKey]=OutputTable[[#This Row],[GroupByKey]])*OutputTable[RecordedValue]))</f>
        <v>0</v>
      </c>
      <c r="P144" s="5" cm="1">
        <f t="array" ref="P144">MAX(IF((OutputTable[GroupByKey]=OutputTable[[#This Row],[GroupByKey]]),(OutputTable[GroupByKey]=OutputTable[[#This Row],[GroupByKey]])*OutputTable[RecordedValue]))</f>
        <v>4.2820889862359999E-3</v>
      </c>
    </row>
    <row r="145" spans="1:16" x14ac:dyDescent="0.25">
      <c r="A145" t="s">
        <v>68</v>
      </c>
      <c r="B145" t="s">
        <v>70</v>
      </c>
      <c r="C145">
        <v>14</v>
      </c>
      <c r="D145" t="s">
        <v>99</v>
      </c>
      <c r="E145" t="s">
        <v>100</v>
      </c>
      <c r="F145" t="s">
        <v>73</v>
      </c>
      <c r="G145">
        <v>1</v>
      </c>
      <c r="H145">
        <v>0</v>
      </c>
      <c r="I145" s="5" t="str">
        <f>OutputTable[[#This Row],[ProjectName]]&amp;OutputTable[[#This Row],[Name]]&amp;OutputTable[[#This Row],[Type]]&amp;OutputTable[[#This Row],[Source]]</f>
        <v>Escenario AEntity 1.NumberInNumber InEntity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27</v>
      </c>
      <c r="K145" s="5" cm="1">
        <f t="array" ref="K145">IFERROR(AVERAGE(IF((OutputTable[GroupByKey]=OutputTable[[#This Row],[GroupByKey]]),(OutputTable[GroupByKey]=OutputTable[[#This Row],[GroupByKey]])*OutputTable[RecordedValue])),0)</f>
        <v>1.2962962962962963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1.1706281947614154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145" s="5" cm="1">
        <f t="array" ref="O145">MIN(IF((OutputTable[GroupByKey]=OutputTable[[#This Row],[GroupByKey]]),(OutputTable[GroupByKey]=OutputTable[[#This Row],[GroupByKey]])*OutputTable[RecordedValue]))</f>
        <v>0</v>
      </c>
      <c r="P145" s="5" cm="1">
        <f t="array" ref="P145">MAX(IF((OutputTable[GroupByKey]=OutputTable[[#This Row],[GroupByKey]]),(OutputTable[GroupByKey]=OutputTable[[#This Row],[GroupByKey]])*OutputTable[RecordedValue]))</f>
        <v>5</v>
      </c>
    </row>
    <row r="146" spans="1:16" x14ac:dyDescent="0.25">
      <c r="A146" t="s">
        <v>68</v>
      </c>
      <c r="B146" t="s">
        <v>70</v>
      </c>
      <c r="C146">
        <v>14</v>
      </c>
      <c r="D146" t="s">
        <v>101</v>
      </c>
      <c r="E146" t="s">
        <v>102</v>
      </c>
      <c r="F146" t="s">
        <v>73</v>
      </c>
      <c r="G146">
        <v>1</v>
      </c>
      <c r="H146">
        <v>0</v>
      </c>
      <c r="I146" s="5" t="str">
        <f>OutputTable[[#This Row],[ProjectName]]&amp;OutputTable[[#This Row],[Name]]&amp;OutputTable[[#This Row],[Type]]&amp;OutputTable[[#This Row],[Source]]</f>
        <v>Escenario AEntity 1.NumberOutNumber OutEntity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27</v>
      </c>
      <c r="K146" s="5" cm="1">
        <f t="array" ref="K146">IFERROR(AVERAGE(IF((OutputTable[GroupByKey]=OutputTable[[#This Row],[GroupByKey]]),(OutputTable[GroupByKey]=OutputTable[[#This Row],[GroupByKey]])*OutputTable[RecordedValue])),0)</f>
        <v>1.1851851851851851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1.0754976321197349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146" s="5" cm="1">
        <f t="array" ref="O146">MIN(IF((OutputTable[GroupByKey]=OutputTable[[#This Row],[GroupByKey]]),(OutputTable[GroupByKey]=OutputTable[[#This Row],[GroupByKey]])*OutputTable[RecordedValue]))</f>
        <v>0</v>
      </c>
      <c r="P146" s="5" cm="1">
        <f t="array" ref="P146">MAX(IF((OutputTable[GroupByKey]=OutputTable[[#This Row],[GroupByKey]]),(OutputTable[GroupByKey]=OutputTable[[#This Row],[GroupByKey]])*OutputTable[RecordedValue]))</f>
        <v>4</v>
      </c>
    </row>
    <row r="147" spans="1:16" x14ac:dyDescent="0.25">
      <c r="A147" t="s">
        <v>68</v>
      </c>
      <c r="B147" t="s">
        <v>70</v>
      </c>
      <c r="C147">
        <v>14</v>
      </c>
      <c r="D147" t="s">
        <v>103</v>
      </c>
      <c r="E147" t="s">
        <v>104</v>
      </c>
      <c r="F147" t="s">
        <v>87</v>
      </c>
      <c r="G147">
        <v>0</v>
      </c>
      <c r="H147">
        <v>0</v>
      </c>
      <c r="I147" s="5" t="str">
        <f>OutputTable[[#This Row],[ProjectName]]&amp;OutputTable[[#This Row],[Name]]&amp;OutputTable[[#This Row],[Type]]&amp;OutputTable[[#This Row],[Source]]</f>
        <v>Escenario ASeguimiemto Accum VA TimeAccum VA TimeProcess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27</v>
      </c>
      <c r="K147" s="5" cm="1">
        <f t="array" ref="K147">IFERROR(AVERAGE(IF((OutputTable[GroupByKey]=OutputTable[[#This Row],[GroupByKey]]),(OutputTable[GroupByKey]=OutputTable[[#This Row],[GroupByKey]])*OutputTable[RecordedValue])),0)</f>
        <v>9.5157533027466656E-2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0.4944530457794572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147" s="5" cm="1">
        <f t="array" ref="O147">MIN(IF((OutputTable[GroupByKey]=OutputTable[[#This Row],[GroupByKey]]),(OutputTable[GroupByKey]=OutputTable[[#This Row],[GroupByKey]])*OutputTable[RecordedValue]))</f>
        <v>0</v>
      </c>
      <c r="P147" s="5" cm="1">
        <f t="array" ref="P147">MAX(IF((OutputTable[GroupByKey]=OutputTable[[#This Row],[GroupByKey]]),(OutputTable[GroupByKey]=OutputTable[[#This Row],[GroupByKey]])*OutputTable[RecordedValue]))</f>
        <v>2.5692533917415998</v>
      </c>
    </row>
    <row r="148" spans="1:16" x14ac:dyDescent="0.25">
      <c r="A148" t="s">
        <v>68</v>
      </c>
      <c r="B148" t="s">
        <v>70</v>
      </c>
      <c r="C148">
        <v>14</v>
      </c>
      <c r="D148" t="s">
        <v>105</v>
      </c>
      <c r="E148" t="s">
        <v>106</v>
      </c>
      <c r="F148" t="s">
        <v>87</v>
      </c>
      <c r="G148">
        <v>0</v>
      </c>
      <c r="H148">
        <v>0</v>
      </c>
      <c r="I148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27</v>
      </c>
      <c r="K148" s="5" cm="1">
        <f t="array" ref="K148">IFERROR(AVERAGE(IF((OutputTable[GroupByKey]=OutputTable[[#This Row],[GroupByKey]]),(OutputTable[GroupByKey]=OutputTable[[#This Row],[GroupByKey]])*OutputTable[RecordedValue])),0)</f>
        <v>0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0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" s="5" cm="1">
        <f t="array" ref="O148">MIN(IF((OutputTable[GroupByKey]=OutputTable[[#This Row],[GroupByKey]]),(OutputTable[GroupByKey]=OutputTable[[#This Row],[GroupByKey]])*OutputTable[RecordedValue]))</f>
        <v>0</v>
      </c>
      <c r="P148" s="5" cm="1">
        <f t="array" ref="P148">MAX(IF((OutputTable[GroupByKey]=OutputTable[[#This Row],[GroupByKey]]),(OutputTable[GroupByKey]=OutputTable[[#This Row],[GroupByKey]])*OutputTable[RecordedValue]))</f>
        <v>0</v>
      </c>
    </row>
    <row r="149" spans="1:16" x14ac:dyDescent="0.25">
      <c r="A149" t="s">
        <v>68</v>
      </c>
      <c r="B149" t="s">
        <v>70</v>
      </c>
      <c r="C149">
        <v>14</v>
      </c>
      <c r="D149" t="s">
        <v>107</v>
      </c>
      <c r="E149" t="s">
        <v>100</v>
      </c>
      <c r="F149" t="s">
        <v>87</v>
      </c>
      <c r="G149">
        <v>0</v>
      </c>
      <c r="H149">
        <v>0</v>
      </c>
      <c r="I149" s="5" t="str">
        <f>OutputTable[[#This Row],[ProjectName]]&amp;OutputTable[[#This Row],[Name]]&amp;OutputTable[[#This Row],[Type]]&amp;OutputTable[[#This Row],[Source]]</f>
        <v>Escenario ASeguimiemto Number InNumber InProcess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27</v>
      </c>
      <c r="K149" s="5" cm="1">
        <f t="array" ref="K149">IFERROR(AVERAGE(IF((OutputTable[GroupByKey]=OutputTable[[#This Row],[GroupByKey]]),(OutputTable[GroupByKey]=OutputTable[[#This Row],[GroupByKey]])*OutputTable[RecordedValue])),0)</f>
        <v>3.7037037037037035E-2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0.19245008972987526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49" s="5" cm="1">
        <f t="array" ref="O149">MIN(IF((OutputTable[GroupByKey]=OutputTable[[#This Row],[GroupByKey]]),(OutputTable[GroupByKey]=OutputTable[[#This Row],[GroupByKey]])*OutputTable[RecordedValue]))</f>
        <v>0</v>
      </c>
      <c r="P149" s="5" cm="1">
        <f t="array" ref="P149">MAX(IF((OutputTable[GroupByKey]=OutputTable[[#This Row],[GroupByKey]]),(OutputTable[GroupByKey]=OutputTable[[#This Row],[GroupByKey]])*OutputTable[RecordedValue]))</f>
        <v>1</v>
      </c>
    </row>
    <row r="150" spans="1:16" x14ac:dyDescent="0.25">
      <c r="A150" t="s">
        <v>68</v>
      </c>
      <c r="B150" t="s">
        <v>70</v>
      </c>
      <c r="C150">
        <v>14</v>
      </c>
      <c r="D150" t="s">
        <v>108</v>
      </c>
      <c r="E150" t="s">
        <v>102</v>
      </c>
      <c r="F150" t="s">
        <v>87</v>
      </c>
      <c r="G150">
        <v>0</v>
      </c>
      <c r="H150">
        <v>0</v>
      </c>
      <c r="I150" s="5" t="str">
        <f>OutputTable[[#This Row],[ProjectName]]&amp;OutputTable[[#This Row],[Name]]&amp;OutputTable[[#This Row],[Type]]&amp;OutputTable[[#This Row],[Source]]</f>
        <v>Escenario ASeguimiemto Number OutNumber OutProcess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27</v>
      </c>
      <c r="K150" s="5" cm="1">
        <f t="array" ref="K150">IFERROR(AVERAGE(IF((OutputTable[GroupByKey]=OutputTable[[#This Row],[GroupByKey]]),(OutputTable[GroupByKey]=OutputTable[[#This Row],[GroupByKey]])*OutputTable[RecordedValue])),0)</f>
        <v>3.7037037037037035E-2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0.19245008972987526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50" s="5" cm="1">
        <f t="array" ref="O150">MIN(IF((OutputTable[GroupByKey]=OutputTable[[#This Row],[GroupByKey]]),(OutputTable[GroupByKey]=OutputTable[[#This Row],[GroupByKey]])*OutputTable[RecordedValue]))</f>
        <v>0</v>
      </c>
      <c r="P150" s="5" cm="1">
        <f t="array" ref="P150">MAX(IF((OutputTable[GroupByKey]=OutputTable[[#This Row],[GroupByKey]]),(OutputTable[GroupByKey]=OutputTable[[#This Row],[GroupByKey]])*OutputTable[RecordedValue]))</f>
        <v>1</v>
      </c>
    </row>
    <row r="151" spans="1:16" x14ac:dyDescent="0.25">
      <c r="A151" t="s">
        <v>68</v>
      </c>
      <c r="B151" t="s">
        <v>70</v>
      </c>
      <c r="C151">
        <v>14</v>
      </c>
      <c r="D151" t="s">
        <v>109</v>
      </c>
      <c r="E151" t="s">
        <v>102</v>
      </c>
      <c r="F151" t="s">
        <v>110</v>
      </c>
      <c r="G151">
        <v>1</v>
      </c>
      <c r="H151">
        <v>0</v>
      </c>
      <c r="I151" s="5" t="str">
        <f>OutputTable[[#This Row],[ProjectName]]&amp;OutputTable[[#This Row],[Name]]&amp;OutputTable[[#This Row],[Type]]&amp;OutputTable[[#This Row],[Source]]</f>
        <v>Escenario ASystem.NumberOutNumber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27</v>
      </c>
      <c r="K151" s="5" cm="1">
        <f t="array" ref="K151">IFERROR(AVERAGE(IF((OutputTable[GroupByKey]=OutputTable[[#This Row],[GroupByKey]]),(OutputTable[GroupByKey]=OutputTable[[#This Row],[GroupByKey]])*OutputTable[RecordedValue])),0)</f>
        <v>1.1851851851851851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1.0754976321197349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151" s="5" cm="1">
        <f t="array" ref="O151">MIN(IF((OutputTable[GroupByKey]=OutputTable[[#This Row],[GroupByKey]]),(OutputTable[GroupByKey]=OutputTable[[#This Row],[GroupByKey]])*OutputTable[RecordedValue]))</f>
        <v>0</v>
      </c>
      <c r="P151" s="5" cm="1">
        <f t="array" ref="P151">MAX(IF((OutputTable[GroupByKey]=OutputTable[[#This Row],[GroupByKey]]),(OutputTable[GroupByKey]=OutputTable[[#This Row],[GroupByKey]])*OutputTable[RecordedValue]))</f>
        <v>4</v>
      </c>
    </row>
    <row r="152" spans="1:16" x14ac:dyDescent="0.25">
      <c r="A152" t="s">
        <v>68</v>
      </c>
      <c r="B152" t="s">
        <v>70</v>
      </c>
      <c r="C152">
        <v>14</v>
      </c>
      <c r="D152" t="s">
        <v>111</v>
      </c>
      <c r="E152" t="s">
        <v>112</v>
      </c>
      <c r="F152" t="s">
        <v>95</v>
      </c>
      <c r="G152">
        <v>1</v>
      </c>
      <c r="H152">
        <v>0</v>
      </c>
      <c r="I152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27</v>
      </c>
      <c r="K152" s="5" cm="1">
        <f t="array" ref="K152">IFERROR(AVERAGE(IF((OutputTable[GroupByKey]=OutputTable[[#This Row],[GroupByKey]]),(OutputTable[GroupByKey]=OutputTable[[#This Row],[GroupByKey]])*OutputTable[RecordedValue])),0)</f>
        <v>1.2962962962962963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1.1706281947614154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152" s="5" cm="1">
        <f t="array" ref="O152">MIN(IF((OutputTable[GroupByKey]=OutputTable[[#This Row],[GroupByKey]]),(OutputTable[GroupByKey]=OutputTable[[#This Row],[GroupByKey]])*OutputTable[RecordedValue]))</f>
        <v>0</v>
      </c>
      <c r="P152" s="5" cm="1">
        <f t="array" ref="P152">MAX(IF((OutputTable[GroupByKey]=OutputTable[[#This Row],[GroupByKey]]),(OutputTable[GroupByKey]=OutputTable[[#This Row],[GroupByKey]])*OutputTable[RecordedValue]))</f>
        <v>5</v>
      </c>
    </row>
    <row r="153" spans="1:16" x14ac:dyDescent="0.25">
      <c r="A153" t="s">
        <v>68</v>
      </c>
      <c r="B153" t="s">
        <v>70</v>
      </c>
      <c r="C153">
        <v>14</v>
      </c>
      <c r="D153" t="s">
        <v>113</v>
      </c>
      <c r="E153" t="s">
        <v>114</v>
      </c>
      <c r="F153" t="s">
        <v>95</v>
      </c>
      <c r="G153">
        <v>9.48221319322398E-3</v>
      </c>
      <c r="H153">
        <v>0</v>
      </c>
      <c r="I153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27</v>
      </c>
      <c r="K153" s="5" cm="1">
        <f t="array" ref="K153">IFERROR(AVERAGE(IF((OutputTable[GroupByKey]=OutputTable[[#This Row],[GroupByKey]]),(OutputTable[GroupByKey]=OutputTable[[#This Row],[GroupByKey]])*OutputTable[RecordedValue])),0)</f>
        <v>1.2223949425906553E-2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1.112543407769513E-2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153" s="5" cm="1">
        <f t="array" ref="O153">MIN(IF((OutputTable[GroupByKey]=OutputTable[[#This Row],[GroupByKey]]),(OutputTable[GroupByKey]=OutputTable[[#This Row],[GroupByKey]])*OutputTable[RecordedValue]))</f>
        <v>0</v>
      </c>
      <c r="P153" s="5" cm="1">
        <f t="array" ref="P153">MAX(IF((OutputTable[GroupByKey]=OutputTable[[#This Row],[GroupByKey]]),(OutputTable[GroupByKey]=OutputTable[[#This Row],[GroupByKey]])*OutputTable[RecordedValue]))</f>
        <v>4.2906548761083699E-2</v>
      </c>
    </row>
    <row r="154" spans="1:16" x14ac:dyDescent="0.25">
      <c r="A154" t="s">
        <v>68</v>
      </c>
      <c r="B154" t="s">
        <v>70</v>
      </c>
      <c r="C154">
        <v>14</v>
      </c>
      <c r="D154" t="s">
        <v>115</v>
      </c>
      <c r="E154" t="s">
        <v>112</v>
      </c>
      <c r="F154" t="s">
        <v>95</v>
      </c>
      <c r="G154">
        <v>0</v>
      </c>
      <c r="H154">
        <v>0</v>
      </c>
      <c r="I154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27</v>
      </c>
      <c r="K154" s="5" cm="1">
        <f t="array" ref="K154">IFERROR(AVERAGE(IF((OutputTable[GroupByKey]=OutputTable[[#This Row],[GroupByKey]]),(OutputTable[GroupByKey]=OutputTable[[#This Row],[GroupByKey]])*OutputTable[RecordedValue])),0)</f>
        <v>3.7037037037037035E-2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0.19245008972987526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54" s="5" cm="1">
        <f t="array" ref="O154">MIN(IF((OutputTable[GroupByKey]=OutputTable[[#This Row],[GroupByKey]]),(OutputTable[GroupByKey]=OutputTable[[#This Row],[GroupByKey]])*OutputTable[RecordedValue]))</f>
        <v>0</v>
      </c>
      <c r="P154" s="5" cm="1">
        <f t="array" ref="P154">MAX(IF((OutputTable[GroupByKey]=OutputTable[[#This Row],[GroupByKey]]),(OutputTable[GroupByKey]=OutputTable[[#This Row],[GroupByKey]])*OutputTable[RecordedValue]))</f>
        <v>1</v>
      </c>
    </row>
    <row r="155" spans="1:16" x14ac:dyDescent="0.25">
      <c r="A155" t="s">
        <v>68</v>
      </c>
      <c r="B155" t="s">
        <v>70</v>
      </c>
      <c r="C155">
        <v>14</v>
      </c>
      <c r="D155" t="s">
        <v>116</v>
      </c>
      <c r="E155" t="s">
        <v>114</v>
      </c>
      <c r="F155" t="s">
        <v>95</v>
      </c>
      <c r="G155">
        <v>0</v>
      </c>
      <c r="H155">
        <v>0</v>
      </c>
      <c r="I155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27</v>
      </c>
      <c r="K155" s="5" cm="1">
        <f t="array" ref="K155">IFERROR(AVERAGE(IF((OutputTable[GroupByKey]=OutputTable[[#This Row],[GroupByKey]]),(OutputTable[GroupByKey]=OutputTable[[#This Row],[GroupByKey]])*OutputTable[RecordedValue])),0)</f>
        <v>1.5859588837911111E-4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8.2408840963242873E-4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155" s="5" cm="1">
        <f t="array" ref="O155">MIN(IF((OutputTable[GroupByKey]=OutputTable[[#This Row],[GroupByKey]]),(OutputTable[GroupByKey]=OutputTable[[#This Row],[GroupByKey]])*OutputTable[RecordedValue]))</f>
        <v>0</v>
      </c>
      <c r="P155" s="5" cm="1">
        <f t="array" ref="P155">MAX(IF((OutputTable[GroupByKey]=OutputTable[[#This Row],[GroupByKey]]),(OutputTable[GroupByKey]=OutputTable[[#This Row],[GroupByKey]])*OutputTable[RecordedValue]))</f>
        <v>4.2820889862359999E-3</v>
      </c>
    </row>
    <row r="156" spans="1:16" x14ac:dyDescent="0.25">
      <c r="A156" t="s">
        <v>68</v>
      </c>
      <c r="B156" t="s">
        <v>70</v>
      </c>
      <c r="C156">
        <v>15</v>
      </c>
      <c r="D156" t="s">
        <v>99</v>
      </c>
      <c r="E156" t="s">
        <v>100</v>
      </c>
      <c r="F156" t="s">
        <v>73</v>
      </c>
      <c r="G156">
        <v>1</v>
      </c>
      <c r="H156">
        <v>0</v>
      </c>
      <c r="I156" s="5" t="str">
        <f>OutputTable[[#This Row],[ProjectName]]&amp;OutputTable[[#This Row],[Name]]&amp;OutputTable[[#This Row],[Type]]&amp;OutputTable[[#This Row],[Source]]</f>
        <v>Escenario AEntity 1.NumberInNumber InEntity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27</v>
      </c>
      <c r="K156" s="5" cm="1">
        <f t="array" ref="K156">IFERROR(AVERAGE(IF((OutputTable[GroupByKey]=OutputTable[[#This Row],[GroupByKey]]),(OutputTable[GroupByKey]=OutputTable[[#This Row],[GroupByKey]])*OutputTable[RecordedValue])),0)</f>
        <v>1.2962962962962963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1.1706281947614154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156" s="5" cm="1">
        <f t="array" ref="O156">MIN(IF((OutputTable[GroupByKey]=OutputTable[[#This Row],[GroupByKey]]),(OutputTable[GroupByKey]=OutputTable[[#This Row],[GroupByKey]])*OutputTable[RecordedValue]))</f>
        <v>0</v>
      </c>
      <c r="P156" s="5" cm="1">
        <f t="array" ref="P156">MAX(IF((OutputTable[GroupByKey]=OutputTable[[#This Row],[GroupByKey]]),(OutputTable[GroupByKey]=OutputTable[[#This Row],[GroupByKey]])*OutputTable[RecordedValue]))</f>
        <v>5</v>
      </c>
    </row>
    <row r="157" spans="1:16" x14ac:dyDescent="0.25">
      <c r="A157" t="s">
        <v>68</v>
      </c>
      <c r="B157" t="s">
        <v>70</v>
      </c>
      <c r="C157">
        <v>15</v>
      </c>
      <c r="D157" t="s">
        <v>101</v>
      </c>
      <c r="E157" t="s">
        <v>102</v>
      </c>
      <c r="F157" t="s">
        <v>73</v>
      </c>
      <c r="G157">
        <v>1</v>
      </c>
      <c r="H157">
        <v>0</v>
      </c>
      <c r="I157" s="5" t="str">
        <f>OutputTable[[#This Row],[ProjectName]]&amp;OutputTable[[#This Row],[Name]]&amp;OutputTable[[#This Row],[Type]]&amp;OutputTable[[#This Row],[Source]]</f>
        <v>Escenario AEntity 1.NumberOutNumber OutEntity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27</v>
      </c>
      <c r="K157" s="5" cm="1">
        <f t="array" ref="K157">IFERROR(AVERAGE(IF((OutputTable[GroupByKey]=OutputTable[[#This Row],[GroupByKey]]),(OutputTable[GroupByKey]=OutputTable[[#This Row],[GroupByKey]])*OutputTable[RecordedValue])),0)</f>
        <v>1.1851851851851851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1.0754976321197349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157" s="5" cm="1">
        <f t="array" ref="O157">MIN(IF((OutputTable[GroupByKey]=OutputTable[[#This Row],[GroupByKey]]),(OutputTable[GroupByKey]=OutputTable[[#This Row],[GroupByKey]])*OutputTable[RecordedValue]))</f>
        <v>0</v>
      </c>
      <c r="P157" s="5" cm="1">
        <f t="array" ref="P157">MAX(IF((OutputTable[GroupByKey]=OutputTable[[#This Row],[GroupByKey]]),(OutputTable[GroupByKey]=OutputTable[[#This Row],[GroupByKey]])*OutputTable[RecordedValue]))</f>
        <v>4</v>
      </c>
    </row>
    <row r="158" spans="1:16" x14ac:dyDescent="0.25">
      <c r="A158" t="s">
        <v>68</v>
      </c>
      <c r="B158" t="s">
        <v>70</v>
      </c>
      <c r="C158">
        <v>15</v>
      </c>
      <c r="D158" t="s">
        <v>103</v>
      </c>
      <c r="E158" t="s">
        <v>104</v>
      </c>
      <c r="F158" t="s">
        <v>87</v>
      </c>
      <c r="G158">
        <v>0</v>
      </c>
      <c r="H158">
        <v>0</v>
      </c>
      <c r="I158" s="5" t="str">
        <f>OutputTable[[#This Row],[ProjectName]]&amp;OutputTable[[#This Row],[Name]]&amp;OutputTable[[#This Row],[Type]]&amp;OutputTable[[#This Row],[Source]]</f>
        <v>Escenario ASeguimiemto Accum VA TimeAccum VA TimeProcess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27</v>
      </c>
      <c r="K158" s="5" cm="1">
        <f t="array" ref="K158">IFERROR(AVERAGE(IF((OutputTable[GroupByKey]=OutputTable[[#This Row],[GroupByKey]]),(OutputTable[GroupByKey]=OutputTable[[#This Row],[GroupByKey]])*OutputTable[RecordedValue])),0)</f>
        <v>9.5157533027466656E-2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0.4944530457794572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158" s="5" cm="1">
        <f t="array" ref="O158">MIN(IF((OutputTable[GroupByKey]=OutputTable[[#This Row],[GroupByKey]]),(OutputTable[GroupByKey]=OutputTable[[#This Row],[GroupByKey]])*OutputTable[RecordedValue]))</f>
        <v>0</v>
      </c>
      <c r="P158" s="5" cm="1">
        <f t="array" ref="P158">MAX(IF((OutputTable[GroupByKey]=OutputTable[[#This Row],[GroupByKey]]),(OutputTable[GroupByKey]=OutputTable[[#This Row],[GroupByKey]])*OutputTable[RecordedValue]))</f>
        <v>2.5692533917415998</v>
      </c>
    </row>
    <row r="159" spans="1:16" x14ac:dyDescent="0.25">
      <c r="A159" t="s">
        <v>68</v>
      </c>
      <c r="B159" t="s">
        <v>70</v>
      </c>
      <c r="C159">
        <v>15</v>
      </c>
      <c r="D159" t="s">
        <v>105</v>
      </c>
      <c r="E159" t="s">
        <v>106</v>
      </c>
      <c r="F159" t="s">
        <v>87</v>
      </c>
      <c r="G159">
        <v>0</v>
      </c>
      <c r="H159">
        <v>0</v>
      </c>
      <c r="I159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27</v>
      </c>
      <c r="K159" s="5" cm="1">
        <f t="array" ref="K159">IFERROR(AVERAGE(IF((OutputTable[GroupByKey]=OutputTable[[#This Row],[GroupByKey]]),(OutputTable[GroupByKey]=OutputTable[[#This Row],[GroupByKey]])*OutputTable[RecordedValue])),0)</f>
        <v>0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0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9" s="5" cm="1">
        <f t="array" ref="O159">MIN(IF((OutputTable[GroupByKey]=OutputTable[[#This Row],[GroupByKey]]),(OutputTable[GroupByKey]=OutputTable[[#This Row],[GroupByKey]])*OutputTable[RecordedValue]))</f>
        <v>0</v>
      </c>
      <c r="P159" s="5" cm="1">
        <f t="array" ref="P159">MAX(IF((OutputTable[GroupByKey]=OutputTable[[#This Row],[GroupByKey]]),(OutputTable[GroupByKey]=OutputTable[[#This Row],[GroupByKey]])*OutputTable[RecordedValue]))</f>
        <v>0</v>
      </c>
    </row>
    <row r="160" spans="1:16" x14ac:dyDescent="0.25">
      <c r="A160" t="s">
        <v>68</v>
      </c>
      <c r="B160" t="s">
        <v>70</v>
      </c>
      <c r="C160">
        <v>15</v>
      </c>
      <c r="D160" t="s">
        <v>107</v>
      </c>
      <c r="E160" t="s">
        <v>100</v>
      </c>
      <c r="F160" t="s">
        <v>87</v>
      </c>
      <c r="G160">
        <v>0</v>
      </c>
      <c r="H160">
        <v>0</v>
      </c>
      <c r="I160" s="5" t="str">
        <f>OutputTable[[#This Row],[ProjectName]]&amp;OutputTable[[#This Row],[Name]]&amp;OutputTable[[#This Row],[Type]]&amp;OutputTable[[#This Row],[Source]]</f>
        <v>Escenario ASeguimiemto Number InNumber InProcess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27</v>
      </c>
      <c r="K160" s="5" cm="1">
        <f t="array" ref="K160">IFERROR(AVERAGE(IF((OutputTable[GroupByKey]=OutputTable[[#This Row],[GroupByKey]]),(OutputTable[GroupByKey]=OutputTable[[#This Row],[GroupByKey]])*OutputTable[RecordedValue])),0)</f>
        <v>3.7037037037037035E-2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0.19245008972987526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60" s="5" cm="1">
        <f t="array" ref="O160">MIN(IF((OutputTable[GroupByKey]=OutputTable[[#This Row],[GroupByKey]]),(OutputTable[GroupByKey]=OutputTable[[#This Row],[GroupByKey]])*OutputTable[RecordedValue]))</f>
        <v>0</v>
      </c>
      <c r="P160" s="5" cm="1">
        <f t="array" ref="P160">MAX(IF((OutputTable[GroupByKey]=OutputTable[[#This Row],[GroupByKey]]),(OutputTable[GroupByKey]=OutputTable[[#This Row],[GroupByKey]])*OutputTable[RecordedValue]))</f>
        <v>1</v>
      </c>
    </row>
    <row r="161" spans="1:16" x14ac:dyDescent="0.25">
      <c r="A161" t="s">
        <v>68</v>
      </c>
      <c r="B161" t="s">
        <v>70</v>
      </c>
      <c r="C161">
        <v>15</v>
      </c>
      <c r="D161" t="s">
        <v>108</v>
      </c>
      <c r="E161" t="s">
        <v>102</v>
      </c>
      <c r="F161" t="s">
        <v>87</v>
      </c>
      <c r="G161">
        <v>0</v>
      </c>
      <c r="H161">
        <v>0</v>
      </c>
      <c r="I161" s="5" t="str">
        <f>OutputTable[[#This Row],[ProjectName]]&amp;OutputTable[[#This Row],[Name]]&amp;OutputTable[[#This Row],[Type]]&amp;OutputTable[[#This Row],[Source]]</f>
        <v>Escenario ASeguimiemto Number OutNumber OutProcess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27</v>
      </c>
      <c r="K161" s="5" cm="1">
        <f t="array" ref="K161">IFERROR(AVERAGE(IF((OutputTable[GroupByKey]=OutputTable[[#This Row],[GroupByKey]]),(OutputTable[GroupByKey]=OutputTable[[#This Row],[GroupByKey]])*OutputTable[RecordedValue])),0)</f>
        <v>3.7037037037037035E-2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0.19245008972987526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61" s="5" cm="1">
        <f t="array" ref="O161">MIN(IF((OutputTable[GroupByKey]=OutputTable[[#This Row],[GroupByKey]]),(OutputTable[GroupByKey]=OutputTable[[#This Row],[GroupByKey]])*OutputTable[RecordedValue]))</f>
        <v>0</v>
      </c>
      <c r="P161" s="5" cm="1">
        <f t="array" ref="P161">MAX(IF((OutputTable[GroupByKey]=OutputTable[[#This Row],[GroupByKey]]),(OutputTable[GroupByKey]=OutputTable[[#This Row],[GroupByKey]])*OutputTable[RecordedValue]))</f>
        <v>1</v>
      </c>
    </row>
    <row r="162" spans="1:16" x14ac:dyDescent="0.25">
      <c r="A162" t="s">
        <v>68</v>
      </c>
      <c r="B162" t="s">
        <v>70</v>
      </c>
      <c r="C162">
        <v>15</v>
      </c>
      <c r="D162" t="s">
        <v>109</v>
      </c>
      <c r="E162" t="s">
        <v>102</v>
      </c>
      <c r="F162" t="s">
        <v>110</v>
      </c>
      <c r="G162">
        <v>1</v>
      </c>
      <c r="H162">
        <v>0</v>
      </c>
      <c r="I162" s="5" t="str">
        <f>OutputTable[[#This Row],[ProjectName]]&amp;OutputTable[[#This Row],[Name]]&amp;OutputTable[[#This Row],[Type]]&amp;OutputTable[[#This Row],[Source]]</f>
        <v>Escenario ASystem.NumberOutNumber OutSystem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27</v>
      </c>
      <c r="K162" s="5" cm="1">
        <f t="array" ref="K162">IFERROR(AVERAGE(IF((OutputTable[GroupByKey]=OutputTable[[#This Row],[GroupByKey]]),(OutputTable[GroupByKey]=OutputTable[[#This Row],[GroupByKey]])*OutputTable[RecordedValue])),0)</f>
        <v>1.1851851851851851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1.0754976321197349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162" s="5" cm="1">
        <f t="array" ref="O162">MIN(IF((OutputTable[GroupByKey]=OutputTable[[#This Row],[GroupByKey]]),(OutputTable[GroupByKey]=OutputTable[[#This Row],[GroupByKey]])*OutputTable[RecordedValue]))</f>
        <v>0</v>
      </c>
      <c r="P162" s="5" cm="1">
        <f t="array" ref="P162">MAX(IF((OutputTable[GroupByKey]=OutputTable[[#This Row],[GroupByKey]]),(OutputTable[GroupByKey]=OutputTable[[#This Row],[GroupByKey]])*OutputTable[RecordedValue]))</f>
        <v>4</v>
      </c>
    </row>
    <row r="163" spans="1:16" x14ac:dyDescent="0.25">
      <c r="A163" t="s">
        <v>68</v>
      </c>
      <c r="B163" t="s">
        <v>70</v>
      </c>
      <c r="C163">
        <v>15</v>
      </c>
      <c r="D163" t="s">
        <v>111</v>
      </c>
      <c r="E163" t="s">
        <v>112</v>
      </c>
      <c r="F163" t="s">
        <v>95</v>
      </c>
      <c r="G163">
        <v>1</v>
      </c>
      <c r="H163">
        <v>0</v>
      </c>
      <c r="I163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27</v>
      </c>
      <c r="K163" s="5" cm="1">
        <f t="array" ref="K163">IFERROR(AVERAGE(IF((OutputTable[GroupByKey]=OutputTable[[#This Row],[GroupByKey]]),(OutputTable[GroupByKey]=OutputTable[[#This Row],[GroupByKey]])*OutputTable[RecordedValue])),0)</f>
        <v>1.2962962962962963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1.1706281947614154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163" s="5" cm="1">
        <f t="array" ref="O163">MIN(IF((OutputTable[GroupByKey]=OutputTable[[#This Row],[GroupByKey]]),(OutputTable[GroupByKey]=OutputTable[[#This Row],[GroupByKey]])*OutputTable[RecordedValue]))</f>
        <v>0</v>
      </c>
      <c r="P163" s="5" cm="1">
        <f t="array" ref="P163">MAX(IF((OutputTable[GroupByKey]=OutputTable[[#This Row],[GroupByKey]]),(OutputTable[GroupByKey]=OutputTable[[#This Row],[GroupByKey]])*OutputTable[RecordedValue]))</f>
        <v>5</v>
      </c>
    </row>
    <row r="164" spans="1:16" x14ac:dyDescent="0.25">
      <c r="A164" t="s">
        <v>68</v>
      </c>
      <c r="B164" t="s">
        <v>70</v>
      </c>
      <c r="C164">
        <v>15</v>
      </c>
      <c r="D164" t="s">
        <v>113</v>
      </c>
      <c r="E164" t="s">
        <v>114</v>
      </c>
      <c r="F164" t="s">
        <v>95</v>
      </c>
      <c r="G164">
        <v>9.6175437910486009E-3</v>
      </c>
      <c r="H164">
        <v>0</v>
      </c>
      <c r="I164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27</v>
      </c>
      <c r="K164" s="5" cm="1">
        <f t="array" ref="K164">IFERROR(AVERAGE(IF((OutputTable[GroupByKey]=OutputTable[[#This Row],[GroupByKey]]),(OutputTable[GroupByKey]=OutputTable[[#This Row],[GroupByKey]])*OutputTable[RecordedValue])),0)</f>
        <v>1.2223949425906553E-2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1.112543407769513E-2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164" s="5" cm="1">
        <f t="array" ref="O164">MIN(IF((OutputTable[GroupByKey]=OutputTable[[#This Row],[GroupByKey]]),(OutputTable[GroupByKey]=OutputTable[[#This Row],[GroupByKey]])*OutputTable[RecordedValue]))</f>
        <v>0</v>
      </c>
      <c r="P164" s="5" cm="1">
        <f t="array" ref="P164">MAX(IF((OutputTable[GroupByKey]=OutputTable[[#This Row],[GroupByKey]]),(OutputTable[GroupByKey]=OutputTable[[#This Row],[GroupByKey]])*OutputTable[RecordedValue]))</f>
        <v>4.2906548761083699E-2</v>
      </c>
    </row>
    <row r="165" spans="1:16" x14ac:dyDescent="0.25">
      <c r="A165" t="s">
        <v>68</v>
      </c>
      <c r="B165" t="s">
        <v>70</v>
      </c>
      <c r="C165">
        <v>15</v>
      </c>
      <c r="D165" t="s">
        <v>115</v>
      </c>
      <c r="E165" t="s">
        <v>112</v>
      </c>
      <c r="F165" t="s">
        <v>95</v>
      </c>
      <c r="G165">
        <v>0</v>
      </c>
      <c r="H165">
        <v>0</v>
      </c>
      <c r="I165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27</v>
      </c>
      <c r="K165" s="5" cm="1">
        <f t="array" ref="K165">IFERROR(AVERAGE(IF((OutputTable[GroupByKey]=OutputTable[[#This Row],[GroupByKey]]),(OutputTable[GroupByKey]=OutputTable[[#This Row],[GroupByKey]])*OutputTable[RecordedValue])),0)</f>
        <v>3.7037037037037035E-2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0.19245008972987526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65" s="5" cm="1">
        <f t="array" ref="O165">MIN(IF((OutputTable[GroupByKey]=OutputTable[[#This Row],[GroupByKey]]),(OutputTable[GroupByKey]=OutputTable[[#This Row],[GroupByKey]])*OutputTable[RecordedValue]))</f>
        <v>0</v>
      </c>
      <c r="P165" s="5" cm="1">
        <f t="array" ref="P165">MAX(IF((OutputTable[GroupByKey]=OutputTable[[#This Row],[GroupByKey]]),(OutputTable[GroupByKey]=OutputTable[[#This Row],[GroupByKey]])*OutputTable[RecordedValue]))</f>
        <v>1</v>
      </c>
    </row>
    <row r="166" spans="1:16" x14ac:dyDescent="0.25">
      <c r="A166" t="s">
        <v>68</v>
      </c>
      <c r="B166" t="s">
        <v>70</v>
      </c>
      <c r="C166">
        <v>15</v>
      </c>
      <c r="D166" t="s">
        <v>116</v>
      </c>
      <c r="E166" t="s">
        <v>114</v>
      </c>
      <c r="F166" t="s">
        <v>95</v>
      </c>
      <c r="G166">
        <v>0</v>
      </c>
      <c r="H166">
        <v>0</v>
      </c>
      <c r="I166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27</v>
      </c>
      <c r="K166" s="5" cm="1">
        <f t="array" ref="K166">IFERROR(AVERAGE(IF((OutputTable[GroupByKey]=OutputTable[[#This Row],[GroupByKey]]),(OutputTable[GroupByKey]=OutputTable[[#This Row],[GroupByKey]])*OutputTable[RecordedValue])),0)</f>
        <v>1.5859588837911111E-4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8.2408840963242873E-4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166" s="5" cm="1">
        <f t="array" ref="O166">MIN(IF((OutputTable[GroupByKey]=OutputTable[[#This Row],[GroupByKey]]),(OutputTable[GroupByKey]=OutputTable[[#This Row],[GroupByKey]])*OutputTable[RecordedValue]))</f>
        <v>0</v>
      </c>
      <c r="P166" s="5" cm="1">
        <f t="array" ref="P166">MAX(IF((OutputTable[GroupByKey]=OutputTable[[#This Row],[GroupByKey]]),(OutputTable[GroupByKey]=OutputTable[[#This Row],[GroupByKey]])*OutputTable[RecordedValue]))</f>
        <v>4.2820889862359999E-3</v>
      </c>
    </row>
    <row r="167" spans="1:16" x14ac:dyDescent="0.25">
      <c r="A167" t="s">
        <v>68</v>
      </c>
      <c r="B167" t="s">
        <v>70</v>
      </c>
      <c r="C167">
        <v>16</v>
      </c>
      <c r="D167" t="s">
        <v>99</v>
      </c>
      <c r="E167" t="s">
        <v>100</v>
      </c>
      <c r="F167" t="s">
        <v>73</v>
      </c>
      <c r="G167">
        <v>0</v>
      </c>
      <c r="H167">
        <v>0</v>
      </c>
      <c r="I167" s="5" t="str">
        <f>OutputTable[[#This Row],[ProjectName]]&amp;OutputTable[[#This Row],[Name]]&amp;OutputTable[[#This Row],[Type]]&amp;OutputTable[[#This Row],[Source]]</f>
        <v>Escenario AEntity 1.NumberInNumber InEntity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27</v>
      </c>
      <c r="K167" s="5" cm="1">
        <f t="array" ref="K167">IFERROR(AVERAGE(IF((OutputTable[GroupByKey]=OutputTable[[#This Row],[GroupByKey]]),(OutputTable[GroupByKey]=OutputTable[[#This Row],[GroupByKey]])*OutputTable[RecordedValue])),0)</f>
        <v>1.2962962962962963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1.1706281947614154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167" s="5" cm="1">
        <f t="array" ref="O167">MIN(IF((OutputTable[GroupByKey]=OutputTable[[#This Row],[GroupByKey]]),(OutputTable[GroupByKey]=OutputTable[[#This Row],[GroupByKey]])*OutputTable[RecordedValue]))</f>
        <v>0</v>
      </c>
      <c r="P167" s="5" cm="1">
        <f t="array" ref="P167">MAX(IF((OutputTable[GroupByKey]=OutputTable[[#This Row],[GroupByKey]]),(OutputTable[GroupByKey]=OutputTable[[#This Row],[GroupByKey]])*OutputTable[RecordedValue]))</f>
        <v>5</v>
      </c>
    </row>
    <row r="168" spans="1:16" x14ac:dyDescent="0.25">
      <c r="A168" t="s">
        <v>68</v>
      </c>
      <c r="B168" t="s">
        <v>70</v>
      </c>
      <c r="C168">
        <v>16</v>
      </c>
      <c r="D168" t="s">
        <v>101</v>
      </c>
      <c r="E168" t="s">
        <v>102</v>
      </c>
      <c r="F168" t="s">
        <v>73</v>
      </c>
      <c r="G168">
        <v>0</v>
      </c>
      <c r="H168">
        <v>0</v>
      </c>
      <c r="I168" s="5" t="str">
        <f>OutputTable[[#This Row],[ProjectName]]&amp;OutputTable[[#This Row],[Name]]&amp;OutputTable[[#This Row],[Type]]&amp;OutputTable[[#This Row],[Source]]</f>
        <v>Escenario AEntity 1.NumberOutNumber OutEntity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27</v>
      </c>
      <c r="K168" s="5" cm="1">
        <f t="array" ref="K168">IFERROR(AVERAGE(IF((OutputTable[GroupByKey]=OutputTable[[#This Row],[GroupByKey]]),(OutputTable[GroupByKey]=OutputTable[[#This Row],[GroupByKey]])*OutputTable[RecordedValue])),0)</f>
        <v>1.1851851851851851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1.0754976321197349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168" s="5" cm="1">
        <f t="array" ref="O168">MIN(IF((OutputTable[GroupByKey]=OutputTable[[#This Row],[GroupByKey]]),(OutputTable[GroupByKey]=OutputTable[[#This Row],[GroupByKey]])*OutputTable[RecordedValue]))</f>
        <v>0</v>
      </c>
      <c r="P168" s="5" cm="1">
        <f t="array" ref="P168">MAX(IF((OutputTable[GroupByKey]=OutputTable[[#This Row],[GroupByKey]]),(OutputTable[GroupByKey]=OutputTable[[#This Row],[GroupByKey]])*OutputTable[RecordedValue]))</f>
        <v>4</v>
      </c>
    </row>
    <row r="169" spans="1:16" x14ac:dyDescent="0.25">
      <c r="A169" t="s">
        <v>68</v>
      </c>
      <c r="B169" t="s">
        <v>70</v>
      </c>
      <c r="C169">
        <v>16</v>
      </c>
      <c r="D169" t="s">
        <v>103</v>
      </c>
      <c r="E169" t="s">
        <v>104</v>
      </c>
      <c r="F169" t="s">
        <v>87</v>
      </c>
      <c r="G169">
        <v>0</v>
      </c>
      <c r="H169">
        <v>0</v>
      </c>
      <c r="I169" s="5" t="str">
        <f>OutputTable[[#This Row],[ProjectName]]&amp;OutputTable[[#This Row],[Name]]&amp;OutputTable[[#This Row],[Type]]&amp;OutputTable[[#This Row],[Source]]</f>
        <v>Escenario ASeguimiemto Accum VA TimeAccum VA TimeProcess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27</v>
      </c>
      <c r="K169" s="5" cm="1">
        <f t="array" ref="K169">IFERROR(AVERAGE(IF((OutputTable[GroupByKey]=OutputTable[[#This Row],[GroupByKey]]),(OutputTable[GroupByKey]=OutputTable[[#This Row],[GroupByKey]])*OutputTable[RecordedValue])),0)</f>
        <v>9.5157533027466656E-2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0.4944530457794572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169" s="5" cm="1">
        <f t="array" ref="O169">MIN(IF((OutputTable[GroupByKey]=OutputTable[[#This Row],[GroupByKey]]),(OutputTable[GroupByKey]=OutputTable[[#This Row],[GroupByKey]])*OutputTable[RecordedValue]))</f>
        <v>0</v>
      </c>
      <c r="P169" s="5" cm="1">
        <f t="array" ref="P169">MAX(IF((OutputTable[GroupByKey]=OutputTable[[#This Row],[GroupByKey]]),(OutputTable[GroupByKey]=OutputTable[[#This Row],[GroupByKey]])*OutputTable[RecordedValue]))</f>
        <v>2.5692533917415998</v>
      </c>
    </row>
    <row r="170" spans="1:16" x14ac:dyDescent="0.25">
      <c r="A170" t="s">
        <v>68</v>
      </c>
      <c r="B170" t="s">
        <v>70</v>
      </c>
      <c r="C170">
        <v>16</v>
      </c>
      <c r="D170" t="s">
        <v>105</v>
      </c>
      <c r="E170" t="s">
        <v>106</v>
      </c>
      <c r="F170" t="s">
        <v>87</v>
      </c>
      <c r="G170">
        <v>0</v>
      </c>
      <c r="H170">
        <v>0</v>
      </c>
      <c r="I170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27</v>
      </c>
      <c r="K170" s="5" cm="1">
        <f t="array" ref="K170">IFERROR(AVERAGE(IF((OutputTable[GroupByKey]=OutputTable[[#This Row],[GroupByKey]]),(OutputTable[GroupByKey]=OutputTable[[#This Row],[GroupByKey]])*OutputTable[RecordedValue])),0)</f>
        <v>0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0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" s="5" cm="1">
        <f t="array" ref="O170">MIN(IF((OutputTable[GroupByKey]=OutputTable[[#This Row],[GroupByKey]]),(OutputTable[GroupByKey]=OutputTable[[#This Row],[GroupByKey]])*OutputTable[RecordedValue]))</f>
        <v>0</v>
      </c>
      <c r="P170" s="5" cm="1">
        <f t="array" ref="P170">MAX(IF((OutputTable[GroupByKey]=OutputTable[[#This Row],[GroupByKey]]),(OutputTable[GroupByKey]=OutputTable[[#This Row],[GroupByKey]])*OutputTable[RecordedValue]))</f>
        <v>0</v>
      </c>
    </row>
    <row r="171" spans="1:16" x14ac:dyDescent="0.25">
      <c r="A171" t="s">
        <v>68</v>
      </c>
      <c r="B171" t="s">
        <v>70</v>
      </c>
      <c r="C171">
        <v>16</v>
      </c>
      <c r="D171" t="s">
        <v>107</v>
      </c>
      <c r="E171" t="s">
        <v>100</v>
      </c>
      <c r="F171" t="s">
        <v>87</v>
      </c>
      <c r="G171">
        <v>0</v>
      </c>
      <c r="H171">
        <v>0</v>
      </c>
      <c r="I171" s="5" t="str">
        <f>OutputTable[[#This Row],[ProjectName]]&amp;OutputTable[[#This Row],[Name]]&amp;OutputTable[[#This Row],[Type]]&amp;OutputTable[[#This Row],[Source]]</f>
        <v>Escenario ASeguimiemto Number InNumber InProcess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27</v>
      </c>
      <c r="K171" s="5" cm="1">
        <f t="array" ref="K171">IFERROR(AVERAGE(IF((OutputTable[GroupByKey]=OutputTable[[#This Row],[GroupByKey]]),(OutputTable[GroupByKey]=OutputTable[[#This Row],[GroupByKey]])*OutputTable[RecordedValue])),0)</f>
        <v>3.7037037037037035E-2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0.19245008972987526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71" s="5" cm="1">
        <f t="array" ref="O171">MIN(IF((OutputTable[GroupByKey]=OutputTable[[#This Row],[GroupByKey]]),(OutputTable[GroupByKey]=OutputTable[[#This Row],[GroupByKey]])*OutputTable[RecordedValue]))</f>
        <v>0</v>
      </c>
      <c r="P171" s="5" cm="1">
        <f t="array" ref="P171">MAX(IF((OutputTable[GroupByKey]=OutputTable[[#This Row],[GroupByKey]]),(OutputTable[GroupByKey]=OutputTable[[#This Row],[GroupByKey]])*OutputTable[RecordedValue]))</f>
        <v>1</v>
      </c>
    </row>
    <row r="172" spans="1:16" x14ac:dyDescent="0.25">
      <c r="A172" t="s">
        <v>68</v>
      </c>
      <c r="B172" t="s">
        <v>70</v>
      </c>
      <c r="C172">
        <v>16</v>
      </c>
      <c r="D172" t="s">
        <v>108</v>
      </c>
      <c r="E172" t="s">
        <v>102</v>
      </c>
      <c r="F172" t="s">
        <v>87</v>
      </c>
      <c r="G172">
        <v>0</v>
      </c>
      <c r="H172">
        <v>0</v>
      </c>
      <c r="I172" s="5" t="str">
        <f>OutputTable[[#This Row],[ProjectName]]&amp;OutputTable[[#This Row],[Name]]&amp;OutputTable[[#This Row],[Type]]&amp;OutputTable[[#This Row],[Source]]</f>
        <v>Escenario ASeguimiemto Number OutNumber OutProcess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27</v>
      </c>
      <c r="K172" s="5" cm="1">
        <f t="array" ref="K172">IFERROR(AVERAGE(IF((OutputTable[GroupByKey]=OutputTable[[#This Row],[GroupByKey]]),(OutputTable[GroupByKey]=OutputTable[[#This Row],[GroupByKey]])*OutputTable[RecordedValue])),0)</f>
        <v>3.7037037037037035E-2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0.19245008972987526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72" s="5" cm="1">
        <f t="array" ref="O172">MIN(IF((OutputTable[GroupByKey]=OutputTable[[#This Row],[GroupByKey]]),(OutputTable[GroupByKey]=OutputTable[[#This Row],[GroupByKey]])*OutputTable[RecordedValue]))</f>
        <v>0</v>
      </c>
      <c r="P172" s="5" cm="1">
        <f t="array" ref="P172">MAX(IF((OutputTable[GroupByKey]=OutputTable[[#This Row],[GroupByKey]]),(OutputTable[GroupByKey]=OutputTable[[#This Row],[GroupByKey]])*OutputTable[RecordedValue]))</f>
        <v>1</v>
      </c>
    </row>
    <row r="173" spans="1:16" x14ac:dyDescent="0.25">
      <c r="A173" t="s">
        <v>68</v>
      </c>
      <c r="B173" t="s">
        <v>70</v>
      </c>
      <c r="C173">
        <v>16</v>
      </c>
      <c r="D173" t="s">
        <v>109</v>
      </c>
      <c r="E173" t="s">
        <v>102</v>
      </c>
      <c r="F173" t="s">
        <v>110</v>
      </c>
      <c r="G173">
        <v>0</v>
      </c>
      <c r="H173">
        <v>0</v>
      </c>
      <c r="I173" s="5" t="str">
        <f>OutputTable[[#This Row],[ProjectName]]&amp;OutputTable[[#This Row],[Name]]&amp;OutputTable[[#This Row],[Type]]&amp;OutputTable[[#This Row],[Source]]</f>
        <v>Escenario ASystem.NumberOutNumber OutSystem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27</v>
      </c>
      <c r="K173" s="5" cm="1">
        <f t="array" ref="K173">IFERROR(AVERAGE(IF((OutputTable[GroupByKey]=OutputTable[[#This Row],[GroupByKey]]),(OutputTable[GroupByKey]=OutputTable[[#This Row],[GroupByKey]])*OutputTable[RecordedValue])),0)</f>
        <v>1.1851851851851851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1.0754976321197349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173" s="5" cm="1">
        <f t="array" ref="O173">MIN(IF((OutputTable[GroupByKey]=OutputTable[[#This Row],[GroupByKey]]),(OutputTable[GroupByKey]=OutputTable[[#This Row],[GroupByKey]])*OutputTable[RecordedValue]))</f>
        <v>0</v>
      </c>
      <c r="P173" s="5" cm="1">
        <f t="array" ref="P173">MAX(IF((OutputTable[GroupByKey]=OutputTable[[#This Row],[GroupByKey]]),(OutputTable[GroupByKey]=OutputTable[[#This Row],[GroupByKey]])*OutputTable[RecordedValue]))</f>
        <v>4</v>
      </c>
    </row>
    <row r="174" spans="1:16" x14ac:dyDescent="0.25">
      <c r="A174" t="s">
        <v>68</v>
      </c>
      <c r="B174" t="s">
        <v>70</v>
      </c>
      <c r="C174">
        <v>16</v>
      </c>
      <c r="D174" t="s">
        <v>111</v>
      </c>
      <c r="E174" t="s">
        <v>112</v>
      </c>
      <c r="F174" t="s">
        <v>95</v>
      </c>
      <c r="G174">
        <v>0</v>
      </c>
      <c r="H174">
        <v>0</v>
      </c>
      <c r="I174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27</v>
      </c>
      <c r="K174" s="5" cm="1">
        <f t="array" ref="K174">IFERROR(AVERAGE(IF((OutputTable[GroupByKey]=OutputTable[[#This Row],[GroupByKey]]),(OutputTable[GroupByKey]=OutputTable[[#This Row],[GroupByKey]])*OutputTable[RecordedValue])),0)</f>
        <v>1.2962962962962963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1.1706281947614154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174" s="5" cm="1">
        <f t="array" ref="O174">MIN(IF((OutputTable[GroupByKey]=OutputTable[[#This Row],[GroupByKey]]),(OutputTable[GroupByKey]=OutputTable[[#This Row],[GroupByKey]])*OutputTable[RecordedValue]))</f>
        <v>0</v>
      </c>
      <c r="P174" s="5" cm="1">
        <f t="array" ref="P174">MAX(IF((OutputTable[GroupByKey]=OutputTable[[#This Row],[GroupByKey]]),(OutputTable[GroupByKey]=OutputTable[[#This Row],[GroupByKey]])*OutputTable[RecordedValue]))</f>
        <v>5</v>
      </c>
    </row>
    <row r="175" spans="1:16" x14ac:dyDescent="0.25">
      <c r="A175" t="s">
        <v>68</v>
      </c>
      <c r="B175" t="s">
        <v>70</v>
      </c>
      <c r="C175">
        <v>16</v>
      </c>
      <c r="D175" t="s">
        <v>113</v>
      </c>
      <c r="E175" t="s">
        <v>114</v>
      </c>
      <c r="F175" t="s">
        <v>95</v>
      </c>
      <c r="G175">
        <v>0</v>
      </c>
      <c r="H175">
        <v>0</v>
      </c>
      <c r="I175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27</v>
      </c>
      <c r="K175" s="5" cm="1">
        <f t="array" ref="K175">IFERROR(AVERAGE(IF((OutputTable[GroupByKey]=OutputTable[[#This Row],[GroupByKey]]),(OutputTable[GroupByKey]=OutputTable[[#This Row],[GroupByKey]])*OutputTable[RecordedValue])),0)</f>
        <v>1.2223949425906553E-2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1.112543407769513E-2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175" s="5" cm="1">
        <f t="array" ref="O175">MIN(IF((OutputTable[GroupByKey]=OutputTable[[#This Row],[GroupByKey]]),(OutputTable[GroupByKey]=OutputTable[[#This Row],[GroupByKey]])*OutputTable[RecordedValue]))</f>
        <v>0</v>
      </c>
      <c r="P175" s="5" cm="1">
        <f t="array" ref="P175">MAX(IF((OutputTable[GroupByKey]=OutputTable[[#This Row],[GroupByKey]]),(OutputTable[GroupByKey]=OutputTable[[#This Row],[GroupByKey]])*OutputTable[RecordedValue]))</f>
        <v>4.2906548761083699E-2</v>
      </c>
    </row>
    <row r="176" spans="1:16" x14ac:dyDescent="0.25">
      <c r="A176" t="s">
        <v>68</v>
      </c>
      <c r="B176" t="s">
        <v>70</v>
      </c>
      <c r="C176">
        <v>16</v>
      </c>
      <c r="D176" t="s">
        <v>115</v>
      </c>
      <c r="E176" t="s">
        <v>112</v>
      </c>
      <c r="F176" t="s">
        <v>95</v>
      </c>
      <c r="G176">
        <v>0</v>
      </c>
      <c r="H176">
        <v>0</v>
      </c>
      <c r="I176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27</v>
      </c>
      <c r="K176" s="5" cm="1">
        <f t="array" ref="K176">IFERROR(AVERAGE(IF((OutputTable[GroupByKey]=OutputTable[[#This Row],[GroupByKey]]),(OutputTable[GroupByKey]=OutputTable[[#This Row],[GroupByKey]])*OutputTable[RecordedValue])),0)</f>
        <v>3.7037037037037035E-2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0.19245008972987526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76" s="5" cm="1">
        <f t="array" ref="O176">MIN(IF((OutputTable[GroupByKey]=OutputTable[[#This Row],[GroupByKey]]),(OutputTable[GroupByKey]=OutputTable[[#This Row],[GroupByKey]])*OutputTable[RecordedValue]))</f>
        <v>0</v>
      </c>
      <c r="P176" s="5" cm="1">
        <f t="array" ref="P176">MAX(IF((OutputTable[GroupByKey]=OutputTable[[#This Row],[GroupByKey]]),(OutputTable[GroupByKey]=OutputTable[[#This Row],[GroupByKey]])*OutputTable[RecordedValue]))</f>
        <v>1</v>
      </c>
    </row>
    <row r="177" spans="1:16" x14ac:dyDescent="0.25">
      <c r="A177" t="s">
        <v>68</v>
      </c>
      <c r="B177" t="s">
        <v>70</v>
      </c>
      <c r="C177">
        <v>16</v>
      </c>
      <c r="D177" t="s">
        <v>116</v>
      </c>
      <c r="E177" t="s">
        <v>114</v>
      </c>
      <c r="F177" t="s">
        <v>95</v>
      </c>
      <c r="G177">
        <v>0</v>
      </c>
      <c r="H177">
        <v>0</v>
      </c>
      <c r="I177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27</v>
      </c>
      <c r="K177" s="5" cm="1">
        <f t="array" ref="K177">IFERROR(AVERAGE(IF((OutputTable[GroupByKey]=OutputTable[[#This Row],[GroupByKey]]),(OutputTable[GroupByKey]=OutputTable[[#This Row],[GroupByKey]])*OutputTable[RecordedValue])),0)</f>
        <v>1.5859588837911111E-4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8.2408840963242873E-4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177" s="5" cm="1">
        <f t="array" ref="O177">MIN(IF((OutputTable[GroupByKey]=OutputTable[[#This Row],[GroupByKey]]),(OutputTable[GroupByKey]=OutputTable[[#This Row],[GroupByKey]])*OutputTable[RecordedValue]))</f>
        <v>0</v>
      </c>
      <c r="P177" s="5" cm="1">
        <f t="array" ref="P177">MAX(IF((OutputTable[GroupByKey]=OutputTable[[#This Row],[GroupByKey]]),(OutputTable[GroupByKey]=OutputTable[[#This Row],[GroupByKey]])*OutputTable[RecordedValue]))</f>
        <v>4.2820889862359999E-3</v>
      </c>
    </row>
    <row r="178" spans="1:16" x14ac:dyDescent="0.25">
      <c r="A178" t="s">
        <v>68</v>
      </c>
      <c r="B178" t="s">
        <v>70</v>
      </c>
      <c r="C178">
        <v>17</v>
      </c>
      <c r="D178" t="s">
        <v>99</v>
      </c>
      <c r="E178" t="s">
        <v>100</v>
      </c>
      <c r="F178" t="s">
        <v>73</v>
      </c>
      <c r="G178">
        <v>1</v>
      </c>
      <c r="H178">
        <v>0</v>
      </c>
      <c r="I178" s="5" t="str">
        <f>OutputTable[[#This Row],[ProjectName]]&amp;OutputTable[[#This Row],[Name]]&amp;OutputTable[[#This Row],[Type]]&amp;OutputTable[[#This Row],[Source]]</f>
        <v>Escenario AEntity 1.NumberInNumber InEntity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27</v>
      </c>
      <c r="K178" s="5" cm="1">
        <f t="array" ref="K178">IFERROR(AVERAGE(IF((OutputTable[GroupByKey]=OutputTable[[#This Row],[GroupByKey]]),(OutputTable[GroupByKey]=OutputTable[[#This Row],[GroupByKey]])*OutputTable[RecordedValue])),0)</f>
        <v>1.2962962962962963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1.1706281947614154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178" s="5" cm="1">
        <f t="array" ref="O178">MIN(IF((OutputTable[GroupByKey]=OutputTable[[#This Row],[GroupByKey]]),(OutputTable[GroupByKey]=OutputTable[[#This Row],[GroupByKey]])*OutputTable[RecordedValue]))</f>
        <v>0</v>
      </c>
      <c r="P178" s="5" cm="1">
        <f t="array" ref="P178">MAX(IF((OutputTable[GroupByKey]=OutputTable[[#This Row],[GroupByKey]]),(OutputTable[GroupByKey]=OutputTable[[#This Row],[GroupByKey]])*OutputTable[RecordedValue]))</f>
        <v>5</v>
      </c>
    </row>
    <row r="179" spans="1:16" x14ac:dyDescent="0.25">
      <c r="A179" t="s">
        <v>68</v>
      </c>
      <c r="B179" t="s">
        <v>70</v>
      </c>
      <c r="C179">
        <v>17</v>
      </c>
      <c r="D179" t="s">
        <v>101</v>
      </c>
      <c r="E179" t="s">
        <v>102</v>
      </c>
      <c r="F179" t="s">
        <v>73</v>
      </c>
      <c r="G179">
        <v>1</v>
      </c>
      <c r="H179">
        <v>0</v>
      </c>
      <c r="I179" s="5" t="str">
        <f>OutputTable[[#This Row],[ProjectName]]&amp;OutputTable[[#This Row],[Name]]&amp;OutputTable[[#This Row],[Type]]&amp;OutputTable[[#This Row],[Source]]</f>
        <v>Escenario AEntity 1.NumberOutNumber OutEntity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27</v>
      </c>
      <c r="K179" s="5" cm="1">
        <f t="array" ref="K179">IFERROR(AVERAGE(IF((OutputTable[GroupByKey]=OutputTable[[#This Row],[GroupByKey]]),(OutputTable[GroupByKey]=OutputTable[[#This Row],[GroupByKey]])*OutputTable[RecordedValue])),0)</f>
        <v>1.1851851851851851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1.0754976321197349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179" s="5" cm="1">
        <f t="array" ref="O179">MIN(IF((OutputTable[GroupByKey]=OutputTable[[#This Row],[GroupByKey]]),(OutputTable[GroupByKey]=OutputTable[[#This Row],[GroupByKey]])*OutputTable[RecordedValue]))</f>
        <v>0</v>
      </c>
      <c r="P179" s="5" cm="1">
        <f t="array" ref="P179">MAX(IF((OutputTable[GroupByKey]=OutputTable[[#This Row],[GroupByKey]]),(OutputTable[GroupByKey]=OutputTable[[#This Row],[GroupByKey]])*OutputTable[RecordedValue]))</f>
        <v>4</v>
      </c>
    </row>
    <row r="180" spans="1:16" x14ac:dyDescent="0.25">
      <c r="A180" t="s">
        <v>68</v>
      </c>
      <c r="B180" t="s">
        <v>70</v>
      </c>
      <c r="C180">
        <v>17</v>
      </c>
      <c r="D180" t="s">
        <v>103</v>
      </c>
      <c r="E180" t="s">
        <v>104</v>
      </c>
      <c r="F180" t="s">
        <v>87</v>
      </c>
      <c r="G180">
        <v>0</v>
      </c>
      <c r="H180">
        <v>0</v>
      </c>
      <c r="I180" s="5" t="str">
        <f>OutputTable[[#This Row],[ProjectName]]&amp;OutputTable[[#This Row],[Name]]&amp;OutputTable[[#This Row],[Type]]&amp;OutputTable[[#This Row],[Source]]</f>
        <v>Escenario ASeguimiemto Accum VA TimeAccum VA TimeProcess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27</v>
      </c>
      <c r="K180" s="5" cm="1">
        <f t="array" ref="K180">IFERROR(AVERAGE(IF((OutputTable[GroupByKey]=OutputTable[[#This Row],[GroupByKey]]),(OutputTable[GroupByKey]=OutputTable[[#This Row],[GroupByKey]])*OutputTable[RecordedValue])),0)</f>
        <v>9.5157533027466656E-2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0.4944530457794572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180" s="5" cm="1">
        <f t="array" ref="O180">MIN(IF((OutputTable[GroupByKey]=OutputTable[[#This Row],[GroupByKey]]),(OutputTable[GroupByKey]=OutputTable[[#This Row],[GroupByKey]])*OutputTable[RecordedValue]))</f>
        <v>0</v>
      </c>
      <c r="P180" s="5" cm="1">
        <f t="array" ref="P180">MAX(IF((OutputTable[GroupByKey]=OutputTable[[#This Row],[GroupByKey]]),(OutputTable[GroupByKey]=OutputTable[[#This Row],[GroupByKey]])*OutputTable[RecordedValue]))</f>
        <v>2.5692533917415998</v>
      </c>
    </row>
    <row r="181" spans="1:16" x14ac:dyDescent="0.25">
      <c r="A181" t="s">
        <v>68</v>
      </c>
      <c r="B181" t="s">
        <v>70</v>
      </c>
      <c r="C181">
        <v>17</v>
      </c>
      <c r="D181" t="s">
        <v>105</v>
      </c>
      <c r="E181" t="s">
        <v>106</v>
      </c>
      <c r="F181" t="s">
        <v>87</v>
      </c>
      <c r="G181">
        <v>0</v>
      </c>
      <c r="H181">
        <v>0</v>
      </c>
      <c r="I181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27</v>
      </c>
      <c r="K181" s="5" cm="1">
        <f t="array" ref="K181">IFERROR(AVERAGE(IF((OutputTable[GroupByKey]=OutputTable[[#This Row],[GroupByKey]]),(OutputTable[GroupByKey]=OutputTable[[#This Row],[GroupByKey]])*OutputTable[RecordedValue])),0)</f>
        <v>0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0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" s="5" cm="1">
        <f t="array" ref="O181">MIN(IF((OutputTable[GroupByKey]=OutputTable[[#This Row],[GroupByKey]]),(OutputTable[GroupByKey]=OutputTable[[#This Row],[GroupByKey]])*OutputTable[RecordedValue]))</f>
        <v>0</v>
      </c>
      <c r="P181" s="5" cm="1">
        <f t="array" ref="P181">MAX(IF((OutputTable[GroupByKey]=OutputTable[[#This Row],[GroupByKey]]),(OutputTable[GroupByKey]=OutputTable[[#This Row],[GroupByKey]])*OutputTable[RecordedValue]))</f>
        <v>0</v>
      </c>
    </row>
    <row r="182" spans="1:16" x14ac:dyDescent="0.25">
      <c r="A182" t="s">
        <v>68</v>
      </c>
      <c r="B182" t="s">
        <v>70</v>
      </c>
      <c r="C182">
        <v>17</v>
      </c>
      <c r="D182" t="s">
        <v>107</v>
      </c>
      <c r="E182" t="s">
        <v>100</v>
      </c>
      <c r="F182" t="s">
        <v>87</v>
      </c>
      <c r="G182">
        <v>0</v>
      </c>
      <c r="H182">
        <v>0</v>
      </c>
      <c r="I182" s="5" t="str">
        <f>OutputTable[[#This Row],[ProjectName]]&amp;OutputTable[[#This Row],[Name]]&amp;OutputTable[[#This Row],[Type]]&amp;OutputTable[[#This Row],[Source]]</f>
        <v>Escenario ASeguimiemto Number InNumber InProcess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27</v>
      </c>
      <c r="K182" s="5" cm="1">
        <f t="array" ref="K182">IFERROR(AVERAGE(IF((OutputTable[GroupByKey]=OutputTable[[#This Row],[GroupByKey]]),(OutputTable[GroupByKey]=OutputTable[[#This Row],[GroupByKey]])*OutputTable[RecordedValue])),0)</f>
        <v>3.7037037037037035E-2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0.19245008972987526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82" s="5" cm="1">
        <f t="array" ref="O182">MIN(IF((OutputTable[GroupByKey]=OutputTable[[#This Row],[GroupByKey]]),(OutputTable[GroupByKey]=OutputTable[[#This Row],[GroupByKey]])*OutputTable[RecordedValue]))</f>
        <v>0</v>
      </c>
      <c r="P182" s="5" cm="1">
        <f t="array" ref="P182">MAX(IF((OutputTable[GroupByKey]=OutputTable[[#This Row],[GroupByKey]]),(OutputTable[GroupByKey]=OutputTable[[#This Row],[GroupByKey]])*OutputTable[RecordedValue]))</f>
        <v>1</v>
      </c>
    </row>
    <row r="183" spans="1:16" x14ac:dyDescent="0.25">
      <c r="A183" t="s">
        <v>68</v>
      </c>
      <c r="B183" t="s">
        <v>70</v>
      </c>
      <c r="C183">
        <v>17</v>
      </c>
      <c r="D183" t="s">
        <v>108</v>
      </c>
      <c r="E183" t="s">
        <v>102</v>
      </c>
      <c r="F183" t="s">
        <v>87</v>
      </c>
      <c r="G183">
        <v>0</v>
      </c>
      <c r="H183">
        <v>0</v>
      </c>
      <c r="I183" s="5" t="str">
        <f>OutputTable[[#This Row],[ProjectName]]&amp;OutputTable[[#This Row],[Name]]&amp;OutputTable[[#This Row],[Type]]&amp;OutputTable[[#This Row],[Source]]</f>
        <v>Escenario ASeguimiemto Number OutNumber OutProcess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27</v>
      </c>
      <c r="K183" s="5" cm="1">
        <f t="array" ref="K183">IFERROR(AVERAGE(IF((OutputTable[GroupByKey]=OutputTable[[#This Row],[GroupByKey]]),(OutputTable[GroupByKey]=OutputTable[[#This Row],[GroupByKey]])*OutputTable[RecordedValue])),0)</f>
        <v>3.7037037037037035E-2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0.19245008972987526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83" s="5" cm="1">
        <f t="array" ref="O183">MIN(IF((OutputTable[GroupByKey]=OutputTable[[#This Row],[GroupByKey]]),(OutputTable[GroupByKey]=OutputTable[[#This Row],[GroupByKey]])*OutputTable[RecordedValue]))</f>
        <v>0</v>
      </c>
      <c r="P183" s="5" cm="1">
        <f t="array" ref="P183">MAX(IF((OutputTable[GroupByKey]=OutputTable[[#This Row],[GroupByKey]]),(OutputTable[GroupByKey]=OutputTable[[#This Row],[GroupByKey]])*OutputTable[RecordedValue]))</f>
        <v>1</v>
      </c>
    </row>
    <row r="184" spans="1:16" x14ac:dyDescent="0.25">
      <c r="A184" t="s">
        <v>68</v>
      </c>
      <c r="B184" t="s">
        <v>70</v>
      </c>
      <c r="C184">
        <v>17</v>
      </c>
      <c r="D184" t="s">
        <v>109</v>
      </c>
      <c r="E184" t="s">
        <v>102</v>
      </c>
      <c r="F184" t="s">
        <v>110</v>
      </c>
      <c r="G184">
        <v>1</v>
      </c>
      <c r="H184">
        <v>0</v>
      </c>
      <c r="I184" s="5" t="str">
        <f>OutputTable[[#This Row],[ProjectName]]&amp;OutputTable[[#This Row],[Name]]&amp;OutputTable[[#This Row],[Type]]&amp;OutputTable[[#This Row],[Source]]</f>
        <v>Escenario ASystem.NumberOutNumber OutSystem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27</v>
      </c>
      <c r="K184" s="5" cm="1">
        <f t="array" ref="K184">IFERROR(AVERAGE(IF((OutputTable[GroupByKey]=OutputTable[[#This Row],[GroupByKey]]),(OutputTable[GroupByKey]=OutputTable[[#This Row],[GroupByKey]])*OutputTable[RecordedValue])),0)</f>
        <v>1.1851851851851851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1.0754976321197349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184" s="5" cm="1">
        <f t="array" ref="O184">MIN(IF((OutputTable[GroupByKey]=OutputTable[[#This Row],[GroupByKey]]),(OutputTable[GroupByKey]=OutputTable[[#This Row],[GroupByKey]])*OutputTable[RecordedValue]))</f>
        <v>0</v>
      </c>
      <c r="P184" s="5" cm="1">
        <f t="array" ref="P184">MAX(IF((OutputTable[GroupByKey]=OutputTable[[#This Row],[GroupByKey]]),(OutputTable[GroupByKey]=OutputTable[[#This Row],[GroupByKey]])*OutputTable[RecordedValue]))</f>
        <v>4</v>
      </c>
    </row>
    <row r="185" spans="1:16" x14ac:dyDescent="0.25">
      <c r="A185" t="s">
        <v>68</v>
      </c>
      <c r="B185" t="s">
        <v>70</v>
      </c>
      <c r="C185">
        <v>17</v>
      </c>
      <c r="D185" t="s">
        <v>111</v>
      </c>
      <c r="E185" t="s">
        <v>112</v>
      </c>
      <c r="F185" t="s">
        <v>95</v>
      </c>
      <c r="G185">
        <v>1</v>
      </c>
      <c r="H185">
        <v>0</v>
      </c>
      <c r="I185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27</v>
      </c>
      <c r="K185" s="5" cm="1">
        <f t="array" ref="K185">IFERROR(AVERAGE(IF((OutputTable[GroupByKey]=OutputTable[[#This Row],[GroupByKey]]),(OutputTable[GroupByKey]=OutputTable[[#This Row],[GroupByKey]])*OutputTable[RecordedValue])),0)</f>
        <v>1.2962962962962963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1.1706281947614154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185" s="5" cm="1">
        <f t="array" ref="O185">MIN(IF((OutputTable[GroupByKey]=OutputTable[[#This Row],[GroupByKey]]),(OutputTable[GroupByKey]=OutputTable[[#This Row],[GroupByKey]])*OutputTable[RecordedValue]))</f>
        <v>0</v>
      </c>
      <c r="P185" s="5" cm="1">
        <f t="array" ref="P185">MAX(IF((OutputTable[GroupByKey]=OutputTable[[#This Row],[GroupByKey]]),(OutputTable[GroupByKey]=OutputTable[[#This Row],[GroupByKey]])*OutputTable[RecordedValue]))</f>
        <v>5</v>
      </c>
    </row>
    <row r="186" spans="1:16" x14ac:dyDescent="0.25">
      <c r="A186" t="s">
        <v>68</v>
      </c>
      <c r="B186" t="s">
        <v>70</v>
      </c>
      <c r="C186">
        <v>17</v>
      </c>
      <c r="D186" t="s">
        <v>113</v>
      </c>
      <c r="E186" t="s">
        <v>114</v>
      </c>
      <c r="F186" t="s">
        <v>95</v>
      </c>
      <c r="G186">
        <v>9.8675703910781603E-3</v>
      </c>
      <c r="H186">
        <v>0</v>
      </c>
      <c r="I186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27</v>
      </c>
      <c r="K186" s="5" cm="1">
        <f t="array" ref="K186">IFERROR(AVERAGE(IF((OutputTable[GroupByKey]=OutputTable[[#This Row],[GroupByKey]]),(OutputTable[GroupByKey]=OutputTable[[#This Row],[GroupByKey]])*OutputTable[RecordedValue])),0)</f>
        <v>1.2223949425906553E-2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1.112543407769513E-2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186" s="5" cm="1">
        <f t="array" ref="O186">MIN(IF((OutputTable[GroupByKey]=OutputTable[[#This Row],[GroupByKey]]),(OutputTable[GroupByKey]=OutputTable[[#This Row],[GroupByKey]])*OutputTable[RecordedValue]))</f>
        <v>0</v>
      </c>
      <c r="P186" s="5" cm="1">
        <f t="array" ref="P186">MAX(IF((OutputTable[GroupByKey]=OutputTable[[#This Row],[GroupByKey]]),(OutputTable[GroupByKey]=OutputTable[[#This Row],[GroupByKey]])*OutputTable[RecordedValue]))</f>
        <v>4.2906548761083699E-2</v>
      </c>
    </row>
    <row r="187" spans="1:16" x14ac:dyDescent="0.25">
      <c r="A187" t="s">
        <v>68</v>
      </c>
      <c r="B187" t="s">
        <v>70</v>
      </c>
      <c r="C187">
        <v>17</v>
      </c>
      <c r="D187" t="s">
        <v>115</v>
      </c>
      <c r="E187" t="s">
        <v>112</v>
      </c>
      <c r="F187" t="s">
        <v>95</v>
      </c>
      <c r="G187">
        <v>0</v>
      </c>
      <c r="H187">
        <v>0</v>
      </c>
      <c r="I187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27</v>
      </c>
      <c r="K187" s="5" cm="1">
        <f t="array" ref="K187">IFERROR(AVERAGE(IF((OutputTable[GroupByKey]=OutputTable[[#This Row],[GroupByKey]]),(OutputTable[GroupByKey]=OutputTable[[#This Row],[GroupByKey]])*OutputTable[RecordedValue])),0)</f>
        <v>3.7037037037037035E-2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0.19245008972987526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87" s="5" cm="1">
        <f t="array" ref="O187">MIN(IF((OutputTable[GroupByKey]=OutputTable[[#This Row],[GroupByKey]]),(OutputTable[GroupByKey]=OutputTable[[#This Row],[GroupByKey]])*OutputTable[RecordedValue]))</f>
        <v>0</v>
      </c>
      <c r="P187" s="5" cm="1">
        <f t="array" ref="P187">MAX(IF((OutputTable[GroupByKey]=OutputTable[[#This Row],[GroupByKey]]),(OutputTable[GroupByKey]=OutputTable[[#This Row],[GroupByKey]])*OutputTable[RecordedValue]))</f>
        <v>1</v>
      </c>
    </row>
    <row r="188" spans="1:16" x14ac:dyDescent="0.25">
      <c r="A188" t="s">
        <v>68</v>
      </c>
      <c r="B188" t="s">
        <v>70</v>
      </c>
      <c r="C188">
        <v>17</v>
      </c>
      <c r="D188" t="s">
        <v>116</v>
      </c>
      <c r="E188" t="s">
        <v>114</v>
      </c>
      <c r="F188" t="s">
        <v>95</v>
      </c>
      <c r="G188">
        <v>0</v>
      </c>
      <c r="H188">
        <v>0</v>
      </c>
      <c r="I188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27</v>
      </c>
      <c r="K188" s="5" cm="1">
        <f t="array" ref="K188">IFERROR(AVERAGE(IF((OutputTable[GroupByKey]=OutputTable[[#This Row],[GroupByKey]]),(OutputTable[GroupByKey]=OutputTable[[#This Row],[GroupByKey]])*OutputTable[RecordedValue])),0)</f>
        <v>1.5859588837911111E-4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8.2408840963242873E-4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188" s="5" cm="1">
        <f t="array" ref="O188">MIN(IF((OutputTable[GroupByKey]=OutputTable[[#This Row],[GroupByKey]]),(OutputTable[GroupByKey]=OutputTable[[#This Row],[GroupByKey]])*OutputTable[RecordedValue]))</f>
        <v>0</v>
      </c>
      <c r="P188" s="5" cm="1">
        <f t="array" ref="P188">MAX(IF((OutputTable[GroupByKey]=OutputTable[[#This Row],[GroupByKey]]),(OutputTable[GroupByKey]=OutputTable[[#This Row],[GroupByKey]])*OutputTable[RecordedValue]))</f>
        <v>4.2820889862359999E-3</v>
      </c>
    </row>
    <row r="189" spans="1:16" x14ac:dyDescent="0.25">
      <c r="A189" t="s">
        <v>68</v>
      </c>
      <c r="B189" t="s">
        <v>70</v>
      </c>
      <c r="C189">
        <v>18</v>
      </c>
      <c r="D189" t="s">
        <v>99</v>
      </c>
      <c r="E189" t="s">
        <v>100</v>
      </c>
      <c r="F189" t="s">
        <v>73</v>
      </c>
      <c r="G189">
        <v>1</v>
      </c>
      <c r="H189">
        <v>0</v>
      </c>
      <c r="I189" s="5" t="str">
        <f>OutputTable[[#This Row],[ProjectName]]&amp;OutputTable[[#This Row],[Name]]&amp;OutputTable[[#This Row],[Type]]&amp;OutputTable[[#This Row],[Source]]</f>
        <v>Escenario AEntity 1.NumberInNumber InEntity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27</v>
      </c>
      <c r="K189" s="5" cm="1">
        <f t="array" ref="K189">IFERROR(AVERAGE(IF((OutputTable[GroupByKey]=OutputTable[[#This Row],[GroupByKey]]),(OutputTable[GroupByKey]=OutputTable[[#This Row],[GroupByKey]])*OutputTable[RecordedValue])),0)</f>
        <v>1.2962962962962963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1.1706281947614154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189" s="5" cm="1">
        <f t="array" ref="O189">MIN(IF((OutputTable[GroupByKey]=OutputTable[[#This Row],[GroupByKey]]),(OutputTable[GroupByKey]=OutputTable[[#This Row],[GroupByKey]])*OutputTable[RecordedValue]))</f>
        <v>0</v>
      </c>
      <c r="P189" s="5" cm="1">
        <f t="array" ref="P189">MAX(IF((OutputTable[GroupByKey]=OutputTable[[#This Row],[GroupByKey]]),(OutputTable[GroupByKey]=OutputTable[[#This Row],[GroupByKey]])*OutputTable[RecordedValue]))</f>
        <v>5</v>
      </c>
    </row>
    <row r="190" spans="1:16" x14ac:dyDescent="0.25">
      <c r="A190" t="s">
        <v>68</v>
      </c>
      <c r="B190" t="s">
        <v>70</v>
      </c>
      <c r="C190">
        <v>18</v>
      </c>
      <c r="D190" t="s">
        <v>101</v>
      </c>
      <c r="E190" t="s">
        <v>102</v>
      </c>
      <c r="F190" t="s">
        <v>73</v>
      </c>
      <c r="G190">
        <v>1</v>
      </c>
      <c r="H190">
        <v>0</v>
      </c>
      <c r="I190" s="5" t="str">
        <f>OutputTable[[#This Row],[ProjectName]]&amp;OutputTable[[#This Row],[Name]]&amp;OutputTable[[#This Row],[Type]]&amp;OutputTable[[#This Row],[Source]]</f>
        <v>Escenario AEntity 1.NumberOutNumber OutEntity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27</v>
      </c>
      <c r="K190" s="5" cm="1">
        <f t="array" ref="K190">IFERROR(AVERAGE(IF((OutputTable[GroupByKey]=OutputTable[[#This Row],[GroupByKey]]),(OutputTable[GroupByKey]=OutputTable[[#This Row],[GroupByKey]])*OutputTable[RecordedValue])),0)</f>
        <v>1.1851851851851851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1.0754976321197349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190" s="5" cm="1">
        <f t="array" ref="O190">MIN(IF((OutputTable[GroupByKey]=OutputTable[[#This Row],[GroupByKey]]),(OutputTable[GroupByKey]=OutputTable[[#This Row],[GroupByKey]])*OutputTable[RecordedValue]))</f>
        <v>0</v>
      </c>
      <c r="P190" s="5" cm="1">
        <f t="array" ref="P190">MAX(IF((OutputTable[GroupByKey]=OutputTable[[#This Row],[GroupByKey]]),(OutputTable[GroupByKey]=OutputTable[[#This Row],[GroupByKey]])*OutputTable[RecordedValue]))</f>
        <v>4</v>
      </c>
    </row>
    <row r="191" spans="1:16" x14ac:dyDescent="0.25">
      <c r="A191" t="s">
        <v>68</v>
      </c>
      <c r="B191" t="s">
        <v>70</v>
      </c>
      <c r="C191">
        <v>18</v>
      </c>
      <c r="D191" t="s">
        <v>103</v>
      </c>
      <c r="E191" t="s">
        <v>104</v>
      </c>
      <c r="F191" t="s">
        <v>87</v>
      </c>
      <c r="G191">
        <v>0</v>
      </c>
      <c r="H191">
        <v>0</v>
      </c>
      <c r="I191" s="5" t="str">
        <f>OutputTable[[#This Row],[ProjectName]]&amp;OutputTable[[#This Row],[Name]]&amp;OutputTable[[#This Row],[Type]]&amp;OutputTable[[#This Row],[Source]]</f>
        <v>Escenario ASeguimiemto Accum VA TimeAccum VA TimeProcess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27</v>
      </c>
      <c r="K191" s="5" cm="1">
        <f t="array" ref="K191">IFERROR(AVERAGE(IF((OutputTable[GroupByKey]=OutputTable[[#This Row],[GroupByKey]]),(OutputTable[GroupByKey]=OutputTable[[#This Row],[GroupByKey]])*OutputTable[RecordedValue])),0)</f>
        <v>9.5157533027466656E-2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0.4944530457794572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191" s="5" cm="1">
        <f t="array" ref="O191">MIN(IF((OutputTable[GroupByKey]=OutputTable[[#This Row],[GroupByKey]]),(OutputTable[GroupByKey]=OutputTable[[#This Row],[GroupByKey]])*OutputTable[RecordedValue]))</f>
        <v>0</v>
      </c>
      <c r="P191" s="5" cm="1">
        <f t="array" ref="P191">MAX(IF((OutputTable[GroupByKey]=OutputTable[[#This Row],[GroupByKey]]),(OutputTable[GroupByKey]=OutputTable[[#This Row],[GroupByKey]])*OutputTable[RecordedValue]))</f>
        <v>2.5692533917415998</v>
      </c>
    </row>
    <row r="192" spans="1:16" x14ac:dyDescent="0.25">
      <c r="A192" t="s">
        <v>68</v>
      </c>
      <c r="B192" t="s">
        <v>70</v>
      </c>
      <c r="C192">
        <v>18</v>
      </c>
      <c r="D192" t="s">
        <v>105</v>
      </c>
      <c r="E192" t="s">
        <v>106</v>
      </c>
      <c r="F192" t="s">
        <v>87</v>
      </c>
      <c r="G192">
        <v>0</v>
      </c>
      <c r="H192">
        <v>0</v>
      </c>
      <c r="I192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27</v>
      </c>
      <c r="K192" s="5" cm="1">
        <f t="array" ref="K192">IFERROR(AVERAGE(IF((OutputTable[GroupByKey]=OutputTable[[#This Row],[GroupByKey]]),(OutputTable[GroupByKey]=OutputTable[[#This Row],[GroupByKey]])*OutputTable[RecordedValue])),0)</f>
        <v>0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0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" s="5" cm="1">
        <f t="array" ref="O192">MIN(IF((OutputTable[GroupByKey]=OutputTable[[#This Row],[GroupByKey]]),(OutputTable[GroupByKey]=OutputTable[[#This Row],[GroupByKey]])*OutputTable[RecordedValue]))</f>
        <v>0</v>
      </c>
      <c r="P192" s="5" cm="1">
        <f t="array" ref="P192">MAX(IF((OutputTable[GroupByKey]=OutputTable[[#This Row],[GroupByKey]]),(OutputTable[GroupByKey]=OutputTable[[#This Row],[GroupByKey]])*OutputTable[RecordedValue]))</f>
        <v>0</v>
      </c>
    </row>
    <row r="193" spans="1:16" x14ac:dyDescent="0.25">
      <c r="A193" t="s">
        <v>68</v>
      </c>
      <c r="B193" t="s">
        <v>70</v>
      </c>
      <c r="C193">
        <v>18</v>
      </c>
      <c r="D193" t="s">
        <v>107</v>
      </c>
      <c r="E193" t="s">
        <v>100</v>
      </c>
      <c r="F193" t="s">
        <v>87</v>
      </c>
      <c r="G193">
        <v>0</v>
      </c>
      <c r="H193">
        <v>0</v>
      </c>
      <c r="I193" s="5" t="str">
        <f>OutputTable[[#This Row],[ProjectName]]&amp;OutputTable[[#This Row],[Name]]&amp;OutputTable[[#This Row],[Type]]&amp;OutputTable[[#This Row],[Source]]</f>
        <v>Escenario ASeguimiemto Number InNumber InProcess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27</v>
      </c>
      <c r="K193" s="5" cm="1">
        <f t="array" ref="K193">IFERROR(AVERAGE(IF((OutputTable[GroupByKey]=OutputTable[[#This Row],[GroupByKey]]),(OutputTable[GroupByKey]=OutputTable[[#This Row],[GroupByKey]])*OutputTable[RecordedValue])),0)</f>
        <v>3.7037037037037035E-2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0.19245008972987526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93" s="5" cm="1">
        <f t="array" ref="O193">MIN(IF((OutputTable[GroupByKey]=OutputTable[[#This Row],[GroupByKey]]),(OutputTable[GroupByKey]=OutputTable[[#This Row],[GroupByKey]])*OutputTable[RecordedValue]))</f>
        <v>0</v>
      </c>
      <c r="P193" s="5" cm="1">
        <f t="array" ref="P193">MAX(IF((OutputTable[GroupByKey]=OutputTable[[#This Row],[GroupByKey]]),(OutputTable[GroupByKey]=OutputTable[[#This Row],[GroupByKey]])*OutputTable[RecordedValue]))</f>
        <v>1</v>
      </c>
    </row>
    <row r="194" spans="1:16" x14ac:dyDescent="0.25">
      <c r="A194" t="s">
        <v>68</v>
      </c>
      <c r="B194" t="s">
        <v>70</v>
      </c>
      <c r="C194">
        <v>18</v>
      </c>
      <c r="D194" t="s">
        <v>108</v>
      </c>
      <c r="E194" t="s">
        <v>102</v>
      </c>
      <c r="F194" t="s">
        <v>87</v>
      </c>
      <c r="G194">
        <v>0</v>
      </c>
      <c r="H194">
        <v>0</v>
      </c>
      <c r="I194" s="5" t="str">
        <f>OutputTable[[#This Row],[ProjectName]]&amp;OutputTable[[#This Row],[Name]]&amp;OutputTable[[#This Row],[Type]]&amp;OutputTable[[#This Row],[Source]]</f>
        <v>Escenario ASeguimiemto Number OutNumber OutProcess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27</v>
      </c>
      <c r="K194" s="5" cm="1">
        <f t="array" ref="K194">IFERROR(AVERAGE(IF((OutputTable[GroupByKey]=OutputTable[[#This Row],[GroupByKey]]),(OutputTable[GroupByKey]=OutputTable[[#This Row],[GroupByKey]])*OutputTable[RecordedValue])),0)</f>
        <v>3.7037037037037035E-2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0.19245008972987526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94" s="5" cm="1">
        <f t="array" ref="O194">MIN(IF((OutputTable[GroupByKey]=OutputTable[[#This Row],[GroupByKey]]),(OutputTable[GroupByKey]=OutputTable[[#This Row],[GroupByKey]])*OutputTable[RecordedValue]))</f>
        <v>0</v>
      </c>
      <c r="P194" s="5" cm="1">
        <f t="array" ref="P194">MAX(IF((OutputTable[GroupByKey]=OutputTable[[#This Row],[GroupByKey]]),(OutputTable[GroupByKey]=OutputTable[[#This Row],[GroupByKey]])*OutputTable[RecordedValue]))</f>
        <v>1</v>
      </c>
    </row>
    <row r="195" spans="1:16" x14ac:dyDescent="0.25">
      <c r="A195" t="s">
        <v>68</v>
      </c>
      <c r="B195" t="s">
        <v>70</v>
      </c>
      <c r="C195">
        <v>18</v>
      </c>
      <c r="D195" t="s">
        <v>109</v>
      </c>
      <c r="E195" t="s">
        <v>102</v>
      </c>
      <c r="F195" t="s">
        <v>110</v>
      </c>
      <c r="G195">
        <v>1</v>
      </c>
      <c r="H195">
        <v>0</v>
      </c>
      <c r="I195" s="5" t="str">
        <f>OutputTable[[#This Row],[ProjectName]]&amp;OutputTable[[#This Row],[Name]]&amp;OutputTable[[#This Row],[Type]]&amp;OutputTable[[#This Row],[Source]]</f>
        <v>Escenario ASystem.NumberOutNumber OutSystem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27</v>
      </c>
      <c r="K195" s="5" cm="1">
        <f t="array" ref="K195">IFERROR(AVERAGE(IF((OutputTable[GroupByKey]=OutputTable[[#This Row],[GroupByKey]]),(OutputTable[GroupByKey]=OutputTable[[#This Row],[GroupByKey]])*OutputTable[RecordedValue])),0)</f>
        <v>1.1851851851851851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1.0754976321197349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195" s="5" cm="1">
        <f t="array" ref="O195">MIN(IF((OutputTable[GroupByKey]=OutputTable[[#This Row],[GroupByKey]]),(OutputTable[GroupByKey]=OutputTable[[#This Row],[GroupByKey]])*OutputTable[RecordedValue]))</f>
        <v>0</v>
      </c>
      <c r="P195" s="5" cm="1">
        <f t="array" ref="P195">MAX(IF((OutputTable[GroupByKey]=OutputTable[[#This Row],[GroupByKey]]),(OutputTable[GroupByKey]=OutputTable[[#This Row],[GroupByKey]])*OutputTable[RecordedValue]))</f>
        <v>4</v>
      </c>
    </row>
    <row r="196" spans="1:16" x14ac:dyDescent="0.25">
      <c r="A196" t="s">
        <v>68</v>
      </c>
      <c r="B196" t="s">
        <v>70</v>
      </c>
      <c r="C196">
        <v>18</v>
      </c>
      <c r="D196" t="s">
        <v>111</v>
      </c>
      <c r="E196" t="s">
        <v>112</v>
      </c>
      <c r="F196" t="s">
        <v>95</v>
      </c>
      <c r="G196">
        <v>1</v>
      </c>
      <c r="H196">
        <v>0</v>
      </c>
      <c r="I196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27</v>
      </c>
      <c r="K196" s="5" cm="1">
        <f t="array" ref="K196">IFERROR(AVERAGE(IF((OutputTable[GroupByKey]=OutputTable[[#This Row],[GroupByKey]]),(OutputTable[GroupByKey]=OutputTable[[#This Row],[GroupByKey]])*OutputTable[RecordedValue])),0)</f>
        <v>1.2962962962962963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1.1706281947614154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196" s="5" cm="1">
        <f t="array" ref="O196">MIN(IF((OutputTable[GroupByKey]=OutputTable[[#This Row],[GroupByKey]]),(OutputTable[GroupByKey]=OutputTable[[#This Row],[GroupByKey]])*OutputTable[RecordedValue]))</f>
        <v>0</v>
      </c>
      <c r="P196" s="5" cm="1">
        <f t="array" ref="P196">MAX(IF((OutputTable[GroupByKey]=OutputTable[[#This Row],[GroupByKey]]),(OutputTable[GroupByKey]=OutputTable[[#This Row],[GroupByKey]])*OutputTable[RecordedValue]))</f>
        <v>5</v>
      </c>
    </row>
    <row r="197" spans="1:16" x14ac:dyDescent="0.25">
      <c r="A197" t="s">
        <v>68</v>
      </c>
      <c r="B197" t="s">
        <v>70</v>
      </c>
      <c r="C197">
        <v>18</v>
      </c>
      <c r="D197" t="s">
        <v>113</v>
      </c>
      <c r="E197" t="s">
        <v>114</v>
      </c>
      <c r="F197" t="s">
        <v>95</v>
      </c>
      <c r="G197">
        <v>9.6979355329771203E-3</v>
      </c>
      <c r="H197">
        <v>0</v>
      </c>
      <c r="I197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27</v>
      </c>
      <c r="K197" s="5" cm="1">
        <f t="array" ref="K197">IFERROR(AVERAGE(IF((OutputTable[GroupByKey]=OutputTable[[#This Row],[GroupByKey]]),(OutputTable[GroupByKey]=OutputTable[[#This Row],[GroupByKey]])*OutputTable[RecordedValue])),0)</f>
        <v>1.2223949425906553E-2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1.112543407769513E-2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197" s="5" cm="1">
        <f t="array" ref="O197">MIN(IF((OutputTable[GroupByKey]=OutputTable[[#This Row],[GroupByKey]]),(OutputTable[GroupByKey]=OutputTable[[#This Row],[GroupByKey]])*OutputTable[RecordedValue]))</f>
        <v>0</v>
      </c>
      <c r="P197" s="5" cm="1">
        <f t="array" ref="P197">MAX(IF((OutputTable[GroupByKey]=OutputTable[[#This Row],[GroupByKey]]),(OutputTable[GroupByKey]=OutputTable[[#This Row],[GroupByKey]])*OutputTable[RecordedValue]))</f>
        <v>4.2906548761083699E-2</v>
      </c>
    </row>
    <row r="198" spans="1:16" x14ac:dyDescent="0.25">
      <c r="A198" t="s">
        <v>68</v>
      </c>
      <c r="B198" t="s">
        <v>70</v>
      </c>
      <c r="C198">
        <v>18</v>
      </c>
      <c r="D198" t="s">
        <v>115</v>
      </c>
      <c r="E198" t="s">
        <v>112</v>
      </c>
      <c r="F198" t="s">
        <v>95</v>
      </c>
      <c r="G198">
        <v>0</v>
      </c>
      <c r="H198">
        <v>0</v>
      </c>
      <c r="I198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27</v>
      </c>
      <c r="K198" s="5" cm="1">
        <f t="array" ref="K198">IFERROR(AVERAGE(IF((OutputTable[GroupByKey]=OutputTable[[#This Row],[GroupByKey]]),(OutputTable[GroupByKey]=OutputTable[[#This Row],[GroupByKey]])*OutputTable[RecordedValue])),0)</f>
        <v>3.7037037037037035E-2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0.19245008972987526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198" s="5" cm="1">
        <f t="array" ref="O198">MIN(IF((OutputTable[GroupByKey]=OutputTable[[#This Row],[GroupByKey]]),(OutputTable[GroupByKey]=OutputTable[[#This Row],[GroupByKey]])*OutputTable[RecordedValue]))</f>
        <v>0</v>
      </c>
      <c r="P198" s="5" cm="1">
        <f t="array" ref="P198">MAX(IF((OutputTable[GroupByKey]=OutputTable[[#This Row],[GroupByKey]]),(OutputTable[GroupByKey]=OutputTable[[#This Row],[GroupByKey]])*OutputTable[RecordedValue]))</f>
        <v>1</v>
      </c>
    </row>
    <row r="199" spans="1:16" x14ac:dyDescent="0.25">
      <c r="A199" t="s">
        <v>68</v>
      </c>
      <c r="B199" t="s">
        <v>70</v>
      </c>
      <c r="C199">
        <v>18</v>
      </c>
      <c r="D199" t="s">
        <v>116</v>
      </c>
      <c r="E199" t="s">
        <v>114</v>
      </c>
      <c r="F199" t="s">
        <v>95</v>
      </c>
      <c r="G199">
        <v>0</v>
      </c>
      <c r="H199">
        <v>0</v>
      </c>
      <c r="I199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27</v>
      </c>
      <c r="K199" s="5" cm="1">
        <f t="array" ref="K199">IFERROR(AVERAGE(IF((OutputTable[GroupByKey]=OutputTable[[#This Row],[GroupByKey]]),(OutputTable[GroupByKey]=OutputTable[[#This Row],[GroupByKey]])*OutputTable[RecordedValue])),0)</f>
        <v>1.5859588837911111E-4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8.2408840963242873E-4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199" s="5" cm="1">
        <f t="array" ref="O199">MIN(IF((OutputTable[GroupByKey]=OutputTable[[#This Row],[GroupByKey]]),(OutputTable[GroupByKey]=OutputTable[[#This Row],[GroupByKey]])*OutputTable[RecordedValue]))</f>
        <v>0</v>
      </c>
      <c r="P199" s="5" cm="1">
        <f t="array" ref="P199">MAX(IF((OutputTable[GroupByKey]=OutputTable[[#This Row],[GroupByKey]]),(OutputTable[GroupByKey]=OutputTable[[#This Row],[GroupByKey]])*OutputTable[RecordedValue]))</f>
        <v>4.2820889862359999E-3</v>
      </c>
    </row>
    <row r="200" spans="1:16" x14ac:dyDescent="0.25">
      <c r="A200" t="s">
        <v>68</v>
      </c>
      <c r="B200" t="s">
        <v>70</v>
      </c>
      <c r="C200">
        <v>19</v>
      </c>
      <c r="D200" t="s">
        <v>99</v>
      </c>
      <c r="E200" t="s">
        <v>100</v>
      </c>
      <c r="F200" t="s">
        <v>73</v>
      </c>
      <c r="G200">
        <v>2</v>
      </c>
      <c r="H200">
        <v>0</v>
      </c>
      <c r="I200" s="5" t="str">
        <f>OutputTable[[#This Row],[ProjectName]]&amp;OutputTable[[#This Row],[Name]]&amp;OutputTable[[#This Row],[Type]]&amp;OutputTable[[#This Row],[Source]]</f>
        <v>Escenario AEntity 1.NumberInNumber InEntity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27</v>
      </c>
      <c r="K200" s="5" cm="1">
        <f t="array" ref="K200">IFERROR(AVERAGE(IF((OutputTable[GroupByKey]=OutputTable[[#This Row],[GroupByKey]]),(OutputTable[GroupByKey]=OutputTable[[#This Row],[GroupByKey]])*OutputTable[RecordedValue])),0)</f>
        <v>1.2962962962962963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1.1706281947614154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200" s="5" cm="1">
        <f t="array" ref="O200">MIN(IF((OutputTable[GroupByKey]=OutputTable[[#This Row],[GroupByKey]]),(OutputTable[GroupByKey]=OutputTable[[#This Row],[GroupByKey]])*OutputTable[RecordedValue]))</f>
        <v>0</v>
      </c>
      <c r="P200" s="5" cm="1">
        <f t="array" ref="P200">MAX(IF((OutputTable[GroupByKey]=OutputTable[[#This Row],[GroupByKey]]),(OutputTable[GroupByKey]=OutputTable[[#This Row],[GroupByKey]])*OutputTable[RecordedValue]))</f>
        <v>5</v>
      </c>
    </row>
    <row r="201" spans="1:16" x14ac:dyDescent="0.25">
      <c r="A201" t="s">
        <v>68</v>
      </c>
      <c r="B201" t="s">
        <v>70</v>
      </c>
      <c r="C201">
        <v>19</v>
      </c>
      <c r="D201" t="s">
        <v>101</v>
      </c>
      <c r="E201" t="s">
        <v>102</v>
      </c>
      <c r="F201" t="s">
        <v>73</v>
      </c>
      <c r="G201">
        <v>1</v>
      </c>
      <c r="H201">
        <v>0</v>
      </c>
      <c r="I201" s="5" t="str">
        <f>OutputTable[[#This Row],[ProjectName]]&amp;OutputTable[[#This Row],[Name]]&amp;OutputTable[[#This Row],[Type]]&amp;OutputTable[[#This Row],[Source]]</f>
        <v>Escenario AEntity 1.NumberOutNumber OutEntity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27</v>
      </c>
      <c r="K201" s="5" cm="1">
        <f t="array" ref="K201">IFERROR(AVERAGE(IF((OutputTable[GroupByKey]=OutputTable[[#This Row],[GroupByKey]]),(OutputTable[GroupByKey]=OutputTable[[#This Row],[GroupByKey]])*OutputTable[RecordedValue])),0)</f>
        <v>1.1851851851851851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1.0754976321197349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201" s="5" cm="1">
        <f t="array" ref="O201">MIN(IF((OutputTable[GroupByKey]=OutputTable[[#This Row],[GroupByKey]]),(OutputTable[GroupByKey]=OutputTable[[#This Row],[GroupByKey]])*OutputTable[RecordedValue]))</f>
        <v>0</v>
      </c>
      <c r="P201" s="5" cm="1">
        <f t="array" ref="P201">MAX(IF((OutputTable[GroupByKey]=OutputTable[[#This Row],[GroupByKey]]),(OutputTable[GroupByKey]=OutputTable[[#This Row],[GroupByKey]])*OutputTable[RecordedValue]))</f>
        <v>4</v>
      </c>
    </row>
    <row r="202" spans="1:16" x14ac:dyDescent="0.25">
      <c r="A202" t="s">
        <v>68</v>
      </c>
      <c r="B202" t="s">
        <v>70</v>
      </c>
      <c r="C202">
        <v>19</v>
      </c>
      <c r="D202" t="s">
        <v>103</v>
      </c>
      <c r="E202" t="s">
        <v>104</v>
      </c>
      <c r="F202" t="s">
        <v>87</v>
      </c>
      <c r="G202">
        <v>0</v>
      </c>
      <c r="H202">
        <v>0</v>
      </c>
      <c r="I202" s="5" t="str">
        <f>OutputTable[[#This Row],[ProjectName]]&amp;OutputTable[[#This Row],[Name]]&amp;OutputTable[[#This Row],[Type]]&amp;OutputTable[[#This Row],[Source]]</f>
        <v>Escenario ASeguimiemto Accum VA TimeAccum VA TimeProcess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27</v>
      </c>
      <c r="K202" s="5" cm="1">
        <f t="array" ref="K202">IFERROR(AVERAGE(IF((OutputTable[GroupByKey]=OutputTable[[#This Row],[GroupByKey]]),(OutputTable[GroupByKey]=OutputTable[[#This Row],[GroupByKey]])*OutputTable[RecordedValue])),0)</f>
        <v>9.5157533027466656E-2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0.4944530457794572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202" s="5" cm="1">
        <f t="array" ref="O202">MIN(IF((OutputTable[GroupByKey]=OutputTable[[#This Row],[GroupByKey]]),(OutputTable[GroupByKey]=OutputTable[[#This Row],[GroupByKey]])*OutputTable[RecordedValue]))</f>
        <v>0</v>
      </c>
      <c r="P202" s="5" cm="1">
        <f t="array" ref="P202">MAX(IF((OutputTable[GroupByKey]=OutputTable[[#This Row],[GroupByKey]]),(OutputTable[GroupByKey]=OutputTable[[#This Row],[GroupByKey]])*OutputTable[RecordedValue]))</f>
        <v>2.5692533917415998</v>
      </c>
    </row>
    <row r="203" spans="1:16" x14ac:dyDescent="0.25">
      <c r="A203" t="s">
        <v>68</v>
      </c>
      <c r="B203" t="s">
        <v>70</v>
      </c>
      <c r="C203">
        <v>19</v>
      </c>
      <c r="D203" t="s">
        <v>105</v>
      </c>
      <c r="E203" t="s">
        <v>106</v>
      </c>
      <c r="F203" t="s">
        <v>87</v>
      </c>
      <c r="G203">
        <v>0</v>
      </c>
      <c r="H203">
        <v>0</v>
      </c>
      <c r="I203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27</v>
      </c>
      <c r="K203" s="5" cm="1">
        <f t="array" ref="K203">IFERROR(AVERAGE(IF((OutputTable[GroupByKey]=OutputTable[[#This Row],[GroupByKey]]),(OutputTable[GroupByKey]=OutputTable[[#This Row],[GroupByKey]])*OutputTable[RecordedValue])),0)</f>
        <v>0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0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" s="5" cm="1">
        <f t="array" ref="O203">MIN(IF((OutputTable[GroupByKey]=OutputTable[[#This Row],[GroupByKey]]),(OutputTable[GroupByKey]=OutputTable[[#This Row],[GroupByKey]])*OutputTable[RecordedValue]))</f>
        <v>0</v>
      </c>
      <c r="P203" s="5" cm="1">
        <f t="array" ref="P203">MAX(IF((OutputTable[GroupByKey]=OutputTable[[#This Row],[GroupByKey]]),(OutputTable[GroupByKey]=OutputTable[[#This Row],[GroupByKey]])*OutputTable[RecordedValue]))</f>
        <v>0</v>
      </c>
    </row>
    <row r="204" spans="1:16" x14ac:dyDescent="0.25">
      <c r="A204" t="s">
        <v>68</v>
      </c>
      <c r="B204" t="s">
        <v>70</v>
      </c>
      <c r="C204">
        <v>19</v>
      </c>
      <c r="D204" t="s">
        <v>107</v>
      </c>
      <c r="E204" t="s">
        <v>100</v>
      </c>
      <c r="F204" t="s">
        <v>87</v>
      </c>
      <c r="G204">
        <v>0</v>
      </c>
      <c r="H204">
        <v>0</v>
      </c>
      <c r="I204" s="5" t="str">
        <f>OutputTable[[#This Row],[ProjectName]]&amp;OutputTable[[#This Row],[Name]]&amp;OutputTable[[#This Row],[Type]]&amp;OutputTable[[#This Row],[Source]]</f>
        <v>Escenario ASeguimiemto Number InNumber InProcess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27</v>
      </c>
      <c r="K204" s="5" cm="1">
        <f t="array" ref="K204">IFERROR(AVERAGE(IF((OutputTable[GroupByKey]=OutputTable[[#This Row],[GroupByKey]]),(OutputTable[GroupByKey]=OutputTable[[#This Row],[GroupByKey]])*OutputTable[RecordedValue])),0)</f>
        <v>3.7037037037037035E-2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0.19245008972987526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04" s="5" cm="1">
        <f t="array" ref="O204">MIN(IF((OutputTable[GroupByKey]=OutputTable[[#This Row],[GroupByKey]]),(OutputTable[GroupByKey]=OutputTable[[#This Row],[GroupByKey]])*OutputTable[RecordedValue]))</f>
        <v>0</v>
      </c>
      <c r="P204" s="5" cm="1">
        <f t="array" ref="P204">MAX(IF((OutputTable[GroupByKey]=OutputTable[[#This Row],[GroupByKey]]),(OutputTable[GroupByKey]=OutputTable[[#This Row],[GroupByKey]])*OutputTable[RecordedValue]))</f>
        <v>1</v>
      </c>
    </row>
    <row r="205" spans="1:16" x14ac:dyDescent="0.25">
      <c r="A205" t="s">
        <v>68</v>
      </c>
      <c r="B205" t="s">
        <v>70</v>
      </c>
      <c r="C205">
        <v>19</v>
      </c>
      <c r="D205" t="s">
        <v>108</v>
      </c>
      <c r="E205" t="s">
        <v>102</v>
      </c>
      <c r="F205" t="s">
        <v>87</v>
      </c>
      <c r="G205">
        <v>0</v>
      </c>
      <c r="H205">
        <v>0</v>
      </c>
      <c r="I205" s="5" t="str">
        <f>OutputTable[[#This Row],[ProjectName]]&amp;OutputTable[[#This Row],[Name]]&amp;OutputTable[[#This Row],[Type]]&amp;OutputTable[[#This Row],[Source]]</f>
        <v>Escenario ASeguimiemto Number OutNumber OutProcess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27</v>
      </c>
      <c r="K205" s="5" cm="1">
        <f t="array" ref="K205">IFERROR(AVERAGE(IF((OutputTable[GroupByKey]=OutputTable[[#This Row],[GroupByKey]]),(OutputTable[GroupByKey]=OutputTable[[#This Row],[GroupByKey]])*OutputTable[RecordedValue])),0)</f>
        <v>3.7037037037037035E-2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0.19245008972987526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05" s="5" cm="1">
        <f t="array" ref="O205">MIN(IF((OutputTable[GroupByKey]=OutputTable[[#This Row],[GroupByKey]]),(OutputTable[GroupByKey]=OutputTable[[#This Row],[GroupByKey]])*OutputTable[RecordedValue]))</f>
        <v>0</v>
      </c>
      <c r="P205" s="5" cm="1">
        <f t="array" ref="P205">MAX(IF((OutputTable[GroupByKey]=OutputTable[[#This Row],[GroupByKey]]),(OutputTable[GroupByKey]=OutputTable[[#This Row],[GroupByKey]])*OutputTable[RecordedValue]))</f>
        <v>1</v>
      </c>
    </row>
    <row r="206" spans="1:16" x14ac:dyDescent="0.25">
      <c r="A206" t="s">
        <v>68</v>
      </c>
      <c r="B206" t="s">
        <v>70</v>
      </c>
      <c r="C206">
        <v>19</v>
      </c>
      <c r="D206" t="s">
        <v>109</v>
      </c>
      <c r="E206" t="s">
        <v>102</v>
      </c>
      <c r="F206" t="s">
        <v>110</v>
      </c>
      <c r="G206">
        <v>1</v>
      </c>
      <c r="H206">
        <v>0</v>
      </c>
      <c r="I206" s="5" t="str">
        <f>OutputTable[[#This Row],[ProjectName]]&amp;OutputTable[[#This Row],[Name]]&amp;OutputTable[[#This Row],[Type]]&amp;OutputTable[[#This Row],[Source]]</f>
        <v>Escenario ASystem.NumberOutNumber OutSystem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27</v>
      </c>
      <c r="K206" s="5" cm="1">
        <f t="array" ref="K206">IFERROR(AVERAGE(IF((OutputTable[GroupByKey]=OutputTable[[#This Row],[GroupByKey]]),(OutputTable[GroupByKey]=OutputTable[[#This Row],[GroupByKey]])*OutputTable[RecordedValue])),0)</f>
        <v>1.1851851851851851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1.0754976321197349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206" s="5" cm="1">
        <f t="array" ref="O206">MIN(IF((OutputTable[GroupByKey]=OutputTable[[#This Row],[GroupByKey]]),(OutputTable[GroupByKey]=OutputTable[[#This Row],[GroupByKey]])*OutputTable[RecordedValue]))</f>
        <v>0</v>
      </c>
      <c r="P206" s="5" cm="1">
        <f t="array" ref="P206">MAX(IF((OutputTable[GroupByKey]=OutputTable[[#This Row],[GroupByKey]]),(OutputTable[GroupByKey]=OutputTable[[#This Row],[GroupByKey]])*OutputTable[RecordedValue]))</f>
        <v>4</v>
      </c>
    </row>
    <row r="207" spans="1:16" x14ac:dyDescent="0.25">
      <c r="A207" t="s">
        <v>68</v>
      </c>
      <c r="B207" t="s">
        <v>70</v>
      </c>
      <c r="C207">
        <v>19</v>
      </c>
      <c r="D207" t="s">
        <v>111</v>
      </c>
      <c r="E207" t="s">
        <v>112</v>
      </c>
      <c r="F207" t="s">
        <v>95</v>
      </c>
      <c r="G207">
        <v>2</v>
      </c>
      <c r="H207">
        <v>0</v>
      </c>
      <c r="I207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27</v>
      </c>
      <c r="K207" s="5" cm="1">
        <f t="array" ref="K207">IFERROR(AVERAGE(IF((OutputTable[GroupByKey]=OutputTable[[#This Row],[GroupByKey]]),(OutputTable[GroupByKey]=OutputTable[[#This Row],[GroupByKey]])*OutputTable[RecordedValue])),0)</f>
        <v>1.2962962962962963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1.1706281947614154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207" s="5" cm="1">
        <f t="array" ref="O207">MIN(IF((OutputTable[GroupByKey]=OutputTable[[#This Row],[GroupByKey]]),(OutputTable[GroupByKey]=OutputTable[[#This Row],[GroupByKey]])*OutputTable[RecordedValue]))</f>
        <v>0</v>
      </c>
      <c r="P207" s="5" cm="1">
        <f t="array" ref="P207">MAX(IF((OutputTable[GroupByKey]=OutputTable[[#This Row],[GroupByKey]]),(OutputTable[GroupByKey]=OutputTable[[#This Row],[GroupByKey]])*OutputTable[RecordedValue]))</f>
        <v>5</v>
      </c>
    </row>
    <row r="208" spans="1:16" x14ac:dyDescent="0.25">
      <c r="A208" t="s">
        <v>68</v>
      </c>
      <c r="B208" t="s">
        <v>70</v>
      </c>
      <c r="C208">
        <v>19</v>
      </c>
      <c r="D208" t="s">
        <v>113</v>
      </c>
      <c r="E208" t="s">
        <v>114</v>
      </c>
      <c r="F208" t="s">
        <v>95</v>
      </c>
      <c r="G208">
        <v>1.47960113910471E-2</v>
      </c>
      <c r="H208">
        <v>0</v>
      </c>
      <c r="I208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27</v>
      </c>
      <c r="K208" s="5" cm="1">
        <f t="array" ref="K208">IFERROR(AVERAGE(IF((OutputTable[GroupByKey]=OutputTable[[#This Row],[GroupByKey]]),(OutputTable[GroupByKey]=OutputTable[[#This Row],[GroupByKey]])*OutputTable[RecordedValue])),0)</f>
        <v>1.2223949425906553E-2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1.112543407769513E-2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208" s="5" cm="1">
        <f t="array" ref="O208">MIN(IF((OutputTable[GroupByKey]=OutputTable[[#This Row],[GroupByKey]]),(OutputTable[GroupByKey]=OutputTable[[#This Row],[GroupByKey]])*OutputTable[RecordedValue]))</f>
        <v>0</v>
      </c>
      <c r="P208" s="5" cm="1">
        <f t="array" ref="P208">MAX(IF((OutputTable[GroupByKey]=OutputTable[[#This Row],[GroupByKey]]),(OutputTable[GroupByKey]=OutputTable[[#This Row],[GroupByKey]])*OutputTable[RecordedValue]))</f>
        <v>4.2906548761083699E-2</v>
      </c>
    </row>
    <row r="209" spans="1:16" x14ac:dyDescent="0.25">
      <c r="A209" t="s">
        <v>68</v>
      </c>
      <c r="B209" t="s">
        <v>70</v>
      </c>
      <c r="C209">
        <v>19</v>
      </c>
      <c r="D209" t="s">
        <v>115</v>
      </c>
      <c r="E209" t="s">
        <v>112</v>
      </c>
      <c r="F209" t="s">
        <v>95</v>
      </c>
      <c r="G209">
        <v>0</v>
      </c>
      <c r="H209">
        <v>0</v>
      </c>
      <c r="I209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27</v>
      </c>
      <c r="K209" s="5" cm="1">
        <f t="array" ref="K209">IFERROR(AVERAGE(IF((OutputTable[GroupByKey]=OutputTable[[#This Row],[GroupByKey]]),(OutputTable[GroupByKey]=OutputTable[[#This Row],[GroupByKey]])*OutputTable[RecordedValue])),0)</f>
        <v>3.7037037037037035E-2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0.19245008972987526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09" s="5" cm="1">
        <f t="array" ref="O209">MIN(IF((OutputTable[GroupByKey]=OutputTable[[#This Row],[GroupByKey]]),(OutputTable[GroupByKey]=OutputTable[[#This Row],[GroupByKey]])*OutputTable[RecordedValue]))</f>
        <v>0</v>
      </c>
      <c r="P209" s="5" cm="1">
        <f t="array" ref="P209">MAX(IF((OutputTable[GroupByKey]=OutputTable[[#This Row],[GroupByKey]]),(OutputTable[GroupByKey]=OutputTable[[#This Row],[GroupByKey]])*OutputTable[RecordedValue]))</f>
        <v>1</v>
      </c>
    </row>
    <row r="210" spans="1:16" x14ac:dyDescent="0.25">
      <c r="A210" t="s">
        <v>68</v>
      </c>
      <c r="B210" t="s">
        <v>70</v>
      </c>
      <c r="C210">
        <v>19</v>
      </c>
      <c r="D210" t="s">
        <v>116</v>
      </c>
      <c r="E210" t="s">
        <v>114</v>
      </c>
      <c r="F210" t="s">
        <v>95</v>
      </c>
      <c r="G210">
        <v>0</v>
      </c>
      <c r="H210">
        <v>0</v>
      </c>
      <c r="I210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27</v>
      </c>
      <c r="K210" s="5" cm="1">
        <f t="array" ref="K210">IFERROR(AVERAGE(IF((OutputTable[GroupByKey]=OutputTable[[#This Row],[GroupByKey]]),(OutputTable[GroupByKey]=OutputTable[[#This Row],[GroupByKey]])*OutputTable[RecordedValue])),0)</f>
        <v>1.5859588837911111E-4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8.2408840963242873E-4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210" s="5" cm="1">
        <f t="array" ref="O210">MIN(IF((OutputTable[GroupByKey]=OutputTable[[#This Row],[GroupByKey]]),(OutputTable[GroupByKey]=OutputTable[[#This Row],[GroupByKey]])*OutputTable[RecordedValue]))</f>
        <v>0</v>
      </c>
      <c r="P210" s="5" cm="1">
        <f t="array" ref="P210">MAX(IF((OutputTable[GroupByKey]=OutputTable[[#This Row],[GroupByKey]]),(OutputTable[GroupByKey]=OutputTable[[#This Row],[GroupByKey]])*OutputTable[RecordedValue]))</f>
        <v>4.2820889862359999E-3</v>
      </c>
    </row>
    <row r="211" spans="1:16" x14ac:dyDescent="0.25">
      <c r="A211" t="s">
        <v>68</v>
      </c>
      <c r="B211" t="s">
        <v>70</v>
      </c>
      <c r="C211">
        <v>20</v>
      </c>
      <c r="D211" t="s">
        <v>99</v>
      </c>
      <c r="E211" t="s">
        <v>100</v>
      </c>
      <c r="F211" t="s">
        <v>73</v>
      </c>
      <c r="G211">
        <v>1</v>
      </c>
      <c r="H211">
        <v>0</v>
      </c>
      <c r="I211" s="5" t="str">
        <f>OutputTable[[#This Row],[ProjectName]]&amp;OutputTable[[#This Row],[Name]]&amp;OutputTable[[#This Row],[Type]]&amp;OutputTable[[#This Row],[Source]]</f>
        <v>Escenario AEntity 1.NumberInNumber InEntity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27</v>
      </c>
      <c r="K211" s="5" cm="1">
        <f t="array" ref="K211">IFERROR(AVERAGE(IF((OutputTable[GroupByKey]=OutputTable[[#This Row],[GroupByKey]]),(OutputTable[GroupByKey]=OutputTable[[#This Row],[GroupByKey]])*OutputTable[RecordedValue])),0)</f>
        <v>1.2962962962962963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1.1706281947614154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211" s="5" cm="1">
        <f t="array" ref="O211">MIN(IF((OutputTable[GroupByKey]=OutputTable[[#This Row],[GroupByKey]]),(OutputTable[GroupByKey]=OutputTable[[#This Row],[GroupByKey]])*OutputTable[RecordedValue]))</f>
        <v>0</v>
      </c>
      <c r="P211" s="5" cm="1">
        <f t="array" ref="P211">MAX(IF((OutputTable[GroupByKey]=OutputTable[[#This Row],[GroupByKey]]),(OutputTable[GroupByKey]=OutputTable[[#This Row],[GroupByKey]])*OutputTable[RecordedValue]))</f>
        <v>5</v>
      </c>
    </row>
    <row r="212" spans="1:16" x14ac:dyDescent="0.25">
      <c r="A212" t="s">
        <v>68</v>
      </c>
      <c r="B212" t="s">
        <v>70</v>
      </c>
      <c r="C212">
        <v>20</v>
      </c>
      <c r="D212" t="s">
        <v>101</v>
      </c>
      <c r="E212" t="s">
        <v>102</v>
      </c>
      <c r="F212" t="s">
        <v>73</v>
      </c>
      <c r="G212">
        <v>1</v>
      </c>
      <c r="H212">
        <v>0</v>
      </c>
      <c r="I212" s="5" t="str">
        <f>OutputTable[[#This Row],[ProjectName]]&amp;OutputTable[[#This Row],[Name]]&amp;OutputTable[[#This Row],[Type]]&amp;OutputTable[[#This Row],[Source]]</f>
        <v>Escenario AEntity 1.NumberOutNumber OutEntity</v>
      </c>
      <c r="J212" s="5" cm="1">
        <f t="array" ref="J212">MAX(IF((ProjectInfoTable[ProjectName]=OutputTable[[#This Row],[ProjectName]]),(ProjectInfoTable[ProjectName]=OutputTable[[#This Row],[ProjectName]])*ProjectInfoTable[NumberOfReplications]))</f>
        <v>27</v>
      </c>
      <c r="K212" s="5" cm="1">
        <f t="array" ref="K212">IFERROR(AVERAGE(IF((OutputTable[GroupByKey]=OutputTable[[#This Row],[GroupByKey]]),(OutputTable[GroupByKey]=OutputTable[[#This Row],[GroupByKey]])*OutputTable[RecordedValue])),0)</f>
        <v>1.1851851851851851</v>
      </c>
      <c r="L212" s="5" cm="1">
        <f t="array" ref="L212">IFERROR(_xlfn.STDEV.S(IF((OutputTable[GroupByKey]=OutputTable[[#This Row],[GroupByKey]]),(OutputTable[GroupByKey]=OutputTable[[#This Row],[GroupByKey]])*OutputTable[RecordedValue])),0)</f>
        <v>1.0754976321197349</v>
      </c>
      <c r="M212" s="5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212" s="5" cm="1">
        <f t="array" ref="O212">MIN(IF((OutputTable[GroupByKey]=OutputTable[[#This Row],[GroupByKey]]),(OutputTable[GroupByKey]=OutputTable[[#This Row],[GroupByKey]])*OutputTable[RecordedValue]))</f>
        <v>0</v>
      </c>
      <c r="P212" s="5" cm="1">
        <f t="array" ref="P212">MAX(IF((OutputTable[GroupByKey]=OutputTable[[#This Row],[GroupByKey]]),(OutputTable[GroupByKey]=OutputTable[[#This Row],[GroupByKey]])*OutputTable[RecordedValue]))</f>
        <v>4</v>
      </c>
    </row>
    <row r="213" spans="1:16" x14ac:dyDescent="0.25">
      <c r="A213" t="s">
        <v>68</v>
      </c>
      <c r="B213" t="s">
        <v>70</v>
      </c>
      <c r="C213">
        <v>20</v>
      </c>
      <c r="D213" t="s">
        <v>103</v>
      </c>
      <c r="E213" t="s">
        <v>104</v>
      </c>
      <c r="F213" t="s">
        <v>87</v>
      </c>
      <c r="G213">
        <v>0</v>
      </c>
      <c r="H213">
        <v>0</v>
      </c>
      <c r="I213" s="5" t="str">
        <f>OutputTable[[#This Row],[ProjectName]]&amp;OutputTable[[#This Row],[Name]]&amp;OutputTable[[#This Row],[Type]]&amp;OutputTable[[#This Row],[Source]]</f>
        <v>Escenario ASeguimiemto Accum VA TimeAccum VA TimeProcess</v>
      </c>
      <c r="J213" s="5" cm="1">
        <f t="array" ref="J213">MAX(IF((ProjectInfoTable[ProjectName]=OutputTable[[#This Row],[ProjectName]]),(ProjectInfoTable[ProjectName]=OutputTable[[#This Row],[ProjectName]])*ProjectInfoTable[NumberOfReplications]))</f>
        <v>27</v>
      </c>
      <c r="K213" s="5" cm="1">
        <f t="array" ref="K213">IFERROR(AVERAGE(IF((OutputTable[GroupByKey]=OutputTable[[#This Row],[GroupByKey]]),(OutputTable[GroupByKey]=OutputTable[[#This Row],[GroupByKey]])*OutputTable[RecordedValue])),0)</f>
        <v>9.5157533027466656E-2</v>
      </c>
      <c r="L213" s="5" cm="1">
        <f t="array" ref="L213">IFERROR(_xlfn.STDEV.S(IF((OutputTable[GroupByKey]=OutputTable[[#This Row],[GroupByKey]]),(OutputTable[GroupByKey]=OutputTable[[#This Row],[GroupByKey]])*OutputTable[RecordedValue])),0)</f>
        <v>0.4944530457794572</v>
      </c>
      <c r="M213" s="5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213" s="5" cm="1">
        <f t="array" ref="O213">MIN(IF((OutputTable[GroupByKey]=OutputTable[[#This Row],[GroupByKey]]),(OutputTable[GroupByKey]=OutputTable[[#This Row],[GroupByKey]])*OutputTable[RecordedValue]))</f>
        <v>0</v>
      </c>
      <c r="P213" s="5" cm="1">
        <f t="array" ref="P213">MAX(IF((OutputTable[GroupByKey]=OutputTable[[#This Row],[GroupByKey]]),(OutputTable[GroupByKey]=OutputTable[[#This Row],[GroupByKey]])*OutputTable[RecordedValue]))</f>
        <v>2.5692533917415998</v>
      </c>
    </row>
    <row r="214" spans="1:16" x14ac:dyDescent="0.25">
      <c r="A214" t="s">
        <v>68</v>
      </c>
      <c r="B214" t="s">
        <v>70</v>
      </c>
      <c r="C214">
        <v>20</v>
      </c>
      <c r="D214" t="s">
        <v>105</v>
      </c>
      <c r="E214" t="s">
        <v>106</v>
      </c>
      <c r="F214" t="s">
        <v>87</v>
      </c>
      <c r="G214">
        <v>0</v>
      </c>
      <c r="H214">
        <v>0</v>
      </c>
      <c r="I214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214" s="5" cm="1">
        <f t="array" ref="J214">MAX(IF((ProjectInfoTable[ProjectName]=OutputTable[[#This Row],[ProjectName]]),(ProjectInfoTable[ProjectName]=OutputTable[[#This Row],[ProjectName]])*ProjectInfoTable[NumberOfReplications]))</f>
        <v>27</v>
      </c>
      <c r="K214" s="5" cm="1">
        <f t="array" ref="K214">IFERROR(AVERAGE(IF((OutputTable[GroupByKey]=OutputTable[[#This Row],[GroupByKey]]),(OutputTable[GroupByKey]=OutputTable[[#This Row],[GroupByKey]])*OutputTable[RecordedValue])),0)</f>
        <v>0</v>
      </c>
      <c r="L214" s="5" cm="1">
        <f t="array" ref="L214">IFERROR(_xlfn.STDEV.S(IF((OutputTable[GroupByKey]=OutputTable[[#This Row],[GroupByKey]]),(OutputTable[GroupByKey]=OutputTable[[#This Row],[GroupByKey]])*OutputTable[RecordedValue])),0)</f>
        <v>0</v>
      </c>
      <c r="M214" s="5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" s="5" cm="1">
        <f t="array" ref="O214">MIN(IF((OutputTable[GroupByKey]=OutputTable[[#This Row],[GroupByKey]]),(OutputTable[GroupByKey]=OutputTable[[#This Row],[GroupByKey]])*OutputTable[RecordedValue]))</f>
        <v>0</v>
      </c>
      <c r="P214" s="5" cm="1">
        <f t="array" ref="P214">MAX(IF((OutputTable[GroupByKey]=OutputTable[[#This Row],[GroupByKey]]),(OutputTable[GroupByKey]=OutputTable[[#This Row],[GroupByKey]])*OutputTable[RecordedValue]))</f>
        <v>0</v>
      </c>
    </row>
    <row r="215" spans="1:16" x14ac:dyDescent="0.25">
      <c r="A215" t="s">
        <v>68</v>
      </c>
      <c r="B215" t="s">
        <v>70</v>
      </c>
      <c r="C215">
        <v>20</v>
      </c>
      <c r="D215" t="s">
        <v>107</v>
      </c>
      <c r="E215" t="s">
        <v>100</v>
      </c>
      <c r="F215" t="s">
        <v>87</v>
      </c>
      <c r="G215">
        <v>0</v>
      </c>
      <c r="H215">
        <v>0</v>
      </c>
      <c r="I215" s="5" t="str">
        <f>OutputTable[[#This Row],[ProjectName]]&amp;OutputTable[[#This Row],[Name]]&amp;OutputTable[[#This Row],[Type]]&amp;OutputTable[[#This Row],[Source]]</f>
        <v>Escenario ASeguimiemto Number InNumber InProcess</v>
      </c>
      <c r="J215" s="5" cm="1">
        <f t="array" ref="J215">MAX(IF((ProjectInfoTable[ProjectName]=OutputTable[[#This Row],[ProjectName]]),(ProjectInfoTable[ProjectName]=OutputTable[[#This Row],[ProjectName]])*ProjectInfoTable[NumberOfReplications]))</f>
        <v>27</v>
      </c>
      <c r="K215" s="5" cm="1">
        <f t="array" ref="K215">IFERROR(AVERAGE(IF((OutputTable[GroupByKey]=OutputTable[[#This Row],[GroupByKey]]),(OutputTable[GroupByKey]=OutputTable[[#This Row],[GroupByKey]])*OutputTable[RecordedValue])),0)</f>
        <v>3.7037037037037035E-2</v>
      </c>
      <c r="L215" s="5" cm="1">
        <f t="array" ref="L215">IFERROR(_xlfn.STDEV.S(IF((OutputTable[GroupByKey]=OutputTable[[#This Row],[GroupByKey]]),(OutputTable[GroupByKey]=OutputTable[[#This Row],[GroupByKey]])*OutputTable[RecordedValue])),0)</f>
        <v>0.19245008972987526</v>
      </c>
      <c r="M215" s="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15" s="5" cm="1">
        <f t="array" ref="O215">MIN(IF((OutputTable[GroupByKey]=OutputTable[[#This Row],[GroupByKey]]),(OutputTable[GroupByKey]=OutputTable[[#This Row],[GroupByKey]])*OutputTable[RecordedValue]))</f>
        <v>0</v>
      </c>
      <c r="P215" s="5" cm="1">
        <f t="array" ref="P215">MAX(IF((OutputTable[GroupByKey]=OutputTable[[#This Row],[GroupByKey]]),(OutputTable[GroupByKey]=OutputTable[[#This Row],[GroupByKey]])*OutputTable[RecordedValue]))</f>
        <v>1</v>
      </c>
    </row>
    <row r="216" spans="1:16" x14ac:dyDescent="0.25">
      <c r="A216" t="s">
        <v>68</v>
      </c>
      <c r="B216" t="s">
        <v>70</v>
      </c>
      <c r="C216">
        <v>20</v>
      </c>
      <c r="D216" t="s">
        <v>108</v>
      </c>
      <c r="E216" t="s">
        <v>102</v>
      </c>
      <c r="F216" t="s">
        <v>87</v>
      </c>
      <c r="G216">
        <v>0</v>
      </c>
      <c r="H216">
        <v>0</v>
      </c>
      <c r="I216" s="5" t="str">
        <f>OutputTable[[#This Row],[ProjectName]]&amp;OutputTable[[#This Row],[Name]]&amp;OutputTable[[#This Row],[Type]]&amp;OutputTable[[#This Row],[Source]]</f>
        <v>Escenario ASeguimiemto Number OutNumber OutProcess</v>
      </c>
      <c r="J216" s="5" cm="1">
        <f t="array" ref="J216">MAX(IF((ProjectInfoTable[ProjectName]=OutputTable[[#This Row],[ProjectName]]),(ProjectInfoTable[ProjectName]=OutputTable[[#This Row],[ProjectName]])*ProjectInfoTable[NumberOfReplications]))</f>
        <v>27</v>
      </c>
      <c r="K216" s="5" cm="1">
        <f t="array" ref="K216">IFERROR(AVERAGE(IF((OutputTable[GroupByKey]=OutputTable[[#This Row],[GroupByKey]]),(OutputTable[GroupByKey]=OutputTable[[#This Row],[GroupByKey]])*OutputTable[RecordedValue])),0)</f>
        <v>3.7037037037037035E-2</v>
      </c>
      <c r="L216" s="5" cm="1">
        <f t="array" ref="L216">IFERROR(_xlfn.STDEV.S(IF((OutputTable[GroupByKey]=OutputTable[[#This Row],[GroupByKey]]),(OutputTable[GroupByKey]=OutputTable[[#This Row],[GroupByKey]])*OutputTable[RecordedValue])),0)</f>
        <v>0.19245008972987526</v>
      </c>
      <c r="M216" s="5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16" s="5" cm="1">
        <f t="array" ref="O216">MIN(IF((OutputTable[GroupByKey]=OutputTable[[#This Row],[GroupByKey]]),(OutputTable[GroupByKey]=OutputTable[[#This Row],[GroupByKey]])*OutputTable[RecordedValue]))</f>
        <v>0</v>
      </c>
      <c r="P216" s="5" cm="1">
        <f t="array" ref="P216">MAX(IF((OutputTable[GroupByKey]=OutputTable[[#This Row],[GroupByKey]]),(OutputTable[GroupByKey]=OutputTable[[#This Row],[GroupByKey]])*OutputTable[RecordedValue]))</f>
        <v>1</v>
      </c>
    </row>
    <row r="217" spans="1:16" x14ac:dyDescent="0.25">
      <c r="A217" t="s">
        <v>68</v>
      </c>
      <c r="B217" t="s">
        <v>70</v>
      </c>
      <c r="C217">
        <v>20</v>
      </c>
      <c r="D217" t="s">
        <v>109</v>
      </c>
      <c r="E217" t="s">
        <v>102</v>
      </c>
      <c r="F217" t="s">
        <v>110</v>
      </c>
      <c r="G217">
        <v>1</v>
      </c>
      <c r="H217">
        <v>0</v>
      </c>
      <c r="I217" s="5" t="str">
        <f>OutputTable[[#This Row],[ProjectName]]&amp;OutputTable[[#This Row],[Name]]&amp;OutputTable[[#This Row],[Type]]&amp;OutputTable[[#This Row],[Source]]</f>
        <v>Escenario ASystem.NumberOutNumber OutSystem</v>
      </c>
      <c r="J217" s="5" cm="1">
        <f t="array" ref="J217">MAX(IF((ProjectInfoTable[ProjectName]=OutputTable[[#This Row],[ProjectName]]),(ProjectInfoTable[ProjectName]=OutputTable[[#This Row],[ProjectName]])*ProjectInfoTable[NumberOfReplications]))</f>
        <v>27</v>
      </c>
      <c r="K217" s="5" cm="1">
        <f t="array" ref="K217">IFERROR(AVERAGE(IF((OutputTable[GroupByKey]=OutputTable[[#This Row],[GroupByKey]]),(OutputTable[GroupByKey]=OutputTable[[#This Row],[GroupByKey]])*OutputTable[RecordedValue])),0)</f>
        <v>1.1851851851851851</v>
      </c>
      <c r="L217" s="5" cm="1">
        <f t="array" ref="L217">IFERROR(_xlfn.STDEV.S(IF((OutputTable[GroupByKey]=OutputTable[[#This Row],[GroupByKey]]),(OutputTable[GroupByKey]=OutputTable[[#This Row],[GroupByKey]])*OutputTable[RecordedValue])),0)</f>
        <v>1.0754976321197349</v>
      </c>
      <c r="M217" s="5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217" s="5" cm="1">
        <f t="array" ref="O217">MIN(IF((OutputTable[GroupByKey]=OutputTable[[#This Row],[GroupByKey]]),(OutputTable[GroupByKey]=OutputTable[[#This Row],[GroupByKey]])*OutputTable[RecordedValue]))</f>
        <v>0</v>
      </c>
      <c r="P217" s="5" cm="1">
        <f t="array" ref="P217">MAX(IF((OutputTable[GroupByKey]=OutputTable[[#This Row],[GroupByKey]]),(OutputTable[GroupByKey]=OutputTable[[#This Row],[GroupByKey]])*OutputTable[RecordedValue]))</f>
        <v>4</v>
      </c>
    </row>
    <row r="218" spans="1:16" x14ac:dyDescent="0.25">
      <c r="A218" t="s">
        <v>68</v>
      </c>
      <c r="B218" t="s">
        <v>70</v>
      </c>
      <c r="C218">
        <v>20</v>
      </c>
      <c r="D218" t="s">
        <v>111</v>
      </c>
      <c r="E218" t="s">
        <v>112</v>
      </c>
      <c r="F218" t="s">
        <v>95</v>
      </c>
      <c r="G218">
        <v>1</v>
      </c>
      <c r="H218">
        <v>0</v>
      </c>
      <c r="I218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218" s="5" cm="1">
        <f t="array" ref="J218">MAX(IF((ProjectInfoTable[ProjectName]=OutputTable[[#This Row],[ProjectName]]),(ProjectInfoTable[ProjectName]=OutputTable[[#This Row],[ProjectName]])*ProjectInfoTable[NumberOfReplications]))</f>
        <v>27</v>
      </c>
      <c r="K218" s="5" cm="1">
        <f t="array" ref="K218">IFERROR(AVERAGE(IF((OutputTable[GroupByKey]=OutputTable[[#This Row],[GroupByKey]]),(OutputTable[GroupByKey]=OutputTable[[#This Row],[GroupByKey]])*OutputTable[RecordedValue])),0)</f>
        <v>1.2962962962962963</v>
      </c>
      <c r="L218" s="5" cm="1">
        <f t="array" ref="L218">IFERROR(_xlfn.STDEV.S(IF((OutputTable[GroupByKey]=OutputTable[[#This Row],[GroupByKey]]),(OutputTable[GroupByKey]=OutputTable[[#This Row],[GroupByKey]])*OutputTable[RecordedValue])),0)</f>
        <v>1.1706281947614154</v>
      </c>
      <c r="M218" s="5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218" s="5" cm="1">
        <f t="array" ref="O218">MIN(IF((OutputTable[GroupByKey]=OutputTable[[#This Row],[GroupByKey]]),(OutputTable[GroupByKey]=OutputTable[[#This Row],[GroupByKey]])*OutputTable[RecordedValue]))</f>
        <v>0</v>
      </c>
      <c r="P218" s="5" cm="1">
        <f t="array" ref="P218">MAX(IF((OutputTable[GroupByKey]=OutputTable[[#This Row],[GroupByKey]]),(OutputTable[GroupByKey]=OutputTable[[#This Row],[GroupByKey]])*OutputTable[RecordedValue]))</f>
        <v>5</v>
      </c>
    </row>
    <row r="219" spans="1:16" x14ac:dyDescent="0.25">
      <c r="A219" t="s">
        <v>68</v>
      </c>
      <c r="B219" t="s">
        <v>70</v>
      </c>
      <c r="C219">
        <v>20</v>
      </c>
      <c r="D219" t="s">
        <v>113</v>
      </c>
      <c r="E219" t="s">
        <v>114</v>
      </c>
      <c r="F219" t="s">
        <v>95</v>
      </c>
      <c r="G219">
        <v>9.4885065565797604E-3</v>
      </c>
      <c r="H219">
        <v>0</v>
      </c>
      <c r="I219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219" s="5" cm="1">
        <f t="array" ref="J219">MAX(IF((ProjectInfoTable[ProjectName]=OutputTable[[#This Row],[ProjectName]]),(ProjectInfoTable[ProjectName]=OutputTable[[#This Row],[ProjectName]])*ProjectInfoTable[NumberOfReplications]))</f>
        <v>27</v>
      </c>
      <c r="K219" s="5" cm="1">
        <f t="array" ref="K219">IFERROR(AVERAGE(IF((OutputTable[GroupByKey]=OutputTable[[#This Row],[GroupByKey]]),(OutputTable[GroupByKey]=OutputTable[[#This Row],[GroupByKey]])*OutputTable[RecordedValue])),0)</f>
        <v>1.2223949425906553E-2</v>
      </c>
      <c r="L219" s="5" cm="1">
        <f t="array" ref="L219">IFERROR(_xlfn.STDEV.S(IF((OutputTable[GroupByKey]=OutputTable[[#This Row],[GroupByKey]]),(OutputTable[GroupByKey]=OutputTable[[#This Row],[GroupByKey]])*OutputTable[RecordedValue])),0)</f>
        <v>1.112543407769513E-2</v>
      </c>
      <c r="M219" s="5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219" s="5" cm="1">
        <f t="array" ref="O219">MIN(IF((OutputTable[GroupByKey]=OutputTable[[#This Row],[GroupByKey]]),(OutputTable[GroupByKey]=OutputTable[[#This Row],[GroupByKey]])*OutputTable[RecordedValue]))</f>
        <v>0</v>
      </c>
      <c r="P219" s="5" cm="1">
        <f t="array" ref="P219">MAX(IF((OutputTable[GroupByKey]=OutputTable[[#This Row],[GroupByKey]]),(OutputTable[GroupByKey]=OutputTable[[#This Row],[GroupByKey]])*OutputTable[RecordedValue]))</f>
        <v>4.2906548761083699E-2</v>
      </c>
    </row>
    <row r="220" spans="1:16" x14ac:dyDescent="0.25">
      <c r="A220" t="s">
        <v>68</v>
      </c>
      <c r="B220" t="s">
        <v>70</v>
      </c>
      <c r="C220">
        <v>20</v>
      </c>
      <c r="D220" t="s">
        <v>115</v>
      </c>
      <c r="E220" t="s">
        <v>112</v>
      </c>
      <c r="F220" t="s">
        <v>95</v>
      </c>
      <c r="G220">
        <v>0</v>
      </c>
      <c r="H220">
        <v>0</v>
      </c>
      <c r="I220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220" s="5" cm="1">
        <f t="array" ref="J220">MAX(IF((ProjectInfoTable[ProjectName]=OutputTable[[#This Row],[ProjectName]]),(ProjectInfoTable[ProjectName]=OutputTable[[#This Row],[ProjectName]])*ProjectInfoTable[NumberOfReplications]))</f>
        <v>27</v>
      </c>
      <c r="K220" s="5" cm="1">
        <f t="array" ref="K220">IFERROR(AVERAGE(IF((OutputTable[GroupByKey]=OutputTable[[#This Row],[GroupByKey]]),(OutputTable[GroupByKey]=OutputTable[[#This Row],[GroupByKey]])*OutputTable[RecordedValue])),0)</f>
        <v>3.7037037037037035E-2</v>
      </c>
      <c r="L220" s="5" cm="1">
        <f t="array" ref="L220">IFERROR(_xlfn.STDEV.S(IF((OutputTable[GroupByKey]=OutputTable[[#This Row],[GroupByKey]]),(OutputTable[GroupByKey]=OutputTable[[#This Row],[GroupByKey]])*OutputTable[RecordedValue])),0)</f>
        <v>0.19245008972987526</v>
      </c>
      <c r="M220" s="5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20" s="5" cm="1">
        <f t="array" ref="O220">MIN(IF((OutputTable[GroupByKey]=OutputTable[[#This Row],[GroupByKey]]),(OutputTable[GroupByKey]=OutputTable[[#This Row],[GroupByKey]])*OutputTable[RecordedValue]))</f>
        <v>0</v>
      </c>
      <c r="P220" s="5" cm="1">
        <f t="array" ref="P220">MAX(IF((OutputTable[GroupByKey]=OutputTable[[#This Row],[GroupByKey]]),(OutputTable[GroupByKey]=OutputTable[[#This Row],[GroupByKey]])*OutputTable[RecordedValue]))</f>
        <v>1</v>
      </c>
    </row>
    <row r="221" spans="1:16" x14ac:dyDescent="0.25">
      <c r="A221" t="s">
        <v>68</v>
      </c>
      <c r="B221" t="s">
        <v>70</v>
      </c>
      <c r="C221">
        <v>20</v>
      </c>
      <c r="D221" t="s">
        <v>116</v>
      </c>
      <c r="E221" t="s">
        <v>114</v>
      </c>
      <c r="F221" t="s">
        <v>95</v>
      </c>
      <c r="G221">
        <v>0</v>
      </c>
      <c r="H221">
        <v>0</v>
      </c>
      <c r="I221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221" s="5" cm="1">
        <f t="array" ref="J221">MAX(IF((ProjectInfoTable[ProjectName]=OutputTable[[#This Row],[ProjectName]]),(ProjectInfoTable[ProjectName]=OutputTable[[#This Row],[ProjectName]])*ProjectInfoTable[NumberOfReplications]))</f>
        <v>27</v>
      </c>
      <c r="K221" s="5" cm="1">
        <f t="array" ref="K221">IFERROR(AVERAGE(IF((OutputTable[GroupByKey]=OutputTable[[#This Row],[GroupByKey]]),(OutputTable[GroupByKey]=OutputTable[[#This Row],[GroupByKey]])*OutputTable[RecordedValue])),0)</f>
        <v>1.5859588837911111E-4</v>
      </c>
      <c r="L221" s="5" cm="1">
        <f t="array" ref="L221">IFERROR(_xlfn.STDEV.S(IF((OutputTable[GroupByKey]=OutputTable[[#This Row],[GroupByKey]]),(OutputTable[GroupByKey]=OutputTable[[#This Row],[GroupByKey]])*OutputTable[RecordedValue])),0)</f>
        <v>8.2408840963242873E-4</v>
      </c>
      <c r="M221" s="5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221" s="5" cm="1">
        <f t="array" ref="O221">MIN(IF((OutputTable[GroupByKey]=OutputTable[[#This Row],[GroupByKey]]),(OutputTable[GroupByKey]=OutputTable[[#This Row],[GroupByKey]])*OutputTable[RecordedValue]))</f>
        <v>0</v>
      </c>
      <c r="P221" s="5" cm="1">
        <f t="array" ref="P221">MAX(IF((OutputTable[GroupByKey]=OutputTable[[#This Row],[GroupByKey]]),(OutputTable[GroupByKey]=OutputTable[[#This Row],[GroupByKey]])*OutputTable[RecordedValue]))</f>
        <v>4.2820889862359999E-3</v>
      </c>
    </row>
    <row r="222" spans="1:16" x14ac:dyDescent="0.25">
      <c r="A222" t="s">
        <v>68</v>
      </c>
      <c r="B222" t="s">
        <v>70</v>
      </c>
      <c r="C222">
        <v>21</v>
      </c>
      <c r="D222" t="s">
        <v>99</v>
      </c>
      <c r="E222" t="s">
        <v>100</v>
      </c>
      <c r="F222" t="s">
        <v>73</v>
      </c>
      <c r="G222">
        <v>1</v>
      </c>
      <c r="H222">
        <v>0</v>
      </c>
      <c r="I222" s="5" t="str">
        <f>OutputTable[[#This Row],[ProjectName]]&amp;OutputTable[[#This Row],[Name]]&amp;OutputTable[[#This Row],[Type]]&amp;OutputTable[[#This Row],[Source]]</f>
        <v>Escenario AEntity 1.NumberInNumber InEntity</v>
      </c>
      <c r="J222" s="5" cm="1">
        <f t="array" ref="J222">MAX(IF((ProjectInfoTable[ProjectName]=OutputTable[[#This Row],[ProjectName]]),(ProjectInfoTable[ProjectName]=OutputTable[[#This Row],[ProjectName]])*ProjectInfoTable[NumberOfReplications]))</f>
        <v>27</v>
      </c>
      <c r="K222" s="5" cm="1">
        <f t="array" ref="K222">IFERROR(AVERAGE(IF((OutputTable[GroupByKey]=OutputTable[[#This Row],[GroupByKey]]),(OutputTable[GroupByKey]=OutputTable[[#This Row],[GroupByKey]])*OutputTable[RecordedValue])),0)</f>
        <v>1.2962962962962963</v>
      </c>
      <c r="L222" s="5" cm="1">
        <f t="array" ref="L222">IFERROR(_xlfn.STDEV.S(IF((OutputTable[GroupByKey]=OutputTable[[#This Row],[GroupByKey]]),(OutputTable[GroupByKey]=OutputTable[[#This Row],[GroupByKey]])*OutputTable[RecordedValue])),0)</f>
        <v>1.1706281947614154</v>
      </c>
      <c r="M222" s="5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222" s="5" cm="1">
        <f t="array" ref="O222">MIN(IF((OutputTable[GroupByKey]=OutputTable[[#This Row],[GroupByKey]]),(OutputTable[GroupByKey]=OutputTable[[#This Row],[GroupByKey]])*OutputTable[RecordedValue]))</f>
        <v>0</v>
      </c>
      <c r="P222" s="5" cm="1">
        <f t="array" ref="P222">MAX(IF((OutputTable[GroupByKey]=OutputTable[[#This Row],[GroupByKey]]),(OutputTable[GroupByKey]=OutputTable[[#This Row],[GroupByKey]])*OutputTable[RecordedValue]))</f>
        <v>5</v>
      </c>
    </row>
    <row r="223" spans="1:16" x14ac:dyDescent="0.25">
      <c r="A223" t="s">
        <v>68</v>
      </c>
      <c r="B223" t="s">
        <v>70</v>
      </c>
      <c r="C223">
        <v>21</v>
      </c>
      <c r="D223" t="s">
        <v>101</v>
      </c>
      <c r="E223" t="s">
        <v>102</v>
      </c>
      <c r="F223" t="s">
        <v>73</v>
      </c>
      <c r="G223">
        <v>1</v>
      </c>
      <c r="H223">
        <v>0</v>
      </c>
      <c r="I223" s="5" t="str">
        <f>OutputTable[[#This Row],[ProjectName]]&amp;OutputTable[[#This Row],[Name]]&amp;OutputTable[[#This Row],[Type]]&amp;OutputTable[[#This Row],[Source]]</f>
        <v>Escenario AEntity 1.NumberOutNumber OutEntity</v>
      </c>
      <c r="J223" s="5" cm="1">
        <f t="array" ref="J223">MAX(IF((ProjectInfoTable[ProjectName]=OutputTable[[#This Row],[ProjectName]]),(ProjectInfoTable[ProjectName]=OutputTable[[#This Row],[ProjectName]])*ProjectInfoTable[NumberOfReplications]))</f>
        <v>27</v>
      </c>
      <c r="K223" s="5" cm="1">
        <f t="array" ref="K223">IFERROR(AVERAGE(IF((OutputTable[GroupByKey]=OutputTable[[#This Row],[GroupByKey]]),(OutputTable[GroupByKey]=OutputTable[[#This Row],[GroupByKey]])*OutputTable[RecordedValue])),0)</f>
        <v>1.1851851851851851</v>
      </c>
      <c r="L223" s="5" cm="1">
        <f t="array" ref="L223">IFERROR(_xlfn.STDEV.S(IF((OutputTable[GroupByKey]=OutputTable[[#This Row],[GroupByKey]]),(OutputTable[GroupByKey]=OutputTable[[#This Row],[GroupByKey]])*OutputTable[RecordedValue])),0)</f>
        <v>1.0754976321197349</v>
      </c>
      <c r="M223" s="5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223" s="5" cm="1">
        <f t="array" ref="O223">MIN(IF((OutputTable[GroupByKey]=OutputTable[[#This Row],[GroupByKey]]),(OutputTable[GroupByKey]=OutputTable[[#This Row],[GroupByKey]])*OutputTable[RecordedValue]))</f>
        <v>0</v>
      </c>
      <c r="P223" s="5" cm="1">
        <f t="array" ref="P223">MAX(IF((OutputTable[GroupByKey]=OutputTable[[#This Row],[GroupByKey]]),(OutputTable[GroupByKey]=OutputTable[[#This Row],[GroupByKey]])*OutputTable[RecordedValue]))</f>
        <v>4</v>
      </c>
    </row>
    <row r="224" spans="1:16" x14ac:dyDescent="0.25">
      <c r="A224" t="s">
        <v>68</v>
      </c>
      <c r="B224" t="s">
        <v>70</v>
      </c>
      <c r="C224">
        <v>21</v>
      </c>
      <c r="D224" t="s">
        <v>103</v>
      </c>
      <c r="E224" t="s">
        <v>104</v>
      </c>
      <c r="F224" t="s">
        <v>87</v>
      </c>
      <c r="G224">
        <v>0</v>
      </c>
      <c r="H224">
        <v>0</v>
      </c>
      <c r="I224" s="5" t="str">
        <f>OutputTable[[#This Row],[ProjectName]]&amp;OutputTable[[#This Row],[Name]]&amp;OutputTable[[#This Row],[Type]]&amp;OutputTable[[#This Row],[Source]]</f>
        <v>Escenario ASeguimiemto Accum VA TimeAccum VA TimeProcess</v>
      </c>
      <c r="J224" s="5" cm="1">
        <f t="array" ref="J224">MAX(IF((ProjectInfoTable[ProjectName]=OutputTable[[#This Row],[ProjectName]]),(ProjectInfoTable[ProjectName]=OutputTable[[#This Row],[ProjectName]])*ProjectInfoTable[NumberOfReplications]))</f>
        <v>27</v>
      </c>
      <c r="K224" s="5" cm="1">
        <f t="array" ref="K224">IFERROR(AVERAGE(IF((OutputTable[GroupByKey]=OutputTable[[#This Row],[GroupByKey]]),(OutputTable[GroupByKey]=OutputTable[[#This Row],[GroupByKey]])*OutputTable[RecordedValue])),0)</f>
        <v>9.5157533027466656E-2</v>
      </c>
      <c r="L224" s="5" cm="1">
        <f t="array" ref="L224">IFERROR(_xlfn.STDEV.S(IF((OutputTable[GroupByKey]=OutputTable[[#This Row],[GroupByKey]]),(OutputTable[GroupByKey]=OutputTable[[#This Row],[GroupByKey]])*OutputTable[RecordedValue])),0)</f>
        <v>0.4944530457794572</v>
      </c>
      <c r="M224" s="5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224" s="5" cm="1">
        <f t="array" ref="O224">MIN(IF((OutputTable[GroupByKey]=OutputTable[[#This Row],[GroupByKey]]),(OutputTable[GroupByKey]=OutputTable[[#This Row],[GroupByKey]])*OutputTable[RecordedValue]))</f>
        <v>0</v>
      </c>
      <c r="P224" s="5" cm="1">
        <f t="array" ref="P224">MAX(IF((OutputTable[GroupByKey]=OutputTable[[#This Row],[GroupByKey]]),(OutputTable[GroupByKey]=OutputTable[[#This Row],[GroupByKey]])*OutputTable[RecordedValue]))</f>
        <v>2.5692533917415998</v>
      </c>
    </row>
    <row r="225" spans="1:16" x14ac:dyDescent="0.25">
      <c r="A225" t="s">
        <v>68</v>
      </c>
      <c r="B225" t="s">
        <v>70</v>
      </c>
      <c r="C225">
        <v>21</v>
      </c>
      <c r="D225" t="s">
        <v>105</v>
      </c>
      <c r="E225" t="s">
        <v>106</v>
      </c>
      <c r="F225" t="s">
        <v>87</v>
      </c>
      <c r="G225">
        <v>0</v>
      </c>
      <c r="H225">
        <v>0</v>
      </c>
      <c r="I225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225" s="5" cm="1">
        <f t="array" ref="J225">MAX(IF((ProjectInfoTable[ProjectName]=OutputTable[[#This Row],[ProjectName]]),(ProjectInfoTable[ProjectName]=OutputTable[[#This Row],[ProjectName]])*ProjectInfoTable[NumberOfReplications]))</f>
        <v>27</v>
      </c>
      <c r="K225" s="5" cm="1">
        <f t="array" ref="K225">IFERROR(AVERAGE(IF((OutputTable[GroupByKey]=OutputTable[[#This Row],[GroupByKey]]),(OutputTable[GroupByKey]=OutputTable[[#This Row],[GroupByKey]])*OutputTable[RecordedValue])),0)</f>
        <v>0</v>
      </c>
      <c r="L225" s="5" cm="1">
        <f t="array" ref="L225">IFERROR(_xlfn.STDEV.S(IF((OutputTable[GroupByKey]=OutputTable[[#This Row],[GroupByKey]]),(OutputTable[GroupByKey]=OutputTable[[#This Row],[GroupByKey]])*OutputTable[RecordedValue])),0)</f>
        <v>0</v>
      </c>
      <c r="M225" s="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" s="5" cm="1">
        <f t="array" ref="O225">MIN(IF((OutputTable[GroupByKey]=OutputTable[[#This Row],[GroupByKey]]),(OutputTable[GroupByKey]=OutputTable[[#This Row],[GroupByKey]])*OutputTable[RecordedValue]))</f>
        <v>0</v>
      </c>
      <c r="P225" s="5" cm="1">
        <f t="array" ref="P225">MAX(IF((OutputTable[GroupByKey]=OutputTable[[#This Row],[GroupByKey]]),(OutputTable[GroupByKey]=OutputTable[[#This Row],[GroupByKey]])*OutputTable[RecordedValue]))</f>
        <v>0</v>
      </c>
    </row>
    <row r="226" spans="1:16" x14ac:dyDescent="0.25">
      <c r="A226" t="s">
        <v>68</v>
      </c>
      <c r="B226" t="s">
        <v>70</v>
      </c>
      <c r="C226">
        <v>21</v>
      </c>
      <c r="D226" t="s">
        <v>107</v>
      </c>
      <c r="E226" t="s">
        <v>100</v>
      </c>
      <c r="F226" t="s">
        <v>87</v>
      </c>
      <c r="G226">
        <v>0</v>
      </c>
      <c r="H226">
        <v>0</v>
      </c>
      <c r="I226" s="5" t="str">
        <f>OutputTable[[#This Row],[ProjectName]]&amp;OutputTable[[#This Row],[Name]]&amp;OutputTable[[#This Row],[Type]]&amp;OutputTable[[#This Row],[Source]]</f>
        <v>Escenario ASeguimiemto Number InNumber InProcess</v>
      </c>
      <c r="J226" s="5" cm="1">
        <f t="array" ref="J226">MAX(IF((ProjectInfoTable[ProjectName]=OutputTable[[#This Row],[ProjectName]]),(ProjectInfoTable[ProjectName]=OutputTable[[#This Row],[ProjectName]])*ProjectInfoTable[NumberOfReplications]))</f>
        <v>27</v>
      </c>
      <c r="K226" s="5" cm="1">
        <f t="array" ref="K226">IFERROR(AVERAGE(IF((OutputTable[GroupByKey]=OutputTable[[#This Row],[GroupByKey]]),(OutputTable[GroupByKey]=OutputTable[[#This Row],[GroupByKey]])*OutputTable[RecordedValue])),0)</f>
        <v>3.7037037037037035E-2</v>
      </c>
      <c r="L226" s="5" cm="1">
        <f t="array" ref="L226">IFERROR(_xlfn.STDEV.S(IF((OutputTable[GroupByKey]=OutputTable[[#This Row],[GroupByKey]]),(OutputTable[GroupByKey]=OutputTable[[#This Row],[GroupByKey]])*OutputTable[RecordedValue])),0)</f>
        <v>0.19245008972987526</v>
      </c>
      <c r="M226" s="5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26" s="5" cm="1">
        <f t="array" ref="O226">MIN(IF((OutputTable[GroupByKey]=OutputTable[[#This Row],[GroupByKey]]),(OutputTable[GroupByKey]=OutputTable[[#This Row],[GroupByKey]])*OutputTable[RecordedValue]))</f>
        <v>0</v>
      </c>
      <c r="P226" s="5" cm="1">
        <f t="array" ref="P226">MAX(IF((OutputTable[GroupByKey]=OutputTable[[#This Row],[GroupByKey]]),(OutputTable[GroupByKey]=OutputTable[[#This Row],[GroupByKey]])*OutputTable[RecordedValue]))</f>
        <v>1</v>
      </c>
    </row>
    <row r="227" spans="1:16" x14ac:dyDescent="0.25">
      <c r="A227" t="s">
        <v>68</v>
      </c>
      <c r="B227" t="s">
        <v>70</v>
      </c>
      <c r="C227">
        <v>21</v>
      </c>
      <c r="D227" t="s">
        <v>108</v>
      </c>
      <c r="E227" t="s">
        <v>102</v>
      </c>
      <c r="F227" t="s">
        <v>87</v>
      </c>
      <c r="G227">
        <v>0</v>
      </c>
      <c r="H227">
        <v>0</v>
      </c>
      <c r="I227" s="5" t="str">
        <f>OutputTable[[#This Row],[ProjectName]]&amp;OutputTable[[#This Row],[Name]]&amp;OutputTable[[#This Row],[Type]]&amp;OutputTable[[#This Row],[Source]]</f>
        <v>Escenario ASeguimiemto Number OutNumber OutProcess</v>
      </c>
      <c r="J227" s="5" cm="1">
        <f t="array" ref="J227">MAX(IF((ProjectInfoTable[ProjectName]=OutputTable[[#This Row],[ProjectName]]),(ProjectInfoTable[ProjectName]=OutputTable[[#This Row],[ProjectName]])*ProjectInfoTable[NumberOfReplications]))</f>
        <v>27</v>
      </c>
      <c r="K227" s="5" cm="1">
        <f t="array" ref="K227">IFERROR(AVERAGE(IF((OutputTable[GroupByKey]=OutputTable[[#This Row],[GroupByKey]]),(OutputTable[GroupByKey]=OutputTable[[#This Row],[GroupByKey]])*OutputTable[RecordedValue])),0)</f>
        <v>3.7037037037037035E-2</v>
      </c>
      <c r="L227" s="5" cm="1">
        <f t="array" ref="L227">IFERROR(_xlfn.STDEV.S(IF((OutputTable[GroupByKey]=OutputTable[[#This Row],[GroupByKey]]),(OutputTable[GroupByKey]=OutputTable[[#This Row],[GroupByKey]])*OutputTable[RecordedValue])),0)</f>
        <v>0.19245008972987526</v>
      </c>
      <c r="M227" s="5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27" s="5" cm="1">
        <f t="array" ref="O227">MIN(IF((OutputTable[GroupByKey]=OutputTable[[#This Row],[GroupByKey]]),(OutputTable[GroupByKey]=OutputTable[[#This Row],[GroupByKey]])*OutputTable[RecordedValue]))</f>
        <v>0</v>
      </c>
      <c r="P227" s="5" cm="1">
        <f t="array" ref="P227">MAX(IF((OutputTable[GroupByKey]=OutputTable[[#This Row],[GroupByKey]]),(OutputTable[GroupByKey]=OutputTable[[#This Row],[GroupByKey]])*OutputTable[RecordedValue]))</f>
        <v>1</v>
      </c>
    </row>
    <row r="228" spans="1:16" x14ac:dyDescent="0.25">
      <c r="A228" t="s">
        <v>68</v>
      </c>
      <c r="B228" t="s">
        <v>70</v>
      </c>
      <c r="C228">
        <v>21</v>
      </c>
      <c r="D228" t="s">
        <v>109</v>
      </c>
      <c r="E228" t="s">
        <v>102</v>
      </c>
      <c r="F228" t="s">
        <v>110</v>
      </c>
      <c r="G228">
        <v>1</v>
      </c>
      <c r="H228">
        <v>0</v>
      </c>
      <c r="I228" s="5" t="str">
        <f>OutputTable[[#This Row],[ProjectName]]&amp;OutputTable[[#This Row],[Name]]&amp;OutputTable[[#This Row],[Type]]&amp;OutputTable[[#This Row],[Source]]</f>
        <v>Escenario ASystem.NumberOutNumber OutSystem</v>
      </c>
      <c r="J228" s="5" cm="1">
        <f t="array" ref="J228">MAX(IF((ProjectInfoTable[ProjectName]=OutputTable[[#This Row],[ProjectName]]),(ProjectInfoTable[ProjectName]=OutputTable[[#This Row],[ProjectName]])*ProjectInfoTable[NumberOfReplications]))</f>
        <v>27</v>
      </c>
      <c r="K228" s="5" cm="1">
        <f t="array" ref="K228">IFERROR(AVERAGE(IF((OutputTable[GroupByKey]=OutputTable[[#This Row],[GroupByKey]]),(OutputTable[GroupByKey]=OutputTable[[#This Row],[GroupByKey]])*OutputTable[RecordedValue])),0)</f>
        <v>1.1851851851851851</v>
      </c>
      <c r="L228" s="5" cm="1">
        <f t="array" ref="L228">IFERROR(_xlfn.STDEV.S(IF((OutputTable[GroupByKey]=OutputTable[[#This Row],[GroupByKey]]),(OutputTable[GroupByKey]=OutputTable[[#This Row],[GroupByKey]])*OutputTable[RecordedValue])),0)</f>
        <v>1.0754976321197349</v>
      </c>
      <c r="M228" s="5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228" s="5" cm="1">
        <f t="array" ref="O228">MIN(IF((OutputTable[GroupByKey]=OutputTable[[#This Row],[GroupByKey]]),(OutputTable[GroupByKey]=OutputTable[[#This Row],[GroupByKey]])*OutputTable[RecordedValue]))</f>
        <v>0</v>
      </c>
      <c r="P228" s="5" cm="1">
        <f t="array" ref="P228">MAX(IF((OutputTable[GroupByKey]=OutputTable[[#This Row],[GroupByKey]]),(OutputTable[GroupByKey]=OutputTable[[#This Row],[GroupByKey]])*OutputTable[RecordedValue]))</f>
        <v>4</v>
      </c>
    </row>
    <row r="229" spans="1:16" x14ac:dyDescent="0.25">
      <c r="A229" t="s">
        <v>68</v>
      </c>
      <c r="B229" t="s">
        <v>70</v>
      </c>
      <c r="C229">
        <v>21</v>
      </c>
      <c r="D229" t="s">
        <v>111</v>
      </c>
      <c r="E229" t="s">
        <v>112</v>
      </c>
      <c r="F229" t="s">
        <v>95</v>
      </c>
      <c r="G229">
        <v>1</v>
      </c>
      <c r="H229">
        <v>0</v>
      </c>
      <c r="I229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229" s="5" cm="1">
        <f t="array" ref="J229">MAX(IF((ProjectInfoTable[ProjectName]=OutputTable[[#This Row],[ProjectName]]),(ProjectInfoTable[ProjectName]=OutputTable[[#This Row],[ProjectName]])*ProjectInfoTable[NumberOfReplications]))</f>
        <v>27</v>
      </c>
      <c r="K229" s="5" cm="1">
        <f t="array" ref="K229">IFERROR(AVERAGE(IF((OutputTable[GroupByKey]=OutputTable[[#This Row],[GroupByKey]]),(OutputTable[GroupByKey]=OutputTable[[#This Row],[GroupByKey]])*OutputTable[RecordedValue])),0)</f>
        <v>1.2962962962962963</v>
      </c>
      <c r="L229" s="5" cm="1">
        <f t="array" ref="L229">IFERROR(_xlfn.STDEV.S(IF((OutputTable[GroupByKey]=OutputTable[[#This Row],[GroupByKey]]),(OutputTable[GroupByKey]=OutputTable[[#This Row],[GroupByKey]])*OutputTable[RecordedValue])),0)</f>
        <v>1.1706281947614154</v>
      </c>
      <c r="M229" s="5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229" s="5" cm="1">
        <f t="array" ref="O229">MIN(IF((OutputTable[GroupByKey]=OutputTable[[#This Row],[GroupByKey]]),(OutputTable[GroupByKey]=OutputTable[[#This Row],[GroupByKey]])*OutputTable[RecordedValue]))</f>
        <v>0</v>
      </c>
      <c r="P229" s="5" cm="1">
        <f t="array" ref="P229">MAX(IF((OutputTable[GroupByKey]=OutputTable[[#This Row],[GroupByKey]]),(OutputTable[GroupByKey]=OutputTable[[#This Row],[GroupByKey]])*OutputTable[RecordedValue]))</f>
        <v>5</v>
      </c>
    </row>
    <row r="230" spans="1:16" x14ac:dyDescent="0.25">
      <c r="A230" t="s">
        <v>68</v>
      </c>
      <c r="B230" t="s">
        <v>70</v>
      </c>
      <c r="C230">
        <v>21</v>
      </c>
      <c r="D230" t="s">
        <v>113</v>
      </c>
      <c r="E230" t="s">
        <v>114</v>
      </c>
      <c r="F230" t="s">
        <v>95</v>
      </c>
      <c r="G230">
        <v>9.2087730212774797E-3</v>
      </c>
      <c r="H230">
        <v>0</v>
      </c>
      <c r="I230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230" s="5" cm="1">
        <f t="array" ref="J230">MAX(IF((ProjectInfoTable[ProjectName]=OutputTable[[#This Row],[ProjectName]]),(ProjectInfoTable[ProjectName]=OutputTable[[#This Row],[ProjectName]])*ProjectInfoTable[NumberOfReplications]))</f>
        <v>27</v>
      </c>
      <c r="K230" s="5" cm="1">
        <f t="array" ref="K230">IFERROR(AVERAGE(IF((OutputTable[GroupByKey]=OutputTable[[#This Row],[GroupByKey]]),(OutputTable[GroupByKey]=OutputTable[[#This Row],[GroupByKey]])*OutputTable[RecordedValue])),0)</f>
        <v>1.2223949425906553E-2</v>
      </c>
      <c r="L230" s="5" cm="1">
        <f t="array" ref="L230">IFERROR(_xlfn.STDEV.S(IF((OutputTable[GroupByKey]=OutputTable[[#This Row],[GroupByKey]]),(OutputTable[GroupByKey]=OutputTable[[#This Row],[GroupByKey]])*OutputTable[RecordedValue])),0)</f>
        <v>1.112543407769513E-2</v>
      </c>
      <c r="M230" s="5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230" s="5" cm="1">
        <f t="array" ref="O230">MIN(IF((OutputTable[GroupByKey]=OutputTable[[#This Row],[GroupByKey]]),(OutputTable[GroupByKey]=OutputTable[[#This Row],[GroupByKey]])*OutputTable[RecordedValue]))</f>
        <v>0</v>
      </c>
      <c r="P230" s="5" cm="1">
        <f t="array" ref="P230">MAX(IF((OutputTable[GroupByKey]=OutputTable[[#This Row],[GroupByKey]]),(OutputTable[GroupByKey]=OutputTable[[#This Row],[GroupByKey]])*OutputTable[RecordedValue]))</f>
        <v>4.2906548761083699E-2</v>
      </c>
    </row>
    <row r="231" spans="1:16" x14ac:dyDescent="0.25">
      <c r="A231" t="s">
        <v>68</v>
      </c>
      <c r="B231" t="s">
        <v>70</v>
      </c>
      <c r="C231">
        <v>21</v>
      </c>
      <c r="D231" t="s">
        <v>115</v>
      </c>
      <c r="E231" t="s">
        <v>112</v>
      </c>
      <c r="F231" t="s">
        <v>95</v>
      </c>
      <c r="G231">
        <v>0</v>
      </c>
      <c r="H231">
        <v>0</v>
      </c>
      <c r="I231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231" s="5" cm="1">
        <f t="array" ref="J231">MAX(IF((ProjectInfoTable[ProjectName]=OutputTable[[#This Row],[ProjectName]]),(ProjectInfoTable[ProjectName]=OutputTable[[#This Row],[ProjectName]])*ProjectInfoTable[NumberOfReplications]))</f>
        <v>27</v>
      </c>
      <c r="K231" s="5" cm="1">
        <f t="array" ref="K231">IFERROR(AVERAGE(IF((OutputTable[GroupByKey]=OutputTable[[#This Row],[GroupByKey]]),(OutputTable[GroupByKey]=OutputTable[[#This Row],[GroupByKey]])*OutputTable[RecordedValue])),0)</f>
        <v>3.7037037037037035E-2</v>
      </c>
      <c r="L231" s="5" cm="1">
        <f t="array" ref="L231">IFERROR(_xlfn.STDEV.S(IF((OutputTable[GroupByKey]=OutputTable[[#This Row],[GroupByKey]]),(OutputTable[GroupByKey]=OutputTable[[#This Row],[GroupByKey]])*OutputTable[RecordedValue])),0)</f>
        <v>0.19245008972987526</v>
      </c>
      <c r="M231" s="5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31" s="5" cm="1">
        <f t="array" ref="O231">MIN(IF((OutputTable[GroupByKey]=OutputTable[[#This Row],[GroupByKey]]),(OutputTable[GroupByKey]=OutputTable[[#This Row],[GroupByKey]])*OutputTable[RecordedValue]))</f>
        <v>0</v>
      </c>
      <c r="P231" s="5" cm="1">
        <f t="array" ref="P231">MAX(IF((OutputTable[GroupByKey]=OutputTable[[#This Row],[GroupByKey]]),(OutputTable[GroupByKey]=OutputTable[[#This Row],[GroupByKey]])*OutputTable[RecordedValue]))</f>
        <v>1</v>
      </c>
    </row>
    <row r="232" spans="1:16" x14ac:dyDescent="0.25">
      <c r="A232" t="s">
        <v>68</v>
      </c>
      <c r="B232" t="s">
        <v>70</v>
      </c>
      <c r="C232">
        <v>21</v>
      </c>
      <c r="D232" t="s">
        <v>116</v>
      </c>
      <c r="E232" t="s">
        <v>114</v>
      </c>
      <c r="F232" t="s">
        <v>95</v>
      </c>
      <c r="G232">
        <v>0</v>
      </c>
      <c r="H232">
        <v>0</v>
      </c>
      <c r="I232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232" s="5" cm="1">
        <f t="array" ref="J232">MAX(IF((ProjectInfoTable[ProjectName]=OutputTable[[#This Row],[ProjectName]]),(ProjectInfoTable[ProjectName]=OutputTable[[#This Row],[ProjectName]])*ProjectInfoTable[NumberOfReplications]))</f>
        <v>27</v>
      </c>
      <c r="K232" s="5" cm="1">
        <f t="array" ref="K232">IFERROR(AVERAGE(IF((OutputTable[GroupByKey]=OutputTable[[#This Row],[GroupByKey]]),(OutputTable[GroupByKey]=OutputTable[[#This Row],[GroupByKey]])*OutputTable[RecordedValue])),0)</f>
        <v>1.5859588837911111E-4</v>
      </c>
      <c r="L232" s="5" cm="1">
        <f t="array" ref="L232">IFERROR(_xlfn.STDEV.S(IF((OutputTable[GroupByKey]=OutputTable[[#This Row],[GroupByKey]]),(OutputTable[GroupByKey]=OutputTable[[#This Row],[GroupByKey]])*OutputTable[RecordedValue])),0)</f>
        <v>8.2408840963242873E-4</v>
      </c>
      <c r="M232" s="5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232" s="5" cm="1">
        <f t="array" ref="O232">MIN(IF((OutputTable[GroupByKey]=OutputTable[[#This Row],[GroupByKey]]),(OutputTable[GroupByKey]=OutputTable[[#This Row],[GroupByKey]])*OutputTable[RecordedValue]))</f>
        <v>0</v>
      </c>
      <c r="P232" s="5" cm="1">
        <f t="array" ref="P232">MAX(IF((OutputTable[GroupByKey]=OutputTable[[#This Row],[GroupByKey]]),(OutputTable[GroupByKey]=OutputTable[[#This Row],[GroupByKey]])*OutputTable[RecordedValue]))</f>
        <v>4.2820889862359999E-3</v>
      </c>
    </row>
    <row r="233" spans="1:16" x14ac:dyDescent="0.25">
      <c r="A233" t="s">
        <v>68</v>
      </c>
      <c r="B233" t="s">
        <v>70</v>
      </c>
      <c r="C233">
        <v>22</v>
      </c>
      <c r="D233" t="s">
        <v>99</v>
      </c>
      <c r="E233" t="s">
        <v>100</v>
      </c>
      <c r="F233" t="s">
        <v>73</v>
      </c>
      <c r="G233">
        <v>1</v>
      </c>
      <c r="H233">
        <v>0</v>
      </c>
      <c r="I233" s="5" t="str">
        <f>OutputTable[[#This Row],[ProjectName]]&amp;OutputTable[[#This Row],[Name]]&amp;OutputTable[[#This Row],[Type]]&amp;OutputTable[[#This Row],[Source]]</f>
        <v>Escenario AEntity 1.NumberInNumber InEntity</v>
      </c>
      <c r="J233" s="5" cm="1">
        <f t="array" ref="J233">MAX(IF((ProjectInfoTable[ProjectName]=OutputTable[[#This Row],[ProjectName]]),(ProjectInfoTable[ProjectName]=OutputTable[[#This Row],[ProjectName]])*ProjectInfoTable[NumberOfReplications]))</f>
        <v>27</v>
      </c>
      <c r="K233" s="5" cm="1">
        <f t="array" ref="K233">IFERROR(AVERAGE(IF((OutputTable[GroupByKey]=OutputTable[[#This Row],[GroupByKey]]),(OutputTable[GroupByKey]=OutputTable[[#This Row],[GroupByKey]])*OutputTable[RecordedValue])),0)</f>
        <v>1.2962962962962963</v>
      </c>
      <c r="L233" s="5" cm="1">
        <f t="array" ref="L233">IFERROR(_xlfn.STDEV.S(IF((OutputTable[GroupByKey]=OutputTable[[#This Row],[GroupByKey]]),(OutputTable[GroupByKey]=OutputTable[[#This Row],[GroupByKey]])*OutputTable[RecordedValue])),0)</f>
        <v>1.1706281947614154</v>
      </c>
      <c r="M233" s="5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233" s="5" cm="1">
        <f t="array" ref="O233">MIN(IF((OutputTable[GroupByKey]=OutputTable[[#This Row],[GroupByKey]]),(OutputTable[GroupByKey]=OutputTable[[#This Row],[GroupByKey]])*OutputTable[RecordedValue]))</f>
        <v>0</v>
      </c>
      <c r="P233" s="5" cm="1">
        <f t="array" ref="P233">MAX(IF((OutputTable[GroupByKey]=OutputTable[[#This Row],[GroupByKey]]),(OutputTable[GroupByKey]=OutputTable[[#This Row],[GroupByKey]])*OutputTable[RecordedValue]))</f>
        <v>5</v>
      </c>
    </row>
    <row r="234" spans="1:16" x14ac:dyDescent="0.25">
      <c r="A234" t="s">
        <v>68</v>
      </c>
      <c r="B234" t="s">
        <v>70</v>
      </c>
      <c r="C234">
        <v>22</v>
      </c>
      <c r="D234" t="s">
        <v>101</v>
      </c>
      <c r="E234" t="s">
        <v>102</v>
      </c>
      <c r="F234" t="s">
        <v>73</v>
      </c>
      <c r="G234">
        <v>0</v>
      </c>
      <c r="H234">
        <v>0</v>
      </c>
      <c r="I234" s="5" t="str">
        <f>OutputTable[[#This Row],[ProjectName]]&amp;OutputTable[[#This Row],[Name]]&amp;OutputTable[[#This Row],[Type]]&amp;OutputTable[[#This Row],[Source]]</f>
        <v>Escenario AEntity 1.NumberOutNumber OutEntity</v>
      </c>
      <c r="J234" s="5" cm="1">
        <f t="array" ref="J234">MAX(IF((ProjectInfoTable[ProjectName]=OutputTable[[#This Row],[ProjectName]]),(ProjectInfoTable[ProjectName]=OutputTable[[#This Row],[ProjectName]])*ProjectInfoTable[NumberOfReplications]))</f>
        <v>27</v>
      </c>
      <c r="K234" s="5" cm="1">
        <f t="array" ref="K234">IFERROR(AVERAGE(IF((OutputTable[GroupByKey]=OutputTable[[#This Row],[GroupByKey]]),(OutputTable[GroupByKey]=OutputTable[[#This Row],[GroupByKey]])*OutputTable[RecordedValue])),0)</f>
        <v>1.1851851851851851</v>
      </c>
      <c r="L234" s="5" cm="1">
        <f t="array" ref="L234">IFERROR(_xlfn.STDEV.S(IF((OutputTable[GroupByKey]=OutputTable[[#This Row],[GroupByKey]]),(OutputTable[GroupByKey]=OutputTable[[#This Row],[GroupByKey]])*OutputTable[RecordedValue])),0)</f>
        <v>1.0754976321197349</v>
      </c>
      <c r="M234" s="5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234" s="5" cm="1">
        <f t="array" ref="O234">MIN(IF((OutputTable[GroupByKey]=OutputTable[[#This Row],[GroupByKey]]),(OutputTable[GroupByKey]=OutputTable[[#This Row],[GroupByKey]])*OutputTable[RecordedValue]))</f>
        <v>0</v>
      </c>
      <c r="P234" s="5" cm="1">
        <f t="array" ref="P234">MAX(IF((OutputTable[GroupByKey]=OutputTable[[#This Row],[GroupByKey]]),(OutputTable[GroupByKey]=OutputTable[[#This Row],[GroupByKey]])*OutputTable[RecordedValue]))</f>
        <v>4</v>
      </c>
    </row>
    <row r="235" spans="1:16" x14ac:dyDescent="0.25">
      <c r="A235" t="s">
        <v>68</v>
      </c>
      <c r="B235" t="s">
        <v>70</v>
      </c>
      <c r="C235">
        <v>22</v>
      </c>
      <c r="D235" t="s">
        <v>103</v>
      </c>
      <c r="E235" t="s">
        <v>104</v>
      </c>
      <c r="F235" t="s">
        <v>87</v>
      </c>
      <c r="G235">
        <v>0</v>
      </c>
      <c r="H235">
        <v>0</v>
      </c>
      <c r="I235" s="5" t="str">
        <f>OutputTable[[#This Row],[ProjectName]]&amp;OutputTable[[#This Row],[Name]]&amp;OutputTable[[#This Row],[Type]]&amp;OutputTable[[#This Row],[Source]]</f>
        <v>Escenario ASeguimiemto Accum VA TimeAccum VA TimeProcess</v>
      </c>
      <c r="J235" s="5" cm="1">
        <f t="array" ref="J235">MAX(IF((ProjectInfoTable[ProjectName]=OutputTable[[#This Row],[ProjectName]]),(ProjectInfoTable[ProjectName]=OutputTable[[#This Row],[ProjectName]])*ProjectInfoTable[NumberOfReplications]))</f>
        <v>27</v>
      </c>
      <c r="K235" s="5" cm="1">
        <f t="array" ref="K235">IFERROR(AVERAGE(IF((OutputTable[GroupByKey]=OutputTable[[#This Row],[GroupByKey]]),(OutputTable[GroupByKey]=OutputTable[[#This Row],[GroupByKey]])*OutputTable[RecordedValue])),0)</f>
        <v>9.5157533027466656E-2</v>
      </c>
      <c r="L235" s="5" cm="1">
        <f t="array" ref="L235">IFERROR(_xlfn.STDEV.S(IF((OutputTable[GroupByKey]=OutputTable[[#This Row],[GroupByKey]]),(OutputTable[GroupByKey]=OutputTable[[#This Row],[GroupByKey]])*OutputTable[RecordedValue])),0)</f>
        <v>0.4944530457794572</v>
      </c>
      <c r="M235" s="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235" s="5" cm="1">
        <f t="array" ref="O235">MIN(IF((OutputTable[GroupByKey]=OutputTable[[#This Row],[GroupByKey]]),(OutputTable[GroupByKey]=OutputTable[[#This Row],[GroupByKey]])*OutputTable[RecordedValue]))</f>
        <v>0</v>
      </c>
      <c r="P235" s="5" cm="1">
        <f t="array" ref="P235">MAX(IF((OutputTable[GroupByKey]=OutputTable[[#This Row],[GroupByKey]]),(OutputTable[GroupByKey]=OutputTable[[#This Row],[GroupByKey]])*OutputTable[RecordedValue]))</f>
        <v>2.5692533917415998</v>
      </c>
    </row>
    <row r="236" spans="1:16" x14ac:dyDescent="0.25">
      <c r="A236" t="s">
        <v>68</v>
      </c>
      <c r="B236" t="s">
        <v>70</v>
      </c>
      <c r="C236">
        <v>22</v>
      </c>
      <c r="D236" t="s">
        <v>105</v>
      </c>
      <c r="E236" t="s">
        <v>106</v>
      </c>
      <c r="F236" t="s">
        <v>87</v>
      </c>
      <c r="G236">
        <v>0</v>
      </c>
      <c r="H236">
        <v>0</v>
      </c>
      <c r="I236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236" s="5" cm="1">
        <f t="array" ref="J236">MAX(IF((ProjectInfoTable[ProjectName]=OutputTable[[#This Row],[ProjectName]]),(ProjectInfoTable[ProjectName]=OutputTable[[#This Row],[ProjectName]])*ProjectInfoTable[NumberOfReplications]))</f>
        <v>27</v>
      </c>
      <c r="K236" s="5" cm="1">
        <f t="array" ref="K236">IFERROR(AVERAGE(IF((OutputTable[GroupByKey]=OutputTable[[#This Row],[GroupByKey]]),(OutputTable[GroupByKey]=OutputTable[[#This Row],[GroupByKey]])*OutputTable[RecordedValue])),0)</f>
        <v>0</v>
      </c>
      <c r="L236" s="5" cm="1">
        <f t="array" ref="L236">IFERROR(_xlfn.STDEV.S(IF((OutputTable[GroupByKey]=OutputTable[[#This Row],[GroupByKey]]),(OutputTable[GroupByKey]=OutputTable[[#This Row],[GroupByKey]])*OutputTable[RecordedValue])),0)</f>
        <v>0</v>
      </c>
      <c r="M236" s="5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" s="5" cm="1">
        <f t="array" ref="O236">MIN(IF((OutputTable[GroupByKey]=OutputTable[[#This Row],[GroupByKey]]),(OutputTable[GroupByKey]=OutputTable[[#This Row],[GroupByKey]])*OutputTable[RecordedValue]))</f>
        <v>0</v>
      </c>
      <c r="P236" s="5" cm="1">
        <f t="array" ref="P236">MAX(IF((OutputTable[GroupByKey]=OutputTable[[#This Row],[GroupByKey]]),(OutputTable[GroupByKey]=OutputTable[[#This Row],[GroupByKey]])*OutputTable[RecordedValue]))</f>
        <v>0</v>
      </c>
    </row>
    <row r="237" spans="1:16" x14ac:dyDescent="0.25">
      <c r="A237" t="s">
        <v>68</v>
      </c>
      <c r="B237" t="s">
        <v>70</v>
      </c>
      <c r="C237">
        <v>22</v>
      </c>
      <c r="D237" t="s">
        <v>107</v>
      </c>
      <c r="E237" t="s">
        <v>100</v>
      </c>
      <c r="F237" t="s">
        <v>87</v>
      </c>
      <c r="G237">
        <v>0</v>
      </c>
      <c r="H237">
        <v>0</v>
      </c>
      <c r="I237" s="5" t="str">
        <f>OutputTable[[#This Row],[ProjectName]]&amp;OutputTable[[#This Row],[Name]]&amp;OutputTable[[#This Row],[Type]]&amp;OutputTable[[#This Row],[Source]]</f>
        <v>Escenario ASeguimiemto Number InNumber InProcess</v>
      </c>
      <c r="J237" s="5" cm="1">
        <f t="array" ref="J237">MAX(IF((ProjectInfoTable[ProjectName]=OutputTable[[#This Row],[ProjectName]]),(ProjectInfoTable[ProjectName]=OutputTable[[#This Row],[ProjectName]])*ProjectInfoTable[NumberOfReplications]))</f>
        <v>27</v>
      </c>
      <c r="K237" s="5" cm="1">
        <f t="array" ref="K237">IFERROR(AVERAGE(IF((OutputTable[GroupByKey]=OutputTable[[#This Row],[GroupByKey]]),(OutputTable[GroupByKey]=OutputTable[[#This Row],[GroupByKey]])*OutputTable[RecordedValue])),0)</f>
        <v>3.7037037037037035E-2</v>
      </c>
      <c r="L237" s="5" cm="1">
        <f t="array" ref="L237">IFERROR(_xlfn.STDEV.S(IF((OutputTable[GroupByKey]=OutputTable[[#This Row],[GroupByKey]]),(OutputTable[GroupByKey]=OutputTable[[#This Row],[GroupByKey]])*OutputTable[RecordedValue])),0)</f>
        <v>0.19245008972987526</v>
      </c>
      <c r="M237" s="5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37" s="5" cm="1">
        <f t="array" ref="O237">MIN(IF((OutputTable[GroupByKey]=OutputTable[[#This Row],[GroupByKey]]),(OutputTable[GroupByKey]=OutputTable[[#This Row],[GroupByKey]])*OutputTable[RecordedValue]))</f>
        <v>0</v>
      </c>
      <c r="P237" s="5" cm="1">
        <f t="array" ref="P237">MAX(IF((OutputTable[GroupByKey]=OutputTable[[#This Row],[GroupByKey]]),(OutputTable[GroupByKey]=OutputTable[[#This Row],[GroupByKey]])*OutputTable[RecordedValue]))</f>
        <v>1</v>
      </c>
    </row>
    <row r="238" spans="1:16" x14ac:dyDescent="0.25">
      <c r="A238" t="s">
        <v>68</v>
      </c>
      <c r="B238" t="s">
        <v>70</v>
      </c>
      <c r="C238">
        <v>22</v>
      </c>
      <c r="D238" t="s">
        <v>108</v>
      </c>
      <c r="E238" t="s">
        <v>102</v>
      </c>
      <c r="F238" t="s">
        <v>87</v>
      </c>
      <c r="G238">
        <v>0</v>
      </c>
      <c r="H238">
        <v>0</v>
      </c>
      <c r="I238" s="5" t="str">
        <f>OutputTable[[#This Row],[ProjectName]]&amp;OutputTable[[#This Row],[Name]]&amp;OutputTable[[#This Row],[Type]]&amp;OutputTable[[#This Row],[Source]]</f>
        <v>Escenario ASeguimiemto Number OutNumber OutProcess</v>
      </c>
      <c r="J238" s="5" cm="1">
        <f t="array" ref="J238">MAX(IF((ProjectInfoTable[ProjectName]=OutputTable[[#This Row],[ProjectName]]),(ProjectInfoTable[ProjectName]=OutputTable[[#This Row],[ProjectName]])*ProjectInfoTable[NumberOfReplications]))</f>
        <v>27</v>
      </c>
      <c r="K238" s="5" cm="1">
        <f t="array" ref="K238">IFERROR(AVERAGE(IF((OutputTable[GroupByKey]=OutputTable[[#This Row],[GroupByKey]]),(OutputTable[GroupByKey]=OutputTable[[#This Row],[GroupByKey]])*OutputTable[RecordedValue])),0)</f>
        <v>3.7037037037037035E-2</v>
      </c>
      <c r="L238" s="5" cm="1">
        <f t="array" ref="L238">IFERROR(_xlfn.STDEV.S(IF((OutputTable[GroupByKey]=OutputTable[[#This Row],[GroupByKey]]),(OutputTable[GroupByKey]=OutputTable[[#This Row],[GroupByKey]])*OutputTable[RecordedValue])),0)</f>
        <v>0.19245008972987526</v>
      </c>
      <c r="M238" s="5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38" s="5" cm="1">
        <f t="array" ref="O238">MIN(IF((OutputTable[GroupByKey]=OutputTable[[#This Row],[GroupByKey]]),(OutputTable[GroupByKey]=OutputTable[[#This Row],[GroupByKey]])*OutputTable[RecordedValue]))</f>
        <v>0</v>
      </c>
      <c r="P238" s="5" cm="1">
        <f t="array" ref="P238">MAX(IF((OutputTable[GroupByKey]=OutputTable[[#This Row],[GroupByKey]]),(OutputTable[GroupByKey]=OutputTable[[#This Row],[GroupByKey]])*OutputTable[RecordedValue]))</f>
        <v>1</v>
      </c>
    </row>
    <row r="239" spans="1:16" x14ac:dyDescent="0.25">
      <c r="A239" t="s">
        <v>68</v>
      </c>
      <c r="B239" t="s">
        <v>70</v>
      </c>
      <c r="C239">
        <v>22</v>
      </c>
      <c r="D239" t="s">
        <v>109</v>
      </c>
      <c r="E239" t="s">
        <v>102</v>
      </c>
      <c r="F239" t="s">
        <v>110</v>
      </c>
      <c r="G239">
        <v>0</v>
      </c>
      <c r="H239">
        <v>0</v>
      </c>
      <c r="I239" s="5" t="str">
        <f>OutputTable[[#This Row],[ProjectName]]&amp;OutputTable[[#This Row],[Name]]&amp;OutputTable[[#This Row],[Type]]&amp;OutputTable[[#This Row],[Source]]</f>
        <v>Escenario ASystem.NumberOutNumber OutSystem</v>
      </c>
      <c r="J239" s="5" cm="1">
        <f t="array" ref="J239">MAX(IF((ProjectInfoTable[ProjectName]=OutputTable[[#This Row],[ProjectName]]),(ProjectInfoTable[ProjectName]=OutputTable[[#This Row],[ProjectName]])*ProjectInfoTable[NumberOfReplications]))</f>
        <v>27</v>
      </c>
      <c r="K239" s="5" cm="1">
        <f t="array" ref="K239">IFERROR(AVERAGE(IF((OutputTable[GroupByKey]=OutputTable[[#This Row],[GroupByKey]]),(OutputTable[GroupByKey]=OutputTable[[#This Row],[GroupByKey]])*OutputTable[RecordedValue])),0)</f>
        <v>1.1851851851851851</v>
      </c>
      <c r="L239" s="5" cm="1">
        <f t="array" ref="L239">IFERROR(_xlfn.STDEV.S(IF((OutputTable[GroupByKey]=OutputTable[[#This Row],[GroupByKey]]),(OutputTable[GroupByKey]=OutputTable[[#This Row],[GroupByKey]])*OutputTable[RecordedValue])),0)</f>
        <v>1.0754976321197349</v>
      </c>
      <c r="M239" s="5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239" s="5" cm="1">
        <f t="array" ref="O239">MIN(IF((OutputTable[GroupByKey]=OutputTable[[#This Row],[GroupByKey]]),(OutputTable[GroupByKey]=OutputTable[[#This Row],[GroupByKey]])*OutputTable[RecordedValue]))</f>
        <v>0</v>
      </c>
      <c r="P239" s="5" cm="1">
        <f t="array" ref="P239">MAX(IF((OutputTable[GroupByKey]=OutputTable[[#This Row],[GroupByKey]]),(OutputTable[GroupByKey]=OutputTable[[#This Row],[GroupByKey]])*OutputTable[RecordedValue]))</f>
        <v>4</v>
      </c>
    </row>
    <row r="240" spans="1:16" x14ac:dyDescent="0.25">
      <c r="A240" t="s">
        <v>68</v>
      </c>
      <c r="B240" t="s">
        <v>70</v>
      </c>
      <c r="C240">
        <v>22</v>
      </c>
      <c r="D240" t="s">
        <v>111</v>
      </c>
      <c r="E240" t="s">
        <v>112</v>
      </c>
      <c r="F240" t="s">
        <v>95</v>
      </c>
      <c r="G240">
        <v>1</v>
      </c>
      <c r="H240">
        <v>0</v>
      </c>
      <c r="I240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240" s="5" cm="1">
        <f t="array" ref="J240">MAX(IF((ProjectInfoTable[ProjectName]=OutputTable[[#This Row],[ProjectName]]),(ProjectInfoTable[ProjectName]=OutputTable[[#This Row],[ProjectName]])*ProjectInfoTable[NumberOfReplications]))</f>
        <v>27</v>
      </c>
      <c r="K240" s="5" cm="1">
        <f t="array" ref="K240">IFERROR(AVERAGE(IF((OutputTable[GroupByKey]=OutputTable[[#This Row],[GroupByKey]]),(OutputTable[GroupByKey]=OutputTable[[#This Row],[GroupByKey]])*OutputTable[RecordedValue])),0)</f>
        <v>1.2962962962962963</v>
      </c>
      <c r="L240" s="5" cm="1">
        <f t="array" ref="L240">IFERROR(_xlfn.STDEV.S(IF((OutputTable[GroupByKey]=OutputTable[[#This Row],[GroupByKey]]),(OutputTable[GroupByKey]=OutputTable[[#This Row],[GroupByKey]])*OutputTable[RecordedValue])),0)</f>
        <v>1.1706281947614154</v>
      </c>
      <c r="M240" s="5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240" s="5" cm="1">
        <f t="array" ref="O240">MIN(IF((OutputTable[GroupByKey]=OutputTable[[#This Row],[GroupByKey]]),(OutputTable[GroupByKey]=OutputTable[[#This Row],[GroupByKey]])*OutputTable[RecordedValue]))</f>
        <v>0</v>
      </c>
      <c r="P240" s="5" cm="1">
        <f t="array" ref="P240">MAX(IF((OutputTable[GroupByKey]=OutputTable[[#This Row],[GroupByKey]]),(OutputTable[GroupByKey]=OutputTable[[#This Row],[GroupByKey]])*OutputTable[RecordedValue]))</f>
        <v>5</v>
      </c>
    </row>
    <row r="241" spans="1:16" x14ac:dyDescent="0.25">
      <c r="A241" t="s">
        <v>68</v>
      </c>
      <c r="B241" t="s">
        <v>70</v>
      </c>
      <c r="C241">
        <v>22</v>
      </c>
      <c r="D241" t="s">
        <v>113</v>
      </c>
      <c r="E241" t="s">
        <v>114</v>
      </c>
      <c r="F241" t="s">
        <v>95</v>
      </c>
      <c r="G241">
        <v>3.6943356926037898E-3</v>
      </c>
      <c r="H241">
        <v>0</v>
      </c>
      <c r="I241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241" s="5" cm="1">
        <f t="array" ref="J241">MAX(IF((ProjectInfoTable[ProjectName]=OutputTable[[#This Row],[ProjectName]]),(ProjectInfoTable[ProjectName]=OutputTable[[#This Row],[ProjectName]])*ProjectInfoTable[NumberOfReplications]))</f>
        <v>27</v>
      </c>
      <c r="K241" s="5" cm="1">
        <f t="array" ref="K241">IFERROR(AVERAGE(IF((OutputTable[GroupByKey]=OutputTable[[#This Row],[GroupByKey]]),(OutputTable[GroupByKey]=OutputTable[[#This Row],[GroupByKey]])*OutputTable[RecordedValue])),0)</f>
        <v>1.2223949425906553E-2</v>
      </c>
      <c r="L241" s="5" cm="1">
        <f t="array" ref="L241">IFERROR(_xlfn.STDEV.S(IF((OutputTable[GroupByKey]=OutputTable[[#This Row],[GroupByKey]]),(OutputTable[GroupByKey]=OutputTable[[#This Row],[GroupByKey]])*OutputTable[RecordedValue])),0)</f>
        <v>1.112543407769513E-2</v>
      </c>
      <c r="M241" s="5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241" s="5" cm="1">
        <f t="array" ref="O241">MIN(IF((OutputTable[GroupByKey]=OutputTable[[#This Row],[GroupByKey]]),(OutputTable[GroupByKey]=OutputTable[[#This Row],[GroupByKey]])*OutputTable[RecordedValue]))</f>
        <v>0</v>
      </c>
      <c r="P241" s="5" cm="1">
        <f t="array" ref="P241">MAX(IF((OutputTable[GroupByKey]=OutputTable[[#This Row],[GroupByKey]]),(OutputTable[GroupByKey]=OutputTable[[#This Row],[GroupByKey]])*OutputTable[RecordedValue]))</f>
        <v>4.2906548761083699E-2</v>
      </c>
    </row>
    <row r="242" spans="1:16" x14ac:dyDescent="0.25">
      <c r="A242" t="s">
        <v>68</v>
      </c>
      <c r="B242" t="s">
        <v>70</v>
      </c>
      <c r="C242">
        <v>22</v>
      </c>
      <c r="D242" t="s">
        <v>115</v>
      </c>
      <c r="E242" t="s">
        <v>112</v>
      </c>
      <c r="F242" t="s">
        <v>95</v>
      </c>
      <c r="G242">
        <v>0</v>
      </c>
      <c r="H242">
        <v>0</v>
      </c>
      <c r="I242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242" s="5" cm="1">
        <f t="array" ref="J242">MAX(IF((ProjectInfoTable[ProjectName]=OutputTable[[#This Row],[ProjectName]]),(ProjectInfoTable[ProjectName]=OutputTable[[#This Row],[ProjectName]])*ProjectInfoTable[NumberOfReplications]))</f>
        <v>27</v>
      </c>
      <c r="K242" s="5" cm="1">
        <f t="array" ref="K242">IFERROR(AVERAGE(IF((OutputTable[GroupByKey]=OutputTable[[#This Row],[GroupByKey]]),(OutputTable[GroupByKey]=OutputTable[[#This Row],[GroupByKey]])*OutputTable[RecordedValue])),0)</f>
        <v>3.7037037037037035E-2</v>
      </c>
      <c r="L242" s="5" cm="1">
        <f t="array" ref="L242">IFERROR(_xlfn.STDEV.S(IF((OutputTable[GroupByKey]=OutputTable[[#This Row],[GroupByKey]]),(OutputTable[GroupByKey]=OutputTable[[#This Row],[GroupByKey]])*OutputTable[RecordedValue])),0)</f>
        <v>0.19245008972987526</v>
      </c>
      <c r="M242" s="5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42" s="5" cm="1">
        <f t="array" ref="O242">MIN(IF((OutputTable[GroupByKey]=OutputTable[[#This Row],[GroupByKey]]),(OutputTable[GroupByKey]=OutputTable[[#This Row],[GroupByKey]])*OutputTable[RecordedValue]))</f>
        <v>0</v>
      </c>
      <c r="P242" s="5" cm="1">
        <f t="array" ref="P242">MAX(IF((OutputTable[GroupByKey]=OutputTable[[#This Row],[GroupByKey]]),(OutputTable[GroupByKey]=OutputTable[[#This Row],[GroupByKey]])*OutputTable[RecordedValue]))</f>
        <v>1</v>
      </c>
    </row>
    <row r="243" spans="1:16" x14ac:dyDescent="0.25">
      <c r="A243" t="s">
        <v>68</v>
      </c>
      <c r="B243" t="s">
        <v>70</v>
      </c>
      <c r="C243">
        <v>22</v>
      </c>
      <c r="D243" t="s">
        <v>116</v>
      </c>
      <c r="E243" t="s">
        <v>114</v>
      </c>
      <c r="F243" t="s">
        <v>95</v>
      </c>
      <c r="G243">
        <v>0</v>
      </c>
      <c r="H243">
        <v>0</v>
      </c>
      <c r="I243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243" s="5" cm="1">
        <f t="array" ref="J243">MAX(IF((ProjectInfoTable[ProjectName]=OutputTable[[#This Row],[ProjectName]]),(ProjectInfoTable[ProjectName]=OutputTable[[#This Row],[ProjectName]])*ProjectInfoTable[NumberOfReplications]))</f>
        <v>27</v>
      </c>
      <c r="K243" s="5" cm="1">
        <f t="array" ref="K243">IFERROR(AVERAGE(IF((OutputTable[GroupByKey]=OutputTable[[#This Row],[GroupByKey]]),(OutputTable[GroupByKey]=OutputTable[[#This Row],[GroupByKey]])*OutputTable[RecordedValue])),0)</f>
        <v>1.5859588837911111E-4</v>
      </c>
      <c r="L243" s="5" cm="1">
        <f t="array" ref="L243">IFERROR(_xlfn.STDEV.S(IF((OutputTable[GroupByKey]=OutputTable[[#This Row],[GroupByKey]]),(OutputTable[GroupByKey]=OutputTable[[#This Row],[GroupByKey]])*OutputTable[RecordedValue])),0)</f>
        <v>8.2408840963242873E-4</v>
      </c>
      <c r="M243" s="5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243" s="5" cm="1">
        <f t="array" ref="O243">MIN(IF((OutputTable[GroupByKey]=OutputTable[[#This Row],[GroupByKey]]),(OutputTable[GroupByKey]=OutputTable[[#This Row],[GroupByKey]])*OutputTable[RecordedValue]))</f>
        <v>0</v>
      </c>
      <c r="P243" s="5" cm="1">
        <f t="array" ref="P243">MAX(IF((OutputTable[GroupByKey]=OutputTable[[#This Row],[GroupByKey]]),(OutputTable[GroupByKey]=OutputTable[[#This Row],[GroupByKey]])*OutputTable[RecordedValue]))</f>
        <v>4.2820889862359999E-3</v>
      </c>
    </row>
    <row r="244" spans="1:16" x14ac:dyDescent="0.25">
      <c r="A244" t="s">
        <v>68</v>
      </c>
      <c r="B244" t="s">
        <v>70</v>
      </c>
      <c r="C244">
        <v>23</v>
      </c>
      <c r="D244" t="s">
        <v>99</v>
      </c>
      <c r="E244" t="s">
        <v>100</v>
      </c>
      <c r="F244" t="s">
        <v>73</v>
      </c>
      <c r="G244">
        <v>0</v>
      </c>
      <c r="H244">
        <v>0</v>
      </c>
      <c r="I244" s="5" t="str">
        <f>OutputTable[[#This Row],[ProjectName]]&amp;OutputTable[[#This Row],[Name]]&amp;OutputTable[[#This Row],[Type]]&amp;OutputTable[[#This Row],[Source]]</f>
        <v>Escenario AEntity 1.NumberInNumber InEntity</v>
      </c>
      <c r="J244" s="5" cm="1">
        <f t="array" ref="J244">MAX(IF((ProjectInfoTable[ProjectName]=OutputTable[[#This Row],[ProjectName]]),(ProjectInfoTable[ProjectName]=OutputTable[[#This Row],[ProjectName]])*ProjectInfoTable[NumberOfReplications]))</f>
        <v>27</v>
      </c>
      <c r="K244" s="5" cm="1">
        <f t="array" ref="K244">IFERROR(AVERAGE(IF((OutputTable[GroupByKey]=OutputTable[[#This Row],[GroupByKey]]),(OutputTable[GroupByKey]=OutputTable[[#This Row],[GroupByKey]])*OutputTable[RecordedValue])),0)</f>
        <v>1.2962962962962963</v>
      </c>
      <c r="L244" s="5" cm="1">
        <f t="array" ref="L244">IFERROR(_xlfn.STDEV.S(IF((OutputTable[GroupByKey]=OutputTable[[#This Row],[GroupByKey]]),(OutputTable[GroupByKey]=OutputTable[[#This Row],[GroupByKey]])*OutputTable[RecordedValue])),0)</f>
        <v>1.1706281947614154</v>
      </c>
      <c r="M244" s="5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244" s="5" cm="1">
        <f t="array" ref="O244">MIN(IF((OutputTable[GroupByKey]=OutputTable[[#This Row],[GroupByKey]]),(OutputTable[GroupByKey]=OutputTable[[#This Row],[GroupByKey]])*OutputTable[RecordedValue]))</f>
        <v>0</v>
      </c>
      <c r="P244" s="5" cm="1">
        <f t="array" ref="P244">MAX(IF((OutputTable[GroupByKey]=OutputTable[[#This Row],[GroupByKey]]),(OutputTable[GroupByKey]=OutputTable[[#This Row],[GroupByKey]])*OutputTable[RecordedValue]))</f>
        <v>5</v>
      </c>
    </row>
    <row r="245" spans="1:16" x14ac:dyDescent="0.25">
      <c r="A245" t="s">
        <v>68</v>
      </c>
      <c r="B245" t="s">
        <v>70</v>
      </c>
      <c r="C245">
        <v>23</v>
      </c>
      <c r="D245" t="s">
        <v>101</v>
      </c>
      <c r="E245" t="s">
        <v>102</v>
      </c>
      <c r="F245" t="s">
        <v>73</v>
      </c>
      <c r="G245">
        <v>0</v>
      </c>
      <c r="H245">
        <v>0</v>
      </c>
      <c r="I245" s="5" t="str">
        <f>OutputTable[[#This Row],[ProjectName]]&amp;OutputTable[[#This Row],[Name]]&amp;OutputTable[[#This Row],[Type]]&amp;OutputTable[[#This Row],[Source]]</f>
        <v>Escenario AEntity 1.NumberOutNumber OutEntity</v>
      </c>
      <c r="J245" s="5" cm="1">
        <f t="array" ref="J245">MAX(IF((ProjectInfoTable[ProjectName]=OutputTable[[#This Row],[ProjectName]]),(ProjectInfoTable[ProjectName]=OutputTable[[#This Row],[ProjectName]])*ProjectInfoTable[NumberOfReplications]))</f>
        <v>27</v>
      </c>
      <c r="K245" s="5" cm="1">
        <f t="array" ref="K245">IFERROR(AVERAGE(IF((OutputTable[GroupByKey]=OutputTable[[#This Row],[GroupByKey]]),(OutputTable[GroupByKey]=OutputTable[[#This Row],[GroupByKey]])*OutputTable[RecordedValue])),0)</f>
        <v>1.1851851851851851</v>
      </c>
      <c r="L245" s="5" cm="1">
        <f t="array" ref="L245">IFERROR(_xlfn.STDEV.S(IF((OutputTable[GroupByKey]=OutputTable[[#This Row],[GroupByKey]]),(OutputTable[GroupByKey]=OutputTable[[#This Row],[GroupByKey]])*OutputTable[RecordedValue])),0)</f>
        <v>1.0754976321197349</v>
      </c>
      <c r="M245" s="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245" s="5" cm="1">
        <f t="array" ref="O245">MIN(IF((OutputTable[GroupByKey]=OutputTable[[#This Row],[GroupByKey]]),(OutputTable[GroupByKey]=OutputTable[[#This Row],[GroupByKey]])*OutputTable[RecordedValue]))</f>
        <v>0</v>
      </c>
      <c r="P245" s="5" cm="1">
        <f t="array" ref="P245">MAX(IF((OutputTable[GroupByKey]=OutputTable[[#This Row],[GroupByKey]]),(OutputTable[GroupByKey]=OutputTable[[#This Row],[GroupByKey]])*OutputTable[RecordedValue]))</f>
        <v>4</v>
      </c>
    </row>
    <row r="246" spans="1:16" x14ac:dyDescent="0.25">
      <c r="A246" t="s">
        <v>68</v>
      </c>
      <c r="B246" t="s">
        <v>70</v>
      </c>
      <c r="C246">
        <v>23</v>
      </c>
      <c r="D246" t="s">
        <v>103</v>
      </c>
      <c r="E246" t="s">
        <v>104</v>
      </c>
      <c r="F246" t="s">
        <v>87</v>
      </c>
      <c r="G246">
        <v>0</v>
      </c>
      <c r="H246">
        <v>0</v>
      </c>
      <c r="I246" s="5" t="str">
        <f>OutputTable[[#This Row],[ProjectName]]&amp;OutputTable[[#This Row],[Name]]&amp;OutputTable[[#This Row],[Type]]&amp;OutputTable[[#This Row],[Source]]</f>
        <v>Escenario ASeguimiemto Accum VA TimeAccum VA TimeProcess</v>
      </c>
      <c r="J246" s="5" cm="1">
        <f t="array" ref="J246">MAX(IF((ProjectInfoTable[ProjectName]=OutputTable[[#This Row],[ProjectName]]),(ProjectInfoTable[ProjectName]=OutputTable[[#This Row],[ProjectName]])*ProjectInfoTable[NumberOfReplications]))</f>
        <v>27</v>
      </c>
      <c r="K246" s="5" cm="1">
        <f t="array" ref="K246">IFERROR(AVERAGE(IF((OutputTable[GroupByKey]=OutputTable[[#This Row],[GroupByKey]]),(OutputTable[GroupByKey]=OutputTable[[#This Row],[GroupByKey]])*OutputTable[RecordedValue])),0)</f>
        <v>9.5157533027466656E-2</v>
      </c>
      <c r="L246" s="5" cm="1">
        <f t="array" ref="L246">IFERROR(_xlfn.STDEV.S(IF((OutputTable[GroupByKey]=OutputTable[[#This Row],[GroupByKey]]),(OutputTable[GroupByKey]=OutputTable[[#This Row],[GroupByKey]])*OutputTable[RecordedValue])),0)</f>
        <v>0.4944530457794572</v>
      </c>
      <c r="M246" s="5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246" s="5" cm="1">
        <f t="array" ref="O246">MIN(IF((OutputTable[GroupByKey]=OutputTable[[#This Row],[GroupByKey]]),(OutputTable[GroupByKey]=OutputTable[[#This Row],[GroupByKey]])*OutputTable[RecordedValue]))</f>
        <v>0</v>
      </c>
      <c r="P246" s="5" cm="1">
        <f t="array" ref="P246">MAX(IF((OutputTable[GroupByKey]=OutputTable[[#This Row],[GroupByKey]]),(OutputTable[GroupByKey]=OutputTable[[#This Row],[GroupByKey]])*OutputTable[RecordedValue]))</f>
        <v>2.5692533917415998</v>
      </c>
    </row>
    <row r="247" spans="1:16" x14ac:dyDescent="0.25">
      <c r="A247" t="s">
        <v>68</v>
      </c>
      <c r="B247" t="s">
        <v>70</v>
      </c>
      <c r="C247">
        <v>23</v>
      </c>
      <c r="D247" t="s">
        <v>105</v>
      </c>
      <c r="E247" t="s">
        <v>106</v>
      </c>
      <c r="F247" t="s">
        <v>87</v>
      </c>
      <c r="G247">
        <v>0</v>
      </c>
      <c r="H247">
        <v>0</v>
      </c>
      <c r="I247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247" s="5" cm="1">
        <f t="array" ref="J247">MAX(IF((ProjectInfoTable[ProjectName]=OutputTable[[#This Row],[ProjectName]]),(ProjectInfoTable[ProjectName]=OutputTable[[#This Row],[ProjectName]])*ProjectInfoTable[NumberOfReplications]))</f>
        <v>27</v>
      </c>
      <c r="K247" s="5" cm="1">
        <f t="array" ref="K247">IFERROR(AVERAGE(IF((OutputTable[GroupByKey]=OutputTable[[#This Row],[GroupByKey]]),(OutputTable[GroupByKey]=OutputTable[[#This Row],[GroupByKey]])*OutputTable[RecordedValue])),0)</f>
        <v>0</v>
      </c>
      <c r="L247" s="5" cm="1">
        <f t="array" ref="L247">IFERROR(_xlfn.STDEV.S(IF((OutputTable[GroupByKey]=OutputTable[[#This Row],[GroupByKey]]),(OutputTable[GroupByKey]=OutputTable[[#This Row],[GroupByKey]])*OutputTable[RecordedValue])),0)</f>
        <v>0</v>
      </c>
      <c r="M247" s="5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" s="5" cm="1">
        <f t="array" ref="O247">MIN(IF((OutputTable[GroupByKey]=OutputTable[[#This Row],[GroupByKey]]),(OutputTable[GroupByKey]=OutputTable[[#This Row],[GroupByKey]])*OutputTable[RecordedValue]))</f>
        <v>0</v>
      </c>
      <c r="P247" s="5" cm="1">
        <f t="array" ref="P247">MAX(IF((OutputTable[GroupByKey]=OutputTable[[#This Row],[GroupByKey]]),(OutputTable[GroupByKey]=OutputTable[[#This Row],[GroupByKey]])*OutputTable[RecordedValue]))</f>
        <v>0</v>
      </c>
    </row>
    <row r="248" spans="1:16" x14ac:dyDescent="0.25">
      <c r="A248" t="s">
        <v>68</v>
      </c>
      <c r="B248" t="s">
        <v>70</v>
      </c>
      <c r="C248">
        <v>23</v>
      </c>
      <c r="D248" t="s">
        <v>107</v>
      </c>
      <c r="E248" t="s">
        <v>100</v>
      </c>
      <c r="F248" t="s">
        <v>87</v>
      </c>
      <c r="G248">
        <v>0</v>
      </c>
      <c r="H248">
        <v>0</v>
      </c>
      <c r="I248" s="5" t="str">
        <f>OutputTable[[#This Row],[ProjectName]]&amp;OutputTable[[#This Row],[Name]]&amp;OutputTable[[#This Row],[Type]]&amp;OutputTable[[#This Row],[Source]]</f>
        <v>Escenario ASeguimiemto Number InNumber InProcess</v>
      </c>
      <c r="J248" s="5" cm="1">
        <f t="array" ref="J248">MAX(IF((ProjectInfoTable[ProjectName]=OutputTable[[#This Row],[ProjectName]]),(ProjectInfoTable[ProjectName]=OutputTable[[#This Row],[ProjectName]])*ProjectInfoTable[NumberOfReplications]))</f>
        <v>27</v>
      </c>
      <c r="K248" s="5" cm="1">
        <f t="array" ref="K248">IFERROR(AVERAGE(IF((OutputTable[GroupByKey]=OutputTable[[#This Row],[GroupByKey]]),(OutputTable[GroupByKey]=OutputTable[[#This Row],[GroupByKey]])*OutputTable[RecordedValue])),0)</f>
        <v>3.7037037037037035E-2</v>
      </c>
      <c r="L248" s="5" cm="1">
        <f t="array" ref="L248">IFERROR(_xlfn.STDEV.S(IF((OutputTable[GroupByKey]=OutputTable[[#This Row],[GroupByKey]]),(OutputTable[GroupByKey]=OutputTable[[#This Row],[GroupByKey]])*OutputTable[RecordedValue])),0)</f>
        <v>0.19245008972987526</v>
      </c>
      <c r="M248" s="5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48" s="5" cm="1">
        <f t="array" ref="O248">MIN(IF((OutputTable[GroupByKey]=OutputTable[[#This Row],[GroupByKey]]),(OutputTable[GroupByKey]=OutputTable[[#This Row],[GroupByKey]])*OutputTable[RecordedValue]))</f>
        <v>0</v>
      </c>
      <c r="P248" s="5" cm="1">
        <f t="array" ref="P248">MAX(IF((OutputTable[GroupByKey]=OutputTable[[#This Row],[GroupByKey]]),(OutputTable[GroupByKey]=OutputTable[[#This Row],[GroupByKey]])*OutputTable[RecordedValue]))</f>
        <v>1</v>
      </c>
    </row>
    <row r="249" spans="1:16" x14ac:dyDescent="0.25">
      <c r="A249" t="s">
        <v>68</v>
      </c>
      <c r="B249" t="s">
        <v>70</v>
      </c>
      <c r="C249">
        <v>23</v>
      </c>
      <c r="D249" t="s">
        <v>108</v>
      </c>
      <c r="E249" t="s">
        <v>102</v>
      </c>
      <c r="F249" t="s">
        <v>87</v>
      </c>
      <c r="G249">
        <v>0</v>
      </c>
      <c r="H249">
        <v>0</v>
      </c>
      <c r="I249" s="5" t="str">
        <f>OutputTable[[#This Row],[ProjectName]]&amp;OutputTable[[#This Row],[Name]]&amp;OutputTable[[#This Row],[Type]]&amp;OutputTable[[#This Row],[Source]]</f>
        <v>Escenario ASeguimiemto Number OutNumber OutProcess</v>
      </c>
      <c r="J249" s="5" cm="1">
        <f t="array" ref="J249">MAX(IF((ProjectInfoTable[ProjectName]=OutputTable[[#This Row],[ProjectName]]),(ProjectInfoTable[ProjectName]=OutputTable[[#This Row],[ProjectName]])*ProjectInfoTable[NumberOfReplications]))</f>
        <v>27</v>
      </c>
      <c r="K249" s="5" cm="1">
        <f t="array" ref="K249">IFERROR(AVERAGE(IF((OutputTable[GroupByKey]=OutputTable[[#This Row],[GroupByKey]]),(OutputTable[GroupByKey]=OutputTable[[#This Row],[GroupByKey]])*OutputTable[RecordedValue])),0)</f>
        <v>3.7037037037037035E-2</v>
      </c>
      <c r="L249" s="5" cm="1">
        <f t="array" ref="L249">IFERROR(_xlfn.STDEV.S(IF((OutputTable[GroupByKey]=OutputTable[[#This Row],[GroupByKey]]),(OutputTable[GroupByKey]=OutputTable[[#This Row],[GroupByKey]])*OutputTable[RecordedValue])),0)</f>
        <v>0.19245008972987526</v>
      </c>
      <c r="M249" s="5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49" s="5" cm="1">
        <f t="array" ref="O249">MIN(IF((OutputTable[GroupByKey]=OutputTable[[#This Row],[GroupByKey]]),(OutputTable[GroupByKey]=OutputTable[[#This Row],[GroupByKey]])*OutputTable[RecordedValue]))</f>
        <v>0</v>
      </c>
      <c r="P249" s="5" cm="1">
        <f t="array" ref="P249">MAX(IF((OutputTable[GroupByKey]=OutputTable[[#This Row],[GroupByKey]]),(OutputTable[GroupByKey]=OutputTable[[#This Row],[GroupByKey]])*OutputTable[RecordedValue]))</f>
        <v>1</v>
      </c>
    </row>
    <row r="250" spans="1:16" x14ac:dyDescent="0.25">
      <c r="A250" t="s">
        <v>68</v>
      </c>
      <c r="B250" t="s">
        <v>70</v>
      </c>
      <c r="C250">
        <v>23</v>
      </c>
      <c r="D250" t="s">
        <v>109</v>
      </c>
      <c r="E250" t="s">
        <v>102</v>
      </c>
      <c r="F250" t="s">
        <v>110</v>
      </c>
      <c r="G250">
        <v>0</v>
      </c>
      <c r="H250">
        <v>0</v>
      </c>
      <c r="I250" s="5" t="str">
        <f>OutputTable[[#This Row],[ProjectName]]&amp;OutputTable[[#This Row],[Name]]&amp;OutputTable[[#This Row],[Type]]&amp;OutputTable[[#This Row],[Source]]</f>
        <v>Escenario ASystem.NumberOutNumber OutSystem</v>
      </c>
      <c r="J250" s="5" cm="1">
        <f t="array" ref="J250">MAX(IF((ProjectInfoTable[ProjectName]=OutputTable[[#This Row],[ProjectName]]),(ProjectInfoTable[ProjectName]=OutputTable[[#This Row],[ProjectName]])*ProjectInfoTable[NumberOfReplications]))</f>
        <v>27</v>
      </c>
      <c r="K250" s="5" cm="1">
        <f t="array" ref="K250">IFERROR(AVERAGE(IF((OutputTable[GroupByKey]=OutputTable[[#This Row],[GroupByKey]]),(OutputTable[GroupByKey]=OutputTable[[#This Row],[GroupByKey]])*OutputTable[RecordedValue])),0)</f>
        <v>1.1851851851851851</v>
      </c>
      <c r="L250" s="5" cm="1">
        <f t="array" ref="L250">IFERROR(_xlfn.STDEV.S(IF((OutputTable[GroupByKey]=OutputTable[[#This Row],[GroupByKey]]),(OutputTable[GroupByKey]=OutputTable[[#This Row],[GroupByKey]])*OutputTable[RecordedValue])),0)</f>
        <v>1.0754976321197349</v>
      </c>
      <c r="M250" s="5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250" s="5" cm="1">
        <f t="array" ref="O250">MIN(IF((OutputTable[GroupByKey]=OutputTable[[#This Row],[GroupByKey]]),(OutputTable[GroupByKey]=OutputTable[[#This Row],[GroupByKey]])*OutputTable[RecordedValue]))</f>
        <v>0</v>
      </c>
      <c r="P250" s="5" cm="1">
        <f t="array" ref="P250">MAX(IF((OutputTable[GroupByKey]=OutputTable[[#This Row],[GroupByKey]]),(OutputTable[GroupByKey]=OutputTable[[#This Row],[GroupByKey]])*OutputTable[RecordedValue]))</f>
        <v>4</v>
      </c>
    </row>
    <row r="251" spans="1:16" x14ac:dyDescent="0.25">
      <c r="A251" t="s">
        <v>68</v>
      </c>
      <c r="B251" t="s">
        <v>70</v>
      </c>
      <c r="C251">
        <v>23</v>
      </c>
      <c r="D251" t="s">
        <v>111</v>
      </c>
      <c r="E251" t="s">
        <v>112</v>
      </c>
      <c r="F251" t="s">
        <v>95</v>
      </c>
      <c r="G251">
        <v>0</v>
      </c>
      <c r="H251">
        <v>0</v>
      </c>
      <c r="I251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251" s="5" cm="1">
        <f t="array" ref="J251">MAX(IF((ProjectInfoTable[ProjectName]=OutputTable[[#This Row],[ProjectName]]),(ProjectInfoTable[ProjectName]=OutputTable[[#This Row],[ProjectName]])*ProjectInfoTable[NumberOfReplications]))</f>
        <v>27</v>
      </c>
      <c r="K251" s="5" cm="1">
        <f t="array" ref="K251">IFERROR(AVERAGE(IF((OutputTable[GroupByKey]=OutputTable[[#This Row],[GroupByKey]]),(OutputTable[GroupByKey]=OutputTable[[#This Row],[GroupByKey]])*OutputTable[RecordedValue])),0)</f>
        <v>1.2962962962962963</v>
      </c>
      <c r="L251" s="5" cm="1">
        <f t="array" ref="L251">IFERROR(_xlfn.STDEV.S(IF((OutputTable[GroupByKey]=OutputTable[[#This Row],[GroupByKey]]),(OutputTable[GroupByKey]=OutputTable[[#This Row],[GroupByKey]])*OutputTable[RecordedValue])),0)</f>
        <v>1.1706281947614154</v>
      </c>
      <c r="M251" s="5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251" s="5" cm="1">
        <f t="array" ref="O251">MIN(IF((OutputTable[GroupByKey]=OutputTable[[#This Row],[GroupByKey]]),(OutputTable[GroupByKey]=OutputTable[[#This Row],[GroupByKey]])*OutputTable[RecordedValue]))</f>
        <v>0</v>
      </c>
      <c r="P251" s="5" cm="1">
        <f t="array" ref="P251">MAX(IF((OutputTable[GroupByKey]=OutputTable[[#This Row],[GroupByKey]]),(OutputTable[GroupByKey]=OutputTable[[#This Row],[GroupByKey]])*OutputTable[RecordedValue]))</f>
        <v>5</v>
      </c>
    </row>
    <row r="252" spans="1:16" x14ac:dyDescent="0.25">
      <c r="A252" t="s">
        <v>68</v>
      </c>
      <c r="B252" t="s">
        <v>70</v>
      </c>
      <c r="C252">
        <v>23</v>
      </c>
      <c r="D252" t="s">
        <v>113</v>
      </c>
      <c r="E252" t="s">
        <v>114</v>
      </c>
      <c r="F252" t="s">
        <v>95</v>
      </c>
      <c r="G252">
        <v>0</v>
      </c>
      <c r="H252">
        <v>0</v>
      </c>
      <c r="I252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252" s="5" cm="1">
        <f t="array" ref="J252">MAX(IF((ProjectInfoTable[ProjectName]=OutputTable[[#This Row],[ProjectName]]),(ProjectInfoTable[ProjectName]=OutputTable[[#This Row],[ProjectName]])*ProjectInfoTable[NumberOfReplications]))</f>
        <v>27</v>
      </c>
      <c r="K252" s="5" cm="1">
        <f t="array" ref="K252">IFERROR(AVERAGE(IF((OutputTable[GroupByKey]=OutputTable[[#This Row],[GroupByKey]]),(OutputTable[GroupByKey]=OutputTable[[#This Row],[GroupByKey]])*OutputTable[RecordedValue])),0)</f>
        <v>1.2223949425906553E-2</v>
      </c>
      <c r="L252" s="5" cm="1">
        <f t="array" ref="L252">IFERROR(_xlfn.STDEV.S(IF((OutputTable[GroupByKey]=OutputTable[[#This Row],[GroupByKey]]),(OutputTable[GroupByKey]=OutputTable[[#This Row],[GroupByKey]])*OutputTable[RecordedValue])),0)</f>
        <v>1.112543407769513E-2</v>
      </c>
      <c r="M252" s="5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252" s="5" cm="1">
        <f t="array" ref="O252">MIN(IF((OutputTable[GroupByKey]=OutputTable[[#This Row],[GroupByKey]]),(OutputTable[GroupByKey]=OutputTable[[#This Row],[GroupByKey]])*OutputTable[RecordedValue]))</f>
        <v>0</v>
      </c>
      <c r="P252" s="5" cm="1">
        <f t="array" ref="P252">MAX(IF((OutputTable[GroupByKey]=OutputTable[[#This Row],[GroupByKey]]),(OutputTable[GroupByKey]=OutputTable[[#This Row],[GroupByKey]])*OutputTable[RecordedValue]))</f>
        <v>4.2906548761083699E-2</v>
      </c>
    </row>
    <row r="253" spans="1:16" x14ac:dyDescent="0.25">
      <c r="A253" t="s">
        <v>68</v>
      </c>
      <c r="B253" t="s">
        <v>70</v>
      </c>
      <c r="C253">
        <v>23</v>
      </c>
      <c r="D253" t="s">
        <v>115</v>
      </c>
      <c r="E253" t="s">
        <v>112</v>
      </c>
      <c r="F253" t="s">
        <v>95</v>
      </c>
      <c r="G253">
        <v>0</v>
      </c>
      <c r="H253">
        <v>0</v>
      </c>
      <c r="I253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253" s="5" cm="1">
        <f t="array" ref="J253">MAX(IF((ProjectInfoTable[ProjectName]=OutputTable[[#This Row],[ProjectName]]),(ProjectInfoTable[ProjectName]=OutputTable[[#This Row],[ProjectName]])*ProjectInfoTable[NumberOfReplications]))</f>
        <v>27</v>
      </c>
      <c r="K253" s="5" cm="1">
        <f t="array" ref="K253">IFERROR(AVERAGE(IF((OutputTable[GroupByKey]=OutputTable[[#This Row],[GroupByKey]]),(OutputTable[GroupByKey]=OutputTable[[#This Row],[GroupByKey]])*OutputTable[RecordedValue])),0)</f>
        <v>3.7037037037037035E-2</v>
      </c>
      <c r="L253" s="5" cm="1">
        <f t="array" ref="L253">IFERROR(_xlfn.STDEV.S(IF((OutputTable[GroupByKey]=OutputTable[[#This Row],[GroupByKey]]),(OutputTable[GroupByKey]=OutputTable[[#This Row],[GroupByKey]])*OutputTable[RecordedValue])),0)</f>
        <v>0.19245008972987526</v>
      </c>
      <c r="M253" s="5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53" s="5" cm="1">
        <f t="array" ref="O253">MIN(IF((OutputTable[GroupByKey]=OutputTable[[#This Row],[GroupByKey]]),(OutputTable[GroupByKey]=OutputTable[[#This Row],[GroupByKey]])*OutputTable[RecordedValue]))</f>
        <v>0</v>
      </c>
      <c r="P253" s="5" cm="1">
        <f t="array" ref="P253">MAX(IF((OutputTable[GroupByKey]=OutputTable[[#This Row],[GroupByKey]]),(OutputTable[GroupByKey]=OutputTable[[#This Row],[GroupByKey]])*OutputTable[RecordedValue]))</f>
        <v>1</v>
      </c>
    </row>
    <row r="254" spans="1:16" x14ac:dyDescent="0.25">
      <c r="A254" t="s">
        <v>68</v>
      </c>
      <c r="B254" t="s">
        <v>70</v>
      </c>
      <c r="C254">
        <v>23</v>
      </c>
      <c r="D254" t="s">
        <v>116</v>
      </c>
      <c r="E254" t="s">
        <v>114</v>
      </c>
      <c r="F254" t="s">
        <v>95</v>
      </c>
      <c r="G254">
        <v>0</v>
      </c>
      <c r="H254">
        <v>0</v>
      </c>
      <c r="I254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254" s="5" cm="1">
        <f t="array" ref="J254">MAX(IF((ProjectInfoTable[ProjectName]=OutputTable[[#This Row],[ProjectName]]),(ProjectInfoTable[ProjectName]=OutputTable[[#This Row],[ProjectName]])*ProjectInfoTable[NumberOfReplications]))</f>
        <v>27</v>
      </c>
      <c r="K254" s="5" cm="1">
        <f t="array" ref="K254">IFERROR(AVERAGE(IF((OutputTable[GroupByKey]=OutputTable[[#This Row],[GroupByKey]]),(OutputTable[GroupByKey]=OutputTable[[#This Row],[GroupByKey]])*OutputTable[RecordedValue])),0)</f>
        <v>1.5859588837911111E-4</v>
      </c>
      <c r="L254" s="5" cm="1">
        <f t="array" ref="L254">IFERROR(_xlfn.STDEV.S(IF((OutputTable[GroupByKey]=OutputTable[[#This Row],[GroupByKey]]),(OutputTable[GroupByKey]=OutputTable[[#This Row],[GroupByKey]])*OutputTable[RecordedValue])),0)</f>
        <v>8.2408840963242873E-4</v>
      </c>
      <c r="M254" s="5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254" s="5" cm="1">
        <f t="array" ref="O254">MIN(IF((OutputTable[GroupByKey]=OutputTable[[#This Row],[GroupByKey]]),(OutputTable[GroupByKey]=OutputTable[[#This Row],[GroupByKey]])*OutputTable[RecordedValue]))</f>
        <v>0</v>
      </c>
      <c r="P254" s="5" cm="1">
        <f t="array" ref="P254">MAX(IF((OutputTable[GroupByKey]=OutputTable[[#This Row],[GroupByKey]]),(OutputTable[GroupByKey]=OutputTable[[#This Row],[GroupByKey]])*OutputTable[RecordedValue]))</f>
        <v>4.2820889862359999E-3</v>
      </c>
    </row>
    <row r="255" spans="1:16" x14ac:dyDescent="0.25">
      <c r="A255" t="s">
        <v>68</v>
      </c>
      <c r="B255" t="s">
        <v>70</v>
      </c>
      <c r="C255">
        <v>24</v>
      </c>
      <c r="D255" t="s">
        <v>99</v>
      </c>
      <c r="E255" t="s">
        <v>100</v>
      </c>
      <c r="F255" t="s">
        <v>73</v>
      </c>
      <c r="G255">
        <v>0</v>
      </c>
      <c r="H255">
        <v>0</v>
      </c>
      <c r="I255" s="5" t="str">
        <f>OutputTable[[#This Row],[ProjectName]]&amp;OutputTable[[#This Row],[Name]]&amp;OutputTable[[#This Row],[Type]]&amp;OutputTable[[#This Row],[Source]]</f>
        <v>Escenario AEntity 1.NumberInNumber InEntity</v>
      </c>
      <c r="J255" s="5" cm="1">
        <f t="array" ref="J255">MAX(IF((ProjectInfoTable[ProjectName]=OutputTable[[#This Row],[ProjectName]]),(ProjectInfoTable[ProjectName]=OutputTable[[#This Row],[ProjectName]])*ProjectInfoTable[NumberOfReplications]))</f>
        <v>27</v>
      </c>
      <c r="K255" s="5" cm="1">
        <f t="array" ref="K255">IFERROR(AVERAGE(IF((OutputTable[GroupByKey]=OutputTable[[#This Row],[GroupByKey]]),(OutputTable[GroupByKey]=OutputTable[[#This Row],[GroupByKey]])*OutputTable[RecordedValue])),0)</f>
        <v>1.2962962962962963</v>
      </c>
      <c r="L255" s="5" cm="1">
        <f t="array" ref="L255">IFERROR(_xlfn.STDEV.S(IF((OutputTable[GroupByKey]=OutputTable[[#This Row],[GroupByKey]]),(OutputTable[GroupByKey]=OutputTable[[#This Row],[GroupByKey]])*OutputTable[RecordedValue])),0)</f>
        <v>1.1706281947614154</v>
      </c>
      <c r="M255" s="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255" s="5" cm="1">
        <f t="array" ref="O255">MIN(IF((OutputTable[GroupByKey]=OutputTable[[#This Row],[GroupByKey]]),(OutputTable[GroupByKey]=OutputTable[[#This Row],[GroupByKey]])*OutputTable[RecordedValue]))</f>
        <v>0</v>
      </c>
      <c r="P255" s="5" cm="1">
        <f t="array" ref="P255">MAX(IF((OutputTable[GroupByKey]=OutputTable[[#This Row],[GroupByKey]]),(OutputTable[GroupByKey]=OutputTable[[#This Row],[GroupByKey]])*OutputTable[RecordedValue]))</f>
        <v>5</v>
      </c>
    </row>
    <row r="256" spans="1:16" x14ac:dyDescent="0.25">
      <c r="A256" t="s">
        <v>68</v>
      </c>
      <c r="B256" t="s">
        <v>70</v>
      </c>
      <c r="C256">
        <v>24</v>
      </c>
      <c r="D256" t="s">
        <v>101</v>
      </c>
      <c r="E256" t="s">
        <v>102</v>
      </c>
      <c r="F256" t="s">
        <v>73</v>
      </c>
      <c r="G256">
        <v>0</v>
      </c>
      <c r="H256">
        <v>0</v>
      </c>
      <c r="I256" s="5" t="str">
        <f>OutputTable[[#This Row],[ProjectName]]&amp;OutputTable[[#This Row],[Name]]&amp;OutputTable[[#This Row],[Type]]&amp;OutputTable[[#This Row],[Source]]</f>
        <v>Escenario AEntity 1.NumberOutNumber OutEntity</v>
      </c>
      <c r="J256" s="5" cm="1">
        <f t="array" ref="J256">MAX(IF((ProjectInfoTable[ProjectName]=OutputTable[[#This Row],[ProjectName]]),(ProjectInfoTable[ProjectName]=OutputTable[[#This Row],[ProjectName]])*ProjectInfoTable[NumberOfReplications]))</f>
        <v>27</v>
      </c>
      <c r="K256" s="5" cm="1">
        <f t="array" ref="K256">IFERROR(AVERAGE(IF((OutputTable[GroupByKey]=OutputTable[[#This Row],[GroupByKey]]),(OutputTable[GroupByKey]=OutputTable[[#This Row],[GroupByKey]])*OutputTable[RecordedValue])),0)</f>
        <v>1.1851851851851851</v>
      </c>
      <c r="L256" s="5" cm="1">
        <f t="array" ref="L256">IFERROR(_xlfn.STDEV.S(IF((OutputTable[GroupByKey]=OutputTable[[#This Row],[GroupByKey]]),(OutputTable[GroupByKey]=OutputTable[[#This Row],[GroupByKey]])*OutputTable[RecordedValue])),0)</f>
        <v>1.0754976321197349</v>
      </c>
      <c r="M256" s="5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256" s="5" cm="1">
        <f t="array" ref="O256">MIN(IF((OutputTable[GroupByKey]=OutputTable[[#This Row],[GroupByKey]]),(OutputTable[GroupByKey]=OutputTable[[#This Row],[GroupByKey]])*OutputTable[RecordedValue]))</f>
        <v>0</v>
      </c>
      <c r="P256" s="5" cm="1">
        <f t="array" ref="P256">MAX(IF((OutputTable[GroupByKey]=OutputTable[[#This Row],[GroupByKey]]),(OutputTable[GroupByKey]=OutputTable[[#This Row],[GroupByKey]])*OutputTable[RecordedValue]))</f>
        <v>4</v>
      </c>
    </row>
    <row r="257" spans="1:16" x14ac:dyDescent="0.25">
      <c r="A257" t="s">
        <v>68</v>
      </c>
      <c r="B257" t="s">
        <v>70</v>
      </c>
      <c r="C257">
        <v>24</v>
      </c>
      <c r="D257" t="s">
        <v>103</v>
      </c>
      <c r="E257" t="s">
        <v>104</v>
      </c>
      <c r="F257" t="s">
        <v>87</v>
      </c>
      <c r="G257">
        <v>0</v>
      </c>
      <c r="H257">
        <v>0</v>
      </c>
      <c r="I257" s="5" t="str">
        <f>OutputTable[[#This Row],[ProjectName]]&amp;OutputTable[[#This Row],[Name]]&amp;OutputTable[[#This Row],[Type]]&amp;OutputTable[[#This Row],[Source]]</f>
        <v>Escenario ASeguimiemto Accum VA TimeAccum VA TimeProcess</v>
      </c>
      <c r="J257" s="5" cm="1">
        <f t="array" ref="J257">MAX(IF((ProjectInfoTable[ProjectName]=OutputTable[[#This Row],[ProjectName]]),(ProjectInfoTable[ProjectName]=OutputTable[[#This Row],[ProjectName]])*ProjectInfoTable[NumberOfReplications]))</f>
        <v>27</v>
      </c>
      <c r="K257" s="5" cm="1">
        <f t="array" ref="K257">IFERROR(AVERAGE(IF((OutputTable[GroupByKey]=OutputTable[[#This Row],[GroupByKey]]),(OutputTable[GroupByKey]=OutputTable[[#This Row],[GroupByKey]])*OutputTable[RecordedValue])),0)</f>
        <v>9.5157533027466656E-2</v>
      </c>
      <c r="L257" s="5" cm="1">
        <f t="array" ref="L257">IFERROR(_xlfn.STDEV.S(IF((OutputTable[GroupByKey]=OutputTable[[#This Row],[GroupByKey]]),(OutputTable[GroupByKey]=OutputTable[[#This Row],[GroupByKey]])*OutputTable[RecordedValue])),0)</f>
        <v>0.4944530457794572</v>
      </c>
      <c r="M257" s="5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257" s="5" cm="1">
        <f t="array" ref="O257">MIN(IF((OutputTable[GroupByKey]=OutputTable[[#This Row],[GroupByKey]]),(OutputTable[GroupByKey]=OutputTable[[#This Row],[GroupByKey]])*OutputTable[RecordedValue]))</f>
        <v>0</v>
      </c>
      <c r="P257" s="5" cm="1">
        <f t="array" ref="P257">MAX(IF((OutputTable[GroupByKey]=OutputTable[[#This Row],[GroupByKey]]),(OutputTable[GroupByKey]=OutputTable[[#This Row],[GroupByKey]])*OutputTable[RecordedValue]))</f>
        <v>2.5692533917415998</v>
      </c>
    </row>
    <row r="258" spans="1:16" x14ac:dyDescent="0.25">
      <c r="A258" t="s">
        <v>68</v>
      </c>
      <c r="B258" t="s">
        <v>70</v>
      </c>
      <c r="C258">
        <v>24</v>
      </c>
      <c r="D258" t="s">
        <v>105</v>
      </c>
      <c r="E258" t="s">
        <v>106</v>
      </c>
      <c r="F258" t="s">
        <v>87</v>
      </c>
      <c r="G258">
        <v>0</v>
      </c>
      <c r="H258">
        <v>0</v>
      </c>
      <c r="I258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258" s="5" cm="1">
        <f t="array" ref="J258">MAX(IF((ProjectInfoTable[ProjectName]=OutputTable[[#This Row],[ProjectName]]),(ProjectInfoTable[ProjectName]=OutputTable[[#This Row],[ProjectName]])*ProjectInfoTable[NumberOfReplications]))</f>
        <v>27</v>
      </c>
      <c r="K258" s="5" cm="1">
        <f t="array" ref="K258">IFERROR(AVERAGE(IF((OutputTable[GroupByKey]=OutputTable[[#This Row],[GroupByKey]]),(OutputTable[GroupByKey]=OutputTable[[#This Row],[GroupByKey]])*OutputTable[RecordedValue])),0)</f>
        <v>0</v>
      </c>
      <c r="L258" s="5" cm="1">
        <f t="array" ref="L258">IFERROR(_xlfn.STDEV.S(IF((OutputTable[GroupByKey]=OutputTable[[#This Row],[GroupByKey]]),(OutputTable[GroupByKey]=OutputTable[[#This Row],[GroupByKey]])*OutputTable[RecordedValue])),0)</f>
        <v>0</v>
      </c>
      <c r="M258" s="5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8" s="5" cm="1">
        <f t="array" ref="O258">MIN(IF((OutputTable[GroupByKey]=OutputTable[[#This Row],[GroupByKey]]),(OutputTable[GroupByKey]=OutputTable[[#This Row],[GroupByKey]])*OutputTable[RecordedValue]))</f>
        <v>0</v>
      </c>
      <c r="P258" s="5" cm="1">
        <f t="array" ref="P258">MAX(IF((OutputTable[GroupByKey]=OutputTable[[#This Row],[GroupByKey]]),(OutputTable[GroupByKey]=OutputTable[[#This Row],[GroupByKey]])*OutputTable[RecordedValue]))</f>
        <v>0</v>
      </c>
    </row>
    <row r="259" spans="1:16" x14ac:dyDescent="0.25">
      <c r="A259" t="s">
        <v>68</v>
      </c>
      <c r="B259" t="s">
        <v>70</v>
      </c>
      <c r="C259">
        <v>24</v>
      </c>
      <c r="D259" t="s">
        <v>107</v>
      </c>
      <c r="E259" t="s">
        <v>100</v>
      </c>
      <c r="F259" t="s">
        <v>87</v>
      </c>
      <c r="G259">
        <v>0</v>
      </c>
      <c r="H259">
        <v>0</v>
      </c>
      <c r="I259" s="5" t="str">
        <f>OutputTable[[#This Row],[ProjectName]]&amp;OutputTable[[#This Row],[Name]]&amp;OutputTable[[#This Row],[Type]]&amp;OutputTable[[#This Row],[Source]]</f>
        <v>Escenario ASeguimiemto Number InNumber InProcess</v>
      </c>
      <c r="J259" s="5" cm="1">
        <f t="array" ref="J259">MAX(IF((ProjectInfoTable[ProjectName]=OutputTable[[#This Row],[ProjectName]]),(ProjectInfoTable[ProjectName]=OutputTable[[#This Row],[ProjectName]])*ProjectInfoTable[NumberOfReplications]))</f>
        <v>27</v>
      </c>
      <c r="K259" s="5" cm="1">
        <f t="array" ref="K259">IFERROR(AVERAGE(IF((OutputTable[GroupByKey]=OutputTable[[#This Row],[GroupByKey]]),(OutputTable[GroupByKey]=OutputTable[[#This Row],[GroupByKey]])*OutputTable[RecordedValue])),0)</f>
        <v>3.7037037037037035E-2</v>
      </c>
      <c r="L259" s="5" cm="1">
        <f t="array" ref="L259">IFERROR(_xlfn.STDEV.S(IF((OutputTable[GroupByKey]=OutputTable[[#This Row],[GroupByKey]]),(OutputTable[GroupByKey]=OutputTable[[#This Row],[GroupByKey]])*OutputTable[RecordedValue])),0)</f>
        <v>0.19245008972987526</v>
      </c>
      <c r="M259" s="5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59" s="5" cm="1">
        <f t="array" ref="O259">MIN(IF((OutputTable[GroupByKey]=OutputTable[[#This Row],[GroupByKey]]),(OutputTable[GroupByKey]=OutputTable[[#This Row],[GroupByKey]])*OutputTable[RecordedValue]))</f>
        <v>0</v>
      </c>
      <c r="P259" s="5" cm="1">
        <f t="array" ref="P259">MAX(IF((OutputTable[GroupByKey]=OutputTable[[#This Row],[GroupByKey]]),(OutputTable[GroupByKey]=OutputTable[[#This Row],[GroupByKey]])*OutputTable[RecordedValue]))</f>
        <v>1</v>
      </c>
    </row>
    <row r="260" spans="1:16" x14ac:dyDescent="0.25">
      <c r="A260" t="s">
        <v>68</v>
      </c>
      <c r="B260" t="s">
        <v>70</v>
      </c>
      <c r="C260">
        <v>24</v>
      </c>
      <c r="D260" t="s">
        <v>108</v>
      </c>
      <c r="E260" t="s">
        <v>102</v>
      </c>
      <c r="F260" t="s">
        <v>87</v>
      </c>
      <c r="G260">
        <v>0</v>
      </c>
      <c r="H260">
        <v>0</v>
      </c>
      <c r="I260" s="5" t="str">
        <f>OutputTable[[#This Row],[ProjectName]]&amp;OutputTable[[#This Row],[Name]]&amp;OutputTable[[#This Row],[Type]]&amp;OutputTable[[#This Row],[Source]]</f>
        <v>Escenario ASeguimiemto Number OutNumber OutProcess</v>
      </c>
      <c r="J260" s="5" cm="1">
        <f t="array" ref="J260">MAX(IF((ProjectInfoTable[ProjectName]=OutputTable[[#This Row],[ProjectName]]),(ProjectInfoTable[ProjectName]=OutputTable[[#This Row],[ProjectName]])*ProjectInfoTable[NumberOfReplications]))</f>
        <v>27</v>
      </c>
      <c r="K260" s="5" cm="1">
        <f t="array" ref="K260">IFERROR(AVERAGE(IF((OutputTable[GroupByKey]=OutputTable[[#This Row],[GroupByKey]]),(OutputTable[GroupByKey]=OutputTable[[#This Row],[GroupByKey]])*OutputTable[RecordedValue])),0)</f>
        <v>3.7037037037037035E-2</v>
      </c>
      <c r="L260" s="5" cm="1">
        <f t="array" ref="L260">IFERROR(_xlfn.STDEV.S(IF((OutputTable[GroupByKey]=OutputTable[[#This Row],[GroupByKey]]),(OutputTable[GroupByKey]=OutputTable[[#This Row],[GroupByKey]])*OutputTable[RecordedValue])),0)</f>
        <v>0.19245008972987526</v>
      </c>
      <c r="M260" s="5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60" s="5" cm="1">
        <f t="array" ref="O260">MIN(IF((OutputTable[GroupByKey]=OutputTable[[#This Row],[GroupByKey]]),(OutputTable[GroupByKey]=OutputTable[[#This Row],[GroupByKey]])*OutputTable[RecordedValue]))</f>
        <v>0</v>
      </c>
      <c r="P260" s="5" cm="1">
        <f t="array" ref="P260">MAX(IF((OutputTable[GroupByKey]=OutputTable[[#This Row],[GroupByKey]]),(OutputTable[GroupByKey]=OutputTable[[#This Row],[GroupByKey]])*OutputTable[RecordedValue]))</f>
        <v>1</v>
      </c>
    </row>
    <row r="261" spans="1:16" x14ac:dyDescent="0.25">
      <c r="A261" t="s">
        <v>68</v>
      </c>
      <c r="B261" t="s">
        <v>70</v>
      </c>
      <c r="C261">
        <v>24</v>
      </c>
      <c r="D261" t="s">
        <v>109</v>
      </c>
      <c r="E261" t="s">
        <v>102</v>
      </c>
      <c r="F261" t="s">
        <v>110</v>
      </c>
      <c r="G261">
        <v>0</v>
      </c>
      <c r="H261">
        <v>0</v>
      </c>
      <c r="I261" s="5" t="str">
        <f>OutputTable[[#This Row],[ProjectName]]&amp;OutputTable[[#This Row],[Name]]&amp;OutputTable[[#This Row],[Type]]&amp;OutputTable[[#This Row],[Source]]</f>
        <v>Escenario ASystem.NumberOutNumber OutSystem</v>
      </c>
      <c r="J261" s="5" cm="1">
        <f t="array" ref="J261">MAX(IF((ProjectInfoTable[ProjectName]=OutputTable[[#This Row],[ProjectName]]),(ProjectInfoTable[ProjectName]=OutputTable[[#This Row],[ProjectName]])*ProjectInfoTable[NumberOfReplications]))</f>
        <v>27</v>
      </c>
      <c r="K261" s="5" cm="1">
        <f t="array" ref="K261">IFERROR(AVERAGE(IF((OutputTable[GroupByKey]=OutputTable[[#This Row],[GroupByKey]]),(OutputTable[GroupByKey]=OutputTable[[#This Row],[GroupByKey]])*OutputTable[RecordedValue])),0)</f>
        <v>1.1851851851851851</v>
      </c>
      <c r="L261" s="5" cm="1">
        <f t="array" ref="L261">IFERROR(_xlfn.STDEV.S(IF((OutputTable[GroupByKey]=OutputTable[[#This Row],[GroupByKey]]),(OutputTable[GroupByKey]=OutputTable[[#This Row],[GroupByKey]])*OutputTable[RecordedValue])),0)</f>
        <v>1.0754976321197349</v>
      </c>
      <c r="M261" s="5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261" s="5" cm="1">
        <f t="array" ref="O261">MIN(IF((OutputTable[GroupByKey]=OutputTable[[#This Row],[GroupByKey]]),(OutputTable[GroupByKey]=OutputTable[[#This Row],[GroupByKey]])*OutputTable[RecordedValue]))</f>
        <v>0</v>
      </c>
      <c r="P261" s="5" cm="1">
        <f t="array" ref="P261">MAX(IF((OutputTable[GroupByKey]=OutputTable[[#This Row],[GroupByKey]]),(OutputTable[GroupByKey]=OutputTable[[#This Row],[GroupByKey]])*OutputTable[RecordedValue]))</f>
        <v>4</v>
      </c>
    </row>
    <row r="262" spans="1:16" x14ac:dyDescent="0.25">
      <c r="A262" t="s">
        <v>68</v>
      </c>
      <c r="B262" t="s">
        <v>70</v>
      </c>
      <c r="C262">
        <v>24</v>
      </c>
      <c r="D262" t="s">
        <v>111</v>
      </c>
      <c r="E262" t="s">
        <v>112</v>
      </c>
      <c r="F262" t="s">
        <v>95</v>
      </c>
      <c r="G262">
        <v>0</v>
      </c>
      <c r="H262">
        <v>0</v>
      </c>
      <c r="I262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262" s="5" cm="1">
        <f t="array" ref="J262">MAX(IF((ProjectInfoTable[ProjectName]=OutputTable[[#This Row],[ProjectName]]),(ProjectInfoTable[ProjectName]=OutputTable[[#This Row],[ProjectName]])*ProjectInfoTable[NumberOfReplications]))</f>
        <v>27</v>
      </c>
      <c r="K262" s="5" cm="1">
        <f t="array" ref="K262">IFERROR(AVERAGE(IF((OutputTable[GroupByKey]=OutputTable[[#This Row],[GroupByKey]]),(OutputTable[GroupByKey]=OutputTable[[#This Row],[GroupByKey]])*OutputTable[RecordedValue])),0)</f>
        <v>1.2962962962962963</v>
      </c>
      <c r="L262" s="5" cm="1">
        <f t="array" ref="L262">IFERROR(_xlfn.STDEV.S(IF((OutputTable[GroupByKey]=OutputTable[[#This Row],[GroupByKey]]),(OutputTable[GroupByKey]=OutputTable[[#This Row],[GroupByKey]])*OutputTable[RecordedValue])),0)</f>
        <v>1.1706281947614154</v>
      </c>
      <c r="M262" s="5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262" s="5" cm="1">
        <f t="array" ref="O262">MIN(IF((OutputTable[GroupByKey]=OutputTable[[#This Row],[GroupByKey]]),(OutputTable[GroupByKey]=OutputTable[[#This Row],[GroupByKey]])*OutputTable[RecordedValue]))</f>
        <v>0</v>
      </c>
      <c r="P262" s="5" cm="1">
        <f t="array" ref="P262">MAX(IF((OutputTable[GroupByKey]=OutputTable[[#This Row],[GroupByKey]]),(OutputTable[GroupByKey]=OutputTable[[#This Row],[GroupByKey]])*OutputTable[RecordedValue]))</f>
        <v>5</v>
      </c>
    </row>
    <row r="263" spans="1:16" x14ac:dyDescent="0.25">
      <c r="A263" t="s">
        <v>68</v>
      </c>
      <c r="B263" t="s">
        <v>70</v>
      </c>
      <c r="C263">
        <v>24</v>
      </c>
      <c r="D263" t="s">
        <v>113</v>
      </c>
      <c r="E263" t="s">
        <v>114</v>
      </c>
      <c r="F263" t="s">
        <v>95</v>
      </c>
      <c r="G263">
        <v>0</v>
      </c>
      <c r="H263">
        <v>0</v>
      </c>
      <c r="I263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263" s="5" cm="1">
        <f t="array" ref="J263">MAX(IF((ProjectInfoTable[ProjectName]=OutputTable[[#This Row],[ProjectName]]),(ProjectInfoTable[ProjectName]=OutputTable[[#This Row],[ProjectName]])*ProjectInfoTable[NumberOfReplications]))</f>
        <v>27</v>
      </c>
      <c r="K263" s="5" cm="1">
        <f t="array" ref="K263">IFERROR(AVERAGE(IF((OutputTable[GroupByKey]=OutputTable[[#This Row],[GroupByKey]]),(OutputTable[GroupByKey]=OutputTable[[#This Row],[GroupByKey]])*OutputTable[RecordedValue])),0)</f>
        <v>1.2223949425906553E-2</v>
      </c>
      <c r="L263" s="5" cm="1">
        <f t="array" ref="L263">IFERROR(_xlfn.STDEV.S(IF((OutputTable[GroupByKey]=OutputTable[[#This Row],[GroupByKey]]),(OutputTable[GroupByKey]=OutputTable[[#This Row],[GroupByKey]])*OutputTable[RecordedValue])),0)</f>
        <v>1.112543407769513E-2</v>
      </c>
      <c r="M263" s="5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263" s="5" cm="1">
        <f t="array" ref="O263">MIN(IF((OutputTable[GroupByKey]=OutputTable[[#This Row],[GroupByKey]]),(OutputTable[GroupByKey]=OutputTable[[#This Row],[GroupByKey]])*OutputTable[RecordedValue]))</f>
        <v>0</v>
      </c>
      <c r="P263" s="5" cm="1">
        <f t="array" ref="P263">MAX(IF((OutputTable[GroupByKey]=OutputTable[[#This Row],[GroupByKey]]),(OutputTable[GroupByKey]=OutputTable[[#This Row],[GroupByKey]])*OutputTable[RecordedValue]))</f>
        <v>4.2906548761083699E-2</v>
      </c>
    </row>
    <row r="264" spans="1:16" x14ac:dyDescent="0.25">
      <c r="A264" t="s">
        <v>68</v>
      </c>
      <c r="B264" t="s">
        <v>70</v>
      </c>
      <c r="C264">
        <v>24</v>
      </c>
      <c r="D264" t="s">
        <v>115</v>
      </c>
      <c r="E264" t="s">
        <v>112</v>
      </c>
      <c r="F264" t="s">
        <v>95</v>
      </c>
      <c r="G264">
        <v>0</v>
      </c>
      <c r="H264">
        <v>0</v>
      </c>
      <c r="I264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264" s="5" cm="1">
        <f t="array" ref="J264">MAX(IF((ProjectInfoTable[ProjectName]=OutputTable[[#This Row],[ProjectName]]),(ProjectInfoTable[ProjectName]=OutputTable[[#This Row],[ProjectName]])*ProjectInfoTable[NumberOfReplications]))</f>
        <v>27</v>
      </c>
      <c r="K264" s="5" cm="1">
        <f t="array" ref="K264">IFERROR(AVERAGE(IF((OutputTable[GroupByKey]=OutputTable[[#This Row],[GroupByKey]]),(OutputTable[GroupByKey]=OutputTable[[#This Row],[GroupByKey]])*OutputTable[RecordedValue])),0)</f>
        <v>3.7037037037037035E-2</v>
      </c>
      <c r="L264" s="5" cm="1">
        <f t="array" ref="L264">IFERROR(_xlfn.STDEV.S(IF((OutputTable[GroupByKey]=OutputTable[[#This Row],[GroupByKey]]),(OutputTable[GroupByKey]=OutputTable[[#This Row],[GroupByKey]])*OutputTable[RecordedValue])),0)</f>
        <v>0.19245008972987526</v>
      </c>
      <c r="M264" s="5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64" s="5" cm="1">
        <f t="array" ref="O264">MIN(IF((OutputTable[GroupByKey]=OutputTable[[#This Row],[GroupByKey]]),(OutputTable[GroupByKey]=OutputTable[[#This Row],[GroupByKey]])*OutputTable[RecordedValue]))</f>
        <v>0</v>
      </c>
      <c r="P264" s="5" cm="1">
        <f t="array" ref="P264">MAX(IF((OutputTable[GroupByKey]=OutputTable[[#This Row],[GroupByKey]]),(OutputTable[GroupByKey]=OutputTable[[#This Row],[GroupByKey]])*OutputTable[RecordedValue]))</f>
        <v>1</v>
      </c>
    </row>
    <row r="265" spans="1:16" x14ac:dyDescent="0.25">
      <c r="A265" t="s">
        <v>68</v>
      </c>
      <c r="B265" t="s">
        <v>70</v>
      </c>
      <c r="C265">
        <v>24</v>
      </c>
      <c r="D265" t="s">
        <v>116</v>
      </c>
      <c r="E265" t="s">
        <v>114</v>
      </c>
      <c r="F265" t="s">
        <v>95</v>
      </c>
      <c r="G265">
        <v>0</v>
      </c>
      <c r="H265">
        <v>0</v>
      </c>
      <c r="I265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265" s="5" cm="1">
        <f t="array" ref="J265">MAX(IF((ProjectInfoTable[ProjectName]=OutputTable[[#This Row],[ProjectName]]),(ProjectInfoTable[ProjectName]=OutputTable[[#This Row],[ProjectName]])*ProjectInfoTable[NumberOfReplications]))</f>
        <v>27</v>
      </c>
      <c r="K265" s="5" cm="1">
        <f t="array" ref="K265">IFERROR(AVERAGE(IF((OutputTable[GroupByKey]=OutputTable[[#This Row],[GroupByKey]]),(OutputTable[GroupByKey]=OutputTable[[#This Row],[GroupByKey]])*OutputTable[RecordedValue])),0)</f>
        <v>1.5859588837911111E-4</v>
      </c>
      <c r="L265" s="5" cm="1">
        <f t="array" ref="L265">IFERROR(_xlfn.STDEV.S(IF((OutputTable[GroupByKey]=OutputTable[[#This Row],[GroupByKey]]),(OutputTable[GroupByKey]=OutputTable[[#This Row],[GroupByKey]])*OutputTable[RecordedValue])),0)</f>
        <v>8.2408840963242873E-4</v>
      </c>
      <c r="M265" s="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265" s="5" cm="1">
        <f t="array" ref="O265">MIN(IF((OutputTable[GroupByKey]=OutputTable[[#This Row],[GroupByKey]]),(OutputTable[GroupByKey]=OutputTable[[#This Row],[GroupByKey]])*OutputTable[RecordedValue]))</f>
        <v>0</v>
      </c>
      <c r="P265" s="5" cm="1">
        <f t="array" ref="P265">MAX(IF((OutputTable[GroupByKey]=OutputTable[[#This Row],[GroupByKey]]),(OutputTable[GroupByKey]=OutputTable[[#This Row],[GroupByKey]])*OutputTable[RecordedValue]))</f>
        <v>4.2820889862359999E-3</v>
      </c>
    </row>
    <row r="266" spans="1:16" x14ac:dyDescent="0.25">
      <c r="A266" t="s">
        <v>68</v>
      </c>
      <c r="B266" t="s">
        <v>70</v>
      </c>
      <c r="C266">
        <v>25</v>
      </c>
      <c r="D266" t="s">
        <v>99</v>
      </c>
      <c r="E266" t="s">
        <v>100</v>
      </c>
      <c r="F266" t="s">
        <v>73</v>
      </c>
      <c r="G266">
        <v>5</v>
      </c>
      <c r="H266">
        <v>0</v>
      </c>
      <c r="I266" s="5" t="str">
        <f>OutputTable[[#This Row],[ProjectName]]&amp;OutputTable[[#This Row],[Name]]&amp;OutputTable[[#This Row],[Type]]&amp;OutputTable[[#This Row],[Source]]</f>
        <v>Escenario AEntity 1.NumberInNumber InEntity</v>
      </c>
      <c r="J266" s="5" cm="1">
        <f t="array" ref="J266">MAX(IF((ProjectInfoTable[ProjectName]=OutputTable[[#This Row],[ProjectName]]),(ProjectInfoTable[ProjectName]=OutputTable[[#This Row],[ProjectName]])*ProjectInfoTable[NumberOfReplications]))</f>
        <v>27</v>
      </c>
      <c r="K266" s="5" cm="1">
        <f t="array" ref="K266">IFERROR(AVERAGE(IF((OutputTable[GroupByKey]=OutputTable[[#This Row],[GroupByKey]]),(OutputTable[GroupByKey]=OutputTable[[#This Row],[GroupByKey]])*OutputTable[RecordedValue])),0)</f>
        <v>1.2962962962962963</v>
      </c>
      <c r="L266" s="5" cm="1">
        <f t="array" ref="L266">IFERROR(_xlfn.STDEV.S(IF((OutputTable[GroupByKey]=OutputTable[[#This Row],[GroupByKey]]),(OutputTable[GroupByKey]=OutputTable[[#This Row],[GroupByKey]])*OutputTable[RecordedValue])),0)</f>
        <v>1.1706281947614154</v>
      </c>
      <c r="M266" s="5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266" s="5" cm="1">
        <f t="array" ref="O266">MIN(IF((OutputTable[GroupByKey]=OutputTable[[#This Row],[GroupByKey]]),(OutputTable[GroupByKey]=OutputTable[[#This Row],[GroupByKey]])*OutputTable[RecordedValue]))</f>
        <v>0</v>
      </c>
      <c r="P266" s="5" cm="1">
        <f t="array" ref="P266">MAX(IF((OutputTable[GroupByKey]=OutputTable[[#This Row],[GroupByKey]]),(OutputTable[GroupByKey]=OutputTable[[#This Row],[GroupByKey]])*OutputTable[RecordedValue]))</f>
        <v>5</v>
      </c>
    </row>
    <row r="267" spans="1:16" x14ac:dyDescent="0.25">
      <c r="A267" t="s">
        <v>68</v>
      </c>
      <c r="B267" t="s">
        <v>70</v>
      </c>
      <c r="C267">
        <v>25</v>
      </c>
      <c r="D267" t="s">
        <v>101</v>
      </c>
      <c r="E267" t="s">
        <v>102</v>
      </c>
      <c r="F267" t="s">
        <v>73</v>
      </c>
      <c r="G267">
        <v>4</v>
      </c>
      <c r="H267">
        <v>0</v>
      </c>
      <c r="I267" s="5" t="str">
        <f>OutputTable[[#This Row],[ProjectName]]&amp;OutputTable[[#This Row],[Name]]&amp;OutputTable[[#This Row],[Type]]&amp;OutputTable[[#This Row],[Source]]</f>
        <v>Escenario AEntity 1.NumberOutNumber OutEntity</v>
      </c>
      <c r="J267" s="5" cm="1">
        <f t="array" ref="J267">MAX(IF((ProjectInfoTable[ProjectName]=OutputTable[[#This Row],[ProjectName]]),(ProjectInfoTable[ProjectName]=OutputTable[[#This Row],[ProjectName]])*ProjectInfoTable[NumberOfReplications]))</f>
        <v>27</v>
      </c>
      <c r="K267" s="5" cm="1">
        <f t="array" ref="K267">IFERROR(AVERAGE(IF((OutputTable[GroupByKey]=OutputTable[[#This Row],[GroupByKey]]),(OutputTable[GroupByKey]=OutputTable[[#This Row],[GroupByKey]])*OutputTable[RecordedValue])),0)</f>
        <v>1.1851851851851851</v>
      </c>
      <c r="L267" s="5" cm="1">
        <f t="array" ref="L267">IFERROR(_xlfn.STDEV.S(IF((OutputTable[GroupByKey]=OutputTable[[#This Row],[GroupByKey]]),(OutputTable[GroupByKey]=OutputTable[[#This Row],[GroupByKey]])*OutputTable[RecordedValue])),0)</f>
        <v>1.0754976321197349</v>
      </c>
      <c r="M267" s="5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267" s="5" cm="1">
        <f t="array" ref="O267">MIN(IF((OutputTable[GroupByKey]=OutputTable[[#This Row],[GroupByKey]]),(OutputTable[GroupByKey]=OutputTable[[#This Row],[GroupByKey]])*OutputTable[RecordedValue]))</f>
        <v>0</v>
      </c>
      <c r="P267" s="5" cm="1">
        <f t="array" ref="P267">MAX(IF((OutputTable[GroupByKey]=OutputTable[[#This Row],[GroupByKey]]),(OutputTable[GroupByKey]=OutputTable[[#This Row],[GroupByKey]])*OutputTable[RecordedValue]))</f>
        <v>4</v>
      </c>
    </row>
    <row r="268" spans="1:16" x14ac:dyDescent="0.25">
      <c r="A268" t="s">
        <v>68</v>
      </c>
      <c r="B268" t="s">
        <v>70</v>
      </c>
      <c r="C268">
        <v>25</v>
      </c>
      <c r="D268" t="s">
        <v>103</v>
      </c>
      <c r="E268" t="s">
        <v>104</v>
      </c>
      <c r="F268" t="s">
        <v>87</v>
      </c>
      <c r="G268">
        <v>0</v>
      </c>
      <c r="H268">
        <v>0</v>
      </c>
      <c r="I268" s="5" t="str">
        <f>OutputTable[[#This Row],[ProjectName]]&amp;OutputTable[[#This Row],[Name]]&amp;OutputTable[[#This Row],[Type]]&amp;OutputTable[[#This Row],[Source]]</f>
        <v>Escenario ASeguimiemto Accum VA TimeAccum VA TimeProcess</v>
      </c>
      <c r="J268" s="5" cm="1">
        <f t="array" ref="J268">MAX(IF((ProjectInfoTable[ProjectName]=OutputTable[[#This Row],[ProjectName]]),(ProjectInfoTable[ProjectName]=OutputTable[[#This Row],[ProjectName]])*ProjectInfoTable[NumberOfReplications]))</f>
        <v>27</v>
      </c>
      <c r="K268" s="5" cm="1">
        <f t="array" ref="K268">IFERROR(AVERAGE(IF((OutputTable[GroupByKey]=OutputTable[[#This Row],[GroupByKey]]),(OutputTable[GroupByKey]=OutputTable[[#This Row],[GroupByKey]])*OutputTable[RecordedValue])),0)</f>
        <v>9.5157533027466656E-2</v>
      </c>
      <c r="L268" s="5" cm="1">
        <f t="array" ref="L268">IFERROR(_xlfn.STDEV.S(IF((OutputTable[GroupByKey]=OutputTable[[#This Row],[GroupByKey]]),(OutputTable[GroupByKey]=OutputTable[[#This Row],[GroupByKey]])*OutputTable[RecordedValue])),0)</f>
        <v>0.4944530457794572</v>
      </c>
      <c r="M268" s="5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268" s="5" cm="1">
        <f t="array" ref="O268">MIN(IF((OutputTable[GroupByKey]=OutputTable[[#This Row],[GroupByKey]]),(OutputTable[GroupByKey]=OutputTable[[#This Row],[GroupByKey]])*OutputTable[RecordedValue]))</f>
        <v>0</v>
      </c>
      <c r="P268" s="5" cm="1">
        <f t="array" ref="P268">MAX(IF((OutputTable[GroupByKey]=OutputTable[[#This Row],[GroupByKey]]),(OutputTable[GroupByKey]=OutputTable[[#This Row],[GroupByKey]])*OutputTable[RecordedValue]))</f>
        <v>2.5692533917415998</v>
      </c>
    </row>
    <row r="269" spans="1:16" x14ac:dyDescent="0.25">
      <c r="A269" t="s">
        <v>68</v>
      </c>
      <c r="B269" t="s">
        <v>70</v>
      </c>
      <c r="C269">
        <v>25</v>
      </c>
      <c r="D269" t="s">
        <v>105</v>
      </c>
      <c r="E269" t="s">
        <v>106</v>
      </c>
      <c r="F269" t="s">
        <v>87</v>
      </c>
      <c r="G269">
        <v>0</v>
      </c>
      <c r="H269">
        <v>0</v>
      </c>
      <c r="I269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269" s="5" cm="1">
        <f t="array" ref="J269">MAX(IF((ProjectInfoTable[ProjectName]=OutputTable[[#This Row],[ProjectName]]),(ProjectInfoTable[ProjectName]=OutputTable[[#This Row],[ProjectName]])*ProjectInfoTable[NumberOfReplications]))</f>
        <v>27</v>
      </c>
      <c r="K269" s="5" cm="1">
        <f t="array" ref="K269">IFERROR(AVERAGE(IF((OutputTable[GroupByKey]=OutputTable[[#This Row],[GroupByKey]]),(OutputTable[GroupByKey]=OutputTable[[#This Row],[GroupByKey]])*OutputTable[RecordedValue])),0)</f>
        <v>0</v>
      </c>
      <c r="L269" s="5" cm="1">
        <f t="array" ref="L269">IFERROR(_xlfn.STDEV.S(IF((OutputTable[GroupByKey]=OutputTable[[#This Row],[GroupByKey]]),(OutputTable[GroupByKey]=OutputTable[[#This Row],[GroupByKey]])*OutputTable[RecordedValue])),0)</f>
        <v>0</v>
      </c>
      <c r="M269" s="5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9" s="5" cm="1">
        <f t="array" ref="O269">MIN(IF((OutputTable[GroupByKey]=OutputTable[[#This Row],[GroupByKey]]),(OutputTable[GroupByKey]=OutputTable[[#This Row],[GroupByKey]])*OutputTable[RecordedValue]))</f>
        <v>0</v>
      </c>
      <c r="P269" s="5" cm="1">
        <f t="array" ref="P269">MAX(IF((OutputTable[GroupByKey]=OutputTable[[#This Row],[GroupByKey]]),(OutputTable[GroupByKey]=OutputTable[[#This Row],[GroupByKey]])*OutputTable[RecordedValue]))</f>
        <v>0</v>
      </c>
    </row>
    <row r="270" spans="1:16" x14ac:dyDescent="0.25">
      <c r="A270" t="s">
        <v>68</v>
      </c>
      <c r="B270" t="s">
        <v>70</v>
      </c>
      <c r="C270">
        <v>25</v>
      </c>
      <c r="D270" t="s">
        <v>107</v>
      </c>
      <c r="E270" t="s">
        <v>100</v>
      </c>
      <c r="F270" t="s">
        <v>87</v>
      </c>
      <c r="G270">
        <v>0</v>
      </c>
      <c r="H270">
        <v>0</v>
      </c>
      <c r="I270" s="5" t="str">
        <f>OutputTable[[#This Row],[ProjectName]]&amp;OutputTable[[#This Row],[Name]]&amp;OutputTable[[#This Row],[Type]]&amp;OutputTable[[#This Row],[Source]]</f>
        <v>Escenario ASeguimiemto Number InNumber InProcess</v>
      </c>
      <c r="J270" s="5" cm="1">
        <f t="array" ref="J270">MAX(IF((ProjectInfoTable[ProjectName]=OutputTable[[#This Row],[ProjectName]]),(ProjectInfoTable[ProjectName]=OutputTable[[#This Row],[ProjectName]])*ProjectInfoTable[NumberOfReplications]))</f>
        <v>27</v>
      </c>
      <c r="K270" s="5" cm="1">
        <f t="array" ref="K270">IFERROR(AVERAGE(IF((OutputTable[GroupByKey]=OutputTable[[#This Row],[GroupByKey]]),(OutputTable[GroupByKey]=OutputTable[[#This Row],[GroupByKey]])*OutputTable[RecordedValue])),0)</f>
        <v>3.7037037037037035E-2</v>
      </c>
      <c r="L270" s="5" cm="1">
        <f t="array" ref="L270">IFERROR(_xlfn.STDEV.S(IF((OutputTable[GroupByKey]=OutputTable[[#This Row],[GroupByKey]]),(OutputTable[GroupByKey]=OutputTable[[#This Row],[GroupByKey]])*OutputTable[RecordedValue])),0)</f>
        <v>0.19245008972987526</v>
      </c>
      <c r="M270" s="5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70" s="5" cm="1">
        <f t="array" ref="O270">MIN(IF((OutputTable[GroupByKey]=OutputTable[[#This Row],[GroupByKey]]),(OutputTable[GroupByKey]=OutputTable[[#This Row],[GroupByKey]])*OutputTable[RecordedValue]))</f>
        <v>0</v>
      </c>
      <c r="P270" s="5" cm="1">
        <f t="array" ref="P270">MAX(IF((OutputTable[GroupByKey]=OutputTable[[#This Row],[GroupByKey]]),(OutputTable[GroupByKey]=OutputTable[[#This Row],[GroupByKey]])*OutputTable[RecordedValue]))</f>
        <v>1</v>
      </c>
    </row>
    <row r="271" spans="1:16" x14ac:dyDescent="0.25">
      <c r="A271" t="s">
        <v>68</v>
      </c>
      <c r="B271" t="s">
        <v>70</v>
      </c>
      <c r="C271">
        <v>25</v>
      </c>
      <c r="D271" t="s">
        <v>108</v>
      </c>
      <c r="E271" t="s">
        <v>102</v>
      </c>
      <c r="F271" t="s">
        <v>87</v>
      </c>
      <c r="G271">
        <v>0</v>
      </c>
      <c r="H271">
        <v>0</v>
      </c>
      <c r="I271" s="5" t="str">
        <f>OutputTable[[#This Row],[ProjectName]]&amp;OutputTable[[#This Row],[Name]]&amp;OutputTable[[#This Row],[Type]]&amp;OutputTable[[#This Row],[Source]]</f>
        <v>Escenario ASeguimiemto Number OutNumber OutProcess</v>
      </c>
      <c r="J271" s="5" cm="1">
        <f t="array" ref="J271">MAX(IF((ProjectInfoTable[ProjectName]=OutputTable[[#This Row],[ProjectName]]),(ProjectInfoTable[ProjectName]=OutputTable[[#This Row],[ProjectName]])*ProjectInfoTable[NumberOfReplications]))</f>
        <v>27</v>
      </c>
      <c r="K271" s="5" cm="1">
        <f t="array" ref="K271">IFERROR(AVERAGE(IF((OutputTable[GroupByKey]=OutputTable[[#This Row],[GroupByKey]]),(OutputTable[GroupByKey]=OutputTable[[#This Row],[GroupByKey]])*OutputTable[RecordedValue])),0)</f>
        <v>3.7037037037037035E-2</v>
      </c>
      <c r="L271" s="5" cm="1">
        <f t="array" ref="L271">IFERROR(_xlfn.STDEV.S(IF((OutputTable[GroupByKey]=OutputTable[[#This Row],[GroupByKey]]),(OutputTable[GroupByKey]=OutputTable[[#This Row],[GroupByKey]])*OutputTable[RecordedValue])),0)</f>
        <v>0.19245008972987526</v>
      </c>
      <c r="M271" s="5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71" s="5" cm="1">
        <f t="array" ref="O271">MIN(IF((OutputTable[GroupByKey]=OutputTable[[#This Row],[GroupByKey]]),(OutputTable[GroupByKey]=OutputTable[[#This Row],[GroupByKey]])*OutputTable[RecordedValue]))</f>
        <v>0</v>
      </c>
      <c r="P271" s="5" cm="1">
        <f t="array" ref="P271">MAX(IF((OutputTable[GroupByKey]=OutputTable[[#This Row],[GroupByKey]]),(OutputTable[GroupByKey]=OutputTable[[#This Row],[GroupByKey]])*OutputTable[RecordedValue]))</f>
        <v>1</v>
      </c>
    </row>
    <row r="272" spans="1:16" x14ac:dyDescent="0.25">
      <c r="A272" t="s">
        <v>68</v>
      </c>
      <c r="B272" t="s">
        <v>70</v>
      </c>
      <c r="C272">
        <v>25</v>
      </c>
      <c r="D272" t="s">
        <v>109</v>
      </c>
      <c r="E272" t="s">
        <v>102</v>
      </c>
      <c r="F272" t="s">
        <v>110</v>
      </c>
      <c r="G272">
        <v>4</v>
      </c>
      <c r="H272">
        <v>0</v>
      </c>
      <c r="I272" s="5" t="str">
        <f>OutputTable[[#This Row],[ProjectName]]&amp;OutputTable[[#This Row],[Name]]&amp;OutputTable[[#This Row],[Type]]&amp;OutputTable[[#This Row],[Source]]</f>
        <v>Escenario ASystem.NumberOutNumber OutSystem</v>
      </c>
      <c r="J272" s="5" cm="1">
        <f t="array" ref="J272">MAX(IF((ProjectInfoTable[ProjectName]=OutputTable[[#This Row],[ProjectName]]),(ProjectInfoTable[ProjectName]=OutputTable[[#This Row],[ProjectName]])*ProjectInfoTable[NumberOfReplications]))</f>
        <v>27</v>
      </c>
      <c r="K272" s="5" cm="1">
        <f t="array" ref="K272">IFERROR(AVERAGE(IF((OutputTable[GroupByKey]=OutputTable[[#This Row],[GroupByKey]]),(OutputTable[GroupByKey]=OutputTable[[#This Row],[GroupByKey]])*OutputTable[RecordedValue])),0)</f>
        <v>1.1851851851851851</v>
      </c>
      <c r="L272" s="5" cm="1">
        <f t="array" ref="L272">IFERROR(_xlfn.STDEV.S(IF((OutputTable[GroupByKey]=OutputTable[[#This Row],[GroupByKey]]),(OutputTable[GroupByKey]=OutputTable[[#This Row],[GroupByKey]])*OutputTable[RecordedValue])),0)</f>
        <v>1.0754976321197349</v>
      </c>
      <c r="M272" s="5" cm="1">
        <f t="array" ref="M272">MAX(IF((ProjectInfoTable[ProjectName]=OutputTable[[#This Row],[ProjectName]]),(ProjectInfoTable[ProjectName]=OutputTable[[#This Row],[ProjectName]])*ProjectInfoTable[ConfidenceInterval]))</f>
        <v>0.95</v>
      </c>
      <c r="N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272" s="5" cm="1">
        <f t="array" ref="O272">MIN(IF((OutputTable[GroupByKey]=OutputTable[[#This Row],[GroupByKey]]),(OutputTable[GroupByKey]=OutputTable[[#This Row],[GroupByKey]])*OutputTable[RecordedValue]))</f>
        <v>0</v>
      </c>
      <c r="P272" s="5" cm="1">
        <f t="array" ref="P272">MAX(IF((OutputTable[GroupByKey]=OutputTable[[#This Row],[GroupByKey]]),(OutputTable[GroupByKey]=OutputTable[[#This Row],[GroupByKey]])*OutputTable[RecordedValue]))</f>
        <v>4</v>
      </c>
    </row>
    <row r="273" spans="1:16" x14ac:dyDescent="0.25">
      <c r="A273" t="s">
        <v>68</v>
      </c>
      <c r="B273" t="s">
        <v>70</v>
      </c>
      <c r="C273">
        <v>25</v>
      </c>
      <c r="D273" t="s">
        <v>111</v>
      </c>
      <c r="E273" t="s">
        <v>112</v>
      </c>
      <c r="F273" t="s">
        <v>95</v>
      </c>
      <c r="G273">
        <v>5</v>
      </c>
      <c r="H273">
        <v>0</v>
      </c>
      <c r="I273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273" s="5" cm="1">
        <f t="array" ref="J273">MAX(IF((ProjectInfoTable[ProjectName]=OutputTable[[#This Row],[ProjectName]]),(ProjectInfoTable[ProjectName]=OutputTable[[#This Row],[ProjectName]])*ProjectInfoTable[NumberOfReplications]))</f>
        <v>27</v>
      </c>
      <c r="K273" s="5" cm="1">
        <f t="array" ref="K273">IFERROR(AVERAGE(IF((OutputTable[GroupByKey]=OutputTable[[#This Row],[GroupByKey]]),(OutputTable[GroupByKey]=OutputTable[[#This Row],[GroupByKey]])*OutputTable[RecordedValue])),0)</f>
        <v>1.2962962962962963</v>
      </c>
      <c r="L273" s="5" cm="1">
        <f t="array" ref="L273">IFERROR(_xlfn.STDEV.S(IF((OutputTable[GroupByKey]=OutputTable[[#This Row],[GroupByKey]]),(OutputTable[GroupByKey]=OutputTable[[#This Row],[GroupByKey]])*OutputTable[RecordedValue])),0)</f>
        <v>1.1706281947614154</v>
      </c>
      <c r="M273" s="5" cm="1">
        <f t="array" ref="M273">MAX(IF((ProjectInfoTable[ProjectName]=OutputTable[[#This Row],[ProjectName]]),(ProjectInfoTable[ProjectName]=OutputTable[[#This Row],[ProjectName]])*ProjectInfoTable[ConfidenceInterval]))</f>
        <v>0.95</v>
      </c>
      <c r="N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273" s="5" cm="1">
        <f t="array" ref="O273">MIN(IF((OutputTable[GroupByKey]=OutputTable[[#This Row],[GroupByKey]]),(OutputTable[GroupByKey]=OutputTable[[#This Row],[GroupByKey]])*OutputTable[RecordedValue]))</f>
        <v>0</v>
      </c>
      <c r="P273" s="5" cm="1">
        <f t="array" ref="P273">MAX(IF((OutputTable[GroupByKey]=OutputTable[[#This Row],[GroupByKey]]),(OutputTable[GroupByKey]=OutputTable[[#This Row],[GroupByKey]])*OutputTable[RecordedValue]))</f>
        <v>5</v>
      </c>
    </row>
    <row r="274" spans="1:16" x14ac:dyDescent="0.25">
      <c r="A274" t="s">
        <v>68</v>
      </c>
      <c r="B274" t="s">
        <v>70</v>
      </c>
      <c r="C274">
        <v>25</v>
      </c>
      <c r="D274" t="s">
        <v>113</v>
      </c>
      <c r="E274" t="s">
        <v>114</v>
      </c>
      <c r="F274" t="s">
        <v>95</v>
      </c>
      <c r="G274">
        <v>4.2906548761083699E-2</v>
      </c>
      <c r="H274">
        <v>0</v>
      </c>
      <c r="I274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274" s="5" cm="1">
        <f t="array" ref="J274">MAX(IF((ProjectInfoTable[ProjectName]=OutputTable[[#This Row],[ProjectName]]),(ProjectInfoTable[ProjectName]=OutputTable[[#This Row],[ProjectName]])*ProjectInfoTable[NumberOfReplications]))</f>
        <v>27</v>
      </c>
      <c r="K274" s="5" cm="1">
        <f t="array" ref="K274">IFERROR(AVERAGE(IF((OutputTable[GroupByKey]=OutputTable[[#This Row],[GroupByKey]]),(OutputTable[GroupByKey]=OutputTable[[#This Row],[GroupByKey]])*OutputTable[RecordedValue])),0)</f>
        <v>1.2223949425906553E-2</v>
      </c>
      <c r="L274" s="5" cm="1">
        <f t="array" ref="L274">IFERROR(_xlfn.STDEV.S(IF((OutputTable[GroupByKey]=OutputTable[[#This Row],[GroupByKey]]),(OutputTable[GroupByKey]=OutputTable[[#This Row],[GroupByKey]])*OutputTable[RecordedValue])),0)</f>
        <v>1.112543407769513E-2</v>
      </c>
      <c r="M274" s="5" cm="1">
        <f t="array" ref="M274">MAX(IF((ProjectInfoTable[ProjectName]=OutputTable[[#This Row],[ProjectName]]),(ProjectInfoTable[ProjectName]=OutputTable[[#This Row],[ProjectName]])*ProjectInfoTable[ConfidenceInterval]))</f>
        <v>0.95</v>
      </c>
      <c r="N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274" s="5" cm="1">
        <f t="array" ref="O274">MIN(IF((OutputTable[GroupByKey]=OutputTable[[#This Row],[GroupByKey]]),(OutputTable[GroupByKey]=OutputTable[[#This Row],[GroupByKey]])*OutputTable[RecordedValue]))</f>
        <v>0</v>
      </c>
      <c r="P274" s="5" cm="1">
        <f t="array" ref="P274">MAX(IF((OutputTable[GroupByKey]=OutputTable[[#This Row],[GroupByKey]]),(OutputTable[GroupByKey]=OutputTable[[#This Row],[GroupByKey]])*OutputTable[RecordedValue]))</f>
        <v>4.2906548761083699E-2</v>
      </c>
    </row>
    <row r="275" spans="1:16" x14ac:dyDescent="0.25">
      <c r="A275" t="s">
        <v>68</v>
      </c>
      <c r="B275" t="s">
        <v>70</v>
      </c>
      <c r="C275">
        <v>25</v>
      </c>
      <c r="D275" t="s">
        <v>115</v>
      </c>
      <c r="E275" t="s">
        <v>112</v>
      </c>
      <c r="F275" t="s">
        <v>95</v>
      </c>
      <c r="G275">
        <v>0</v>
      </c>
      <c r="H275">
        <v>0</v>
      </c>
      <c r="I275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275" s="5" cm="1">
        <f t="array" ref="J275">MAX(IF((ProjectInfoTable[ProjectName]=OutputTable[[#This Row],[ProjectName]]),(ProjectInfoTable[ProjectName]=OutputTable[[#This Row],[ProjectName]])*ProjectInfoTable[NumberOfReplications]))</f>
        <v>27</v>
      </c>
      <c r="K275" s="5" cm="1">
        <f t="array" ref="K275">IFERROR(AVERAGE(IF((OutputTable[GroupByKey]=OutputTable[[#This Row],[GroupByKey]]),(OutputTable[GroupByKey]=OutputTable[[#This Row],[GroupByKey]])*OutputTable[RecordedValue])),0)</f>
        <v>3.7037037037037035E-2</v>
      </c>
      <c r="L275" s="5" cm="1">
        <f t="array" ref="L275">IFERROR(_xlfn.STDEV.S(IF((OutputTable[GroupByKey]=OutputTable[[#This Row],[GroupByKey]]),(OutputTable[GroupByKey]=OutputTable[[#This Row],[GroupByKey]])*OutputTable[RecordedValue])),0)</f>
        <v>0.19245008972987526</v>
      </c>
      <c r="M275" s="5" cm="1">
        <f t="array" ref="M275">MAX(IF((ProjectInfoTable[ProjectName]=OutputTable[[#This Row],[ProjectName]]),(ProjectInfoTable[ProjectName]=OutputTable[[#This Row],[ProjectName]])*ProjectInfoTable[ConfidenceInterval]))</f>
        <v>0.95</v>
      </c>
      <c r="N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75" s="5" cm="1">
        <f t="array" ref="O275">MIN(IF((OutputTable[GroupByKey]=OutputTable[[#This Row],[GroupByKey]]),(OutputTable[GroupByKey]=OutputTable[[#This Row],[GroupByKey]])*OutputTable[RecordedValue]))</f>
        <v>0</v>
      </c>
      <c r="P275" s="5" cm="1">
        <f t="array" ref="P275">MAX(IF((OutputTable[GroupByKey]=OutputTable[[#This Row],[GroupByKey]]),(OutputTable[GroupByKey]=OutputTable[[#This Row],[GroupByKey]])*OutputTable[RecordedValue]))</f>
        <v>1</v>
      </c>
    </row>
    <row r="276" spans="1:16" x14ac:dyDescent="0.25">
      <c r="A276" t="s">
        <v>68</v>
      </c>
      <c r="B276" t="s">
        <v>70</v>
      </c>
      <c r="C276">
        <v>25</v>
      </c>
      <c r="D276" t="s">
        <v>116</v>
      </c>
      <c r="E276" t="s">
        <v>114</v>
      </c>
      <c r="F276" t="s">
        <v>95</v>
      </c>
      <c r="G276">
        <v>0</v>
      </c>
      <c r="H276">
        <v>0</v>
      </c>
      <c r="I276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276" s="5" cm="1">
        <f t="array" ref="J276">MAX(IF((ProjectInfoTable[ProjectName]=OutputTable[[#This Row],[ProjectName]]),(ProjectInfoTable[ProjectName]=OutputTable[[#This Row],[ProjectName]])*ProjectInfoTable[NumberOfReplications]))</f>
        <v>27</v>
      </c>
      <c r="K276" s="5" cm="1">
        <f t="array" ref="K276">IFERROR(AVERAGE(IF((OutputTable[GroupByKey]=OutputTable[[#This Row],[GroupByKey]]),(OutputTable[GroupByKey]=OutputTable[[#This Row],[GroupByKey]])*OutputTable[RecordedValue])),0)</f>
        <v>1.5859588837911111E-4</v>
      </c>
      <c r="L276" s="5" cm="1">
        <f t="array" ref="L276">IFERROR(_xlfn.STDEV.S(IF((OutputTable[GroupByKey]=OutputTable[[#This Row],[GroupByKey]]),(OutputTable[GroupByKey]=OutputTable[[#This Row],[GroupByKey]])*OutputTable[RecordedValue])),0)</f>
        <v>8.2408840963242873E-4</v>
      </c>
      <c r="M276" s="5" cm="1">
        <f t="array" ref="M276">MAX(IF((ProjectInfoTable[ProjectName]=OutputTable[[#This Row],[ProjectName]]),(ProjectInfoTable[ProjectName]=OutputTable[[#This Row],[ProjectName]])*ProjectInfoTable[ConfidenceInterval]))</f>
        <v>0.95</v>
      </c>
      <c r="N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276" s="5" cm="1">
        <f t="array" ref="O276">MIN(IF((OutputTable[GroupByKey]=OutputTable[[#This Row],[GroupByKey]]),(OutputTable[GroupByKey]=OutputTable[[#This Row],[GroupByKey]])*OutputTable[RecordedValue]))</f>
        <v>0</v>
      </c>
      <c r="P276" s="5" cm="1">
        <f t="array" ref="P276">MAX(IF((OutputTable[GroupByKey]=OutputTable[[#This Row],[GroupByKey]]),(OutputTable[GroupByKey]=OutputTable[[#This Row],[GroupByKey]])*OutputTable[RecordedValue]))</f>
        <v>4.2820889862359999E-3</v>
      </c>
    </row>
    <row r="277" spans="1:16" x14ac:dyDescent="0.25">
      <c r="A277" t="s">
        <v>68</v>
      </c>
      <c r="B277" t="s">
        <v>70</v>
      </c>
      <c r="C277">
        <v>26</v>
      </c>
      <c r="D277" t="s">
        <v>99</v>
      </c>
      <c r="E277" t="s">
        <v>100</v>
      </c>
      <c r="F277" t="s">
        <v>73</v>
      </c>
      <c r="G277">
        <v>3</v>
      </c>
      <c r="H277">
        <v>0</v>
      </c>
      <c r="I277" s="5" t="str">
        <f>OutputTable[[#This Row],[ProjectName]]&amp;OutputTable[[#This Row],[Name]]&amp;OutputTable[[#This Row],[Type]]&amp;OutputTable[[#This Row],[Source]]</f>
        <v>Escenario AEntity 1.NumberInNumber InEntity</v>
      </c>
      <c r="J277" s="5" cm="1">
        <f t="array" ref="J277">MAX(IF((ProjectInfoTable[ProjectName]=OutputTable[[#This Row],[ProjectName]]),(ProjectInfoTable[ProjectName]=OutputTable[[#This Row],[ProjectName]])*ProjectInfoTable[NumberOfReplications]))</f>
        <v>27</v>
      </c>
      <c r="K277" s="5" cm="1">
        <f t="array" ref="K277">IFERROR(AVERAGE(IF((OutputTable[GroupByKey]=OutputTable[[#This Row],[GroupByKey]]),(OutputTable[GroupByKey]=OutputTable[[#This Row],[GroupByKey]])*OutputTable[RecordedValue])),0)</f>
        <v>1.2962962962962963</v>
      </c>
      <c r="L277" s="5" cm="1">
        <f t="array" ref="L277">IFERROR(_xlfn.STDEV.S(IF((OutputTable[GroupByKey]=OutputTable[[#This Row],[GroupByKey]]),(OutputTable[GroupByKey]=OutputTable[[#This Row],[GroupByKey]])*OutputTable[RecordedValue])),0)</f>
        <v>1.1706281947614154</v>
      </c>
      <c r="M277" s="5" cm="1">
        <f t="array" ref="M277">MAX(IF((ProjectInfoTable[ProjectName]=OutputTable[[#This Row],[ProjectName]]),(ProjectInfoTable[ProjectName]=OutputTable[[#This Row],[ProjectName]])*ProjectInfoTable[ConfidenceInterval]))</f>
        <v>0.95</v>
      </c>
      <c r="N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277" s="5" cm="1">
        <f t="array" ref="O277">MIN(IF((OutputTable[GroupByKey]=OutputTable[[#This Row],[GroupByKey]]),(OutputTable[GroupByKey]=OutputTable[[#This Row],[GroupByKey]])*OutputTable[RecordedValue]))</f>
        <v>0</v>
      </c>
      <c r="P277" s="5" cm="1">
        <f t="array" ref="P277">MAX(IF((OutputTable[GroupByKey]=OutputTable[[#This Row],[GroupByKey]]),(OutputTable[GroupByKey]=OutputTable[[#This Row],[GroupByKey]])*OutputTable[RecordedValue]))</f>
        <v>5</v>
      </c>
    </row>
    <row r="278" spans="1:16" x14ac:dyDescent="0.25">
      <c r="A278" t="s">
        <v>68</v>
      </c>
      <c r="B278" t="s">
        <v>70</v>
      </c>
      <c r="C278">
        <v>26</v>
      </c>
      <c r="D278" t="s">
        <v>101</v>
      </c>
      <c r="E278" t="s">
        <v>102</v>
      </c>
      <c r="F278" t="s">
        <v>73</v>
      </c>
      <c r="G278">
        <v>3</v>
      </c>
      <c r="H278">
        <v>0</v>
      </c>
      <c r="I278" s="5" t="str">
        <f>OutputTable[[#This Row],[ProjectName]]&amp;OutputTable[[#This Row],[Name]]&amp;OutputTable[[#This Row],[Type]]&amp;OutputTable[[#This Row],[Source]]</f>
        <v>Escenario AEntity 1.NumberOutNumber OutEntity</v>
      </c>
      <c r="J278" s="5" cm="1">
        <f t="array" ref="J278">MAX(IF((ProjectInfoTable[ProjectName]=OutputTable[[#This Row],[ProjectName]]),(ProjectInfoTable[ProjectName]=OutputTable[[#This Row],[ProjectName]])*ProjectInfoTable[NumberOfReplications]))</f>
        <v>27</v>
      </c>
      <c r="K278" s="5" cm="1">
        <f t="array" ref="K278">IFERROR(AVERAGE(IF((OutputTable[GroupByKey]=OutputTable[[#This Row],[GroupByKey]]),(OutputTable[GroupByKey]=OutputTable[[#This Row],[GroupByKey]])*OutputTable[RecordedValue])),0)</f>
        <v>1.1851851851851851</v>
      </c>
      <c r="L278" s="5" cm="1">
        <f t="array" ref="L278">IFERROR(_xlfn.STDEV.S(IF((OutputTable[GroupByKey]=OutputTable[[#This Row],[GroupByKey]]),(OutputTable[GroupByKey]=OutputTable[[#This Row],[GroupByKey]])*OutputTable[RecordedValue])),0)</f>
        <v>1.0754976321197349</v>
      </c>
      <c r="M278" s="5" cm="1">
        <f t="array" ref="M278">MAX(IF((ProjectInfoTable[ProjectName]=OutputTable[[#This Row],[ProjectName]]),(ProjectInfoTable[ProjectName]=OutputTable[[#This Row],[ProjectName]])*ProjectInfoTable[ConfidenceInterval]))</f>
        <v>0.95</v>
      </c>
      <c r="N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278" s="5" cm="1">
        <f t="array" ref="O278">MIN(IF((OutputTable[GroupByKey]=OutputTable[[#This Row],[GroupByKey]]),(OutputTable[GroupByKey]=OutputTable[[#This Row],[GroupByKey]])*OutputTable[RecordedValue]))</f>
        <v>0</v>
      </c>
      <c r="P278" s="5" cm="1">
        <f t="array" ref="P278">MAX(IF((OutputTable[GroupByKey]=OutputTable[[#This Row],[GroupByKey]]),(OutputTable[GroupByKey]=OutputTable[[#This Row],[GroupByKey]])*OutputTable[RecordedValue]))</f>
        <v>4</v>
      </c>
    </row>
    <row r="279" spans="1:16" x14ac:dyDescent="0.25">
      <c r="A279" t="s">
        <v>68</v>
      </c>
      <c r="B279" t="s">
        <v>70</v>
      </c>
      <c r="C279">
        <v>26</v>
      </c>
      <c r="D279" t="s">
        <v>103</v>
      </c>
      <c r="E279" t="s">
        <v>104</v>
      </c>
      <c r="F279" t="s">
        <v>87</v>
      </c>
      <c r="G279">
        <v>0</v>
      </c>
      <c r="H279">
        <v>0</v>
      </c>
      <c r="I279" s="5" t="str">
        <f>OutputTable[[#This Row],[ProjectName]]&amp;OutputTable[[#This Row],[Name]]&amp;OutputTable[[#This Row],[Type]]&amp;OutputTable[[#This Row],[Source]]</f>
        <v>Escenario ASeguimiemto Accum VA TimeAccum VA TimeProcess</v>
      </c>
      <c r="J279" s="5" cm="1">
        <f t="array" ref="J279">MAX(IF((ProjectInfoTable[ProjectName]=OutputTable[[#This Row],[ProjectName]]),(ProjectInfoTable[ProjectName]=OutputTable[[#This Row],[ProjectName]])*ProjectInfoTable[NumberOfReplications]))</f>
        <v>27</v>
      </c>
      <c r="K279" s="5" cm="1">
        <f t="array" ref="K279">IFERROR(AVERAGE(IF((OutputTable[GroupByKey]=OutputTable[[#This Row],[GroupByKey]]),(OutputTable[GroupByKey]=OutputTable[[#This Row],[GroupByKey]])*OutputTable[RecordedValue])),0)</f>
        <v>9.5157533027466656E-2</v>
      </c>
      <c r="L279" s="5" cm="1">
        <f t="array" ref="L279">IFERROR(_xlfn.STDEV.S(IF((OutputTable[GroupByKey]=OutputTable[[#This Row],[GroupByKey]]),(OutputTable[GroupByKey]=OutputTable[[#This Row],[GroupByKey]])*OutputTable[RecordedValue])),0)</f>
        <v>0.4944530457794572</v>
      </c>
      <c r="M279" s="5" cm="1">
        <f t="array" ref="M279">MAX(IF((ProjectInfoTable[ProjectName]=OutputTable[[#This Row],[ProjectName]]),(ProjectInfoTable[ProjectName]=OutputTable[[#This Row],[ProjectName]])*ProjectInfoTable[ConfidenceInterval]))</f>
        <v>0.95</v>
      </c>
      <c r="N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279" s="5" cm="1">
        <f t="array" ref="O279">MIN(IF((OutputTable[GroupByKey]=OutputTable[[#This Row],[GroupByKey]]),(OutputTable[GroupByKey]=OutputTable[[#This Row],[GroupByKey]])*OutputTable[RecordedValue]))</f>
        <v>0</v>
      </c>
      <c r="P279" s="5" cm="1">
        <f t="array" ref="P279">MAX(IF((OutputTable[GroupByKey]=OutputTable[[#This Row],[GroupByKey]]),(OutputTable[GroupByKey]=OutputTable[[#This Row],[GroupByKey]])*OutputTable[RecordedValue]))</f>
        <v>2.5692533917415998</v>
      </c>
    </row>
    <row r="280" spans="1:16" x14ac:dyDescent="0.25">
      <c r="A280" t="s">
        <v>68</v>
      </c>
      <c r="B280" t="s">
        <v>70</v>
      </c>
      <c r="C280">
        <v>26</v>
      </c>
      <c r="D280" t="s">
        <v>105</v>
      </c>
      <c r="E280" t="s">
        <v>106</v>
      </c>
      <c r="F280" t="s">
        <v>87</v>
      </c>
      <c r="G280">
        <v>0</v>
      </c>
      <c r="H280">
        <v>0</v>
      </c>
      <c r="I280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280" s="5" cm="1">
        <f t="array" ref="J280">MAX(IF((ProjectInfoTable[ProjectName]=OutputTable[[#This Row],[ProjectName]]),(ProjectInfoTable[ProjectName]=OutputTable[[#This Row],[ProjectName]])*ProjectInfoTable[NumberOfReplications]))</f>
        <v>27</v>
      </c>
      <c r="K280" s="5" cm="1">
        <f t="array" ref="K280">IFERROR(AVERAGE(IF((OutputTable[GroupByKey]=OutputTable[[#This Row],[GroupByKey]]),(OutputTable[GroupByKey]=OutputTable[[#This Row],[GroupByKey]])*OutputTable[RecordedValue])),0)</f>
        <v>0</v>
      </c>
      <c r="L280" s="5" cm="1">
        <f t="array" ref="L280">IFERROR(_xlfn.STDEV.S(IF((OutputTable[GroupByKey]=OutputTable[[#This Row],[GroupByKey]]),(OutputTable[GroupByKey]=OutputTable[[#This Row],[GroupByKey]])*OutputTable[RecordedValue])),0)</f>
        <v>0</v>
      </c>
      <c r="M280" s="5" cm="1">
        <f t="array" ref="M280">MAX(IF((ProjectInfoTable[ProjectName]=OutputTable[[#This Row],[ProjectName]]),(ProjectInfoTable[ProjectName]=OutputTable[[#This Row],[ProjectName]])*ProjectInfoTable[ConfidenceInterval]))</f>
        <v>0.95</v>
      </c>
      <c r="N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0" s="5" cm="1">
        <f t="array" ref="O280">MIN(IF((OutputTable[GroupByKey]=OutputTable[[#This Row],[GroupByKey]]),(OutputTable[GroupByKey]=OutputTable[[#This Row],[GroupByKey]])*OutputTable[RecordedValue]))</f>
        <v>0</v>
      </c>
      <c r="P280" s="5" cm="1">
        <f t="array" ref="P280">MAX(IF((OutputTable[GroupByKey]=OutputTable[[#This Row],[GroupByKey]]),(OutputTable[GroupByKey]=OutputTable[[#This Row],[GroupByKey]])*OutputTable[RecordedValue]))</f>
        <v>0</v>
      </c>
    </row>
    <row r="281" spans="1:16" x14ac:dyDescent="0.25">
      <c r="A281" t="s">
        <v>68</v>
      </c>
      <c r="B281" t="s">
        <v>70</v>
      </c>
      <c r="C281">
        <v>26</v>
      </c>
      <c r="D281" t="s">
        <v>107</v>
      </c>
      <c r="E281" t="s">
        <v>100</v>
      </c>
      <c r="F281" t="s">
        <v>87</v>
      </c>
      <c r="G281">
        <v>0</v>
      </c>
      <c r="H281">
        <v>0</v>
      </c>
      <c r="I281" s="5" t="str">
        <f>OutputTable[[#This Row],[ProjectName]]&amp;OutputTable[[#This Row],[Name]]&amp;OutputTable[[#This Row],[Type]]&amp;OutputTable[[#This Row],[Source]]</f>
        <v>Escenario ASeguimiemto Number InNumber InProcess</v>
      </c>
      <c r="J281" s="5" cm="1">
        <f t="array" ref="J281">MAX(IF((ProjectInfoTable[ProjectName]=OutputTable[[#This Row],[ProjectName]]),(ProjectInfoTable[ProjectName]=OutputTable[[#This Row],[ProjectName]])*ProjectInfoTable[NumberOfReplications]))</f>
        <v>27</v>
      </c>
      <c r="K281" s="5" cm="1">
        <f t="array" ref="K281">IFERROR(AVERAGE(IF((OutputTable[GroupByKey]=OutputTable[[#This Row],[GroupByKey]]),(OutputTable[GroupByKey]=OutputTable[[#This Row],[GroupByKey]])*OutputTable[RecordedValue])),0)</f>
        <v>3.7037037037037035E-2</v>
      </c>
      <c r="L281" s="5" cm="1">
        <f t="array" ref="L281">IFERROR(_xlfn.STDEV.S(IF((OutputTable[GroupByKey]=OutputTable[[#This Row],[GroupByKey]]),(OutputTable[GroupByKey]=OutputTable[[#This Row],[GroupByKey]])*OutputTable[RecordedValue])),0)</f>
        <v>0.19245008972987526</v>
      </c>
      <c r="M281" s="5" cm="1">
        <f t="array" ref="M281">MAX(IF((ProjectInfoTable[ProjectName]=OutputTable[[#This Row],[ProjectName]]),(ProjectInfoTable[ProjectName]=OutputTable[[#This Row],[ProjectName]])*ProjectInfoTable[ConfidenceInterval]))</f>
        <v>0.95</v>
      </c>
      <c r="N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81" s="5" cm="1">
        <f t="array" ref="O281">MIN(IF((OutputTable[GroupByKey]=OutputTable[[#This Row],[GroupByKey]]),(OutputTable[GroupByKey]=OutputTable[[#This Row],[GroupByKey]])*OutputTable[RecordedValue]))</f>
        <v>0</v>
      </c>
      <c r="P281" s="5" cm="1">
        <f t="array" ref="P281">MAX(IF((OutputTable[GroupByKey]=OutputTable[[#This Row],[GroupByKey]]),(OutputTable[GroupByKey]=OutputTable[[#This Row],[GroupByKey]])*OutputTable[RecordedValue]))</f>
        <v>1</v>
      </c>
    </row>
    <row r="282" spans="1:16" x14ac:dyDescent="0.25">
      <c r="A282" t="s">
        <v>68</v>
      </c>
      <c r="B282" t="s">
        <v>70</v>
      </c>
      <c r="C282">
        <v>26</v>
      </c>
      <c r="D282" t="s">
        <v>108</v>
      </c>
      <c r="E282" t="s">
        <v>102</v>
      </c>
      <c r="F282" t="s">
        <v>87</v>
      </c>
      <c r="G282">
        <v>0</v>
      </c>
      <c r="H282">
        <v>0</v>
      </c>
      <c r="I282" s="5" t="str">
        <f>OutputTable[[#This Row],[ProjectName]]&amp;OutputTable[[#This Row],[Name]]&amp;OutputTable[[#This Row],[Type]]&amp;OutputTable[[#This Row],[Source]]</f>
        <v>Escenario ASeguimiemto Number OutNumber OutProcess</v>
      </c>
      <c r="J282" s="5" cm="1">
        <f t="array" ref="J282">MAX(IF((ProjectInfoTable[ProjectName]=OutputTable[[#This Row],[ProjectName]]),(ProjectInfoTable[ProjectName]=OutputTable[[#This Row],[ProjectName]])*ProjectInfoTable[NumberOfReplications]))</f>
        <v>27</v>
      </c>
      <c r="K282" s="5" cm="1">
        <f t="array" ref="K282">IFERROR(AVERAGE(IF((OutputTable[GroupByKey]=OutputTable[[#This Row],[GroupByKey]]),(OutputTable[GroupByKey]=OutputTable[[#This Row],[GroupByKey]])*OutputTable[RecordedValue])),0)</f>
        <v>3.7037037037037035E-2</v>
      </c>
      <c r="L282" s="5" cm="1">
        <f t="array" ref="L282">IFERROR(_xlfn.STDEV.S(IF((OutputTable[GroupByKey]=OutputTable[[#This Row],[GroupByKey]]),(OutputTable[GroupByKey]=OutputTable[[#This Row],[GroupByKey]])*OutputTable[RecordedValue])),0)</f>
        <v>0.19245008972987526</v>
      </c>
      <c r="M282" s="5" cm="1">
        <f t="array" ref="M282">MAX(IF((ProjectInfoTable[ProjectName]=OutputTable[[#This Row],[ProjectName]]),(ProjectInfoTable[ProjectName]=OutputTable[[#This Row],[ProjectName]])*ProjectInfoTable[ConfidenceInterval]))</f>
        <v>0.95</v>
      </c>
      <c r="N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82" s="5" cm="1">
        <f t="array" ref="O282">MIN(IF((OutputTable[GroupByKey]=OutputTable[[#This Row],[GroupByKey]]),(OutputTable[GroupByKey]=OutputTable[[#This Row],[GroupByKey]])*OutputTable[RecordedValue]))</f>
        <v>0</v>
      </c>
      <c r="P282" s="5" cm="1">
        <f t="array" ref="P282">MAX(IF((OutputTable[GroupByKey]=OutputTable[[#This Row],[GroupByKey]]),(OutputTable[GroupByKey]=OutputTable[[#This Row],[GroupByKey]])*OutputTable[RecordedValue]))</f>
        <v>1</v>
      </c>
    </row>
    <row r="283" spans="1:16" x14ac:dyDescent="0.25">
      <c r="A283" t="s">
        <v>68</v>
      </c>
      <c r="B283" t="s">
        <v>70</v>
      </c>
      <c r="C283">
        <v>26</v>
      </c>
      <c r="D283" t="s">
        <v>109</v>
      </c>
      <c r="E283" t="s">
        <v>102</v>
      </c>
      <c r="F283" t="s">
        <v>110</v>
      </c>
      <c r="G283">
        <v>3</v>
      </c>
      <c r="H283">
        <v>0</v>
      </c>
      <c r="I283" s="5" t="str">
        <f>OutputTable[[#This Row],[ProjectName]]&amp;OutputTable[[#This Row],[Name]]&amp;OutputTable[[#This Row],[Type]]&amp;OutputTable[[#This Row],[Source]]</f>
        <v>Escenario ASystem.NumberOutNumber OutSystem</v>
      </c>
      <c r="J283" s="5" cm="1">
        <f t="array" ref="J283">MAX(IF((ProjectInfoTable[ProjectName]=OutputTable[[#This Row],[ProjectName]]),(ProjectInfoTable[ProjectName]=OutputTable[[#This Row],[ProjectName]])*ProjectInfoTable[NumberOfReplications]))</f>
        <v>27</v>
      </c>
      <c r="K283" s="5" cm="1">
        <f t="array" ref="K283">IFERROR(AVERAGE(IF((OutputTable[GroupByKey]=OutputTable[[#This Row],[GroupByKey]]),(OutputTable[GroupByKey]=OutputTable[[#This Row],[GroupByKey]])*OutputTable[RecordedValue])),0)</f>
        <v>1.1851851851851851</v>
      </c>
      <c r="L283" s="5" cm="1">
        <f t="array" ref="L283">IFERROR(_xlfn.STDEV.S(IF((OutputTable[GroupByKey]=OutputTable[[#This Row],[GroupByKey]]),(OutputTable[GroupByKey]=OutputTable[[#This Row],[GroupByKey]])*OutputTable[RecordedValue])),0)</f>
        <v>1.0754976321197349</v>
      </c>
      <c r="M283" s="5" cm="1">
        <f t="array" ref="M283">MAX(IF((ProjectInfoTable[ProjectName]=OutputTable[[#This Row],[ProjectName]]),(ProjectInfoTable[ProjectName]=OutputTable[[#This Row],[ProjectName]])*ProjectInfoTable[ConfidenceInterval]))</f>
        <v>0.95</v>
      </c>
      <c r="N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283" s="5" cm="1">
        <f t="array" ref="O283">MIN(IF((OutputTable[GroupByKey]=OutputTable[[#This Row],[GroupByKey]]),(OutputTable[GroupByKey]=OutputTable[[#This Row],[GroupByKey]])*OutputTable[RecordedValue]))</f>
        <v>0</v>
      </c>
      <c r="P283" s="5" cm="1">
        <f t="array" ref="P283">MAX(IF((OutputTable[GroupByKey]=OutputTable[[#This Row],[GroupByKey]]),(OutputTable[GroupByKey]=OutputTable[[#This Row],[GroupByKey]])*OutputTable[RecordedValue]))</f>
        <v>4</v>
      </c>
    </row>
    <row r="284" spans="1:16" x14ac:dyDescent="0.25">
      <c r="A284" t="s">
        <v>68</v>
      </c>
      <c r="B284" t="s">
        <v>70</v>
      </c>
      <c r="C284">
        <v>26</v>
      </c>
      <c r="D284" t="s">
        <v>111</v>
      </c>
      <c r="E284" t="s">
        <v>112</v>
      </c>
      <c r="F284" t="s">
        <v>95</v>
      </c>
      <c r="G284">
        <v>3</v>
      </c>
      <c r="H284">
        <v>0</v>
      </c>
      <c r="I284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284" s="5" cm="1">
        <f t="array" ref="J284">MAX(IF((ProjectInfoTable[ProjectName]=OutputTable[[#This Row],[ProjectName]]),(ProjectInfoTable[ProjectName]=OutputTable[[#This Row],[ProjectName]])*ProjectInfoTable[NumberOfReplications]))</f>
        <v>27</v>
      </c>
      <c r="K284" s="5" cm="1">
        <f t="array" ref="K284">IFERROR(AVERAGE(IF((OutputTable[GroupByKey]=OutputTable[[#This Row],[GroupByKey]]),(OutputTable[GroupByKey]=OutputTable[[#This Row],[GroupByKey]])*OutputTable[RecordedValue])),0)</f>
        <v>1.2962962962962963</v>
      </c>
      <c r="L284" s="5" cm="1">
        <f t="array" ref="L284">IFERROR(_xlfn.STDEV.S(IF((OutputTable[GroupByKey]=OutputTable[[#This Row],[GroupByKey]]),(OutputTable[GroupByKey]=OutputTable[[#This Row],[GroupByKey]])*OutputTable[RecordedValue])),0)</f>
        <v>1.1706281947614154</v>
      </c>
      <c r="M284" s="5" cm="1">
        <f t="array" ref="M284">MAX(IF((ProjectInfoTable[ProjectName]=OutputTable[[#This Row],[ProjectName]]),(ProjectInfoTable[ProjectName]=OutputTable[[#This Row],[ProjectName]])*ProjectInfoTable[ConfidenceInterval]))</f>
        <v>0.95</v>
      </c>
      <c r="N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284" s="5" cm="1">
        <f t="array" ref="O284">MIN(IF((OutputTable[GroupByKey]=OutputTable[[#This Row],[GroupByKey]]),(OutputTable[GroupByKey]=OutputTable[[#This Row],[GroupByKey]])*OutputTable[RecordedValue]))</f>
        <v>0</v>
      </c>
      <c r="P284" s="5" cm="1">
        <f t="array" ref="P284">MAX(IF((OutputTable[GroupByKey]=OutputTable[[#This Row],[GroupByKey]]),(OutputTable[GroupByKey]=OutputTable[[#This Row],[GroupByKey]])*OutputTable[RecordedValue]))</f>
        <v>5</v>
      </c>
    </row>
    <row r="285" spans="1:16" x14ac:dyDescent="0.25">
      <c r="A285" t="s">
        <v>68</v>
      </c>
      <c r="B285" t="s">
        <v>70</v>
      </c>
      <c r="C285">
        <v>26</v>
      </c>
      <c r="D285" t="s">
        <v>113</v>
      </c>
      <c r="E285" t="s">
        <v>114</v>
      </c>
      <c r="F285" t="s">
        <v>95</v>
      </c>
      <c r="G285">
        <v>2.9691201996992499E-2</v>
      </c>
      <c r="H285">
        <v>0</v>
      </c>
      <c r="I285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285" s="5" cm="1">
        <f t="array" ref="J285">MAX(IF((ProjectInfoTable[ProjectName]=OutputTable[[#This Row],[ProjectName]]),(ProjectInfoTable[ProjectName]=OutputTable[[#This Row],[ProjectName]])*ProjectInfoTable[NumberOfReplications]))</f>
        <v>27</v>
      </c>
      <c r="K285" s="5" cm="1">
        <f t="array" ref="K285">IFERROR(AVERAGE(IF((OutputTable[GroupByKey]=OutputTable[[#This Row],[GroupByKey]]),(OutputTable[GroupByKey]=OutputTable[[#This Row],[GroupByKey]])*OutputTable[RecordedValue])),0)</f>
        <v>1.2223949425906553E-2</v>
      </c>
      <c r="L285" s="5" cm="1">
        <f t="array" ref="L285">IFERROR(_xlfn.STDEV.S(IF((OutputTable[GroupByKey]=OutputTable[[#This Row],[GroupByKey]]),(OutputTable[GroupByKey]=OutputTable[[#This Row],[GroupByKey]])*OutputTable[RecordedValue])),0)</f>
        <v>1.112543407769513E-2</v>
      </c>
      <c r="M285" s="5" cm="1">
        <f t="array" ref="M285">MAX(IF((ProjectInfoTable[ProjectName]=OutputTable[[#This Row],[ProjectName]]),(ProjectInfoTable[ProjectName]=OutputTable[[#This Row],[ProjectName]])*ProjectInfoTable[ConfidenceInterval]))</f>
        <v>0.95</v>
      </c>
      <c r="N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285" s="5" cm="1">
        <f t="array" ref="O285">MIN(IF((OutputTable[GroupByKey]=OutputTable[[#This Row],[GroupByKey]]),(OutputTable[GroupByKey]=OutputTable[[#This Row],[GroupByKey]])*OutputTable[RecordedValue]))</f>
        <v>0</v>
      </c>
      <c r="P285" s="5" cm="1">
        <f t="array" ref="P285">MAX(IF((OutputTable[GroupByKey]=OutputTable[[#This Row],[GroupByKey]]),(OutputTable[GroupByKey]=OutputTable[[#This Row],[GroupByKey]])*OutputTable[RecordedValue]))</f>
        <v>4.2906548761083699E-2</v>
      </c>
    </row>
    <row r="286" spans="1:16" x14ac:dyDescent="0.25">
      <c r="A286" t="s">
        <v>68</v>
      </c>
      <c r="B286" t="s">
        <v>70</v>
      </c>
      <c r="C286">
        <v>26</v>
      </c>
      <c r="D286" t="s">
        <v>115</v>
      </c>
      <c r="E286" t="s">
        <v>112</v>
      </c>
      <c r="F286" t="s">
        <v>95</v>
      </c>
      <c r="G286">
        <v>0</v>
      </c>
      <c r="H286">
        <v>0</v>
      </c>
      <c r="I286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286" s="5" cm="1">
        <f t="array" ref="J286">MAX(IF((ProjectInfoTable[ProjectName]=OutputTable[[#This Row],[ProjectName]]),(ProjectInfoTable[ProjectName]=OutputTable[[#This Row],[ProjectName]])*ProjectInfoTable[NumberOfReplications]))</f>
        <v>27</v>
      </c>
      <c r="K286" s="5" cm="1">
        <f t="array" ref="K286">IFERROR(AVERAGE(IF((OutputTable[GroupByKey]=OutputTable[[#This Row],[GroupByKey]]),(OutputTable[GroupByKey]=OutputTable[[#This Row],[GroupByKey]])*OutputTable[RecordedValue])),0)</f>
        <v>3.7037037037037035E-2</v>
      </c>
      <c r="L286" s="5" cm="1">
        <f t="array" ref="L286">IFERROR(_xlfn.STDEV.S(IF((OutputTable[GroupByKey]=OutputTable[[#This Row],[GroupByKey]]),(OutputTable[GroupByKey]=OutputTable[[#This Row],[GroupByKey]])*OutputTable[RecordedValue])),0)</f>
        <v>0.19245008972987526</v>
      </c>
      <c r="M286" s="5" cm="1">
        <f t="array" ref="M286">MAX(IF((ProjectInfoTable[ProjectName]=OutputTable[[#This Row],[ProjectName]]),(ProjectInfoTable[ProjectName]=OutputTable[[#This Row],[ProjectName]])*ProjectInfoTable[ConfidenceInterval]))</f>
        <v>0.95</v>
      </c>
      <c r="N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86" s="5" cm="1">
        <f t="array" ref="O286">MIN(IF((OutputTable[GroupByKey]=OutputTable[[#This Row],[GroupByKey]]),(OutputTable[GroupByKey]=OutputTable[[#This Row],[GroupByKey]])*OutputTable[RecordedValue]))</f>
        <v>0</v>
      </c>
      <c r="P286" s="5" cm="1">
        <f t="array" ref="P286">MAX(IF((OutputTable[GroupByKey]=OutputTable[[#This Row],[GroupByKey]]),(OutputTable[GroupByKey]=OutputTable[[#This Row],[GroupByKey]])*OutputTable[RecordedValue]))</f>
        <v>1</v>
      </c>
    </row>
    <row r="287" spans="1:16" x14ac:dyDescent="0.25">
      <c r="A287" t="s">
        <v>68</v>
      </c>
      <c r="B287" t="s">
        <v>70</v>
      </c>
      <c r="C287">
        <v>26</v>
      </c>
      <c r="D287" t="s">
        <v>116</v>
      </c>
      <c r="E287" t="s">
        <v>114</v>
      </c>
      <c r="F287" t="s">
        <v>95</v>
      </c>
      <c r="G287">
        <v>0</v>
      </c>
      <c r="H287">
        <v>0</v>
      </c>
      <c r="I287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287" s="5" cm="1">
        <f t="array" ref="J287">MAX(IF((ProjectInfoTable[ProjectName]=OutputTable[[#This Row],[ProjectName]]),(ProjectInfoTable[ProjectName]=OutputTable[[#This Row],[ProjectName]])*ProjectInfoTable[NumberOfReplications]))</f>
        <v>27</v>
      </c>
      <c r="K287" s="5" cm="1">
        <f t="array" ref="K287">IFERROR(AVERAGE(IF((OutputTable[GroupByKey]=OutputTable[[#This Row],[GroupByKey]]),(OutputTable[GroupByKey]=OutputTable[[#This Row],[GroupByKey]])*OutputTable[RecordedValue])),0)</f>
        <v>1.5859588837911111E-4</v>
      </c>
      <c r="L287" s="5" cm="1">
        <f t="array" ref="L287">IFERROR(_xlfn.STDEV.S(IF((OutputTable[GroupByKey]=OutputTable[[#This Row],[GroupByKey]]),(OutputTable[GroupByKey]=OutputTable[[#This Row],[GroupByKey]])*OutputTable[RecordedValue])),0)</f>
        <v>8.2408840963242873E-4</v>
      </c>
      <c r="M287" s="5" cm="1">
        <f t="array" ref="M287">MAX(IF((ProjectInfoTable[ProjectName]=OutputTable[[#This Row],[ProjectName]]),(ProjectInfoTable[ProjectName]=OutputTable[[#This Row],[ProjectName]])*ProjectInfoTable[ConfidenceInterval]))</f>
        <v>0.95</v>
      </c>
      <c r="N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287" s="5" cm="1">
        <f t="array" ref="O287">MIN(IF((OutputTable[GroupByKey]=OutputTable[[#This Row],[GroupByKey]]),(OutputTable[GroupByKey]=OutputTable[[#This Row],[GroupByKey]])*OutputTable[RecordedValue]))</f>
        <v>0</v>
      </c>
      <c r="P287" s="5" cm="1">
        <f t="array" ref="P287">MAX(IF((OutputTable[GroupByKey]=OutputTable[[#This Row],[GroupByKey]]),(OutputTable[GroupByKey]=OutputTable[[#This Row],[GroupByKey]])*OutputTable[RecordedValue]))</f>
        <v>4.2820889862359999E-3</v>
      </c>
    </row>
    <row r="288" spans="1:16" x14ac:dyDescent="0.25">
      <c r="A288" t="s">
        <v>68</v>
      </c>
      <c r="B288" t="s">
        <v>70</v>
      </c>
      <c r="C288">
        <v>27</v>
      </c>
      <c r="D288" t="s">
        <v>99</v>
      </c>
      <c r="E288" t="s">
        <v>100</v>
      </c>
      <c r="F288" t="s">
        <v>73</v>
      </c>
      <c r="G288">
        <v>1</v>
      </c>
      <c r="H288">
        <v>0</v>
      </c>
      <c r="I288" s="5" t="str">
        <f>OutputTable[[#This Row],[ProjectName]]&amp;OutputTable[[#This Row],[Name]]&amp;OutputTable[[#This Row],[Type]]&amp;OutputTable[[#This Row],[Source]]</f>
        <v>Escenario AEntity 1.NumberInNumber InEntity</v>
      </c>
      <c r="J288" s="5" cm="1">
        <f t="array" ref="J288">MAX(IF((ProjectInfoTable[ProjectName]=OutputTable[[#This Row],[ProjectName]]),(ProjectInfoTable[ProjectName]=OutputTable[[#This Row],[ProjectName]])*ProjectInfoTable[NumberOfReplications]))</f>
        <v>27</v>
      </c>
      <c r="K288" s="5" cm="1">
        <f t="array" ref="K288">IFERROR(AVERAGE(IF((OutputTable[GroupByKey]=OutputTable[[#This Row],[GroupByKey]]),(OutputTable[GroupByKey]=OutputTable[[#This Row],[GroupByKey]])*OutputTable[RecordedValue])),0)</f>
        <v>1.2962962962962963</v>
      </c>
      <c r="L288" s="5" cm="1">
        <f t="array" ref="L288">IFERROR(_xlfn.STDEV.S(IF((OutputTable[GroupByKey]=OutputTable[[#This Row],[GroupByKey]]),(OutputTable[GroupByKey]=OutputTable[[#This Row],[GroupByKey]])*OutputTable[RecordedValue])),0)</f>
        <v>1.1706281947614154</v>
      </c>
      <c r="M288" s="5" cm="1">
        <f t="array" ref="M288">MAX(IF((ProjectInfoTable[ProjectName]=OutputTable[[#This Row],[ProjectName]]),(ProjectInfoTable[ProjectName]=OutputTable[[#This Row],[ProjectName]])*ProjectInfoTable[ConfidenceInterval]))</f>
        <v>0.95</v>
      </c>
      <c r="N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288" s="5" cm="1">
        <f t="array" ref="O288">MIN(IF((OutputTable[GroupByKey]=OutputTable[[#This Row],[GroupByKey]]),(OutputTable[GroupByKey]=OutputTable[[#This Row],[GroupByKey]])*OutputTable[RecordedValue]))</f>
        <v>0</v>
      </c>
      <c r="P288" s="5" cm="1">
        <f t="array" ref="P288">MAX(IF((OutputTable[GroupByKey]=OutputTable[[#This Row],[GroupByKey]]),(OutputTable[GroupByKey]=OutputTable[[#This Row],[GroupByKey]])*OutputTable[RecordedValue]))</f>
        <v>5</v>
      </c>
    </row>
    <row r="289" spans="1:16" x14ac:dyDescent="0.25">
      <c r="A289" t="s">
        <v>68</v>
      </c>
      <c r="B289" t="s">
        <v>70</v>
      </c>
      <c r="C289">
        <v>27</v>
      </c>
      <c r="D289" t="s">
        <v>101</v>
      </c>
      <c r="E289" t="s">
        <v>102</v>
      </c>
      <c r="F289" t="s">
        <v>73</v>
      </c>
      <c r="G289">
        <v>1</v>
      </c>
      <c r="H289">
        <v>0</v>
      </c>
      <c r="I289" s="5" t="str">
        <f>OutputTable[[#This Row],[ProjectName]]&amp;OutputTable[[#This Row],[Name]]&amp;OutputTable[[#This Row],[Type]]&amp;OutputTable[[#This Row],[Source]]</f>
        <v>Escenario AEntity 1.NumberOutNumber OutEntity</v>
      </c>
      <c r="J289" s="5" cm="1">
        <f t="array" ref="J289">MAX(IF((ProjectInfoTable[ProjectName]=OutputTable[[#This Row],[ProjectName]]),(ProjectInfoTable[ProjectName]=OutputTable[[#This Row],[ProjectName]])*ProjectInfoTable[NumberOfReplications]))</f>
        <v>27</v>
      </c>
      <c r="K289" s="5" cm="1">
        <f t="array" ref="K289">IFERROR(AVERAGE(IF((OutputTable[GroupByKey]=OutputTable[[#This Row],[GroupByKey]]),(OutputTable[GroupByKey]=OutputTable[[#This Row],[GroupByKey]])*OutputTable[RecordedValue])),0)</f>
        <v>1.1851851851851851</v>
      </c>
      <c r="L289" s="5" cm="1">
        <f t="array" ref="L289">IFERROR(_xlfn.STDEV.S(IF((OutputTable[GroupByKey]=OutputTable[[#This Row],[GroupByKey]]),(OutputTable[GroupByKey]=OutputTable[[#This Row],[GroupByKey]])*OutputTable[RecordedValue])),0)</f>
        <v>1.0754976321197349</v>
      </c>
      <c r="M289" s="5" cm="1">
        <f t="array" ref="M289">MAX(IF((ProjectInfoTable[ProjectName]=OutputTable[[#This Row],[ProjectName]]),(ProjectInfoTable[ProjectName]=OutputTable[[#This Row],[ProjectName]])*ProjectInfoTable[ConfidenceInterval]))</f>
        <v>0.95</v>
      </c>
      <c r="N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289" s="5" cm="1">
        <f t="array" ref="O289">MIN(IF((OutputTable[GroupByKey]=OutputTable[[#This Row],[GroupByKey]]),(OutputTable[GroupByKey]=OutputTable[[#This Row],[GroupByKey]])*OutputTable[RecordedValue]))</f>
        <v>0</v>
      </c>
      <c r="P289" s="5" cm="1">
        <f t="array" ref="P289">MAX(IF((OutputTable[GroupByKey]=OutputTable[[#This Row],[GroupByKey]]),(OutputTable[GroupByKey]=OutputTable[[#This Row],[GroupByKey]])*OutputTable[RecordedValue]))</f>
        <v>4</v>
      </c>
    </row>
    <row r="290" spans="1:16" x14ac:dyDescent="0.25">
      <c r="A290" t="s">
        <v>68</v>
      </c>
      <c r="B290" t="s">
        <v>70</v>
      </c>
      <c r="C290">
        <v>27</v>
      </c>
      <c r="D290" t="s">
        <v>103</v>
      </c>
      <c r="E290" t="s">
        <v>104</v>
      </c>
      <c r="F290" t="s">
        <v>87</v>
      </c>
      <c r="G290">
        <v>0</v>
      </c>
      <c r="H290">
        <v>0</v>
      </c>
      <c r="I290" s="5" t="str">
        <f>OutputTable[[#This Row],[ProjectName]]&amp;OutputTable[[#This Row],[Name]]&amp;OutputTable[[#This Row],[Type]]&amp;OutputTable[[#This Row],[Source]]</f>
        <v>Escenario ASeguimiemto Accum VA TimeAccum VA TimeProcess</v>
      </c>
      <c r="J290" s="5" cm="1">
        <f t="array" ref="J290">MAX(IF((ProjectInfoTable[ProjectName]=OutputTable[[#This Row],[ProjectName]]),(ProjectInfoTable[ProjectName]=OutputTable[[#This Row],[ProjectName]])*ProjectInfoTable[NumberOfReplications]))</f>
        <v>27</v>
      </c>
      <c r="K290" s="5" cm="1">
        <f t="array" ref="K290">IFERROR(AVERAGE(IF((OutputTable[GroupByKey]=OutputTable[[#This Row],[GroupByKey]]),(OutputTable[GroupByKey]=OutputTable[[#This Row],[GroupByKey]])*OutputTable[RecordedValue])),0)</f>
        <v>9.5157533027466656E-2</v>
      </c>
      <c r="L290" s="5" cm="1">
        <f t="array" ref="L290">IFERROR(_xlfn.STDEV.S(IF((OutputTable[GroupByKey]=OutputTable[[#This Row],[GroupByKey]]),(OutputTable[GroupByKey]=OutputTable[[#This Row],[GroupByKey]])*OutputTable[RecordedValue])),0)</f>
        <v>0.4944530457794572</v>
      </c>
      <c r="M290" s="5" cm="1">
        <f t="array" ref="M290">MAX(IF((ProjectInfoTable[ProjectName]=OutputTable[[#This Row],[ProjectName]]),(ProjectInfoTable[ProjectName]=OutputTable[[#This Row],[ProjectName]])*ProjectInfoTable[ConfidenceInterval]))</f>
        <v>0.95</v>
      </c>
      <c r="N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0.19559911044658918</v>
      </c>
      <c r="O290" s="5" cm="1">
        <f t="array" ref="O290">MIN(IF((OutputTable[GroupByKey]=OutputTable[[#This Row],[GroupByKey]]),(OutputTable[GroupByKey]=OutputTable[[#This Row],[GroupByKey]])*OutputTable[RecordedValue]))</f>
        <v>0</v>
      </c>
      <c r="P290" s="5" cm="1">
        <f t="array" ref="P290">MAX(IF((OutputTable[GroupByKey]=OutputTable[[#This Row],[GroupByKey]]),(OutputTable[GroupByKey]=OutputTable[[#This Row],[GroupByKey]])*OutputTable[RecordedValue]))</f>
        <v>2.5692533917415998</v>
      </c>
    </row>
    <row r="291" spans="1:16" x14ac:dyDescent="0.25">
      <c r="A291" t="s">
        <v>68</v>
      </c>
      <c r="B291" t="s">
        <v>70</v>
      </c>
      <c r="C291">
        <v>27</v>
      </c>
      <c r="D291" t="s">
        <v>105</v>
      </c>
      <c r="E291" t="s">
        <v>106</v>
      </c>
      <c r="F291" t="s">
        <v>87</v>
      </c>
      <c r="G291">
        <v>0</v>
      </c>
      <c r="H291">
        <v>0</v>
      </c>
      <c r="I291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291" s="5" cm="1">
        <f t="array" ref="J291">MAX(IF((ProjectInfoTable[ProjectName]=OutputTable[[#This Row],[ProjectName]]),(ProjectInfoTable[ProjectName]=OutputTable[[#This Row],[ProjectName]])*ProjectInfoTable[NumberOfReplications]))</f>
        <v>27</v>
      </c>
      <c r="K291" s="5" cm="1">
        <f t="array" ref="K291">IFERROR(AVERAGE(IF((OutputTable[GroupByKey]=OutputTable[[#This Row],[GroupByKey]]),(OutputTable[GroupByKey]=OutputTable[[#This Row],[GroupByKey]])*OutputTable[RecordedValue])),0)</f>
        <v>0</v>
      </c>
      <c r="L291" s="5" cm="1">
        <f t="array" ref="L291">IFERROR(_xlfn.STDEV.S(IF((OutputTable[GroupByKey]=OutputTable[[#This Row],[GroupByKey]]),(OutputTable[GroupByKey]=OutputTable[[#This Row],[GroupByKey]])*OutputTable[RecordedValue])),0)</f>
        <v>0</v>
      </c>
      <c r="M291" s="5" cm="1">
        <f t="array" ref="M291">MAX(IF((ProjectInfoTable[ProjectName]=OutputTable[[#This Row],[ProjectName]]),(ProjectInfoTable[ProjectName]=OutputTable[[#This Row],[ProjectName]])*ProjectInfoTable[ConfidenceInterval]))</f>
        <v>0.95</v>
      </c>
      <c r="N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1" s="5" cm="1">
        <f t="array" ref="O291">MIN(IF((OutputTable[GroupByKey]=OutputTable[[#This Row],[GroupByKey]]),(OutputTable[GroupByKey]=OutputTable[[#This Row],[GroupByKey]])*OutputTable[RecordedValue]))</f>
        <v>0</v>
      </c>
      <c r="P291" s="5" cm="1">
        <f t="array" ref="P291">MAX(IF((OutputTable[GroupByKey]=OutputTable[[#This Row],[GroupByKey]]),(OutputTable[GroupByKey]=OutputTable[[#This Row],[GroupByKey]])*OutputTable[RecordedValue]))</f>
        <v>0</v>
      </c>
    </row>
    <row r="292" spans="1:16" x14ac:dyDescent="0.25">
      <c r="A292" t="s">
        <v>68</v>
      </c>
      <c r="B292" t="s">
        <v>70</v>
      </c>
      <c r="C292">
        <v>27</v>
      </c>
      <c r="D292" t="s">
        <v>107</v>
      </c>
      <c r="E292" t="s">
        <v>100</v>
      </c>
      <c r="F292" t="s">
        <v>87</v>
      </c>
      <c r="G292">
        <v>0</v>
      </c>
      <c r="H292">
        <v>0</v>
      </c>
      <c r="I292" s="5" t="str">
        <f>OutputTable[[#This Row],[ProjectName]]&amp;OutputTable[[#This Row],[Name]]&amp;OutputTable[[#This Row],[Type]]&amp;OutputTable[[#This Row],[Source]]</f>
        <v>Escenario ASeguimiemto Number InNumber InProcess</v>
      </c>
      <c r="J292" s="5" cm="1">
        <f t="array" ref="J292">MAX(IF((ProjectInfoTable[ProjectName]=OutputTable[[#This Row],[ProjectName]]),(ProjectInfoTable[ProjectName]=OutputTable[[#This Row],[ProjectName]])*ProjectInfoTable[NumberOfReplications]))</f>
        <v>27</v>
      </c>
      <c r="K292" s="5" cm="1">
        <f t="array" ref="K292">IFERROR(AVERAGE(IF((OutputTable[GroupByKey]=OutputTable[[#This Row],[GroupByKey]]),(OutputTable[GroupByKey]=OutputTable[[#This Row],[GroupByKey]])*OutputTable[RecordedValue])),0)</f>
        <v>3.7037037037037035E-2</v>
      </c>
      <c r="L292" s="5" cm="1">
        <f t="array" ref="L292">IFERROR(_xlfn.STDEV.S(IF((OutputTable[GroupByKey]=OutputTable[[#This Row],[GroupByKey]]),(OutputTable[GroupByKey]=OutputTable[[#This Row],[GroupByKey]])*OutputTable[RecordedValue])),0)</f>
        <v>0.19245008972987526</v>
      </c>
      <c r="M292" s="5" cm="1">
        <f t="array" ref="M292">MAX(IF((ProjectInfoTable[ProjectName]=OutputTable[[#This Row],[ProjectName]]),(ProjectInfoTable[ProjectName]=OutputTable[[#This Row],[ProjectName]])*ProjectInfoTable[ConfidenceInterval]))</f>
        <v>0.95</v>
      </c>
      <c r="N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92" s="5" cm="1">
        <f t="array" ref="O292">MIN(IF((OutputTable[GroupByKey]=OutputTable[[#This Row],[GroupByKey]]),(OutputTable[GroupByKey]=OutputTable[[#This Row],[GroupByKey]])*OutputTable[RecordedValue]))</f>
        <v>0</v>
      </c>
      <c r="P292" s="5" cm="1">
        <f t="array" ref="P292">MAX(IF((OutputTable[GroupByKey]=OutputTable[[#This Row],[GroupByKey]]),(OutputTable[GroupByKey]=OutputTable[[#This Row],[GroupByKey]])*OutputTable[RecordedValue]))</f>
        <v>1</v>
      </c>
    </row>
    <row r="293" spans="1:16" x14ac:dyDescent="0.25">
      <c r="A293" t="s">
        <v>68</v>
      </c>
      <c r="B293" t="s">
        <v>70</v>
      </c>
      <c r="C293">
        <v>27</v>
      </c>
      <c r="D293" t="s">
        <v>108</v>
      </c>
      <c r="E293" t="s">
        <v>102</v>
      </c>
      <c r="F293" t="s">
        <v>87</v>
      </c>
      <c r="G293">
        <v>0</v>
      </c>
      <c r="H293">
        <v>0</v>
      </c>
      <c r="I293" s="5" t="str">
        <f>OutputTable[[#This Row],[ProjectName]]&amp;OutputTable[[#This Row],[Name]]&amp;OutputTable[[#This Row],[Type]]&amp;OutputTable[[#This Row],[Source]]</f>
        <v>Escenario ASeguimiemto Number OutNumber OutProcess</v>
      </c>
      <c r="J293" s="5" cm="1">
        <f t="array" ref="J293">MAX(IF((ProjectInfoTable[ProjectName]=OutputTable[[#This Row],[ProjectName]]),(ProjectInfoTable[ProjectName]=OutputTable[[#This Row],[ProjectName]])*ProjectInfoTable[NumberOfReplications]))</f>
        <v>27</v>
      </c>
      <c r="K293" s="5" cm="1">
        <f t="array" ref="K293">IFERROR(AVERAGE(IF((OutputTable[GroupByKey]=OutputTable[[#This Row],[GroupByKey]]),(OutputTable[GroupByKey]=OutputTable[[#This Row],[GroupByKey]])*OutputTable[RecordedValue])),0)</f>
        <v>3.7037037037037035E-2</v>
      </c>
      <c r="L293" s="5" cm="1">
        <f t="array" ref="L293">IFERROR(_xlfn.STDEV.S(IF((OutputTable[GroupByKey]=OutputTable[[#This Row],[GroupByKey]]),(OutputTable[GroupByKey]=OutputTable[[#This Row],[GroupByKey]])*OutputTable[RecordedValue])),0)</f>
        <v>0.19245008972987526</v>
      </c>
      <c r="M293" s="5" cm="1">
        <f t="array" ref="M293">MAX(IF((ProjectInfoTable[ProjectName]=OutputTable[[#This Row],[ProjectName]]),(ProjectInfoTable[ProjectName]=OutputTable[[#This Row],[ProjectName]])*ProjectInfoTable[ConfidenceInterval]))</f>
        <v>0.95</v>
      </c>
      <c r="N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93" s="5" cm="1">
        <f t="array" ref="O293">MIN(IF((OutputTable[GroupByKey]=OutputTable[[#This Row],[GroupByKey]]),(OutputTable[GroupByKey]=OutputTable[[#This Row],[GroupByKey]])*OutputTable[RecordedValue]))</f>
        <v>0</v>
      </c>
      <c r="P293" s="5" cm="1">
        <f t="array" ref="P293">MAX(IF((OutputTable[GroupByKey]=OutputTable[[#This Row],[GroupByKey]]),(OutputTable[GroupByKey]=OutputTable[[#This Row],[GroupByKey]])*OutputTable[RecordedValue]))</f>
        <v>1</v>
      </c>
    </row>
    <row r="294" spans="1:16" x14ac:dyDescent="0.25">
      <c r="A294" t="s">
        <v>68</v>
      </c>
      <c r="B294" t="s">
        <v>70</v>
      </c>
      <c r="C294">
        <v>27</v>
      </c>
      <c r="D294" t="s">
        <v>109</v>
      </c>
      <c r="E294" t="s">
        <v>102</v>
      </c>
      <c r="F294" t="s">
        <v>110</v>
      </c>
      <c r="G294">
        <v>1</v>
      </c>
      <c r="H294">
        <v>0</v>
      </c>
      <c r="I294" s="5" t="str">
        <f>OutputTable[[#This Row],[ProjectName]]&amp;OutputTable[[#This Row],[Name]]&amp;OutputTable[[#This Row],[Type]]&amp;OutputTable[[#This Row],[Source]]</f>
        <v>Escenario ASystem.NumberOutNumber OutSystem</v>
      </c>
      <c r="J294" s="5" cm="1">
        <f t="array" ref="J294">MAX(IF((ProjectInfoTable[ProjectName]=OutputTable[[#This Row],[ProjectName]]),(ProjectInfoTable[ProjectName]=OutputTable[[#This Row],[ProjectName]])*ProjectInfoTable[NumberOfReplications]))</f>
        <v>27</v>
      </c>
      <c r="K294" s="5" cm="1">
        <f t="array" ref="K294">IFERROR(AVERAGE(IF((OutputTable[GroupByKey]=OutputTable[[#This Row],[GroupByKey]]),(OutputTable[GroupByKey]=OutputTable[[#This Row],[GroupByKey]])*OutputTable[RecordedValue])),0)</f>
        <v>1.1851851851851851</v>
      </c>
      <c r="L294" s="5" cm="1">
        <f t="array" ref="L294">IFERROR(_xlfn.STDEV.S(IF((OutputTable[GroupByKey]=OutputTable[[#This Row],[GroupByKey]]),(OutputTable[GroupByKey]=OutputTable[[#This Row],[GroupByKey]])*OutputTable[RecordedValue])),0)</f>
        <v>1.0754976321197349</v>
      </c>
      <c r="M294" s="5" cm="1">
        <f t="array" ref="M294">MAX(IF((ProjectInfoTable[ProjectName]=OutputTable[[#This Row],[ProjectName]]),(ProjectInfoTable[ProjectName]=OutputTable[[#This Row],[ProjectName]])*ProjectInfoTable[ConfidenceInterval]))</f>
        <v>0.95</v>
      </c>
      <c r="N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0.42545269348763143</v>
      </c>
      <c r="O294" s="5" cm="1">
        <f t="array" ref="O294">MIN(IF((OutputTable[GroupByKey]=OutputTable[[#This Row],[GroupByKey]]),(OutputTable[GroupByKey]=OutputTable[[#This Row],[GroupByKey]])*OutputTable[RecordedValue]))</f>
        <v>0</v>
      </c>
      <c r="P294" s="5" cm="1">
        <f t="array" ref="P294">MAX(IF((OutputTable[GroupByKey]=OutputTable[[#This Row],[GroupByKey]]),(OutputTable[GroupByKey]=OutputTable[[#This Row],[GroupByKey]])*OutputTable[RecordedValue]))</f>
        <v>4</v>
      </c>
    </row>
    <row r="295" spans="1:16" x14ac:dyDescent="0.25">
      <c r="A295" t="s">
        <v>68</v>
      </c>
      <c r="B295" t="s">
        <v>70</v>
      </c>
      <c r="C295">
        <v>27</v>
      </c>
      <c r="D295" t="s">
        <v>111</v>
      </c>
      <c r="E295" t="s">
        <v>112</v>
      </c>
      <c r="F295" t="s">
        <v>95</v>
      </c>
      <c r="G295">
        <v>1</v>
      </c>
      <c r="H295">
        <v>0</v>
      </c>
      <c r="I295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295" s="5" cm="1">
        <f t="array" ref="J295">MAX(IF((ProjectInfoTable[ProjectName]=OutputTable[[#This Row],[ProjectName]]),(ProjectInfoTable[ProjectName]=OutputTable[[#This Row],[ProjectName]])*ProjectInfoTable[NumberOfReplications]))</f>
        <v>27</v>
      </c>
      <c r="K295" s="5" cm="1">
        <f t="array" ref="K295">IFERROR(AVERAGE(IF((OutputTable[GroupByKey]=OutputTable[[#This Row],[GroupByKey]]),(OutputTable[GroupByKey]=OutputTable[[#This Row],[GroupByKey]])*OutputTable[RecordedValue])),0)</f>
        <v>1.2962962962962963</v>
      </c>
      <c r="L295" s="5" cm="1">
        <f t="array" ref="L295">IFERROR(_xlfn.STDEV.S(IF((OutputTable[GroupByKey]=OutputTable[[#This Row],[GroupByKey]]),(OutputTable[GroupByKey]=OutputTable[[#This Row],[GroupByKey]])*OutputTable[RecordedValue])),0)</f>
        <v>1.1706281947614154</v>
      </c>
      <c r="M295" s="5" cm="1">
        <f t="array" ref="M295">MAX(IF((ProjectInfoTable[ProjectName]=OutputTable[[#This Row],[ProjectName]]),(ProjectInfoTable[ProjectName]=OutputTable[[#This Row],[ProjectName]])*ProjectInfoTable[ConfidenceInterval]))</f>
        <v>0.95</v>
      </c>
      <c r="N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0.46308509071488152</v>
      </c>
      <c r="O295" s="5" cm="1">
        <f t="array" ref="O295">MIN(IF((OutputTable[GroupByKey]=OutputTable[[#This Row],[GroupByKey]]),(OutputTable[GroupByKey]=OutputTable[[#This Row],[GroupByKey]])*OutputTable[RecordedValue]))</f>
        <v>0</v>
      </c>
      <c r="P295" s="5" cm="1">
        <f t="array" ref="P295">MAX(IF((OutputTable[GroupByKey]=OutputTable[[#This Row],[GroupByKey]]),(OutputTable[GroupByKey]=OutputTable[[#This Row],[GroupByKey]])*OutputTable[RecordedValue]))</f>
        <v>5</v>
      </c>
    </row>
    <row r="296" spans="1:16" x14ac:dyDescent="0.25">
      <c r="A296" t="s">
        <v>68</v>
      </c>
      <c r="B296" t="s">
        <v>70</v>
      </c>
      <c r="C296">
        <v>27</v>
      </c>
      <c r="D296" t="s">
        <v>113</v>
      </c>
      <c r="E296" t="s">
        <v>114</v>
      </c>
      <c r="F296" t="s">
        <v>95</v>
      </c>
      <c r="G296">
        <v>1.03139585215707E-2</v>
      </c>
      <c r="H296">
        <v>0</v>
      </c>
      <c r="I296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296" s="5" cm="1">
        <f t="array" ref="J296">MAX(IF((ProjectInfoTable[ProjectName]=OutputTable[[#This Row],[ProjectName]]),(ProjectInfoTable[ProjectName]=OutputTable[[#This Row],[ProjectName]])*ProjectInfoTable[NumberOfReplications]))</f>
        <v>27</v>
      </c>
      <c r="K296" s="5" cm="1">
        <f t="array" ref="K296">IFERROR(AVERAGE(IF((OutputTable[GroupByKey]=OutputTable[[#This Row],[GroupByKey]]),(OutputTable[GroupByKey]=OutputTable[[#This Row],[GroupByKey]])*OutputTable[RecordedValue])),0)</f>
        <v>1.2223949425906553E-2</v>
      </c>
      <c r="L296" s="5" cm="1">
        <f t="array" ref="L296">IFERROR(_xlfn.STDEV.S(IF((OutputTable[GroupByKey]=OutputTable[[#This Row],[GroupByKey]]),(OutputTable[GroupByKey]=OutputTable[[#This Row],[GroupByKey]])*OutputTable[RecordedValue])),0)</f>
        <v>1.112543407769513E-2</v>
      </c>
      <c r="M296" s="5" cm="1">
        <f t="array" ref="M296">MAX(IF((ProjectInfoTable[ProjectName]=OutputTable[[#This Row],[ProjectName]]),(ProjectInfoTable[ProjectName]=OutputTable[[#This Row],[ProjectName]])*ProjectInfoTable[ConfidenceInterval]))</f>
        <v>0.95</v>
      </c>
      <c r="N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4.4010751425322646E-3</v>
      </c>
      <c r="O296" s="5" cm="1">
        <f t="array" ref="O296">MIN(IF((OutputTable[GroupByKey]=OutputTable[[#This Row],[GroupByKey]]),(OutputTable[GroupByKey]=OutputTable[[#This Row],[GroupByKey]])*OutputTable[RecordedValue]))</f>
        <v>0</v>
      </c>
      <c r="P296" s="5" cm="1">
        <f t="array" ref="P296">MAX(IF((OutputTable[GroupByKey]=OutputTable[[#This Row],[GroupByKey]]),(OutputTable[GroupByKey]=OutputTable[[#This Row],[GroupByKey]])*OutputTable[RecordedValue]))</f>
        <v>4.2906548761083699E-2</v>
      </c>
    </row>
    <row r="297" spans="1:16" x14ac:dyDescent="0.25">
      <c r="A297" t="s">
        <v>68</v>
      </c>
      <c r="B297" t="s">
        <v>70</v>
      </c>
      <c r="C297">
        <v>27</v>
      </c>
      <c r="D297" t="s">
        <v>115</v>
      </c>
      <c r="E297" t="s">
        <v>112</v>
      </c>
      <c r="F297" t="s">
        <v>95</v>
      </c>
      <c r="G297">
        <v>0</v>
      </c>
      <c r="H297">
        <v>0</v>
      </c>
      <c r="I297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297" s="5" cm="1">
        <f t="array" ref="J297">MAX(IF((ProjectInfoTable[ProjectName]=OutputTable[[#This Row],[ProjectName]]),(ProjectInfoTable[ProjectName]=OutputTable[[#This Row],[ProjectName]])*ProjectInfoTable[NumberOfReplications]))</f>
        <v>27</v>
      </c>
      <c r="K297" s="5" cm="1">
        <f t="array" ref="K297">IFERROR(AVERAGE(IF((OutputTable[GroupByKey]=OutputTable[[#This Row],[GroupByKey]]),(OutputTable[GroupByKey]=OutputTable[[#This Row],[GroupByKey]])*OutputTable[RecordedValue])),0)</f>
        <v>3.7037037037037035E-2</v>
      </c>
      <c r="L297" s="5" cm="1">
        <f t="array" ref="L297">IFERROR(_xlfn.STDEV.S(IF((OutputTable[GroupByKey]=OutputTable[[#This Row],[GroupByKey]]),(OutputTable[GroupByKey]=OutputTable[[#This Row],[GroupByKey]])*OutputTable[RecordedValue])),0)</f>
        <v>0.19245008972987526</v>
      </c>
      <c r="M297" s="5" cm="1">
        <f t="array" ref="M297">MAX(IF((ProjectInfoTable[ProjectName]=OutputTable[[#This Row],[ProjectName]]),(ProjectInfoTable[ProjectName]=OutputTable[[#This Row],[ProjectName]])*ProjectInfoTable[ConfidenceInterval]))</f>
        <v>0.95</v>
      </c>
      <c r="N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7.6130719949736039E-2</v>
      </c>
      <c r="O297" s="5" cm="1">
        <f t="array" ref="O297">MIN(IF((OutputTable[GroupByKey]=OutputTable[[#This Row],[GroupByKey]]),(OutputTable[GroupByKey]=OutputTable[[#This Row],[GroupByKey]])*OutputTable[RecordedValue]))</f>
        <v>0</v>
      </c>
      <c r="P297" s="5" cm="1">
        <f t="array" ref="P297">MAX(IF((OutputTable[GroupByKey]=OutputTable[[#This Row],[GroupByKey]]),(OutputTable[GroupByKey]=OutputTable[[#This Row],[GroupByKey]])*OutputTable[RecordedValue]))</f>
        <v>1</v>
      </c>
    </row>
    <row r="298" spans="1:16" x14ac:dyDescent="0.25">
      <c r="A298" t="s">
        <v>68</v>
      </c>
      <c r="B298" t="s">
        <v>70</v>
      </c>
      <c r="C298">
        <v>27</v>
      </c>
      <c r="D298" t="s">
        <v>116</v>
      </c>
      <c r="E298" t="s">
        <v>114</v>
      </c>
      <c r="F298" t="s">
        <v>95</v>
      </c>
      <c r="G298">
        <v>0</v>
      </c>
      <c r="H298">
        <v>0</v>
      </c>
      <c r="I298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298" s="5" cm="1">
        <f t="array" ref="J298">MAX(IF((ProjectInfoTable[ProjectName]=OutputTable[[#This Row],[ProjectName]]),(ProjectInfoTable[ProjectName]=OutputTable[[#This Row],[ProjectName]])*ProjectInfoTable[NumberOfReplications]))</f>
        <v>27</v>
      </c>
      <c r="K298" s="5" cm="1">
        <f t="array" ref="K298">IFERROR(AVERAGE(IF((OutputTable[GroupByKey]=OutputTable[[#This Row],[GroupByKey]]),(OutputTable[GroupByKey]=OutputTable[[#This Row],[GroupByKey]])*OutputTable[RecordedValue])),0)</f>
        <v>1.5859588837911111E-4</v>
      </c>
      <c r="L298" s="5" cm="1">
        <f t="array" ref="L298">IFERROR(_xlfn.STDEV.S(IF((OutputTable[GroupByKey]=OutputTable[[#This Row],[GroupByKey]]),(OutputTable[GroupByKey]=OutputTable[[#This Row],[GroupByKey]])*OutputTable[RecordedValue])),0)</f>
        <v>8.2408840963242873E-4</v>
      </c>
      <c r="M298" s="5" cm="1">
        <f t="array" ref="M298">MAX(IF((ProjectInfoTable[ProjectName]=OutputTable[[#This Row],[ProjectName]]),(ProjectInfoTable[ProjectName]=OutputTable[[#This Row],[ProjectName]])*ProjectInfoTable[ConfidenceInterval]))</f>
        <v>0.95</v>
      </c>
      <c r="N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3.2599851741098198E-4</v>
      </c>
      <c r="O298" s="5" cm="1">
        <f t="array" ref="O298">MIN(IF((OutputTable[GroupByKey]=OutputTable[[#This Row],[GroupByKey]]),(OutputTable[GroupByKey]=OutputTable[[#This Row],[GroupByKey]])*OutputTable[RecordedValue]))</f>
        <v>0</v>
      </c>
      <c r="P298" s="5" cm="1">
        <f t="array" ref="P298">MAX(IF((OutputTable[GroupByKey]=OutputTable[[#This Row],[GroupByKey]]),(OutputTable[GroupByKey]=OutputTable[[#This Row],[GroupByKey]])*OutputTable[RecordedValue]))</f>
        <v>4.2820889862359999E-3</v>
      </c>
    </row>
  </sheetData>
  <phoneticPr fontId="2" type="noConversion"/>
  <conditionalFormatting sqref="I2:P298">
    <cfRule type="expression" dxfId="3" priority="2">
      <formula>MOD(ROW(),2)=0</formula>
    </cfRule>
  </conditionalFormatting>
  <conditionalFormatting sqref="N2:N298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Nestor Andres Tabares David</cp:lastModifiedBy>
  <cp:lastPrinted>2022-03-22T10:33:10Z</cp:lastPrinted>
  <dcterms:created xsi:type="dcterms:W3CDTF">2020-06-29T21:30:31Z</dcterms:created>
  <dcterms:modified xsi:type="dcterms:W3CDTF">2025-05-22T16:26:45Z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
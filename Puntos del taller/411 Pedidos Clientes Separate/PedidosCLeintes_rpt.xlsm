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11 Pedidos Clientes Separate/"/>
    </mc:Choice>
  </mc:AlternateContent>
  <xr:revisionPtr revIDLastSave="9" documentId="6_{8318468B-D9F3-4C24-89AE-B79EBA8752E8}" xr6:coauthVersionLast="47" xr6:coauthVersionMax="47" xr10:uidLastSave="{CECF18BF-D9E2-452E-91E8-E5C2E3C0CD13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ContinuousTimeStatsByRep!$A$1:$L$481</definedName>
    <definedName name="ExternalData_1" localSheetId="4" hidden="1">CounterStatsByRep!$A$1:$G$2</definedName>
    <definedName name="ExternalData_1" localSheetId="2" hidden="1">DiscreteTimeStatsByRep!$A$1:$K$751</definedName>
    <definedName name="ExternalData_1" localSheetId="6" hidden="1">FrequencyStatsByRep!$A$1:$K$2</definedName>
    <definedName name="ExternalData_1" localSheetId="5" hidden="1">OutputStatsByRep!$A$1:$H$751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I541" i="20"/>
  <c r="I542" i="20"/>
  <c r="I543" i="20"/>
  <c r="I544" i="20"/>
  <c r="I545" i="20"/>
  <c r="I546" i="20"/>
  <c r="I547" i="20"/>
  <c r="I548" i="20"/>
  <c r="I549" i="20"/>
  <c r="I550" i="20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I565" i="20"/>
  <c r="I566" i="20"/>
  <c r="I567" i="20"/>
  <c r="I568" i="20"/>
  <c r="I569" i="20"/>
  <c r="I570" i="20"/>
  <c r="I571" i="20"/>
  <c r="I572" i="20"/>
  <c r="I573" i="20"/>
  <c r="I574" i="20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I661" i="20"/>
  <c r="I662" i="20"/>
  <c r="I663" i="20"/>
  <c r="I664" i="20"/>
  <c r="I665" i="20"/>
  <c r="I666" i="20"/>
  <c r="I667" i="20"/>
  <c r="I668" i="20"/>
  <c r="I669" i="20"/>
  <c r="I670" i="20"/>
  <c r="I671" i="20"/>
  <c r="I672" i="20"/>
  <c r="I673" i="20"/>
  <c r="I674" i="20"/>
  <c r="I675" i="20"/>
  <c r="I676" i="20"/>
  <c r="I677" i="20"/>
  <c r="I678" i="20"/>
  <c r="I679" i="20"/>
  <c r="I680" i="20"/>
  <c r="I681" i="20"/>
  <c r="I682" i="20"/>
  <c r="I683" i="20"/>
  <c r="I684" i="20"/>
  <c r="I685" i="20"/>
  <c r="I686" i="20"/>
  <c r="I687" i="20"/>
  <c r="I688" i="20"/>
  <c r="I689" i="20"/>
  <c r="I690" i="20"/>
  <c r="I691" i="20"/>
  <c r="I692" i="20"/>
  <c r="I693" i="20"/>
  <c r="I694" i="20"/>
  <c r="I695" i="20"/>
  <c r="I696" i="20"/>
  <c r="I697" i="20"/>
  <c r="I698" i="20"/>
  <c r="I699" i="20"/>
  <c r="I700" i="20"/>
  <c r="I701" i="20"/>
  <c r="I702" i="20"/>
  <c r="I703" i="20"/>
  <c r="I704" i="20"/>
  <c r="I705" i="20"/>
  <c r="I706" i="20"/>
  <c r="I707" i="20"/>
  <c r="I708" i="20"/>
  <c r="I709" i="20"/>
  <c r="I710" i="20"/>
  <c r="I711" i="20"/>
  <c r="I712" i="20"/>
  <c r="I713" i="20"/>
  <c r="I714" i="20"/>
  <c r="I715" i="20"/>
  <c r="I716" i="20"/>
  <c r="I717" i="20"/>
  <c r="I718" i="20"/>
  <c r="I719" i="20"/>
  <c r="I720" i="20"/>
  <c r="I721" i="20"/>
  <c r="I722" i="20"/>
  <c r="I723" i="20"/>
  <c r="I724" i="20"/>
  <c r="I725" i="20"/>
  <c r="I726" i="20"/>
  <c r="I727" i="20"/>
  <c r="I728" i="20"/>
  <c r="I729" i="20"/>
  <c r="I730" i="20"/>
  <c r="I731" i="20"/>
  <c r="I732" i="20"/>
  <c r="I733" i="20"/>
  <c r="I734" i="20"/>
  <c r="I735" i="20"/>
  <c r="I736" i="20"/>
  <c r="I737" i="20"/>
  <c r="I738" i="20"/>
  <c r="I739" i="20"/>
  <c r="I740" i="20"/>
  <c r="I741" i="20"/>
  <c r="I742" i="20"/>
  <c r="I743" i="20"/>
  <c r="I744" i="20"/>
  <c r="I745" i="20"/>
  <c r="I746" i="20"/>
  <c r="I747" i="20"/>
  <c r="I748" i="20"/>
  <c r="I749" i="20"/>
  <c r="I750" i="20"/>
  <c r="I7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/>
  <c r="J173" i="20" a="1"/>
  <c r="J173" i="20" s="1"/>
  <c r="J174" i="20" a="1"/>
  <c r="J174" i="20"/>
  <c r="J175" i="20" a="1"/>
  <c r="J175" i="20" s="1"/>
  <c r="J176" i="20" a="1"/>
  <c r="J176" i="20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 s="1"/>
  <c r="J355" i="20" a="1"/>
  <c r="J355" i="20" s="1"/>
  <c r="J356" i="20" a="1"/>
  <c r="J356" i="20" s="1"/>
  <c r="J357" i="20" a="1"/>
  <c r="J357" i="20"/>
  <c r="J358" i="20" a="1"/>
  <c r="J358" i="20" s="1"/>
  <c r="J359" i="20" a="1"/>
  <c r="J359" i="20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/>
  <c r="J394" i="20" a="1"/>
  <c r="J394" i="20" s="1"/>
  <c r="J395" i="20" a="1"/>
  <c r="J395" i="20" s="1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 s="1"/>
  <c r="J429" i="20" a="1"/>
  <c r="J429" i="20"/>
  <c r="J430" i="20" a="1"/>
  <c r="J430" i="20" s="1"/>
  <c r="J431" i="20" a="1"/>
  <c r="J431" i="20" s="1"/>
  <c r="J432" i="20" a="1"/>
  <c r="J432" i="20" s="1"/>
  <c r="J433" i="20" a="1"/>
  <c r="J433" i="20"/>
  <c r="J434" i="20" a="1"/>
  <c r="J434" i="20" s="1"/>
  <c r="J435" i="20" a="1"/>
  <c r="J435" i="20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/>
  <c r="J442" i="20" a="1"/>
  <c r="J442" i="20" s="1"/>
  <c r="J443" i="20" a="1"/>
  <c r="J443" i="20" s="1"/>
  <c r="J444" i="20" a="1"/>
  <c r="J444" i="20" s="1"/>
  <c r="J445" i="20" a="1"/>
  <c r="J445" i="20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/>
  <c r="J452" i="20" a="1"/>
  <c r="J452" i="20" s="1"/>
  <c r="J453" i="20" a="1"/>
  <c r="J453" i="20"/>
  <c r="J454" i="20" a="1"/>
  <c r="J454" i="20" s="1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 s="1"/>
  <c r="J467" i="20" a="1"/>
  <c r="J467" i="20" s="1"/>
  <c r="J468" i="20" a="1"/>
  <c r="J468" i="20" s="1"/>
  <c r="J469" i="20" a="1"/>
  <c r="J469" i="20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/>
  <c r="J476" i="20" a="1"/>
  <c r="J476" i="20" s="1"/>
  <c r="J477" i="20" a="1"/>
  <c r="J477" i="20"/>
  <c r="J478" i="20" a="1"/>
  <c r="J478" i="20" s="1"/>
  <c r="J479" i="20" a="1"/>
  <c r="J479" i="20" s="1"/>
  <c r="J480" i="20" a="1"/>
  <c r="J480" i="20" s="1"/>
  <c r="J481" i="20" a="1"/>
  <c r="J481" i="20"/>
  <c r="J482" i="20" a="1"/>
  <c r="J482" i="20" s="1"/>
  <c r="J483" i="20" a="1"/>
  <c r="J483" i="20"/>
  <c r="J484" i="20" a="1"/>
  <c r="J484" i="20" s="1"/>
  <c r="J485" i="20" a="1"/>
  <c r="J485" i="20" s="1"/>
  <c r="J486" i="20" a="1"/>
  <c r="J486" i="20" s="1"/>
  <c r="J487" i="20" a="1"/>
  <c r="J487" i="20" s="1"/>
  <c r="J488" i="20" a="1"/>
  <c r="J488" i="20" s="1"/>
  <c r="J489" i="20" a="1"/>
  <c r="J489" i="20"/>
  <c r="J490" i="20" a="1"/>
  <c r="J490" i="20" s="1"/>
  <c r="J491" i="20" a="1"/>
  <c r="J491" i="20" s="1"/>
  <c r="J492" i="20" a="1"/>
  <c r="J492" i="20" s="1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/>
  <c r="J502" i="20" a="1"/>
  <c r="J502" i="20" s="1"/>
  <c r="J503" i="20" a="1"/>
  <c r="J503" i="20" s="1"/>
  <c r="J504" i="20" a="1"/>
  <c r="J504" i="20" s="1"/>
  <c r="J505" i="20" a="1"/>
  <c r="J505" i="20"/>
  <c r="J506" i="20" a="1"/>
  <c r="J506" i="20" s="1"/>
  <c r="J507" i="20" a="1"/>
  <c r="J507" i="20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/>
  <c r="J514" i="20" a="1"/>
  <c r="J514" i="20" s="1"/>
  <c r="J515" i="20" a="1"/>
  <c r="J515" i="20" s="1"/>
  <c r="J516" i="20" a="1"/>
  <c r="J516" i="20" s="1"/>
  <c r="J517" i="20" a="1"/>
  <c r="J517" i="20" s="1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/>
  <c r="J523" i="20" a="1"/>
  <c r="J523" i="20" s="1"/>
  <c r="J524" i="20" a="1"/>
  <c r="J524" i="20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 s="1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 s="1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 s="1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 s="1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 s="1"/>
  <c r="J612" i="20" a="1"/>
  <c r="J612" i="20" s="1"/>
  <c r="J613" i="20" a="1"/>
  <c r="J613" i="20" s="1"/>
  <c r="J614" i="20" a="1"/>
  <c r="J614" i="20" s="1"/>
  <c r="J615" i="20" a="1"/>
  <c r="J615" i="20" s="1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 s="1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 s="1"/>
  <c r="J661" i="20" a="1"/>
  <c r="J661" i="20" s="1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 s="1"/>
  <c r="J673" i="20" a="1"/>
  <c r="J673" i="20" s="1"/>
  <c r="J674" i="20" a="1"/>
  <c r="J674" i="20" s="1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 s="1"/>
  <c r="J682" i="20" a="1"/>
  <c r="J682" i="20" s="1"/>
  <c r="J683" i="20" a="1"/>
  <c r="J683" i="20" s="1"/>
  <c r="J684" i="20" a="1"/>
  <c r="J684" i="20" s="1"/>
  <c r="J685" i="20" a="1"/>
  <c r="J685" i="20" s="1"/>
  <c r="J686" i="20" a="1"/>
  <c r="J686" i="20" s="1"/>
  <c r="J687" i="20" a="1"/>
  <c r="J687" i="20" s="1"/>
  <c r="J688" i="20" a="1"/>
  <c r="J688" i="20" s="1"/>
  <c r="J689" i="20" a="1"/>
  <c r="J689" i="20" s="1"/>
  <c r="J690" i="20" a="1"/>
  <c r="J690" i="20" s="1"/>
  <c r="J691" i="20" a="1"/>
  <c r="J691" i="20" s="1"/>
  <c r="J692" i="20" a="1"/>
  <c r="J692" i="20" s="1"/>
  <c r="J693" i="20" a="1"/>
  <c r="J693" i="20" s="1"/>
  <c r="J694" i="20" a="1"/>
  <c r="J694" i="20" s="1"/>
  <c r="J695" i="20" a="1"/>
  <c r="J695" i="20" s="1"/>
  <c r="J696" i="20" a="1"/>
  <c r="J696" i="20" s="1"/>
  <c r="J697" i="20" a="1"/>
  <c r="J697" i="20" s="1"/>
  <c r="J698" i="20" a="1"/>
  <c r="J698" i="20" s="1"/>
  <c r="J699" i="20" a="1"/>
  <c r="J699" i="20" s="1"/>
  <c r="J700" i="20" a="1"/>
  <c r="J700" i="20" s="1"/>
  <c r="J701" i="20" a="1"/>
  <c r="J701" i="20" s="1"/>
  <c r="J702" i="20" a="1"/>
  <c r="J702" i="20" s="1"/>
  <c r="J703" i="20" a="1"/>
  <c r="J703" i="20" s="1"/>
  <c r="J704" i="20" a="1"/>
  <c r="J704" i="20" s="1"/>
  <c r="J705" i="20" a="1"/>
  <c r="J705" i="20" s="1"/>
  <c r="J706" i="20" a="1"/>
  <c r="J706" i="20" s="1"/>
  <c r="J707" i="20" a="1"/>
  <c r="J707" i="20" s="1"/>
  <c r="J708" i="20" a="1"/>
  <c r="J708" i="20" s="1"/>
  <c r="J709" i="20" a="1"/>
  <c r="J709" i="20" s="1"/>
  <c r="J710" i="20" a="1"/>
  <c r="J710" i="20" s="1"/>
  <c r="J711" i="20" a="1"/>
  <c r="J711" i="20" s="1"/>
  <c r="J712" i="20" a="1"/>
  <c r="J712" i="20" s="1"/>
  <c r="J713" i="20" a="1"/>
  <c r="J713" i="20" s="1"/>
  <c r="J714" i="20" a="1"/>
  <c r="J714" i="20" s="1"/>
  <c r="J715" i="20" a="1"/>
  <c r="J715" i="20" s="1"/>
  <c r="J716" i="20" a="1"/>
  <c r="J716" i="20" s="1"/>
  <c r="J717" i="20" a="1"/>
  <c r="J717" i="20" s="1"/>
  <c r="J718" i="20" a="1"/>
  <c r="J718" i="20" s="1"/>
  <c r="J719" i="20" a="1"/>
  <c r="J719" i="20" s="1"/>
  <c r="J720" i="20" a="1"/>
  <c r="J720" i="20" s="1"/>
  <c r="J721" i="20" a="1"/>
  <c r="J721" i="20" s="1"/>
  <c r="J722" i="20" a="1"/>
  <c r="J722" i="20" s="1"/>
  <c r="J723" i="20" a="1"/>
  <c r="J723" i="20" s="1"/>
  <c r="J724" i="20" a="1"/>
  <c r="J724" i="20" s="1"/>
  <c r="J725" i="20" a="1"/>
  <c r="J725" i="20" s="1"/>
  <c r="J726" i="20" a="1"/>
  <c r="J726" i="20" s="1"/>
  <c r="J727" i="20" a="1"/>
  <c r="J727" i="20" s="1"/>
  <c r="J728" i="20" a="1"/>
  <c r="J728" i="20" s="1"/>
  <c r="J729" i="20" a="1"/>
  <c r="J729" i="20" s="1"/>
  <c r="J730" i="20" a="1"/>
  <c r="J730" i="20" s="1"/>
  <c r="J731" i="20" a="1"/>
  <c r="J731" i="20" s="1"/>
  <c r="J732" i="20" a="1"/>
  <c r="J732" i="20" s="1"/>
  <c r="J733" i="20" a="1"/>
  <c r="J733" i="20" s="1"/>
  <c r="J734" i="20" a="1"/>
  <c r="J734" i="20" s="1"/>
  <c r="J735" i="20" a="1"/>
  <c r="J735" i="20" s="1"/>
  <c r="J736" i="20" a="1"/>
  <c r="J736" i="20" s="1"/>
  <c r="J737" i="20" a="1"/>
  <c r="J737" i="20" s="1"/>
  <c r="J738" i="20" a="1"/>
  <c r="J738" i="20" s="1"/>
  <c r="J739" i="20" a="1"/>
  <c r="J739" i="20" s="1"/>
  <c r="J740" i="20" a="1"/>
  <c r="J740" i="20" s="1"/>
  <c r="J741" i="20" a="1"/>
  <c r="J741" i="20" s="1"/>
  <c r="J742" i="20" a="1"/>
  <c r="J742" i="20" s="1"/>
  <c r="J743" i="20" a="1"/>
  <c r="J743" i="20" s="1"/>
  <c r="J744" i="20" a="1"/>
  <c r="J744" i="20" s="1"/>
  <c r="J745" i="20" a="1"/>
  <c r="J745" i="20" s="1"/>
  <c r="J746" i="20" a="1"/>
  <c r="J746" i="20" s="1"/>
  <c r="J747" i="20" a="1"/>
  <c r="J747" i="20" s="1"/>
  <c r="J748" i="20" a="1"/>
  <c r="J748" i="20" s="1"/>
  <c r="J749" i="20" a="1"/>
  <c r="J749" i="20" s="1"/>
  <c r="J750" i="20" a="1"/>
  <c r="J750" i="20" s="1"/>
  <c r="J751" i="20" a="1"/>
  <c r="J75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/>
  <c r="K268" i="20" a="1"/>
  <c r="K268" i="20" s="1"/>
  <c r="K269" i="20" a="1"/>
  <c r="K269" i="20"/>
  <c r="K270" i="20" a="1"/>
  <c r="K270" i="20" s="1"/>
  <c r="K271" i="20" a="1"/>
  <c r="K271" i="20" s="1"/>
  <c r="K272" i="20" a="1"/>
  <c r="K272" i="20" s="1"/>
  <c r="K273" i="20" a="1"/>
  <c r="K273" i="20"/>
  <c r="K274" i="20" a="1"/>
  <c r="K274" i="20" s="1"/>
  <c r="K275" i="20" a="1"/>
  <c r="K275" i="20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/>
  <c r="K283" i="20" a="1"/>
  <c r="K283" i="20" s="1"/>
  <c r="K284" i="20" a="1"/>
  <c r="K284" i="20" s="1"/>
  <c r="K285" i="20" a="1"/>
  <c r="K285" i="20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/>
  <c r="K322" i="20" a="1"/>
  <c r="K322" i="20" s="1"/>
  <c r="K323" i="20" a="1"/>
  <c r="K323" i="20" s="1"/>
  <c r="K324" i="20" a="1"/>
  <c r="K324" i="20" s="1"/>
  <c r="K325" i="20" a="1"/>
  <c r="K325" i="20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/>
  <c r="K346" i="20" a="1"/>
  <c r="K346" i="20" s="1"/>
  <c r="K347" i="20" a="1"/>
  <c r="K347" i="20" s="1"/>
  <c r="K348" i="20" a="1"/>
  <c r="K348" i="20" s="1"/>
  <c r="K349" i="20" a="1"/>
  <c r="K349" i="20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/>
  <c r="K362" i="20" a="1"/>
  <c r="K362" i="20" s="1"/>
  <c r="K363" i="20" a="1"/>
  <c r="K363" i="20" s="1"/>
  <c r="K364" i="20" a="1"/>
  <c r="K364" i="20" s="1"/>
  <c r="K365" i="20" a="1"/>
  <c r="K365" i="20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/>
  <c r="K378" i="20" a="1"/>
  <c r="K378" i="20" s="1"/>
  <c r="K379" i="20" a="1"/>
  <c r="K379" i="20" s="1"/>
  <c r="K380" i="20" a="1"/>
  <c r="K380" i="20" s="1"/>
  <c r="K381" i="20" a="1"/>
  <c r="K381" i="20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/>
  <c r="K394" i="20" a="1"/>
  <c r="K394" i="20" s="1"/>
  <c r="K395" i="20" a="1"/>
  <c r="K395" i="20" s="1"/>
  <c r="K396" i="20" a="1"/>
  <c r="K396" i="20" s="1"/>
  <c r="K397" i="20" a="1"/>
  <c r="K397" i="20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 s="1"/>
  <c r="K406" i="20" a="1"/>
  <c r="K406" i="20" s="1"/>
  <c r="K407" i="20" a="1"/>
  <c r="K407" i="20" s="1"/>
  <c r="K408" i="20" a="1"/>
  <c r="K408" i="20" s="1"/>
  <c r="K409" i="20" a="1"/>
  <c r="K409" i="20"/>
  <c r="K410" i="20" a="1"/>
  <c r="K410" i="20" s="1"/>
  <c r="K411" i="20" a="1"/>
  <c r="K411" i="20" s="1"/>
  <c r="K412" i="20" a="1"/>
  <c r="K412" i="20" s="1"/>
  <c r="K413" i="20" a="1"/>
  <c r="K413" i="20"/>
  <c r="K414" i="20" a="1"/>
  <c r="K414" i="20" s="1"/>
  <c r="K415" i="20" a="1"/>
  <c r="K415" i="20" s="1"/>
  <c r="K416" i="20" a="1"/>
  <c r="K416" i="20" s="1"/>
  <c r="K417" i="20" a="1"/>
  <c r="K417" i="20" s="1"/>
  <c r="K418" i="20" a="1"/>
  <c r="K418" i="20" s="1"/>
  <c r="K419" i="20" a="1"/>
  <c r="K419" i="20" s="1"/>
  <c r="K420" i="20" a="1"/>
  <c r="K420" i="20" s="1"/>
  <c r="K421" i="20" a="1"/>
  <c r="K421" i="20" s="1"/>
  <c r="K422" i="20" a="1"/>
  <c r="K422" i="20" s="1"/>
  <c r="K423" i="20" a="1"/>
  <c r="K423" i="20" s="1"/>
  <c r="K424" i="20" a="1"/>
  <c r="K424" i="20" s="1"/>
  <c r="K425" i="20" a="1"/>
  <c r="K425" i="20"/>
  <c r="K426" i="20" a="1"/>
  <c r="K426" i="20" s="1"/>
  <c r="K427" i="20" a="1"/>
  <c r="K427" i="20" s="1"/>
  <c r="K428" i="20" a="1"/>
  <c r="K428" i="20" s="1"/>
  <c r="K429" i="20" a="1"/>
  <c r="K429" i="20"/>
  <c r="K430" i="20" a="1"/>
  <c r="K430" i="20" s="1"/>
  <c r="K431" i="20" a="1"/>
  <c r="K431" i="20" s="1"/>
  <c r="K432" i="20" a="1"/>
  <c r="K432" i="20" s="1"/>
  <c r="K433" i="20" a="1"/>
  <c r="K433" i="20" s="1"/>
  <c r="K434" i="20" a="1"/>
  <c r="K434" i="20" s="1"/>
  <c r="K435" i="20" a="1"/>
  <c r="K435" i="20" s="1"/>
  <c r="K436" i="20" a="1"/>
  <c r="K436" i="20" s="1"/>
  <c r="K437" i="20" a="1"/>
  <c r="K437" i="20" s="1"/>
  <c r="K438" i="20" a="1"/>
  <c r="K438" i="20" s="1"/>
  <c r="K439" i="20" a="1"/>
  <c r="K439" i="20" s="1"/>
  <c r="K440" i="20" a="1"/>
  <c r="K440" i="20" s="1"/>
  <c r="K441" i="20" a="1"/>
  <c r="K441" i="20"/>
  <c r="K442" i="20" a="1"/>
  <c r="K442" i="20" s="1"/>
  <c r="K443" i="20" a="1"/>
  <c r="K443" i="20" s="1"/>
  <c r="K444" i="20" a="1"/>
  <c r="K444" i="20" s="1"/>
  <c r="K445" i="20" a="1"/>
  <c r="K445" i="20"/>
  <c r="K446" i="20" a="1"/>
  <c r="K446" i="20" s="1"/>
  <c r="K447" i="20" a="1"/>
  <c r="K447" i="20" s="1"/>
  <c r="K448" i="20" a="1"/>
  <c r="K448" i="20" s="1"/>
  <c r="K449" i="20" a="1"/>
  <c r="K449" i="20" s="1"/>
  <c r="K450" i="20" a="1"/>
  <c r="K450" i="20" s="1"/>
  <c r="K451" i="20" a="1"/>
  <c r="K451" i="20" s="1"/>
  <c r="K452" i="20" a="1"/>
  <c r="K452" i="20" s="1"/>
  <c r="K453" i="20" a="1"/>
  <c r="K453" i="20" s="1"/>
  <c r="K454" i="20" a="1"/>
  <c r="K454" i="20" s="1"/>
  <c r="K455" i="20" a="1"/>
  <c r="K455" i="20" s="1"/>
  <c r="K456" i="20" a="1"/>
  <c r="K456" i="20" s="1"/>
  <c r="K457" i="20" a="1"/>
  <c r="K457" i="20"/>
  <c r="K458" i="20" a="1"/>
  <c r="K458" i="20" s="1"/>
  <c r="K459" i="20" a="1"/>
  <c r="K459" i="20" s="1"/>
  <c r="K460" i="20" a="1"/>
  <c r="K460" i="20" s="1"/>
  <c r="K461" i="20" a="1"/>
  <c r="K461" i="20"/>
  <c r="K462" i="20" a="1"/>
  <c r="K462" i="20" s="1"/>
  <c r="K463" i="20" a="1"/>
  <c r="K463" i="20" s="1"/>
  <c r="K464" i="20" a="1"/>
  <c r="K464" i="20" s="1"/>
  <c r="K465" i="20" a="1"/>
  <c r="K465" i="20" s="1"/>
  <c r="K466" i="20" a="1"/>
  <c r="K466" i="20" s="1"/>
  <c r="K467" i="20" a="1"/>
  <c r="K467" i="20" s="1"/>
  <c r="K468" i="20" a="1"/>
  <c r="K468" i="20" s="1"/>
  <c r="K469" i="20" a="1"/>
  <c r="K469" i="20" s="1"/>
  <c r="K470" i="20" a="1"/>
  <c r="K470" i="20" s="1"/>
  <c r="K471" i="20" a="1"/>
  <c r="K471" i="20" s="1"/>
  <c r="K472" i="20" a="1"/>
  <c r="K472" i="20" s="1"/>
  <c r="K473" i="20" a="1"/>
  <c r="K473" i="20"/>
  <c r="K474" i="20" a="1"/>
  <c r="K474" i="20" s="1"/>
  <c r="K475" i="20" a="1"/>
  <c r="K475" i="20" s="1"/>
  <c r="K476" i="20" a="1"/>
  <c r="K476" i="20" s="1"/>
  <c r="K477" i="20" a="1"/>
  <c r="K477" i="20"/>
  <c r="K478" i="20" a="1"/>
  <c r="K478" i="20" s="1"/>
  <c r="K479" i="20" a="1"/>
  <c r="K479" i="20" s="1"/>
  <c r="K480" i="20" a="1"/>
  <c r="K480" i="20" s="1"/>
  <c r="K481" i="20" a="1"/>
  <c r="K481" i="20" s="1"/>
  <c r="K482" i="20" a="1"/>
  <c r="K482" i="20" s="1"/>
  <c r="K483" i="20" a="1"/>
  <c r="K483" i="20" s="1"/>
  <c r="K484" i="20" a="1"/>
  <c r="K484" i="20" s="1"/>
  <c r="K485" i="20" a="1"/>
  <c r="K485" i="20" s="1"/>
  <c r="K486" i="20" a="1"/>
  <c r="K486" i="20" s="1"/>
  <c r="K487" i="20" a="1"/>
  <c r="K487" i="20" s="1"/>
  <c r="K488" i="20" a="1"/>
  <c r="K488" i="20" s="1"/>
  <c r="K489" i="20" a="1"/>
  <c r="K489" i="20"/>
  <c r="K490" i="20" a="1"/>
  <c r="K490" i="20" s="1"/>
  <c r="K491" i="20" a="1"/>
  <c r="K491" i="20" s="1"/>
  <c r="K492" i="20" a="1"/>
  <c r="K492" i="20" s="1"/>
  <c r="K493" i="20" a="1"/>
  <c r="K493" i="20"/>
  <c r="K494" i="20" a="1"/>
  <c r="K494" i="20" s="1"/>
  <c r="K495" i="20" a="1"/>
  <c r="K495" i="20" s="1"/>
  <c r="K496" i="20" a="1"/>
  <c r="K496" i="20" s="1"/>
  <c r="K497" i="20" a="1"/>
  <c r="K497" i="20" s="1"/>
  <c r="K498" i="20" a="1"/>
  <c r="K498" i="20" s="1"/>
  <c r="K499" i="20" a="1"/>
  <c r="K499" i="20" s="1"/>
  <c r="K500" i="20" a="1"/>
  <c r="K500" i="20" s="1"/>
  <c r="K501" i="20" a="1"/>
  <c r="K501" i="20" s="1"/>
  <c r="K502" i="20" a="1"/>
  <c r="K502" i="20" s="1"/>
  <c r="K503" i="20" a="1"/>
  <c r="K503" i="20" s="1"/>
  <c r="K504" i="20" a="1"/>
  <c r="K504" i="20" s="1"/>
  <c r="K505" i="20" a="1"/>
  <c r="K505" i="20"/>
  <c r="K506" i="20" a="1"/>
  <c r="K506" i="20" s="1"/>
  <c r="K507" i="20" a="1"/>
  <c r="K507" i="20" s="1"/>
  <c r="K508" i="20" a="1"/>
  <c r="K508" i="20" s="1"/>
  <c r="K509" i="20" a="1"/>
  <c r="K509" i="20"/>
  <c r="K510" i="20" a="1"/>
  <c r="K510" i="20" s="1"/>
  <c r="K511" i="20" a="1"/>
  <c r="K511" i="20" s="1"/>
  <c r="K512" i="20" a="1"/>
  <c r="K512" i="20" s="1"/>
  <c r="K513" i="20" a="1"/>
  <c r="K513" i="20" s="1"/>
  <c r="K514" i="20" a="1"/>
  <c r="K514" i="20" s="1"/>
  <c r="K515" i="20" a="1"/>
  <c r="K515" i="20" s="1"/>
  <c r="K516" i="20" a="1"/>
  <c r="K516" i="20" s="1"/>
  <c r="K517" i="20" a="1"/>
  <c r="K517" i="20" s="1"/>
  <c r="K518" i="20" a="1"/>
  <c r="K518" i="20" s="1"/>
  <c r="K519" i="20" a="1"/>
  <c r="K519" i="20" s="1"/>
  <c r="K520" i="20" a="1"/>
  <c r="K520" i="20" s="1"/>
  <c r="K521" i="20" a="1"/>
  <c r="K521" i="20"/>
  <c r="K522" i="20" a="1"/>
  <c r="K522" i="20" s="1"/>
  <c r="K523" i="20" a="1"/>
  <c r="K523" i="20" s="1"/>
  <c r="K524" i="20" a="1"/>
  <c r="K524" i="20" s="1"/>
  <c r="K525" i="20" a="1"/>
  <c r="K525" i="20"/>
  <c r="K526" i="20" a="1"/>
  <c r="K526" i="20" s="1"/>
  <c r="K527" i="20" a="1"/>
  <c r="K527" i="20" s="1"/>
  <c r="K528" i="20" a="1"/>
  <c r="K528" i="20" s="1"/>
  <c r="K529" i="20" a="1"/>
  <c r="K529" i="20" s="1"/>
  <c r="K530" i="20" a="1"/>
  <c r="K530" i="20" s="1"/>
  <c r="K531" i="20" a="1"/>
  <c r="K531" i="20" s="1"/>
  <c r="K532" i="20" a="1"/>
  <c r="K532" i="20" s="1"/>
  <c r="K533" i="20" a="1"/>
  <c r="K533" i="20" s="1"/>
  <c r="K534" i="20" a="1"/>
  <c r="K534" i="20" s="1"/>
  <c r="K535" i="20" a="1"/>
  <c r="K535" i="20" s="1"/>
  <c r="K536" i="20" a="1"/>
  <c r="K536" i="20" s="1"/>
  <c r="K537" i="20" a="1"/>
  <c r="K537" i="20"/>
  <c r="K538" i="20" a="1"/>
  <c r="K538" i="20" s="1"/>
  <c r="K539" i="20" a="1"/>
  <c r="K539" i="20" s="1"/>
  <c r="K540" i="20" a="1"/>
  <c r="K540" i="20" s="1"/>
  <c r="K541" i="20" a="1"/>
  <c r="K541" i="20"/>
  <c r="K542" i="20" a="1"/>
  <c r="K542" i="20" s="1"/>
  <c r="K543" i="20" a="1"/>
  <c r="K543" i="20" s="1"/>
  <c r="K544" i="20" a="1"/>
  <c r="K544" i="20" s="1"/>
  <c r="K545" i="20" a="1"/>
  <c r="K545" i="20" s="1"/>
  <c r="K546" i="20" a="1"/>
  <c r="K546" i="20" s="1"/>
  <c r="K547" i="20" a="1"/>
  <c r="K547" i="20" s="1"/>
  <c r="K548" i="20" a="1"/>
  <c r="K548" i="20" s="1"/>
  <c r="K549" i="20" a="1"/>
  <c r="K549" i="20" s="1"/>
  <c r="K550" i="20" a="1"/>
  <c r="K550" i="20" s="1"/>
  <c r="K551" i="20" a="1"/>
  <c r="K551" i="20" s="1"/>
  <c r="K552" i="20" a="1"/>
  <c r="K552" i="20" s="1"/>
  <c r="K553" i="20" a="1"/>
  <c r="K553" i="20"/>
  <c r="K554" i="20" a="1"/>
  <c r="K554" i="20" s="1"/>
  <c r="K555" i="20" a="1"/>
  <c r="K555" i="20" s="1"/>
  <c r="K556" i="20" a="1"/>
  <c r="K556" i="20" s="1"/>
  <c r="K557" i="20" a="1"/>
  <c r="K557" i="20"/>
  <c r="K558" i="20" a="1"/>
  <c r="K558" i="20" s="1"/>
  <c r="K559" i="20" a="1"/>
  <c r="K559" i="20" s="1"/>
  <c r="K560" i="20" a="1"/>
  <c r="K560" i="20" s="1"/>
  <c r="K561" i="20" a="1"/>
  <c r="K561" i="20" s="1"/>
  <c r="K562" i="20" a="1"/>
  <c r="K562" i="20" s="1"/>
  <c r="K563" i="20" a="1"/>
  <c r="K563" i="20" s="1"/>
  <c r="K564" i="20" a="1"/>
  <c r="K564" i="20" s="1"/>
  <c r="K565" i="20" a="1"/>
  <c r="K565" i="20" s="1"/>
  <c r="K566" i="20" a="1"/>
  <c r="K566" i="20" s="1"/>
  <c r="K567" i="20" a="1"/>
  <c r="K567" i="20" s="1"/>
  <c r="K568" i="20" a="1"/>
  <c r="K568" i="20" s="1"/>
  <c r="K569" i="20" a="1"/>
  <c r="K569" i="20"/>
  <c r="K570" i="20" a="1"/>
  <c r="K570" i="20" s="1"/>
  <c r="K571" i="20" a="1"/>
  <c r="K571" i="20" s="1"/>
  <c r="K572" i="20" a="1"/>
  <c r="K572" i="20" s="1"/>
  <c r="K573" i="20" a="1"/>
  <c r="K573" i="20"/>
  <c r="K574" i="20" a="1"/>
  <c r="K574" i="20" s="1"/>
  <c r="K575" i="20" a="1"/>
  <c r="K575" i="20" s="1"/>
  <c r="K576" i="20" a="1"/>
  <c r="K576" i="20" s="1"/>
  <c r="K577" i="20" a="1"/>
  <c r="K577" i="20" s="1"/>
  <c r="K578" i="20" a="1"/>
  <c r="K578" i="20" s="1"/>
  <c r="K579" i="20" a="1"/>
  <c r="K579" i="20" s="1"/>
  <c r="K580" i="20" a="1"/>
  <c r="K580" i="20" s="1"/>
  <c r="K581" i="20" a="1"/>
  <c r="K581" i="20" s="1"/>
  <c r="K582" i="20" a="1"/>
  <c r="K582" i="20" s="1"/>
  <c r="K583" i="20" a="1"/>
  <c r="K583" i="20" s="1"/>
  <c r="K584" i="20" a="1"/>
  <c r="K584" i="20" s="1"/>
  <c r="K585" i="20" a="1"/>
  <c r="K585" i="20"/>
  <c r="K586" i="20" a="1"/>
  <c r="K586" i="20" s="1"/>
  <c r="K587" i="20" a="1"/>
  <c r="K587" i="20" s="1"/>
  <c r="K588" i="20" a="1"/>
  <c r="K588" i="20" s="1"/>
  <c r="K589" i="20" a="1"/>
  <c r="K589" i="20"/>
  <c r="K590" i="20" a="1"/>
  <c r="K590" i="20" s="1"/>
  <c r="K591" i="20" a="1"/>
  <c r="K591" i="20" s="1"/>
  <c r="K592" i="20" a="1"/>
  <c r="K592" i="20" s="1"/>
  <c r="K593" i="20" a="1"/>
  <c r="K593" i="20" s="1"/>
  <c r="K594" i="20" a="1"/>
  <c r="K594" i="20" s="1"/>
  <c r="K595" i="20" a="1"/>
  <c r="K595" i="20" s="1"/>
  <c r="K596" i="20" a="1"/>
  <c r="K596" i="20" s="1"/>
  <c r="K597" i="20" a="1"/>
  <c r="K597" i="20" s="1"/>
  <c r="K598" i="20" a="1"/>
  <c r="K598" i="20" s="1"/>
  <c r="K599" i="20" a="1"/>
  <c r="K599" i="20" s="1"/>
  <c r="K600" i="20" a="1"/>
  <c r="K600" i="20" s="1"/>
  <c r="K601" i="20" a="1"/>
  <c r="K601" i="20"/>
  <c r="K602" i="20" a="1"/>
  <c r="K602" i="20" s="1"/>
  <c r="K603" i="20" a="1"/>
  <c r="K603" i="20" s="1"/>
  <c r="K604" i="20" a="1"/>
  <c r="K604" i="20" s="1"/>
  <c r="K605" i="20" a="1"/>
  <c r="K605" i="20"/>
  <c r="K606" i="20" a="1"/>
  <c r="K606" i="20" s="1"/>
  <c r="K607" i="20" a="1"/>
  <c r="K607" i="20" s="1"/>
  <c r="K608" i="20" a="1"/>
  <c r="K608" i="20" s="1"/>
  <c r="K609" i="20" a="1"/>
  <c r="K609" i="20" s="1"/>
  <c r="K610" i="20" a="1"/>
  <c r="K610" i="20" s="1"/>
  <c r="K611" i="20" a="1"/>
  <c r="K611" i="20" s="1"/>
  <c r="K612" i="20" a="1"/>
  <c r="K612" i="20" s="1"/>
  <c r="K613" i="20" a="1"/>
  <c r="K613" i="20" s="1"/>
  <c r="K614" i="20" a="1"/>
  <c r="K614" i="20" s="1"/>
  <c r="K615" i="20" a="1"/>
  <c r="K615" i="20" s="1"/>
  <c r="K616" i="20" a="1"/>
  <c r="K616" i="20" s="1"/>
  <c r="K617" i="20" a="1"/>
  <c r="K617" i="20"/>
  <c r="K618" i="20" a="1"/>
  <c r="K618" i="20" s="1"/>
  <c r="K619" i="20" a="1"/>
  <c r="K619" i="20" s="1"/>
  <c r="K620" i="20" a="1"/>
  <c r="K620" i="20" s="1"/>
  <c r="K621" i="20" a="1"/>
  <c r="K621" i="20"/>
  <c r="K622" i="20" a="1"/>
  <c r="K622" i="20" s="1"/>
  <c r="K623" i="20" a="1"/>
  <c r="K623" i="20" s="1"/>
  <c r="K624" i="20" a="1"/>
  <c r="K624" i="20" s="1"/>
  <c r="K625" i="20" a="1"/>
  <c r="K625" i="20" s="1"/>
  <c r="K626" i="20" a="1"/>
  <c r="K626" i="20" s="1"/>
  <c r="K627" i="20" a="1"/>
  <c r="K627" i="20" s="1"/>
  <c r="K628" i="20" a="1"/>
  <c r="K628" i="20" s="1"/>
  <c r="K629" i="20" a="1"/>
  <c r="K629" i="20" s="1"/>
  <c r="K630" i="20" a="1"/>
  <c r="K630" i="20" s="1"/>
  <c r="K631" i="20" a="1"/>
  <c r="K631" i="20" s="1"/>
  <c r="K632" i="20" a="1"/>
  <c r="K632" i="20" s="1"/>
  <c r="K633" i="20" a="1"/>
  <c r="K633" i="20"/>
  <c r="K634" i="20" a="1"/>
  <c r="K634" i="20" s="1"/>
  <c r="K635" i="20" a="1"/>
  <c r="K635" i="20" s="1"/>
  <c r="K636" i="20" a="1"/>
  <c r="K636" i="20" s="1"/>
  <c r="K637" i="20" a="1"/>
  <c r="K637" i="20"/>
  <c r="K638" i="20" a="1"/>
  <c r="K638" i="20" s="1"/>
  <c r="K639" i="20" a="1"/>
  <c r="K639" i="20" s="1"/>
  <c r="K640" i="20" a="1"/>
  <c r="K640" i="20" s="1"/>
  <c r="K641" i="20" a="1"/>
  <c r="K641" i="20" s="1"/>
  <c r="K642" i="20" a="1"/>
  <c r="K642" i="20" s="1"/>
  <c r="K643" i="20" a="1"/>
  <c r="K643" i="20" s="1"/>
  <c r="K644" i="20" a="1"/>
  <c r="K644" i="20" s="1"/>
  <c r="K645" i="20" a="1"/>
  <c r="K645" i="20" s="1"/>
  <c r="K646" i="20" a="1"/>
  <c r="K646" i="20" s="1"/>
  <c r="K647" i="20" a="1"/>
  <c r="K647" i="20" s="1"/>
  <c r="K648" i="20" a="1"/>
  <c r="K648" i="20" s="1"/>
  <c r="K649" i="20" a="1"/>
  <c r="K649" i="20"/>
  <c r="K650" i="20" a="1"/>
  <c r="K650" i="20" s="1"/>
  <c r="K651" i="20" a="1"/>
  <c r="K651" i="20" s="1"/>
  <c r="K652" i="20" a="1"/>
  <c r="K652" i="20" s="1"/>
  <c r="K653" i="20" a="1"/>
  <c r="K653" i="20"/>
  <c r="K654" i="20" a="1"/>
  <c r="K654" i="20" s="1"/>
  <c r="K655" i="20" a="1"/>
  <c r="K655" i="20" s="1"/>
  <c r="K656" i="20" a="1"/>
  <c r="K656" i="20" s="1"/>
  <c r="K657" i="20" a="1"/>
  <c r="K657" i="20" s="1"/>
  <c r="K658" i="20" a="1"/>
  <c r="K658" i="20" s="1"/>
  <c r="K659" i="20" a="1"/>
  <c r="K659" i="20" s="1"/>
  <c r="K660" i="20" a="1"/>
  <c r="K660" i="20" s="1"/>
  <c r="K661" i="20" a="1"/>
  <c r="K661" i="20" s="1"/>
  <c r="K662" i="20" a="1"/>
  <c r="K662" i="20" s="1"/>
  <c r="K663" i="20" a="1"/>
  <c r="K663" i="20" s="1"/>
  <c r="K664" i="20" a="1"/>
  <c r="K664" i="20" s="1"/>
  <c r="K665" i="20" a="1"/>
  <c r="K665" i="20"/>
  <c r="K666" i="20" a="1"/>
  <c r="K666" i="20" s="1"/>
  <c r="K667" i="20" a="1"/>
  <c r="K667" i="20" s="1"/>
  <c r="K668" i="20" a="1"/>
  <c r="K668" i="20" s="1"/>
  <c r="K669" i="20" a="1"/>
  <c r="K669" i="20"/>
  <c r="K670" i="20" a="1"/>
  <c r="K670" i="20" s="1"/>
  <c r="K671" i="20" a="1"/>
  <c r="K671" i="20"/>
  <c r="K672" i="20" a="1"/>
  <c r="K672" i="20" s="1"/>
  <c r="K673" i="20" a="1"/>
  <c r="K673" i="20" s="1"/>
  <c r="K674" i="20" a="1"/>
  <c r="K674" i="20" s="1"/>
  <c r="K675" i="20" a="1"/>
  <c r="K675" i="20" s="1"/>
  <c r="K676" i="20" a="1"/>
  <c r="K676" i="20" s="1"/>
  <c r="K677" i="20" a="1"/>
  <c r="K677" i="20"/>
  <c r="K678" i="20" a="1"/>
  <c r="K678" i="20" s="1"/>
  <c r="K679" i="20" a="1"/>
  <c r="K679" i="20" s="1"/>
  <c r="K680" i="20" a="1"/>
  <c r="K680" i="20" s="1"/>
  <c r="K681" i="20" a="1"/>
  <c r="K681" i="20" s="1"/>
  <c r="K682" i="20" a="1"/>
  <c r="K682" i="20" s="1"/>
  <c r="K683" i="20" a="1"/>
  <c r="K683" i="20" s="1"/>
  <c r="K684" i="20" a="1"/>
  <c r="K684" i="20" s="1"/>
  <c r="K685" i="20" a="1"/>
  <c r="K685" i="20" s="1"/>
  <c r="K686" i="20" a="1"/>
  <c r="K686" i="20" s="1"/>
  <c r="K687" i="20" a="1"/>
  <c r="K687" i="20" s="1"/>
  <c r="K688" i="20" a="1"/>
  <c r="K688" i="20" s="1"/>
  <c r="K689" i="20" a="1"/>
  <c r="K689" i="20"/>
  <c r="K690" i="20" a="1"/>
  <c r="K690" i="20" s="1"/>
  <c r="K691" i="20" a="1"/>
  <c r="K691" i="20" s="1"/>
  <c r="K692" i="20" a="1"/>
  <c r="K692" i="20" s="1"/>
  <c r="K693" i="20" a="1"/>
  <c r="K693" i="20" s="1"/>
  <c r="K694" i="20" a="1"/>
  <c r="K694" i="20" s="1"/>
  <c r="K695" i="20" a="1"/>
  <c r="K695" i="20"/>
  <c r="K696" i="20" a="1"/>
  <c r="K696" i="20" s="1"/>
  <c r="K697" i="20" a="1"/>
  <c r="K697" i="20"/>
  <c r="K698" i="20" a="1"/>
  <c r="K698" i="20" s="1"/>
  <c r="K699" i="20" a="1"/>
  <c r="K699" i="20" s="1"/>
  <c r="K700" i="20" a="1"/>
  <c r="K700" i="20" s="1"/>
  <c r="K701" i="20" a="1"/>
  <c r="K701" i="20"/>
  <c r="K702" i="20" a="1"/>
  <c r="K702" i="20" s="1"/>
  <c r="K703" i="20" a="1"/>
  <c r="K703" i="20"/>
  <c r="K704" i="20" a="1"/>
  <c r="K704" i="20" s="1"/>
  <c r="K705" i="20" a="1"/>
  <c r="K705" i="20" s="1"/>
  <c r="K706" i="20" a="1"/>
  <c r="K706" i="20" s="1"/>
  <c r="K707" i="20" a="1"/>
  <c r="K707" i="20" s="1"/>
  <c r="K708" i="20" a="1"/>
  <c r="K708" i="20" s="1"/>
  <c r="K709" i="20" a="1"/>
  <c r="K709" i="20"/>
  <c r="K710" i="20" a="1"/>
  <c r="K710" i="20" s="1"/>
  <c r="K711" i="20" a="1"/>
  <c r="K711" i="20" s="1"/>
  <c r="K712" i="20" a="1"/>
  <c r="K712" i="20" s="1"/>
  <c r="K713" i="20" a="1"/>
  <c r="K713" i="20" s="1"/>
  <c r="K714" i="20" a="1"/>
  <c r="K714" i="20" s="1"/>
  <c r="K715" i="20" a="1"/>
  <c r="K715" i="20" s="1"/>
  <c r="K716" i="20" a="1"/>
  <c r="K716" i="20" s="1"/>
  <c r="K717" i="20" a="1"/>
  <c r="K717" i="20" s="1"/>
  <c r="K718" i="20" a="1"/>
  <c r="K718" i="20" s="1"/>
  <c r="K719" i="20" a="1"/>
  <c r="K719" i="20" s="1"/>
  <c r="K720" i="20" a="1"/>
  <c r="K720" i="20" s="1"/>
  <c r="K721" i="20" a="1"/>
  <c r="K721" i="20"/>
  <c r="K722" i="20" a="1"/>
  <c r="K722" i="20" s="1"/>
  <c r="K723" i="20" a="1"/>
  <c r="K723" i="20" s="1"/>
  <c r="K724" i="20" a="1"/>
  <c r="K724" i="20" s="1"/>
  <c r="K725" i="20" a="1"/>
  <c r="K725" i="20" s="1"/>
  <c r="K726" i="20" a="1"/>
  <c r="K726" i="20" s="1"/>
  <c r="K727" i="20" a="1"/>
  <c r="K727" i="20"/>
  <c r="K728" i="20" a="1"/>
  <c r="K728" i="20" s="1"/>
  <c r="K729" i="20" a="1"/>
  <c r="K729" i="20"/>
  <c r="K730" i="20" a="1"/>
  <c r="K730" i="20" s="1"/>
  <c r="K731" i="20" a="1"/>
  <c r="K731" i="20" s="1"/>
  <c r="K732" i="20" a="1"/>
  <c r="K732" i="20" s="1"/>
  <c r="K733" i="20" a="1"/>
  <c r="K733" i="20"/>
  <c r="K734" i="20" a="1"/>
  <c r="K734" i="20" s="1"/>
  <c r="K735" i="20" a="1"/>
  <c r="K735" i="20"/>
  <c r="K736" i="20" a="1"/>
  <c r="K736" i="20" s="1"/>
  <c r="K737" i="20" a="1"/>
  <c r="K737" i="20" s="1"/>
  <c r="K738" i="20" a="1"/>
  <c r="K738" i="20" s="1"/>
  <c r="K739" i="20" a="1"/>
  <c r="K739" i="20" s="1"/>
  <c r="K740" i="20" a="1"/>
  <c r="K740" i="20" s="1"/>
  <c r="K741" i="20" a="1"/>
  <c r="K741" i="20"/>
  <c r="K742" i="20" a="1"/>
  <c r="K742" i="20" s="1"/>
  <c r="K743" i="20" a="1"/>
  <c r="K743" i="20" s="1"/>
  <c r="K744" i="20" a="1"/>
  <c r="K744" i="20" s="1"/>
  <c r="K745" i="20" a="1"/>
  <c r="K745" i="20" s="1"/>
  <c r="K746" i="20" a="1"/>
  <c r="K746" i="20" s="1"/>
  <c r="K747" i="20" a="1"/>
  <c r="K747" i="20" s="1"/>
  <c r="K748" i="20" a="1"/>
  <c r="K748" i="20" s="1"/>
  <c r="K749" i="20" a="1"/>
  <c r="K749" i="20" s="1"/>
  <c r="K750" i="20" a="1"/>
  <c r="K750" i="20" s="1"/>
  <c r="K751" i="20" a="1"/>
  <c r="K751" i="20" s="1"/>
  <c r="L2" i="20" a="1"/>
  <c r="L2" i="20" s="1"/>
  <c r="L3" i="20" a="1"/>
  <c r="L3" i="20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/>
  <c r="L16" i="20" a="1"/>
  <c r="L16" i="20" s="1"/>
  <c r="L17" i="20" a="1"/>
  <c r="L17" i="20" s="1"/>
  <c r="L18" i="20" a="1"/>
  <c r="L18" i="20" s="1"/>
  <c r="L19" i="20" a="1"/>
  <c r="L19" i="20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/>
  <c r="L64" i="20" a="1"/>
  <c r="L64" i="20" s="1"/>
  <c r="L65" i="20" a="1"/>
  <c r="L65" i="20" s="1"/>
  <c r="L66" i="20" a="1"/>
  <c r="L66" i="20" s="1"/>
  <c r="L67" i="20" a="1"/>
  <c r="L67" i="20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/>
  <c r="L80" i="20" a="1"/>
  <c r="L80" i="20" s="1"/>
  <c r="L81" i="20" a="1"/>
  <c r="L81" i="20" s="1"/>
  <c r="L82" i="20" a="1"/>
  <c r="L82" i="20" s="1"/>
  <c r="L83" i="20" a="1"/>
  <c r="L83" i="20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/>
  <c r="L96" i="20" a="1"/>
  <c r="L96" i="20" s="1"/>
  <c r="L97" i="20" a="1"/>
  <c r="L97" i="20" s="1"/>
  <c r="L98" i="20" a="1"/>
  <c r="L98" i="20" s="1"/>
  <c r="L99" i="20" a="1"/>
  <c r="L99" i="20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/>
  <c r="L112" i="20" a="1"/>
  <c r="L112" i="20" s="1"/>
  <c r="L113" i="20" a="1"/>
  <c r="L113" i="20" s="1"/>
  <c r="L114" i="20" a="1"/>
  <c r="L114" i="20" s="1"/>
  <c r="L115" i="20" a="1"/>
  <c r="L115" i="20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/>
  <c r="L128" i="20" a="1"/>
  <c r="L128" i="20" s="1"/>
  <c r="L129" i="20" a="1"/>
  <c r="L129" i="20" s="1"/>
  <c r="L130" i="20" a="1"/>
  <c r="L130" i="20" s="1"/>
  <c r="L131" i="20" a="1"/>
  <c r="L131" i="20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/>
  <c r="L144" i="20" a="1"/>
  <c r="L144" i="20" s="1"/>
  <c r="L145" i="20" a="1"/>
  <c r="L145" i="20" s="1"/>
  <c r="L146" i="20" a="1"/>
  <c r="L146" i="20" s="1"/>
  <c r="L147" i="20" a="1"/>
  <c r="L147" i="20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/>
  <c r="L223" i="20" a="1"/>
  <c r="L223" i="20" s="1"/>
  <c r="L224" i="20" a="1"/>
  <c r="L224" i="20" s="1"/>
  <c r="L225" i="20" a="1"/>
  <c r="L225" i="20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 s="1"/>
  <c r="L302" i="20" a="1"/>
  <c r="L302" i="20" s="1"/>
  <c r="L303" i="20" a="1"/>
  <c r="L303" i="20" s="1"/>
  <c r="L304" i="20" a="1"/>
  <c r="L304" i="20" s="1"/>
  <c r="L305" i="20" a="1"/>
  <c r="L305" i="20"/>
  <c r="L306" i="20" a="1"/>
  <c r="L306" i="20" s="1"/>
  <c r="L307" i="20" a="1"/>
  <c r="L307" i="20" s="1"/>
  <c r="L308" i="20" a="1"/>
  <c r="L308" i="20" s="1"/>
  <c r="L309" i="20" a="1"/>
  <c r="L309" i="20"/>
  <c r="L310" i="20" a="1"/>
  <c r="L310" i="20" s="1"/>
  <c r="L311" i="20" a="1"/>
  <c r="L311" i="20" s="1"/>
  <c r="L312" i="20" a="1"/>
  <c r="L312" i="20" s="1"/>
  <c r="L313" i="20" a="1"/>
  <c r="L313" i="20" s="1"/>
  <c r="L314" i="20" a="1"/>
  <c r="L314" i="20" s="1"/>
  <c r="L315" i="20" a="1"/>
  <c r="L315" i="20" s="1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/>
  <c r="L322" i="20" a="1"/>
  <c r="L322" i="20" s="1"/>
  <c r="L323" i="20" a="1"/>
  <c r="L323" i="20" s="1"/>
  <c r="L324" i="20" a="1"/>
  <c r="L324" i="20" s="1"/>
  <c r="L325" i="20" a="1"/>
  <c r="L325" i="20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 s="1"/>
  <c r="L335" i="20" a="1"/>
  <c r="L335" i="20" s="1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 s="1"/>
  <c r="L348" i="20" a="1"/>
  <c r="L348" i="20" s="1"/>
  <c r="L349" i="20" a="1"/>
  <c r="L349" i="20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 s="1"/>
  <c r="L381" i="20" a="1"/>
  <c r="L381" i="20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 s="1"/>
  <c r="L389" i="20" a="1"/>
  <c r="L389" i="20"/>
  <c r="L390" i="20" a="1"/>
  <c r="L390" i="20" s="1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 s="1"/>
  <c r="L397" i="20" a="1"/>
  <c r="L397" i="20"/>
  <c r="L398" i="20" a="1"/>
  <c r="L398" i="20" s="1"/>
  <c r="L399" i="20" a="1"/>
  <c r="L399" i="20" s="1"/>
  <c r="L400" i="20" a="1"/>
  <c r="L400" i="20" s="1"/>
  <c r="L401" i="20" a="1"/>
  <c r="L401" i="20" s="1"/>
  <c r="L402" i="20" a="1"/>
  <c r="L402" i="20" s="1"/>
  <c r="L403" i="20" a="1"/>
  <c r="L403" i="20" s="1"/>
  <c r="L404" i="20" a="1"/>
  <c r="L404" i="20" s="1"/>
  <c r="L405" i="20" a="1"/>
  <c r="L405" i="20"/>
  <c r="L406" i="20" a="1"/>
  <c r="L406" i="20" s="1"/>
  <c r="L407" i="20" a="1"/>
  <c r="L407" i="20" s="1"/>
  <c r="L408" i="20" a="1"/>
  <c r="L408" i="20" s="1"/>
  <c r="L409" i="20" a="1"/>
  <c r="L409" i="20" s="1"/>
  <c r="L410" i="20" a="1"/>
  <c r="L410" i="20" s="1"/>
  <c r="L411" i="20" a="1"/>
  <c r="L411" i="20" s="1"/>
  <c r="L412" i="20" a="1"/>
  <c r="L412" i="20" s="1"/>
  <c r="L413" i="20" a="1"/>
  <c r="L413" i="20"/>
  <c r="L414" i="20" a="1"/>
  <c r="L414" i="20" s="1"/>
  <c r="L415" i="20" a="1"/>
  <c r="L415" i="20" s="1"/>
  <c r="L416" i="20" a="1"/>
  <c r="L416" i="20" s="1"/>
  <c r="L417" i="20" a="1"/>
  <c r="L417" i="20" s="1"/>
  <c r="L418" i="20" a="1"/>
  <c r="L418" i="20" s="1"/>
  <c r="L419" i="20" a="1"/>
  <c r="L419" i="20" s="1"/>
  <c r="L420" i="20" a="1"/>
  <c r="L420" i="20" s="1"/>
  <c r="L421" i="20" a="1"/>
  <c r="L421" i="20"/>
  <c r="L422" i="20" a="1"/>
  <c r="L422" i="20" s="1"/>
  <c r="L423" i="20" a="1"/>
  <c r="L423" i="20" s="1"/>
  <c r="L424" i="20" a="1"/>
  <c r="L424" i="20" s="1"/>
  <c r="L425" i="20" a="1"/>
  <c r="L425" i="20"/>
  <c r="L426" i="20" a="1"/>
  <c r="L426" i="20" s="1"/>
  <c r="L427" i="20" a="1"/>
  <c r="L427" i="20" s="1"/>
  <c r="L428" i="20" a="1"/>
  <c r="L428" i="20" s="1"/>
  <c r="L429" i="20" a="1"/>
  <c r="L429" i="20"/>
  <c r="L430" i="20" a="1"/>
  <c r="L430" i="20" s="1"/>
  <c r="L431" i="20" a="1"/>
  <c r="L431" i="20" s="1"/>
  <c r="L432" i="20" a="1"/>
  <c r="L432" i="20" s="1"/>
  <c r="L433" i="20" a="1"/>
  <c r="L433" i="20" s="1"/>
  <c r="L434" i="20" a="1"/>
  <c r="L434" i="20" s="1"/>
  <c r="L435" i="20" a="1"/>
  <c r="L435" i="20" s="1"/>
  <c r="L436" i="20" a="1"/>
  <c r="L436" i="20" s="1"/>
  <c r="L437" i="20" a="1"/>
  <c r="L437" i="20"/>
  <c r="L438" i="20" a="1"/>
  <c r="L438" i="20" s="1"/>
  <c r="L439" i="20" a="1"/>
  <c r="L439" i="20" s="1"/>
  <c r="L440" i="20" a="1"/>
  <c r="L440" i="20" s="1"/>
  <c r="L441" i="20" a="1"/>
  <c r="L441" i="20"/>
  <c r="L442" i="20" a="1"/>
  <c r="L442" i="20" s="1"/>
  <c r="L443" i="20" a="1"/>
  <c r="L443" i="20" s="1"/>
  <c r="L444" i="20" a="1"/>
  <c r="L444" i="20" s="1"/>
  <c r="L445" i="20" a="1"/>
  <c r="L445" i="20"/>
  <c r="L446" i="20" a="1"/>
  <c r="L446" i="20" s="1"/>
  <c r="L447" i="20" a="1"/>
  <c r="L447" i="20" s="1"/>
  <c r="L448" i="20" a="1"/>
  <c r="L448" i="20" s="1"/>
  <c r="L449" i="20" a="1"/>
  <c r="L449" i="20" s="1"/>
  <c r="L450" i="20" a="1"/>
  <c r="L450" i="20" s="1"/>
  <c r="L451" i="20" a="1"/>
  <c r="L451" i="20" s="1"/>
  <c r="L452" i="20" a="1"/>
  <c r="L452" i="20" s="1"/>
  <c r="L453" i="20" a="1"/>
  <c r="L453" i="20"/>
  <c r="L454" i="20" a="1"/>
  <c r="L454" i="20" s="1"/>
  <c r="L455" i="20" a="1"/>
  <c r="L455" i="20" s="1"/>
  <c r="L456" i="20" a="1"/>
  <c r="L456" i="20" s="1"/>
  <c r="L457" i="20" a="1"/>
  <c r="L457" i="20"/>
  <c r="L458" i="20" a="1"/>
  <c r="L458" i="20" s="1"/>
  <c r="L459" i="20" a="1"/>
  <c r="L459" i="20" s="1"/>
  <c r="L460" i="20" a="1"/>
  <c r="L460" i="20" s="1"/>
  <c r="L461" i="20" a="1"/>
  <c r="L461" i="20"/>
  <c r="L462" i="20" a="1"/>
  <c r="L462" i="20" s="1"/>
  <c r="L463" i="20" a="1"/>
  <c r="L463" i="20" s="1"/>
  <c r="L464" i="20" a="1"/>
  <c r="L464" i="20" s="1"/>
  <c r="L465" i="20" a="1"/>
  <c r="L465" i="20" s="1"/>
  <c r="L466" i="20" a="1"/>
  <c r="L466" i="20" s="1"/>
  <c r="L467" i="20" a="1"/>
  <c r="L467" i="20" s="1"/>
  <c r="L468" i="20" a="1"/>
  <c r="L468" i="20" s="1"/>
  <c r="L469" i="20" a="1"/>
  <c r="L469" i="20"/>
  <c r="L470" i="20" a="1"/>
  <c r="L470" i="20" s="1"/>
  <c r="L471" i="20" a="1"/>
  <c r="L471" i="20" s="1"/>
  <c r="L472" i="20" a="1"/>
  <c r="L472" i="20" s="1"/>
  <c r="L473" i="20" a="1"/>
  <c r="L473" i="20" s="1"/>
  <c r="L474" i="20" a="1"/>
  <c r="L474" i="20" s="1"/>
  <c r="L475" i="20" a="1"/>
  <c r="L475" i="20" s="1"/>
  <c r="L476" i="20" a="1"/>
  <c r="L476" i="20" s="1"/>
  <c r="L477" i="20" a="1"/>
  <c r="L477" i="20"/>
  <c r="L478" i="20" a="1"/>
  <c r="L478" i="20" s="1"/>
  <c r="L479" i="20" a="1"/>
  <c r="L479" i="20" s="1"/>
  <c r="L480" i="20" a="1"/>
  <c r="L480" i="20" s="1"/>
  <c r="L481" i="20" a="1"/>
  <c r="L481" i="20" s="1"/>
  <c r="L482" i="20" a="1"/>
  <c r="L482" i="20" s="1"/>
  <c r="L483" i="20" a="1"/>
  <c r="L483" i="20" s="1"/>
  <c r="L484" i="20" a="1"/>
  <c r="L484" i="20" s="1"/>
  <c r="L485" i="20" a="1"/>
  <c r="L485" i="20"/>
  <c r="L486" i="20" a="1"/>
  <c r="L486" i="20" s="1"/>
  <c r="L487" i="20" a="1"/>
  <c r="L487" i="20" s="1"/>
  <c r="L488" i="20" a="1"/>
  <c r="L488" i="20" s="1"/>
  <c r="L489" i="20" a="1"/>
  <c r="L489" i="20" s="1"/>
  <c r="L490" i="20" a="1"/>
  <c r="L490" i="20" s="1"/>
  <c r="L491" i="20" a="1"/>
  <c r="L491" i="20" s="1"/>
  <c r="L492" i="20" a="1"/>
  <c r="L492" i="20" s="1"/>
  <c r="L493" i="20" a="1"/>
  <c r="L493" i="20"/>
  <c r="L494" i="20" a="1"/>
  <c r="L494" i="20" s="1"/>
  <c r="L495" i="20" a="1"/>
  <c r="L495" i="20" s="1"/>
  <c r="L496" i="20" a="1"/>
  <c r="L496" i="20" s="1"/>
  <c r="L497" i="20" a="1"/>
  <c r="L497" i="20" s="1"/>
  <c r="L498" i="20" a="1"/>
  <c r="L498" i="20" s="1"/>
  <c r="L499" i="20" a="1"/>
  <c r="L499" i="20" s="1"/>
  <c r="L500" i="20" a="1"/>
  <c r="L500" i="20" s="1"/>
  <c r="L501" i="20" a="1"/>
  <c r="L501" i="20" s="1"/>
  <c r="L502" i="20" a="1"/>
  <c r="L502" i="20" s="1"/>
  <c r="L503" i="20" a="1"/>
  <c r="L503" i="20" s="1"/>
  <c r="L504" i="20" a="1"/>
  <c r="L504" i="20" s="1"/>
  <c r="L505" i="20" a="1"/>
  <c r="L505" i="20" s="1"/>
  <c r="L506" i="20" a="1"/>
  <c r="L506" i="20" s="1"/>
  <c r="L507" i="20" a="1"/>
  <c r="L507" i="20" s="1"/>
  <c r="L508" i="20" a="1"/>
  <c r="L508" i="20" s="1"/>
  <c r="L509" i="20" a="1"/>
  <c r="L509" i="20"/>
  <c r="L510" i="20" a="1"/>
  <c r="L510" i="20" s="1"/>
  <c r="L511" i="20" a="1"/>
  <c r="L511" i="20" s="1"/>
  <c r="L512" i="20" a="1"/>
  <c r="L512" i="20" s="1"/>
  <c r="L513" i="20" a="1"/>
  <c r="L513" i="20"/>
  <c r="L514" i="20" a="1"/>
  <c r="L514" i="20" s="1"/>
  <c r="L515" i="20" a="1"/>
  <c r="L515" i="20" s="1"/>
  <c r="L516" i="20" a="1"/>
  <c r="L516" i="20" s="1"/>
  <c r="L517" i="20" a="1"/>
  <c r="L517" i="20" s="1"/>
  <c r="L518" i="20" a="1"/>
  <c r="L518" i="20" s="1"/>
  <c r="L519" i="20" a="1"/>
  <c r="L519" i="20" s="1"/>
  <c r="L520" i="20" a="1"/>
  <c r="L520" i="20" s="1"/>
  <c r="L521" i="20" a="1"/>
  <c r="L521" i="20" s="1"/>
  <c r="L522" i="20" a="1"/>
  <c r="L522" i="20" s="1"/>
  <c r="L523" i="20" a="1"/>
  <c r="L523" i="20" s="1"/>
  <c r="L524" i="20" a="1"/>
  <c r="L524" i="20" s="1"/>
  <c r="L525" i="20" a="1"/>
  <c r="L525" i="20"/>
  <c r="L526" i="20" a="1"/>
  <c r="L526" i="20" s="1"/>
  <c r="L527" i="20" a="1"/>
  <c r="L527" i="20" s="1"/>
  <c r="L528" i="20" a="1"/>
  <c r="L528" i="20" s="1"/>
  <c r="L529" i="20" a="1"/>
  <c r="L529" i="20"/>
  <c r="L530" i="20" a="1"/>
  <c r="L530" i="20" s="1"/>
  <c r="L531" i="20" a="1"/>
  <c r="L531" i="20" s="1"/>
  <c r="L532" i="20" a="1"/>
  <c r="L532" i="20" s="1"/>
  <c r="L533" i="20" a="1"/>
  <c r="L533" i="20" s="1"/>
  <c r="L534" i="20" a="1"/>
  <c r="L534" i="20" s="1"/>
  <c r="L535" i="20" a="1"/>
  <c r="L535" i="20" s="1"/>
  <c r="L536" i="20" a="1"/>
  <c r="L536" i="20" s="1"/>
  <c r="L537" i="20" a="1"/>
  <c r="L537" i="20" s="1"/>
  <c r="L538" i="20" a="1"/>
  <c r="L538" i="20" s="1"/>
  <c r="L539" i="20" a="1"/>
  <c r="L539" i="20" s="1"/>
  <c r="L540" i="20" a="1"/>
  <c r="L540" i="20" s="1"/>
  <c r="L541" i="20" a="1"/>
  <c r="L541" i="20"/>
  <c r="L542" i="20" a="1"/>
  <c r="L542" i="20" s="1"/>
  <c r="L543" i="20" a="1"/>
  <c r="L543" i="20" s="1"/>
  <c r="L544" i="20" a="1"/>
  <c r="L544" i="20" s="1"/>
  <c r="L545" i="20" a="1"/>
  <c r="L545" i="20"/>
  <c r="L546" i="20" a="1"/>
  <c r="L546" i="20" s="1"/>
  <c r="L547" i="20" a="1"/>
  <c r="L547" i="20" s="1"/>
  <c r="L548" i="20" a="1"/>
  <c r="L548" i="20" s="1"/>
  <c r="L549" i="20" a="1"/>
  <c r="L549" i="20" s="1"/>
  <c r="L550" i="20" a="1"/>
  <c r="L550" i="20" s="1"/>
  <c r="L551" i="20" a="1"/>
  <c r="L551" i="20" s="1"/>
  <c r="L552" i="20" a="1"/>
  <c r="L552" i="20" s="1"/>
  <c r="L553" i="20" a="1"/>
  <c r="L553" i="20" s="1"/>
  <c r="L554" i="20" a="1"/>
  <c r="L554" i="20" s="1"/>
  <c r="L555" i="20" a="1"/>
  <c r="L555" i="20" s="1"/>
  <c r="L556" i="20" a="1"/>
  <c r="L556" i="20" s="1"/>
  <c r="L557" i="20" a="1"/>
  <c r="L557" i="20" s="1"/>
  <c r="L558" i="20" a="1"/>
  <c r="L558" i="20" s="1"/>
  <c r="L559" i="20" a="1"/>
  <c r="L559" i="20" s="1"/>
  <c r="L560" i="20" a="1"/>
  <c r="L560" i="20" s="1"/>
  <c r="N560" i="20" s="1"/>
  <c r="L561" i="20" a="1"/>
  <c r="L561" i="20" s="1"/>
  <c r="L562" i="20" a="1"/>
  <c r="L562" i="20" s="1"/>
  <c r="L563" i="20" a="1"/>
  <c r="L563" i="20" s="1"/>
  <c r="L564" i="20" a="1"/>
  <c r="L564" i="20" s="1"/>
  <c r="N564" i="20" s="1"/>
  <c r="L565" i="20" a="1"/>
  <c r="L565" i="20" s="1"/>
  <c r="L566" i="20" a="1"/>
  <c r="L566" i="20" s="1"/>
  <c r="L567" i="20" a="1"/>
  <c r="L567" i="20" s="1"/>
  <c r="L568" i="20" a="1"/>
  <c r="L568" i="20"/>
  <c r="L569" i="20" a="1"/>
  <c r="L569" i="20" s="1"/>
  <c r="L570" i="20" a="1"/>
  <c r="L570" i="20" s="1"/>
  <c r="L571" i="20" a="1"/>
  <c r="L571" i="20" s="1"/>
  <c r="L572" i="20" a="1"/>
  <c r="L572" i="20"/>
  <c r="L573" i="20" a="1"/>
  <c r="L573" i="20" s="1"/>
  <c r="L574" i="20" a="1"/>
  <c r="L574" i="20" s="1"/>
  <c r="L575" i="20" a="1"/>
  <c r="L575" i="20" s="1"/>
  <c r="L576" i="20" a="1"/>
  <c r="L576" i="20" s="1"/>
  <c r="N576" i="20" s="1"/>
  <c r="L577" i="20" a="1"/>
  <c r="L577" i="20" s="1"/>
  <c r="L578" i="20" a="1"/>
  <c r="L578" i="20" s="1"/>
  <c r="L579" i="20" a="1"/>
  <c r="L579" i="20" s="1"/>
  <c r="L580" i="20" a="1"/>
  <c r="L580" i="20" s="1"/>
  <c r="N580" i="20" s="1"/>
  <c r="L581" i="20" a="1"/>
  <c r="L581" i="20" s="1"/>
  <c r="L582" i="20" a="1"/>
  <c r="L582" i="20" s="1"/>
  <c r="L583" i="20" a="1"/>
  <c r="L583" i="20" s="1"/>
  <c r="L584" i="20" a="1"/>
  <c r="L584" i="20"/>
  <c r="L585" i="20" a="1"/>
  <c r="L585" i="20" s="1"/>
  <c r="L586" i="20" a="1"/>
  <c r="L586" i="20" s="1"/>
  <c r="L587" i="20" a="1"/>
  <c r="L587" i="20" s="1"/>
  <c r="L588" i="20" a="1"/>
  <c r="L588" i="20"/>
  <c r="L589" i="20" a="1"/>
  <c r="L589" i="20" s="1"/>
  <c r="L590" i="20" a="1"/>
  <c r="L590" i="20" s="1"/>
  <c r="L591" i="20" a="1"/>
  <c r="L591" i="20" s="1"/>
  <c r="L592" i="20" a="1"/>
  <c r="L592" i="20" s="1"/>
  <c r="N592" i="20" s="1"/>
  <c r="L593" i="20" a="1"/>
  <c r="L593" i="20" s="1"/>
  <c r="L594" i="20" a="1"/>
  <c r="L594" i="20" s="1"/>
  <c r="L595" i="20" a="1"/>
  <c r="L595" i="20" s="1"/>
  <c r="L596" i="20" a="1"/>
  <c r="L596" i="20" s="1"/>
  <c r="N596" i="20" s="1"/>
  <c r="L597" i="20" a="1"/>
  <c r="L597" i="20" s="1"/>
  <c r="L598" i="20" a="1"/>
  <c r="L598" i="20" s="1"/>
  <c r="L599" i="20" a="1"/>
  <c r="L599" i="20" s="1"/>
  <c r="L600" i="20" a="1"/>
  <c r="L600" i="20"/>
  <c r="L601" i="20" a="1"/>
  <c r="L601" i="20" s="1"/>
  <c r="L602" i="20" a="1"/>
  <c r="L602" i="20" s="1"/>
  <c r="L603" i="20" a="1"/>
  <c r="L603" i="20" s="1"/>
  <c r="L604" i="20" a="1"/>
  <c r="L604" i="20"/>
  <c r="L605" i="20" a="1"/>
  <c r="L605" i="20" s="1"/>
  <c r="L606" i="20" a="1"/>
  <c r="L606" i="20" s="1"/>
  <c r="L607" i="20" a="1"/>
  <c r="L607" i="20" s="1"/>
  <c r="L608" i="20" a="1"/>
  <c r="L608" i="20" s="1"/>
  <c r="N608" i="20" s="1"/>
  <c r="L609" i="20" a="1"/>
  <c r="L609" i="20" s="1"/>
  <c r="L610" i="20" a="1"/>
  <c r="L610" i="20" s="1"/>
  <c r="L611" i="20" a="1"/>
  <c r="L611" i="20" s="1"/>
  <c r="L612" i="20" a="1"/>
  <c r="L612" i="20" s="1"/>
  <c r="N612" i="20" s="1"/>
  <c r="L613" i="20" a="1"/>
  <c r="L613" i="20" s="1"/>
  <c r="L614" i="20" a="1"/>
  <c r="L614" i="20" s="1"/>
  <c r="L615" i="20" a="1"/>
  <c r="L615" i="20" s="1"/>
  <c r="L616" i="20" a="1"/>
  <c r="L616" i="20"/>
  <c r="L617" i="20" a="1"/>
  <c r="L617" i="20" s="1"/>
  <c r="L618" i="20" a="1"/>
  <c r="L618" i="20" s="1"/>
  <c r="L619" i="20" a="1"/>
  <c r="L619" i="20" s="1"/>
  <c r="L620" i="20" a="1"/>
  <c r="L620" i="20"/>
  <c r="L621" i="20" a="1"/>
  <c r="L621" i="20" s="1"/>
  <c r="L622" i="20" a="1"/>
  <c r="L622" i="20" s="1"/>
  <c r="L623" i="20" a="1"/>
  <c r="L623" i="20" s="1"/>
  <c r="L624" i="20" a="1"/>
  <c r="L624" i="20" s="1"/>
  <c r="N624" i="20" s="1"/>
  <c r="L625" i="20" a="1"/>
  <c r="L625" i="20" s="1"/>
  <c r="L626" i="20" a="1"/>
  <c r="L626" i="20" s="1"/>
  <c r="L627" i="20" a="1"/>
  <c r="L627" i="20" s="1"/>
  <c r="L628" i="20" a="1"/>
  <c r="L628" i="20" s="1"/>
  <c r="N628" i="20" s="1"/>
  <c r="L629" i="20" a="1"/>
  <c r="L629" i="20" s="1"/>
  <c r="L630" i="20" a="1"/>
  <c r="L630" i="20" s="1"/>
  <c r="L631" i="20" a="1"/>
  <c r="L631" i="20" s="1"/>
  <c r="L632" i="20" a="1"/>
  <c r="L632" i="20"/>
  <c r="L633" i="20" a="1"/>
  <c r="L633" i="20" s="1"/>
  <c r="L634" i="20" a="1"/>
  <c r="L634" i="20" s="1"/>
  <c r="L635" i="20" a="1"/>
  <c r="L635" i="20" s="1"/>
  <c r="L636" i="20" a="1"/>
  <c r="L636" i="20"/>
  <c r="L637" i="20" a="1"/>
  <c r="L637" i="20" s="1"/>
  <c r="L638" i="20" a="1"/>
  <c r="L638" i="20" s="1"/>
  <c r="L639" i="20" a="1"/>
  <c r="L639" i="20" s="1"/>
  <c r="L640" i="20" a="1"/>
  <c r="L640" i="20" s="1"/>
  <c r="N640" i="20" s="1"/>
  <c r="L641" i="20" a="1"/>
  <c r="L641" i="20" s="1"/>
  <c r="L642" i="20" a="1"/>
  <c r="L642" i="20" s="1"/>
  <c r="L643" i="20" a="1"/>
  <c r="L643" i="20" s="1"/>
  <c r="L644" i="20" a="1"/>
  <c r="L644" i="20" s="1"/>
  <c r="N644" i="20" s="1"/>
  <c r="L645" i="20" a="1"/>
  <c r="L645" i="20" s="1"/>
  <c r="L646" i="20" a="1"/>
  <c r="L646" i="20" s="1"/>
  <c r="L647" i="20" a="1"/>
  <c r="L647" i="20" s="1"/>
  <c r="L648" i="20" a="1"/>
  <c r="L648" i="20"/>
  <c r="L649" i="20" a="1"/>
  <c r="L649" i="20" s="1"/>
  <c r="L650" i="20" a="1"/>
  <c r="L650" i="20" s="1"/>
  <c r="L651" i="20" a="1"/>
  <c r="L651" i="20" s="1"/>
  <c r="L652" i="20" a="1"/>
  <c r="L652" i="20"/>
  <c r="L653" i="20" a="1"/>
  <c r="L653" i="20" s="1"/>
  <c r="L654" i="20" a="1"/>
  <c r="L654" i="20" s="1"/>
  <c r="L655" i="20" a="1"/>
  <c r="L655" i="20" s="1"/>
  <c r="L656" i="20" a="1"/>
  <c r="L656" i="20" s="1"/>
  <c r="N656" i="20" s="1"/>
  <c r="L657" i="20" a="1"/>
  <c r="L657" i="20" s="1"/>
  <c r="L658" i="20" a="1"/>
  <c r="L658" i="20" s="1"/>
  <c r="L659" i="20" a="1"/>
  <c r="L659" i="20" s="1"/>
  <c r="L660" i="20" a="1"/>
  <c r="L660" i="20"/>
  <c r="L661" i="20" a="1"/>
  <c r="L661" i="20" s="1"/>
  <c r="L662" i="20" a="1"/>
  <c r="L662" i="20" s="1"/>
  <c r="L663" i="20" a="1"/>
  <c r="L663" i="20" s="1"/>
  <c r="L664" i="20" a="1"/>
  <c r="L664" i="20" s="1"/>
  <c r="N664" i="20" s="1"/>
  <c r="L665" i="20" a="1"/>
  <c r="L665" i="20" s="1"/>
  <c r="L666" i="20" a="1"/>
  <c r="L666" i="20" s="1"/>
  <c r="L667" i="20" a="1"/>
  <c r="L667" i="20" s="1"/>
  <c r="L668" i="20" a="1"/>
  <c r="L668" i="20"/>
  <c r="L669" i="20" a="1"/>
  <c r="L669" i="20" s="1"/>
  <c r="L670" i="20" a="1"/>
  <c r="L670" i="20" s="1"/>
  <c r="L671" i="20" a="1"/>
  <c r="L671" i="20" s="1"/>
  <c r="L672" i="20" a="1"/>
  <c r="L672" i="20" s="1"/>
  <c r="N672" i="20" s="1"/>
  <c r="L673" i="20" a="1"/>
  <c r="L673" i="20" s="1"/>
  <c r="L674" i="20" a="1"/>
  <c r="L674" i="20" s="1"/>
  <c r="L675" i="20" a="1"/>
  <c r="L675" i="20" s="1"/>
  <c r="L676" i="20" a="1"/>
  <c r="L676" i="20"/>
  <c r="L677" i="20" a="1"/>
  <c r="L677" i="20" s="1"/>
  <c r="L678" i="20" a="1"/>
  <c r="L678" i="20" s="1"/>
  <c r="L679" i="20" a="1"/>
  <c r="L679" i="20" s="1"/>
  <c r="L680" i="20" a="1"/>
  <c r="L680" i="20" s="1"/>
  <c r="N680" i="20" s="1"/>
  <c r="L681" i="20" a="1"/>
  <c r="L681" i="20" s="1"/>
  <c r="L682" i="20" a="1"/>
  <c r="L682" i="20" s="1"/>
  <c r="L683" i="20" a="1"/>
  <c r="L683" i="20" s="1"/>
  <c r="L684" i="20" a="1"/>
  <c r="L684" i="20"/>
  <c r="L685" i="20" a="1"/>
  <c r="L685" i="20" s="1"/>
  <c r="L686" i="20" a="1"/>
  <c r="L686" i="20" s="1"/>
  <c r="L687" i="20" a="1"/>
  <c r="L687" i="20" s="1"/>
  <c r="L688" i="20" a="1"/>
  <c r="L688" i="20" s="1"/>
  <c r="N688" i="20" s="1"/>
  <c r="L689" i="20" a="1"/>
  <c r="L689" i="20" s="1"/>
  <c r="L690" i="20" a="1"/>
  <c r="L690" i="20" s="1"/>
  <c r="L691" i="20" a="1"/>
  <c r="L691" i="20" s="1"/>
  <c r="L692" i="20" a="1"/>
  <c r="L692" i="20"/>
  <c r="L693" i="20" a="1"/>
  <c r="L693" i="20" s="1"/>
  <c r="L694" i="20" a="1"/>
  <c r="L694" i="20" s="1"/>
  <c r="L695" i="20" a="1"/>
  <c r="L695" i="20" s="1"/>
  <c r="L696" i="20" a="1"/>
  <c r="L696" i="20" s="1"/>
  <c r="N696" i="20" s="1"/>
  <c r="L697" i="20" a="1"/>
  <c r="L697" i="20" s="1"/>
  <c r="L698" i="20" a="1"/>
  <c r="L698" i="20" s="1"/>
  <c r="L699" i="20" a="1"/>
  <c r="L699" i="20" s="1"/>
  <c r="L700" i="20" a="1"/>
  <c r="L700" i="20"/>
  <c r="L701" i="20" a="1"/>
  <c r="L701" i="20" s="1"/>
  <c r="L702" i="20" a="1"/>
  <c r="L702" i="20" s="1"/>
  <c r="L703" i="20" a="1"/>
  <c r="L703" i="20" s="1"/>
  <c r="L704" i="20" a="1"/>
  <c r="L704" i="20" s="1"/>
  <c r="N704" i="20" s="1"/>
  <c r="L705" i="20" a="1"/>
  <c r="L705" i="20" s="1"/>
  <c r="L706" i="20" a="1"/>
  <c r="L706" i="20" s="1"/>
  <c r="L707" i="20" a="1"/>
  <c r="L707" i="20" s="1"/>
  <c r="L708" i="20" a="1"/>
  <c r="L708" i="20"/>
  <c r="L709" i="20" a="1"/>
  <c r="L709" i="20" s="1"/>
  <c r="L710" i="20" a="1"/>
  <c r="L710" i="20" s="1"/>
  <c r="L711" i="20" a="1"/>
  <c r="L711" i="20" s="1"/>
  <c r="L712" i="20" a="1"/>
  <c r="L712" i="20" s="1"/>
  <c r="N712" i="20" s="1"/>
  <c r="L713" i="20" a="1"/>
  <c r="L713" i="20" s="1"/>
  <c r="L714" i="20" a="1"/>
  <c r="L714" i="20" s="1"/>
  <c r="L715" i="20" a="1"/>
  <c r="L715" i="20" s="1"/>
  <c r="L716" i="20" a="1"/>
  <c r="L716" i="20"/>
  <c r="L717" i="20" a="1"/>
  <c r="L717" i="20" s="1"/>
  <c r="L718" i="20" a="1"/>
  <c r="L718" i="20" s="1"/>
  <c r="L719" i="20" a="1"/>
  <c r="L719" i="20" s="1"/>
  <c r="L720" i="20" a="1"/>
  <c r="L720" i="20" s="1"/>
  <c r="N720" i="20" s="1"/>
  <c r="L721" i="20" a="1"/>
  <c r="L721" i="20" s="1"/>
  <c r="L722" i="20" a="1"/>
  <c r="L722" i="20" s="1"/>
  <c r="L723" i="20" a="1"/>
  <c r="L723" i="20" s="1"/>
  <c r="L724" i="20" a="1"/>
  <c r="L724" i="20"/>
  <c r="L725" i="20" a="1"/>
  <c r="L725" i="20" s="1"/>
  <c r="L726" i="20" a="1"/>
  <c r="L726" i="20" s="1"/>
  <c r="L727" i="20" a="1"/>
  <c r="L727" i="20" s="1"/>
  <c r="L728" i="20" a="1"/>
  <c r="L728" i="20" s="1"/>
  <c r="N728" i="20" s="1"/>
  <c r="L729" i="20" a="1"/>
  <c r="L729" i="20" s="1"/>
  <c r="L730" i="20" a="1"/>
  <c r="L730" i="20" s="1"/>
  <c r="L731" i="20" a="1"/>
  <c r="L731" i="20" s="1"/>
  <c r="L732" i="20" a="1"/>
  <c r="L732" i="20"/>
  <c r="L733" i="20" a="1"/>
  <c r="L733" i="20" s="1"/>
  <c r="L734" i="20" a="1"/>
  <c r="L734" i="20" s="1"/>
  <c r="L735" i="20" a="1"/>
  <c r="L735" i="20" s="1"/>
  <c r="L736" i="20" a="1"/>
  <c r="L736" i="20" s="1"/>
  <c r="N736" i="20" s="1"/>
  <c r="L737" i="20" a="1"/>
  <c r="L737" i="20" s="1"/>
  <c r="L738" i="20" a="1"/>
  <c r="L738" i="20" s="1"/>
  <c r="L739" i="20" a="1"/>
  <c r="L739" i="20" s="1"/>
  <c r="L740" i="20" a="1"/>
  <c r="L740" i="20"/>
  <c r="L741" i="20" a="1"/>
  <c r="L741" i="20" s="1"/>
  <c r="L742" i="20" a="1"/>
  <c r="L742" i="20" s="1"/>
  <c r="L743" i="20" a="1"/>
  <c r="L743" i="20" s="1"/>
  <c r="L744" i="20" a="1"/>
  <c r="L744" i="20" s="1"/>
  <c r="N744" i="20" s="1"/>
  <c r="L745" i="20" a="1"/>
  <c r="L745" i="20" s="1"/>
  <c r="L746" i="20" a="1"/>
  <c r="L746" i="20" s="1"/>
  <c r="L747" i="20" a="1"/>
  <c r="L747" i="20" s="1"/>
  <c r="L748" i="20" a="1"/>
  <c r="L748" i="20"/>
  <c r="L749" i="20" a="1"/>
  <c r="L749" i="20" s="1"/>
  <c r="L750" i="20" a="1"/>
  <c r="L750" i="20" s="1"/>
  <c r="L751" i="20" a="1"/>
  <c r="L751" i="20" s="1"/>
  <c r="M2" i="20" a="1"/>
  <c r="M2" i="20" s="1"/>
  <c r="N2" i="20" s="1"/>
  <c r="M3" i="20" a="1"/>
  <c r="M3" i="20" s="1"/>
  <c r="M4" i="20" a="1"/>
  <c r="M4" i="20" s="1"/>
  <c r="M5" i="20" a="1"/>
  <c r="M5" i="20" s="1"/>
  <c r="N5" i="20" s="1"/>
  <c r="M6" i="20" a="1"/>
  <c r="M6" i="20"/>
  <c r="N6" i="20" s="1"/>
  <c r="M7" i="20" a="1"/>
  <c r="M7" i="20" s="1"/>
  <c r="M8" i="20" a="1"/>
  <c r="M8" i="20" s="1"/>
  <c r="N8" i="20" s="1"/>
  <c r="M9" i="20" a="1"/>
  <c r="M9" i="20" s="1"/>
  <c r="N9" i="20" s="1"/>
  <c r="M10" i="20" a="1"/>
  <c r="M10" i="20" s="1"/>
  <c r="N10" i="20" s="1"/>
  <c r="M11" i="20" a="1"/>
  <c r="M11" i="20" s="1"/>
  <c r="M12" i="20" a="1"/>
  <c r="M12" i="20" s="1"/>
  <c r="M13" i="20" a="1"/>
  <c r="M13" i="20" s="1"/>
  <c r="N13" i="20" s="1"/>
  <c r="M14" i="20" a="1"/>
  <c r="M14" i="20"/>
  <c r="N14" i="20" s="1"/>
  <c r="M15" i="20" a="1"/>
  <c r="M15" i="20" s="1"/>
  <c r="M16" i="20" a="1"/>
  <c r="M16" i="20" s="1"/>
  <c r="N16" i="20" s="1"/>
  <c r="M17" i="20" a="1"/>
  <c r="M17" i="20" s="1"/>
  <c r="N17" i="20" s="1"/>
  <c r="M18" i="20" a="1"/>
  <c r="M18" i="20" s="1"/>
  <c r="N18" i="20" s="1"/>
  <c r="M19" i="20" a="1"/>
  <c r="M19" i="20" s="1"/>
  <c r="M20" i="20" a="1"/>
  <c r="M20" i="20" s="1"/>
  <c r="M21" i="20" a="1"/>
  <c r="M21" i="20" s="1"/>
  <c r="N21" i="20" s="1"/>
  <c r="M22" i="20" a="1"/>
  <c r="M22" i="20"/>
  <c r="N22" i="20" s="1"/>
  <c r="M23" i="20" a="1"/>
  <c r="M23" i="20" s="1"/>
  <c r="M24" i="20" a="1"/>
  <c r="M24" i="20" s="1"/>
  <c r="N24" i="20" s="1"/>
  <c r="M25" i="20" a="1"/>
  <c r="M25" i="20" s="1"/>
  <c r="N25" i="20" s="1"/>
  <c r="M26" i="20" a="1"/>
  <c r="M26" i="20" s="1"/>
  <c r="N26" i="20" s="1"/>
  <c r="M27" i="20" a="1"/>
  <c r="M27" i="20" s="1"/>
  <c r="M28" i="20" a="1"/>
  <c r="M28" i="20" s="1"/>
  <c r="M29" i="20" a="1"/>
  <c r="M29" i="20" s="1"/>
  <c r="N29" i="20" s="1"/>
  <c r="M30" i="20" a="1"/>
  <c r="M30" i="20"/>
  <c r="N30" i="20" s="1"/>
  <c r="M31" i="20" a="1"/>
  <c r="M31" i="20" s="1"/>
  <c r="M32" i="20" a="1"/>
  <c r="M32" i="20" s="1"/>
  <c r="N32" i="20" s="1"/>
  <c r="M33" i="20" a="1"/>
  <c r="M33" i="20" s="1"/>
  <c r="N33" i="20" s="1"/>
  <c r="M34" i="20" a="1"/>
  <c r="M34" i="20" s="1"/>
  <c r="N34" i="20" s="1"/>
  <c r="M35" i="20" a="1"/>
  <c r="M35" i="20" s="1"/>
  <c r="M36" i="20" a="1"/>
  <c r="M36" i="20" s="1"/>
  <c r="M37" i="20" a="1"/>
  <c r="M37" i="20" s="1"/>
  <c r="N37" i="20" s="1"/>
  <c r="M38" i="20" a="1"/>
  <c r="M38" i="20"/>
  <c r="N38" i="20" s="1"/>
  <c r="M39" i="20" a="1"/>
  <c r="M39" i="20" s="1"/>
  <c r="M40" i="20" a="1"/>
  <c r="M40" i="20" s="1"/>
  <c r="N40" i="20" s="1"/>
  <c r="M41" i="20" a="1"/>
  <c r="M41" i="20" s="1"/>
  <c r="N41" i="20" s="1"/>
  <c r="M42" i="20" a="1"/>
  <c r="M42" i="20" s="1"/>
  <c r="N42" i="20" s="1"/>
  <c r="M43" i="20" a="1"/>
  <c r="M43" i="20" s="1"/>
  <c r="M44" i="20" a="1"/>
  <c r="M44" i="20" s="1"/>
  <c r="M45" i="20" a="1"/>
  <c r="M45" i="20" s="1"/>
  <c r="N45" i="20" s="1"/>
  <c r="M46" i="20" a="1"/>
  <c r="M46" i="20"/>
  <c r="N46" i="20" s="1"/>
  <c r="M47" i="20" a="1"/>
  <c r="M47" i="20" s="1"/>
  <c r="M48" i="20" a="1"/>
  <c r="M48" i="20" s="1"/>
  <c r="N48" i="20" s="1"/>
  <c r="M49" i="20" a="1"/>
  <c r="M49" i="20" s="1"/>
  <c r="N49" i="20" s="1"/>
  <c r="M50" i="20" a="1"/>
  <c r="M50" i="20" s="1"/>
  <c r="N50" i="20" s="1"/>
  <c r="M51" i="20" a="1"/>
  <c r="M51" i="20" s="1"/>
  <c r="M52" i="20" a="1"/>
  <c r="M52" i="20" s="1"/>
  <c r="M53" i="20" a="1"/>
  <c r="M53" i="20" s="1"/>
  <c r="N53" i="20" s="1"/>
  <c r="M54" i="20" a="1"/>
  <c r="M54" i="20"/>
  <c r="N54" i="20" s="1"/>
  <c r="M55" i="20" a="1"/>
  <c r="M55" i="20" s="1"/>
  <c r="M56" i="20" a="1"/>
  <c r="M56" i="20" s="1"/>
  <c r="N56" i="20" s="1"/>
  <c r="M57" i="20" a="1"/>
  <c r="M57" i="20" s="1"/>
  <c r="N57" i="20" s="1"/>
  <c r="M58" i="20" a="1"/>
  <c r="M58" i="20" s="1"/>
  <c r="N58" i="20" s="1"/>
  <c r="M59" i="20" a="1"/>
  <c r="M59" i="20" s="1"/>
  <c r="M60" i="20" a="1"/>
  <c r="M60" i="20" s="1"/>
  <c r="M61" i="20" a="1"/>
  <c r="M61" i="20" s="1"/>
  <c r="N61" i="20" s="1"/>
  <c r="M62" i="20" a="1"/>
  <c r="M62" i="20"/>
  <c r="N62" i="20" s="1"/>
  <c r="M63" i="20" a="1"/>
  <c r="M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M68" i="20" a="1"/>
  <c r="M68" i="20" s="1"/>
  <c r="M69" i="20" a="1"/>
  <c r="M69" i="20" s="1"/>
  <c r="N69" i="20" s="1"/>
  <c r="M70" i="20" a="1"/>
  <c r="M70" i="20"/>
  <c r="N70" i="20" s="1"/>
  <c r="M71" i="20" a="1"/>
  <c r="M71" i="20" s="1"/>
  <c r="M72" i="20" a="1"/>
  <c r="M72" i="20" s="1"/>
  <c r="N72" i="20" s="1"/>
  <c r="M73" i="20" a="1"/>
  <c r="M73" i="20" s="1"/>
  <c r="N73" i="20" s="1"/>
  <c r="M74" i="20" a="1"/>
  <c r="M74" i="20" s="1"/>
  <c r="N74" i="20" s="1"/>
  <c r="M75" i="20" a="1"/>
  <c r="M75" i="20" s="1"/>
  <c r="M76" i="20" a="1"/>
  <c r="M76" i="20" s="1"/>
  <c r="M77" i="20" a="1"/>
  <c r="M77" i="20" s="1"/>
  <c r="N77" i="20" s="1"/>
  <c r="M78" i="20" a="1"/>
  <c r="M78" i="20"/>
  <c r="N78" i="20" s="1"/>
  <c r="M79" i="20" a="1"/>
  <c r="M79" i="20" s="1"/>
  <c r="M80" i="20" a="1"/>
  <c r="M80" i="20" s="1"/>
  <c r="N80" i="20" s="1"/>
  <c r="M81" i="20" a="1"/>
  <c r="M81" i="20" s="1"/>
  <c r="N81" i="20" s="1"/>
  <c r="M82" i="20" a="1"/>
  <c r="M82" i="20" s="1"/>
  <c r="N82" i="20" s="1"/>
  <c r="M83" i="20" a="1"/>
  <c r="M83" i="20" s="1"/>
  <c r="M84" i="20" a="1"/>
  <c r="M84" i="20" s="1"/>
  <c r="M85" i="20" a="1"/>
  <c r="M85" i="20" s="1"/>
  <c r="N85" i="20" s="1"/>
  <c r="M86" i="20" a="1"/>
  <c r="M86" i="20"/>
  <c r="N86" i="20" s="1"/>
  <c r="M87" i="20" a="1"/>
  <c r="M87" i="20" s="1"/>
  <c r="M88" i="20" a="1"/>
  <c r="M88" i="20" s="1"/>
  <c r="N88" i="20" s="1"/>
  <c r="M89" i="20" a="1"/>
  <c r="M89" i="20" s="1"/>
  <c r="N89" i="20" s="1"/>
  <c r="M90" i="20" a="1"/>
  <c r="M90" i="20" s="1"/>
  <c r="N90" i="20" s="1"/>
  <c r="M91" i="20" a="1"/>
  <c r="M91" i="20" s="1"/>
  <c r="M92" i="20" a="1"/>
  <c r="M92" i="20" s="1"/>
  <c r="M93" i="20" a="1"/>
  <c r="M93" i="20" s="1"/>
  <c r="N93" i="20" s="1"/>
  <c r="M94" i="20" a="1"/>
  <c r="M94" i="20"/>
  <c r="N94" i="20" s="1"/>
  <c r="M95" i="20" a="1"/>
  <c r="M95" i="20" s="1"/>
  <c r="M96" i="20" a="1"/>
  <c r="M96" i="20" s="1"/>
  <c r="N96" i="20" s="1"/>
  <c r="M97" i="20" a="1"/>
  <c r="M97" i="20" s="1"/>
  <c r="N97" i="20" s="1"/>
  <c r="M98" i="20" a="1"/>
  <c r="M98" i="20" s="1"/>
  <c r="N98" i="20" s="1"/>
  <c r="M99" i="20" a="1"/>
  <c r="M99" i="20" s="1"/>
  <c r="M100" i="20" a="1"/>
  <c r="M100" i="20" s="1"/>
  <c r="M101" i="20" a="1"/>
  <c r="M101" i="20" s="1"/>
  <c r="N101" i="20" s="1"/>
  <c r="M102" i="20" a="1"/>
  <c r="M102" i="20"/>
  <c r="N102" i="20" s="1"/>
  <c r="M103" i="20" a="1"/>
  <c r="M103" i="20" s="1"/>
  <c r="M104" i="20" a="1"/>
  <c r="M104" i="20" s="1"/>
  <c r="N104" i="20" s="1"/>
  <c r="M105" i="20" a="1"/>
  <c r="M105" i="20" s="1"/>
  <c r="N105" i="20" s="1"/>
  <c r="M106" i="20" a="1"/>
  <c r="M106" i="20" s="1"/>
  <c r="N106" i="20" s="1"/>
  <c r="M107" i="20" a="1"/>
  <c r="M107" i="20" s="1"/>
  <c r="M108" i="20" a="1"/>
  <c r="M108" i="20" s="1"/>
  <c r="M109" i="20" a="1"/>
  <c r="M109" i="20" s="1"/>
  <c r="N109" i="20" s="1"/>
  <c r="M110" i="20" a="1"/>
  <c r="M110" i="20"/>
  <c r="N110" i="20" s="1"/>
  <c r="M111" i="20" a="1"/>
  <c r="M111" i="20" s="1"/>
  <c r="M112" i="20" a="1"/>
  <c r="M112" i="20" s="1"/>
  <c r="N112" i="20" s="1"/>
  <c r="M113" i="20" a="1"/>
  <c r="M113" i="20" s="1"/>
  <c r="N113" i="20" s="1"/>
  <c r="M114" i="20" a="1"/>
  <c r="M114" i="20" s="1"/>
  <c r="N114" i="20" s="1"/>
  <c r="M115" i="20" a="1"/>
  <c r="M115" i="20" s="1"/>
  <c r="M116" i="20" a="1"/>
  <c r="M116" i="20" s="1"/>
  <c r="M117" i="20" a="1"/>
  <c r="M117" i="20" s="1"/>
  <c r="N117" i="20" s="1"/>
  <c r="M118" i="20" a="1"/>
  <c r="M118" i="20"/>
  <c r="N118" i="20" s="1"/>
  <c r="M119" i="20" a="1"/>
  <c r="M119" i="20" s="1"/>
  <c r="M120" i="20" a="1"/>
  <c r="M120" i="20" s="1"/>
  <c r="N120" i="20" s="1"/>
  <c r="M121" i="20" a="1"/>
  <c r="M121" i="20" s="1"/>
  <c r="N121" i="20" s="1"/>
  <c r="M122" i="20" a="1"/>
  <c r="M122" i="20" s="1"/>
  <c r="N122" i="20" s="1"/>
  <c r="M123" i="20" a="1"/>
  <c r="M123" i="20" s="1"/>
  <c r="M124" i="20" a="1"/>
  <c r="M124" i="20" s="1"/>
  <c r="M125" i="20" a="1"/>
  <c r="M125" i="20" s="1"/>
  <c r="N125" i="20" s="1"/>
  <c r="M126" i="20" a="1"/>
  <c r="M126" i="20"/>
  <c r="N126" i="20" s="1"/>
  <c r="M127" i="20" a="1"/>
  <c r="M127" i="20" s="1"/>
  <c r="M128" i="20" a="1"/>
  <c r="M128" i="20" s="1"/>
  <c r="N128" i="20" s="1"/>
  <c r="M129" i="20" a="1"/>
  <c r="M129" i="20" s="1"/>
  <c r="N129" i="20" s="1"/>
  <c r="M130" i="20" a="1"/>
  <c r="M130" i="20" s="1"/>
  <c r="N130" i="20" s="1"/>
  <c r="M131" i="20" a="1"/>
  <c r="M131" i="20" s="1"/>
  <c r="M132" i="20" a="1"/>
  <c r="M132" i="20" s="1"/>
  <c r="M133" i="20" a="1"/>
  <c r="M133" i="20" s="1"/>
  <c r="N133" i="20" s="1"/>
  <c r="M134" i="20" a="1"/>
  <c r="M134" i="20"/>
  <c r="N134" i="20" s="1"/>
  <c r="M135" i="20" a="1"/>
  <c r="M135" i="20" s="1"/>
  <c r="M136" i="20" a="1"/>
  <c r="M136" i="20" s="1"/>
  <c r="N136" i="20" s="1"/>
  <c r="M137" i="20" a="1"/>
  <c r="M137" i="20" s="1"/>
  <c r="N137" i="20" s="1"/>
  <c r="M138" i="20" a="1"/>
  <c r="M138" i="20" s="1"/>
  <c r="N138" i="20" s="1"/>
  <c r="M139" i="20" a="1"/>
  <c r="M139" i="20" s="1"/>
  <c r="M140" i="20" a="1"/>
  <c r="M140" i="20" s="1"/>
  <c r="M141" i="20" a="1"/>
  <c r="M141" i="20" s="1"/>
  <c r="N141" i="20" s="1"/>
  <c r="M142" i="20" a="1"/>
  <c r="M142" i="20"/>
  <c r="N142" i="20" s="1"/>
  <c r="M143" i="20" a="1"/>
  <c r="M143" i="20" s="1"/>
  <c r="M144" i="20" a="1"/>
  <c r="M144" i="20" s="1"/>
  <c r="N144" i="20" s="1"/>
  <c r="M145" i="20" a="1"/>
  <c r="M145" i="20" s="1"/>
  <c r="N145" i="20" s="1"/>
  <c r="M146" i="20" a="1"/>
  <c r="M146" i="20" s="1"/>
  <c r="N146" i="20" s="1"/>
  <c r="M147" i="20" a="1"/>
  <c r="M147" i="20" s="1"/>
  <c r="M148" i="20" a="1"/>
  <c r="M148" i="20" s="1"/>
  <c r="M149" i="20" a="1"/>
  <c r="M149" i="20" s="1"/>
  <c r="N149" i="20" s="1"/>
  <c r="M150" i="20" a="1"/>
  <c r="M150" i="20"/>
  <c r="N150" i="20" s="1"/>
  <c r="M151" i="20" a="1"/>
  <c r="M151" i="20" s="1"/>
  <c r="M152" i="20" a="1"/>
  <c r="M152" i="20" s="1"/>
  <c r="N152" i="20" s="1"/>
  <c r="M153" i="20" a="1"/>
  <c r="M153" i="20" s="1"/>
  <c r="N153" i="20" s="1"/>
  <c r="M154" i="20" a="1"/>
  <c r="M154" i="20" s="1"/>
  <c r="N154" i="20" s="1"/>
  <c r="M155" i="20" a="1"/>
  <c r="M155" i="20" s="1"/>
  <c r="M156" i="20" a="1"/>
  <c r="M156" i="20" s="1"/>
  <c r="M157" i="20" a="1"/>
  <c r="M157" i="20" s="1"/>
  <c r="N157" i="20" s="1"/>
  <c r="M158" i="20" a="1"/>
  <c r="M158" i="20"/>
  <c r="N158" i="20" s="1"/>
  <c r="M159" i="20" a="1"/>
  <c r="M159" i="20" s="1"/>
  <c r="M160" i="20" a="1"/>
  <c r="M160" i="20" s="1"/>
  <c r="N160" i="20" s="1"/>
  <c r="M161" i="20" a="1"/>
  <c r="M161" i="20" s="1"/>
  <c r="N161" i="20" s="1"/>
  <c r="M162" i="20" a="1"/>
  <c r="M162" i="20" s="1"/>
  <c r="N162" i="20" s="1"/>
  <c r="M163" i="20" a="1"/>
  <c r="M163" i="20" s="1"/>
  <c r="M164" i="20" a="1"/>
  <c r="M164" i="20" s="1"/>
  <c r="M165" i="20" a="1"/>
  <c r="M165" i="20" s="1"/>
  <c r="N165" i="20" s="1"/>
  <c r="M166" i="20" a="1"/>
  <c r="M166" i="20"/>
  <c r="N166" i="20" s="1"/>
  <c r="M167" i="20" a="1"/>
  <c r="M167" i="20" s="1"/>
  <c r="M168" i="20" a="1"/>
  <c r="M168" i="20" s="1"/>
  <c r="N168" i="20" s="1"/>
  <c r="M169" i="20" a="1"/>
  <c r="M169" i="20" s="1"/>
  <c r="N169" i="20" s="1"/>
  <c r="M170" i="20" a="1"/>
  <c r="M170" i="20" s="1"/>
  <c r="N170" i="20" s="1"/>
  <c r="M171" i="20" a="1"/>
  <c r="M171" i="20" s="1"/>
  <c r="M172" i="20" a="1"/>
  <c r="M172" i="20" s="1"/>
  <c r="M173" i="20" a="1"/>
  <c r="M173" i="20" s="1"/>
  <c r="N173" i="20" s="1"/>
  <c r="M174" i="20" a="1"/>
  <c r="M174" i="20"/>
  <c r="N174" i="20" s="1"/>
  <c r="M175" i="20" a="1"/>
  <c r="M175" i="20" s="1"/>
  <c r="M176" i="20" a="1"/>
  <c r="M176" i="20" s="1"/>
  <c r="N176" i="20" s="1"/>
  <c r="M177" i="20" a="1"/>
  <c r="M177" i="20" s="1"/>
  <c r="N177" i="20" s="1"/>
  <c r="M178" i="20" a="1"/>
  <c r="M178" i="20" s="1"/>
  <c r="N178" i="20" s="1"/>
  <c r="M179" i="20" a="1"/>
  <c r="M179" i="20" s="1"/>
  <c r="M180" i="20" a="1"/>
  <c r="M180" i="20" s="1"/>
  <c r="M181" i="20" a="1"/>
  <c r="M181" i="20" s="1"/>
  <c r="N181" i="20" s="1"/>
  <c r="M182" i="20" a="1"/>
  <c r="M182" i="20"/>
  <c r="N182" i="20" s="1"/>
  <c r="M183" i="20" a="1"/>
  <c r="M183" i="20" s="1"/>
  <c r="M184" i="20" a="1"/>
  <c r="M184" i="20" s="1"/>
  <c r="N184" i="20" s="1"/>
  <c r="M185" i="20" a="1"/>
  <c r="M185" i="20" s="1"/>
  <c r="N185" i="20" s="1"/>
  <c r="M186" i="20" a="1"/>
  <c r="M186" i="20" s="1"/>
  <c r="N186" i="20" s="1"/>
  <c r="M187" i="20" a="1"/>
  <c r="M187" i="20" s="1"/>
  <c r="M188" i="20" a="1"/>
  <c r="M188" i="20" s="1"/>
  <c r="M189" i="20" a="1"/>
  <c r="M189" i="20" s="1"/>
  <c r="N189" i="20" s="1"/>
  <c r="M190" i="20" a="1"/>
  <c r="M190" i="20"/>
  <c r="N190" i="20" s="1"/>
  <c r="M191" i="20" a="1"/>
  <c r="M191" i="20" s="1"/>
  <c r="M192" i="20" a="1"/>
  <c r="M192" i="20" s="1"/>
  <c r="N192" i="20" s="1"/>
  <c r="M193" i="20" a="1"/>
  <c r="M193" i="20" s="1"/>
  <c r="N193" i="20" s="1"/>
  <c r="M194" i="20" a="1"/>
  <c r="M194" i="20" s="1"/>
  <c r="N194" i="20" s="1"/>
  <c r="M195" i="20" a="1"/>
  <c r="M195" i="20" s="1"/>
  <c r="M196" i="20" a="1"/>
  <c r="M196" i="20" s="1"/>
  <c r="M197" i="20" a="1"/>
  <c r="M197" i="20" s="1"/>
  <c r="N197" i="20" s="1"/>
  <c r="M198" i="20" a="1"/>
  <c r="M198" i="20"/>
  <c r="N198" i="20" s="1"/>
  <c r="M199" i="20" a="1"/>
  <c r="M199" i="20" s="1"/>
  <c r="M200" i="20" a="1"/>
  <c r="M200" i="20" s="1"/>
  <c r="N200" i="20" s="1"/>
  <c r="M201" i="20" a="1"/>
  <c r="M201" i="20" s="1"/>
  <c r="N201" i="20" s="1"/>
  <c r="M202" i="20" a="1"/>
  <c r="M202" i="20" s="1"/>
  <c r="N202" i="20" s="1"/>
  <c r="M203" i="20" a="1"/>
  <c r="M203" i="20" s="1"/>
  <c r="M204" i="20" a="1"/>
  <c r="M204" i="20" s="1"/>
  <c r="M205" i="20" a="1"/>
  <c r="M205" i="20" s="1"/>
  <c r="N205" i="20" s="1"/>
  <c r="M206" i="20" a="1"/>
  <c r="M206" i="20"/>
  <c r="N206" i="20" s="1"/>
  <c r="M207" i="20" a="1"/>
  <c r="M207" i="20" s="1"/>
  <c r="M208" i="20" a="1"/>
  <c r="M208" i="20" s="1"/>
  <c r="N208" i="20" s="1"/>
  <c r="M209" i="20" a="1"/>
  <c r="M209" i="20" s="1"/>
  <c r="N209" i="20" s="1"/>
  <c r="M210" i="20" a="1"/>
  <c r="M210" i="20" s="1"/>
  <c r="N210" i="20" s="1"/>
  <c r="M211" i="20" a="1"/>
  <c r="M211" i="20" s="1"/>
  <c r="M212" i="20" a="1"/>
  <c r="M212" i="20" s="1"/>
  <c r="M213" i="20" a="1"/>
  <c r="M213" i="20" s="1"/>
  <c r="N213" i="20" s="1"/>
  <c r="M214" i="20" a="1"/>
  <c r="M214" i="20"/>
  <c r="N214" i="20" s="1"/>
  <c r="M215" i="20" a="1"/>
  <c r="M215" i="20" s="1"/>
  <c r="M216" i="20" a="1"/>
  <c r="M216" i="20" s="1"/>
  <c r="N216" i="20" s="1"/>
  <c r="M217" i="20" a="1"/>
  <c r="M217" i="20" s="1"/>
  <c r="N217" i="20" s="1"/>
  <c r="M218" i="20" a="1"/>
  <c r="M218" i="20" s="1"/>
  <c r="N218" i="20" s="1"/>
  <c r="M219" i="20" a="1"/>
  <c r="M219" i="20" s="1"/>
  <c r="M220" i="20" a="1"/>
  <c r="M220" i="20" s="1"/>
  <c r="M221" i="20" a="1"/>
  <c r="M221" i="20" s="1"/>
  <c r="N221" i="20" s="1"/>
  <c r="M222" i="20" a="1"/>
  <c r="M222" i="20"/>
  <c r="N222" i="20" s="1"/>
  <c r="M223" i="20" a="1"/>
  <c r="M223" i="20" s="1"/>
  <c r="M224" i="20" a="1"/>
  <c r="M224" i="20" s="1"/>
  <c r="N224" i="20" s="1"/>
  <c r="M225" i="20" a="1"/>
  <c r="M225" i="20" s="1"/>
  <c r="N225" i="20" s="1"/>
  <c r="M226" i="20" a="1"/>
  <c r="M226" i="20" s="1"/>
  <c r="N226" i="20" s="1"/>
  <c r="M227" i="20" a="1"/>
  <c r="M227" i="20" s="1"/>
  <c r="M228" i="20" a="1"/>
  <c r="M228" i="20" s="1"/>
  <c r="M229" i="20" a="1"/>
  <c r="M229" i="20" s="1"/>
  <c r="N229" i="20" s="1"/>
  <c r="M230" i="20" a="1"/>
  <c r="M230" i="20"/>
  <c r="N230" i="20" s="1"/>
  <c r="M231" i="20" a="1"/>
  <c r="M231" i="20" s="1"/>
  <c r="M232" i="20" a="1"/>
  <c r="M232" i="20" s="1"/>
  <c r="N232" i="20" s="1"/>
  <c r="M233" i="20" a="1"/>
  <c r="M233" i="20" s="1"/>
  <c r="N233" i="20" s="1"/>
  <c r="M234" i="20" a="1"/>
  <c r="M234" i="20" s="1"/>
  <c r="N234" i="20" s="1"/>
  <c r="M235" i="20" a="1"/>
  <c r="M235" i="20" s="1"/>
  <c r="M236" i="20" a="1"/>
  <c r="M236" i="20" s="1"/>
  <c r="M237" i="20" a="1"/>
  <c r="M237" i="20" s="1"/>
  <c r="N237" i="20" s="1"/>
  <c r="M238" i="20" a="1"/>
  <c r="M238" i="20"/>
  <c r="N238" i="20" s="1"/>
  <c r="M239" i="20" a="1"/>
  <c r="M239" i="20" s="1"/>
  <c r="M240" i="20" a="1"/>
  <c r="M240" i="20" s="1"/>
  <c r="N240" i="20" s="1"/>
  <c r="M241" i="20" a="1"/>
  <c r="M241" i="20" s="1"/>
  <c r="N241" i="20" s="1"/>
  <c r="M242" i="20" a="1"/>
  <c r="M242" i="20" s="1"/>
  <c r="N242" i="20" s="1"/>
  <c r="M243" i="20" a="1"/>
  <c r="M243" i="20" s="1"/>
  <c r="M244" i="20" a="1"/>
  <c r="M244" i="20" s="1"/>
  <c r="M245" i="20" a="1"/>
  <c r="M245" i="20" s="1"/>
  <c r="N245" i="20" s="1"/>
  <c r="M246" i="20" a="1"/>
  <c r="M246" i="20"/>
  <c r="N246" i="20" s="1"/>
  <c r="M247" i="20" a="1"/>
  <c r="M247" i="20" s="1"/>
  <c r="M248" i="20" a="1"/>
  <c r="M248" i="20" s="1"/>
  <c r="N248" i="20" s="1"/>
  <c r="M249" i="20" a="1"/>
  <c r="M249" i="20" s="1"/>
  <c r="N249" i="20" s="1"/>
  <c r="M250" i="20" a="1"/>
  <c r="M250" i="20" s="1"/>
  <c r="N250" i="20" s="1"/>
  <c r="M251" i="20" a="1"/>
  <c r="M251" i="20" s="1"/>
  <c r="M252" i="20" a="1"/>
  <c r="M252" i="20" s="1"/>
  <c r="M253" i="20" a="1"/>
  <c r="M253" i="20" s="1"/>
  <c r="N253" i="20" s="1"/>
  <c r="M254" i="20" a="1"/>
  <c r="M254" i="20"/>
  <c r="N254" i="20" s="1"/>
  <c r="M255" i="20" a="1"/>
  <c r="M255" i="20" s="1"/>
  <c r="M256" i="20" a="1"/>
  <c r="M256" i="20" s="1"/>
  <c r="N256" i="20" s="1"/>
  <c r="M257" i="20" a="1"/>
  <c r="M257" i="20" s="1"/>
  <c r="N257" i="20" s="1"/>
  <c r="M258" i="20" a="1"/>
  <c r="M258" i="20" s="1"/>
  <c r="N258" i="20" s="1"/>
  <c r="M259" i="20" a="1"/>
  <c r="M259" i="20" s="1"/>
  <c r="M260" i="20" a="1"/>
  <c r="M260" i="20" s="1"/>
  <c r="M261" i="20" a="1"/>
  <c r="M261" i="20" s="1"/>
  <c r="N261" i="20" s="1"/>
  <c r="M262" i="20" a="1"/>
  <c r="M262" i="20"/>
  <c r="N262" i="20" s="1"/>
  <c r="M263" i="20" a="1"/>
  <c r="M263" i="20" s="1"/>
  <c r="M264" i="20" a="1"/>
  <c r="M264" i="20" s="1"/>
  <c r="N264" i="20" s="1"/>
  <c r="M265" i="20" a="1"/>
  <c r="M265" i="20" s="1"/>
  <c r="N265" i="20" s="1"/>
  <c r="M266" i="20" a="1"/>
  <c r="M266" i="20" s="1"/>
  <c r="N266" i="20" s="1"/>
  <c r="M267" i="20" a="1"/>
  <c r="M267" i="20" s="1"/>
  <c r="M268" i="20" a="1"/>
  <c r="M268" i="20" s="1"/>
  <c r="M269" i="20" a="1"/>
  <c r="M269" i="20" s="1"/>
  <c r="N269" i="20" s="1"/>
  <c r="M270" i="20" a="1"/>
  <c r="M270" i="20"/>
  <c r="N270" i="20" s="1"/>
  <c r="M271" i="20" a="1"/>
  <c r="M271" i="20" s="1"/>
  <c r="M272" i="20" a="1"/>
  <c r="M272" i="20" s="1"/>
  <c r="N272" i="20" s="1"/>
  <c r="M273" i="20" a="1"/>
  <c r="M273" i="20" s="1"/>
  <c r="N273" i="20" s="1"/>
  <c r="M274" i="20" a="1"/>
  <c r="M274" i="20" s="1"/>
  <c r="N274" i="20" s="1"/>
  <c r="M275" i="20" a="1"/>
  <c r="M275" i="20" s="1"/>
  <c r="M276" i="20" a="1"/>
  <c r="M276" i="20" s="1"/>
  <c r="M277" i="20" a="1"/>
  <c r="M277" i="20" s="1"/>
  <c r="N277" i="20" s="1"/>
  <c r="M278" i="20" a="1"/>
  <c r="M278" i="20"/>
  <c r="N278" i="20" s="1"/>
  <c r="M279" i="20" a="1"/>
  <c r="M279" i="20" s="1"/>
  <c r="M280" i="20" a="1"/>
  <c r="M280" i="20" s="1"/>
  <c r="N280" i="20" s="1"/>
  <c r="M281" i="20" a="1"/>
  <c r="M281" i="20" s="1"/>
  <c r="N281" i="20" s="1"/>
  <c r="M282" i="20" a="1"/>
  <c r="M282" i="20" s="1"/>
  <c r="N282" i="20" s="1"/>
  <c r="M283" i="20" a="1"/>
  <c r="M283" i="20" s="1"/>
  <c r="M284" i="20" a="1"/>
  <c r="M284" i="20" s="1"/>
  <c r="M285" i="20" a="1"/>
  <c r="M285" i="20" s="1"/>
  <c r="N285" i="20" s="1"/>
  <c r="M286" i="20" a="1"/>
  <c r="M286" i="20"/>
  <c r="N286" i="20" s="1"/>
  <c r="M287" i="20" a="1"/>
  <c r="M287" i="20" s="1"/>
  <c r="M288" i="20" a="1"/>
  <c r="M288" i="20" s="1"/>
  <c r="N288" i="20" s="1"/>
  <c r="M289" i="20" a="1"/>
  <c r="M289" i="20" s="1"/>
  <c r="N289" i="20" s="1"/>
  <c r="M290" i="20" a="1"/>
  <c r="M290" i="20" s="1"/>
  <c r="N290" i="20" s="1"/>
  <c r="M291" i="20" a="1"/>
  <c r="M291" i="20" s="1"/>
  <c r="M292" i="20" a="1"/>
  <c r="M292" i="20" s="1"/>
  <c r="M293" i="20" a="1"/>
  <c r="M293" i="20" s="1"/>
  <c r="N293" i="20" s="1"/>
  <c r="M294" i="20" a="1"/>
  <c r="M294" i="20"/>
  <c r="N294" i="20" s="1"/>
  <c r="M295" i="20" a="1"/>
  <c r="M295" i="20" s="1"/>
  <c r="M296" i="20" a="1"/>
  <c r="M296" i="20" s="1"/>
  <c r="N296" i="20" s="1"/>
  <c r="M297" i="20" a="1"/>
  <c r="M297" i="20" s="1"/>
  <c r="N297" i="20" s="1"/>
  <c r="M298" i="20" a="1"/>
  <c r="M298" i="20" s="1"/>
  <c r="N298" i="20" s="1"/>
  <c r="M299" i="20" a="1"/>
  <c r="M299" i="20" s="1"/>
  <c r="M300" i="20" a="1"/>
  <c r="M300" i="20" s="1"/>
  <c r="M301" i="20" a="1"/>
  <c r="M301" i="20" s="1"/>
  <c r="N301" i="20" s="1"/>
  <c r="M302" i="20" a="1"/>
  <c r="M302" i="20"/>
  <c r="N302" i="20" s="1"/>
  <c r="M303" i="20" a="1"/>
  <c r="M303" i="20" s="1"/>
  <c r="M304" i="20" a="1"/>
  <c r="M304" i="20" s="1"/>
  <c r="N304" i="20" s="1"/>
  <c r="M305" i="20" a="1"/>
  <c r="M305" i="20" s="1"/>
  <c r="N305" i="20" s="1"/>
  <c r="M306" i="20" a="1"/>
  <c r="M306" i="20" s="1"/>
  <c r="N306" i="20" s="1"/>
  <c r="M307" i="20" a="1"/>
  <c r="M307" i="20" s="1"/>
  <c r="M308" i="20" a="1"/>
  <c r="M308" i="20" s="1"/>
  <c r="M309" i="20" a="1"/>
  <c r="M309" i="20" s="1"/>
  <c r="N309" i="20" s="1"/>
  <c r="M310" i="20" a="1"/>
  <c r="M310" i="20"/>
  <c r="N310" i="20" s="1"/>
  <c r="M311" i="20" a="1"/>
  <c r="M311" i="20" s="1"/>
  <c r="M312" i="20" a="1"/>
  <c r="M312" i="20" s="1"/>
  <c r="N312" i="20" s="1"/>
  <c r="M313" i="20" a="1"/>
  <c r="M313" i="20" s="1"/>
  <c r="N313" i="20" s="1"/>
  <c r="M314" i="20" a="1"/>
  <c r="M314" i="20" s="1"/>
  <c r="N314" i="20" s="1"/>
  <c r="M315" i="20" a="1"/>
  <c r="M315" i="20" s="1"/>
  <c r="M316" i="20" a="1"/>
  <c r="M316" i="20" s="1"/>
  <c r="M317" i="20" a="1"/>
  <c r="M317" i="20" s="1"/>
  <c r="N317" i="20" s="1"/>
  <c r="M318" i="20" a="1"/>
  <c r="M318" i="20"/>
  <c r="N318" i="20" s="1"/>
  <c r="M319" i="20" a="1"/>
  <c r="M319" i="20" s="1"/>
  <c r="M320" i="20" a="1"/>
  <c r="M320" i="20" s="1"/>
  <c r="N320" i="20" s="1"/>
  <c r="M321" i="20" a="1"/>
  <c r="M321" i="20" s="1"/>
  <c r="N321" i="20" s="1"/>
  <c r="M322" i="20" a="1"/>
  <c r="M322" i="20" s="1"/>
  <c r="N322" i="20" s="1"/>
  <c r="M323" i="20" a="1"/>
  <c r="M323" i="20" s="1"/>
  <c r="M324" i="20" a="1"/>
  <c r="M324" i="20" s="1"/>
  <c r="M325" i="20" a="1"/>
  <c r="M325" i="20" s="1"/>
  <c r="N325" i="20" s="1"/>
  <c r="M326" i="20" a="1"/>
  <c r="M326" i="20"/>
  <c r="N326" i="20" s="1"/>
  <c r="M327" i="20" a="1"/>
  <c r="M327" i="20" s="1"/>
  <c r="M328" i="20" a="1"/>
  <c r="M328" i="20" s="1"/>
  <c r="N328" i="20" s="1"/>
  <c r="M329" i="20" a="1"/>
  <c r="M329" i="20" s="1"/>
  <c r="N329" i="20" s="1"/>
  <c r="M330" i="20" a="1"/>
  <c r="M330" i="20" s="1"/>
  <c r="N330" i="20" s="1"/>
  <c r="M331" i="20" a="1"/>
  <c r="M331" i="20" s="1"/>
  <c r="N331" i="20" s="1"/>
  <c r="M332" i="20" a="1"/>
  <c r="M332" i="20" s="1"/>
  <c r="M333" i="20" a="1"/>
  <c r="M333" i="20" s="1"/>
  <c r="N333" i="20" s="1"/>
  <c r="M334" i="20" a="1"/>
  <c r="M334" i="20"/>
  <c r="N334" i="20" s="1"/>
  <c r="M335" i="20" a="1"/>
  <c r="M335" i="20" s="1"/>
  <c r="M336" i="20" a="1"/>
  <c r="M336" i="20" s="1"/>
  <c r="N336" i="20" s="1"/>
  <c r="M337" i="20" a="1"/>
  <c r="M337" i="20" s="1"/>
  <c r="N337" i="20" s="1"/>
  <c r="M338" i="20" a="1"/>
  <c r="M338" i="20" s="1"/>
  <c r="N338" i="20" s="1"/>
  <c r="M339" i="20" a="1"/>
  <c r="M339" i="20" s="1"/>
  <c r="M340" i="20" a="1"/>
  <c r="M340" i="20" s="1"/>
  <c r="M341" i="20" a="1"/>
  <c r="M341" i="20" s="1"/>
  <c r="N341" i="20" s="1"/>
  <c r="M342" i="20" a="1"/>
  <c r="M342" i="20"/>
  <c r="N342" i="20" s="1"/>
  <c r="M343" i="20" a="1"/>
  <c r="M343" i="20" s="1"/>
  <c r="M344" i="20" a="1"/>
  <c r="M344" i="20" s="1"/>
  <c r="N344" i="20" s="1"/>
  <c r="M345" i="20" a="1"/>
  <c r="M345" i="20" s="1"/>
  <c r="N345" i="20" s="1"/>
  <c r="M346" i="20" a="1"/>
  <c r="M346" i="20" s="1"/>
  <c r="N346" i="20" s="1"/>
  <c r="M347" i="20" a="1"/>
  <c r="M347" i="20" s="1"/>
  <c r="N347" i="20" s="1"/>
  <c r="M348" i="20" a="1"/>
  <c r="M348" i="20" s="1"/>
  <c r="M349" i="20" a="1"/>
  <c r="M349" i="20" s="1"/>
  <c r="N349" i="20" s="1"/>
  <c r="M350" i="20" a="1"/>
  <c r="M350" i="20"/>
  <c r="N350" i="20" s="1"/>
  <c r="M351" i="20" a="1"/>
  <c r="M351" i="20" s="1"/>
  <c r="M352" i="20" a="1"/>
  <c r="M352" i="20" s="1"/>
  <c r="N352" i="20" s="1"/>
  <c r="M353" i="20" a="1"/>
  <c r="M353" i="20" s="1"/>
  <c r="N353" i="20" s="1"/>
  <c r="M354" i="20" a="1"/>
  <c r="M354" i="20" s="1"/>
  <c r="N354" i="20" s="1"/>
  <c r="M355" i="20" a="1"/>
  <c r="M355" i="20" s="1"/>
  <c r="M356" i="20" a="1"/>
  <c r="M356" i="20" s="1"/>
  <c r="M357" i="20" a="1"/>
  <c r="M357" i="20" s="1"/>
  <c r="N357" i="20" s="1"/>
  <c r="M358" i="20" a="1"/>
  <c r="M358" i="20"/>
  <c r="N358" i="20" s="1"/>
  <c r="M359" i="20" a="1"/>
  <c r="M359" i="20" s="1"/>
  <c r="M360" i="20" a="1"/>
  <c r="M360" i="20" s="1"/>
  <c r="N360" i="20" s="1"/>
  <c r="M361" i="20" a="1"/>
  <c r="M361" i="20" s="1"/>
  <c r="N361" i="20" s="1"/>
  <c r="M362" i="20" a="1"/>
  <c r="M362" i="20" s="1"/>
  <c r="N362" i="20" s="1"/>
  <c r="M363" i="20" a="1"/>
  <c r="M363" i="20" s="1"/>
  <c r="N363" i="20" s="1"/>
  <c r="M364" i="20" a="1"/>
  <c r="M364" i="20" s="1"/>
  <c r="M365" i="20" a="1"/>
  <c r="M365" i="20" s="1"/>
  <c r="N365" i="20" s="1"/>
  <c r="M366" i="20" a="1"/>
  <c r="M366" i="20"/>
  <c r="N366" i="20" s="1"/>
  <c r="M367" i="20" a="1"/>
  <c r="M367" i="20" s="1"/>
  <c r="M368" i="20" a="1"/>
  <c r="M368" i="20" s="1"/>
  <c r="N368" i="20" s="1"/>
  <c r="M369" i="20" a="1"/>
  <c r="M369" i="20" s="1"/>
  <c r="N369" i="20" s="1"/>
  <c r="M370" i="20" a="1"/>
  <c r="M370" i="20" s="1"/>
  <c r="N370" i="20" s="1"/>
  <c r="M371" i="20" a="1"/>
  <c r="M371" i="20" s="1"/>
  <c r="M372" i="20" a="1"/>
  <c r="M372" i="20" s="1"/>
  <c r="M373" i="20" a="1"/>
  <c r="M373" i="20" s="1"/>
  <c r="N373" i="20" s="1"/>
  <c r="M374" i="20" a="1"/>
  <c r="M374" i="20"/>
  <c r="N374" i="20" s="1"/>
  <c r="M375" i="20" a="1"/>
  <c r="M375" i="20" s="1"/>
  <c r="M376" i="20" a="1"/>
  <c r="M376" i="20" s="1"/>
  <c r="N376" i="20" s="1"/>
  <c r="M377" i="20" a="1"/>
  <c r="M377" i="20" s="1"/>
  <c r="N377" i="20" s="1"/>
  <c r="M378" i="20" a="1"/>
  <c r="M378" i="20" s="1"/>
  <c r="N378" i="20" s="1"/>
  <c r="M379" i="20" a="1"/>
  <c r="M379" i="20" s="1"/>
  <c r="N379" i="20" s="1"/>
  <c r="M380" i="20" a="1"/>
  <c r="M380" i="20" s="1"/>
  <c r="M381" i="20" a="1"/>
  <c r="M381" i="20" s="1"/>
  <c r="N381" i="20" s="1"/>
  <c r="M382" i="20" a="1"/>
  <c r="M382" i="20"/>
  <c r="N382" i="20" s="1"/>
  <c r="M383" i="20" a="1"/>
  <c r="M383" i="20" s="1"/>
  <c r="M384" i="20" a="1"/>
  <c r="M384" i="20" s="1"/>
  <c r="N384" i="20" s="1"/>
  <c r="M385" i="20" a="1"/>
  <c r="M385" i="20" s="1"/>
  <c r="N385" i="20" s="1"/>
  <c r="M386" i="20" a="1"/>
  <c r="M386" i="20" s="1"/>
  <c r="N386" i="20" s="1"/>
  <c r="M387" i="20" a="1"/>
  <c r="M387" i="20" s="1"/>
  <c r="M388" i="20" a="1"/>
  <c r="M388" i="20" s="1"/>
  <c r="M389" i="20" a="1"/>
  <c r="M389" i="20" s="1"/>
  <c r="N389" i="20" s="1"/>
  <c r="M390" i="20" a="1"/>
  <c r="M390" i="20"/>
  <c r="N390" i="20" s="1"/>
  <c r="M391" i="20" a="1"/>
  <c r="M391" i="20" s="1"/>
  <c r="M392" i="20" a="1"/>
  <c r="M392" i="20" s="1"/>
  <c r="N392" i="20" s="1"/>
  <c r="M393" i="20" a="1"/>
  <c r="M393" i="20" s="1"/>
  <c r="N393" i="20" s="1"/>
  <c r="M394" i="20" a="1"/>
  <c r="M394" i="20" s="1"/>
  <c r="N394" i="20" s="1"/>
  <c r="M395" i="20" a="1"/>
  <c r="M395" i="20" s="1"/>
  <c r="N395" i="20" s="1"/>
  <c r="M396" i="20" a="1"/>
  <c r="M396" i="20" s="1"/>
  <c r="M397" i="20" a="1"/>
  <c r="M397" i="20" s="1"/>
  <c r="N397" i="20" s="1"/>
  <c r="M398" i="20" a="1"/>
  <c r="M398" i="20"/>
  <c r="N398" i="20" s="1"/>
  <c r="M399" i="20" a="1"/>
  <c r="M399" i="20" s="1"/>
  <c r="M400" i="20" a="1"/>
  <c r="M400" i="20" s="1"/>
  <c r="N400" i="20" s="1"/>
  <c r="M401" i="20" a="1"/>
  <c r="M401" i="20" s="1"/>
  <c r="N401" i="20" s="1"/>
  <c r="M402" i="20" a="1"/>
  <c r="M402" i="20" s="1"/>
  <c r="N402" i="20" s="1"/>
  <c r="M403" i="20" a="1"/>
  <c r="M403" i="20" s="1"/>
  <c r="M404" i="20" a="1"/>
  <c r="M404" i="20" s="1"/>
  <c r="M405" i="20" a="1"/>
  <c r="M405" i="20" s="1"/>
  <c r="N405" i="20" s="1"/>
  <c r="M406" i="20" a="1"/>
  <c r="M406" i="20"/>
  <c r="N406" i="20" s="1"/>
  <c r="M407" i="20" a="1"/>
  <c r="M407" i="20" s="1"/>
  <c r="M408" i="20" a="1"/>
  <c r="M408" i="20" s="1"/>
  <c r="N408" i="20" s="1"/>
  <c r="M409" i="20" a="1"/>
  <c r="M409" i="20" s="1"/>
  <c r="N409" i="20" s="1"/>
  <c r="M410" i="20" a="1"/>
  <c r="M410" i="20" s="1"/>
  <c r="N410" i="20" s="1"/>
  <c r="M411" i="20" a="1"/>
  <c r="M411" i="20" s="1"/>
  <c r="N411" i="20" s="1"/>
  <c r="M412" i="20" a="1"/>
  <c r="M412" i="20" s="1"/>
  <c r="M413" i="20" a="1"/>
  <c r="M413" i="20" s="1"/>
  <c r="N413" i="20" s="1"/>
  <c r="M414" i="20" a="1"/>
  <c r="M414" i="20"/>
  <c r="N414" i="20" s="1"/>
  <c r="M415" i="20" a="1"/>
  <c r="M415" i="20" s="1"/>
  <c r="M416" i="20" a="1"/>
  <c r="M416" i="20" s="1"/>
  <c r="N416" i="20" s="1"/>
  <c r="M417" i="20" a="1"/>
  <c r="M417" i="20" s="1"/>
  <c r="N417" i="20" s="1"/>
  <c r="M418" i="20" a="1"/>
  <c r="M418" i="20" s="1"/>
  <c r="N418" i="20" s="1"/>
  <c r="M419" i="20" a="1"/>
  <c r="M419" i="20" s="1"/>
  <c r="M420" i="20" a="1"/>
  <c r="M420" i="20" s="1"/>
  <c r="M421" i="20" a="1"/>
  <c r="M421" i="20" s="1"/>
  <c r="N421" i="20" s="1"/>
  <c r="M422" i="20" a="1"/>
  <c r="M422" i="20"/>
  <c r="N422" i="20" s="1"/>
  <c r="M423" i="20" a="1"/>
  <c r="M423" i="20" s="1"/>
  <c r="M424" i="20" a="1"/>
  <c r="M424" i="20" s="1"/>
  <c r="M425" i="20" a="1"/>
  <c r="M425" i="20" s="1"/>
  <c r="N425" i="20" s="1"/>
  <c r="M426" i="20" a="1"/>
  <c r="M426" i="20" s="1"/>
  <c r="N426" i="20" s="1"/>
  <c r="M427" i="20" a="1"/>
  <c r="M427" i="20" s="1"/>
  <c r="M428" i="20" a="1"/>
  <c r="M428" i="20" s="1"/>
  <c r="M429" i="20" a="1"/>
  <c r="M429" i="20" s="1"/>
  <c r="N429" i="20" s="1"/>
  <c r="M430" i="20" a="1"/>
  <c r="M430" i="20"/>
  <c r="M431" i="20" a="1"/>
  <c r="M431" i="20" s="1"/>
  <c r="M432" i="20" a="1"/>
  <c r="M432" i="20" s="1"/>
  <c r="N432" i="20" s="1"/>
  <c r="M433" i="20" a="1"/>
  <c r="M433" i="20" s="1"/>
  <c r="N433" i="20" s="1"/>
  <c r="M434" i="20" a="1"/>
  <c r="M434" i="20" s="1"/>
  <c r="N434" i="20" s="1"/>
  <c r="M435" i="20" a="1"/>
  <c r="M435" i="20" s="1"/>
  <c r="M436" i="20" a="1"/>
  <c r="M436" i="20" s="1"/>
  <c r="M437" i="20" a="1"/>
  <c r="M437" i="20" s="1"/>
  <c r="N437" i="20" s="1"/>
  <c r="M438" i="20" a="1"/>
  <c r="M438" i="20"/>
  <c r="N438" i="20" s="1"/>
  <c r="M439" i="20" a="1"/>
  <c r="M439" i="20" s="1"/>
  <c r="M440" i="20" a="1"/>
  <c r="M440" i="20" s="1"/>
  <c r="M441" i="20" a="1"/>
  <c r="M441" i="20" s="1"/>
  <c r="N441" i="20" s="1"/>
  <c r="M442" i="20" a="1"/>
  <c r="M442" i="20" s="1"/>
  <c r="N442" i="20" s="1"/>
  <c r="M443" i="20" a="1"/>
  <c r="M443" i="20" s="1"/>
  <c r="M444" i="20" a="1"/>
  <c r="M444" i="20" s="1"/>
  <c r="M445" i="20" a="1"/>
  <c r="M445" i="20" s="1"/>
  <c r="N445" i="20" s="1"/>
  <c r="M446" i="20" a="1"/>
  <c r="M446" i="20"/>
  <c r="M447" i="20" a="1"/>
  <c r="M447" i="20" s="1"/>
  <c r="M448" i="20" a="1"/>
  <c r="M448" i="20" s="1"/>
  <c r="N448" i="20" s="1"/>
  <c r="M449" i="20" a="1"/>
  <c r="M449" i="20" s="1"/>
  <c r="N449" i="20" s="1"/>
  <c r="M450" i="20" a="1"/>
  <c r="M450" i="20" s="1"/>
  <c r="N450" i="20" s="1"/>
  <c r="M451" i="20" a="1"/>
  <c r="M451" i="20" s="1"/>
  <c r="N451" i="20" s="1"/>
  <c r="M452" i="20" a="1"/>
  <c r="M452" i="20" s="1"/>
  <c r="M453" i="20" a="1"/>
  <c r="M453" i="20" s="1"/>
  <c r="N453" i="20" s="1"/>
  <c r="M454" i="20" a="1"/>
  <c r="M454" i="20"/>
  <c r="N454" i="20" s="1"/>
  <c r="M455" i="20" a="1"/>
  <c r="M455" i="20" s="1"/>
  <c r="M456" i="20" a="1"/>
  <c r="M456" i="20" s="1"/>
  <c r="M457" i="20" a="1"/>
  <c r="M457" i="20" s="1"/>
  <c r="N457" i="20" s="1"/>
  <c r="M458" i="20" a="1"/>
  <c r="M458" i="20" s="1"/>
  <c r="N458" i="20" s="1"/>
  <c r="M459" i="20" a="1"/>
  <c r="M459" i="20" s="1"/>
  <c r="M460" i="20" a="1"/>
  <c r="M460" i="20" s="1"/>
  <c r="M461" i="20" a="1"/>
  <c r="M461" i="20" s="1"/>
  <c r="N461" i="20" s="1"/>
  <c r="M462" i="20" a="1"/>
  <c r="M462" i="20"/>
  <c r="M463" i="20" a="1"/>
  <c r="M463" i="20" s="1"/>
  <c r="M464" i="20" a="1"/>
  <c r="M464" i="20" s="1"/>
  <c r="N464" i="20" s="1"/>
  <c r="M465" i="20" a="1"/>
  <c r="M465" i="20" s="1"/>
  <c r="N465" i="20" s="1"/>
  <c r="M466" i="20" a="1"/>
  <c r="M466" i="20" s="1"/>
  <c r="N466" i="20" s="1"/>
  <c r="M467" i="20" a="1"/>
  <c r="M467" i="20" s="1"/>
  <c r="M468" i="20" a="1"/>
  <c r="M468" i="20" s="1"/>
  <c r="M469" i="20" a="1"/>
  <c r="M469" i="20" s="1"/>
  <c r="N469" i="20" s="1"/>
  <c r="M470" i="20" a="1"/>
  <c r="M470" i="20"/>
  <c r="N470" i="20" s="1"/>
  <c r="M471" i="20" a="1"/>
  <c r="M471" i="20" s="1"/>
  <c r="M472" i="20" a="1"/>
  <c r="M472" i="20" s="1"/>
  <c r="M473" i="20" a="1"/>
  <c r="M473" i="20" s="1"/>
  <c r="N473" i="20" s="1"/>
  <c r="M474" i="20" a="1"/>
  <c r="M474" i="20" s="1"/>
  <c r="N474" i="20" s="1"/>
  <c r="M475" i="20" a="1"/>
  <c r="M475" i="20" s="1"/>
  <c r="M476" i="20" a="1"/>
  <c r="M476" i="20" s="1"/>
  <c r="M477" i="20" a="1"/>
  <c r="M477" i="20" s="1"/>
  <c r="N477" i="20" s="1"/>
  <c r="M478" i="20" a="1"/>
  <c r="M478" i="20"/>
  <c r="M479" i="20" a="1"/>
  <c r="M479" i="20" s="1"/>
  <c r="M480" i="20" a="1"/>
  <c r="M480" i="20" s="1"/>
  <c r="N480" i="20" s="1"/>
  <c r="M481" i="20" a="1"/>
  <c r="M481" i="20" s="1"/>
  <c r="N481" i="20" s="1"/>
  <c r="M482" i="20" a="1"/>
  <c r="M482" i="20" s="1"/>
  <c r="N482" i="20" s="1"/>
  <c r="M483" i="20" a="1"/>
  <c r="M483" i="20" s="1"/>
  <c r="N483" i="20" s="1"/>
  <c r="M484" i="20" a="1"/>
  <c r="M484" i="20" s="1"/>
  <c r="M485" i="20" a="1"/>
  <c r="M485" i="20" s="1"/>
  <c r="N485" i="20" s="1"/>
  <c r="M486" i="20" a="1"/>
  <c r="M486" i="20"/>
  <c r="N486" i="20" s="1"/>
  <c r="M487" i="20" a="1"/>
  <c r="M487" i="20" s="1"/>
  <c r="M488" i="20" a="1"/>
  <c r="M488" i="20" s="1"/>
  <c r="M489" i="20" a="1"/>
  <c r="M489" i="20" s="1"/>
  <c r="N489" i="20" s="1"/>
  <c r="M490" i="20" a="1"/>
  <c r="M490" i="20" s="1"/>
  <c r="N490" i="20" s="1"/>
  <c r="M491" i="20" a="1"/>
  <c r="M491" i="20" s="1"/>
  <c r="M492" i="20" a="1"/>
  <c r="M492" i="20" s="1"/>
  <c r="M493" i="20" a="1"/>
  <c r="M493" i="20" s="1"/>
  <c r="N493" i="20" s="1"/>
  <c r="M494" i="20" a="1"/>
  <c r="M494" i="20"/>
  <c r="M495" i="20" a="1"/>
  <c r="M495" i="20" s="1"/>
  <c r="M496" i="20" a="1"/>
  <c r="M496" i="20" s="1"/>
  <c r="N496" i="20" s="1"/>
  <c r="M497" i="20" a="1"/>
  <c r="M497" i="20" s="1"/>
  <c r="N497" i="20" s="1"/>
  <c r="M498" i="20" a="1"/>
  <c r="M498" i="20" s="1"/>
  <c r="N498" i="20" s="1"/>
  <c r="M499" i="20" a="1"/>
  <c r="M499" i="20" s="1"/>
  <c r="M500" i="20" a="1"/>
  <c r="M500" i="20" s="1"/>
  <c r="M501" i="20" a="1"/>
  <c r="M501" i="20" s="1"/>
  <c r="N501" i="20" s="1"/>
  <c r="M502" i="20" a="1"/>
  <c r="M502" i="20"/>
  <c r="N502" i="20" s="1"/>
  <c r="M503" i="20" a="1"/>
  <c r="M503" i="20" s="1"/>
  <c r="M504" i="20" a="1"/>
  <c r="M504" i="20" s="1"/>
  <c r="M505" i="20" a="1"/>
  <c r="M505" i="20" s="1"/>
  <c r="N505" i="20" s="1"/>
  <c r="M506" i="20" a="1"/>
  <c r="M506" i="20" s="1"/>
  <c r="N506" i="20" s="1"/>
  <c r="M507" i="20" a="1"/>
  <c r="M507" i="20" s="1"/>
  <c r="M508" i="20" a="1"/>
  <c r="M508" i="20" s="1"/>
  <c r="M509" i="20" a="1"/>
  <c r="M509" i="20" s="1"/>
  <c r="N509" i="20" s="1"/>
  <c r="M510" i="20" a="1"/>
  <c r="M510" i="20"/>
  <c r="M511" i="20" a="1"/>
  <c r="M511" i="20" s="1"/>
  <c r="M512" i="20" a="1"/>
  <c r="M512" i="20" s="1"/>
  <c r="N512" i="20" s="1"/>
  <c r="M513" i="20" a="1"/>
  <c r="M513" i="20" s="1"/>
  <c r="N513" i="20" s="1"/>
  <c r="M514" i="20" a="1"/>
  <c r="M514" i="20" s="1"/>
  <c r="N514" i="20" s="1"/>
  <c r="M515" i="20" a="1"/>
  <c r="M515" i="20" s="1"/>
  <c r="N515" i="20" s="1"/>
  <c r="M516" i="20" a="1"/>
  <c r="M516" i="20" s="1"/>
  <c r="M517" i="20" a="1"/>
  <c r="M517" i="20" s="1"/>
  <c r="N517" i="20" s="1"/>
  <c r="M518" i="20" a="1"/>
  <c r="M518" i="20"/>
  <c r="N518" i="20" s="1"/>
  <c r="M519" i="20" a="1"/>
  <c r="M519" i="20" s="1"/>
  <c r="M520" i="20" a="1"/>
  <c r="M520" i="20" s="1"/>
  <c r="M521" i="20" a="1"/>
  <c r="M521" i="20" s="1"/>
  <c r="N521" i="20" s="1"/>
  <c r="M522" i="20" a="1"/>
  <c r="M522" i="20" s="1"/>
  <c r="N522" i="20" s="1"/>
  <c r="M523" i="20" a="1"/>
  <c r="M523" i="20" s="1"/>
  <c r="M524" i="20" a="1"/>
  <c r="M524" i="20" s="1"/>
  <c r="M525" i="20" a="1"/>
  <c r="M525" i="20" s="1"/>
  <c r="N525" i="20" s="1"/>
  <c r="M526" i="20" a="1"/>
  <c r="M526" i="20"/>
  <c r="M527" i="20" a="1"/>
  <c r="M527" i="20" s="1"/>
  <c r="M528" i="20" a="1"/>
  <c r="M528" i="20" s="1"/>
  <c r="M529" i="20" a="1"/>
  <c r="M529" i="20" s="1"/>
  <c r="N529" i="20" s="1"/>
  <c r="M530" i="20" a="1"/>
  <c r="M530" i="20" s="1"/>
  <c r="N530" i="20" s="1"/>
  <c r="M531" i="20" a="1"/>
  <c r="M531" i="20" s="1"/>
  <c r="M532" i="20" a="1"/>
  <c r="M532" i="20" s="1"/>
  <c r="M533" i="20" a="1"/>
  <c r="M533" i="20" s="1"/>
  <c r="N533" i="20" s="1"/>
  <c r="M534" i="20" a="1"/>
  <c r="M534" i="20"/>
  <c r="M535" i="20" a="1"/>
  <c r="M535" i="20" s="1"/>
  <c r="M536" i="20" a="1"/>
  <c r="M536" i="20" s="1"/>
  <c r="M537" i="20" a="1"/>
  <c r="M537" i="20" s="1"/>
  <c r="N537" i="20" s="1"/>
  <c r="M538" i="20" a="1"/>
  <c r="M538" i="20" s="1"/>
  <c r="N538" i="20" s="1"/>
  <c r="M539" i="20" a="1"/>
  <c r="M539" i="20" s="1"/>
  <c r="M540" i="20" a="1"/>
  <c r="M540" i="20" s="1"/>
  <c r="M541" i="20" a="1"/>
  <c r="M541" i="20" s="1"/>
  <c r="N541" i="20" s="1"/>
  <c r="M542" i="20" a="1"/>
  <c r="M542" i="20"/>
  <c r="M543" i="20" a="1"/>
  <c r="M543" i="20" s="1"/>
  <c r="M544" i="20" a="1"/>
  <c r="M544" i="20" s="1"/>
  <c r="M545" i="20" a="1"/>
  <c r="M545" i="20" s="1"/>
  <c r="N545" i="20" s="1"/>
  <c r="M546" i="20" a="1"/>
  <c r="M546" i="20" s="1"/>
  <c r="N546" i="20" s="1"/>
  <c r="M547" i="20" a="1"/>
  <c r="M547" i="20" s="1"/>
  <c r="M548" i="20" a="1"/>
  <c r="M548" i="20" s="1"/>
  <c r="M549" i="20" a="1"/>
  <c r="M549" i="20" s="1"/>
  <c r="N549" i="20" s="1"/>
  <c r="M550" i="20" a="1"/>
  <c r="M550" i="20"/>
  <c r="M551" i="20" a="1"/>
  <c r="M551" i="20" s="1"/>
  <c r="M552" i="20" a="1"/>
  <c r="M552" i="20" s="1"/>
  <c r="M553" i="20" a="1"/>
  <c r="M553" i="20" s="1"/>
  <c r="N553" i="20" s="1"/>
  <c r="M554" i="20" a="1"/>
  <c r="M554" i="20" s="1"/>
  <c r="N554" i="20" s="1"/>
  <c r="M555" i="20" a="1"/>
  <c r="M555" i="20" s="1"/>
  <c r="M556" i="20" a="1"/>
  <c r="M556" i="20" s="1"/>
  <c r="M557" i="20" a="1"/>
  <c r="M557" i="20" s="1"/>
  <c r="N557" i="20" s="1"/>
  <c r="M558" i="20" a="1"/>
  <c r="M558" i="20"/>
  <c r="M559" i="20" a="1"/>
  <c r="M559" i="20" s="1"/>
  <c r="M560" i="20" a="1"/>
  <c r="M560" i="20" s="1"/>
  <c r="M561" i="20" a="1"/>
  <c r="M561" i="20" s="1"/>
  <c r="N561" i="20" s="1"/>
  <c r="M562" i="20" a="1"/>
  <c r="M562" i="20" s="1"/>
  <c r="N562" i="20" s="1"/>
  <c r="M563" i="20" a="1"/>
  <c r="M563" i="20" s="1"/>
  <c r="M564" i="20" a="1"/>
  <c r="M564" i="20" s="1"/>
  <c r="M565" i="20" a="1"/>
  <c r="M565" i="20" s="1"/>
  <c r="N565" i="20" s="1"/>
  <c r="M566" i="20" a="1"/>
  <c r="M566" i="20"/>
  <c r="M567" i="20" a="1"/>
  <c r="M567" i="20" s="1"/>
  <c r="M568" i="20" a="1"/>
  <c r="M568" i="20" s="1"/>
  <c r="M569" i="20" a="1"/>
  <c r="M569" i="20" s="1"/>
  <c r="N569" i="20" s="1"/>
  <c r="M570" i="20" a="1"/>
  <c r="M570" i="20" s="1"/>
  <c r="N570" i="20" s="1"/>
  <c r="M571" i="20" a="1"/>
  <c r="M571" i="20" s="1"/>
  <c r="M572" i="20" a="1"/>
  <c r="M572" i="20" s="1"/>
  <c r="M573" i="20" a="1"/>
  <c r="M573" i="20" s="1"/>
  <c r="N573" i="20" s="1"/>
  <c r="M574" i="20" a="1"/>
  <c r="M574" i="20"/>
  <c r="M575" i="20" a="1"/>
  <c r="M575" i="20" s="1"/>
  <c r="M576" i="20" a="1"/>
  <c r="M576" i="20" s="1"/>
  <c r="M577" i="20" a="1"/>
  <c r="M577" i="20" s="1"/>
  <c r="N577" i="20" s="1"/>
  <c r="M578" i="20" a="1"/>
  <c r="M578" i="20" s="1"/>
  <c r="N578" i="20" s="1"/>
  <c r="M579" i="20" a="1"/>
  <c r="M579" i="20" s="1"/>
  <c r="M580" i="20" a="1"/>
  <c r="M580" i="20" s="1"/>
  <c r="M581" i="20" a="1"/>
  <c r="M581" i="20" s="1"/>
  <c r="N581" i="20" s="1"/>
  <c r="M582" i="20" a="1"/>
  <c r="M582" i="20"/>
  <c r="M583" i="20" a="1"/>
  <c r="M583" i="20" s="1"/>
  <c r="M584" i="20" a="1"/>
  <c r="M584" i="20" s="1"/>
  <c r="M585" i="20" a="1"/>
  <c r="M585" i="20" s="1"/>
  <c r="N585" i="20" s="1"/>
  <c r="M586" i="20" a="1"/>
  <c r="M586" i="20" s="1"/>
  <c r="N586" i="20" s="1"/>
  <c r="M587" i="20" a="1"/>
  <c r="M587" i="20" s="1"/>
  <c r="M588" i="20" a="1"/>
  <c r="M588" i="20" s="1"/>
  <c r="M589" i="20" a="1"/>
  <c r="M589" i="20" s="1"/>
  <c r="N589" i="20" s="1"/>
  <c r="M590" i="20" a="1"/>
  <c r="M590" i="20"/>
  <c r="M591" i="20" a="1"/>
  <c r="M591" i="20" s="1"/>
  <c r="M592" i="20" a="1"/>
  <c r="M592" i="20" s="1"/>
  <c r="M593" i="20" a="1"/>
  <c r="M593" i="20" s="1"/>
  <c r="N593" i="20" s="1"/>
  <c r="M594" i="20" a="1"/>
  <c r="M594" i="20" s="1"/>
  <c r="N594" i="20" s="1"/>
  <c r="M595" i="20" a="1"/>
  <c r="M595" i="20" s="1"/>
  <c r="M596" i="20" a="1"/>
  <c r="M596" i="20" s="1"/>
  <c r="M597" i="20" a="1"/>
  <c r="M597" i="20" s="1"/>
  <c r="N597" i="20" s="1"/>
  <c r="M598" i="20" a="1"/>
  <c r="M598" i="20"/>
  <c r="M599" i="20" a="1"/>
  <c r="M599" i="20" s="1"/>
  <c r="M600" i="20" a="1"/>
  <c r="M600" i="20" s="1"/>
  <c r="M601" i="20" a="1"/>
  <c r="M601" i="20" s="1"/>
  <c r="N601" i="20" s="1"/>
  <c r="M602" i="20" a="1"/>
  <c r="M602" i="20" s="1"/>
  <c r="N602" i="20" s="1"/>
  <c r="M603" i="20" a="1"/>
  <c r="M603" i="20" s="1"/>
  <c r="M604" i="20" a="1"/>
  <c r="M604" i="20" s="1"/>
  <c r="M605" i="20" a="1"/>
  <c r="M605" i="20" s="1"/>
  <c r="N605" i="20" s="1"/>
  <c r="M606" i="20" a="1"/>
  <c r="M606" i="20"/>
  <c r="M607" i="20" a="1"/>
  <c r="M607" i="20" s="1"/>
  <c r="M608" i="20" a="1"/>
  <c r="M608" i="20" s="1"/>
  <c r="M609" i="20" a="1"/>
  <c r="M609" i="20" s="1"/>
  <c r="N609" i="20" s="1"/>
  <c r="M610" i="20" a="1"/>
  <c r="M610" i="20" s="1"/>
  <c r="N610" i="20" s="1"/>
  <c r="M611" i="20" a="1"/>
  <c r="M611" i="20" s="1"/>
  <c r="M612" i="20" a="1"/>
  <c r="M612" i="20" s="1"/>
  <c r="M613" i="20" a="1"/>
  <c r="M613" i="20" s="1"/>
  <c r="N613" i="20" s="1"/>
  <c r="M614" i="20" a="1"/>
  <c r="M614" i="20"/>
  <c r="M615" i="20" a="1"/>
  <c r="M615" i="20" s="1"/>
  <c r="M616" i="20" a="1"/>
  <c r="M616" i="20" s="1"/>
  <c r="M617" i="20" a="1"/>
  <c r="M617" i="20" s="1"/>
  <c r="N617" i="20" s="1"/>
  <c r="M618" i="20" a="1"/>
  <c r="M618" i="20" s="1"/>
  <c r="N618" i="20" s="1"/>
  <c r="M619" i="20" a="1"/>
  <c r="M619" i="20" s="1"/>
  <c r="M620" i="20" a="1"/>
  <c r="M620" i="20" s="1"/>
  <c r="M621" i="20" a="1"/>
  <c r="M621" i="20" s="1"/>
  <c r="N621" i="20" s="1"/>
  <c r="M622" i="20" a="1"/>
  <c r="M622" i="20"/>
  <c r="M623" i="20" a="1"/>
  <c r="M623" i="20" s="1"/>
  <c r="M624" i="20" a="1"/>
  <c r="M624" i="20" s="1"/>
  <c r="M625" i="20" a="1"/>
  <c r="M625" i="20" s="1"/>
  <c r="N625" i="20" s="1"/>
  <c r="M626" i="20" a="1"/>
  <c r="M626" i="20" s="1"/>
  <c r="N626" i="20" s="1"/>
  <c r="M627" i="20" a="1"/>
  <c r="M627" i="20" s="1"/>
  <c r="M628" i="20" a="1"/>
  <c r="M628" i="20" s="1"/>
  <c r="M629" i="20" a="1"/>
  <c r="M629" i="20" s="1"/>
  <c r="N629" i="20" s="1"/>
  <c r="M630" i="20" a="1"/>
  <c r="M630" i="20"/>
  <c r="M631" i="20" a="1"/>
  <c r="M631" i="20" s="1"/>
  <c r="M632" i="20" a="1"/>
  <c r="M632" i="20" s="1"/>
  <c r="M633" i="20" a="1"/>
  <c r="M633" i="20" s="1"/>
  <c r="N633" i="20" s="1"/>
  <c r="M634" i="20" a="1"/>
  <c r="M634" i="20" s="1"/>
  <c r="N634" i="20" s="1"/>
  <c r="M635" i="20" a="1"/>
  <c r="M635" i="20" s="1"/>
  <c r="M636" i="20" a="1"/>
  <c r="M636" i="20" s="1"/>
  <c r="M637" i="20" a="1"/>
  <c r="M637" i="20" s="1"/>
  <c r="N637" i="20" s="1"/>
  <c r="M638" i="20" a="1"/>
  <c r="M638" i="20"/>
  <c r="M639" i="20" a="1"/>
  <c r="M639" i="20" s="1"/>
  <c r="M640" i="20" a="1"/>
  <c r="M640" i="20" s="1"/>
  <c r="M641" i="20" a="1"/>
  <c r="M641" i="20" s="1"/>
  <c r="N641" i="20" s="1"/>
  <c r="M642" i="20" a="1"/>
  <c r="M642" i="20" s="1"/>
  <c r="N642" i="20" s="1"/>
  <c r="M643" i="20" a="1"/>
  <c r="M643" i="20" s="1"/>
  <c r="M644" i="20" a="1"/>
  <c r="M644" i="20" s="1"/>
  <c r="M645" i="20" a="1"/>
  <c r="M645" i="20" s="1"/>
  <c r="N645" i="20" s="1"/>
  <c r="M646" i="20" a="1"/>
  <c r="M646" i="20"/>
  <c r="M647" i="20" a="1"/>
  <c r="M647" i="20" s="1"/>
  <c r="M648" i="20" a="1"/>
  <c r="M648" i="20" s="1"/>
  <c r="M649" i="20" a="1"/>
  <c r="M649" i="20" s="1"/>
  <c r="N649" i="20" s="1"/>
  <c r="M650" i="20" a="1"/>
  <c r="M650" i="20" s="1"/>
  <c r="N650" i="20" s="1"/>
  <c r="M651" i="20" a="1"/>
  <c r="M651" i="20" s="1"/>
  <c r="M652" i="20" a="1"/>
  <c r="M652" i="20" s="1"/>
  <c r="M653" i="20" a="1"/>
  <c r="M653" i="20" s="1"/>
  <c r="N653" i="20" s="1"/>
  <c r="M654" i="20" a="1"/>
  <c r="M654" i="20"/>
  <c r="M655" i="20" a="1"/>
  <c r="M655" i="20" s="1"/>
  <c r="M656" i="20" a="1"/>
  <c r="M656" i="20" s="1"/>
  <c r="M657" i="20" a="1"/>
  <c r="M657" i="20" s="1"/>
  <c r="N657" i="20" s="1"/>
  <c r="M658" i="20" a="1"/>
  <c r="M658" i="20" s="1"/>
  <c r="N658" i="20" s="1"/>
  <c r="M659" i="20" a="1"/>
  <c r="M659" i="20" s="1"/>
  <c r="M660" i="20" a="1"/>
  <c r="M660" i="20" s="1"/>
  <c r="M661" i="20" a="1"/>
  <c r="M661" i="20" s="1"/>
  <c r="N661" i="20" s="1"/>
  <c r="M662" i="20" a="1"/>
  <c r="M662" i="20"/>
  <c r="M663" i="20" a="1"/>
  <c r="M663" i="20" s="1"/>
  <c r="M664" i="20" a="1"/>
  <c r="M664" i="20" s="1"/>
  <c r="M665" i="20" a="1"/>
  <c r="M665" i="20" s="1"/>
  <c r="N665" i="20" s="1"/>
  <c r="M666" i="20" a="1"/>
  <c r="M666" i="20" s="1"/>
  <c r="N666" i="20" s="1"/>
  <c r="M667" i="20" a="1"/>
  <c r="M667" i="20" s="1"/>
  <c r="M668" i="20" a="1"/>
  <c r="M668" i="20" s="1"/>
  <c r="M669" i="20" a="1"/>
  <c r="M669" i="20" s="1"/>
  <c r="N669" i="20" s="1"/>
  <c r="M670" i="20" a="1"/>
  <c r="M670" i="20"/>
  <c r="M671" i="20" a="1"/>
  <c r="M671" i="20" s="1"/>
  <c r="M672" i="20" a="1"/>
  <c r="M672" i="20" s="1"/>
  <c r="M673" i="20" a="1"/>
  <c r="M673" i="20" s="1"/>
  <c r="M674" i="20" a="1"/>
  <c r="M674" i="20" s="1"/>
  <c r="N674" i="20" s="1"/>
  <c r="M675" i="20" a="1"/>
  <c r="M675" i="20" s="1"/>
  <c r="N675" i="20" s="1"/>
  <c r="M676" i="20" a="1"/>
  <c r="M676" i="20" s="1"/>
  <c r="M677" i="20" a="1"/>
  <c r="M677" i="20" s="1"/>
  <c r="M678" i="20" a="1"/>
  <c r="M678" i="20"/>
  <c r="M679" i="20" a="1"/>
  <c r="M679" i="20" s="1"/>
  <c r="M680" i="20" a="1"/>
  <c r="M680" i="20" s="1"/>
  <c r="M681" i="20" a="1"/>
  <c r="M681" i="20" s="1"/>
  <c r="M682" i="20" a="1"/>
  <c r="M682" i="20" s="1"/>
  <c r="N682" i="20" s="1"/>
  <c r="M683" i="20" a="1"/>
  <c r="M683" i="20" s="1"/>
  <c r="N683" i="20" s="1"/>
  <c r="M684" i="20" a="1"/>
  <c r="M684" i="20" s="1"/>
  <c r="M685" i="20" a="1"/>
  <c r="M685" i="20" s="1"/>
  <c r="M686" i="20" a="1"/>
  <c r="M686" i="20"/>
  <c r="M687" i="20" a="1"/>
  <c r="M687" i="20" s="1"/>
  <c r="M688" i="20" a="1"/>
  <c r="M688" i="20" s="1"/>
  <c r="M689" i="20" a="1"/>
  <c r="M689" i="20" s="1"/>
  <c r="M690" i="20" a="1"/>
  <c r="M690" i="20" s="1"/>
  <c r="N690" i="20" s="1"/>
  <c r="M691" i="20" a="1"/>
  <c r="M691" i="20" s="1"/>
  <c r="N691" i="20" s="1"/>
  <c r="M692" i="20" a="1"/>
  <c r="M692" i="20" s="1"/>
  <c r="M693" i="20" a="1"/>
  <c r="M693" i="20" s="1"/>
  <c r="M694" i="20" a="1"/>
  <c r="M694" i="20"/>
  <c r="M695" i="20" a="1"/>
  <c r="M695" i="20" s="1"/>
  <c r="M696" i="20" a="1"/>
  <c r="M696" i="20" s="1"/>
  <c r="M697" i="20" a="1"/>
  <c r="M697" i="20" s="1"/>
  <c r="M698" i="20" a="1"/>
  <c r="M698" i="20" s="1"/>
  <c r="N698" i="20" s="1"/>
  <c r="M699" i="20" a="1"/>
  <c r="M699" i="20" s="1"/>
  <c r="N699" i="20" s="1"/>
  <c r="M700" i="20" a="1"/>
  <c r="M700" i="20" s="1"/>
  <c r="M701" i="20" a="1"/>
  <c r="M701" i="20" s="1"/>
  <c r="M702" i="20" a="1"/>
  <c r="M702" i="20"/>
  <c r="M703" i="20" a="1"/>
  <c r="M703" i="20" s="1"/>
  <c r="M704" i="20" a="1"/>
  <c r="M704" i="20" s="1"/>
  <c r="M705" i="20" a="1"/>
  <c r="M705" i="20" s="1"/>
  <c r="M706" i="20" a="1"/>
  <c r="M706" i="20" s="1"/>
  <c r="N706" i="20" s="1"/>
  <c r="M707" i="20" a="1"/>
  <c r="M707" i="20" s="1"/>
  <c r="N707" i="20" s="1"/>
  <c r="M708" i="20" a="1"/>
  <c r="M708" i="20" s="1"/>
  <c r="M709" i="20" a="1"/>
  <c r="M709" i="20" s="1"/>
  <c r="M710" i="20" a="1"/>
  <c r="M710" i="20"/>
  <c r="M711" i="20" a="1"/>
  <c r="M711" i="20" s="1"/>
  <c r="M712" i="20" a="1"/>
  <c r="M712" i="20" s="1"/>
  <c r="M713" i="20" a="1"/>
  <c r="M713" i="20" s="1"/>
  <c r="M714" i="20" a="1"/>
  <c r="M714" i="20" s="1"/>
  <c r="N714" i="20" s="1"/>
  <c r="M715" i="20" a="1"/>
  <c r="M715" i="20" s="1"/>
  <c r="M716" i="20" a="1"/>
  <c r="M716" i="20" s="1"/>
  <c r="M717" i="20" a="1"/>
  <c r="M717" i="20" s="1"/>
  <c r="M718" i="20" a="1"/>
  <c r="M718" i="20"/>
  <c r="M719" i="20" a="1"/>
  <c r="M719" i="20" s="1"/>
  <c r="M720" i="20" a="1"/>
  <c r="M720" i="20" s="1"/>
  <c r="M721" i="20" a="1"/>
  <c r="M721" i="20" s="1"/>
  <c r="M722" i="20" a="1"/>
  <c r="M722" i="20" s="1"/>
  <c r="N722" i="20" s="1"/>
  <c r="M723" i="20" a="1"/>
  <c r="M723" i="20" s="1"/>
  <c r="M724" i="20" a="1"/>
  <c r="M724" i="20" s="1"/>
  <c r="M725" i="20" a="1"/>
  <c r="M725" i="20" s="1"/>
  <c r="M726" i="20" a="1"/>
  <c r="M726" i="20"/>
  <c r="M727" i="20" a="1"/>
  <c r="M727" i="20" s="1"/>
  <c r="M728" i="20" a="1"/>
  <c r="M728" i="20" s="1"/>
  <c r="M729" i="20" a="1"/>
  <c r="M729" i="20" s="1"/>
  <c r="M730" i="20" a="1"/>
  <c r="M730" i="20" s="1"/>
  <c r="N730" i="20" s="1"/>
  <c r="M731" i="20" a="1"/>
  <c r="M731" i="20" s="1"/>
  <c r="M732" i="20" a="1"/>
  <c r="M732" i="20" s="1"/>
  <c r="M733" i="20" a="1"/>
  <c r="M733" i="20" s="1"/>
  <c r="M734" i="20" a="1"/>
  <c r="M734" i="20"/>
  <c r="M735" i="20" a="1"/>
  <c r="M735" i="20" s="1"/>
  <c r="M736" i="20" a="1"/>
  <c r="M736" i="20" s="1"/>
  <c r="M737" i="20" a="1"/>
  <c r="M737" i="20" s="1"/>
  <c r="M738" i="20" a="1"/>
  <c r="M738" i="20" s="1"/>
  <c r="N738" i="20" s="1"/>
  <c r="M739" i="20" a="1"/>
  <c r="M739" i="20" s="1"/>
  <c r="M740" i="20" a="1"/>
  <c r="M740" i="20" s="1"/>
  <c r="M741" i="20" a="1"/>
  <c r="M741" i="20" s="1"/>
  <c r="M742" i="20" a="1"/>
  <c r="M742" i="20"/>
  <c r="M743" i="20" a="1"/>
  <c r="M743" i="20" s="1"/>
  <c r="M744" i="20" a="1"/>
  <c r="M744" i="20" s="1"/>
  <c r="M745" i="20" a="1"/>
  <c r="M745" i="20" s="1"/>
  <c r="M746" i="20" a="1"/>
  <c r="M746" i="20" s="1"/>
  <c r="N746" i="20" s="1"/>
  <c r="M747" i="20" a="1"/>
  <c r="M747" i="20" s="1"/>
  <c r="M748" i="20" a="1"/>
  <c r="M748" i="20" s="1"/>
  <c r="M749" i="20" a="1"/>
  <c r="M749" i="20" s="1"/>
  <c r="M750" i="20" a="1"/>
  <c r="M750" i="20"/>
  <c r="M751" i="20" a="1"/>
  <c r="M751" i="20" s="1"/>
  <c r="N3" i="20"/>
  <c r="N4" i="20"/>
  <c r="N7" i="20"/>
  <c r="N11" i="20"/>
  <c r="N12" i="20"/>
  <c r="N15" i="20"/>
  <c r="N19" i="20"/>
  <c r="N20" i="20"/>
  <c r="N23" i="20"/>
  <c r="N27" i="20"/>
  <c r="N28" i="20"/>
  <c r="N31" i="20"/>
  <c r="N35" i="20"/>
  <c r="N36" i="20"/>
  <c r="N39" i="20"/>
  <c r="N43" i="20"/>
  <c r="N44" i="20"/>
  <c r="N47" i="20"/>
  <c r="N51" i="20"/>
  <c r="N52" i="20"/>
  <c r="N55" i="20"/>
  <c r="N59" i="20"/>
  <c r="N60" i="20"/>
  <c r="N63" i="20"/>
  <c r="N67" i="20"/>
  <c r="N68" i="20"/>
  <c r="N71" i="20"/>
  <c r="N75" i="20"/>
  <c r="N76" i="20"/>
  <c r="N79" i="20"/>
  <c r="N83" i="20"/>
  <c r="N84" i="20"/>
  <c r="N87" i="20"/>
  <c r="N91" i="20"/>
  <c r="N92" i="20"/>
  <c r="N95" i="20"/>
  <c r="N99" i="20"/>
  <c r="N100" i="20"/>
  <c r="N103" i="20"/>
  <c r="N107" i="20"/>
  <c r="N108" i="20"/>
  <c r="N111" i="20"/>
  <c r="N115" i="20"/>
  <c r="N116" i="20"/>
  <c r="N119" i="20"/>
  <c r="N123" i="20"/>
  <c r="N124" i="20"/>
  <c r="N127" i="20"/>
  <c r="N131" i="20"/>
  <c r="N132" i="20"/>
  <c r="N135" i="20"/>
  <c r="N139" i="20"/>
  <c r="N140" i="20"/>
  <c r="N143" i="20"/>
  <c r="N147" i="20"/>
  <c r="N148" i="20"/>
  <c r="N151" i="20"/>
  <c r="N155" i="20"/>
  <c r="N156" i="20"/>
  <c r="N159" i="20"/>
  <c r="N163" i="20"/>
  <c r="N164" i="20"/>
  <c r="N167" i="20"/>
  <c r="N171" i="20"/>
  <c r="N172" i="20"/>
  <c r="N175" i="20"/>
  <c r="N179" i="20"/>
  <c r="N180" i="20"/>
  <c r="N183" i="20"/>
  <c r="N187" i="20"/>
  <c r="N188" i="20"/>
  <c r="N191" i="20"/>
  <c r="N195" i="20"/>
  <c r="N196" i="20"/>
  <c r="N199" i="20"/>
  <c r="N203" i="20"/>
  <c r="N204" i="20"/>
  <c r="N207" i="20"/>
  <c r="N211" i="20"/>
  <c r="N212" i="20"/>
  <c r="N215" i="20"/>
  <c r="N219" i="20"/>
  <c r="N220" i="20"/>
  <c r="N223" i="20"/>
  <c r="N227" i="20"/>
  <c r="N228" i="20"/>
  <c r="N231" i="20"/>
  <c r="N235" i="20"/>
  <c r="N236" i="20"/>
  <c r="N239" i="20"/>
  <c r="N243" i="20"/>
  <c r="N244" i="20"/>
  <c r="N247" i="20"/>
  <c r="N251" i="20"/>
  <c r="N252" i="20"/>
  <c r="N255" i="20"/>
  <c r="N259" i="20"/>
  <c r="N260" i="20"/>
  <c r="N263" i="20"/>
  <c r="N267" i="20"/>
  <c r="N268" i="20"/>
  <c r="N271" i="20"/>
  <c r="N275" i="20"/>
  <c r="N276" i="20"/>
  <c r="N279" i="20"/>
  <c r="N283" i="20"/>
  <c r="N284" i="20"/>
  <c r="N287" i="20"/>
  <c r="N291" i="20"/>
  <c r="N292" i="20"/>
  <c r="N295" i="20"/>
  <c r="N299" i="20"/>
  <c r="N300" i="20"/>
  <c r="N303" i="20"/>
  <c r="N307" i="20"/>
  <c r="N308" i="20"/>
  <c r="N311" i="20"/>
  <c r="N315" i="20"/>
  <c r="N316" i="20"/>
  <c r="N319" i="20"/>
  <c r="N323" i="20"/>
  <c r="N324" i="20"/>
  <c r="N327" i="20"/>
  <c r="N332" i="20"/>
  <c r="N335" i="20"/>
  <c r="N339" i="20"/>
  <c r="N340" i="20"/>
  <c r="N343" i="20"/>
  <c r="N348" i="20"/>
  <c r="N351" i="20"/>
  <c r="N355" i="20"/>
  <c r="N356" i="20"/>
  <c r="N359" i="20"/>
  <c r="N364" i="20"/>
  <c r="N367" i="20"/>
  <c r="N371" i="20"/>
  <c r="N372" i="20"/>
  <c r="N375" i="20"/>
  <c r="N380" i="20"/>
  <c r="N383" i="20"/>
  <c r="N387" i="20"/>
  <c r="N388" i="20"/>
  <c r="N391" i="20"/>
  <c r="N396" i="20"/>
  <c r="N399" i="20"/>
  <c r="N403" i="20"/>
  <c r="N404" i="20"/>
  <c r="N407" i="20"/>
  <c r="N412" i="20"/>
  <c r="N415" i="20"/>
  <c r="N419" i="20"/>
  <c r="N420" i="20"/>
  <c r="N423" i="20"/>
  <c r="N424" i="20"/>
  <c r="N427" i="20"/>
  <c r="N428" i="20"/>
  <c r="N430" i="20"/>
  <c r="N431" i="20"/>
  <c r="N435" i="20"/>
  <c r="N436" i="20"/>
  <c r="N439" i="20"/>
  <c r="N440" i="20"/>
  <c r="N443" i="20"/>
  <c r="N444" i="20"/>
  <c r="N446" i="20"/>
  <c r="N447" i="20"/>
  <c r="N452" i="20"/>
  <c r="N455" i="20"/>
  <c r="N456" i="20"/>
  <c r="N459" i="20"/>
  <c r="N460" i="20"/>
  <c r="N462" i="20"/>
  <c r="N463" i="20"/>
  <c r="N467" i="20"/>
  <c r="N468" i="20"/>
  <c r="N471" i="20"/>
  <c r="N472" i="20"/>
  <c r="N475" i="20"/>
  <c r="N476" i="20"/>
  <c r="N478" i="20"/>
  <c r="N479" i="20"/>
  <c r="N484" i="20"/>
  <c r="N487" i="20"/>
  <c r="N488" i="20"/>
  <c r="N491" i="20"/>
  <c r="N492" i="20"/>
  <c r="N494" i="20"/>
  <c r="N495" i="20"/>
  <c r="N499" i="20"/>
  <c r="N500" i="20"/>
  <c r="N503" i="20"/>
  <c r="N504" i="20"/>
  <c r="N507" i="20"/>
  <c r="N508" i="20"/>
  <c r="N510" i="20"/>
  <c r="N511" i="20"/>
  <c r="N516" i="20"/>
  <c r="N519" i="20"/>
  <c r="N520" i="20"/>
  <c r="N523" i="20"/>
  <c r="N524" i="20"/>
  <c r="N526" i="20"/>
  <c r="N527" i="20"/>
  <c r="N528" i="20"/>
  <c r="N531" i="20"/>
  <c r="N532" i="20"/>
  <c r="N534" i="20"/>
  <c r="N535" i="20"/>
  <c r="N536" i="20"/>
  <c r="N539" i="20"/>
  <c r="N540" i="20"/>
  <c r="N542" i="20"/>
  <c r="N543" i="20"/>
  <c r="N544" i="20"/>
  <c r="N547" i="20"/>
  <c r="N548" i="20"/>
  <c r="N550" i="20"/>
  <c r="N551" i="20"/>
  <c r="N552" i="20"/>
  <c r="N555" i="20"/>
  <c r="N556" i="20"/>
  <c r="N558" i="20"/>
  <c r="N559" i="20"/>
  <c r="N563" i="20"/>
  <c r="N566" i="20"/>
  <c r="N567" i="20"/>
  <c r="N568" i="20"/>
  <c r="N571" i="20"/>
  <c r="N572" i="20"/>
  <c r="N574" i="20"/>
  <c r="N575" i="20"/>
  <c r="N579" i="20"/>
  <c r="N582" i="20"/>
  <c r="N583" i="20"/>
  <c r="N584" i="20"/>
  <c r="N587" i="20"/>
  <c r="N588" i="20"/>
  <c r="N590" i="20"/>
  <c r="N591" i="20"/>
  <c r="N595" i="20"/>
  <c r="N598" i="20"/>
  <c r="N599" i="20"/>
  <c r="N600" i="20"/>
  <c r="N603" i="20"/>
  <c r="N604" i="20"/>
  <c r="N606" i="20"/>
  <c r="N607" i="20"/>
  <c r="N611" i="20"/>
  <c r="N614" i="20"/>
  <c r="N615" i="20"/>
  <c r="N616" i="20"/>
  <c r="N619" i="20"/>
  <c r="N620" i="20"/>
  <c r="N622" i="20"/>
  <c r="N623" i="20"/>
  <c r="N627" i="20"/>
  <c r="N630" i="20"/>
  <c r="N631" i="20"/>
  <c r="N632" i="20"/>
  <c r="N635" i="20"/>
  <c r="N636" i="20"/>
  <c r="N638" i="20"/>
  <c r="N639" i="20"/>
  <c r="N643" i="20"/>
  <c r="N646" i="20"/>
  <c r="N647" i="20"/>
  <c r="N648" i="20"/>
  <c r="N651" i="20"/>
  <c r="N652" i="20"/>
  <c r="N654" i="20"/>
  <c r="N655" i="20"/>
  <c r="N659" i="20"/>
  <c r="N660" i="20"/>
  <c r="N662" i="20"/>
  <c r="N663" i="20"/>
  <c r="N667" i="20"/>
  <c r="N668" i="20"/>
  <c r="N670" i="20"/>
  <c r="N671" i="20"/>
  <c r="N673" i="20"/>
  <c r="N676" i="20"/>
  <c r="N677" i="20"/>
  <c r="N678" i="20"/>
  <c r="N679" i="20"/>
  <c r="N681" i="20"/>
  <c r="N684" i="20"/>
  <c r="N685" i="20"/>
  <c r="N686" i="20"/>
  <c r="N687" i="20"/>
  <c r="N689" i="20"/>
  <c r="N692" i="20"/>
  <c r="N693" i="20"/>
  <c r="N694" i="20"/>
  <c r="N695" i="20"/>
  <c r="N697" i="20"/>
  <c r="N700" i="20"/>
  <c r="N701" i="20"/>
  <c r="N702" i="20"/>
  <c r="N703" i="20"/>
  <c r="N705" i="20"/>
  <c r="N708" i="20"/>
  <c r="N709" i="20"/>
  <c r="N710" i="20"/>
  <c r="N711" i="20"/>
  <c r="N713" i="20"/>
  <c r="N715" i="20"/>
  <c r="N716" i="20"/>
  <c r="N717" i="20"/>
  <c r="N718" i="20"/>
  <c r="N719" i="20"/>
  <c r="N721" i="20"/>
  <c r="N723" i="20"/>
  <c r="N724" i="20"/>
  <c r="N725" i="20"/>
  <c r="N726" i="20"/>
  <c r="N727" i="20"/>
  <c r="N729" i="20"/>
  <c r="N731" i="20"/>
  <c r="N732" i="20"/>
  <c r="N733" i="20"/>
  <c r="N734" i="20"/>
  <c r="N735" i="20"/>
  <c r="N737" i="20"/>
  <c r="N739" i="20"/>
  <c r="N740" i="20"/>
  <c r="N741" i="20"/>
  <c r="N742" i="20"/>
  <c r="N743" i="20"/>
  <c r="N745" i="20"/>
  <c r="N747" i="20"/>
  <c r="N748" i="20"/>
  <c r="N749" i="20"/>
  <c r="N750" i="20"/>
  <c r="N751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 s="1"/>
  <c r="O138" i="20" a="1"/>
  <c r="O138" i="20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/>
  <c r="O209" i="20" a="1"/>
  <c r="O209" i="20" s="1"/>
  <c r="O210" i="20" a="1"/>
  <c r="O210" i="20" s="1"/>
  <c r="O211" i="20" a="1"/>
  <c r="O211" i="20" s="1"/>
  <c r="O212" i="20" a="1"/>
  <c r="O212" i="20"/>
  <c r="O213" i="20" a="1"/>
  <c r="O213" i="20" s="1"/>
  <c r="O214" i="20" a="1"/>
  <c r="O214" i="20" s="1"/>
  <c r="O215" i="20" a="1"/>
  <c r="O215" i="20" s="1"/>
  <c r="O216" i="20" a="1"/>
  <c r="O216" i="20"/>
  <c r="O217" i="20" a="1"/>
  <c r="O217" i="20" s="1"/>
  <c r="O218" i="20" a="1"/>
  <c r="O218" i="20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/>
  <c r="O243" i="20" a="1"/>
  <c r="O243" i="20" s="1"/>
  <c r="O244" i="20" a="1"/>
  <c r="O244" i="20"/>
  <c r="O245" i="20" a="1"/>
  <c r="O245" i="20" s="1"/>
  <c r="O246" i="20" a="1"/>
  <c r="O246" i="20" s="1"/>
  <c r="O247" i="20" a="1"/>
  <c r="O247" i="20" s="1"/>
  <c r="O248" i="20" a="1"/>
  <c r="O248" i="20"/>
  <c r="O249" i="20" a="1"/>
  <c r="O249" i="20" s="1"/>
  <c r="O250" i="20" a="1"/>
  <c r="O250" i="20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/>
  <c r="O269" i="20" a="1"/>
  <c r="O269" i="20" s="1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/>
  <c r="O281" i="20" a="1"/>
  <c r="O281" i="20" s="1"/>
  <c r="O282" i="20" a="1"/>
  <c r="O282" i="20" s="1"/>
  <c r="O283" i="20" a="1"/>
  <c r="O283" i="20" s="1"/>
  <c r="O284" i="20" a="1"/>
  <c r="O284" i="20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/>
  <c r="O297" i="20" a="1"/>
  <c r="O297" i="20" s="1"/>
  <c r="O298" i="20" a="1"/>
  <c r="O298" i="20" s="1"/>
  <c r="O299" i="20" a="1"/>
  <c r="O299" i="20" s="1"/>
  <c r="O300" i="20" a="1"/>
  <c r="O300" i="20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/>
  <c r="O313" i="20" a="1"/>
  <c r="O313" i="20" s="1"/>
  <c r="O314" i="20" a="1"/>
  <c r="O314" i="20" s="1"/>
  <c r="O315" i="20" a="1"/>
  <c r="O315" i="20" s="1"/>
  <c r="O316" i="20" a="1"/>
  <c r="O316" i="20"/>
  <c r="O317" i="20" a="1"/>
  <c r="O317" i="20" s="1"/>
  <c r="O318" i="20" a="1"/>
  <c r="O318" i="20" s="1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/>
  <c r="O329" i="20" a="1"/>
  <c r="O329" i="20" s="1"/>
  <c r="O330" i="20" a="1"/>
  <c r="O330" i="20" s="1"/>
  <c r="O331" i="20" a="1"/>
  <c r="O331" i="20" s="1"/>
  <c r="O332" i="20" a="1"/>
  <c r="O332" i="20"/>
  <c r="O333" i="20" a="1"/>
  <c r="O333" i="20" s="1"/>
  <c r="O334" i="20" a="1"/>
  <c r="O334" i="20" s="1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/>
  <c r="O345" i="20" a="1"/>
  <c r="O345" i="20" s="1"/>
  <c r="O346" i="20" a="1"/>
  <c r="O346" i="20" s="1"/>
  <c r="O347" i="20" a="1"/>
  <c r="O347" i="20" s="1"/>
  <c r="O348" i="20" a="1"/>
  <c r="O348" i="20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/>
  <c r="O361" i="20" a="1"/>
  <c r="O361" i="20" s="1"/>
  <c r="O362" i="20" a="1"/>
  <c r="O362" i="20" s="1"/>
  <c r="O363" i="20" a="1"/>
  <c r="O363" i="20" s="1"/>
  <c r="O364" i="20" a="1"/>
  <c r="O364" i="20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 s="1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/>
  <c r="O381" i="20" a="1"/>
  <c r="O381" i="20" s="1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/>
  <c r="O405" i="20" a="1"/>
  <c r="O405" i="20" s="1"/>
  <c r="O406" i="20" a="1"/>
  <c r="O406" i="20" s="1"/>
  <c r="O407" i="20" a="1"/>
  <c r="O407" i="20" s="1"/>
  <c r="O408" i="20" a="1"/>
  <c r="O408" i="20" s="1"/>
  <c r="O409" i="20" a="1"/>
  <c r="O409" i="20" s="1"/>
  <c r="O410" i="20" a="1"/>
  <c r="O410" i="20" s="1"/>
  <c r="O411" i="20" a="1"/>
  <c r="O411" i="20" s="1"/>
  <c r="O412" i="20" a="1"/>
  <c r="O412" i="20"/>
  <c r="O413" i="20" a="1"/>
  <c r="O413" i="20" s="1"/>
  <c r="O414" i="20" a="1"/>
  <c r="O414" i="20" s="1"/>
  <c r="O415" i="20" a="1"/>
  <c r="O415" i="20" s="1"/>
  <c r="O416" i="20" a="1"/>
  <c r="O416" i="20" s="1"/>
  <c r="O417" i="20" a="1"/>
  <c r="O417" i="20" s="1"/>
  <c r="O418" i="20" a="1"/>
  <c r="O418" i="20" s="1"/>
  <c r="O419" i="20" a="1"/>
  <c r="O419" i="20" s="1"/>
  <c r="O420" i="20" a="1"/>
  <c r="O420" i="20"/>
  <c r="O421" i="20" a="1"/>
  <c r="O421" i="20" s="1"/>
  <c r="O422" i="20" a="1"/>
  <c r="O422" i="20" s="1"/>
  <c r="O423" i="20" a="1"/>
  <c r="O423" i="20" s="1"/>
  <c r="O424" i="20" a="1"/>
  <c r="O424" i="20" s="1"/>
  <c r="O425" i="20" a="1"/>
  <c r="O425" i="20" s="1"/>
  <c r="O426" i="20" a="1"/>
  <c r="O426" i="20" s="1"/>
  <c r="O427" i="20" a="1"/>
  <c r="O427" i="20" s="1"/>
  <c r="O428" i="20" a="1"/>
  <c r="O428" i="20"/>
  <c r="O429" i="20" a="1"/>
  <c r="O429" i="20" s="1"/>
  <c r="O430" i="20" a="1"/>
  <c r="O430" i="20" s="1"/>
  <c r="O431" i="20" a="1"/>
  <c r="O431" i="20" s="1"/>
  <c r="O432" i="20" a="1"/>
  <c r="O432" i="20" s="1"/>
  <c r="O433" i="20" a="1"/>
  <c r="O433" i="20" s="1"/>
  <c r="O434" i="20" a="1"/>
  <c r="O434" i="20" s="1"/>
  <c r="O435" i="20" a="1"/>
  <c r="O435" i="20" s="1"/>
  <c r="O436" i="20" a="1"/>
  <c r="O436" i="20"/>
  <c r="O437" i="20" a="1"/>
  <c r="O437" i="20" s="1"/>
  <c r="O438" i="20" a="1"/>
  <c r="O438" i="20" s="1"/>
  <c r="O439" i="20" a="1"/>
  <c r="O439" i="20" s="1"/>
  <c r="O440" i="20" a="1"/>
  <c r="O440" i="20" s="1"/>
  <c r="O441" i="20" a="1"/>
  <c r="O441" i="20" s="1"/>
  <c r="O442" i="20" a="1"/>
  <c r="O442" i="20" s="1"/>
  <c r="O443" i="20" a="1"/>
  <c r="O443" i="20" s="1"/>
  <c r="O444" i="20" a="1"/>
  <c r="O444" i="20"/>
  <c r="O445" i="20" a="1"/>
  <c r="O445" i="20" s="1"/>
  <c r="O446" i="20" a="1"/>
  <c r="O446" i="20" s="1"/>
  <c r="O447" i="20" a="1"/>
  <c r="O447" i="20" s="1"/>
  <c r="O448" i="20" a="1"/>
  <c r="O448" i="20" s="1"/>
  <c r="O449" i="20" a="1"/>
  <c r="O449" i="20" s="1"/>
  <c r="O450" i="20" a="1"/>
  <c r="O450" i="20" s="1"/>
  <c r="O451" i="20" a="1"/>
  <c r="O451" i="20" s="1"/>
  <c r="O452" i="20" a="1"/>
  <c r="O452" i="20"/>
  <c r="O453" i="20" a="1"/>
  <c r="O453" i="20" s="1"/>
  <c r="O454" i="20" a="1"/>
  <c r="O454" i="20" s="1"/>
  <c r="O455" i="20" a="1"/>
  <c r="O455" i="20" s="1"/>
  <c r="O456" i="20" a="1"/>
  <c r="O456" i="20" s="1"/>
  <c r="O457" i="20" a="1"/>
  <c r="O457" i="20" s="1"/>
  <c r="O458" i="20" a="1"/>
  <c r="O458" i="20" s="1"/>
  <c r="O459" i="20" a="1"/>
  <c r="O459" i="20" s="1"/>
  <c r="O460" i="20" a="1"/>
  <c r="O460" i="20"/>
  <c r="O461" i="20" a="1"/>
  <c r="O461" i="20" s="1"/>
  <c r="O462" i="20" a="1"/>
  <c r="O462" i="20" s="1"/>
  <c r="O463" i="20" a="1"/>
  <c r="O463" i="20" s="1"/>
  <c r="O464" i="20" a="1"/>
  <c r="O464" i="20" s="1"/>
  <c r="O465" i="20" a="1"/>
  <c r="O465" i="20" s="1"/>
  <c r="O466" i="20" a="1"/>
  <c r="O466" i="20" s="1"/>
  <c r="O467" i="20" a="1"/>
  <c r="O467" i="20" s="1"/>
  <c r="O468" i="20" a="1"/>
  <c r="O468" i="20"/>
  <c r="O469" i="20" a="1"/>
  <c r="O469" i="20" s="1"/>
  <c r="O470" i="20" a="1"/>
  <c r="O470" i="20" s="1"/>
  <c r="O471" i="20" a="1"/>
  <c r="O471" i="20" s="1"/>
  <c r="O472" i="20" a="1"/>
  <c r="O472" i="20" s="1"/>
  <c r="O473" i="20" a="1"/>
  <c r="O473" i="20" s="1"/>
  <c r="O474" i="20" a="1"/>
  <c r="O474" i="20" s="1"/>
  <c r="O475" i="20" a="1"/>
  <c r="O475" i="20" s="1"/>
  <c r="O476" i="20" a="1"/>
  <c r="O476" i="20"/>
  <c r="O477" i="20" a="1"/>
  <c r="O477" i="20" s="1"/>
  <c r="O478" i="20" a="1"/>
  <c r="O478" i="20" s="1"/>
  <c r="O479" i="20" a="1"/>
  <c r="O479" i="20" s="1"/>
  <c r="O480" i="20" a="1"/>
  <c r="O480" i="20" s="1"/>
  <c r="O481" i="20" a="1"/>
  <c r="O481" i="20" s="1"/>
  <c r="O482" i="20" a="1"/>
  <c r="O482" i="20" s="1"/>
  <c r="O483" i="20" a="1"/>
  <c r="O483" i="20" s="1"/>
  <c r="O484" i="20" a="1"/>
  <c r="O484" i="20"/>
  <c r="O485" i="20" a="1"/>
  <c r="O485" i="20" s="1"/>
  <c r="O486" i="20" a="1"/>
  <c r="O486" i="20" s="1"/>
  <c r="O487" i="20" a="1"/>
  <c r="O487" i="20" s="1"/>
  <c r="O488" i="20" a="1"/>
  <c r="O488" i="20" s="1"/>
  <c r="O489" i="20" a="1"/>
  <c r="O489" i="20" s="1"/>
  <c r="O490" i="20" a="1"/>
  <c r="O490" i="20" s="1"/>
  <c r="O491" i="20" a="1"/>
  <c r="O491" i="20" s="1"/>
  <c r="O492" i="20" a="1"/>
  <c r="O492" i="20"/>
  <c r="O493" i="20" a="1"/>
  <c r="O493" i="20" s="1"/>
  <c r="O494" i="20" a="1"/>
  <c r="O494" i="20" s="1"/>
  <c r="O495" i="20" a="1"/>
  <c r="O495" i="20" s="1"/>
  <c r="O496" i="20" a="1"/>
  <c r="O496" i="20" s="1"/>
  <c r="O497" i="20" a="1"/>
  <c r="O497" i="20" s="1"/>
  <c r="O498" i="20" a="1"/>
  <c r="O498" i="20" s="1"/>
  <c r="O499" i="20" a="1"/>
  <c r="O499" i="20" s="1"/>
  <c r="O500" i="20" a="1"/>
  <c r="O500" i="20"/>
  <c r="O501" i="20" a="1"/>
  <c r="O501" i="20" s="1"/>
  <c r="O502" i="20" a="1"/>
  <c r="O502" i="20" s="1"/>
  <c r="O503" i="20" a="1"/>
  <c r="O503" i="20" s="1"/>
  <c r="O504" i="20" a="1"/>
  <c r="O504" i="20" s="1"/>
  <c r="O505" i="20" a="1"/>
  <c r="O505" i="20" s="1"/>
  <c r="O506" i="20" a="1"/>
  <c r="O506" i="20" s="1"/>
  <c r="O507" i="20" a="1"/>
  <c r="O507" i="20" s="1"/>
  <c r="O508" i="20" a="1"/>
  <c r="O508" i="20"/>
  <c r="O509" i="20" a="1"/>
  <c r="O509" i="20" s="1"/>
  <c r="O510" i="20" a="1"/>
  <c r="O510" i="20" s="1"/>
  <c r="O511" i="20" a="1"/>
  <c r="O511" i="20" s="1"/>
  <c r="O512" i="20" a="1"/>
  <c r="O512" i="20" s="1"/>
  <c r="O513" i="20" a="1"/>
  <c r="O513" i="20" s="1"/>
  <c r="O514" i="20" a="1"/>
  <c r="O514" i="20" s="1"/>
  <c r="O515" i="20" a="1"/>
  <c r="O515" i="20" s="1"/>
  <c r="O516" i="20" a="1"/>
  <c r="O516" i="20"/>
  <c r="O517" i="20" a="1"/>
  <c r="O517" i="20" s="1"/>
  <c r="O518" i="20" a="1"/>
  <c r="O518" i="20" s="1"/>
  <c r="O519" i="20" a="1"/>
  <c r="O519" i="20" s="1"/>
  <c r="O520" i="20" a="1"/>
  <c r="O520" i="20" s="1"/>
  <c r="O521" i="20" a="1"/>
  <c r="O521" i="20" s="1"/>
  <c r="O522" i="20" a="1"/>
  <c r="O522" i="20" s="1"/>
  <c r="O523" i="20" a="1"/>
  <c r="O523" i="20" s="1"/>
  <c r="O524" i="20" a="1"/>
  <c r="O524" i="20"/>
  <c r="O525" i="20" a="1"/>
  <c r="O525" i="20" s="1"/>
  <c r="O526" i="20" a="1"/>
  <c r="O526" i="20" s="1"/>
  <c r="O527" i="20" a="1"/>
  <c r="O527" i="20" s="1"/>
  <c r="O528" i="20" a="1"/>
  <c r="O528" i="20" s="1"/>
  <c r="O529" i="20" a="1"/>
  <c r="O529" i="20" s="1"/>
  <c r="O530" i="20" a="1"/>
  <c r="O530" i="20" s="1"/>
  <c r="O531" i="20" a="1"/>
  <c r="O531" i="20" s="1"/>
  <c r="O532" i="20" a="1"/>
  <c r="O532" i="20"/>
  <c r="O533" i="20" a="1"/>
  <c r="O533" i="20" s="1"/>
  <c r="O534" i="20" a="1"/>
  <c r="O534" i="20" s="1"/>
  <c r="O535" i="20" a="1"/>
  <c r="O535" i="20" s="1"/>
  <c r="O536" i="20" a="1"/>
  <c r="O536" i="20" s="1"/>
  <c r="O537" i="20" a="1"/>
  <c r="O537" i="20" s="1"/>
  <c r="O538" i="20" a="1"/>
  <c r="O538" i="20" s="1"/>
  <c r="O539" i="20" a="1"/>
  <c r="O539" i="20" s="1"/>
  <c r="O540" i="20" a="1"/>
  <c r="O540" i="20"/>
  <c r="O541" i="20" a="1"/>
  <c r="O541" i="20" s="1"/>
  <c r="O542" i="20" a="1"/>
  <c r="O542" i="20" s="1"/>
  <c r="O543" i="20" a="1"/>
  <c r="O543" i="20" s="1"/>
  <c r="O544" i="20" a="1"/>
  <c r="O544" i="20" s="1"/>
  <c r="O545" i="20" a="1"/>
  <c r="O545" i="20" s="1"/>
  <c r="O546" i="20" a="1"/>
  <c r="O546" i="20" s="1"/>
  <c r="O547" i="20" a="1"/>
  <c r="O547" i="20" s="1"/>
  <c r="O548" i="20" a="1"/>
  <c r="O548" i="20"/>
  <c r="O549" i="20" a="1"/>
  <c r="O549" i="20" s="1"/>
  <c r="O550" i="20" a="1"/>
  <c r="O550" i="20" s="1"/>
  <c r="O551" i="20" a="1"/>
  <c r="O551" i="20" s="1"/>
  <c r="O552" i="20" a="1"/>
  <c r="O552" i="20" s="1"/>
  <c r="O553" i="20" a="1"/>
  <c r="O553" i="20" s="1"/>
  <c r="O554" i="20" a="1"/>
  <c r="O554" i="20" s="1"/>
  <c r="O555" i="20" a="1"/>
  <c r="O555" i="20" s="1"/>
  <c r="O556" i="20" a="1"/>
  <c r="O556" i="20"/>
  <c r="O557" i="20" a="1"/>
  <c r="O557" i="20" s="1"/>
  <c r="O558" i="20" a="1"/>
  <c r="O558" i="20" s="1"/>
  <c r="O559" i="20" a="1"/>
  <c r="O559" i="20" s="1"/>
  <c r="O560" i="20" a="1"/>
  <c r="O560" i="20" s="1"/>
  <c r="O561" i="20" a="1"/>
  <c r="O561" i="20" s="1"/>
  <c r="O562" i="20" a="1"/>
  <c r="O562" i="20" s="1"/>
  <c r="O563" i="20" a="1"/>
  <c r="O563" i="20" s="1"/>
  <c r="O564" i="20" a="1"/>
  <c r="O564" i="20"/>
  <c r="O565" i="20" a="1"/>
  <c r="O565" i="20" s="1"/>
  <c r="O566" i="20" a="1"/>
  <c r="O566" i="20" s="1"/>
  <c r="O567" i="20" a="1"/>
  <c r="O567" i="20" s="1"/>
  <c r="O568" i="20" a="1"/>
  <c r="O568" i="20" s="1"/>
  <c r="O569" i="20" a="1"/>
  <c r="O569" i="20" s="1"/>
  <c r="O570" i="20" a="1"/>
  <c r="O570" i="20" s="1"/>
  <c r="O571" i="20" a="1"/>
  <c r="O571" i="20" s="1"/>
  <c r="O572" i="20" a="1"/>
  <c r="O572" i="20"/>
  <c r="O573" i="20" a="1"/>
  <c r="O573" i="20" s="1"/>
  <c r="O574" i="20" a="1"/>
  <c r="O574" i="20" s="1"/>
  <c r="O575" i="20" a="1"/>
  <c r="O575" i="20" s="1"/>
  <c r="O576" i="20" a="1"/>
  <c r="O576" i="20" s="1"/>
  <c r="O577" i="20" a="1"/>
  <c r="O577" i="20" s="1"/>
  <c r="O578" i="20" a="1"/>
  <c r="O578" i="20" s="1"/>
  <c r="O579" i="20" a="1"/>
  <c r="O579" i="20" s="1"/>
  <c r="O580" i="20" a="1"/>
  <c r="O580" i="20"/>
  <c r="O581" i="20" a="1"/>
  <c r="O581" i="20" s="1"/>
  <c r="O582" i="20" a="1"/>
  <c r="O582" i="20" s="1"/>
  <c r="O583" i="20" a="1"/>
  <c r="O583" i="20" s="1"/>
  <c r="O584" i="20" a="1"/>
  <c r="O584" i="20" s="1"/>
  <c r="O585" i="20" a="1"/>
  <c r="O585" i="20" s="1"/>
  <c r="O586" i="20" a="1"/>
  <c r="O586" i="20" s="1"/>
  <c r="O587" i="20" a="1"/>
  <c r="O587" i="20" s="1"/>
  <c r="O588" i="20" a="1"/>
  <c r="O588" i="20"/>
  <c r="O589" i="20" a="1"/>
  <c r="O589" i="20" s="1"/>
  <c r="O590" i="20" a="1"/>
  <c r="O590" i="20" s="1"/>
  <c r="O591" i="20" a="1"/>
  <c r="O591" i="20" s="1"/>
  <c r="O592" i="20" a="1"/>
  <c r="O592" i="20" s="1"/>
  <c r="O593" i="20" a="1"/>
  <c r="O593" i="20" s="1"/>
  <c r="O594" i="20" a="1"/>
  <c r="O594" i="20" s="1"/>
  <c r="O595" i="20" a="1"/>
  <c r="O595" i="20" s="1"/>
  <c r="O596" i="20" a="1"/>
  <c r="O596" i="20"/>
  <c r="O597" i="20" a="1"/>
  <c r="O597" i="20" s="1"/>
  <c r="O598" i="20" a="1"/>
  <c r="O598" i="20" s="1"/>
  <c r="O599" i="20" a="1"/>
  <c r="O599" i="20" s="1"/>
  <c r="O600" i="20" a="1"/>
  <c r="O600" i="20" s="1"/>
  <c r="O601" i="20" a="1"/>
  <c r="O601" i="20" s="1"/>
  <c r="O602" i="20" a="1"/>
  <c r="O602" i="20" s="1"/>
  <c r="O603" i="20" a="1"/>
  <c r="O603" i="20" s="1"/>
  <c r="O604" i="20" a="1"/>
  <c r="O604" i="20"/>
  <c r="O605" i="20" a="1"/>
  <c r="O605" i="20" s="1"/>
  <c r="O606" i="20" a="1"/>
  <c r="O606" i="20" s="1"/>
  <c r="O607" i="20" a="1"/>
  <c r="O607" i="20" s="1"/>
  <c r="O608" i="20" a="1"/>
  <c r="O608" i="20" s="1"/>
  <c r="O609" i="20" a="1"/>
  <c r="O609" i="20" s="1"/>
  <c r="O610" i="20" a="1"/>
  <c r="O610" i="20" s="1"/>
  <c r="O611" i="20" a="1"/>
  <c r="O611" i="20" s="1"/>
  <c r="O612" i="20" a="1"/>
  <c r="O612" i="20"/>
  <c r="O613" i="20" a="1"/>
  <c r="O613" i="20" s="1"/>
  <c r="O614" i="20" a="1"/>
  <c r="O614" i="20" s="1"/>
  <c r="O615" i="20" a="1"/>
  <c r="O615" i="20" s="1"/>
  <c r="O616" i="20" a="1"/>
  <c r="O616" i="20" s="1"/>
  <c r="O617" i="20" a="1"/>
  <c r="O617" i="20" s="1"/>
  <c r="O618" i="20" a="1"/>
  <c r="O618" i="20" s="1"/>
  <c r="O619" i="20" a="1"/>
  <c r="O619" i="20" s="1"/>
  <c r="O620" i="20" a="1"/>
  <c r="O620" i="20"/>
  <c r="O621" i="20" a="1"/>
  <c r="O621" i="20" s="1"/>
  <c r="O622" i="20" a="1"/>
  <c r="O622" i="20" s="1"/>
  <c r="O623" i="20" a="1"/>
  <c r="O623" i="20" s="1"/>
  <c r="O624" i="20" a="1"/>
  <c r="O624" i="20" s="1"/>
  <c r="O625" i="20" a="1"/>
  <c r="O625" i="20" s="1"/>
  <c r="O626" i="20" a="1"/>
  <c r="O626" i="20" s="1"/>
  <c r="O627" i="20" a="1"/>
  <c r="O627" i="20" s="1"/>
  <c r="O628" i="20" a="1"/>
  <c r="O628" i="20"/>
  <c r="O629" i="20" a="1"/>
  <c r="O629" i="20" s="1"/>
  <c r="O630" i="20" a="1"/>
  <c r="O630" i="20" s="1"/>
  <c r="O631" i="20" a="1"/>
  <c r="O631" i="20" s="1"/>
  <c r="O632" i="20" a="1"/>
  <c r="O632" i="20" s="1"/>
  <c r="O633" i="20" a="1"/>
  <c r="O633" i="20" s="1"/>
  <c r="O634" i="20" a="1"/>
  <c r="O634" i="20" s="1"/>
  <c r="O635" i="20" a="1"/>
  <c r="O635" i="20" s="1"/>
  <c r="O636" i="20" a="1"/>
  <c r="O636" i="20"/>
  <c r="O637" i="20" a="1"/>
  <c r="O637" i="20" s="1"/>
  <c r="O638" i="20" a="1"/>
  <c r="O638" i="20" s="1"/>
  <c r="O639" i="20" a="1"/>
  <c r="O639" i="20" s="1"/>
  <c r="O640" i="20" a="1"/>
  <c r="O640" i="20" s="1"/>
  <c r="O641" i="20" a="1"/>
  <c r="O641" i="20" s="1"/>
  <c r="O642" i="20" a="1"/>
  <c r="O642" i="20" s="1"/>
  <c r="O643" i="20" a="1"/>
  <c r="O643" i="20" s="1"/>
  <c r="O644" i="20" a="1"/>
  <c r="O644" i="20"/>
  <c r="O645" i="20" a="1"/>
  <c r="O645" i="20" s="1"/>
  <c r="O646" i="20" a="1"/>
  <c r="O646" i="20" s="1"/>
  <c r="O647" i="20" a="1"/>
  <c r="O647" i="20" s="1"/>
  <c r="O648" i="20" a="1"/>
  <c r="O648" i="20" s="1"/>
  <c r="O649" i="20" a="1"/>
  <c r="O649" i="20" s="1"/>
  <c r="O650" i="20" a="1"/>
  <c r="O650" i="20"/>
  <c r="O651" i="20" a="1"/>
  <c r="O651" i="20" s="1"/>
  <c r="O652" i="20" a="1"/>
  <c r="O652" i="20"/>
  <c r="O653" i="20" a="1"/>
  <c r="O653" i="20" s="1"/>
  <c r="O654" i="20" a="1"/>
  <c r="O654" i="20" s="1"/>
  <c r="O655" i="20" a="1"/>
  <c r="O655" i="20" s="1"/>
  <c r="O656" i="20" a="1"/>
  <c r="O656" i="20" s="1"/>
  <c r="O657" i="20" a="1"/>
  <c r="O657" i="20" s="1"/>
  <c r="O658" i="20" a="1"/>
  <c r="O658" i="20" s="1"/>
  <c r="O659" i="20" a="1"/>
  <c r="O659" i="20" s="1"/>
  <c r="O660" i="20" a="1"/>
  <c r="O660" i="20"/>
  <c r="O661" i="20" a="1"/>
  <c r="O661" i="20" s="1"/>
  <c r="O662" i="20" a="1"/>
  <c r="O662" i="20" s="1"/>
  <c r="O663" i="20" a="1"/>
  <c r="O663" i="20" s="1"/>
  <c r="O664" i="20" a="1"/>
  <c r="O664" i="20" s="1"/>
  <c r="O665" i="20" a="1"/>
  <c r="O665" i="20" s="1"/>
  <c r="O666" i="20" a="1"/>
  <c r="O666" i="20"/>
  <c r="O667" i="20" a="1"/>
  <c r="O667" i="20" s="1"/>
  <c r="O668" i="20" a="1"/>
  <c r="O668" i="20"/>
  <c r="O669" i="20" a="1"/>
  <c r="O669" i="20" s="1"/>
  <c r="O670" i="20" a="1"/>
  <c r="O670" i="20" s="1"/>
  <c r="O671" i="20" a="1"/>
  <c r="O671" i="20" s="1"/>
  <c r="O672" i="20" a="1"/>
  <c r="O672" i="20" s="1"/>
  <c r="O673" i="20" a="1"/>
  <c r="O673" i="20" s="1"/>
  <c r="O674" i="20" a="1"/>
  <c r="O674" i="20" s="1"/>
  <c r="O675" i="20" a="1"/>
  <c r="O675" i="20" s="1"/>
  <c r="O676" i="20" a="1"/>
  <c r="O676" i="20"/>
  <c r="O677" i="20" a="1"/>
  <c r="O677" i="20" s="1"/>
  <c r="O678" i="20" a="1"/>
  <c r="O678" i="20" s="1"/>
  <c r="O679" i="20" a="1"/>
  <c r="O679" i="20" s="1"/>
  <c r="O680" i="20" a="1"/>
  <c r="O680" i="20" s="1"/>
  <c r="O681" i="20" a="1"/>
  <c r="O681" i="20" s="1"/>
  <c r="O682" i="20" a="1"/>
  <c r="O682" i="20"/>
  <c r="O683" i="20" a="1"/>
  <c r="O683" i="20" s="1"/>
  <c r="O684" i="20" a="1"/>
  <c r="O684" i="20"/>
  <c r="O685" i="20" a="1"/>
  <c r="O685" i="20" s="1"/>
  <c r="O686" i="20" a="1"/>
  <c r="O686" i="20" s="1"/>
  <c r="O687" i="20" a="1"/>
  <c r="O687" i="20" s="1"/>
  <c r="O688" i="20" a="1"/>
  <c r="O688" i="20" s="1"/>
  <c r="O689" i="20" a="1"/>
  <c r="O689" i="20" s="1"/>
  <c r="O690" i="20" a="1"/>
  <c r="O690" i="20"/>
  <c r="O691" i="20" a="1"/>
  <c r="O691" i="20" s="1"/>
  <c r="O692" i="20" a="1"/>
  <c r="O692" i="20" s="1"/>
  <c r="O693" i="20" a="1"/>
  <c r="O693" i="20" s="1"/>
  <c r="O694" i="20" a="1"/>
  <c r="O694" i="20"/>
  <c r="O695" i="20" a="1"/>
  <c r="O695" i="20" s="1"/>
  <c r="O696" i="20" a="1"/>
  <c r="O696" i="20" s="1"/>
  <c r="O697" i="20" a="1"/>
  <c r="O697" i="20" s="1"/>
  <c r="O698" i="20" a="1"/>
  <c r="O698" i="20"/>
  <c r="O699" i="20" a="1"/>
  <c r="O699" i="20" s="1"/>
  <c r="O700" i="20" a="1"/>
  <c r="O700" i="20" s="1"/>
  <c r="O701" i="20" a="1"/>
  <c r="O701" i="20" s="1"/>
  <c r="O702" i="20" a="1"/>
  <c r="O702" i="20"/>
  <c r="O703" i="20" a="1"/>
  <c r="O703" i="20" s="1"/>
  <c r="O704" i="20" a="1"/>
  <c r="O704" i="20" s="1"/>
  <c r="O705" i="20" a="1"/>
  <c r="O705" i="20" s="1"/>
  <c r="O706" i="20" a="1"/>
  <c r="O706" i="20"/>
  <c r="O707" i="20" a="1"/>
  <c r="O707" i="20" s="1"/>
  <c r="O708" i="20" a="1"/>
  <c r="O708" i="20" s="1"/>
  <c r="O709" i="20" a="1"/>
  <c r="O709" i="20" s="1"/>
  <c r="O710" i="20" a="1"/>
  <c r="O710" i="20"/>
  <c r="O711" i="20" a="1"/>
  <c r="O711" i="20" s="1"/>
  <c r="O712" i="20" a="1"/>
  <c r="O712" i="20" s="1"/>
  <c r="O713" i="20" a="1"/>
  <c r="O713" i="20" s="1"/>
  <c r="O714" i="20" a="1"/>
  <c r="O714" i="20"/>
  <c r="O715" i="20" a="1"/>
  <c r="O715" i="20" s="1"/>
  <c r="O716" i="20" a="1"/>
  <c r="O716" i="20" s="1"/>
  <c r="O717" i="20" a="1"/>
  <c r="O717" i="20" s="1"/>
  <c r="O718" i="20" a="1"/>
  <c r="O718" i="20"/>
  <c r="O719" i="20" a="1"/>
  <c r="O719" i="20" s="1"/>
  <c r="O720" i="20" a="1"/>
  <c r="O720" i="20" s="1"/>
  <c r="O721" i="20" a="1"/>
  <c r="O721" i="20" s="1"/>
  <c r="O722" i="20" a="1"/>
  <c r="O722" i="20"/>
  <c r="O723" i="20" a="1"/>
  <c r="O723" i="20" s="1"/>
  <c r="O724" i="20" a="1"/>
  <c r="O724" i="20" s="1"/>
  <c r="O725" i="20" a="1"/>
  <c r="O725" i="20" s="1"/>
  <c r="O726" i="20" a="1"/>
  <c r="O726" i="20"/>
  <c r="O727" i="20" a="1"/>
  <c r="O727" i="20" s="1"/>
  <c r="O728" i="20" a="1"/>
  <c r="O728" i="20" s="1"/>
  <c r="O729" i="20" a="1"/>
  <c r="O729" i="20" s="1"/>
  <c r="O730" i="20" a="1"/>
  <c r="O730" i="20"/>
  <c r="O731" i="20" a="1"/>
  <c r="O731" i="20" s="1"/>
  <c r="O732" i="20" a="1"/>
  <c r="O732" i="20" s="1"/>
  <c r="O733" i="20" a="1"/>
  <c r="O733" i="20"/>
  <c r="O734" i="20" a="1"/>
  <c r="O734" i="20" s="1"/>
  <c r="O735" i="20" a="1"/>
  <c r="O735" i="20" s="1"/>
  <c r="O736" i="20" a="1"/>
  <c r="O736" i="20" s="1"/>
  <c r="O737" i="20" a="1"/>
  <c r="O737" i="20" s="1"/>
  <c r="O738" i="20" a="1"/>
  <c r="O738" i="20" s="1"/>
  <c r="O739" i="20" a="1"/>
  <c r="O739" i="20" s="1"/>
  <c r="O740" i="20" a="1"/>
  <c r="O740" i="20" s="1"/>
  <c r="O741" i="20" a="1"/>
  <c r="O741" i="20" s="1"/>
  <c r="O742" i="20" a="1"/>
  <c r="O742" i="20" s="1"/>
  <c r="O743" i="20" a="1"/>
  <c r="O743" i="20" s="1"/>
  <c r="O744" i="20" a="1"/>
  <c r="O744" i="20" s="1"/>
  <c r="O745" i="20" a="1"/>
  <c r="O745" i="20" s="1"/>
  <c r="O746" i="20" a="1"/>
  <c r="O746" i="20" s="1"/>
  <c r="O747" i="20" a="1"/>
  <c r="O747" i="20" s="1"/>
  <c r="O748" i="20" a="1"/>
  <c r="O748" i="20" s="1"/>
  <c r="O749" i="20" a="1"/>
  <c r="O749" i="20"/>
  <c r="O750" i="20" a="1"/>
  <c r="O750" i="20" s="1"/>
  <c r="O751" i="20" a="1"/>
  <c r="O75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/>
  <c r="P120" i="20" a="1"/>
  <c r="P120" i="20" s="1"/>
  <c r="P121" i="20" a="1"/>
  <c r="P121" i="20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/>
  <c r="P136" i="20" a="1"/>
  <c r="P136" i="20" s="1"/>
  <c r="P137" i="20" a="1"/>
  <c r="P137" i="20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/>
  <c r="P152" i="20" a="1"/>
  <c r="P152" i="20" s="1"/>
  <c r="P153" i="20" a="1"/>
  <c r="P153" i="20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/>
  <c r="P216" i="20" a="1"/>
  <c r="P216" i="20" s="1"/>
  <c r="P217" i="20" a="1"/>
  <c r="P217" i="20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/>
  <c r="P232" i="20" a="1"/>
  <c r="P232" i="20" s="1"/>
  <c r="P233" i="20" a="1"/>
  <c r="P233" i="20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/>
  <c r="P248" i="20" a="1"/>
  <c r="P248" i="20" s="1"/>
  <c r="P249" i="20" a="1"/>
  <c r="P249" i="20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/>
  <c r="P264" i="20" a="1"/>
  <c r="P264" i="20" s="1"/>
  <c r="P265" i="20" a="1"/>
  <c r="P265" i="20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/>
  <c r="P280" i="20" a="1"/>
  <c r="P280" i="20" s="1"/>
  <c r="P281" i="20" a="1"/>
  <c r="P281" i="20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/>
  <c r="P296" i="20" a="1"/>
  <c r="P296" i="20" s="1"/>
  <c r="P297" i="20" a="1"/>
  <c r="P297" i="20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/>
  <c r="P312" i="20" a="1"/>
  <c r="P312" i="20" s="1"/>
  <c r="P313" i="20" a="1"/>
  <c r="P313" i="20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/>
  <c r="P328" i="20" a="1"/>
  <c r="P328" i="20" s="1"/>
  <c r="P329" i="20" a="1"/>
  <c r="P329" i="20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/>
  <c r="P344" i="20" a="1"/>
  <c r="P344" i="20" s="1"/>
  <c r="P345" i="20" a="1"/>
  <c r="P345" i="20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/>
  <c r="P360" i="20" a="1"/>
  <c r="P360" i="20" s="1"/>
  <c r="P361" i="20" a="1"/>
  <c r="P361" i="20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/>
  <c r="P376" i="20" a="1"/>
  <c r="P376" i="20" s="1"/>
  <c r="P377" i="20" a="1"/>
  <c r="P377" i="20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/>
  <c r="P392" i="20" a="1"/>
  <c r="P392" i="20" s="1"/>
  <c r="P393" i="20" a="1"/>
  <c r="P393" i="20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P407" i="20" a="1"/>
  <c r="P407" i="20"/>
  <c r="P408" i="20" a="1"/>
  <c r="P408" i="20" s="1"/>
  <c r="P409" i="20" a="1"/>
  <c r="P409" i="20"/>
  <c r="P410" i="20" a="1"/>
  <c r="P410" i="20" s="1"/>
  <c r="P411" i="20" a="1"/>
  <c r="P411" i="20" s="1"/>
  <c r="P412" i="20" a="1"/>
  <c r="P412" i="20" s="1"/>
  <c r="P413" i="20" a="1"/>
  <c r="P413" i="20" s="1"/>
  <c r="P414" i="20" a="1"/>
  <c r="P414" i="20" s="1"/>
  <c r="P415" i="20" a="1"/>
  <c r="P415" i="20" s="1"/>
  <c r="P416" i="20" a="1"/>
  <c r="P416" i="20" s="1"/>
  <c r="P417" i="20" a="1"/>
  <c r="P417" i="20" s="1"/>
  <c r="P418" i="20" a="1"/>
  <c r="P418" i="20" s="1"/>
  <c r="P419" i="20" a="1"/>
  <c r="P419" i="20" s="1"/>
  <c r="P420" i="20" a="1"/>
  <c r="P420" i="20" s="1"/>
  <c r="P421" i="20" a="1"/>
  <c r="P421" i="20" s="1"/>
  <c r="P422" i="20" a="1"/>
  <c r="P422" i="20" s="1"/>
  <c r="P423" i="20" a="1"/>
  <c r="P423" i="20"/>
  <c r="P424" i="20" a="1"/>
  <c r="P424" i="20" s="1"/>
  <c r="P425" i="20" a="1"/>
  <c r="P425" i="20" s="1"/>
  <c r="P426" i="20" a="1"/>
  <c r="P426" i="20" s="1"/>
  <c r="P427" i="20" a="1"/>
  <c r="P427" i="20" s="1"/>
  <c r="P428" i="20" a="1"/>
  <c r="P428" i="20" s="1"/>
  <c r="P429" i="20" a="1"/>
  <c r="P429" i="20" s="1"/>
  <c r="P430" i="20" a="1"/>
  <c r="P430" i="20" s="1"/>
  <c r="P431" i="20" a="1"/>
  <c r="P431" i="20" s="1"/>
  <c r="P432" i="20" a="1"/>
  <c r="P432" i="20" s="1"/>
  <c r="P433" i="20" a="1"/>
  <c r="P433" i="20" s="1"/>
  <c r="P434" i="20" a="1"/>
  <c r="P434" i="20" s="1"/>
  <c r="P435" i="20" a="1"/>
  <c r="P435" i="20" s="1"/>
  <c r="P436" i="20" a="1"/>
  <c r="P436" i="20" s="1"/>
  <c r="P437" i="20" a="1"/>
  <c r="P437" i="20" s="1"/>
  <c r="P438" i="20" a="1"/>
  <c r="P438" i="20" s="1"/>
  <c r="P439" i="20" a="1"/>
  <c r="P439" i="20"/>
  <c r="P440" i="20" a="1"/>
  <c r="P440" i="20" s="1"/>
  <c r="P441" i="20" a="1"/>
  <c r="P441" i="20" s="1"/>
  <c r="P442" i="20" a="1"/>
  <c r="P442" i="20" s="1"/>
  <c r="P443" i="20" a="1"/>
  <c r="P443" i="20" s="1"/>
  <c r="P444" i="20" a="1"/>
  <c r="P444" i="20" s="1"/>
  <c r="P445" i="20" a="1"/>
  <c r="P445" i="20" s="1"/>
  <c r="P446" i="20" a="1"/>
  <c r="P446" i="20" s="1"/>
  <c r="P447" i="20" a="1"/>
  <c r="P447" i="20" s="1"/>
  <c r="P448" i="20" a="1"/>
  <c r="P448" i="20" s="1"/>
  <c r="P449" i="20" a="1"/>
  <c r="P449" i="20" s="1"/>
  <c r="P450" i="20" a="1"/>
  <c r="P450" i="20" s="1"/>
  <c r="P451" i="20" a="1"/>
  <c r="P451" i="20" s="1"/>
  <c r="P452" i="20" a="1"/>
  <c r="P452" i="20" s="1"/>
  <c r="P453" i="20" a="1"/>
  <c r="P453" i="20" s="1"/>
  <c r="P454" i="20" a="1"/>
  <c r="P454" i="20" s="1"/>
  <c r="P455" i="20" a="1"/>
  <c r="P455" i="20"/>
  <c r="P456" i="20" a="1"/>
  <c r="P456" i="20" s="1"/>
  <c r="P457" i="20" a="1"/>
  <c r="P457" i="20" s="1"/>
  <c r="P458" i="20" a="1"/>
  <c r="P458" i="20" s="1"/>
  <c r="P459" i="20" a="1"/>
  <c r="P459" i="20" s="1"/>
  <c r="P460" i="20" a="1"/>
  <c r="P460" i="20" s="1"/>
  <c r="P461" i="20" a="1"/>
  <c r="P461" i="20" s="1"/>
  <c r="P462" i="20" a="1"/>
  <c r="P462" i="20" s="1"/>
  <c r="P463" i="20" a="1"/>
  <c r="P463" i="20" s="1"/>
  <c r="P464" i="20" a="1"/>
  <c r="P464" i="20" s="1"/>
  <c r="P465" i="20" a="1"/>
  <c r="P465" i="20" s="1"/>
  <c r="P466" i="20" a="1"/>
  <c r="P466" i="20" s="1"/>
  <c r="P467" i="20" a="1"/>
  <c r="P467" i="20" s="1"/>
  <c r="P468" i="20" a="1"/>
  <c r="P468" i="20" s="1"/>
  <c r="P469" i="20" a="1"/>
  <c r="P469" i="20" s="1"/>
  <c r="P470" i="20" a="1"/>
  <c r="P470" i="20" s="1"/>
  <c r="P471" i="20" a="1"/>
  <c r="P471" i="20"/>
  <c r="P472" i="20" a="1"/>
  <c r="P472" i="20" s="1"/>
  <c r="P473" i="20" a="1"/>
  <c r="P473" i="20" s="1"/>
  <c r="P474" i="20" a="1"/>
  <c r="P474" i="20" s="1"/>
  <c r="P475" i="20" a="1"/>
  <c r="P475" i="20" s="1"/>
  <c r="P476" i="20" a="1"/>
  <c r="P476" i="20" s="1"/>
  <c r="P477" i="20" a="1"/>
  <c r="P477" i="20" s="1"/>
  <c r="P478" i="20" a="1"/>
  <c r="P478" i="20" s="1"/>
  <c r="P479" i="20" a="1"/>
  <c r="P479" i="20" s="1"/>
  <c r="P480" i="20" a="1"/>
  <c r="P480" i="20" s="1"/>
  <c r="P481" i="20" a="1"/>
  <c r="P481" i="20" s="1"/>
  <c r="P482" i="20" a="1"/>
  <c r="P482" i="20" s="1"/>
  <c r="P483" i="20" a="1"/>
  <c r="P483" i="20" s="1"/>
  <c r="P484" i="20" a="1"/>
  <c r="P484" i="20" s="1"/>
  <c r="P485" i="20" a="1"/>
  <c r="P485" i="20" s="1"/>
  <c r="P486" i="20" a="1"/>
  <c r="P486" i="20" s="1"/>
  <c r="P487" i="20" a="1"/>
  <c r="P487" i="20"/>
  <c r="P488" i="20" a="1"/>
  <c r="P488" i="20" s="1"/>
  <c r="P489" i="20" a="1"/>
  <c r="P489" i="20" s="1"/>
  <c r="P490" i="20" a="1"/>
  <c r="P490" i="20" s="1"/>
  <c r="P491" i="20" a="1"/>
  <c r="P491" i="20" s="1"/>
  <c r="P492" i="20" a="1"/>
  <c r="P492" i="20" s="1"/>
  <c r="P493" i="20" a="1"/>
  <c r="P493" i="20" s="1"/>
  <c r="P494" i="20" a="1"/>
  <c r="P494" i="20" s="1"/>
  <c r="P495" i="20" a="1"/>
  <c r="P495" i="20" s="1"/>
  <c r="P496" i="20" a="1"/>
  <c r="P496" i="20" s="1"/>
  <c r="P497" i="20" a="1"/>
  <c r="P497" i="20" s="1"/>
  <c r="P498" i="20" a="1"/>
  <c r="P498" i="20" s="1"/>
  <c r="P499" i="20" a="1"/>
  <c r="P499" i="20" s="1"/>
  <c r="P500" i="20" a="1"/>
  <c r="P500" i="20" s="1"/>
  <c r="P501" i="20" a="1"/>
  <c r="P501" i="20" s="1"/>
  <c r="P502" i="20" a="1"/>
  <c r="P502" i="20" s="1"/>
  <c r="P503" i="20" a="1"/>
  <c r="P503" i="20"/>
  <c r="P504" i="20" a="1"/>
  <c r="P504" i="20" s="1"/>
  <c r="P505" i="20" a="1"/>
  <c r="P505" i="20" s="1"/>
  <c r="P506" i="20" a="1"/>
  <c r="P506" i="20" s="1"/>
  <c r="P507" i="20" a="1"/>
  <c r="P507" i="20" s="1"/>
  <c r="P508" i="20" a="1"/>
  <c r="P508" i="20" s="1"/>
  <c r="P509" i="20" a="1"/>
  <c r="P509" i="20" s="1"/>
  <c r="P510" i="20" a="1"/>
  <c r="P510" i="20" s="1"/>
  <c r="P511" i="20" a="1"/>
  <c r="P511" i="20" s="1"/>
  <c r="P512" i="20" a="1"/>
  <c r="P512" i="20" s="1"/>
  <c r="P513" i="20" a="1"/>
  <c r="P513" i="20" s="1"/>
  <c r="P514" i="20" a="1"/>
  <c r="P514" i="20" s="1"/>
  <c r="P515" i="20" a="1"/>
  <c r="P515" i="20" s="1"/>
  <c r="P516" i="20" a="1"/>
  <c r="P516" i="20" s="1"/>
  <c r="P517" i="20" a="1"/>
  <c r="P517" i="20" s="1"/>
  <c r="P518" i="20" a="1"/>
  <c r="P518" i="20" s="1"/>
  <c r="P519" i="20" a="1"/>
  <c r="P519" i="20"/>
  <c r="P520" i="20" a="1"/>
  <c r="P520" i="20" s="1"/>
  <c r="P521" i="20" a="1"/>
  <c r="P521" i="20" s="1"/>
  <c r="P522" i="20" a="1"/>
  <c r="P522" i="20" s="1"/>
  <c r="P523" i="20" a="1"/>
  <c r="P523" i="20" s="1"/>
  <c r="P524" i="20" a="1"/>
  <c r="P524" i="20" s="1"/>
  <c r="P525" i="20" a="1"/>
  <c r="P525" i="20" s="1"/>
  <c r="P526" i="20" a="1"/>
  <c r="P526" i="20" s="1"/>
  <c r="P527" i="20" a="1"/>
  <c r="P527" i="20" s="1"/>
  <c r="P528" i="20" a="1"/>
  <c r="P528" i="20" s="1"/>
  <c r="P529" i="20" a="1"/>
  <c r="P529" i="20" s="1"/>
  <c r="P530" i="20" a="1"/>
  <c r="P530" i="20" s="1"/>
  <c r="P531" i="20" a="1"/>
  <c r="P531" i="20" s="1"/>
  <c r="P532" i="20" a="1"/>
  <c r="P532" i="20" s="1"/>
  <c r="P533" i="20" a="1"/>
  <c r="P533" i="20" s="1"/>
  <c r="P534" i="20" a="1"/>
  <c r="P534" i="20" s="1"/>
  <c r="P535" i="20" a="1"/>
  <c r="P535" i="20"/>
  <c r="P536" i="20" a="1"/>
  <c r="P536" i="20" s="1"/>
  <c r="P537" i="20" a="1"/>
  <c r="P537" i="20" s="1"/>
  <c r="P538" i="20" a="1"/>
  <c r="P538" i="20" s="1"/>
  <c r="P539" i="20" a="1"/>
  <c r="P539" i="20" s="1"/>
  <c r="P540" i="20" a="1"/>
  <c r="P540" i="20" s="1"/>
  <c r="P541" i="20" a="1"/>
  <c r="P541" i="20" s="1"/>
  <c r="P542" i="20" a="1"/>
  <c r="P542" i="20" s="1"/>
  <c r="P543" i="20" a="1"/>
  <c r="P543" i="20" s="1"/>
  <c r="P544" i="20" a="1"/>
  <c r="P544" i="20" s="1"/>
  <c r="P545" i="20" a="1"/>
  <c r="P545" i="20" s="1"/>
  <c r="P546" i="20" a="1"/>
  <c r="P546" i="20" s="1"/>
  <c r="P547" i="20" a="1"/>
  <c r="P547" i="20" s="1"/>
  <c r="P548" i="20" a="1"/>
  <c r="P548" i="20" s="1"/>
  <c r="P549" i="20" a="1"/>
  <c r="P549" i="20" s="1"/>
  <c r="P550" i="20" a="1"/>
  <c r="P550" i="20" s="1"/>
  <c r="P551" i="20" a="1"/>
  <c r="P551" i="20"/>
  <c r="P552" i="20" a="1"/>
  <c r="P552" i="20" s="1"/>
  <c r="P553" i="20" a="1"/>
  <c r="P553" i="20" s="1"/>
  <c r="P554" i="20" a="1"/>
  <c r="P554" i="20" s="1"/>
  <c r="P555" i="20" a="1"/>
  <c r="P555" i="20" s="1"/>
  <c r="P556" i="20" a="1"/>
  <c r="P556" i="20" s="1"/>
  <c r="P557" i="20" a="1"/>
  <c r="P557" i="20" s="1"/>
  <c r="P558" i="20" a="1"/>
  <c r="P558" i="20" s="1"/>
  <c r="P559" i="20" a="1"/>
  <c r="P559" i="20" s="1"/>
  <c r="P560" i="20" a="1"/>
  <c r="P560" i="20" s="1"/>
  <c r="P561" i="20" a="1"/>
  <c r="P561" i="20" s="1"/>
  <c r="P562" i="20" a="1"/>
  <c r="P562" i="20" s="1"/>
  <c r="P563" i="20" a="1"/>
  <c r="P563" i="20" s="1"/>
  <c r="P564" i="20" a="1"/>
  <c r="P564" i="20" s="1"/>
  <c r="P565" i="20" a="1"/>
  <c r="P565" i="20" s="1"/>
  <c r="P566" i="20" a="1"/>
  <c r="P566" i="20" s="1"/>
  <c r="P567" i="20" a="1"/>
  <c r="P567" i="20"/>
  <c r="P568" i="20" a="1"/>
  <c r="P568" i="20" s="1"/>
  <c r="P569" i="20" a="1"/>
  <c r="P569" i="20" s="1"/>
  <c r="P570" i="20" a="1"/>
  <c r="P570" i="20" s="1"/>
  <c r="P571" i="20" a="1"/>
  <c r="P571" i="20" s="1"/>
  <c r="P572" i="20" a="1"/>
  <c r="P572" i="20" s="1"/>
  <c r="P573" i="20" a="1"/>
  <c r="P573" i="20" s="1"/>
  <c r="P574" i="20" a="1"/>
  <c r="P574" i="20" s="1"/>
  <c r="P575" i="20" a="1"/>
  <c r="P575" i="20"/>
  <c r="P576" i="20" a="1"/>
  <c r="P576" i="20" s="1"/>
  <c r="P577" i="20" a="1"/>
  <c r="P577" i="20" s="1"/>
  <c r="P578" i="20" a="1"/>
  <c r="P578" i="20" s="1"/>
  <c r="P579" i="20" a="1"/>
  <c r="P579" i="20" s="1"/>
  <c r="P580" i="20" a="1"/>
  <c r="P580" i="20" s="1"/>
  <c r="P581" i="20" a="1"/>
  <c r="P581" i="20" s="1"/>
  <c r="P582" i="20" a="1"/>
  <c r="P582" i="20" s="1"/>
  <c r="P583" i="20" a="1"/>
  <c r="P583" i="20"/>
  <c r="P584" i="20" a="1"/>
  <c r="P584" i="20" s="1"/>
  <c r="P585" i="20" a="1"/>
  <c r="P585" i="20" s="1"/>
  <c r="P586" i="20" a="1"/>
  <c r="P586" i="20" s="1"/>
  <c r="P587" i="20" a="1"/>
  <c r="P587" i="20" s="1"/>
  <c r="P588" i="20" a="1"/>
  <c r="P588" i="20" s="1"/>
  <c r="P589" i="20" a="1"/>
  <c r="P589" i="20" s="1"/>
  <c r="P590" i="20" a="1"/>
  <c r="P590" i="20" s="1"/>
  <c r="P591" i="20" a="1"/>
  <c r="P591" i="20"/>
  <c r="P592" i="20" a="1"/>
  <c r="P592" i="20" s="1"/>
  <c r="P593" i="20" a="1"/>
  <c r="P593" i="20" s="1"/>
  <c r="P594" i="20" a="1"/>
  <c r="P594" i="20" s="1"/>
  <c r="P595" i="20" a="1"/>
  <c r="P595" i="20" s="1"/>
  <c r="P596" i="20" a="1"/>
  <c r="P596" i="20" s="1"/>
  <c r="P597" i="20" a="1"/>
  <c r="P597" i="20" s="1"/>
  <c r="P598" i="20" a="1"/>
  <c r="P598" i="20" s="1"/>
  <c r="P599" i="20" a="1"/>
  <c r="P599" i="20"/>
  <c r="P600" i="20" a="1"/>
  <c r="P600" i="20" s="1"/>
  <c r="P601" i="20" a="1"/>
  <c r="P601" i="20" s="1"/>
  <c r="P602" i="20" a="1"/>
  <c r="P602" i="20" s="1"/>
  <c r="P603" i="20" a="1"/>
  <c r="P603" i="20" s="1"/>
  <c r="P604" i="20" a="1"/>
  <c r="P604" i="20" s="1"/>
  <c r="P605" i="20" a="1"/>
  <c r="P605" i="20" s="1"/>
  <c r="P606" i="20" a="1"/>
  <c r="P606" i="20" s="1"/>
  <c r="P607" i="20" a="1"/>
  <c r="P607" i="20"/>
  <c r="P608" i="20" a="1"/>
  <c r="P608" i="20" s="1"/>
  <c r="P609" i="20" a="1"/>
  <c r="P609" i="20" s="1"/>
  <c r="P610" i="20" a="1"/>
  <c r="P610" i="20" s="1"/>
  <c r="P611" i="20" a="1"/>
  <c r="P611" i="20" s="1"/>
  <c r="P612" i="20" a="1"/>
  <c r="P612" i="20" s="1"/>
  <c r="P613" i="20" a="1"/>
  <c r="P613" i="20" s="1"/>
  <c r="P614" i="20" a="1"/>
  <c r="P614" i="20" s="1"/>
  <c r="P615" i="20" a="1"/>
  <c r="P615" i="20"/>
  <c r="P616" i="20" a="1"/>
  <c r="P616" i="20" s="1"/>
  <c r="P617" i="20" a="1"/>
  <c r="P617" i="20" s="1"/>
  <c r="P618" i="20" a="1"/>
  <c r="P618" i="20" s="1"/>
  <c r="P619" i="20" a="1"/>
  <c r="P619" i="20" s="1"/>
  <c r="P620" i="20" a="1"/>
  <c r="P620" i="20" s="1"/>
  <c r="P621" i="20" a="1"/>
  <c r="P621" i="20" s="1"/>
  <c r="P622" i="20" a="1"/>
  <c r="P622" i="20" s="1"/>
  <c r="P623" i="20" a="1"/>
  <c r="P623" i="20"/>
  <c r="P624" i="20" a="1"/>
  <c r="P624" i="20" s="1"/>
  <c r="P625" i="20" a="1"/>
  <c r="P625" i="20" s="1"/>
  <c r="P626" i="20" a="1"/>
  <c r="P626" i="20" s="1"/>
  <c r="P627" i="20" a="1"/>
  <c r="P627" i="20" s="1"/>
  <c r="P628" i="20" a="1"/>
  <c r="P628" i="20" s="1"/>
  <c r="P629" i="20" a="1"/>
  <c r="P629" i="20" s="1"/>
  <c r="P630" i="20" a="1"/>
  <c r="P630" i="20" s="1"/>
  <c r="P631" i="20" a="1"/>
  <c r="P631" i="20"/>
  <c r="P632" i="20" a="1"/>
  <c r="P632" i="20" s="1"/>
  <c r="P633" i="20" a="1"/>
  <c r="P633" i="20" s="1"/>
  <c r="P634" i="20" a="1"/>
  <c r="P634" i="20" s="1"/>
  <c r="P635" i="20" a="1"/>
  <c r="P635" i="20" s="1"/>
  <c r="P636" i="20" a="1"/>
  <c r="P636" i="20" s="1"/>
  <c r="P637" i="20" a="1"/>
  <c r="P637" i="20" s="1"/>
  <c r="P638" i="20" a="1"/>
  <c r="P638" i="20" s="1"/>
  <c r="P639" i="20" a="1"/>
  <c r="P639" i="20"/>
  <c r="P640" i="20" a="1"/>
  <c r="P640" i="20" s="1"/>
  <c r="P641" i="20" a="1"/>
  <c r="P641" i="20" s="1"/>
  <c r="P642" i="20" a="1"/>
  <c r="P642" i="20" s="1"/>
  <c r="P643" i="20" a="1"/>
  <c r="P643" i="20" s="1"/>
  <c r="P644" i="20" a="1"/>
  <c r="P644" i="20" s="1"/>
  <c r="P645" i="20" a="1"/>
  <c r="P645" i="20" s="1"/>
  <c r="P646" i="20" a="1"/>
  <c r="P646" i="20" s="1"/>
  <c r="P647" i="20" a="1"/>
  <c r="P647" i="20"/>
  <c r="P648" i="20" a="1"/>
  <c r="P648" i="20" s="1"/>
  <c r="P649" i="20" a="1"/>
  <c r="P649" i="20" s="1"/>
  <c r="P650" i="20" a="1"/>
  <c r="P650" i="20" s="1"/>
  <c r="P651" i="20" a="1"/>
  <c r="P651" i="20" s="1"/>
  <c r="P652" i="20" a="1"/>
  <c r="P652" i="20" s="1"/>
  <c r="P653" i="20" a="1"/>
  <c r="P653" i="20" s="1"/>
  <c r="P654" i="20" a="1"/>
  <c r="P654" i="20" s="1"/>
  <c r="P655" i="20" a="1"/>
  <c r="P655" i="20"/>
  <c r="P656" i="20" a="1"/>
  <c r="P656" i="20" s="1"/>
  <c r="P657" i="20" a="1"/>
  <c r="P657" i="20" s="1"/>
  <c r="P658" i="20" a="1"/>
  <c r="P658" i="20" s="1"/>
  <c r="P659" i="20" a="1"/>
  <c r="P659" i="20" s="1"/>
  <c r="P660" i="20" a="1"/>
  <c r="P660" i="20" s="1"/>
  <c r="P661" i="20" a="1"/>
  <c r="P661" i="20" s="1"/>
  <c r="P662" i="20" a="1"/>
  <c r="P662" i="20" s="1"/>
  <c r="P663" i="20" a="1"/>
  <c r="P663" i="20"/>
  <c r="P664" i="20" a="1"/>
  <c r="P664" i="20" s="1"/>
  <c r="P665" i="20" a="1"/>
  <c r="P665" i="20" s="1"/>
  <c r="P666" i="20" a="1"/>
  <c r="P666" i="20" s="1"/>
  <c r="P667" i="20" a="1"/>
  <c r="P667" i="20" s="1"/>
  <c r="P668" i="20" a="1"/>
  <c r="P668" i="20" s="1"/>
  <c r="P669" i="20" a="1"/>
  <c r="P669" i="20"/>
  <c r="P670" i="20" a="1"/>
  <c r="P670" i="20" s="1"/>
  <c r="P671" i="20" a="1"/>
  <c r="P671" i="20"/>
  <c r="P672" i="20" a="1"/>
  <c r="P672" i="20" s="1"/>
  <c r="P673" i="20" a="1"/>
  <c r="P673" i="20" s="1"/>
  <c r="P674" i="20" a="1"/>
  <c r="P674" i="20" s="1"/>
  <c r="P675" i="20" a="1"/>
  <c r="P675" i="20" s="1"/>
  <c r="P676" i="20" a="1"/>
  <c r="P676" i="20" s="1"/>
  <c r="P677" i="20" a="1"/>
  <c r="P677" i="20"/>
  <c r="P678" i="20" a="1"/>
  <c r="P678" i="20" s="1"/>
  <c r="P679" i="20" a="1"/>
  <c r="P679" i="20"/>
  <c r="P680" i="20" a="1"/>
  <c r="P680" i="20" s="1"/>
  <c r="P681" i="20" a="1"/>
  <c r="P681" i="20" s="1"/>
  <c r="P682" i="20" a="1"/>
  <c r="P682" i="20" s="1"/>
  <c r="P683" i="20" a="1"/>
  <c r="P683" i="20" s="1"/>
  <c r="P684" i="20" a="1"/>
  <c r="P684" i="20" s="1"/>
  <c r="P685" i="20" a="1"/>
  <c r="P685" i="20"/>
  <c r="P686" i="20" a="1"/>
  <c r="P686" i="20" s="1"/>
  <c r="P687" i="20" a="1"/>
  <c r="P687" i="20"/>
  <c r="P688" i="20" a="1"/>
  <c r="P688" i="20" s="1"/>
  <c r="P689" i="20" a="1"/>
  <c r="P689" i="20" s="1"/>
  <c r="P690" i="20" a="1"/>
  <c r="P690" i="20" s="1"/>
  <c r="P691" i="20" a="1"/>
  <c r="P691" i="20" s="1"/>
  <c r="P692" i="20" a="1"/>
  <c r="P692" i="20" s="1"/>
  <c r="P693" i="20" a="1"/>
  <c r="P693" i="20"/>
  <c r="P694" i="20" a="1"/>
  <c r="P694" i="20" s="1"/>
  <c r="P695" i="20" a="1"/>
  <c r="P695" i="20"/>
  <c r="P696" i="20" a="1"/>
  <c r="P696" i="20" s="1"/>
  <c r="P697" i="20" a="1"/>
  <c r="P697" i="20" s="1"/>
  <c r="P698" i="20" a="1"/>
  <c r="P698" i="20" s="1"/>
  <c r="P699" i="20" a="1"/>
  <c r="P699" i="20" s="1"/>
  <c r="P700" i="20" a="1"/>
  <c r="P700" i="20" s="1"/>
  <c r="P701" i="20" a="1"/>
  <c r="P701" i="20"/>
  <c r="P702" i="20" a="1"/>
  <c r="P702" i="20" s="1"/>
  <c r="P703" i="20" a="1"/>
  <c r="P703" i="20"/>
  <c r="P704" i="20" a="1"/>
  <c r="P704" i="20" s="1"/>
  <c r="P705" i="20" a="1"/>
  <c r="P705" i="20" s="1"/>
  <c r="P706" i="20" a="1"/>
  <c r="P706" i="20" s="1"/>
  <c r="P707" i="20" a="1"/>
  <c r="P707" i="20" s="1"/>
  <c r="P708" i="20" a="1"/>
  <c r="P708" i="20" s="1"/>
  <c r="P709" i="20" a="1"/>
  <c r="P709" i="20"/>
  <c r="P710" i="20" a="1"/>
  <c r="P710" i="20" s="1"/>
  <c r="P711" i="20" a="1"/>
  <c r="P711" i="20"/>
  <c r="P712" i="20" a="1"/>
  <c r="P712" i="20" s="1"/>
  <c r="P713" i="20" a="1"/>
  <c r="P713" i="20" s="1"/>
  <c r="P714" i="20" a="1"/>
  <c r="P714" i="20" s="1"/>
  <c r="P715" i="20" a="1"/>
  <c r="P715" i="20" s="1"/>
  <c r="P716" i="20" a="1"/>
  <c r="P716" i="20" s="1"/>
  <c r="P717" i="20" a="1"/>
  <c r="P717" i="20"/>
  <c r="P718" i="20" a="1"/>
  <c r="P718" i="20" s="1"/>
  <c r="P719" i="20" a="1"/>
  <c r="P719" i="20"/>
  <c r="P720" i="20" a="1"/>
  <c r="P720" i="20" s="1"/>
  <c r="P721" i="20" a="1"/>
  <c r="P721" i="20" s="1"/>
  <c r="P722" i="20" a="1"/>
  <c r="P722" i="20" s="1"/>
  <c r="P723" i="20" a="1"/>
  <c r="P723" i="20" s="1"/>
  <c r="P724" i="20" a="1"/>
  <c r="P724" i="20" s="1"/>
  <c r="P725" i="20" a="1"/>
  <c r="P725" i="20"/>
  <c r="P726" i="20" a="1"/>
  <c r="P726" i="20" s="1"/>
  <c r="P727" i="20" a="1"/>
  <c r="P727" i="20"/>
  <c r="P728" i="20" a="1"/>
  <c r="P728" i="20" s="1"/>
  <c r="P729" i="20" a="1"/>
  <c r="P729" i="20" s="1"/>
  <c r="P730" i="20" a="1"/>
  <c r="P730" i="20" s="1"/>
  <c r="P731" i="20" a="1"/>
  <c r="P731" i="20" s="1"/>
  <c r="P732" i="20" a="1"/>
  <c r="P732" i="20" s="1"/>
  <c r="P733" i="20" a="1"/>
  <c r="P733" i="20"/>
  <c r="P734" i="20" a="1"/>
  <c r="P734" i="20" s="1"/>
  <c r="P735" i="20" a="1"/>
  <c r="P735" i="20"/>
  <c r="P736" i="20" a="1"/>
  <c r="P736" i="20" s="1"/>
  <c r="P737" i="20" a="1"/>
  <c r="P737" i="20" s="1"/>
  <c r="P738" i="20" a="1"/>
  <c r="P738" i="20" s="1"/>
  <c r="P739" i="20" a="1"/>
  <c r="P739" i="20" s="1"/>
  <c r="P740" i="20" a="1"/>
  <c r="P740" i="20" s="1"/>
  <c r="P741" i="20" a="1"/>
  <c r="P741" i="20"/>
  <c r="P742" i="20" a="1"/>
  <c r="P742" i="20" s="1"/>
  <c r="P743" i="20" a="1"/>
  <c r="P743" i="20"/>
  <c r="P744" i="20" a="1"/>
  <c r="P744" i="20" s="1"/>
  <c r="P745" i="20" a="1"/>
  <c r="P745" i="20" s="1"/>
  <c r="P746" i="20" a="1"/>
  <c r="P746" i="20" s="1"/>
  <c r="P747" i="20" a="1"/>
  <c r="P747" i="20" s="1"/>
  <c r="P748" i="20" a="1"/>
  <c r="P748" i="20" s="1"/>
  <c r="P749" i="20" a="1"/>
  <c r="P749" i="20"/>
  <c r="P750" i="20" a="1"/>
  <c r="P750" i="20" s="1"/>
  <c r="P751" i="20" a="1"/>
  <c r="P751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N2" i="18" a="1"/>
  <c r="N2" i="18" s="1"/>
  <c r="R2" i="18" s="1"/>
  <c r="N3" i="18" a="1"/>
  <c r="N3" i="18" s="1"/>
  <c r="N4" i="18" a="1"/>
  <c r="N4" i="18" s="1"/>
  <c r="N5" i="18" a="1"/>
  <c r="N5" i="18" s="1"/>
  <c r="N6" i="18" a="1"/>
  <c r="N6" i="18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N12" i="18" a="1"/>
  <c r="N12" i="18" s="1"/>
  <c r="N13" i="18" a="1"/>
  <c r="N13" i="18" s="1"/>
  <c r="N14" i="18" a="1"/>
  <c r="N14" i="18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R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R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/>
  <c r="N171" i="18" a="1"/>
  <c r="N171" i="18" s="1"/>
  <c r="N172" i="18" a="1"/>
  <c r="N172" i="18" s="1"/>
  <c r="N173" i="18" a="1"/>
  <c r="N173" i="18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 s="1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 s="1"/>
  <c r="N459" i="18" a="1"/>
  <c r="N459" i="18" s="1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 s="1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/>
  <c r="N481" i="18" a="1"/>
  <c r="N48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/>
  <c r="O148" i="18" a="1"/>
  <c r="O148" i="18" s="1"/>
  <c r="O149" i="18" a="1"/>
  <c r="O149" i="18"/>
  <c r="O150" i="18" a="1"/>
  <c r="O150" i="18" s="1"/>
  <c r="O151" i="18" a="1"/>
  <c r="O151" i="18" s="1"/>
  <c r="O152" i="18" a="1"/>
  <c r="O152" i="18" s="1"/>
  <c r="O153" i="18" a="1"/>
  <c r="O153" i="18"/>
  <c r="O154" i="18" a="1"/>
  <c r="O154" i="18" s="1"/>
  <c r="O155" i="18" a="1"/>
  <c r="O155" i="18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/>
  <c r="O180" i="18" a="1"/>
  <c r="O180" i="18" s="1"/>
  <c r="O181" i="18" a="1"/>
  <c r="O181" i="18"/>
  <c r="O182" i="18" a="1"/>
  <c r="O182" i="18" s="1"/>
  <c r="O183" i="18" a="1"/>
  <c r="O183" i="18" s="1"/>
  <c r="O184" i="18" a="1"/>
  <c r="O184" i="18" s="1"/>
  <c r="O185" i="18" a="1"/>
  <c r="O185" i="18"/>
  <c r="O186" i="18" a="1"/>
  <c r="O186" i="18" s="1"/>
  <c r="O187" i="18" a="1"/>
  <c r="O187" i="18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/>
  <c r="O194" i="18" a="1"/>
  <c r="O194" i="18" s="1"/>
  <c r="O195" i="18" a="1"/>
  <c r="O195" i="18" s="1"/>
  <c r="O196" i="18" a="1"/>
  <c r="O196" i="18" s="1"/>
  <c r="O197" i="18" a="1"/>
  <c r="O197" i="18"/>
  <c r="O198" i="18" a="1"/>
  <c r="O198" i="18" s="1"/>
  <c r="O199" i="18" a="1"/>
  <c r="O199" i="18" s="1"/>
  <c r="O200" i="18" a="1"/>
  <c r="O200" i="18" s="1"/>
  <c r="O201" i="18" a="1"/>
  <c r="O201" i="18"/>
  <c r="O202" i="18" a="1"/>
  <c r="O202" i="18" s="1"/>
  <c r="O203" i="18" a="1"/>
  <c r="O203" i="18"/>
  <c r="O204" i="18" a="1"/>
  <c r="O204" i="18" s="1"/>
  <c r="O205" i="18" a="1"/>
  <c r="O205" i="18"/>
  <c r="O206" i="18" a="1"/>
  <c r="O206" i="18" s="1"/>
  <c r="O207" i="18" a="1"/>
  <c r="O207" i="18" s="1"/>
  <c r="O208" i="18" a="1"/>
  <c r="O208" i="18" s="1"/>
  <c r="O209" i="18" a="1"/>
  <c r="O209" i="18"/>
  <c r="O210" i="18" a="1"/>
  <c r="O210" i="18" s="1"/>
  <c r="O211" i="18" a="1"/>
  <c r="O211" i="18" s="1"/>
  <c r="O212" i="18" a="1"/>
  <c r="O212" i="18" s="1"/>
  <c r="O213" i="18" a="1"/>
  <c r="O213" i="18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/>
  <c r="O222" i="18" a="1"/>
  <c r="O222" i="18" s="1"/>
  <c r="O223" i="18" a="1"/>
  <c r="O223" i="18" s="1"/>
  <c r="O224" i="18" a="1"/>
  <c r="O224" i="18" s="1"/>
  <c r="O225" i="18" a="1"/>
  <c r="O225" i="18"/>
  <c r="O226" i="18" a="1"/>
  <c r="O226" i="18" s="1"/>
  <c r="O227" i="18" a="1"/>
  <c r="O227" i="18" s="1"/>
  <c r="O228" i="18" a="1"/>
  <c r="O228" i="18" s="1"/>
  <c r="O229" i="18" a="1"/>
  <c r="O229" i="18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/>
  <c r="O238" i="18" a="1"/>
  <c r="O238" i="18" s="1"/>
  <c r="O239" i="18" a="1"/>
  <c r="O239" i="18" s="1"/>
  <c r="O240" i="18" a="1"/>
  <c r="O240" i="18" s="1"/>
  <c r="O241" i="18" a="1"/>
  <c r="O241" i="18"/>
  <c r="O242" i="18" a="1"/>
  <c r="O242" i="18" s="1"/>
  <c r="O243" i="18" a="1"/>
  <c r="O243" i="18" s="1"/>
  <c r="O244" i="18" a="1"/>
  <c r="O244" i="18" s="1"/>
  <c r="O245" i="18" a="1"/>
  <c r="O245" i="18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/>
  <c r="O254" i="18" a="1"/>
  <c r="O254" i="18" s="1"/>
  <c r="O255" i="18" a="1"/>
  <c r="O255" i="18" s="1"/>
  <c r="O256" i="18" a="1"/>
  <c r="O256" i="18" s="1"/>
  <c r="O257" i="18" a="1"/>
  <c r="O257" i="18"/>
  <c r="O258" i="18" a="1"/>
  <c r="O258" i="18" s="1"/>
  <c r="O259" i="18" a="1"/>
  <c r="O259" i="18" s="1"/>
  <c r="O260" i="18" a="1"/>
  <c r="O260" i="18" s="1"/>
  <c r="O261" i="18" a="1"/>
  <c r="O261" i="18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/>
  <c r="O270" i="18" a="1"/>
  <c r="O270" i="18" s="1"/>
  <c r="O271" i="18" a="1"/>
  <c r="O271" i="18" s="1"/>
  <c r="O272" i="18" a="1"/>
  <c r="O272" i="18" s="1"/>
  <c r="O273" i="18" a="1"/>
  <c r="O273" i="18"/>
  <c r="O274" i="18" a="1"/>
  <c r="O274" i="18" s="1"/>
  <c r="O275" i="18" a="1"/>
  <c r="O275" i="18" s="1"/>
  <c r="O276" i="18" a="1"/>
  <c r="O276" i="18" s="1"/>
  <c r="O277" i="18" a="1"/>
  <c r="O277" i="18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/>
  <c r="O286" i="18" a="1"/>
  <c r="O286" i="18" s="1"/>
  <c r="O287" i="18" a="1"/>
  <c r="O287" i="18" s="1"/>
  <c r="O288" i="18" a="1"/>
  <c r="O288" i="18" s="1"/>
  <c r="O289" i="18" a="1"/>
  <c r="O289" i="18"/>
  <c r="O290" i="18" a="1"/>
  <c r="O290" i="18" s="1"/>
  <c r="O291" i="18" a="1"/>
  <c r="O291" i="18" s="1"/>
  <c r="O292" i="18" a="1"/>
  <c r="O292" i="18" s="1"/>
  <c r="O293" i="18" a="1"/>
  <c r="O293" i="18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/>
  <c r="O302" i="18" a="1"/>
  <c r="O302" i="18" s="1"/>
  <c r="O303" i="18" a="1"/>
  <c r="O303" i="18" s="1"/>
  <c r="O304" i="18" a="1"/>
  <c r="O304" i="18" s="1"/>
  <c r="O305" i="18" a="1"/>
  <c r="O305" i="18"/>
  <c r="O306" i="18" a="1"/>
  <c r="O306" i="18" s="1"/>
  <c r="O307" i="18" a="1"/>
  <c r="O307" i="18" s="1"/>
  <c r="O308" i="18" a="1"/>
  <c r="O308" i="18" s="1"/>
  <c r="O309" i="18" a="1"/>
  <c r="O309" i="18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/>
  <c r="O318" i="18" a="1"/>
  <c r="O318" i="18" s="1"/>
  <c r="O319" i="18" a="1"/>
  <c r="O319" i="18" s="1"/>
  <c r="O320" i="18" a="1"/>
  <c r="O320" i="18" s="1"/>
  <c r="O321" i="18" a="1"/>
  <c r="O321" i="18"/>
  <c r="O322" i="18" a="1"/>
  <c r="O322" i="18" s="1"/>
  <c r="O323" i="18" a="1"/>
  <c r="O323" i="18" s="1"/>
  <c r="O324" i="18" a="1"/>
  <c r="O324" i="18" s="1"/>
  <c r="O325" i="18" a="1"/>
  <c r="O325" i="18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/>
  <c r="O379" i="18" a="1"/>
  <c r="O379" i="18" s="1"/>
  <c r="O380" i="18" a="1"/>
  <c r="O380" i="18"/>
  <c r="O381" i="18" a="1"/>
  <c r="O381" i="18" s="1"/>
  <c r="O382" i="18" a="1"/>
  <c r="O382" i="18" s="1"/>
  <c r="O383" i="18" a="1"/>
  <c r="O383" i="18"/>
  <c r="O384" i="18" a="1"/>
  <c r="O384" i="18" s="1"/>
  <c r="O385" i="18" a="1"/>
  <c r="O385" i="18" s="1"/>
  <c r="O386" i="18" a="1"/>
  <c r="O386" i="18" s="1"/>
  <c r="O387" i="18" a="1"/>
  <c r="O387" i="18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/>
  <c r="O400" i="18" a="1"/>
  <c r="O400" i="18" s="1"/>
  <c r="O401" i="18" a="1"/>
  <c r="O401" i="18" s="1"/>
  <c r="O402" i="18" a="1"/>
  <c r="O402" i="18" s="1"/>
  <c r="O403" i="18" a="1"/>
  <c r="O403" i="18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/>
  <c r="O416" i="18" a="1"/>
  <c r="O416" i="18" s="1"/>
  <c r="O417" i="18" a="1"/>
  <c r="O417" i="18" s="1"/>
  <c r="O418" i="18" a="1"/>
  <c r="O418" i="18" s="1"/>
  <c r="O419" i="18" a="1"/>
  <c r="O419" i="18"/>
  <c r="O420" i="18" a="1"/>
  <c r="O420" i="18" s="1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/>
  <c r="O432" i="18" a="1"/>
  <c r="O432" i="18" s="1"/>
  <c r="O433" i="18" a="1"/>
  <c r="O433" i="18" s="1"/>
  <c r="O434" i="18" a="1"/>
  <c r="O434" i="18" s="1"/>
  <c r="O435" i="18" a="1"/>
  <c r="O435" i="18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/>
  <c r="O448" i="18" a="1"/>
  <c r="O448" i="18" s="1"/>
  <c r="O449" i="18" a="1"/>
  <c r="O449" i="18" s="1"/>
  <c r="O450" i="18" a="1"/>
  <c r="O450" i="18" s="1"/>
  <c r="O451" i="18" a="1"/>
  <c r="O451" i="18"/>
  <c r="O452" i="18" a="1"/>
  <c r="O452" i="18" s="1"/>
  <c r="O453" i="18" a="1"/>
  <c r="O453" i="18" s="1"/>
  <c r="O454" i="18" a="1"/>
  <c r="O454" i="18" s="1"/>
  <c r="O455" i="18" a="1"/>
  <c r="O455" i="18" s="1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/>
  <c r="O464" i="18" a="1"/>
  <c r="O464" i="18" s="1"/>
  <c r="O465" i="18" a="1"/>
  <c r="O465" i="18" s="1"/>
  <c r="O466" i="18" a="1"/>
  <c r="O466" i="18" s="1"/>
  <c r="O467" i="18" a="1"/>
  <c r="O467" i="18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 s="1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/>
  <c r="O480" i="18" a="1"/>
  <c r="O480" i="18" s="1"/>
  <c r="O481" i="18" a="1"/>
  <c r="O481" i="18" s="1"/>
  <c r="P2" i="18" a="1"/>
  <c r="P2" i="18" s="1"/>
  <c r="P3" i="18" a="1"/>
  <c r="P3" i="18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/>
  <c r="P20" i="18" a="1"/>
  <c r="P20" i="18" s="1"/>
  <c r="P21" i="18" a="1"/>
  <c r="P21" i="18" s="1"/>
  <c r="P22" i="18" a="1"/>
  <c r="P22" i="18" s="1"/>
  <c r="P23" i="18" a="1"/>
  <c r="P23" i="18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/>
  <c r="P64" i="18" a="1"/>
  <c r="P64" i="18" s="1"/>
  <c r="P65" i="18" a="1"/>
  <c r="P65" i="18" s="1"/>
  <c r="P66" i="18" a="1"/>
  <c r="P66" i="18" s="1"/>
  <c r="P67" i="18" a="1"/>
  <c r="P67" i="18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/>
  <c r="P84" i="18" a="1"/>
  <c r="P84" i="18" s="1"/>
  <c r="P85" i="18" a="1"/>
  <c r="P85" i="18" s="1"/>
  <c r="P86" i="18" a="1"/>
  <c r="P86" i="18" s="1"/>
  <c r="P87" i="18" a="1"/>
  <c r="P87" i="18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/>
  <c r="P102" i="18" a="1"/>
  <c r="P102" i="18" s="1"/>
  <c r="P103" i="18" a="1"/>
  <c r="P103" i="18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/>
  <c r="P118" i="18" a="1"/>
  <c r="P118" i="18" s="1"/>
  <c r="P119" i="18" a="1"/>
  <c r="P119" i="18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/>
  <c r="P134" i="18" a="1"/>
  <c r="P134" i="18" s="1"/>
  <c r="P135" i="18" a="1"/>
  <c r="P135" i="18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/>
  <c r="P150" i="18" a="1"/>
  <c r="P150" i="18" s="1"/>
  <c r="P151" i="18" a="1"/>
  <c r="P151" i="18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/>
  <c r="P166" i="18" a="1"/>
  <c r="P166" i="18" s="1"/>
  <c r="P167" i="18" a="1"/>
  <c r="P167" i="18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/>
  <c r="P182" i="18" a="1"/>
  <c r="P182" i="18" s="1"/>
  <c r="P183" i="18" a="1"/>
  <c r="P183" i="18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/>
  <c r="P198" i="18" a="1"/>
  <c r="P198" i="18" s="1"/>
  <c r="P199" i="18" a="1"/>
  <c r="P199" i="18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/>
  <c r="P214" i="18" a="1"/>
  <c r="P214" i="18" s="1"/>
  <c r="P215" i="18" a="1"/>
  <c r="P215" i="18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/>
  <c r="P287" i="18" a="1"/>
  <c r="P287" i="18" s="1"/>
  <c r="P288" i="18" a="1"/>
  <c r="P288" i="18" s="1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/>
  <c r="P351" i="18" a="1"/>
  <c r="P351" i="18" s="1"/>
  <c r="P352" i="18" a="1"/>
  <c r="P352" i="18" s="1"/>
  <c r="P353" i="18" a="1"/>
  <c r="P353" i="18" s="1"/>
  <c r="P354" i="18" a="1"/>
  <c r="P354" i="18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 s="1"/>
  <c r="P363" i="18" a="1"/>
  <c r="P363" i="18" s="1"/>
  <c r="P364" i="18" a="1"/>
  <c r="P364" i="18" s="1"/>
  <c r="P365" i="18" a="1"/>
  <c r="P365" i="18" s="1"/>
  <c r="P366" i="18" a="1"/>
  <c r="P366" i="18"/>
  <c r="P367" i="18" a="1"/>
  <c r="P367" i="18" s="1"/>
  <c r="P368" i="18" a="1"/>
  <c r="P368" i="18" s="1"/>
  <c r="P369" i="18" a="1"/>
  <c r="P369" i="18" s="1"/>
  <c r="P370" i="18" a="1"/>
  <c r="P370" i="18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/>
  <c r="P383" i="18" a="1"/>
  <c r="P383" i="18" s="1"/>
  <c r="P384" i="18" a="1"/>
  <c r="P384" i="18" s="1"/>
  <c r="P385" i="18" a="1"/>
  <c r="P385" i="18" s="1"/>
  <c r="P386" i="18" a="1"/>
  <c r="P386" i="18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 s="1"/>
  <c r="P434" i="18" a="1"/>
  <c r="P434" i="18" s="1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P442" i="18" a="1"/>
  <c r="P442" i="18" s="1"/>
  <c r="P443" i="18" a="1"/>
  <c r="P443" i="18" s="1"/>
  <c r="P444" i="18" a="1"/>
  <c r="P444" i="18" s="1"/>
  <c r="P445" i="18" a="1"/>
  <c r="P445" i="18" s="1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 s="1"/>
  <c r="P457" i="18" a="1"/>
  <c r="P457" i="18" s="1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 s="1"/>
  <c r="P466" i="18" a="1"/>
  <c r="P466" i="18" s="1"/>
  <c r="P467" i="18" a="1"/>
  <c r="P467" i="18" s="1"/>
  <c r="P468" i="18" a="1"/>
  <c r="P468" i="18" s="1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 s="1"/>
  <c r="P475" i="18" a="1"/>
  <c r="P475" i="18" s="1"/>
  <c r="P476" i="18" a="1"/>
  <c r="P476" i="18" s="1"/>
  <c r="P477" i="18" a="1"/>
  <c r="P477" i="18" s="1"/>
  <c r="P478" i="18" a="1"/>
  <c r="P478" i="18" s="1"/>
  <c r="P479" i="18" a="1"/>
  <c r="P479" i="18" s="1"/>
  <c r="P480" i="18" a="1"/>
  <c r="P480" i="18" s="1"/>
  <c r="P481" i="18" a="1"/>
  <c r="P481" i="18" s="1"/>
  <c r="Q2" i="18" a="1"/>
  <c r="Q2" i="18" s="1"/>
  <c r="Q3" i="18" a="1"/>
  <c r="Q3" i="18" s="1"/>
  <c r="R3" i="18" s="1"/>
  <c r="Q4" i="18" a="1"/>
  <c r="Q4" i="18" s="1"/>
  <c r="R4" i="18" s="1"/>
  <c r="Q5" i="18" a="1"/>
  <c r="Q5" i="18" s="1"/>
  <c r="R5" i="18" s="1"/>
  <c r="Q6" i="18" a="1"/>
  <c r="Q6" i="18" s="1"/>
  <c r="Q7" i="18" a="1"/>
  <c r="Q7" i="18" s="1"/>
  <c r="Q8" i="18" a="1"/>
  <c r="Q8" i="18" s="1"/>
  <c r="Q9" i="18" a="1"/>
  <c r="Q9" i="18" s="1"/>
  <c r="R9" i="18" s="1"/>
  <c r="Q10" i="18" a="1"/>
  <c r="Q10" i="18" s="1"/>
  <c r="Q11" i="18" a="1"/>
  <c r="Q11" i="18" s="1"/>
  <c r="R11" i="18" s="1"/>
  <c r="Q12" i="18" a="1"/>
  <c r="Q12" i="18" s="1"/>
  <c r="R12" i="18" s="1"/>
  <c r="Q13" i="18" a="1"/>
  <c r="Q13" i="18" s="1"/>
  <c r="R13" i="18" s="1"/>
  <c r="Q14" i="18" a="1"/>
  <c r="Q14" i="18" s="1"/>
  <c r="Q15" i="18" a="1"/>
  <c r="Q15" i="18" s="1"/>
  <c r="Q16" i="18" a="1"/>
  <c r="Q16" i="18" s="1"/>
  <c r="Q17" i="18" a="1"/>
  <c r="Q17" i="18" s="1"/>
  <c r="R17" i="18" s="1"/>
  <c r="Q18" i="18" a="1"/>
  <c r="Q18" i="18" s="1"/>
  <c r="Q19" i="18" a="1"/>
  <c r="Q19" i="18" s="1"/>
  <c r="R19" i="18" s="1"/>
  <c r="Q20" i="18" a="1"/>
  <c r="Q20" i="18" s="1"/>
  <c r="R20" i="18" s="1"/>
  <c r="Q21" i="18" a="1"/>
  <c r="Q21" i="18" s="1"/>
  <c r="R21" i="18" s="1"/>
  <c r="Q22" i="18" a="1"/>
  <c r="Q22" i="18" s="1"/>
  <c r="Q23" i="18" a="1"/>
  <c r="Q23" i="18" s="1"/>
  <c r="R23" i="18" s="1"/>
  <c r="Q24" i="18" a="1"/>
  <c r="Q24" i="18" s="1"/>
  <c r="Q25" i="18" a="1"/>
  <c r="Q25" i="18" s="1"/>
  <c r="R25" i="18" s="1"/>
  <c r="Q26" i="18" a="1"/>
  <c r="Q26" i="18" s="1"/>
  <c r="Q27" i="18" a="1"/>
  <c r="Q27" i="18" s="1"/>
  <c r="R27" i="18" s="1"/>
  <c r="Q28" i="18" a="1"/>
  <c r="Q28" i="18" s="1"/>
  <c r="R28" i="18" s="1"/>
  <c r="Q29" i="18" a="1"/>
  <c r="Q29" i="18" s="1"/>
  <c r="R29" i="18" s="1"/>
  <c r="Q30" i="18" a="1"/>
  <c r="Q30" i="18" s="1"/>
  <c r="Q31" i="18" a="1"/>
  <c r="Q31" i="18" s="1"/>
  <c r="Q32" i="18" a="1"/>
  <c r="Q32" i="18" s="1"/>
  <c r="Q33" i="18" a="1"/>
  <c r="Q33" i="18" s="1"/>
  <c r="R33" i="18" s="1"/>
  <c r="Q34" i="18" a="1"/>
  <c r="Q34" i="18" s="1"/>
  <c r="Q35" i="18" a="1"/>
  <c r="Q35" i="18" s="1"/>
  <c r="Q36" i="18" a="1"/>
  <c r="Q36" i="18" s="1"/>
  <c r="R36" i="18" s="1"/>
  <c r="Q37" i="18" a="1"/>
  <c r="Q37" i="18" s="1"/>
  <c r="R37" i="18" s="1"/>
  <c r="Q38" i="18" a="1"/>
  <c r="Q38" i="18" s="1"/>
  <c r="Q39" i="18" a="1"/>
  <c r="Q39" i="18" s="1"/>
  <c r="R39" i="18" s="1"/>
  <c r="Q40" i="18" a="1"/>
  <c r="Q40" i="18" s="1"/>
  <c r="Q41" i="18" a="1"/>
  <c r="Q41" i="18" s="1"/>
  <c r="R41" i="18" s="1"/>
  <c r="Q42" i="18" a="1"/>
  <c r="Q42" i="18" s="1"/>
  <c r="Q43" i="18" a="1"/>
  <c r="Q43" i="18" s="1"/>
  <c r="R43" i="18" s="1"/>
  <c r="Q44" i="18" a="1"/>
  <c r="Q44" i="18" s="1"/>
  <c r="R44" i="18" s="1"/>
  <c r="Q45" i="18" a="1"/>
  <c r="Q45" i="18" s="1"/>
  <c r="R45" i="18" s="1"/>
  <c r="Q46" i="18" a="1"/>
  <c r="Q46" i="18" s="1"/>
  <c r="Q47" i="18" a="1"/>
  <c r="Q47" i="18" s="1"/>
  <c r="R47" i="18" s="1"/>
  <c r="Q48" i="18" a="1"/>
  <c r="Q48" i="18" s="1"/>
  <c r="R48" i="18" s="1"/>
  <c r="U48" i="18" s="1"/>
  <c r="Q49" i="18" a="1"/>
  <c r="Q49" i="18" s="1"/>
  <c r="R49" i="18" s="1"/>
  <c r="Q50" i="18" a="1"/>
  <c r="Q50" i="18" s="1"/>
  <c r="Q51" i="18" a="1"/>
  <c r="Q51" i="18" s="1"/>
  <c r="Q52" i="18" a="1"/>
  <c r="Q52" i="18" s="1"/>
  <c r="R52" i="18" s="1"/>
  <c r="Q53" i="18" a="1"/>
  <c r="Q53" i="18" s="1"/>
  <c r="R53" i="18" s="1"/>
  <c r="Q54" i="18" a="1"/>
  <c r="Q54" i="18" s="1"/>
  <c r="Q55" i="18" a="1"/>
  <c r="Q55" i="18" s="1"/>
  <c r="Q56" i="18" a="1"/>
  <c r="Q56" i="18" s="1"/>
  <c r="Q57" i="18" a="1"/>
  <c r="Q57" i="18" s="1"/>
  <c r="R57" i="18" s="1"/>
  <c r="Q58" i="18" a="1"/>
  <c r="Q58" i="18" s="1"/>
  <c r="Q59" i="18" a="1"/>
  <c r="Q59" i="18" s="1"/>
  <c r="R59" i="18" s="1"/>
  <c r="Q60" i="18" a="1"/>
  <c r="Q60" i="18" s="1"/>
  <c r="R60" i="18" s="1"/>
  <c r="Q61" i="18" a="1"/>
  <c r="Q61" i="18" s="1"/>
  <c r="R61" i="18" s="1"/>
  <c r="Q62" i="18" a="1"/>
  <c r="Q62" i="18" s="1"/>
  <c r="Q63" i="18" a="1"/>
  <c r="Q63" i="18" s="1"/>
  <c r="R63" i="18" s="1"/>
  <c r="Q64" i="18" a="1"/>
  <c r="Q64" i="18" s="1"/>
  <c r="Q65" i="18" a="1"/>
  <c r="Q65" i="18" s="1"/>
  <c r="R65" i="18" s="1"/>
  <c r="Q66" i="18" a="1"/>
  <c r="Q66" i="18" s="1"/>
  <c r="Q67" i="18" a="1"/>
  <c r="Q67" i="18" s="1"/>
  <c r="R67" i="18" s="1"/>
  <c r="Q68" i="18" a="1"/>
  <c r="Q68" i="18" s="1"/>
  <c r="R68" i="18" s="1"/>
  <c r="Q69" i="18" a="1"/>
  <c r="Q69" i="18" s="1"/>
  <c r="R69" i="18" s="1"/>
  <c r="Q70" i="18" a="1"/>
  <c r="Q70" i="18" s="1"/>
  <c r="Q71" i="18" a="1"/>
  <c r="Q71" i="18" s="1"/>
  <c r="Q72" i="18" a="1"/>
  <c r="Q72" i="18" s="1"/>
  <c r="Q73" i="18" a="1"/>
  <c r="Q73" i="18" s="1"/>
  <c r="R73" i="18" s="1"/>
  <c r="Q74" i="18" a="1"/>
  <c r="Q74" i="18" s="1"/>
  <c r="Q75" i="18" a="1"/>
  <c r="Q75" i="18" s="1"/>
  <c r="R75" i="18" s="1"/>
  <c r="Q76" i="18" a="1"/>
  <c r="Q76" i="18" s="1"/>
  <c r="R76" i="18" s="1"/>
  <c r="Q77" i="18" a="1"/>
  <c r="Q77" i="18" s="1"/>
  <c r="R77" i="18" s="1"/>
  <c r="Q78" i="18" a="1"/>
  <c r="Q78" i="18" s="1"/>
  <c r="Q79" i="18" a="1"/>
  <c r="Q79" i="18" s="1"/>
  <c r="Q80" i="18" a="1"/>
  <c r="Q80" i="18" s="1"/>
  <c r="R80" i="18" s="1"/>
  <c r="U80" i="18" s="1"/>
  <c r="Q81" i="18" a="1"/>
  <c r="Q81" i="18" s="1"/>
  <c r="R81" i="18" s="1"/>
  <c r="Q82" i="18" a="1"/>
  <c r="Q82" i="18" s="1"/>
  <c r="Q83" i="18" a="1"/>
  <c r="Q83" i="18" s="1"/>
  <c r="R83" i="18" s="1"/>
  <c r="Q84" i="18" a="1"/>
  <c r="Q84" i="18" s="1"/>
  <c r="R84" i="18" s="1"/>
  <c r="Q85" i="18" a="1"/>
  <c r="Q85" i="18" s="1"/>
  <c r="R85" i="18" s="1"/>
  <c r="Q86" i="18" a="1"/>
  <c r="Q86" i="18" s="1"/>
  <c r="Q87" i="18" a="1"/>
  <c r="Q87" i="18" s="1"/>
  <c r="R87" i="18" s="1"/>
  <c r="Q88" i="18" a="1"/>
  <c r="Q88" i="18" s="1"/>
  <c r="Q89" i="18" a="1"/>
  <c r="Q89" i="18" s="1"/>
  <c r="R89" i="18" s="1"/>
  <c r="Q90" i="18" a="1"/>
  <c r="Q90" i="18" s="1"/>
  <c r="Q91" i="18" a="1"/>
  <c r="Q91" i="18" s="1"/>
  <c r="R91" i="18" s="1"/>
  <c r="Q92" i="18" a="1"/>
  <c r="Q92" i="18" s="1"/>
  <c r="R92" i="18" s="1"/>
  <c r="Q93" i="18" a="1"/>
  <c r="Q93" i="18" s="1"/>
  <c r="R93" i="18" s="1"/>
  <c r="Q94" i="18" a="1"/>
  <c r="Q94" i="18" s="1"/>
  <c r="Q95" i="18" a="1"/>
  <c r="Q95" i="18" s="1"/>
  <c r="Q96" i="18" a="1"/>
  <c r="Q96" i="18" s="1"/>
  <c r="Q97" i="18" a="1"/>
  <c r="Q97" i="18" s="1"/>
  <c r="R97" i="18" s="1"/>
  <c r="Q98" i="18" a="1"/>
  <c r="Q98" i="18" s="1"/>
  <c r="Q99" i="18" a="1"/>
  <c r="Q99" i="18" s="1"/>
  <c r="R99" i="18" s="1"/>
  <c r="Q100" i="18" a="1"/>
  <c r="Q100" i="18" s="1"/>
  <c r="R100" i="18" s="1"/>
  <c r="Q101" i="18" a="1"/>
  <c r="Q101" i="18" s="1"/>
  <c r="R101" i="18" s="1"/>
  <c r="Q102" i="18" a="1"/>
  <c r="Q102" i="18" s="1"/>
  <c r="Q103" i="18" a="1"/>
  <c r="Q103" i="18" s="1"/>
  <c r="R103" i="18" s="1"/>
  <c r="Q104" i="18" a="1"/>
  <c r="Q104" i="18" s="1"/>
  <c r="Q105" i="18" a="1"/>
  <c r="Q105" i="18" s="1"/>
  <c r="R105" i="18" s="1"/>
  <c r="Q106" i="18" a="1"/>
  <c r="Q106" i="18" s="1"/>
  <c r="Q107" i="18" a="1"/>
  <c r="Q107" i="18" s="1"/>
  <c r="R107" i="18" s="1"/>
  <c r="Q108" i="18" a="1"/>
  <c r="Q108" i="18" s="1"/>
  <c r="R108" i="18" s="1"/>
  <c r="Q109" i="18" a="1"/>
  <c r="Q109" i="18" s="1"/>
  <c r="R109" i="18" s="1"/>
  <c r="Q110" i="18" a="1"/>
  <c r="Q110" i="18" s="1"/>
  <c r="Q111" i="18" a="1"/>
  <c r="Q111" i="18" s="1"/>
  <c r="Q112" i="18" a="1"/>
  <c r="Q112" i="18" s="1"/>
  <c r="R112" i="18" s="1"/>
  <c r="U112" i="18" s="1"/>
  <c r="Q113" i="18" a="1"/>
  <c r="Q113" i="18" s="1"/>
  <c r="R113" i="18" s="1"/>
  <c r="Q114" i="18" a="1"/>
  <c r="Q114" i="18" s="1"/>
  <c r="Q115" i="18" a="1"/>
  <c r="Q115" i="18" s="1"/>
  <c r="R115" i="18" s="1"/>
  <c r="Q116" i="18" a="1"/>
  <c r="Q116" i="18" s="1"/>
  <c r="R116" i="18" s="1"/>
  <c r="Q117" i="18" a="1"/>
  <c r="Q117" i="18" s="1"/>
  <c r="R117" i="18" s="1"/>
  <c r="Q118" i="18" a="1"/>
  <c r="Q118" i="18" s="1"/>
  <c r="Q119" i="18" a="1"/>
  <c r="Q119" i="18" s="1"/>
  <c r="R119" i="18" s="1"/>
  <c r="Q120" i="18" a="1"/>
  <c r="Q120" i="18" s="1"/>
  <c r="Q121" i="18" a="1"/>
  <c r="Q121" i="18" s="1"/>
  <c r="R121" i="18" s="1"/>
  <c r="Q122" i="18" a="1"/>
  <c r="Q122" i="18" s="1"/>
  <c r="Q123" i="18" a="1"/>
  <c r="Q123" i="18" s="1"/>
  <c r="R123" i="18" s="1"/>
  <c r="Q124" i="18" a="1"/>
  <c r="Q124" i="18" s="1"/>
  <c r="R124" i="18" s="1"/>
  <c r="Q125" i="18" a="1"/>
  <c r="Q125" i="18" s="1"/>
  <c r="R125" i="18" s="1"/>
  <c r="Q126" i="18" a="1"/>
  <c r="Q126" i="18" s="1"/>
  <c r="Q127" i="18" a="1"/>
  <c r="Q127" i="18" s="1"/>
  <c r="R127" i="18" s="1"/>
  <c r="Q128" i="18" a="1"/>
  <c r="Q128" i="18" s="1"/>
  <c r="Q129" i="18" a="1"/>
  <c r="Q129" i="18" s="1"/>
  <c r="R129" i="18" s="1"/>
  <c r="Q130" i="18" a="1"/>
  <c r="Q130" i="18" s="1"/>
  <c r="Q131" i="18" a="1"/>
  <c r="Q131" i="18" s="1"/>
  <c r="R131" i="18" s="1"/>
  <c r="Q132" i="18" a="1"/>
  <c r="Q132" i="18" s="1"/>
  <c r="Q133" i="18" a="1"/>
  <c r="Q133" i="18" s="1"/>
  <c r="R133" i="18" s="1"/>
  <c r="Q134" i="18" a="1"/>
  <c r="Q134" i="18" s="1"/>
  <c r="Q135" i="18" a="1"/>
  <c r="Q135" i="18" s="1"/>
  <c r="R135" i="18" s="1"/>
  <c r="Q136" i="18" a="1"/>
  <c r="Q136" i="18" s="1"/>
  <c r="Q137" i="18" a="1"/>
  <c r="Q137" i="18" s="1"/>
  <c r="R137" i="18" s="1"/>
  <c r="Q138" i="18" a="1"/>
  <c r="Q138" i="18" s="1"/>
  <c r="Q139" i="18" a="1"/>
  <c r="Q139" i="18" s="1"/>
  <c r="R139" i="18" s="1"/>
  <c r="Q140" i="18" a="1"/>
  <c r="Q140" i="18" s="1"/>
  <c r="Q141" i="18" a="1"/>
  <c r="Q141" i="18" s="1"/>
  <c r="R141" i="18" s="1"/>
  <c r="Q142" i="18" a="1"/>
  <c r="Q142" i="18" s="1"/>
  <c r="Q143" i="18" a="1"/>
  <c r="Q143" i="18" s="1"/>
  <c r="R143" i="18" s="1"/>
  <c r="Q144" i="18" a="1"/>
  <c r="Q144" i="18" s="1"/>
  <c r="R144" i="18" s="1"/>
  <c r="Q145" i="18" a="1"/>
  <c r="Q145" i="18" s="1"/>
  <c r="R145" i="18" s="1"/>
  <c r="Q146" i="18" a="1"/>
  <c r="Q146" i="18" s="1"/>
  <c r="Q147" i="18" a="1"/>
  <c r="Q147" i="18" s="1"/>
  <c r="R147" i="18" s="1"/>
  <c r="Q148" i="18" a="1"/>
  <c r="Q148" i="18" s="1"/>
  <c r="Q149" i="18" a="1"/>
  <c r="Q149" i="18" s="1"/>
  <c r="Q150" i="18" a="1"/>
  <c r="Q150" i="18" s="1"/>
  <c r="Q151" i="18" a="1"/>
  <c r="Q151" i="18" s="1"/>
  <c r="R151" i="18" s="1"/>
  <c r="Q152" i="18" a="1"/>
  <c r="Q152" i="18" s="1"/>
  <c r="R152" i="18" s="1"/>
  <c r="U152" i="18" s="1"/>
  <c r="Q153" i="18" a="1"/>
  <c r="Q153" i="18" s="1"/>
  <c r="R153" i="18" s="1"/>
  <c r="U153" i="18" s="1"/>
  <c r="Q154" i="18" a="1"/>
  <c r="Q154" i="18" s="1"/>
  <c r="Q155" i="18" a="1"/>
  <c r="Q155" i="18" s="1"/>
  <c r="R155" i="18" s="1"/>
  <c r="Q156" i="18" a="1"/>
  <c r="Q156" i="18" s="1"/>
  <c r="R156" i="18" s="1"/>
  <c r="Q157" i="18" a="1"/>
  <c r="Q157" i="18" s="1"/>
  <c r="Q158" i="18" a="1"/>
  <c r="Q158" i="18" s="1"/>
  <c r="Q159" i="18" a="1"/>
  <c r="Q159" i="18" s="1"/>
  <c r="R159" i="18" s="1"/>
  <c r="Q160" i="18" a="1"/>
  <c r="Q160" i="18" s="1"/>
  <c r="Q161" i="18" a="1"/>
  <c r="Q161" i="18" s="1"/>
  <c r="R161" i="18" s="1"/>
  <c r="Q162" i="18" a="1"/>
  <c r="Q162" i="18" s="1"/>
  <c r="Q163" i="18" a="1"/>
  <c r="Q163" i="18" s="1"/>
  <c r="R163" i="18" s="1"/>
  <c r="Q164" i="18" a="1"/>
  <c r="Q164" i="18" s="1"/>
  <c r="Q165" i="18" a="1"/>
  <c r="Q165" i="18" s="1"/>
  <c r="R165" i="18" s="1"/>
  <c r="U165" i="18" s="1"/>
  <c r="Q166" i="18" a="1"/>
  <c r="Q166" i="18" s="1"/>
  <c r="Q167" i="18" a="1"/>
  <c r="Q167" i="18" s="1"/>
  <c r="R167" i="18" s="1"/>
  <c r="Q168" i="18" a="1"/>
  <c r="Q168" i="18" s="1"/>
  <c r="Q169" i="18" a="1"/>
  <c r="Q169" i="18" s="1"/>
  <c r="Q170" i="18" a="1"/>
  <c r="Q170" i="18" s="1"/>
  <c r="Q171" i="18" a="1"/>
  <c r="Q171" i="18" s="1"/>
  <c r="R171" i="18" s="1"/>
  <c r="Q172" i="18" a="1"/>
  <c r="Q172" i="18" s="1"/>
  <c r="R172" i="18" s="1"/>
  <c r="Q173" i="18" a="1"/>
  <c r="Q173" i="18" s="1"/>
  <c r="R173" i="18" s="1"/>
  <c r="U173" i="18" s="1"/>
  <c r="Q174" i="18" a="1"/>
  <c r="Q174" i="18" s="1"/>
  <c r="Q175" i="18" a="1"/>
  <c r="Q175" i="18" s="1"/>
  <c r="R175" i="18" s="1"/>
  <c r="Q176" i="18" a="1"/>
  <c r="Q176" i="18" s="1"/>
  <c r="Q177" i="18" a="1"/>
  <c r="Q177" i="18" s="1"/>
  <c r="R177" i="18" s="1"/>
  <c r="Q178" i="18" a="1"/>
  <c r="Q178" i="18" s="1"/>
  <c r="Q179" i="18" a="1"/>
  <c r="Q179" i="18" s="1"/>
  <c r="R179" i="18" s="1"/>
  <c r="Q180" i="18" a="1"/>
  <c r="Q180" i="18" s="1"/>
  <c r="Q181" i="18" a="1"/>
  <c r="Q181" i="18" s="1"/>
  <c r="Q182" i="18" a="1"/>
  <c r="Q182" i="18" s="1"/>
  <c r="Q183" i="18" a="1"/>
  <c r="Q183" i="18" s="1"/>
  <c r="R183" i="18" s="1"/>
  <c r="Q184" i="18" a="1"/>
  <c r="Q184" i="18" s="1"/>
  <c r="R184" i="18" s="1"/>
  <c r="U184" i="18" s="1"/>
  <c r="Q185" i="18" a="1"/>
  <c r="Q185" i="18" s="1"/>
  <c r="R185" i="18" s="1"/>
  <c r="U185" i="18" s="1"/>
  <c r="Q186" i="18" a="1"/>
  <c r="Q186" i="18" s="1"/>
  <c r="Q187" i="18" a="1"/>
  <c r="Q187" i="18" s="1"/>
  <c r="R187" i="18" s="1"/>
  <c r="Q188" i="18" a="1"/>
  <c r="Q188" i="18" s="1"/>
  <c r="R188" i="18" s="1"/>
  <c r="Q189" i="18" a="1"/>
  <c r="Q189" i="18" s="1"/>
  <c r="Q190" i="18" a="1"/>
  <c r="Q190" i="18" s="1"/>
  <c r="Q191" i="18" a="1"/>
  <c r="Q191" i="18" s="1"/>
  <c r="R191" i="18" s="1"/>
  <c r="Q192" i="18" a="1"/>
  <c r="Q192" i="18" s="1"/>
  <c r="Q193" i="18" a="1"/>
  <c r="Q193" i="18" s="1"/>
  <c r="R193" i="18" s="1"/>
  <c r="Q194" i="18" a="1"/>
  <c r="Q194" i="18" s="1"/>
  <c r="Q195" i="18" a="1"/>
  <c r="Q195" i="18" s="1"/>
  <c r="R195" i="18" s="1"/>
  <c r="Q196" i="18" a="1"/>
  <c r="Q196" i="18" s="1"/>
  <c r="Q197" i="18" a="1"/>
  <c r="Q197" i="18" s="1"/>
  <c r="R197" i="18" s="1"/>
  <c r="U197" i="18" s="1"/>
  <c r="Q198" i="18" a="1"/>
  <c r="Q198" i="18" s="1"/>
  <c r="Q199" i="18" a="1"/>
  <c r="Q199" i="18" s="1"/>
  <c r="R199" i="18" s="1"/>
  <c r="Q200" i="18" a="1"/>
  <c r="Q200" i="18" s="1"/>
  <c r="Q201" i="18" a="1"/>
  <c r="Q201" i="18" s="1"/>
  <c r="Q202" i="18" a="1"/>
  <c r="Q202" i="18" s="1"/>
  <c r="Q203" i="18" a="1"/>
  <c r="Q203" i="18" s="1"/>
  <c r="R203" i="18" s="1"/>
  <c r="Q204" i="18" a="1"/>
  <c r="Q204" i="18" s="1"/>
  <c r="R204" i="18" s="1"/>
  <c r="Q205" i="18" a="1"/>
  <c r="Q205" i="18" s="1"/>
  <c r="R205" i="18" s="1"/>
  <c r="U205" i="18" s="1"/>
  <c r="Q206" i="18" a="1"/>
  <c r="Q206" i="18" s="1"/>
  <c r="Q207" i="18" a="1"/>
  <c r="Q207" i="18" s="1"/>
  <c r="R207" i="18" s="1"/>
  <c r="Q208" i="18" a="1"/>
  <c r="Q208" i="18" s="1"/>
  <c r="Q209" i="18" a="1"/>
  <c r="Q209" i="18" s="1"/>
  <c r="R209" i="18" s="1"/>
  <c r="Q210" i="18" a="1"/>
  <c r="Q210" i="18" s="1"/>
  <c r="Q211" i="18" a="1"/>
  <c r="Q211" i="18" s="1"/>
  <c r="R211" i="18" s="1"/>
  <c r="Q212" i="18" a="1"/>
  <c r="Q212" i="18" s="1"/>
  <c r="Q213" i="18" a="1"/>
  <c r="Q213" i="18" s="1"/>
  <c r="Q214" i="18" a="1"/>
  <c r="Q214" i="18" s="1"/>
  <c r="Q215" i="18" a="1"/>
  <c r="Q215" i="18" s="1"/>
  <c r="R215" i="18" s="1"/>
  <c r="Q216" i="18" a="1"/>
  <c r="Q216" i="18" s="1"/>
  <c r="R216" i="18" s="1"/>
  <c r="U216" i="18" s="1"/>
  <c r="Q217" i="18" a="1"/>
  <c r="Q217" i="18" s="1"/>
  <c r="R217" i="18" s="1"/>
  <c r="U217" i="18" s="1"/>
  <c r="Q218" i="18" a="1"/>
  <c r="Q218" i="18" s="1"/>
  <c r="Q219" i="18" a="1"/>
  <c r="Q219" i="18" s="1"/>
  <c r="R219" i="18" s="1"/>
  <c r="Q220" i="18" a="1"/>
  <c r="Q220" i="18" s="1"/>
  <c r="R220" i="18" s="1"/>
  <c r="Q221" i="18" a="1"/>
  <c r="Q221" i="18" s="1"/>
  <c r="Q222" i="18" a="1"/>
  <c r="Q222" i="18" s="1"/>
  <c r="Q223" i="18" a="1"/>
  <c r="Q223" i="18" s="1"/>
  <c r="R223" i="18" s="1"/>
  <c r="Q224" i="18" a="1"/>
  <c r="Q224" i="18" s="1"/>
  <c r="Q225" i="18" a="1"/>
  <c r="Q225" i="18" s="1"/>
  <c r="R225" i="18" s="1"/>
  <c r="Q226" i="18" a="1"/>
  <c r="Q226" i="18" s="1"/>
  <c r="Q227" i="18" a="1"/>
  <c r="Q227" i="18" s="1"/>
  <c r="R227" i="18" s="1"/>
  <c r="Q228" i="18" a="1"/>
  <c r="Q228" i="18" s="1"/>
  <c r="Q229" i="18" a="1"/>
  <c r="Q229" i="18" s="1"/>
  <c r="R229" i="18" s="1"/>
  <c r="U229" i="18" s="1"/>
  <c r="Q230" i="18" a="1"/>
  <c r="Q230" i="18" s="1"/>
  <c r="Q231" i="18" a="1"/>
  <c r="Q231" i="18" s="1"/>
  <c r="R231" i="18" s="1"/>
  <c r="Q232" i="18" a="1"/>
  <c r="Q232" i="18" s="1"/>
  <c r="Q233" i="18" a="1"/>
  <c r="Q233" i="18" s="1"/>
  <c r="Q234" i="18" a="1"/>
  <c r="Q234" i="18" s="1"/>
  <c r="Q235" i="18" a="1"/>
  <c r="Q235" i="18" s="1"/>
  <c r="R235" i="18" s="1"/>
  <c r="Q236" i="18" a="1"/>
  <c r="Q236" i="18" s="1"/>
  <c r="R236" i="18" s="1"/>
  <c r="Q237" i="18" a="1"/>
  <c r="Q237" i="18" s="1"/>
  <c r="R237" i="18" s="1"/>
  <c r="U237" i="18" s="1"/>
  <c r="Q238" i="18" a="1"/>
  <c r="Q238" i="18" s="1"/>
  <c r="Q239" i="18" a="1"/>
  <c r="Q239" i="18" s="1"/>
  <c r="R239" i="18" s="1"/>
  <c r="Q240" i="18" a="1"/>
  <c r="Q240" i="18" s="1"/>
  <c r="Q241" i="18" a="1"/>
  <c r="Q241" i="18" s="1"/>
  <c r="R241" i="18" s="1"/>
  <c r="Q242" i="18" a="1"/>
  <c r="Q242" i="18" s="1"/>
  <c r="Q243" i="18" a="1"/>
  <c r="Q243" i="18" s="1"/>
  <c r="R243" i="18" s="1"/>
  <c r="Q244" i="18" a="1"/>
  <c r="Q244" i="18" s="1"/>
  <c r="Q245" i="18" a="1"/>
  <c r="Q245" i="18" s="1"/>
  <c r="Q246" i="18" a="1"/>
  <c r="Q246" i="18" s="1"/>
  <c r="Q247" i="18" a="1"/>
  <c r="Q247" i="18" s="1"/>
  <c r="R247" i="18" s="1"/>
  <c r="Q248" i="18" a="1"/>
  <c r="Q248" i="18" s="1"/>
  <c r="R248" i="18" s="1"/>
  <c r="U248" i="18" s="1"/>
  <c r="Q249" i="18" a="1"/>
  <c r="Q249" i="18" s="1"/>
  <c r="R249" i="18" s="1"/>
  <c r="U249" i="18" s="1"/>
  <c r="Q250" i="18" a="1"/>
  <c r="Q250" i="18" s="1"/>
  <c r="Q251" i="18" a="1"/>
  <c r="Q251" i="18" s="1"/>
  <c r="R251" i="18" s="1"/>
  <c r="Q252" i="18" a="1"/>
  <c r="Q252" i="18" s="1"/>
  <c r="R252" i="18" s="1"/>
  <c r="Q253" i="18" a="1"/>
  <c r="Q253" i="18" s="1"/>
  <c r="Q254" i="18" a="1"/>
  <c r="Q254" i="18" s="1"/>
  <c r="Q255" i="18" a="1"/>
  <c r="Q255" i="18" s="1"/>
  <c r="Q256" i="18" a="1"/>
  <c r="Q256" i="18" s="1"/>
  <c r="R256" i="18" s="1"/>
  <c r="Q257" i="18" a="1"/>
  <c r="Q257" i="18" s="1"/>
  <c r="Q258" i="18" a="1"/>
  <c r="Q258" i="18" s="1"/>
  <c r="Q259" i="18" a="1"/>
  <c r="Q259" i="18" s="1"/>
  <c r="R259" i="18" s="1"/>
  <c r="U259" i="18" s="1"/>
  <c r="Q260" i="18" a="1"/>
  <c r="Q260" i="18" s="1"/>
  <c r="R260" i="18" s="1"/>
  <c r="Q261" i="18" a="1"/>
  <c r="Q261" i="18" s="1"/>
  <c r="R261" i="18" s="1"/>
  <c r="U261" i="18" s="1"/>
  <c r="Q262" i="18" a="1"/>
  <c r="Q262" i="18" s="1"/>
  <c r="Q263" i="18" a="1"/>
  <c r="Q263" i="18" s="1"/>
  <c r="Q264" i="18" a="1"/>
  <c r="Q264" i="18" s="1"/>
  <c r="R264" i="18" s="1"/>
  <c r="Q265" i="18" a="1"/>
  <c r="Q265" i="18" s="1"/>
  <c r="R265" i="18" s="1"/>
  <c r="U265" i="18" s="1"/>
  <c r="Q266" i="18" a="1"/>
  <c r="Q266" i="18" s="1"/>
  <c r="Q267" i="18" a="1"/>
  <c r="Q267" i="18" s="1"/>
  <c r="Q268" i="18" a="1"/>
  <c r="Q268" i="18" s="1"/>
  <c r="R268" i="18" s="1"/>
  <c r="Q269" i="18" a="1"/>
  <c r="Q269" i="18" s="1"/>
  <c r="Q270" i="18" a="1"/>
  <c r="Q270" i="18" s="1"/>
  <c r="Q271" i="18" a="1"/>
  <c r="Q271" i="18" s="1"/>
  <c r="Q272" i="18" a="1"/>
  <c r="Q272" i="18" s="1"/>
  <c r="R272" i="18" s="1"/>
  <c r="Q273" i="18" a="1"/>
  <c r="Q273" i="18" s="1"/>
  <c r="Q274" i="18" a="1"/>
  <c r="Q274" i="18" s="1"/>
  <c r="Q275" i="18" a="1"/>
  <c r="Q275" i="18" s="1"/>
  <c r="R275" i="18" s="1"/>
  <c r="U275" i="18" s="1"/>
  <c r="Q276" i="18" a="1"/>
  <c r="Q276" i="18" s="1"/>
  <c r="R276" i="18" s="1"/>
  <c r="Q277" i="18" a="1"/>
  <c r="Q277" i="18" s="1"/>
  <c r="R277" i="18" s="1"/>
  <c r="U277" i="18" s="1"/>
  <c r="Q278" i="18" a="1"/>
  <c r="Q278" i="18" s="1"/>
  <c r="Q279" i="18" a="1"/>
  <c r="Q279" i="18" s="1"/>
  <c r="Q280" i="18" a="1"/>
  <c r="Q280" i="18" s="1"/>
  <c r="R280" i="18" s="1"/>
  <c r="Q281" i="18" a="1"/>
  <c r="Q281" i="18" s="1"/>
  <c r="R281" i="18" s="1"/>
  <c r="U281" i="18" s="1"/>
  <c r="Q282" i="18" a="1"/>
  <c r="Q282" i="18" s="1"/>
  <c r="Q283" i="18" a="1"/>
  <c r="Q283" i="18" s="1"/>
  <c r="Q284" i="18" a="1"/>
  <c r="Q284" i="18" s="1"/>
  <c r="R284" i="18" s="1"/>
  <c r="Q285" i="18" a="1"/>
  <c r="Q285" i="18" s="1"/>
  <c r="Q286" i="18" a="1"/>
  <c r="Q286" i="18" s="1"/>
  <c r="Q287" i="18" a="1"/>
  <c r="Q287" i="18" s="1"/>
  <c r="Q288" i="18" a="1"/>
  <c r="Q288" i="18" s="1"/>
  <c r="R288" i="18" s="1"/>
  <c r="Q289" i="18" a="1"/>
  <c r="Q289" i="18" s="1"/>
  <c r="Q290" i="18" a="1"/>
  <c r="Q290" i="18" s="1"/>
  <c r="Q291" i="18" a="1"/>
  <c r="Q291" i="18" s="1"/>
  <c r="R291" i="18" s="1"/>
  <c r="U291" i="18" s="1"/>
  <c r="Q292" i="18" a="1"/>
  <c r="Q292" i="18" s="1"/>
  <c r="R292" i="18" s="1"/>
  <c r="Q293" i="18" a="1"/>
  <c r="Q293" i="18" s="1"/>
  <c r="R293" i="18" s="1"/>
  <c r="U293" i="18" s="1"/>
  <c r="Q294" i="18" a="1"/>
  <c r="Q294" i="18" s="1"/>
  <c r="Q295" i="18" a="1"/>
  <c r="Q295" i="18" s="1"/>
  <c r="Q296" i="18" a="1"/>
  <c r="Q296" i="18" s="1"/>
  <c r="R296" i="18" s="1"/>
  <c r="Q297" i="18" a="1"/>
  <c r="Q297" i="18" s="1"/>
  <c r="R297" i="18" s="1"/>
  <c r="U297" i="18" s="1"/>
  <c r="Q298" i="18" a="1"/>
  <c r="Q298" i="18" s="1"/>
  <c r="Q299" i="18" a="1"/>
  <c r="Q299" i="18" s="1"/>
  <c r="Q300" i="18" a="1"/>
  <c r="Q300" i="18" s="1"/>
  <c r="R300" i="18" s="1"/>
  <c r="Q301" i="18" a="1"/>
  <c r="Q301" i="18" s="1"/>
  <c r="Q302" i="18" a="1"/>
  <c r="Q302" i="18" s="1"/>
  <c r="Q303" i="18" a="1"/>
  <c r="Q303" i="18" s="1"/>
  <c r="Q304" i="18" a="1"/>
  <c r="Q304" i="18" s="1"/>
  <c r="R304" i="18" s="1"/>
  <c r="Q305" i="18" a="1"/>
  <c r="Q305" i="18" s="1"/>
  <c r="Q306" i="18" a="1"/>
  <c r="Q306" i="18" s="1"/>
  <c r="Q307" i="18" a="1"/>
  <c r="Q307" i="18" s="1"/>
  <c r="R307" i="18" s="1"/>
  <c r="U307" i="18" s="1"/>
  <c r="Q308" i="18" a="1"/>
  <c r="Q308" i="18" s="1"/>
  <c r="R308" i="18" s="1"/>
  <c r="Q309" i="18" a="1"/>
  <c r="Q309" i="18" s="1"/>
  <c r="R309" i="18" s="1"/>
  <c r="U309" i="18" s="1"/>
  <c r="Q310" i="18" a="1"/>
  <c r="Q310" i="18" s="1"/>
  <c r="Q311" i="18" a="1"/>
  <c r="Q311" i="18" s="1"/>
  <c r="Q312" i="18" a="1"/>
  <c r="Q312" i="18" s="1"/>
  <c r="R312" i="18" s="1"/>
  <c r="Q313" i="18" a="1"/>
  <c r="Q313" i="18" s="1"/>
  <c r="R313" i="18" s="1"/>
  <c r="U313" i="18" s="1"/>
  <c r="Q314" i="18" a="1"/>
  <c r="Q314" i="18" s="1"/>
  <c r="Q315" i="18" a="1"/>
  <c r="Q315" i="18" s="1"/>
  <c r="Q316" i="18" a="1"/>
  <c r="Q316" i="18" s="1"/>
  <c r="R316" i="18" s="1"/>
  <c r="Q317" i="18" a="1"/>
  <c r="Q317" i="18" s="1"/>
  <c r="Q318" i="18" a="1"/>
  <c r="Q318" i="18" s="1"/>
  <c r="Q319" i="18" a="1"/>
  <c r="Q319" i="18" s="1"/>
  <c r="Q320" i="18" a="1"/>
  <c r="Q320" i="18" s="1"/>
  <c r="R320" i="18" s="1"/>
  <c r="Q321" i="18" a="1"/>
  <c r="Q321" i="18" s="1"/>
  <c r="Q322" i="18" a="1"/>
  <c r="Q322" i="18" s="1"/>
  <c r="Q323" i="18" a="1"/>
  <c r="Q323" i="18" s="1"/>
  <c r="R323" i="18" s="1"/>
  <c r="U323" i="18" s="1"/>
  <c r="Q324" i="18" a="1"/>
  <c r="Q324" i="18" s="1"/>
  <c r="R324" i="18" s="1"/>
  <c r="Q325" i="18" a="1"/>
  <c r="Q325" i="18" s="1"/>
  <c r="R325" i="18" s="1"/>
  <c r="U325" i="18" s="1"/>
  <c r="Q326" i="18" a="1"/>
  <c r="Q326" i="18" s="1"/>
  <c r="Q327" i="18" a="1"/>
  <c r="Q327" i="18" s="1"/>
  <c r="Q328" i="18" a="1"/>
  <c r="Q328" i="18" s="1"/>
  <c r="R328" i="18" s="1"/>
  <c r="Q329" i="18" a="1"/>
  <c r="Q329" i="18" s="1"/>
  <c r="R329" i="18" s="1"/>
  <c r="U329" i="18" s="1"/>
  <c r="Q330" i="18" a="1"/>
  <c r="Q330" i="18" s="1"/>
  <c r="Q331" i="18" a="1"/>
  <c r="Q331" i="18" s="1"/>
  <c r="Q332" i="18" a="1"/>
  <c r="Q332" i="18" s="1"/>
  <c r="R332" i="18" s="1"/>
  <c r="Q333" i="18" a="1"/>
  <c r="Q333" i="18" s="1"/>
  <c r="Q334" i="18" a="1"/>
  <c r="Q334" i="18" s="1"/>
  <c r="Q335" i="18" a="1"/>
  <c r="Q335" i="18" s="1"/>
  <c r="Q336" i="18" a="1"/>
  <c r="Q336" i="18" s="1"/>
  <c r="R336" i="18" s="1"/>
  <c r="Q337" i="18" a="1"/>
  <c r="Q337" i="18" s="1"/>
  <c r="Q338" i="18" a="1"/>
  <c r="Q338" i="18" s="1"/>
  <c r="Q339" i="18" a="1"/>
  <c r="Q339" i="18" s="1"/>
  <c r="R339" i="18" s="1"/>
  <c r="U339" i="18" s="1"/>
  <c r="Q340" i="18" a="1"/>
  <c r="Q340" i="18" s="1"/>
  <c r="R340" i="18" s="1"/>
  <c r="Q341" i="18" a="1"/>
  <c r="Q341" i="18" s="1"/>
  <c r="R341" i="18" s="1"/>
  <c r="U341" i="18" s="1"/>
  <c r="Q342" i="18" a="1"/>
  <c r="Q342" i="18" s="1"/>
  <c r="Q343" i="18" a="1"/>
  <c r="Q343" i="18" s="1"/>
  <c r="Q344" i="18" a="1"/>
  <c r="Q344" i="18" s="1"/>
  <c r="R344" i="18" s="1"/>
  <c r="Q345" i="18" a="1"/>
  <c r="Q345" i="18" s="1"/>
  <c r="R345" i="18" s="1"/>
  <c r="U345" i="18" s="1"/>
  <c r="Q346" i="18" a="1"/>
  <c r="Q346" i="18" s="1"/>
  <c r="Q347" i="18" a="1"/>
  <c r="Q347" i="18" s="1"/>
  <c r="Q348" i="18" a="1"/>
  <c r="Q348" i="18" s="1"/>
  <c r="R348" i="18" s="1"/>
  <c r="Q349" i="18" a="1"/>
  <c r="Q349" i="18" s="1"/>
  <c r="Q350" i="18" a="1"/>
  <c r="Q350" i="18" s="1"/>
  <c r="Q351" i="18" a="1"/>
  <c r="Q351" i="18" s="1"/>
  <c r="Q352" i="18" a="1"/>
  <c r="Q352" i="18" s="1"/>
  <c r="R352" i="18" s="1"/>
  <c r="Q353" i="18" a="1"/>
  <c r="Q353" i="18" s="1"/>
  <c r="Q354" i="18" a="1"/>
  <c r="Q354" i="18" s="1"/>
  <c r="Q355" i="18" a="1"/>
  <c r="Q355" i="18" s="1"/>
  <c r="R355" i="18" s="1"/>
  <c r="U355" i="18" s="1"/>
  <c r="Q356" i="18" a="1"/>
  <c r="Q356" i="18" s="1"/>
  <c r="R356" i="18" s="1"/>
  <c r="Q357" i="18" a="1"/>
  <c r="Q357" i="18" s="1"/>
  <c r="R357" i="18" s="1"/>
  <c r="U357" i="18" s="1"/>
  <c r="Q358" i="18" a="1"/>
  <c r="Q358" i="18" s="1"/>
  <c r="Q359" i="18" a="1"/>
  <c r="Q359" i="18" s="1"/>
  <c r="Q360" i="18" a="1"/>
  <c r="Q360" i="18" s="1"/>
  <c r="R360" i="18" s="1"/>
  <c r="Q361" i="18" a="1"/>
  <c r="Q361" i="18" s="1"/>
  <c r="R361" i="18" s="1"/>
  <c r="U361" i="18" s="1"/>
  <c r="Q362" i="18" a="1"/>
  <c r="Q362" i="18" s="1"/>
  <c r="Q363" i="18" a="1"/>
  <c r="Q363" i="18" s="1"/>
  <c r="Q364" i="18" a="1"/>
  <c r="Q364" i="18" s="1"/>
  <c r="R364" i="18" s="1"/>
  <c r="Q365" i="18" a="1"/>
  <c r="Q365" i="18" s="1"/>
  <c r="Q366" i="18" a="1"/>
  <c r="Q366" i="18" s="1"/>
  <c r="Q367" i="18" a="1"/>
  <c r="Q367" i="18" s="1"/>
  <c r="Q368" i="18" a="1"/>
  <c r="Q368" i="18" s="1"/>
  <c r="R368" i="18" s="1"/>
  <c r="Q369" i="18" a="1"/>
  <c r="Q369" i="18" s="1"/>
  <c r="Q370" i="18" a="1"/>
  <c r="Q370" i="18" s="1"/>
  <c r="Q371" i="18" a="1"/>
  <c r="Q371" i="18" s="1"/>
  <c r="R371" i="18" s="1"/>
  <c r="U371" i="18" s="1"/>
  <c r="Q372" i="18" a="1"/>
  <c r="Q372" i="18" s="1"/>
  <c r="R372" i="18" s="1"/>
  <c r="Q373" i="18" a="1"/>
  <c r="Q373" i="18" s="1"/>
  <c r="R373" i="18" s="1"/>
  <c r="U373" i="18" s="1"/>
  <c r="Q374" i="18" a="1"/>
  <c r="Q374" i="18" s="1"/>
  <c r="Q375" i="18" a="1"/>
  <c r="Q375" i="18" s="1"/>
  <c r="Q376" i="18" a="1"/>
  <c r="Q376" i="18" s="1"/>
  <c r="R376" i="18" s="1"/>
  <c r="Q377" i="18" a="1"/>
  <c r="Q377" i="18" s="1"/>
  <c r="R377" i="18" s="1"/>
  <c r="U377" i="18" s="1"/>
  <c r="Q378" i="18" a="1"/>
  <c r="Q378" i="18" s="1"/>
  <c r="Q379" i="18" a="1"/>
  <c r="Q379" i="18" s="1"/>
  <c r="Q380" i="18" a="1"/>
  <c r="Q380" i="18" s="1"/>
  <c r="R380" i="18" s="1"/>
  <c r="Q381" i="18" a="1"/>
  <c r="Q381" i="18" s="1"/>
  <c r="Q382" i="18" a="1"/>
  <c r="Q382" i="18" s="1"/>
  <c r="Q383" i="18" a="1"/>
  <c r="Q383" i="18" s="1"/>
  <c r="Q384" i="18" a="1"/>
  <c r="Q384" i="18" s="1"/>
  <c r="R384" i="18" s="1"/>
  <c r="Q385" i="18" a="1"/>
  <c r="Q385" i="18" s="1"/>
  <c r="Q386" i="18" a="1"/>
  <c r="Q386" i="18" s="1"/>
  <c r="Q387" i="18" a="1"/>
  <c r="Q387" i="18" s="1"/>
  <c r="R387" i="18" s="1"/>
  <c r="U387" i="18" s="1"/>
  <c r="Q388" i="18" a="1"/>
  <c r="Q388" i="18" s="1"/>
  <c r="R388" i="18" s="1"/>
  <c r="Q389" i="18" a="1"/>
  <c r="Q389" i="18" s="1"/>
  <c r="R389" i="18" s="1"/>
  <c r="U389" i="18" s="1"/>
  <c r="Q390" i="18" a="1"/>
  <c r="Q390" i="18" s="1"/>
  <c r="Q391" i="18" a="1"/>
  <c r="Q391" i="18" s="1"/>
  <c r="Q392" i="18" a="1"/>
  <c r="Q392" i="18" s="1"/>
  <c r="R392" i="18" s="1"/>
  <c r="Q393" i="18" a="1"/>
  <c r="Q393" i="18" s="1"/>
  <c r="R393" i="18" s="1"/>
  <c r="U393" i="18" s="1"/>
  <c r="Q394" i="18" a="1"/>
  <c r="Q394" i="18" s="1"/>
  <c r="Q395" i="18" a="1"/>
  <c r="Q395" i="18" s="1"/>
  <c r="Q396" i="18" a="1"/>
  <c r="Q396" i="18" s="1"/>
  <c r="R396" i="18" s="1"/>
  <c r="Q397" i="18" a="1"/>
  <c r="Q397" i="18" s="1"/>
  <c r="Q398" i="18" a="1"/>
  <c r="Q398" i="18" s="1"/>
  <c r="Q399" i="18" a="1"/>
  <c r="Q399" i="18" s="1"/>
  <c r="Q400" i="18" a="1"/>
  <c r="Q400" i="18" s="1"/>
  <c r="R400" i="18" s="1"/>
  <c r="Q401" i="18" a="1"/>
  <c r="Q401" i="18" s="1"/>
  <c r="Q402" i="18" a="1"/>
  <c r="Q402" i="18" s="1"/>
  <c r="Q403" i="18" a="1"/>
  <c r="Q403" i="18" s="1"/>
  <c r="R403" i="18" s="1"/>
  <c r="U403" i="18" s="1"/>
  <c r="Q404" i="18" a="1"/>
  <c r="Q404" i="18" s="1"/>
  <c r="R404" i="18" s="1"/>
  <c r="Q405" i="18" a="1"/>
  <c r="Q405" i="18" s="1"/>
  <c r="R405" i="18" s="1"/>
  <c r="U405" i="18" s="1"/>
  <c r="Q406" i="18" a="1"/>
  <c r="Q406" i="18" s="1"/>
  <c r="Q407" i="18" a="1"/>
  <c r="Q407" i="18" s="1"/>
  <c r="Q408" i="18" a="1"/>
  <c r="Q408" i="18" s="1"/>
  <c r="R408" i="18" s="1"/>
  <c r="Q409" i="18" a="1"/>
  <c r="Q409" i="18" s="1"/>
  <c r="R409" i="18" s="1"/>
  <c r="U409" i="18" s="1"/>
  <c r="Q410" i="18" a="1"/>
  <c r="Q410" i="18" s="1"/>
  <c r="Q411" i="18" a="1"/>
  <c r="Q411" i="18" s="1"/>
  <c r="Q412" i="18" a="1"/>
  <c r="Q412" i="18" s="1"/>
  <c r="R412" i="18" s="1"/>
  <c r="Q413" i="18" a="1"/>
  <c r="Q413" i="18" s="1"/>
  <c r="Q414" i="18" a="1"/>
  <c r="Q414" i="18" s="1"/>
  <c r="Q415" i="18" a="1"/>
  <c r="Q415" i="18" s="1"/>
  <c r="Q416" i="18" a="1"/>
  <c r="Q416" i="18" s="1"/>
  <c r="R416" i="18" s="1"/>
  <c r="Q417" i="18" a="1"/>
  <c r="Q417" i="18" s="1"/>
  <c r="Q418" i="18" a="1"/>
  <c r="Q418" i="18" s="1"/>
  <c r="Q419" i="18" a="1"/>
  <c r="Q419" i="18" s="1"/>
  <c r="R419" i="18" s="1"/>
  <c r="U419" i="18" s="1"/>
  <c r="Q420" i="18" a="1"/>
  <c r="Q420" i="18" s="1"/>
  <c r="R420" i="18" s="1"/>
  <c r="Q421" i="18" a="1"/>
  <c r="Q421" i="18" s="1"/>
  <c r="R421" i="18" s="1"/>
  <c r="U421" i="18" s="1"/>
  <c r="Q422" i="18" a="1"/>
  <c r="Q422" i="18" s="1"/>
  <c r="Q423" i="18" a="1"/>
  <c r="Q423" i="18" s="1"/>
  <c r="Q424" i="18" a="1"/>
  <c r="Q424" i="18" s="1"/>
  <c r="R424" i="18" s="1"/>
  <c r="Q425" i="18" a="1"/>
  <c r="Q425" i="18" s="1"/>
  <c r="R425" i="18" s="1"/>
  <c r="U425" i="18" s="1"/>
  <c r="Q426" i="18" a="1"/>
  <c r="Q426" i="18" s="1"/>
  <c r="Q427" i="18" a="1"/>
  <c r="Q427" i="18" s="1"/>
  <c r="Q428" i="18" a="1"/>
  <c r="Q428" i="18" s="1"/>
  <c r="R428" i="18" s="1"/>
  <c r="Q429" i="18" a="1"/>
  <c r="Q429" i="18" s="1"/>
  <c r="Q430" i="18" a="1"/>
  <c r="Q430" i="18" s="1"/>
  <c r="Q431" i="18" a="1"/>
  <c r="Q431" i="18" s="1"/>
  <c r="Q432" i="18" a="1"/>
  <c r="Q432" i="18" s="1"/>
  <c r="R432" i="18" s="1"/>
  <c r="Q433" i="18" a="1"/>
  <c r="Q433" i="18" s="1"/>
  <c r="Q434" i="18" a="1"/>
  <c r="Q434" i="18" s="1"/>
  <c r="Q435" i="18" a="1"/>
  <c r="Q435" i="18" s="1"/>
  <c r="R435" i="18" s="1"/>
  <c r="U435" i="18" s="1"/>
  <c r="Q436" i="18" a="1"/>
  <c r="Q436" i="18" s="1"/>
  <c r="R436" i="18" s="1"/>
  <c r="Q437" i="18" a="1"/>
  <c r="Q437" i="18" s="1"/>
  <c r="R437" i="18" s="1"/>
  <c r="U437" i="18" s="1"/>
  <c r="Q438" i="18" a="1"/>
  <c r="Q438" i="18" s="1"/>
  <c r="Q439" i="18" a="1"/>
  <c r="Q439" i="18" s="1"/>
  <c r="Q440" i="18" a="1"/>
  <c r="Q440" i="18" s="1"/>
  <c r="R440" i="18" s="1"/>
  <c r="Q441" i="18" a="1"/>
  <c r="Q441" i="18" s="1"/>
  <c r="R441" i="18" s="1"/>
  <c r="U441" i="18" s="1"/>
  <c r="Q442" i="18" a="1"/>
  <c r="Q442" i="18" s="1"/>
  <c r="Q443" i="18" a="1"/>
  <c r="Q443" i="18" s="1"/>
  <c r="Q444" i="18" a="1"/>
  <c r="Q444" i="18" s="1"/>
  <c r="R444" i="18" s="1"/>
  <c r="Q445" i="18" a="1"/>
  <c r="Q445" i="18" s="1"/>
  <c r="Q446" i="18" a="1"/>
  <c r="Q446" i="18" s="1"/>
  <c r="Q447" i="18" a="1"/>
  <c r="Q447" i="18" s="1"/>
  <c r="Q448" i="18" a="1"/>
  <c r="Q448" i="18" s="1"/>
  <c r="R448" i="18" s="1"/>
  <c r="Q449" i="18" a="1"/>
  <c r="Q449" i="18" s="1"/>
  <c r="Q450" i="18" a="1"/>
  <c r="Q450" i="18" s="1"/>
  <c r="Q451" i="18" a="1"/>
  <c r="Q451" i="18" s="1"/>
  <c r="R451" i="18" s="1"/>
  <c r="U451" i="18" s="1"/>
  <c r="Q452" i="18" a="1"/>
  <c r="Q452" i="18" s="1"/>
  <c r="R452" i="18" s="1"/>
  <c r="Q453" i="18" a="1"/>
  <c r="Q453" i="18" s="1"/>
  <c r="R453" i="18" s="1"/>
  <c r="U453" i="18" s="1"/>
  <c r="Q454" i="18" a="1"/>
  <c r="Q454" i="18" s="1"/>
  <c r="Q455" i="18" a="1"/>
  <c r="Q455" i="18" s="1"/>
  <c r="Q456" i="18" a="1"/>
  <c r="Q456" i="18" s="1"/>
  <c r="R456" i="18" s="1"/>
  <c r="Q457" i="18" a="1"/>
  <c r="Q457" i="18" s="1"/>
  <c r="R457" i="18" s="1"/>
  <c r="U457" i="18" s="1"/>
  <c r="Q458" i="18" a="1"/>
  <c r="Q458" i="18" s="1"/>
  <c r="Q459" i="18" a="1"/>
  <c r="Q459" i="18" s="1"/>
  <c r="Q460" i="18" a="1"/>
  <c r="Q460" i="18" s="1"/>
  <c r="R460" i="18" s="1"/>
  <c r="Q461" i="18" a="1"/>
  <c r="Q461" i="18" s="1"/>
  <c r="Q462" i="18" a="1"/>
  <c r="Q462" i="18" s="1"/>
  <c r="Q463" i="18" a="1"/>
  <c r="Q463" i="18" s="1"/>
  <c r="Q464" i="18" a="1"/>
  <c r="Q464" i="18" s="1"/>
  <c r="R464" i="18" s="1"/>
  <c r="Q465" i="18" a="1"/>
  <c r="Q465" i="18" s="1"/>
  <c r="Q466" i="18" a="1"/>
  <c r="Q466" i="18" s="1"/>
  <c r="Q467" i="18" a="1"/>
  <c r="Q467" i="18" s="1"/>
  <c r="Q468" i="18" a="1"/>
  <c r="Q468" i="18" s="1"/>
  <c r="R468" i="18" s="1"/>
  <c r="Q469" i="18" a="1"/>
  <c r="Q469" i="18" s="1"/>
  <c r="R469" i="18" s="1"/>
  <c r="U469" i="18" s="1"/>
  <c r="Q470" i="18" a="1"/>
  <c r="Q470" i="18" s="1"/>
  <c r="Q471" i="18" a="1"/>
  <c r="Q471" i="18" s="1"/>
  <c r="Q472" i="18" a="1"/>
  <c r="Q472" i="18" s="1"/>
  <c r="R472" i="18" s="1"/>
  <c r="Q473" i="18" a="1"/>
  <c r="Q473" i="18" s="1"/>
  <c r="R473" i="18" s="1"/>
  <c r="U473" i="18" s="1"/>
  <c r="Q474" i="18" a="1"/>
  <c r="Q474" i="18" s="1"/>
  <c r="Q475" i="18" a="1"/>
  <c r="Q475" i="18" s="1"/>
  <c r="Q476" i="18" a="1"/>
  <c r="Q476" i="18" s="1"/>
  <c r="Q477" i="18" a="1"/>
  <c r="Q477" i="18" s="1"/>
  <c r="R477" i="18" s="1"/>
  <c r="U477" i="18" s="1"/>
  <c r="Q478" i="18" a="1"/>
  <c r="Q478" i="18" s="1"/>
  <c r="Q479" i="18" a="1"/>
  <c r="Q479" i="18" s="1"/>
  <c r="Q480" i="18" a="1"/>
  <c r="Q480" i="18" s="1"/>
  <c r="Q481" i="18" a="1"/>
  <c r="Q481" i="18" s="1"/>
  <c r="R481" i="18" s="1"/>
  <c r="U481" i="18" s="1"/>
  <c r="R6" i="18"/>
  <c r="R8" i="18"/>
  <c r="R10" i="18"/>
  <c r="R14" i="18"/>
  <c r="R16" i="18"/>
  <c r="R18" i="18"/>
  <c r="R22" i="18"/>
  <c r="R24" i="18"/>
  <c r="R26" i="18"/>
  <c r="R30" i="18"/>
  <c r="R32" i="18"/>
  <c r="R34" i="18"/>
  <c r="R38" i="18"/>
  <c r="R40" i="18"/>
  <c r="R42" i="18"/>
  <c r="R46" i="18"/>
  <c r="R50" i="18"/>
  <c r="R54" i="18"/>
  <c r="R56" i="18"/>
  <c r="R58" i="18"/>
  <c r="R62" i="18"/>
  <c r="R64" i="18"/>
  <c r="R66" i="18"/>
  <c r="R70" i="18"/>
  <c r="R72" i="18"/>
  <c r="R74" i="18"/>
  <c r="R78" i="18"/>
  <c r="R82" i="18"/>
  <c r="R86" i="18"/>
  <c r="R88" i="18"/>
  <c r="R90" i="18"/>
  <c r="R94" i="18"/>
  <c r="R96" i="18"/>
  <c r="R98" i="18"/>
  <c r="R102" i="18"/>
  <c r="R104" i="18"/>
  <c r="R106" i="18"/>
  <c r="R110" i="18"/>
  <c r="R114" i="18"/>
  <c r="R118" i="18"/>
  <c r="R120" i="18"/>
  <c r="R122" i="18"/>
  <c r="R126" i="18"/>
  <c r="R128" i="18"/>
  <c r="R132" i="18"/>
  <c r="R134" i="18"/>
  <c r="R136" i="18"/>
  <c r="R140" i="18"/>
  <c r="R142" i="18"/>
  <c r="R146" i="18"/>
  <c r="R148" i="18"/>
  <c r="R149" i="18"/>
  <c r="R150" i="18"/>
  <c r="R154" i="18"/>
  <c r="R157" i="18"/>
  <c r="R158" i="18"/>
  <c r="R160" i="18"/>
  <c r="R162" i="18"/>
  <c r="R164" i="18"/>
  <c r="R166" i="18"/>
  <c r="R168" i="18"/>
  <c r="R169" i="18"/>
  <c r="R170" i="18"/>
  <c r="R174" i="18"/>
  <c r="R176" i="18"/>
  <c r="R178" i="18"/>
  <c r="R180" i="18"/>
  <c r="R181" i="18"/>
  <c r="R182" i="18"/>
  <c r="R186" i="18"/>
  <c r="R189" i="18"/>
  <c r="R190" i="18"/>
  <c r="R192" i="18"/>
  <c r="R194" i="18"/>
  <c r="R196" i="18"/>
  <c r="R198" i="18"/>
  <c r="R200" i="18"/>
  <c r="R201" i="18"/>
  <c r="R202" i="18"/>
  <c r="R206" i="18"/>
  <c r="R208" i="18"/>
  <c r="R210" i="18"/>
  <c r="R212" i="18"/>
  <c r="R213" i="18"/>
  <c r="R214" i="18"/>
  <c r="R218" i="18"/>
  <c r="R221" i="18"/>
  <c r="R222" i="18"/>
  <c r="R224" i="18"/>
  <c r="R226" i="18"/>
  <c r="R228" i="18"/>
  <c r="R230" i="18"/>
  <c r="R232" i="18"/>
  <c r="R233" i="18"/>
  <c r="R234" i="18"/>
  <c r="R238" i="18"/>
  <c r="R240" i="18"/>
  <c r="R242" i="18"/>
  <c r="R244" i="18"/>
  <c r="R245" i="18"/>
  <c r="R246" i="18"/>
  <c r="R250" i="18"/>
  <c r="R253" i="18"/>
  <c r="R254" i="18"/>
  <c r="R255" i="18"/>
  <c r="R257" i="18"/>
  <c r="R258" i="18"/>
  <c r="R262" i="18"/>
  <c r="R263" i="18"/>
  <c r="R266" i="18"/>
  <c r="R267" i="18"/>
  <c r="R269" i="18"/>
  <c r="R270" i="18"/>
  <c r="R271" i="18"/>
  <c r="R273" i="18"/>
  <c r="R274" i="18"/>
  <c r="R278" i="18"/>
  <c r="R279" i="18"/>
  <c r="R282" i="18"/>
  <c r="R283" i="18"/>
  <c r="R285" i="18"/>
  <c r="R286" i="18"/>
  <c r="R287" i="18"/>
  <c r="R289" i="18"/>
  <c r="R290" i="18"/>
  <c r="R294" i="18"/>
  <c r="R295" i="18"/>
  <c r="R298" i="18"/>
  <c r="R299" i="18"/>
  <c r="R301" i="18"/>
  <c r="R302" i="18"/>
  <c r="R303" i="18"/>
  <c r="R305" i="18"/>
  <c r="R306" i="18"/>
  <c r="R310" i="18"/>
  <c r="R311" i="18"/>
  <c r="R314" i="18"/>
  <c r="R315" i="18"/>
  <c r="R317" i="18"/>
  <c r="R318" i="18"/>
  <c r="R319" i="18"/>
  <c r="R321" i="18"/>
  <c r="R322" i="18"/>
  <c r="R326" i="18"/>
  <c r="R327" i="18"/>
  <c r="R330" i="18"/>
  <c r="R331" i="18"/>
  <c r="R333" i="18"/>
  <c r="R334" i="18"/>
  <c r="R335" i="18"/>
  <c r="R337" i="18"/>
  <c r="R338" i="18"/>
  <c r="R342" i="18"/>
  <c r="R343" i="18"/>
  <c r="R346" i="18"/>
  <c r="R347" i="18"/>
  <c r="R349" i="18"/>
  <c r="R350" i="18"/>
  <c r="R351" i="18"/>
  <c r="R353" i="18"/>
  <c r="R354" i="18"/>
  <c r="R358" i="18"/>
  <c r="R359" i="18"/>
  <c r="R362" i="18"/>
  <c r="R363" i="18"/>
  <c r="R365" i="18"/>
  <c r="R366" i="18"/>
  <c r="R367" i="18"/>
  <c r="R369" i="18"/>
  <c r="R370" i="18"/>
  <c r="R374" i="18"/>
  <c r="R375" i="18"/>
  <c r="R378" i="18"/>
  <c r="R379" i="18"/>
  <c r="R381" i="18"/>
  <c r="R382" i="18"/>
  <c r="R383" i="18"/>
  <c r="R385" i="18"/>
  <c r="R386" i="18"/>
  <c r="R390" i="18"/>
  <c r="R391" i="18"/>
  <c r="R394" i="18"/>
  <c r="R395" i="18"/>
  <c r="R397" i="18"/>
  <c r="R398" i="18"/>
  <c r="R399" i="18"/>
  <c r="R401" i="18"/>
  <c r="R402" i="18"/>
  <c r="R406" i="18"/>
  <c r="R407" i="18"/>
  <c r="R410" i="18"/>
  <c r="R411" i="18"/>
  <c r="R413" i="18"/>
  <c r="R414" i="18"/>
  <c r="R415" i="18"/>
  <c r="R417" i="18"/>
  <c r="R418" i="18"/>
  <c r="R422" i="18"/>
  <c r="R423" i="18"/>
  <c r="R426" i="18"/>
  <c r="R427" i="18"/>
  <c r="R429" i="18"/>
  <c r="R430" i="18"/>
  <c r="R431" i="18"/>
  <c r="R433" i="18"/>
  <c r="R434" i="18"/>
  <c r="R438" i="18"/>
  <c r="R439" i="18"/>
  <c r="R442" i="18"/>
  <c r="R443" i="18"/>
  <c r="R445" i="18"/>
  <c r="R446" i="18"/>
  <c r="R447" i="18"/>
  <c r="R449" i="18"/>
  <c r="R450" i="18"/>
  <c r="R454" i="18"/>
  <c r="R455" i="18"/>
  <c r="R458" i="18"/>
  <c r="R459" i="18"/>
  <c r="R461" i="18"/>
  <c r="R462" i="18"/>
  <c r="R463" i="18"/>
  <c r="R465" i="18"/>
  <c r="R466" i="18"/>
  <c r="R467" i="18"/>
  <c r="R470" i="18"/>
  <c r="R471" i="18"/>
  <c r="R474" i="18"/>
  <c r="R475" i="18"/>
  <c r="R476" i="18"/>
  <c r="R478" i="18"/>
  <c r="R479" i="18"/>
  <c r="R480" i="18"/>
  <c r="S2" i="18" a="1"/>
  <c r="S2" i="18"/>
  <c r="S3" i="18" a="1"/>
  <c r="S3" i="18" s="1"/>
  <c r="S4" i="18" a="1"/>
  <c r="S4" i="18"/>
  <c r="S5" i="18" a="1"/>
  <c r="S5" i="18" s="1"/>
  <c r="S6" i="18" a="1"/>
  <c r="S6" i="18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 s="1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/>
  <c r="S260" i="18" a="1"/>
  <c r="S260" i="18" s="1"/>
  <c r="S261" i="18" a="1"/>
  <c r="S261" i="18" s="1"/>
  <c r="S262" i="18" a="1"/>
  <c r="S262" i="18" s="1"/>
  <c r="S263" i="18" a="1"/>
  <c r="S263" i="18"/>
  <c r="S264" i="18" a="1"/>
  <c r="S264" i="18" s="1"/>
  <c r="S265" i="18" a="1"/>
  <c r="S265" i="18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/>
  <c r="S280" i="18" a="1"/>
  <c r="S280" i="18" s="1"/>
  <c r="S281" i="18" a="1"/>
  <c r="S281" i="18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/>
  <c r="S288" i="18" a="1"/>
  <c r="S288" i="18" s="1"/>
  <c r="S289" i="18" a="1"/>
  <c r="S289" i="18" s="1"/>
  <c r="S290" i="18" a="1"/>
  <c r="S290" i="18" s="1"/>
  <c r="S291" i="18" a="1"/>
  <c r="S291" i="18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/>
  <c r="S306" i="18" a="1"/>
  <c r="S306" i="18" s="1"/>
  <c r="S307" i="18" a="1"/>
  <c r="S307" i="18"/>
  <c r="S308" i="18" a="1"/>
  <c r="S308" i="18" s="1"/>
  <c r="S309" i="18" a="1"/>
  <c r="S309" i="18" s="1"/>
  <c r="S310" i="18" a="1"/>
  <c r="S310" i="18" s="1"/>
  <c r="S311" i="18" a="1"/>
  <c r="S311" i="18"/>
  <c r="S312" i="18" a="1"/>
  <c r="S312" i="18" s="1"/>
  <c r="S313" i="18" a="1"/>
  <c r="S313" i="18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/>
  <c r="S320" i="18" a="1"/>
  <c r="S320" i="18" s="1"/>
  <c r="S321" i="18" a="1"/>
  <c r="S321" i="18" s="1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/>
  <c r="S338" i="18" a="1"/>
  <c r="S338" i="18" s="1"/>
  <c r="S339" i="18" a="1"/>
  <c r="S339" i="18"/>
  <c r="S340" i="18" a="1"/>
  <c r="S340" i="18" s="1"/>
  <c r="S341" i="18" a="1"/>
  <c r="S341" i="18" s="1"/>
  <c r="S342" i="18" a="1"/>
  <c r="S342" i="18" s="1"/>
  <c r="S343" i="18" a="1"/>
  <c r="S343" i="18"/>
  <c r="S344" i="18" a="1"/>
  <c r="S344" i="18" s="1"/>
  <c r="S345" i="18" a="1"/>
  <c r="S345" i="18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/>
  <c r="S370" i="18" a="1"/>
  <c r="S370" i="18" s="1"/>
  <c r="S371" i="18" a="1"/>
  <c r="S371" i="18"/>
  <c r="S372" i="18" a="1"/>
  <c r="S372" i="18" s="1"/>
  <c r="S373" i="18" a="1"/>
  <c r="S373" i="18" s="1"/>
  <c r="S374" i="18" a="1"/>
  <c r="S374" i="18" s="1"/>
  <c r="S375" i="18" a="1"/>
  <c r="S375" i="18"/>
  <c r="S376" i="18" a="1"/>
  <c r="S376" i="18" s="1"/>
  <c r="S377" i="18" a="1"/>
  <c r="S377" i="18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/>
  <c r="S402" i="18" a="1"/>
  <c r="S402" i="18" s="1"/>
  <c r="S403" i="18" a="1"/>
  <c r="S403" i="18"/>
  <c r="S404" i="18" a="1"/>
  <c r="S404" i="18" s="1"/>
  <c r="S405" i="18" a="1"/>
  <c r="S405" i="18" s="1"/>
  <c r="S406" i="18" a="1"/>
  <c r="S406" i="18" s="1"/>
  <c r="S407" i="18" a="1"/>
  <c r="S407" i="18"/>
  <c r="S408" i="18" a="1"/>
  <c r="S408" i="18" s="1"/>
  <c r="S409" i="18" a="1"/>
  <c r="S409" i="18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/>
  <c r="S434" i="18" a="1"/>
  <c r="S434" i="18" s="1"/>
  <c r="S435" i="18" a="1"/>
  <c r="S435" i="18"/>
  <c r="S436" i="18" a="1"/>
  <c r="S436" i="18" s="1"/>
  <c r="S437" i="18" a="1"/>
  <c r="S437" i="18" s="1"/>
  <c r="S438" i="18" a="1"/>
  <c r="S438" i="18" s="1"/>
  <c r="S439" i="18" a="1"/>
  <c r="S439" i="18"/>
  <c r="S440" i="18" a="1"/>
  <c r="S440" i="18" s="1"/>
  <c r="S441" i="18" a="1"/>
  <c r="S441" i="18"/>
  <c r="S442" i="18" a="1"/>
  <c r="S442" i="18" s="1"/>
  <c r="S443" i="18" a="1"/>
  <c r="S443" i="18" s="1"/>
  <c r="S444" i="18" a="1"/>
  <c r="S444" i="18" s="1"/>
  <c r="S445" i="18" a="1"/>
  <c r="S445" i="18" s="1"/>
  <c r="S446" i="18" a="1"/>
  <c r="S446" i="18" s="1"/>
  <c r="S447" i="18" a="1"/>
  <c r="S447" i="18"/>
  <c r="S448" i="18" a="1"/>
  <c r="S448" i="18" s="1"/>
  <c r="S449" i="18" a="1"/>
  <c r="S449" i="18" s="1"/>
  <c r="S450" i="18" a="1"/>
  <c r="S450" i="18" s="1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/>
  <c r="S460" i="18" a="1"/>
  <c r="S460" i="18" s="1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/>
  <c r="S466" i="18" a="1"/>
  <c r="S466" i="18" s="1"/>
  <c r="S467" i="18" a="1"/>
  <c r="S467" i="18"/>
  <c r="S468" i="18" a="1"/>
  <c r="S468" i="18" s="1"/>
  <c r="S469" i="18" a="1"/>
  <c r="S469" i="18" s="1"/>
  <c r="S470" i="18" a="1"/>
  <c r="S470" i="18" s="1"/>
  <c r="S471" i="18" a="1"/>
  <c r="S471" i="18"/>
  <c r="S472" i="18" a="1"/>
  <c r="S472" i="18" s="1"/>
  <c r="S473" i="18" a="1"/>
  <c r="S473" i="18"/>
  <c r="S474" i="18" a="1"/>
  <c r="S474" i="18" s="1"/>
  <c r="S475" i="18" a="1"/>
  <c r="S475" i="18" s="1"/>
  <c r="S476" i="18" a="1"/>
  <c r="S476" i="18" s="1"/>
  <c r="S477" i="18" a="1"/>
  <c r="S477" i="18" s="1"/>
  <c r="S478" i="18" a="1"/>
  <c r="S478" i="18" s="1"/>
  <c r="S479" i="18" a="1"/>
  <c r="S479" i="18"/>
  <c r="S480" i="18" a="1"/>
  <c r="S480" i="18" s="1"/>
  <c r="S481" i="18" a="1"/>
  <c r="S48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/>
  <c r="T18" i="18" a="1"/>
  <c r="T18" i="18" s="1"/>
  <c r="T19" i="18" a="1"/>
  <c r="T19" i="18"/>
  <c r="T20" i="18" a="1"/>
  <c r="T20" i="18" s="1"/>
  <c r="T21" i="18" a="1"/>
  <c r="T21" i="18" s="1"/>
  <c r="T22" i="18" a="1"/>
  <c r="T22" i="18" s="1"/>
  <c r="T23" i="18" a="1"/>
  <c r="T23" i="18"/>
  <c r="T24" i="18" a="1"/>
  <c r="T24" i="18" s="1"/>
  <c r="T25" i="18" a="1"/>
  <c r="T25" i="18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/>
  <c r="T50" i="18" a="1"/>
  <c r="T50" i="18" s="1"/>
  <c r="T51" i="18" a="1"/>
  <c r="T51" i="18"/>
  <c r="T52" i="18" a="1"/>
  <c r="T52" i="18" s="1"/>
  <c r="T53" i="18" a="1"/>
  <c r="T53" i="18" s="1"/>
  <c r="T54" i="18" a="1"/>
  <c r="T54" i="18" s="1"/>
  <c r="T55" i="18" a="1"/>
  <c r="T55" i="18"/>
  <c r="T56" i="18" a="1"/>
  <c r="T56" i="18" s="1"/>
  <c r="T57" i="18" a="1"/>
  <c r="T57" i="18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/>
  <c r="T82" i="18" a="1"/>
  <c r="T82" i="18" s="1"/>
  <c r="T83" i="18" a="1"/>
  <c r="T83" i="18"/>
  <c r="T84" i="18" a="1"/>
  <c r="T84" i="18" s="1"/>
  <c r="T85" i="18" a="1"/>
  <c r="T85" i="18" s="1"/>
  <c r="T86" i="18" a="1"/>
  <c r="T86" i="18" s="1"/>
  <c r="T87" i="18" a="1"/>
  <c r="T87" i="18"/>
  <c r="T88" i="18" a="1"/>
  <c r="T88" i="18" s="1"/>
  <c r="T89" i="18" a="1"/>
  <c r="T89" i="18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/>
  <c r="T114" i="18" a="1"/>
  <c r="T114" i="18" s="1"/>
  <c r="T115" i="18" a="1"/>
  <c r="T115" i="18"/>
  <c r="T116" i="18" a="1"/>
  <c r="T116" i="18" s="1"/>
  <c r="T117" i="18" a="1"/>
  <c r="T117" i="18" s="1"/>
  <c r="T118" i="18" a="1"/>
  <c r="T118" i="18" s="1"/>
  <c r="T119" i="18" a="1"/>
  <c r="T119" i="18"/>
  <c r="T120" i="18" a="1"/>
  <c r="T120" i="18" s="1"/>
  <c r="T121" i="18" a="1"/>
  <c r="T121" i="18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/>
  <c r="T146" i="18" a="1"/>
  <c r="T146" i="18" s="1"/>
  <c r="T147" i="18" a="1"/>
  <c r="T147" i="18"/>
  <c r="T148" i="18" a="1"/>
  <c r="T148" i="18" s="1"/>
  <c r="T149" i="18" a="1"/>
  <c r="T149" i="18" s="1"/>
  <c r="T150" i="18" a="1"/>
  <c r="T150" i="18" s="1"/>
  <c r="T151" i="18" a="1"/>
  <c r="T151" i="18"/>
  <c r="T152" i="18" a="1"/>
  <c r="T152" i="18" s="1"/>
  <c r="T153" i="18" a="1"/>
  <c r="T153" i="18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/>
  <c r="T178" i="18" a="1"/>
  <c r="T178" i="18" s="1"/>
  <c r="T179" i="18" a="1"/>
  <c r="T179" i="18"/>
  <c r="T180" i="18" a="1"/>
  <c r="T180" i="18" s="1"/>
  <c r="T181" i="18" a="1"/>
  <c r="T181" i="18" s="1"/>
  <c r="T182" i="18" a="1"/>
  <c r="T182" i="18" s="1"/>
  <c r="T183" i="18" a="1"/>
  <c r="T183" i="18"/>
  <c r="T184" i="18" a="1"/>
  <c r="T184" i="18" s="1"/>
  <c r="T185" i="18" a="1"/>
  <c r="T185" i="18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/>
  <c r="T210" i="18" a="1"/>
  <c r="T210" i="18" s="1"/>
  <c r="T211" i="18" a="1"/>
  <c r="T211" i="18"/>
  <c r="T212" i="18" a="1"/>
  <c r="T212" i="18" s="1"/>
  <c r="T213" i="18" a="1"/>
  <c r="T213" i="18" s="1"/>
  <c r="T214" i="18" a="1"/>
  <c r="T214" i="18" s="1"/>
  <c r="T215" i="18" a="1"/>
  <c r="T215" i="18"/>
  <c r="T216" i="18" a="1"/>
  <c r="T216" i="18" s="1"/>
  <c r="T217" i="18" a="1"/>
  <c r="T217" i="18"/>
  <c r="T218" i="18" a="1"/>
  <c r="T218" i="18" s="1"/>
  <c r="T219" i="18" a="1"/>
  <c r="T219" i="18"/>
  <c r="T220" i="18" a="1"/>
  <c r="T220" i="18" s="1"/>
  <c r="T221" i="18" a="1"/>
  <c r="T221" i="18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/>
  <c r="T228" i="18" a="1"/>
  <c r="T228" i="18" s="1"/>
  <c r="T229" i="18" a="1"/>
  <c r="T229" i="18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/>
  <c r="T236" i="18" a="1"/>
  <c r="T236" i="18" s="1"/>
  <c r="T237" i="18" a="1"/>
  <c r="T237" i="18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U2" i="18"/>
  <c r="U3" i="18"/>
  <c r="U4" i="18"/>
  <c r="U5" i="18"/>
  <c r="U6" i="18"/>
  <c r="U8" i="18"/>
  <c r="U9" i="18"/>
  <c r="U10" i="18"/>
  <c r="U11" i="18"/>
  <c r="U12" i="18"/>
  <c r="U13" i="18"/>
  <c r="U14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2" i="18"/>
  <c r="U33" i="18"/>
  <c r="U34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9" i="18"/>
  <c r="U50" i="18"/>
  <c r="U52" i="18"/>
  <c r="U53" i="18"/>
  <c r="U54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2" i="18"/>
  <c r="U73" i="18"/>
  <c r="U74" i="18"/>
  <c r="U75" i="18"/>
  <c r="U76" i="18"/>
  <c r="U77" i="18"/>
  <c r="U78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4" i="18"/>
  <c r="U155" i="18"/>
  <c r="U156" i="18"/>
  <c r="U157" i="18"/>
  <c r="U158" i="18"/>
  <c r="U159" i="18"/>
  <c r="U160" i="18"/>
  <c r="U161" i="18"/>
  <c r="U162" i="18"/>
  <c r="U163" i="18"/>
  <c r="U164" i="18"/>
  <c r="U166" i="18"/>
  <c r="U167" i="18"/>
  <c r="U168" i="18"/>
  <c r="U169" i="18"/>
  <c r="U170" i="18"/>
  <c r="U171" i="18"/>
  <c r="U172" i="18"/>
  <c r="U174" i="18"/>
  <c r="U175" i="18"/>
  <c r="U176" i="18"/>
  <c r="U177" i="18"/>
  <c r="U178" i="18"/>
  <c r="U179" i="18"/>
  <c r="U180" i="18"/>
  <c r="U181" i="18"/>
  <c r="U182" i="18"/>
  <c r="U183" i="18"/>
  <c r="U186" i="18"/>
  <c r="U187" i="18"/>
  <c r="U188" i="18"/>
  <c r="U189" i="18"/>
  <c r="U190" i="18"/>
  <c r="U191" i="18"/>
  <c r="U192" i="18"/>
  <c r="U193" i="18"/>
  <c r="U194" i="18"/>
  <c r="U195" i="18"/>
  <c r="U196" i="18"/>
  <c r="U198" i="18"/>
  <c r="U199" i="18"/>
  <c r="U200" i="18"/>
  <c r="U201" i="18"/>
  <c r="U202" i="18"/>
  <c r="U203" i="18"/>
  <c r="U204" i="18"/>
  <c r="U206" i="18"/>
  <c r="U207" i="18"/>
  <c r="U208" i="18"/>
  <c r="U209" i="18"/>
  <c r="U210" i="18"/>
  <c r="U211" i="18"/>
  <c r="U212" i="18"/>
  <c r="U213" i="18"/>
  <c r="U214" i="18"/>
  <c r="U215" i="18"/>
  <c r="U218" i="18"/>
  <c r="U219" i="18"/>
  <c r="U220" i="18"/>
  <c r="U221" i="18"/>
  <c r="U222" i="18"/>
  <c r="U223" i="18"/>
  <c r="U224" i="18"/>
  <c r="U225" i="18"/>
  <c r="U226" i="18"/>
  <c r="U227" i="18"/>
  <c r="U228" i="18"/>
  <c r="U230" i="18"/>
  <c r="U231" i="18"/>
  <c r="U232" i="18"/>
  <c r="U233" i="18"/>
  <c r="U234" i="18"/>
  <c r="U235" i="18"/>
  <c r="U236" i="18"/>
  <c r="U238" i="18"/>
  <c r="U239" i="18"/>
  <c r="U240" i="18"/>
  <c r="U241" i="18"/>
  <c r="U242" i="18"/>
  <c r="U243" i="18"/>
  <c r="U244" i="18"/>
  <c r="U245" i="18"/>
  <c r="U246" i="18"/>
  <c r="U247" i="18"/>
  <c r="U250" i="18"/>
  <c r="U251" i="18"/>
  <c r="U252" i="18"/>
  <c r="U253" i="18"/>
  <c r="U254" i="18"/>
  <c r="U255" i="18"/>
  <c r="U256" i="18"/>
  <c r="U257" i="18"/>
  <c r="U258" i="18"/>
  <c r="U260" i="18"/>
  <c r="U262" i="18"/>
  <c r="U263" i="18"/>
  <c r="U264" i="18"/>
  <c r="U266" i="18"/>
  <c r="U267" i="18"/>
  <c r="U268" i="18"/>
  <c r="U269" i="18"/>
  <c r="U270" i="18"/>
  <c r="U271" i="18"/>
  <c r="U272" i="18"/>
  <c r="U273" i="18"/>
  <c r="U274" i="18"/>
  <c r="U276" i="18"/>
  <c r="U278" i="18"/>
  <c r="U279" i="18"/>
  <c r="U280" i="18"/>
  <c r="U282" i="18"/>
  <c r="U283" i="18"/>
  <c r="U284" i="18"/>
  <c r="U285" i="18"/>
  <c r="U286" i="18"/>
  <c r="U287" i="18"/>
  <c r="U288" i="18"/>
  <c r="U289" i="18"/>
  <c r="U290" i="18"/>
  <c r="U292" i="18"/>
  <c r="U294" i="18"/>
  <c r="U295" i="18"/>
  <c r="U296" i="18"/>
  <c r="U298" i="18"/>
  <c r="U299" i="18"/>
  <c r="U300" i="18"/>
  <c r="U301" i="18"/>
  <c r="U302" i="18"/>
  <c r="U303" i="18"/>
  <c r="U304" i="18"/>
  <c r="U305" i="18"/>
  <c r="U306" i="18"/>
  <c r="U308" i="18"/>
  <c r="U310" i="18"/>
  <c r="U311" i="18"/>
  <c r="U312" i="18"/>
  <c r="U314" i="18"/>
  <c r="U315" i="18"/>
  <c r="U316" i="18"/>
  <c r="U317" i="18"/>
  <c r="U318" i="18"/>
  <c r="U319" i="18"/>
  <c r="U320" i="18"/>
  <c r="U321" i="18"/>
  <c r="U322" i="18"/>
  <c r="U324" i="18"/>
  <c r="U326" i="18"/>
  <c r="U327" i="18"/>
  <c r="U328" i="18"/>
  <c r="U330" i="18"/>
  <c r="U331" i="18"/>
  <c r="U332" i="18"/>
  <c r="U333" i="18"/>
  <c r="U334" i="18"/>
  <c r="U335" i="18"/>
  <c r="U336" i="18"/>
  <c r="U337" i="18"/>
  <c r="U338" i="18"/>
  <c r="U340" i="18"/>
  <c r="U342" i="18"/>
  <c r="U343" i="18"/>
  <c r="U344" i="18"/>
  <c r="U346" i="18"/>
  <c r="U347" i="18"/>
  <c r="U348" i="18"/>
  <c r="U349" i="18"/>
  <c r="U350" i="18"/>
  <c r="U351" i="18"/>
  <c r="U352" i="18"/>
  <c r="U353" i="18"/>
  <c r="U354" i="18"/>
  <c r="U356" i="18"/>
  <c r="U358" i="18"/>
  <c r="U359" i="18"/>
  <c r="U360" i="18"/>
  <c r="U362" i="18"/>
  <c r="U363" i="18"/>
  <c r="U364" i="18"/>
  <c r="U365" i="18"/>
  <c r="U366" i="18"/>
  <c r="U367" i="18"/>
  <c r="U368" i="18"/>
  <c r="U369" i="18"/>
  <c r="U370" i="18"/>
  <c r="U372" i="18"/>
  <c r="U374" i="18"/>
  <c r="U375" i="18"/>
  <c r="U376" i="18"/>
  <c r="U378" i="18"/>
  <c r="U379" i="18"/>
  <c r="U380" i="18"/>
  <c r="U381" i="18"/>
  <c r="U382" i="18"/>
  <c r="U383" i="18"/>
  <c r="U384" i="18"/>
  <c r="U385" i="18"/>
  <c r="U386" i="18"/>
  <c r="U388" i="18"/>
  <c r="U390" i="18"/>
  <c r="U391" i="18"/>
  <c r="U392" i="18"/>
  <c r="U394" i="18"/>
  <c r="U395" i="18"/>
  <c r="U396" i="18"/>
  <c r="U397" i="18"/>
  <c r="U398" i="18"/>
  <c r="U399" i="18"/>
  <c r="U400" i="18"/>
  <c r="U401" i="18"/>
  <c r="U402" i="18"/>
  <c r="U404" i="18"/>
  <c r="U406" i="18"/>
  <c r="U407" i="18"/>
  <c r="U408" i="18"/>
  <c r="U410" i="18"/>
  <c r="U411" i="18"/>
  <c r="U412" i="18"/>
  <c r="U413" i="18"/>
  <c r="U414" i="18"/>
  <c r="U415" i="18"/>
  <c r="U416" i="18"/>
  <c r="U417" i="18"/>
  <c r="U418" i="18"/>
  <c r="U420" i="18"/>
  <c r="U422" i="18"/>
  <c r="U423" i="18"/>
  <c r="U424" i="18"/>
  <c r="U426" i="18"/>
  <c r="U427" i="18"/>
  <c r="U428" i="18"/>
  <c r="U429" i="18"/>
  <c r="U430" i="18"/>
  <c r="U431" i="18"/>
  <c r="U432" i="18"/>
  <c r="U433" i="18"/>
  <c r="U434" i="18"/>
  <c r="U436" i="18"/>
  <c r="U438" i="18"/>
  <c r="U439" i="18"/>
  <c r="U440" i="18"/>
  <c r="U442" i="18"/>
  <c r="U443" i="18"/>
  <c r="U444" i="18"/>
  <c r="U445" i="18"/>
  <c r="U446" i="18"/>
  <c r="U447" i="18"/>
  <c r="U448" i="18"/>
  <c r="U449" i="18"/>
  <c r="U450" i="18"/>
  <c r="U452" i="18"/>
  <c r="U454" i="18"/>
  <c r="U455" i="18"/>
  <c r="U456" i="18"/>
  <c r="U458" i="18"/>
  <c r="U459" i="18"/>
  <c r="U460" i="18"/>
  <c r="U461" i="18"/>
  <c r="U462" i="18"/>
  <c r="U463" i="18"/>
  <c r="U464" i="18"/>
  <c r="U465" i="18"/>
  <c r="U466" i="18"/>
  <c r="U467" i="18"/>
  <c r="U468" i="18"/>
  <c r="U470" i="18"/>
  <c r="U471" i="18"/>
  <c r="U472" i="18"/>
  <c r="U474" i="18"/>
  <c r="U475" i="18"/>
  <c r="U476" i="18"/>
  <c r="U478" i="18"/>
  <c r="U479" i="18"/>
  <c r="U480" i="18"/>
  <c r="L2" i="17"/>
  <c r="L3" i="17"/>
  <c r="L4" i="17"/>
  <c r="L5" i="17"/>
  <c r="L6" i="17"/>
  <c r="L7" i="17"/>
  <c r="L182" i="17"/>
  <c r="L183" i="17"/>
  <c r="L184" i="17"/>
  <c r="L272" i="17"/>
  <c r="L302" i="17"/>
  <c r="L332" i="17"/>
  <c r="L362" i="17"/>
  <c r="L363" i="17"/>
  <c r="L364" i="17"/>
  <c r="L452" i="17"/>
  <c r="L482" i="17"/>
  <c r="L483" i="17"/>
  <c r="L484" i="17"/>
  <c r="L572" i="17"/>
  <c r="L602" i="17"/>
  <c r="L603" i="17"/>
  <c r="L604" i="17"/>
  <c r="L692" i="17"/>
  <c r="L722" i="17"/>
  <c r="L8" i="17"/>
  <c r="L9" i="17"/>
  <c r="L10" i="17"/>
  <c r="L11" i="17"/>
  <c r="L12" i="17"/>
  <c r="L13" i="17"/>
  <c r="L185" i="17"/>
  <c r="L186" i="17"/>
  <c r="L187" i="17"/>
  <c r="L273" i="17"/>
  <c r="L303" i="17"/>
  <c r="L333" i="17"/>
  <c r="L365" i="17"/>
  <c r="L366" i="17"/>
  <c r="L367" i="17"/>
  <c r="L453" i="17"/>
  <c r="L485" i="17"/>
  <c r="L486" i="17"/>
  <c r="L487" i="17"/>
  <c r="L573" i="17"/>
  <c r="L605" i="17"/>
  <c r="L606" i="17"/>
  <c r="L607" i="17"/>
  <c r="L693" i="17"/>
  <c r="L723" i="17"/>
  <c r="L14" i="17"/>
  <c r="L15" i="17"/>
  <c r="L16" i="17"/>
  <c r="L17" i="17"/>
  <c r="L18" i="17"/>
  <c r="L19" i="17"/>
  <c r="L188" i="17"/>
  <c r="L189" i="17"/>
  <c r="L190" i="17"/>
  <c r="L274" i="17"/>
  <c r="L304" i="17"/>
  <c r="L334" i="17"/>
  <c r="L368" i="17"/>
  <c r="L369" i="17"/>
  <c r="L370" i="17"/>
  <c r="L454" i="17"/>
  <c r="L488" i="17"/>
  <c r="L489" i="17"/>
  <c r="L490" i="17"/>
  <c r="L574" i="17"/>
  <c r="L608" i="17"/>
  <c r="L609" i="17"/>
  <c r="L610" i="17"/>
  <c r="L694" i="17"/>
  <c r="L724" i="17"/>
  <c r="L20" i="17"/>
  <c r="L21" i="17"/>
  <c r="L22" i="17"/>
  <c r="L23" i="17"/>
  <c r="L24" i="17"/>
  <c r="L25" i="17"/>
  <c r="L191" i="17"/>
  <c r="L192" i="17"/>
  <c r="L193" i="17"/>
  <c r="L275" i="17"/>
  <c r="L305" i="17"/>
  <c r="L335" i="17"/>
  <c r="L371" i="17"/>
  <c r="L372" i="17"/>
  <c r="L373" i="17"/>
  <c r="L455" i="17"/>
  <c r="L491" i="17"/>
  <c r="L492" i="17"/>
  <c r="L493" i="17"/>
  <c r="L575" i="17"/>
  <c r="L611" i="17"/>
  <c r="L612" i="17"/>
  <c r="L613" i="17"/>
  <c r="L695" i="17"/>
  <c r="L725" i="17"/>
  <c r="L26" i="17"/>
  <c r="L27" i="17"/>
  <c r="L28" i="17"/>
  <c r="L29" i="17"/>
  <c r="L30" i="17"/>
  <c r="L31" i="17"/>
  <c r="L194" i="17"/>
  <c r="L195" i="17"/>
  <c r="L196" i="17"/>
  <c r="L276" i="17"/>
  <c r="L306" i="17"/>
  <c r="L336" i="17"/>
  <c r="L374" i="17"/>
  <c r="L375" i="17"/>
  <c r="L376" i="17"/>
  <c r="L456" i="17"/>
  <c r="L494" i="17"/>
  <c r="L495" i="17"/>
  <c r="L496" i="17"/>
  <c r="L576" i="17"/>
  <c r="L614" i="17"/>
  <c r="L615" i="17"/>
  <c r="L616" i="17"/>
  <c r="L696" i="17"/>
  <c r="L726" i="17"/>
  <c r="L32" i="17"/>
  <c r="L33" i="17"/>
  <c r="L34" i="17"/>
  <c r="L35" i="17"/>
  <c r="L36" i="17"/>
  <c r="L37" i="17"/>
  <c r="L197" i="17"/>
  <c r="L198" i="17"/>
  <c r="L199" i="17"/>
  <c r="L277" i="17"/>
  <c r="L307" i="17"/>
  <c r="L337" i="17"/>
  <c r="L377" i="17"/>
  <c r="L378" i="17"/>
  <c r="L379" i="17"/>
  <c r="L457" i="17"/>
  <c r="L497" i="17"/>
  <c r="L498" i="17"/>
  <c r="L499" i="17"/>
  <c r="L577" i="17"/>
  <c r="L617" i="17"/>
  <c r="L618" i="17"/>
  <c r="L619" i="17"/>
  <c r="L697" i="17"/>
  <c r="L727" i="17"/>
  <c r="L38" i="17"/>
  <c r="L39" i="17"/>
  <c r="L40" i="17"/>
  <c r="L41" i="17"/>
  <c r="L42" i="17"/>
  <c r="L43" i="17"/>
  <c r="L200" i="17"/>
  <c r="L201" i="17"/>
  <c r="L202" i="17"/>
  <c r="L278" i="17"/>
  <c r="L308" i="17"/>
  <c r="L338" i="17"/>
  <c r="L380" i="17"/>
  <c r="L381" i="17"/>
  <c r="L382" i="17"/>
  <c r="L458" i="17"/>
  <c r="L500" i="17"/>
  <c r="L501" i="17"/>
  <c r="L502" i="17"/>
  <c r="L578" i="17"/>
  <c r="L620" i="17"/>
  <c r="L621" i="17"/>
  <c r="L622" i="17"/>
  <c r="L698" i="17"/>
  <c r="L728" i="17"/>
  <c r="L44" i="17"/>
  <c r="L45" i="17"/>
  <c r="L46" i="17"/>
  <c r="L47" i="17"/>
  <c r="L48" i="17"/>
  <c r="L49" i="17"/>
  <c r="L203" i="17"/>
  <c r="L204" i="17"/>
  <c r="L205" i="17"/>
  <c r="L279" i="17"/>
  <c r="L309" i="17"/>
  <c r="L339" i="17"/>
  <c r="L383" i="17"/>
  <c r="L384" i="17"/>
  <c r="L385" i="17"/>
  <c r="L459" i="17"/>
  <c r="L503" i="17"/>
  <c r="L504" i="17"/>
  <c r="L505" i="17"/>
  <c r="L579" i="17"/>
  <c r="L623" i="17"/>
  <c r="L624" i="17"/>
  <c r="L625" i="17"/>
  <c r="L699" i="17"/>
  <c r="L729" i="17"/>
  <c r="L50" i="17"/>
  <c r="L51" i="17"/>
  <c r="L52" i="17"/>
  <c r="L53" i="17"/>
  <c r="L54" i="17"/>
  <c r="L55" i="17"/>
  <c r="L206" i="17"/>
  <c r="L207" i="17"/>
  <c r="L208" i="17"/>
  <c r="L280" i="17"/>
  <c r="L310" i="17"/>
  <c r="L340" i="17"/>
  <c r="L386" i="17"/>
  <c r="L387" i="17"/>
  <c r="L388" i="17"/>
  <c r="L460" i="17"/>
  <c r="L506" i="17"/>
  <c r="L507" i="17"/>
  <c r="L508" i="17"/>
  <c r="L580" i="17"/>
  <c r="L626" i="17"/>
  <c r="L627" i="17"/>
  <c r="L628" i="17"/>
  <c r="L700" i="17"/>
  <c r="L730" i="17"/>
  <c r="L56" i="17"/>
  <c r="L57" i="17"/>
  <c r="L58" i="17"/>
  <c r="L59" i="17"/>
  <c r="L60" i="17"/>
  <c r="L61" i="17"/>
  <c r="L209" i="17"/>
  <c r="L210" i="17"/>
  <c r="L211" i="17"/>
  <c r="L281" i="17"/>
  <c r="L311" i="17"/>
  <c r="L341" i="17"/>
  <c r="L389" i="17"/>
  <c r="L390" i="17"/>
  <c r="L391" i="17"/>
  <c r="L461" i="17"/>
  <c r="L509" i="17"/>
  <c r="L510" i="17"/>
  <c r="L511" i="17"/>
  <c r="L581" i="17"/>
  <c r="L629" i="17"/>
  <c r="L630" i="17"/>
  <c r="L631" i="17"/>
  <c r="L701" i="17"/>
  <c r="L731" i="17"/>
  <c r="L62" i="17"/>
  <c r="L63" i="17"/>
  <c r="L64" i="17"/>
  <c r="L65" i="17"/>
  <c r="L66" i="17"/>
  <c r="L67" i="17"/>
  <c r="L212" i="17"/>
  <c r="L213" i="17"/>
  <c r="L214" i="17"/>
  <c r="L282" i="17"/>
  <c r="L312" i="17"/>
  <c r="L342" i="17"/>
  <c r="L392" i="17"/>
  <c r="L393" i="17"/>
  <c r="L394" i="17"/>
  <c r="L462" i="17"/>
  <c r="L512" i="17"/>
  <c r="L513" i="17"/>
  <c r="L514" i="17"/>
  <c r="L582" i="17"/>
  <c r="L632" i="17"/>
  <c r="L633" i="17"/>
  <c r="L634" i="17"/>
  <c r="L702" i="17"/>
  <c r="L732" i="17"/>
  <c r="L68" i="17"/>
  <c r="L69" i="17"/>
  <c r="L70" i="17"/>
  <c r="L71" i="17"/>
  <c r="L72" i="17"/>
  <c r="L73" i="17"/>
  <c r="L215" i="17"/>
  <c r="L216" i="17"/>
  <c r="L217" i="17"/>
  <c r="L283" i="17"/>
  <c r="L313" i="17"/>
  <c r="L343" i="17"/>
  <c r="L395" i="17"/>
  <c r="L396" i="17"/>
  <c r="L397" i="17"/>
  <c r="L463" i="17"/>
  <c r="L515" i="17"/>
  <c r="L516" i="17"/>
  <c r="L517" i="17"/>
  <c r="L583" i="17"/>
  <c r="L635" i="17"/>
  <c r="L636" i="17"/>
  <c r="L637" i="17"/>
  <c r="L703" i="17"/>
  <c r="L733" i="17"/>
  <c r="L74" i="17"/>
  <c r="L75" i="17"/>
  <c r="L76" i="17"/>
  <c r="L77" i="17"/>
  <c r="L78" i="17"/>
  <c r="L79" i="17"/>
  <c r="L218" i="17"/>
  <c r="L219" i="17"/>
  <c r="L220" i="17"/>
  <c r="L284" i="17"/>
  <c r="L314" i="17"/>
  <c r="L344" i="17"/>
  <c r="L398" i="17"/>
  <c r="L399" i="17"/>
  <c r="L400" i="17"/>
  <c r="L464" i="17"/>
  <c r="L518" i="17"/>
  <c r="L519" i="17"/>
  <c r="L520" i="17"/>
  <c r="L584" i="17"/>
  <c r="L638" i="17"/>
  <c r="L639" i="17"/>
  <c r="L640" i="17"/>
  <c r="L704" i="17"/>
  <c r="L734" i="17"/>
  <c r="L80" i="17"/>
  <c r="L81" i="17"/>
  <c r="L82" i="17"/>
  <c r="N183" i="17" s="1" a="1"/>
  <c r="N183" i="17" s="1"/>
  <c r="L83" i="17"/>
  <c r="L84" i="17"/>
  <c r="L85" i="17"/>
  <c r="L221" i="17"/>
  <c r="L222" i="17"/>
  <c r="L223" i="17"/>
  <c r="L285" i="17"/>
  <c r="L315" i="17"/>
  <c r="L345" i="17"/>
  <c r="L401" i="17"/>
  <c r="L402" i="17"/>
  <c r="L403" i="17"/>
  <c r="L465" i="17"/>
  <c r="L521" i="17"/>
  <c r="L522" i="17"/>
  <c r="L523" i="17"/>
  <c r="L585" i="17"/>
  <c r="L641" i="17"/>
  <c r="L642" i="17"/>
  <c r="L643" i="17"/>
  <c r="L705" i="17"/>
  <c r="L735" i="17"/>
  <c r="L86" i="17"/>
  <c r="L87" i="17"/>
  <c r="L88" i="17"/>
  <c r="L89" i="17"/>
  <c r="L90" i="17"/>
  <c r="L91" i="17"/>
  <c r="L224" i="17"/>
  <c r="L225" i="17"/>
  <c r="L226" i="17"/>
  <c r="L286" i="17"/>
  <c r="L316" i="17"/>
  <c r="L346" i="17"/>
  <c r="L404" i="17"/>
  <c r="L405" i="17"/>
  <c r="L406" i="17"/>
  <c r="L466" i="17"/>
  <c r="L524" i="17"/>
  <c r="L525" i="17"/>
  <c r="L526" i="17"/>
  <c r="L586" i="17"/>
  <c r="L644" i="17"/>
  <c r="L645" i="17"/>
  <c r="L646" i="17"/>
  <c r="L706" i="17"/>
  <c r="L736" i="17"/>
  <c r="L92" i="17"/>
  <c r="L93" i="17"/>
  <c r="L94" i="17"/>
  <c r="L95" i="17"/>
  <c r="L96" i="17"/>
  <c r="L97" i="17"/>
  <c r="L227" i="17"/>
  <c r="L228" i="17"/>
  <c r="L229" i="17"/>
  <c r="L287" i="17"/>
  <c r="L317" i="17"/>
  <c r="L347" i="17"/>
  <c r="L407" i="17"/>
  <c r="L408" i="17"/>
  <c r="L409" i="17"/>
  <c r="L467" i="17"/>
  <c r="L527" i="17"/>
  <c r="L528" i="17"/>
  <c r="L529" i="17"/>
  <c r="L587" i="17"/>
  <c r="L647" i="17"/>
  <c r="L648" i="17"/>
  <c r="L649" i="17"/>
  <c r="L707" i="17"/>
  <c r="L737" i="17"/>
  <c r="L98" i="17"/>
  <c r="L99" i="17"/>
  <c r="L100" i="17"/>
  <c r="L101" i="17"/>
  <c r="L102" i="17"/>
  <c r="L103" i="17"/>
  <c r="L230" i="17"/>
  <c r="L231" i="17"/>
  <c r="L232" i="17"/>
  <c r="L288" i="17"/>
  <c r="L318" i="17"/>
  <c r="L348" i="17"/>
  <c r="L410" i="17"/>
  <c r="L411" i="17"/>
  <c r="L412" i="17"/>
  <c r="L468" i="17"/>
  <c r="L530" i="17"/>
  <c r="L531" i="17"/>
  <c r="L532" i="17"/>
  <c r="L588" i="17"/>
  <c r="L650" i="17"/>
  <c r="L651" i="17"/>
  <c r="L652" i="17"/>
  <c r="L708" i="17"/>
  <c r="L738" i="17"/>
  <c r="L104" i="17"/>
  <c r="L105" i="17"/>
  <c r="L106" i="17"/>
  <c r="N332" i="17" s="1" a="1"/>
  <c r="N332" i="17" s="1"/>
  <c r="L107" i="17"/>
  <c r="L108" i="17"/>
  <c r="L109" i="17"/>
  <c r="L233" i="17"/>
  <c r="L234" i="17"/>
  <c r="L235" i="17"/>
  <c r="L289" i="17"/>
  <c r="L319" i="17"/>
  <c r="L349" i="17"/>
  <c r="L413" i="17"/>
  <c r="L414" i="17"/>
  <c r="L415" i="17"/>
  <c r="L469" i="17"/>
  <c r="L533" i="17"/>
  <c r="L534" i="17"/>
  <c r="L535" i="17"/>
  <c r="L589" i="17"/>
  <c r="L653" i="17"/>
  <c r="L654" i="17"/>
  <c r="L655" i="17"/>
  <c r="L709" i="17"/>
  <c r="L739" i="17"/>
  <c r="L110" i="17"/>
  <c r="L111" i="17"/>
  <c r="N362" i="17" s="1" a="1"/>
  <c r="N362" i="17" s="1"/>
  <c r="L112" i="17"/>
  <c r="L113" i="17"/>
  <c r="L114" i="17"/>
  <c r="L115" i="17"/>
  <c r="L236" i="17"/>
  <c r="L237" i="17"/>
  <c r="L238" i="17"/>
  <c r="L290" i="17"/>
  <c r="L320" i="17"/>
  <c r="L350" i="17"/>
  <c r="L416" i="17"/>
  <c r="L417" i="17"/>
  <c r="L418" i="17"/>
  <c r="L470" i="17"/>
  <c r="L536" i="17"/>
  <c r="L537" i="17"/>
  <c r="L538" i="17"/>
  <c r="L590" i="17"/>
  <c r="L656" i="17"/>
  <c r="L657" i="17"/>
  <c r="L658" i="17"/>
  <c r="L710" i="17"/>
  <c r="L740" i="17"/>
  <c r="L116" i="17"/>
  <c r="L117" i="17"/>
  <c r="L118" i="17"/>
  <c r="L119" i="17"/>
  <c r="L120" i="17"/>
  <c r="L121" i="17"/>
  <c r="L239" i="17"/>
  <c r="L240" i="17"/>
  <c r="L241" i="17"/>
  <c r="L291" i="17"/>
  <c r="L321" i="17"/>
  <c r="L351" i="17"/>
  <c r="L419" i="17"/>
  <c r="L420" i="17"/>
  <c r="L421" i="17"/>
  <c r="L471" i="17"/>
  <c r="L539" i="17"/>
  <c r="L540" i="17"/>
  <c r="L541" i="17"/>
  <c r="L591" i="17"/>
  <c r="L659" i="17"/>
  <c r="L660" i="17"/>
  <c r="L661" i="17"/>
  <c r="L711" i="17"/>
  <c r="L741" i="17"/>
  <c r="L122" i="17"/>
  <c r="L123" i="17"/>
  <c r="L124" i="17"/>
  <c r="L125" i="17"/>
  <c r="L126" i="17"/>
  <c r="L127" i="17"/>
  <c r="L242" i="17"/>
  <c r="L243" i="17"/>
  <c r="L244" i="17"/>
  <c r="L292" i="17"/>
  <c r="L322" i="17"/>
  <c r="L352" i="17"/>
  <c r="L422" i="17"/>
  <c r="L423" i="17"/>
  <c r="L424" i="17"/>
  <c r="L472" i="17"/>
  <c r="L542" i="17"/>
  <c r="L543" i="17"/>
  <c r="L544" i="17"/>
  <c r="L592" i="17"/>
  <c r="L662" i="17"/>
  <c r="L663" i="17"/>
  <c r="L664" i="17"/>
  <c r="L712" i="17"/>
  <c r="L742" i="17"/>
  <c r="L128" i="17"/>
  <c r="L129" i="17"/>
  <c r="L130" i="17"/>
  <c r="L131" i="17"/>
  <c r="L132" i="17"/>
  <c r="L133" i="17"/>
  <c r="L245" i="17"/>
  <c r="L246" i="17"/>
  <c r="L247" i="17"/>
  <c r="L293" i="17"/>
  <c r="L323" i="17"/>
  <c r="L353" i="17"/>
  <c r="L425" i="17"/>
  <c r="L426" i="17"/>
  <c r="L427" i="17"/>
  <c r="L473" i="17"/>
  <c r="L545" i="17"/>
  <c r="L546" i="17"/>
  <c r="L547" i="17"/>
  <c r="L593" i="17"/>
  <c r="L665" i="17"/>
  <c r="L666" i="17"/>
  <c r="L667" i="17"/>
  <c r="L713" i="17"/>
  <c r="L743" i="17"/>
  <c r="L134" i="17"/>
  <c r="L135" i="17"/>
  <c r="L136" i="17"/>
  <c r="L137" i="17"/>
  <c r="L138" i="17"/>
  <c r="L139" i="17"/>
  <c r="L248" i="17"/>
  <c r="L249" i="17"/>
  <c r="L250" i="17"/>
  <c r="L294" i="17"/>
  <c r="L324" i="17"/>
  <c r="L354" i="17"/>
  <c r="L428" i="17"/>
  <c r="L429" i="17"/>
  <c r="L430" i="17"/>
  <c r="L474" i="17"/>
  <c r="L548" i="17"/>
  <c r="L549" i="17"/>
  <c r="L550" i="17"/>
  <c r="L594" i="17"/>
  <c r="L668" i="17"/>
  <c r="L669" i="17"/>
  <c r="L670" i="17"/>
  <c r="L714" i="17"/>
  <c r="L744" i="17"/>
  <c r="L140" i="17"/>
  <c r="L141" i="17"/>
  <c r="L142" i="17"/>
  <c r="L143" i="17"/>
  <c r="L144" i="17"/>
  <c r="L145" i="17"/>
  <c r="L251" i="17"/>
  <c r="L252" i="17"/>
  <c r="L253" i="17"/>
  <c r="L295" i="17"/>
  <c r="L325" i="17"/>
  <c r="L355" i="17"/>
  <c r="L431" i="17"/>
  <c r="L432" i="17"/>
  <c r="L433" i="17"/>
  <c r="L475" i="17"/>
  <c r="L551" i="17"/>
  <c r="L552" i="17"/>
  <c r="L553" i="17"/>
  <c r="L595" i="17"/>
  <c r="L671" i="17"/>
  <c r="L672" i="17"/>
  <c r="L673" i="17"/>
  <c r="L715" i="17"/>
  <c r="L745" i="17"/>
  <c r="L146" i="17"/>
  <c r="L147" i="17"/>
  <c r="L148" i="17"/>
  <c r="L149" i="17"/>
  <c r="L150" i="17"/>
  <c r="L151" i="17"/>
  <c r="L254" i="17"/>
  <c r="L255" i="17"/>
  <c r="L256" i="17"/>
  <c r="L296" i="17"/>
  <c r="L326" i="17"/>
  <c r="L356" i="17"/>
  <c r="L434" i="17"/>
  <c r="L435" i="17"/>
  <c r="L436" i="17"/>
  <c r="L476" i="17"/>
  <c r="L554" i="17"/>
  <c r="L555" i="17"/>
  <c r="L556" i="17"/>
  <c r="L596" i="17"/>
  <c r="L674" i="17"/>
  <c r="L675" i="17"/>
  <c r="L676" i="17"/>
  <c r="L716" i="17"/>
  <c r="L746" i="17"/>
  <c r="L152" i="17"/>
  <c r="L153" i="17"/>
  <c r="L154" i="17"/>
  <c r="L155" i="17"/>
  <c r="L156" i="17"/>
  <c r="L157" i="17"/>
  <c r="L257" i="17"/>
  <c r="L258" i="17"/>
  <c r="L259" i="17"/>
  <c r="L297" i="17"/>
  <c r="L327" i="17"/>
  <c r="L357" i="17"/>
  <c r="L437" i="17"/>
  <c r="L438" i="17"/>
  <c r="L439" i="17"/>
  <c r="L477" i="17"/>
  <c r="L557" i="17"/>
  <c r="L558" i="17"/>
  <c r="L559" i="17"/>
  <c r="L597" i="17"/>
  <c r="L677" i="17"/>
  <c r="L678" i="17"/>
  <c r="L679" i="17"/>
  <c r="L717" i="17"/>
  <c r="L747" i="17"/>
  <c r="L158" i="17"/>
  <c r="L159" i="17"/>
  <c r="L160" i="17"/>
  <c r="L161" i="17"/>
  <c r="L162" i="17"/>
  <c r="L163" i="17"/>
  <c r="L260" i="17"/>
  <c r="L261" i="17"/>
  <c r="L262" i="17"/>
  <c r="L298" i="17"/>
  <c r="L328" i="17"/>
  <c r="L358" i="17"/>
  <c r="L440" i="17"/>
  <c r="L441" i="17"/>
  <c r="L442" i="17"/>
  <c r="L478" i="17"/>
  <c r="L560" i="17"/>
  <c r="L561" i="17"/>
  <c r="L562" i="17"/>
  <c r="L598" i="17"/>
  <c r="L680" i="17"/>
  <c r="L681" i="17"/>
  <c r="L682" i="17"/>
  <c r="L718" i="17"/>
  <c r="L748" i="17"/>
  <c r="L164" i="17"/>
  <c r="L165" i="17"/>
  <c r="L166" i="17"/>
  <c r="L167" i="17"/>
  <c r="L168" i="17"/>
  <c r="L169" i="17"/>
  <c r="L263" i="17"/>
  <c r="L264" i="17"/>
  <c r="L265" i="17"/>
  <c r="L299" i="17"/>
  <c r="L329" i="17"/>
  <c r="L359" i="17"/>
  <c r="L443" i="17"/>
  <c r="L444" i="17"/>
  <c r="L445" i="17"/>
  <c r="L479" i="17"/>
  <c r="L563" i="17"/>
  <c r="L564" i="17"/>
  <c r="L565" i="17"/>
  <c r="L599" i="17"/>
  <c r="L683" i="17"/>
  <c r="L684" i="17"/>
  <c r="L685" i="17"/>
  <c r="L719" i="17"/>
  <c r="L749" i="17"/>
  <c r="L170" i="17"/>
  <c r="L171" i="17"/>
  <c r="L172" i="17"/>
  <c r="L173" i="17"/>
  <c r="L174" i="17"/>
  <c r="L175" i="17"/>
  <c r="L266" i="17"/>
  <c r="L267" i="17"/>
  <c r="L268" i="17"/>
  <c r="L300" i="17"/>
  <c r="L330" i="17"/>
  <c r="L360" i="17"/>
  <c r="L446" i="17"/>
  <c r="L447" i="17"/>
  <c r="L448" i="17"/>
  <c r="L480" i="17"/>
  <c r="L566" i="17"/>
  <c r="L567" i="17"/>
  <c r="L568" i="17"/>
  <c r="L600" i="17"/>
  <c r="L686" i="17"/>
  <c r="L687" i="17"/>
  <c r="L688" i="17"/>
  <c r="L720" i="17"/>
  <c r="L750" i="17"/>
  <c r="L176" i="17"/>
  <c r="L177" i="17"/>
  <c r="L178" i="17"/>
  <c r="L179" i="17"/>
  <c r="L180" i="17"/>
  <c r="L181" i="17"/>
  <c r="L269" i="17"/>
  <c r="L270" i="17"/>
  <c r="L271" i="17"/>
  <c r="L301" i="17"/>
  <c r="L331" i="17"/>
  <c r="L361" i="17"/>
  <c r="L449" i="17"/>
  <c r="L450" i="17"/>
  <c r="L451" i="17"/>
  <c r="L481" i="17"/>
  <c r="L569" i="17"/>
  <c r="L570" i="17"/>
  <c r="L571" i="17"/>
  <c r="L601" i="17"/>
  <c r="L689" i="17"/>
  <c r="L690" i="17"/>
  <c r="L691" i="17"/>
  <c r="L721" i="17"/>
  <c r="L75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182" i="17" a="1"/>
  <c r="M182" i="17" s="1"/>
  <c r="M183" i="17" a="1"/>
  <c r="M183" i="17" s="1"/>
  <c r="M184" i="17" a="1"/>
  <c r="M184" i="17" s="1"/>
  <c r="M272" i="17" a="1"/>
  <c r="M272" i="17" s="1"/>
  <c r="M302" i="17" a="1"/>
  <c r="M302" i="17" s="1"/>
  <c r="M332" i="17" a="1"/>
  <c r="M332" i="17" s="1"/>
  <c r="M362" i="17" a="1"/>
  <c r="M362" i="17" s="1"/>
  <c r="M363" i="17" a="1"/>
  <c r="M363" i="17" s="1"/>
  <c r="M364" i="17" a="1"/>
  <c r="M364" i="17" s="1"/>
  <c r="M452" i="17" a="1"/>
  <c r="M452" i="17" s="1"/>
  <c r="M482" i="17" a="1"/>
  <c r="M482" i="17" s="1"/>
  <c r="M483" i="17" a="1"/>
  <c r="M483" i="17" s="1"/>
  <c r="M484" i="17" a="1"/>
  <c r="M484" i="17" s="1"/>
  <c r="M572" i="17" a="1"/>
  <c r="M572" i="17" s="1"/>
  <c r="M602" i="17" a="1"/>
  <c r="M602" i="17" s="1"/>
  <c r="M603" i="17" a="1"/>
  <c r="M603" i="17" s="1"/>
  <c r="M604" i="17" a="1"/>
  <c r="M604" i="17" s="1"/>
  <c r="M692" i="17" a="1"/>
  <c r="M692" i="17" s="1"/>
  <c r="M722" i="17" a="1"/>
  <c r="M72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5" i="17" a="1"/>
  <c r="M185" i="17" s="1"/>
  <c r="M186" i="17" a="1"/>
  <c r="M186" i="17" s="1"/>
  <c r="M187" i="17" a="1"/>
  <c r="M187" i="17" s="1"/>
  <c r="M273" i="17" a="1"/>
  <c r="M273" i="17" s="1"/>
  <c r="M303" i="17" a="1"/>
  <c r="M303" i="17" s="1"/>
  <c r="M333" i="17" a="1"/>
  <c r="M333" i="17" s="1"/>
  <c r="M365" i="17" a="1"/>
  <c r="M365" i="17" s="1"/>
  <c r="M366" i="17" a="1"/>
  <c r="M366" i="17" s="1"/>
  <c r="M367" i="17" a="1"/>
  <c r="M367" i="17" s="1"/>
  <c r="M453" i="17" a="1"/>
  <c r="M453" i="17" s="1"/>
  <c r="M485" i="17" a="1"/>
  <c r="M485" i="17" s="1"/>
  <c r="M486" i="17" a="1"/>
  <c r="M486" i="17" s="1"/>
  <c r="M487" i="17" a="1"/>
  <c r="M487" i="17" s="1"/>
  <c r="M573" i="17" a="1"/>
  <c r="M573" i="17" s="1"/>
  <c r="M605" i="17" a="1"/>
  <c r="M605" i="17" s="1"/>
  <c r="M606" i="17" a="1"/>
  <c r="M606" i="17" s="1"/>
  <c r="M607" i="17" a="1"/>
  <c r="M607" i="17" s="1"/>
  <c r="M693" i="17" a="1"/>
  <c r="M693" i="17" s="1"/>
  <c r="M723" i="17" a="1"/>
  <c r="M72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188" i="17" a="1"/>
  <c r="M188" i="17" s="1"/>
  <c r="M189" i="17" a="1"/>
  <c r="M189" i="17" s="1"/>
  <c r="M190" i="17" a="1"/>
  <c r="M190" i="17" s="1"/>
  <c r="M274" i="17" a="1"/>
  <c r="M274" i="17" s="1"/>
  <c r="M304" i="17" a="1"/>
  <c r="M304" i="17" s="1"/>
  <c r="M334" i="17" a="1"/>
  <c r="M334" i="17" s="1"/>
  <c r="M368" i="17" a="1"/>
  <c r="M368" i="17" s="1"/>
  <c r="M369" i="17" a="1"/>
  <c r="M369" i="17" s="1"/>
  <c r="M370" i="17" a="1"/>
  <c r="M370" i="17" s="1"/>
  <c r="M454" i="17" a="1"/>
  <c r="M454" i="17" s="1"/>
  <c r="M488" i="17" a="1"/>
  <c r="M488" i="17" s="1"/>
  <c r="M489" i="17" a="1"/>
  <c r="M489" i="17" s="1"/>
  <c r="M490" i="17" a="1"/>
  <c r="M490" i="17" s="1"/>
  <c r="M574" i="17" a="1"/>
  <c r="M574" i="17" s="1"/>
  <c r="M608" i="17" a="1"/>
  <c r="M608" i="17" s="1"/>
  <c r="M609" i="17" a="1"/>
  <c r="M609" i="17" s="1"/>
  <c r="M610" i="17" a="1"/>
  <c r="M610" i="17" s="1"/>
  <c r="M694" i="17" a="1"/>
  <c r="M694" i="17" s="1"/>
  <c r="M724" i="17" a="1"/>
  <c r="M72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191" i="17" a="1"/>
  <c r="M191" i="17" s="1"/>
  <c r="M192" i="17" a="1"/>
  <c r="M192" i="17" s="1"/>
  <c r="M193" i="17" a="1"/>
  <c r="M193" i="17" s="1"/>
  <c r="M275" i="17" a="1"/>
  <c r="M275" i="17" s="1"/>
  <c r="M305" i="17" a="1"/>
  <c r="M305" i="17" s="1"/>
  <c r="M335" i="17" a="1"/>
  <c r="M335" i="17" s="1"/>
  <c r="M371" i="17" a="1"/>
  <c r="M371" i="17" s="1"/>
  <c r="M372" i="17" a="1"/>
  <c r="M372" i="17" s="1"/>
  <c r="M373" i="17" a="1"/>
  <c r="M373" i="17" s="1"/>
  <c r="M455" i="17" a="1"/>
  <c r="M455" i="17" s="1"/>
  <c r="M491" i="17" a="1"/>
  <c r="M491" i="17" s="1"/>
  <c r="M492" i="17" a="1"/>
  <c r="M492" i="17" s="1"/>
  <c r="M493" i="17" a="1"/>
  <c r="M493" i="17" s="1"/>
  <c r="M575" i="17" a="1"/>
  <c r="M575" i="17" s="1"/>
  <c r="M611" i="17" a="1"/>
  <c r="M611" i="17" s="1"/>
  <c r="M612" i="17" a="1"/>
  <c r="M612" i="17" s="1"/>
  <c r="M613" i="17" a="1"/>
  <c r="M613" i="17" s="1"/>
  <c r="M695" i="17" a="1"/>
  <c r="M695" i="17" s="1"/>
  <c r="M725" i="17" a="1"/>
  <c r="M7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194" i="17" a="1"/>
  <c r="M194" i="17" s="1"/>
  <c r="M195" i="17" a="1"/>
  <c r="M195" i="17" s="1"/>
  <c r="M196" i="17" a="1"/>
  <c r="M196" i="17" s="1"/>
  <c r="M276" i="17" a="1"/>
  <c r="M276" i="17" s="1"/>
  <c r="M306" i="17" a="1"/>
  <c r="M306" i="17" s="1"/>
  <c r="M336" i="17" a="1"/>
  <c r="M336" i="17" s="1"/>
  <c r="M374" i="17" a="1"/>
  <c r="M374" i="17" s="1"/>
  <c r="M375" i="17" a="1"/>
  <c r="M375" i="17" s="1"/>
  <c r="M376" i="17" a="1"/>
  <c r="M376" i="17" s="1"/>
  <c r="M456" i="17" a="1"/>
  <c r="M456" i="17" s="1"/>
  <c r="M494" i="17" a="1"/>
  <c r="M494" i="17" s="1"/>
  <c r="M495" i="17" a="1"/>
  <c r="M495" i="17"/>
  <c r="M496" i="17" a="1"/>
  <c r="M496" i="17" s="1"/>
  <c r="M576" i="17" a="1"/>
  <c r="M576" i="17" s="1"/>
  <c r="M614" i="17" a="1"/>
  <c r="M614" i="17" s="1"/>
  <c r="M615" i="17" a="1"/>
  <c r="M615" i="17" s="1"/>
  <c r="M616" i="17" a="1"/>
  <c r="M616" i="17" s="1"/>
  <c r="M696" i="17" a="1"/>
  <c r="M696" i="17" s="1"/>
  <c r="M726" i="17" a="1"/>
  <c r="M72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97" i="17" a="1"/>
  <c r="M197" i="17" s="1"/>
  <c r="M198" i="17" a="1"/>
  <c r="M198" i="17" s="1"/>
  <c r="M199" i="17" a="1"/>
  <c r="M199" i="17" s="1"/>
  <c r="M277" i="17" a="1"/>
  <c r="M277" i="17" s="1"/>
  <c r="M307" i="17" a="1"/>
  <c r="M307" i="17" s="1"/>
  <c r="M337" i="17" a="1"/>
  <c r="M337" i="17" s="1"/>
  <c r="M377" i="17" a="1"/>
  <c r="M377" i="17" s="1"/>
  <c r="M378" i="17" a="1"/>
  <c r="M378" i="17" s="1"/>
  <c r="M379" i="17" a="1"/>
  <c r="M379" i="17" s="1"/>
  <c r="M457" i="17" a="1"/>
  <c r="M457" i="17" s="1"/>
  <c r="M497" i="17" a="1"/>
  <c r="M497" i="17" s="1"/>
  <c r="M498" i="17" a="1"/>
  <c r="M498" i="17" s="1"/>
  <c r="M499" i="17" a="1"/>
  <c r="M499" i="17" s="1"/>
  <c r="M577" i="17" a="1"/>
  <c r="M577" i="17" s="1"/>
  <c r="M617" i="17" a="1"/>
  <c r="M617" i="17" s="1"/>
  <c r="M618" i="17" a="1"/>
  <c r="M618" i="17" s="1"/>
  <c r="M619" i="17" a="1"/>
  <c r="M619" i="17" s="1"/>
  <c r="M697" i="17" a="1"/>
  <c r="M697" i="17" s="1"/>
  <c r="M727" i="17" a="1"/>
  <c r="M727" i="17" s="1"/>
  <c r="M38" i="17" a="1"/>
  <c r="M38" i="17" s="1"/>
  <c r="M39" i="17" a="1"/>
  <c r="M39" i="17"/>
  <c r="M40" i="17" a="1"/>
  <c r="M40" i="17" s="1"/>
  <c r="M41" i="17" a="1"/>
  <c r="M41" i="17" s="1"/>
  <c r="M42" i="17" a="1"/>
  <c r="M42" i="17" s="1"/>
  <c r="M43" i="17" a="1"/>
  <c r="M43" i="17" s="1"/>
  <c r="M200" i="17" a="1"/>
  <c r="M200" i="17" s="1"/>
  <c r="M201" i="17" a="1"/>
  <c r="M201" i="17" s="1"/>
  <c r="M202" i="17" a="1"/>
  <c r="M202" i="17" s="1"/>
  <c r="M278" i="17" a="1"/>
  <c r="M278" i="17" s="1"/>
  <c r="M308" i="17" a="1"/>
  <c r="M308" i="17" s="1"/>
  <c r="M338" i="17" a="1"/>
  <c r="M338" i="17" s="1"/>
  <c r="M380" i="17" a="1"/>
  <c r="M380" i="17" s="1"/>
  <c r="M381" i="17" a="1"/>
  <c r="M381" i="17" s="1"/>
  <c r="M382" i="17" a="1"/>
  <c r="M382" i="17" s="1"/>
  <c r="M458" i="17" a="1"/>
  <c r="M458" i="17" s="1"/>
  <c r="M500" i="17" a="1"/>
  <c r="M500" i="17" s="1"/>
  <c r="M501" i="17" a="1"/>
  <c r="M501" i="17" s="1"/>
  <c r="M502" i="17" a="1"/>
  <c r="M502" i="17" s="1"/>
  <c r="M578" i="17" a="1"/>
  <c r="M578" i="17" s="1"/>
  <c r="M620" i="17" a="1"/>
  <c r="M620" i="17" s="1"/>
  <c r="M621" i="17" a="1"/>
  <c r="M621" i="17" s="1"/>
  <c r="M622" i="17" a="1"/>
  <c r="M622" i="17" s="1"/>
  <c r="M698" i="17" a="1"/>
  <c r="M698" i="17" s="1"/>
  <c r="M728" i="17" a="1"/>
  <c r="M72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203" i="17" a="1"/>
  <c r="M203" i="17" s="1"/>
  <c r="M204" i="17" a="1"/>
  <c r="M204" i="17" s="1"/>
  <c r="M205" i="17" a="1"/>
  <c r="M205" i="17" s="1"/>
  <c r="M279" i="17" a="1"/>
  <c r="M279" i="17" s="1"/>
  <c r="M309" i="17" a="1"/>
  <c r="M309" i="17" s="1"/>
  <c r="M339" i="17" a="1"/>
  <c r="M339" i="17" s="1"/>
  <c r="M383" i="17" a="1"/>
  <c r="M383" i="17" s="1"/>
  <c r="M384" i="17" a="1"/>
  <c r="M384" i="17" s="1"/>
  <c r="M385" i="17" a="1"/>
  <c r="M385" i="17" s="1"/>
  <c r="M459" i="17" a="1"/>
  <c r="M459" i="17" s="1"/>
  <c r="M503" i="17" a="1"/>
  <c r="M503" i="17" s="1"/>
  <c r="M504" i="17" a="1"/>
  <c r="M504" i="17" s="1"/>
  <c r="M505" i="17" a="1"/>
  <c r="M505" i="17" s="1"/>
  <c r="M579" i="17" a="1"/>
  <c r="M579" i="17" s="1"/>
  <c r="M623" i="17" a="1"/>
  <c r="M623" i="17" s="1"/>
  <c r="M624" i="17" a="1"/>
  <c r="M624" i="17" s="1"/>
  <c r="M625" i="17" a="1"/>
  <c r="M625" i="17" s="1"/>
  <c r="M699" i="17" a="1"/>
  <c r="M699" i="17" s="1"/>
  <c r="M729" i="17" a="1"/>
  <c r="M72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206" i="17" a="1"/>
  <c r="M206" i="17" s="1"/>
  <c r="M207" i="17" a="1"/>
  <c r="M207" i="17" s="1"/>
  <c r="M208" i="17" a="1"/>
  <c r="M208" i="17" s="1"/>
  <c r="M280" i="17" a="1"/>
  <c r="M280" i="17" s="1"/>
  <c r="M310" i="17" a="1"/>
  <c r="M310" i="17" s="1"/>
  <c r="M340" i="17" a="1"/>
  <c r="M340" i="17" s="1"/>
  <c r="M386" i="17" a="1"/>
  <c r="M386" i="17" s="1"/>
  <c r="M387" i="17" a="1"/>
  <c r="M387" i="17" s="1"/>
  <c r="M388" i="17" a="1"/>
  <c r="M388" i="17" s="1"/>
  <c r="M460" i="17" a="1"/>
  <c r="M460" i="17" s="1"/>
  <c r="M506" i="17" a="1"/>
  <c r="M506" i="17" s="1"/>
  <c r="M507" i="17" a="1"/>
  <c r="M507" i="17" s="1"/>
  <c r="M508" i="17" a="1"/>
  <c r="M508" i="17" s="1"/>
  <c r="M580" i="17" a="1"/>
  <c r="M580" i="17" s="1"/>
  <c r="M626" i="17" a="1"/>
  <c r="M626" i="17" s="1"/>
  <c r="M627" i="17" a="1"/>
  <c r="M627" i="17" s="1"/>
  <c r="M628" i="17" a="1"/>
  <c r="M628" i="17" s="1"/>
  <c r="M700" i="17" a="1"/>
  <c r="M700" i="17" s="1"/>
  <c r="M730" i="17" a="1"/>
  <c r="M73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209" i="17" a="1"/>
  <c r="M209" i="17" s="1"/>
  <c r="M210" i="17" a="1"/>
  <c r="M210" i="17" s="1"/>
  <c r="M211" i="17" a="1"/>
  <c r="M211" i="17" s="1"/>
  <c r="M281" i="17" a="1"/>
  <c r="M281" i="17" s="1"/>
  <c r="M311" i="17" a="1"/>
  <c r="M311" i="17" s="1"/>
  <c r="M341" i="17" a="1"/>
  <c r="M341" i="17" s="1"/>
  <c r="M389" i="17" a="1"/>
  <c r="M389" i="17" s="1"/>
  <c r="M390" i="17" a="1"/>
  <c r="M390" i="17" s="1"/>
  <c r="M391" i="17" a="1"/>
  <c r="M391" i="17" s="1"/>
  <c r="M461" i="17" a="1"/>
  <c r="M461" i="17" s="1"/>
  <c r="M509" i="17" a="1"/>
  <c r="M509" i="17" s="1"/>
  <c r="M510" i="17" a="1"/>
  <c r="M510" i="17" s="1"/>
  <c r="M511" i="17" a="1"/>
  <c r="M511" i="17" s="1"/>
  <c r="M581" i="17" a="1"/>
  <c r="M581" i="17" s="1"/>
  <c r="M629" i="17" a="1"/>
  <c r="M629" i="17" s="1"/>
  <c r="M630" i="17" a="1"/>
  <c r="M630" i="17" s="1"/>
  <c r="M631" i="17" a="1"/>
  <c r="M631" i="17" s="1"/>
  <c r="M701" i="17" a="1"/>
  <c r="M701" i="17" s="1"/>
  <c r="M731" i="17" a="1"/>
  <c r="M731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212" i="17" a="1"/>
  <c r="M212" i="17"/>
  <c r="M213" i="17" a="1"/>
  <c r="M213" i="17" s="1"/>
  <c r="M214" i="17" a="1"/>
  <c r="M214" i="17" s="1"/>
  <c r="M282" i="17" a="1"/>
  <c r="M282" i="17" s="1"/>
  <c r="M312" i="17" a="1"/>
  <c r="M312" i="17" s="1"/>
  <c r="M342" i="17" a="1"/>
  <c r="M342" i="17" s="1"/>
  <c r="M392" i="17" a="1"/>
  <c r="M392" i="17" s="1"/>
  <c r="M393" i="17" a="1"/>
  <c r="M393" i="17" s="1"/>
  <c r="M394" i="17" a="1"/>
  <c r="M394" i="17" s="1"/>
  <c r="M462" i="17" a="1"/>
  <c r="M462" i="17" s="1"/>
  <c r="M512" i="17" a="1"/>
  <c r="M512" i="17" s="1"/>
  <c r="M513" i="17" a="1"/>
  <c r="M513" i="17" s="1"/>
  <c r="M514" i="17" a="1"/>
  <c r="M514" i="17" s="1"/>
  <c r="M582" i="17" a="1"/>
  <c r="M582" i="17" s="1"/>
  <c r="M632" i="17" a="1"/>
  <c r="M632" i="17" s="1"/>
  <c r="M633" i="17" a="1"/>
  <c r="M633" i="17" s="1"/>
  <c r="M634" i="17" a="1"/>
  <c r="M634" i="17"/>
  <c r="M702" i="17" a="1"/>
  <c r="M702" i="17" s="1"/>
  <c r="M732" i="17" a="1"/>
  <c r="M73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215" i="17" a="1"/>
  <c r="M215" i="17" s="1"/>
  <c r="M216" i="17" a="1"/>
  <c r="M216" i="17" s="1"/>
  <c r="M217" i="17" a="1"/>
  <c r="M217" i="17" s="1"/>
  <c r="M283" i="17" a="1"/>
  <c r="M283" i="17" s="1"/>
  <c r="M313" i="17" a="1"/>
  <c r="M313" i="17" s="1"/>
  <c r="M343" i="17" a="1"/>
  <c r="M343" i="17" s="1"/>
  <c r="M395" i="17" a="1"/>
  <c r="M395" i="17" s="1"/>
  <c r="M396" i="17" a="1"/>
  <c r="M396" i="17" s="1"/>
  <c r="M397" i="17" a="1"/>
  <c r="M397" i="17" s="1"/>
  <c r="M463" i="17" a="1"/>
  <c r="M463" i="17" s="1"/>
  <c r="M515" i="17" a="1"/>
  <c r="M515" i="17" s="1"/>
  <c r="M516" i="17" a="1"/>
  <c r="M516" i="17"/>
  <c r="M517" i="17" a="1"/>
  <c r="M517" i="17" s="1"/>
  <c r="M583" i="17" a="1"/>
  <c r="M583" i="17" s="1"/>
  <c r="M635" i="17" a="1"/>
  <c r="M635" i="17" s="1"/>
  <c r="M636" i="17" a="1"/>
  <c r="M636" i="17" s="1"/>
  <c r="M637" i="17" a="1"/>
  <c r="M637" i="17" s="1"/>
  <c r="M703" i="17" a="1"/>
  <c r="M703" i="17" s="1"/>
  <c r="M733" i="17" a="1"/>
  <c r="M733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218" i="17" a="1"/>
  <c r="M218" i="17" s="1"/>
  <c r="M219" i="17" a="1"/>
  <c r="M219" i="17" s="1"/>
  <c r="M220" i="17" a="1"/>
  <c r="M220" i="17" s="1"/>
  <c r="M284" i="17" a="1"/>
  <c r="M284" i="17" s="1"/>
  <c r="M314" i="17" a="1"/>
  <c r="M314" i="17" s="1"/>
  <c r="M344" i="17" a="1"/>
  <c r="M344" i="17" s="1"/>
  <c r="M398" i="17" a="1"/>
  <c r="M398" i="17" s="1"/>
  <c r="M399" i="17" a="1"/>
  <c r="M399" i="17" s="1"/>
  <c r="M400" i="17" a="1"/>
  <c r="M400" i="17" s="1"/>
  <c r="M464" i="17" a="1"/>
  <c r="M464" i="17" s="1"/>
  <c r="M518" i="17" a="1"/>
  <c r="M518" i="17" s="1"/>
  <c r="M519" i="17" a="1"/>
  <c r="M519" i="17" s="1"/>
  <c r="M520" i="17" a="1"/>
  <c r="M520" i="17" s="1"/>
  <c r="M584" i="17" a="1"/>
  <c r="M584" i="17" s="1"/>
  <c r="M638" i="17" a="1"/>
  <c r="M638" i="17" s="1"/>
  <c r="M639" i="17" a="1"/>
  <c r="M639" i="17" s="1"/>
  <c r="M640" i="17" a="1"/>
  <c r="M640" i="17" s="1"/>
  <c r="M704" i="17" a="1"/>
  <c r="M704" i="17" s="1"/>
  <c r="M734" i="17" a="1"/>
  <c r="M73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221" i="17" a="1"/>
  <c r="M221" i="17" s="1"/>
  <c r="M222" i="17" a="1"/>
  <c r="M222" i="17" s="1"/>
  <c r="M223" i="17" a="1"/>
  <c r="M223" i="17" s="1"/>
  <c r="M285" i="17" a="1"/>
  <c r="M285" i="17" s="1"/>
  <c r="M315" i="17" a="1"/>
  <c r="M315" i="17" s="1"/>
  <c r="M345" i="17" a="1"/>
  <c r="M345" i="17" s="1"/>
  <c r="M401" i="17" a="1"/>
  <c r="M401" i="17" s="1"/>
  <c r="M402" i="17" a="1"/>
  <c r="M402" i="17" s="1"/>
  <c r="M403" i="17" a="1"/>
  <c r="M403" i="17" s="1"/>
  <c r="M465" i="17" a="1"/>
  <c r="M465" i="17" s="1"/>
  <c r="M521" i="17" a="1"/>
  <c r="M521" i="17" s="1"/>
  <c r="M522" i="17" a="1"/>
  <c r="M522" i="17" s="1"/>
  <c r="M523" i="17" a="1"/>
  <c r="M523" i="17" s="1"/>
  <c r="M585" i="17" a="1"/>
  <c r="M585" i="17" s="1"/>
  <c r="M641" i="17" a="1"/>
  <c r="M641" i="17" s="1"/>
  <c r="M642" i="17" a="1"/>
  <c r="M642" i="17" s="1"/>
  <c r="M643" i="17" a="1"/>
  <c r="M643" i="17" s="1"/>
  <c r="M705" i="17" a="1"/>
  <c r="M705" i="17" s="1"/>
  <c r="M735" i="17" a="1"/>
  <c r="M735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224" i="17" a="1"/>
  <c r="M224" i="17" s="1"/>
  <c r="M225" i="17" a="1"/>
  <c r="M225" i="17" s="1"/>
  <c r="M226" i="17" a="1"/>
  <c r="M226" i="17" s="1"/>
  <c r="M286" i="17" a="1"/>
  <c r="M286" i="17" s="1"/>
  <c r="M316" i="17" a="1"/>
  <c r="M316" i="17" s="1"/>
  <c r="M346" i="17" a="1"/>
  <c r="M346" i="17" s="1"/>
  <c r="M404" i="17" a="1"/>
  <c r="M404" i="17" s="1"/>
  <c r="M405" i="17" a="1"/>
  <c r="M405" i="17" s="1"/>
  <c r="M406" i="17" a="1"/>
  <c r="M406" i="17" s="1"/>
  <c r="M466" i="17" a="1"/>
  <c r="M466" i="17" s="1"/>
  <c r="M524" i="17" a="1"/>
  <c r="M524" i="17" s="1"/>
  <c r="M525" i="17" a="1"/>
  <c r="M525" i="17" s="1"/>
  <c r="M526" i="17" a="1"/>
  <c r="M526" i="17" s="1"/>
  <c r="M586" i="17" a="1"/>
  <c r="M586" i="17" s="1"/>
  <c r="M644" i="17" a="1"/>
  <c r="M644" i="17" s="1"/>
  <c r="M645" i="17" a="1"/>
  <c r="M645" i="17" s="1"/>
  <c r="M646" i="17" a="1"/>
  <c r="M646" i="17" s="1"/>
  <c r="M706" i="17" a="1"/>
  <c r="M706" i="17" s="1"/>
  <c r="M736" i="17" a="1"/>
  <c r="M73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227" i="17" a="1"/>
  <c r="M227" i="17" s="1"/>
  <c r="M228" i="17" a="1"/>
  <c r="M228" i="17" s="1"/>
  <c r="M229" i="17" a="1"/>
  <c r="M229" i="17" s="1"/>
  <c r="M287" i="17" a="1"/>
  <c r="M287" i="17" s="1"/>
  <c r="M317" i="17" a="1"/>
  <c r="M317" i="17" s="1"/>
  <c r="M347" i="17" a="1"/>
  <c r="M347" i="17" s="1"/>
  <c r="M407" i="17" a="1"/>
  <c r="M407" i="17" s="1"/>
  <c r="M408" i="17" a="1"/>
  <c r="M408" i="17" s="1"/>
  <c r="M409" i="17" a="1"/>
  <c r="M409" i="17" s="1"/>
  <c r="M467" i="17" a="1"/>
  <c r="M467" i="17" s="1"/>
  <c r="M527" i="17" a="1"/>
  <c r="M527" i="17" s="1"/>
  <c r="M528" i="17" a="1"/>
  <c r="M528" i="17" s="1"/>
  <c r="M529" i="17" a="1"/>
  <c r="M529" i="17" s="1"/>
  <c r="M587" i="17" a="1"/>
  <c r="M587" i="17" s="1"/>
  <c r="M647" i="17" a="1"/>
  <c r="M647" i="17" s="1"/>
  <c r="M648" i="17" a="1"/>
  <c r="M648" i="17" s="1"/>
  <c r="M649" i="17" a="1"/>
  <c r="M649" i="17" s="1"/>
  <c r="M707" i="17" a="1"/>
  <c r="M707" i="17" s="1"/>
  <c r="M737" i="17" a="1"/>
  <c r="M73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230" i="17" a="1"/>
  <c r="M230" i="17" s="1"/>
  <c r="M231" i="17" a="1"/>
  <c r="M231" i="17" s="1"/>
  <c r="M232" i="17" a="1"/>
  <c r="M232" i="17" s="1"/>
  <c r="M288" i="17" a="1"/>
  <c r="M288" i="17" s="1"/>
  <c r="M318" i="17" a="1"/>
  <c r="M318" i="17" s="1"/>
  <c r="M348" i="17" a="1"/>
  <c r="M348" i="17" s="1"/>
  <c r="M410" i="17" a="1"/>
  <c r="M410" i="17" s="1"/>
  <c r="M411" i="17" a="1"/>
  <c r="M411" i="17" s="1"/>
  <c r="M412" i="17" a="1"/>
  <c r="M412" i="17" s="1"/>
  <c r="M468" i="17" a="1"/>
  <c r="M468" i="17" s="1"/>
  <c r="M530" i="17" a="1"/>
  <c r="M530" i="17" s="1"/>
  <c r="M531" i="17" a="1"/>
  <c r="M531" i="17" s="1"/>
  <c r="M532" i="17" a="1"/>
  <c r="M532" i="17" s="1"/>
  <c r="M588" i="17" a="1"/>
  <c r="M588" i="17" s="1"/>
  <c r="M650" i="17" a="1"/>
  <c r="M650" i="17" s="1"/>
  <c r="M651" i="17" a="1"/>
  <c r="M651" i="17" s="1"/>
  <c r="M652" i="17" a="1"/>
  <c r="M652" i="17" s="1"/>
  <c r="M708" i="17" a="1"/>
  <c r="M708" i="17" s="1"/>
  <c r="M738" i="17" a="1"/>
  <c r="M738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233" i="17" a="1"/>
  <c r="M233" i="17" s="1"/>
  <c r="M234" i="17" a="1"/>
  <c r="M234" i="17" s="1"/>
  <c r="M235" i="17" a="1"/>
  <c r="M235" i="17" s="1"/>
  <c r="M289" i="17" a="1"/>
  <c r="M289" i="17" s="1"/>
  <c r="M319" i="17" a="1"/>
  <c r="M319" i="17" s="1"/>
  <c r="M349" i="17" a="1"/>
  <c r="M349" i="17" s="1"/>
  <c r="M413" i="17" a="1"/>
  <c r="M413" i="17" s="1"/>
  <c r="M414" i="17" a="1"/>
  <c r="M414" i="17" s="1"/>
  <c r="M415" i="17" a="1"/>
  <c r="M415" i="17" s="1"/>
  <c r="M469" i="17" a="1"/>
  <c r="M469" i="17" s="1"/>
  <c r="M533" i="17" a="1"/>
  <c r="M533" i="17" s="1"/>
  <c r="M534" i="17" a="1"/>
  <c r="M534" i="17" s="1"/>
  <c r="M535" i="17" a="1"/>
  <c r="M535" i="17" s="1"/>
  <c r="M589" i="17" a="1"/>
  <c r="M589" i="17" s="1"/>
  <c r="M653" i="17" a="1"/>
  <c r="M653" i="17" s="1"/>
  <c r="M654" i="17" a="1"/>
  <c r="M654" i="17" s="1"/>
  <c r="M655" i="17" a="1"/>
  <c r="M655" i="17" s="1"/>
  <c r="M709" i="17" a="1"/>
  <c r="M709" i="17" s="1"/>
  <c r="M739" i="17" a="1"/>
  <c r="M739" i="17" s="1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236" i="17" a="1"/>
  <c r="M236" i="17" s="1"/>
  <c r="M237" i="17" a="1"/>
  <c r="M237" i="17" s="1"/>
  <c r="M238" i="17" a="1"/>
  <c r="M238" i="17" s="1"/>
  <c r="M290" i="17" a="1"/>
  <c r="M290" i="17" s="1"/>
  <c r="M320" i="17" a="1"/>
  <c r="M320" i="17" s="1"/>
  <c r="M350" i="17" a="1"/>
  <c r="M350" i="17" s="1"/>
  <c r="M416" i="17" a="1"/>
  <c r="M416" i="17" s="1"/>
  <c r="M417" i="17" a="1"/>
  <c r="M417" i="17" s="1"/>
  <c r="M418" i="17" a="1"/>
  <c r="M418" i="17" s="1"/>
  <c r="M470" i="17" a="1"/>
  <c r="M470" i="17" s="1"/>
  <c r="M536" i="17" a="1"/>
  <c r="M536" i="17" s="1"/>
  <c r="M537" i="17" a="1"/>
  <c r="M537" i="17" s="1"/>
  <c r="M538" i="17" a="1"/>
  <c r="M538" i="17" s="1"/>
  <c r="M590" i="17" a="1"/>
  <c r="M590" i="17" s="1"/>
  <c r="M656" i="17" a="1"/>
  <c r="M656" i="17" s="1"/>
  <c r="M657" i="17" a="1"/>
  <c r="M657" i="17" s="1"/>
  <c r="M658" i="17" a="1"/>
  <c r="M658" i="17" s="1"/>
  <c r="M710" i="17" a="1"/>
  <c r="M710" i="17" s="1"/>
  <c r="M740" i="17" a="1"/>
  <c r="M74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39" i="17" a="1"/>
  <c r="M239" i="17" s="1"/>
  <c r="M240" i="17" a="1"/>
  <c r="M240" i="17"/>
  <c r="M241" i="17" a="1"/>
  <c r="M241" i="17" s="1"/>
  <c r="M291" i="17" a="1"/>
  <c r="M291" i="17" s="1"/>
  <c r="M321" i="17" a="1"/>
  <c r="M321" i="17" s="1"/>
  <c r="M351" i="17" a="1"/>
  <c r="M351" i="17" s="1"/>
  <c r="M419" i="17" a="1"/>
  <c r="M419" i="17" s="1"/>
  <c r="M420" i="17" a="1"/>
  <c r="M420" i="17" s="1"/>
  <c r="M421" i="17" a="1"/>
  <c r="M421" i="17" s="1"/>
  <c r="M471" i="17" a="1"/>
  <c r="M471" i="17" s="1"/>
  <c r="M539" i="17" a="1"/>
  <c r="M539" i="17" s="1"/>
  <c r="M540" i="17" a="1"/>
  <c r="M540" i="17" s="1"/>
  <c r="M541" i="17" a="1"/>
  <c r="M541" i="17" s="1"/>
  <c r="M591" i="17" a="1"/>
  <c r="M591" i="17" s="1"/>
  <c r="M659" i="17" a="1"/>
  <c r="M659" i="17" s="1"/>
  <c r="M660" i="17" a="1"/>
  <c r="M660" i="17" s="1"/>
  <c r="M661" i="17" a="1"/>
  <c r="M661" i="17" s="1"/>
  <c r="M711" i="17" a="1"/>
  <c r="M711" i="17" s="1"/>
  <c r="M741" i="17" a="1"/>
  <c r="M74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242" i="17" a="1"/>
  <c r="M242" i="17" s="1"/>
  <c r="M243" i="17" a="1"/>
  <c r="M243" i="17" s="1"/>
  <c r="M244" i="17" a="1"/>
  <c r="M244" i="17" s="1"/>
  <c r="M292" i="17" a="1"/>
  <c r="M292" i="17" s="1"/>
  <c r="M322" i="17" a="1"/>
  <c r="M322" i="17" s="1"/>
  <c r="M352" i="17" a="1"/>
  <c r="M352" i="17" s="1"/>
  <c r="M422" i="17" a="1"/>
  <c r="M422" i="17" s="1"/>
  <c r="M423" i="17" a="1"/>
  <c r="M423" i="17" s="1"/>
  <c r="M424" i="17" a="1"/>
  <c r="M424" i="17" s="1"/>
  <c r="M472" i="17" a="1"/>
  <c r="M472" i="17" s="1"/>
  <c r="M542" i="17" a="1"/>
  <c r="M542" i="17" s="1"/>
  <c r="M543" i="17" a="1"/>
  <c r="M543" i="17" s="1"/>
  <c r="M544" i="17" a="1"/>
  <c r="M544" i="17" s="1"/>
  <c r="M592" i="17" a="1"/>
  <c r="M592" i="17" s="1"/>
  <c r="M662" i="17" a="1"/>
  <c r="M662" i="17" s="1"/>
  <c r="M663" i="17" a="1"/>
  <c r="M663" i="17" s="1"/>
  <c r="M664" i="17" a="1"/>
  <c r="M664" i="17" s="1"/>
  <c r="M712" i="17" a="1"/>
  <c r="M712" i="17" s="1"/>
  <c r="M742" i="17" a="1"/>
  <c r="M74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45" i="17" a="1"/>
  <c r="M245" i="17" s="1"/>
  <c r="M246" i="17" a="1"/>
  <c r="M246" i="17" s="1"/>
  <c r="M247" i="17" a="1"/>
  <c r="M247" i="17" s="1"/>
  <c r="M293" i="17" a="1"/>
  <c r="M293" i="17" s="1"/>
  <c r="M323" i="17" a="1"/>
  <c r="M323" i="17" s="1"/>
  <c r="M353" i="17" a="1"/>
  <c r="M353" i="17" s="1"/>
  <c r="M425" i="17" a="1"/>
  <c r="M425" i="17" s="1"/>
  <c r="M426" i="17" a="1"/>
  <c r="M426" i="17" s="1"/>
  <c r="M427" i="17" a="1"/>
  <c r="M427" i="17" s="1"/>
  <c r="M473" i="17" a="1"/>
  <c r="M473" i="17" s="1"/>
  <c r="M545" i="17" a="1"/>
  <c r="M545" i="17" s="1"/>
  <c r="M546" i="17" a="1"/>
  <c r="M546" i="17" s="1"/>
  <c r="M547" i="17" a="1"/>
  <c r="M547" i="17" s="1"/>
  <c r="M593" i="17" a="1"/>
  <c r="M593" i="17" s="1"/>
  <c r="M665" i="17" a="1"/>
  <c r="M665" i="17" s="1"/>
  <c r="M666" i="17" a="1"/>
  <c r="M666" i="17" s="1"/>
  <c r="M667" i="17" a="1"/>
  <c r="M667" i="17" s="1"/>
  <c r="M713" i="17" a="1"/>
  <c r="M713" i="17" s="1"/>
  <c r="M743" i="17" a="1"/>
  <c r="M74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48" i="17" a="1"/>
  <c r="M248" i="17" s="1"/>
  <c r="M249" i="17" a="1"/>
  <c r="M249" i="17" s="1"/>
  <c r="M250" i="17" a="1"/>
  <c r="M250" i="17" s="1"/>
  <c r="M294" i="17" a="1"/>
  <c r="M294" i="17" s="1"/>
  <c r="M324" i="17" a="1"/>
  <c r="M324" i="17" s="1"/>
  <c r="M354" i="17" a="1"/>
  <c r="M354" i="17" s="1"/>
  <c r="M428" i="17" a="1"/>
  <c r="M428" i="17" s="1"/>
  <c r="M429" i="17" a="1"/>
  <c r="M429" i="17" s="1"/>
  <c r="M430" i="17" a="1"/>
  <c r="M430" i="17" s="1"/>
  <c r="M474" i="17" a="1"/>
  <c r="M474" i="17" s="1"/>
  <c r="M548" i="17" a="1"/>
  <c r="M548" i="17" s="1"/>
  <c r="M549" i="17" a="1"/>
  <c r="M549" i="17" s="1"/>
  <c r="M550" i="17" a="1"/>
  <c r="M550" i="17" s="1"/>
  <c r="M594" i="17" a="1"/>
  <c r="M594" i="17" s="1"/>
  <c r="M668" i="17" a="1"/>
  <c r="M668" i="17" s="1"/>
  <c r="M669" i="17" a="1"/>
  <c r="M669" i="17" s="1"/>
  <c r="M670" i="17" a="1"/>
  <c r="M670" i="17" s="1"/>
  <c r="M714" i="17" a="1"/>
  <c r="M714" i="17" s="1"/>
  <c r="M744" i="17" a="1"/>
  <c r="M74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251" i="17" a="1"/>
  <c r="M251" i="17" s="1"/>
  <c r="M252" i="17" a="1"/>
  <c r="M252" i="17" s="1"/>
  <c r="M253" i="17" a="1"/>
  <c r="M253" i="17" s="1"/>
  <c r="M295" i="17" a="1"/>
  <c r="M295" i="17" s="1"/>
  <c r="M325" i="17" a="1"/>
  <c r="M325" i="17" s="1"/>
  <c r="M355" i="17" a="1"/>
  <c r="M355" i="17" s="1"/>
  <c r="M431" i="17" a="1"/>
  <c r="M431" i="17" s="1"/>
  <c r="M432" i="17" a="1"/>
  <c r="M432" i="17" s="1"/>
  <c r="M433" i="17" a="1"/>
  <c r="M433" i="17" s="1"/>
  <c r="M475" i="17" a="1"/>
  <c r="M475" i="17" s="1"/>
  <c r="M551" i="17" a="1"/>
  <c r="M551" i="17" s="1"/>
  <c r="M552" i="17" a="1"/>
  <c r="M552" i="17" s="1"/>
  <c r="M553" i="17" a="1"/>
  <c r="M553" i="17" s="1"/>
  <c r="M595" i="17" a="1"/>
  <c r="M595" i="17" s="1"/>
  <c r="M671" i="17" a="1"/>
  <c r="M671" i="17" s="1"/>
  <c r="M672" i="17" a="1"/>
  <c r="M672" i="17" s="1"/>
  <c r="M673" i="17" a="1"/>
  <c r="M673" i="17" s="1"/>
  <c r="M715" i="17" a="1"/>
  <c r="M715" i="17" s="1"/>
  <c r="M745" i="17" a="1"/>
  <c r="M74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54" i="17" a="1"/>
  <c r="M254" i="17" s="1"/>
  <c r="M255" i="17" a="1"/>
  <c r="M255" i="17" s="1"/>
  <c r="M256" i="17" a="1"/>
  <c r="M256" i="17" s="1"/>
  <c r="M296" i="17" a="1"/>
  <c r="M296" i="17" s="1"/>
  <c r="M326" i="17" a="1"/>
  <c r="M326" i="17" s="1"/>
  <c r="M356" i="17" a="1"/>
  <c r="M356" i="17" s="1"/>
  <c r="M434" i="17" a="1"/>
  <c r="M434" i="17" s="1"/>
  <c r="M435" i="17" a="1"/>
  <c r="M435" i="17" s="1"/>
  <c r="M436" i="17" a="1"/>
  <c r="M436" i="17" s="1"/>
  <c r="M476" i="17" a="1"/>
  <c r="M476" i="17" s="1"/>
  <c r="M554" i="17" a="1"/>
  <c r="M554" i="17" s="1"/>
  <c r="M555" i="17" a="1"/>
  <c r="M555" i="17" s="1"/>
  <c r="M556" i="17" a="1"/>
  <c r="M556" i="17" s="1"/>
  <c r="M596" i="17" a="1"/>
  <c r="M596" i="17" s="1"/>
  <c r="M674" i="17" a="1"/>
  <c r="M674" i="17" s="1"/>
  <c r="M675" i="17" a="1"/>
  <c r="M675" i="17" s="1"/>
  <c r="M676" i="17" a="1"/>
  <c r="M676" i="17" s="1"/>
  <c r="M716" i="17" a="1"/>
  <c r="M716" i="17" s="1"/>
  <c r="M746" i="17" a="1"/>
  <c r="M74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257" i="17" a="1"/>
  <c r="M257" i="17" s="1"/>
  <c r="M258" i="17" a="1"/>
  <c r="M258" i="17" s="1"/>
  <c r="M259" i="17" a="1"/>
  <c r="M259" i="17" s="1"/>
  <c r="M297" i="17" a="1"/>
  <c r="M297" i="17" s="1"/>
  <c r="M327" i="17" a="1"/>
  <c r="M327" i="17" s="1"/>
  <c r="M357" i="17" a="1"/>
  <c r="M357" i="17" s="1"/>
  <c r="M437" i="17" a="1"/>
  <c r="M437" i="17" s="1"/>
  <c r="M438" i="17" a="1"/>
  <c r="M438" i="17" s="1"/>
  <c r="M439" i="17" a="1"/>
  <c r="M439" i="17" s="1"/>
  <c r="M477" i="17" a="1"/>
  <c r="M477" i="17" s="1"/>
  <c r="M557" i="17" a="1"/>
  <c r="M557" i="17" s="1"/>
  <c r="M558" i="17" a="1"/>
  <c r="M558" i="17" s="1"/>
  <c r="M559" i="17" a="1"/>
  <c r="M559" i="17" s="1"/>
  <c r="M597" i="17" a="1"/>
  <c r="M597" i="17" s="1"/>
  <c r="M677" i="17" a="1"/>
  <c r="M677" i="17" s="1"/>
  <c r="M678" i="17" a="1"/>
  <c r="M678" i="17" s="1"/>
  <c r="M679" i="17" a="1"/>
  <c r="M679" i="17" s="1"/>
  <c r="M717" i="17" a="1"/>
  <c r="M717" i="17" s="1"/>
  <c r="M747" i="17" a="1"/>
  <c r="M74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60" i="17" a="1"/>
  <c r="M260" i="17" s="1"/>
  <c r="M261" i="17" a="1"/>
  <c r="M261" i="17" s="1"/>
  <c r="M262" i="17" a="1"/>
  <c r="M262" i="17" s="1"/>
  <c r="M298" i="17" a="1"/>
  <c r="M298" i="17" s="1"/>
  <c r="M328" i="17" a="1"/>
  <c r="M328" i="17" s="1"/>
  <c r="M358" i="17" a="1"/>
  <c r="M358" i="17" s="1"/>
  <c r="M440" i="17" a="1"/>
  <c r="M440" i="17" s="1"/>
  <c r="M441" i="17" a="1"/>
  <c r="M441" i="17" s="1"/>
  <c r="M442" i="17" a="1"/>
  <c r="M442" i="17" s="1"/>
  <c r="M478" i="17" a="1"/>
  <c r="M478" i="17" s="1"/>
  <c r="M560" i="17" a="1"/>
  <c r="M560" i="17" s="1"/>
  <c r="M561" i="17" a="1"/>
  <c r="M561" i="17" s="1"/>
  <c r="M562" i="17" a="1"/>
  <c r="M562" i="17" s="1"/>
  <c r="M598" i="17" a="1"/>
  <c r="M598" i="17" s="1"/>
  <c r="M680" i="17" a="1"/>
  <c r="M680" i="17" s="1"/>
  <c r="M681" i="17" a="1"/>
  <c r="M681" i="17" s="1"/>
  <c r="M682" i="17" a="1"/>
  <c r="M682" i="17" s="1"/>
  <c r="M718" i="17" a="1"/>
  <c r="M718" i="17" s="1"/>
  <c r="M748" i="17" a="1"/>
  <c r="M74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63" i="17" a="1"/>
  <c r="M263" i="17" s="1"/>
  <c r="M264" i="17" a="1"/>
  <c r="M264" i="17" s="1"/>
  <c r="M265" i="17" a="1"/>
  <c r="M265" i="17" s="1"/>
  <c r="M299" i="17" a="1"/>
  <c r="M299" i="17" s="1"/>
  <c r="M329" i="17" a="1"/>
  <c r="M329" i="17" s="1"/>
  <c r="M359" i="17" a="1"/>
  <c r="M359" i="17" s="1"/>
  <c r="M443" i="17" a="1"/>
  <c r="M443" i="17" s="1"/>
  <c r="M444" i="17" a="1"/>
  <c r="M444" i="17" s="1"/>
  <c r="M445" i="17" a="1"/>
  <c r="M445" i="17" s="1"/>
  <c r="M479" i="17" a="1"/>
  <c r="M479" i="17" s="1"/>
  <c r="M563" i="17" a="1"/>
  <c r="M563" i="17" s="1"/>
  <c r="M564" i="17" a="1"/>
  <c r="M564" i="17" s="1"/>
  <c r="M565" i="17" a="1"/>
  <c r="M565" i="17" s="1"/>
  <c r="M599" i="17" a="1"/>
  <c r="M599" i="17" s="1"/>
  <c r="M683" i="17" a="1"/>
  <c r="M683" i="17" s="1"/>
  <c r="M684" i="17" a="1"/>
  <c r="M684" i="17" s="1"/>
  <c r="M685" i="17" a="1"/>
  <c r="M685" i="17" s="1"/>
  <c r="M719" i="17" a="1"/>
  <c r="M719" i="17" s="1"/>
  <c r="M749" i="17" a="1"/>
  <c r="M749" i="17" s="1"/>
  <c r="M170" i="17" a="1"/>
  <c r="M170" i="17" s="1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66" i="17" a="1"/>
  <c r="M266" i="17" s="1"/>
  <c r="M267" i="17" a="1"/>
  <c r="M267" i="17" s="1"/>
  <c r="M268" i="17" a="1"/>
  <c r="M268" i="17" s="1"/>
  <c r="M300" i="17" a="1"/>
  <c r="M300" i="17" s="1"/>
  <c r="M330" i="17" a="1"/>
  <c r="M330" i="17"/>
  <c r="M360" i="17" a="1"/>
  <c r="M360" i="17" s="1"/>
  <c r="M446" i="17" a="1"/>
  <c r="M446" i="17" s="1"/>
  <c r="M447" i="17" a="1"/>
  <c r="M447" i="17" s="1"/>
  <c r="M448" i="17" a="1"/>
  <c r="M448" i="17" s="1"/>
  <c r="M480" i="17" a="1"/>
  <c r="M480" i="17" s="1"/>
  <c r="M566" i="17" a="1"/>
  <c r="M566" i="17" s="1"/>
  <c r="M567" i="17" a="1"/>
  <c r="M567" i="17" s="1"/>
  <c r="M568" i="17" a="1"/>
  <c r="M568" i="17" s="1"/>
  <c r="M600" i="17" a="1"/>
  <c r="M600" i="17" s="1"/>
  <c r="M686" i="17" a="1"/>
  <c r="M686" i="17" s="1"/>
  <c r="M687" i="17" a="1"/>
  <c r="M687" i="17" s="1"/>
  <c r="M688" i="17" a="1"/>
  <c r="M688" i="17" s="1"/>
  <c r="M720" i="17" a="1"/>
  <c r="M720" i="17" s="1"/>
  <c r="M750" i="17" a="1"/>
  <c r="M750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69" i="17" a="1"/>
  <c r="M269" i="17" s="1"/>
  <c r="M270" i="17" a="1"/>
  <c r="M270" i="17" s="1"/>
  <c r="M271" i="17" a="1"/>
  <c r="M271" i="17" s="1"/>
  <c r="M301" i="17" a="1"/>
  <c r="M301" i="17"/>
  <c r="M331" i="17" a="1"/>
  <c r="M331" i="17" s="1"/>
  <c r="M361" i="17" a="1"/>
  <c r="M361" i="17" s="1"/>
  <c r="M449" i="17" a="1"/>
  <c r="M449" i="17" s="1"/>
  <c r="M450" i="17" a="1"/>
  <c r="M450" i="17" s="1"/>
  <c r="M451" i="17" a="1"/>
  <c r="M451" i="17" s="1"/>
  <c r="M481" i="17" a="1"/>
  <c r="M481" i="17" s="1"/>
  <c r="M569" i="17" a="1"/>
  <c r="M569" i="17" s="1"/>
  <c r="M570" i="17" a="1"/>
  <c r="M570" i="17" s="1"/>
  <c r="M571" i="17" a="1"/>
  <c r="M571" i="17" s="1"/>
  <c r="M601" i="17" a="1"/>
  <c r="M601" i="17" s="1"/>
  <c r="M689" i="17" a="1"/>
  <c r="M689" i="17" s="1"/>
  <c r="M690" i="17" a="1"/>
  <c r="M690" i="17" s="1"/>
  <c r="M691" i="17" a="1"/>
  <c r="M691" i="17" s="1"/>
  <c r="M721" i="17" a="1"/>
  <c r="M721" i="17" s="1"/>
  <c r="M751" i="17" a="1"/>
  <c r="M751" i="17" s="1"/>
  <c r="N5" i="17" a="1"/>
  <c r="N5" i="17" s="1"/>
  <c r="N302" i="17" a="1"/>
  <c r="N302" i="17" s="1"/>
  <c r="N364" i="17" a="1"/>
  <c r="N364" i="17" s="1"/>
  <c r="N452" i="17" a="1"/>
  <c r="N452" i="17" s="1"/>
  <c r="N482" i="17" a="1"/>
  <c r="N482" i="17" s="1"/>
  <c r="N483" i="17" a="1"/>
  <c r="N483" i="17" s="1"/>
  <c r="N484" i="17" a="1"/>
  <c r="N484" i="17" s="1"/>
  <c r="N572" i="17" a="1"/>
  <c r="N572" i="17" s="1"/>
  <c r="N602" i="17" a="1"/>
  <c r="N602" i="17" s="1"/>
  <c r="N603" i="17" a="1"/>
  <c r="N603" i="17" s="1"/>
  <c r="N604" i="17" a="1"/>
  <c r="N604" i="17" s="1"/>
  <c r="N692" i="17" a="1"/>
  <c r="N692" i="17" s="1"/>
  <c r="N722" i="17" a="1"/>
  <c r="N722" i="17" s="1"/>
  <c r="N8" i="17" a="1"/>
  <c r="N8" i="17" s="1"/>
  <c r="N9" i="17" a="1"/>
  <c r="N9" i="17" s="1"/>
  <c r="N10" i="17" a="1"/>
  <c r="N10" i="17" s="1"/>
  <c r="N11" i="17" a="1"/>
  <c r="N11" i="17" s="1"/>
  <c r="N12" i="17" a="1"/>
  <c r="N12" i="17" s="1"/>
  <c r="N13" i="17" a="1"/>
  <c r="N13" i="17" s="1"/>
  <c r="N185" i="17" a="1"/>
  <c r="N185" i="17" s="1"/>
  <c r="N186" i="17" a="1"/>
  <c r="N186" i="17" s="1"/>
  <c r="N187" i="17" a="1"/>
  <c r="N187" i="17" s="1"/>
  <c r="N273" i="17" a="1"/>
  <c r="N273" i="17" s="1"/>
  <c r="N303" i="17" a="1"/>
  <c r="N303" i="17" s="1"/>
  <c r="N333" i="17" a="1"/>
  <c r="N333" i="17" s="1"/>
  <c r="N365" i="17" a="1"/>
  <c r="N365" i="17" s="1"/>
  <c r="N366" i="17" a="1"/>
  <c r="N366" i="17" s="1"/>
  <c r="N367" i="17" a="1"/>
  <c r="N367" i="17" s="1"/>
  <c r="N453" i="17" a="1"/>
  <c r="N453" i="17" s="1"/>
  <c r="N485" i="17" a="1"/>
  <c r="N485" i="17" s="1"/>
  <c r="N486" i="17" a="1"/>
  <c r="N486" i="17" s="1"/>
  <c r="N487" i="17" a="1"/>
  <c r="N487" i="17" s="1"/>
  <c r="N573" i="17" a="1"/>
  <c r="N573" i="17" s="1"/>
  <c r="N605" i="17" a="1"/>
  <c r="N605" i="17" s="1"/>
  <c r="N606" i="17" a="1"/>
  <c r="N606" i="17" s="1"/>
  <c r="N607" i="17" a="1"/>
  <c r="N607" i="17" s="1"/>
  <c r="N693" i="17" a="1"/>
  <c r="N693" i="17" s="1"/>
  <c r="N723" i="17" a="1"/>
  <c r="N723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188" i="17" a="1"/>
  <c r="N188" i="17" s="1"/>
  <c r="N189" i="17" a="1"/>
  <c r="N189" i="17" s="1"/>
  <c r="N190" i="17" a="1"/>
  <c r="N190" i="17" s="1"/>
  <c r="N274" i="17" a="1"/>
  <c r="N274" i="17" s="1"/>
  <c r="N304" i="17" a="1"/>
  <c r="N304" i="17" s="1"/>
  <c r="N334" i="17" a="1"/>
  <c r="N334" i="17" s="1"/>
  <c r="N368" i="17" a="1"/>
  <c r="N368" i="17" s="1"/>
  <c r="N369" i="17" a="1"/>
  <c r="N369" i="17" s="1"/>
  <c r="N370" i="17" a="1"/>
  <c r="N370" i="17" s="1"/>
  <c r="N454" i="17" a="1"/>
  <c r="N454" i="17" s="1"/>
  <c r="N488" i="17" a="1"/>
  <c r="N488" i="17" s="1"/>
  <c r="N489" i="17" a="1"/>
  <c r="N489" i="17" s="1"/>
  <c r="N490" i="17" a="1"/>
  <c r="N490" i="17" s="1"/>
  <c r="N574" i="17" a="1"/>
  <c r="N574" i="17" s="1"/>
  <c r="N608" i="17" a="1"/>
  <c r="N608" i="17" s="1"/>
  <c r="N609" i="17" a="1"/>
  <c r="N609" i="17" s="1"/>
  <c r="N610" i="17" a="1"/>
  <c r="N610" i="17" s="1"/>
  <c r="N694" i="17" a="1"/>
  <c r="N694" i="17" s="1"/>
  <c r="N724" i="17" a="1"/>
  <c r="N724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191" i="17" a="1"/>
  <c r="N191" i="17" s="1"/>
  <c r="N192" i="17" a="1"/>
  <c r="N192" i="17" s="1"/>
  <c r="N193" i="17" a="1"/>
  <c r="N193" i="17" s="1"/>
  <c r="N275" i="17" a="1"/>
  <c r="N275" i="17" s="1"/>
  <c r="N305" i="17" a="1"/>
  <c r="N305" i="17" s="1"/>
  <c r="N335" i="17" a="1"/>
  <c r="N335" i="17" s="1"/>
  <c r="N371" i="17" a="1"/>
  <c r="N371" i="17" s="1"/>
  <c r="N372" i="17" a="1"/>
  <c r="N372" i="17" s="1"/>
  <c r="N373" i="17" a="1"/>
  <c r="N373" i="17" s="1"/>
  <c r="N455" i="17" a="1"/>
  <c r="N455" i="17" s="1"/>
  <c r="N491" i="17" a="1"/>
  <c r="N491" i="17" s="1"/>
  <c r="N492" i="17" a="1"/>
  <c r="N492" i="17" s="1"/>
  <c r="N493" i="17" a="1"/>
  <c r="N493" i="17" s="1"/>
  <c r="N575" i="17" a="1"/>
  <c r="N575" i="17" s="1"/>
  <c r="N611" i="17" a="1"/>
  <c r="N611" i="17" s="1"/>
  <c r="N612" i="17" a="1"/>
  <c r="N612" i="17" s="1"/>
  <c r="N613" i="17" a="1"/>
  <c r="N613" i="17" s="1"/>
  <c r="N695" i="17" a="1"/>
  <c r="N695" i="17" s="1"/>
  <c r="N725" i="17" a="1"/>
  <c r="N725" i="17" s="1"/>
  <c r="N26" i="17" a="1"/>
  <c r="N26" i="17" s="1"/>
  <c r="N27" i="17" a="1"/>
  <c r="N27" i="17" s="1"/>
  <c r="N28" i="17" a="1"/>
  <c r="N28" i="17" s="1"/>
  <c r="N29" i="17" a="1"/>
  <c r="N29" i="17" s="1"/>
  <c r="N30" i="17" a="1"/>
  <c r="N30" i="17" s="1"/>
  <c r="N31" i="17" a="1"/>
  <c r="N31" i="17" s="1"/>
  <c r="N194" i="17" a="1"/>
  <c r="N194" i="17" s="1"/>
  <c r="N195" i="17" a="1"/>
  <c r="N195" i="17" s="1"/>
  <c r="N196" i="17" a="1"/>
  <c r="N196" i="17" s="1"/>
  <c r="N276" i="17" a="1"/>
  <c r="N276" i="17" s="1"/>
  <c r="N306" i="17" a="1"/>
  <c r="N306" i="17" s="1"/>
  <c r="N336" i="17" a="1"/>
  <c r="N336" i="17" s="1"/>
  <c r="N374" i="17" a="1"/>
  <c r="N374" i="17" s="1"/>
  <c r="N375" i="17" a="1"/>
  <c r="N375" i="17" s="1"/>
  <c r="N376" i="17" a="1"/>
  <c r="N376" i="17" s="1"/>
  <c r="N456" i="17" a="1"/>
  <c r="N456" i="17" s="1"/>
  <c r="N494" i="17" a="1"/>
  <c r="N494" i="17" s="1"/>
  <c r="N495" i="17" a="1"/>
  <c r="N495" i="17" s="1"/>
  <c r="N496" i="17" a="1"/>
  <c r="N496" i="17" s="1"/>
  <c r="N576" i="17" a="1"/>
  <c r="N576" i="17" s="1"/>
  <c r="N614" i="17" a="1"/>
  <c r="N614" i="17" s="1"/>
  <c r="N615" i="17" a="1"/>
  <c r="N615" i="17" s="1"/>
  <c r="N616" i="17" a="1"/>
  <c r="N616" i="17" s="1"/>
  <c r="N696" i="17" a="1"/>
  <c r="N696" i="17" s="1"/>
  <c r="N726" i="17" a="1"/>
  <c r="N726" i="17" s="1"/>
  <c r="N32" i="17" a="1"/>
  <c r="N32" i="17" s="1"/>
  <c r="N33" i="17" a="1"/>
  <c r="N33" i="17" s="1"/>
  <c r="N34" i="17" a="1"/>
  <c r="N34" i="17" s="1"/>
  <c r="N35" i="17" a="1"/>
  <c r="N35" i="17" s="1"/>
  <c r="N36" i="17" a="1"/>
  <c r="N36" i="17" s="1"/>
  <c r="N37" i="17" a="1"/>
  <c r="N37" i="17" s="1"/>
  <c r="N197" i="17" a="1"/>
  <c r="N197" i="17" s="1"/>
  <c r="N198" i="17" a="1"/>
  <c r="N198" i="17" s="1"/>
  <c r="N199" i="17" a="1"/>
  <c r="N199" i="17" s="1"/>
  <c r="N277" i="17" a="1"/>
  <c r="N277" i="17" s="1"/>
  <c r="N307" i="17" a="1"/>
  <c r="N307" i="17" s="1"/>
  <c r="N337" i="17" a="1"/>
  <c r="N337" i="17" s="1"/>
  <c r="N377" i="17" a="1"/>
  <c r="N377" i="17" s="1"/>
  <c r="N378" i="17" a="1"/>
  <c r="N378" i="17" s="1"/>
  <c r="N379" i="17" a="1"/>
  <c r="N379" i="17" s="1"/>
  <c r="N457" i="17" a="1"/>
  <c r="N457" i="17" s="1"/>
  <c r="N497" i="17" a="1"/>
  <c r="N497" i="17" s="1"/>
  <c r="N498" i="17" a="1"/>
  <c r="N498" i="17" s="1"/>
  <c r="N499" i="17" a="1"/>
  <c r="N499" i="17" s="1"/>
  <c r="N577" i="17" a="1"/>
  <c r="N577" i="17" s="1"/>
  <c r="N617" i="17" a="1"/>
  <c r="N617" i="17" s="1"/>
  <c r="N618" i="17" a="1"/>
  <c r="N618" i="17" s="1"/>
  <c r="N619" i="17" a="1"/>
  <c r="N619" i="17" s="1"/>
  <c r="N697" i="17" a="1"/>
  <c r="N697" i="17" s="1"/>
  <c r="N727" i="17" a="1"/>
  <c r="N727" i="17" s="1"/>
  <c r="N38" i="17" a="1"/>
  <c r="N38" i="17" s="1"/>
  <c r="N39" i="17" a="1"/>
  <c r="N39" i="17" s="1"/>
  <c r="N40" i="17" a="1"/>
  <c r="N40" i="17" s="1"/>
  <c r="N41" i="17" a="1"/>
  <c r="N41" i="17" s="1"/>
  <c r="N42" i="17" a="1"/>
  <c r="N42" i="17" s="1"/>
  <c r="N43" i="17" a="1"/>
  <c r="N43" i="17" s="1"/>
  <c r="N200" i="17" a="1"/>
  <c r="N200" i="17" s="1"/>
  <c r="N201" i="17" a="1"/>
  <c r="N201" i="17" s="1"/>
  <c r="N202" i="17" a="1"/>
  <c r="N202" i="17" s="1"/>
  <c r="N278" i="17" a="1"/>
  <c r="N278" i="17" s="1"/>
  <c r="N308" i="17" a="1"/>
  <c r="N308" i="17" s="1"/>
  <c r="N338" i="17" a="1"/>
  <c r="N338" i="17" s="1"/>
  <c r="N380" i="17" a="1"/>
  <c r="N380" i="17" s="1"/>
  <c r="N381" i="17" a="1"/>
  <c r="N381" i="17" s="1"/>
  <c r="N382" i="17" a="1"/>
  <c r="N382" i="17" s="1"/>
  <c r="N458" i="17" a="1"/>
  <c r="N458" i="17" s="1"/>
  <c r="N500" i="17" a="1"/>
  <c r="N500" i="17" s="1"/>
  <c r="N501" i="17" a="1"/>
  <c r="N501" i="17" s="1"/>
  <c r="N502" i="17" a="1"/>
  <c r="N502" i="17" s="1"/>
  <c r="N578" i="17" a="1"/>
  <c r="N578" i="17" s="1"/>
  <c r="N620" i="17" a="1"/>
  <c r="N620" i="17" s="1"/>
  <c r="N621" i="17" a="1"/>
  <c r="N621" i="17" s="1"/>
  <c r="N622" i="17" a="1"/>
  <c r="N622" i="17" s="1"/>
  <c r="N698" i="17" a="1"/>
  <c r="N698" i="17" s="1"/>
  <c r="N728" i="17" a="1"/>
  <c r="N728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203" i="17" a="1"/>
  <c r="N203" i="17" s="1"/>
  <c r="N204" i="17" a="1"/>
  <c r="N204" i="17" s="1"/>
  <c r="N205" i="17" a="1"/>
  <c r="N205" i="17" s="1"/>
  <c r="N279" i="17" a="1"/>
  <c r="N279" i="17" s="1"/>
  <c r="N309" i="17" a="1"/>
  <c r="N309" i="17" s="1"/>
  <c r="N339" i="17" a="1"/>
  <c r="N339" i="17" s="1"/>
  <c r="N383" i="17" a="1"/>
  <c r="N383" i="17" s="1"/>
  <c r="N384" i="17" a="1"/>
  <c r="N384" i="17" s="1"/>
  <c r="N385" i="17" a="1"/>
  <c r="N385" i="17" s="1"/>
  <c r="N459" i="17" a="1"/>
  <c r="N459" i="17" s="1"/>
  <c r="N503" i="17" a="1"/>
  <c r="N503" i="17" s="1"/>
  <c r="N504" i="17" a="1"/>
  <c r="N504" i="17" s="1"/>
  <c r="N505" i="17" a="1"/>
  <c r="N505" i="17" s="1"/>
  <c r="N579" i="17" a="1"/>
  <c r="N579" i="17" s="1"/>
  <c r="N623" i="17" a="1"/>
  <c r="N623" i="17" s="1"/>
  <c r="N624" i="17" a="1"/>
  <c r="N624" i="17" s="1"/>
  <c r="N625" i="17" a="1"/>
  <c r="N625" i="17" s="1"/>
  <c r="N699" i="17" a="1"/>
  <c r="N699" i="17" s="1"/>
  <c r="N729" i="17" a="1"/>
  <c r="N729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206" i="17" a="1"/>
  <c r="N206" i="17" s="1"/>
  <c r="N207" i="17" a="1"/>
  <c r="N207" i="17" s="1"/>
  <c r="N208" i="17" a="1"/>
  <c r="N208" i="17" s="1"/>
  <c r="N280" i="17" a="1"/>
  <c r="N280" i="17" s="1"/>
  <c r="N310" i="17" a="1"/>
  <c r="N310" i="17" s="1"/>
  <c r="N340" i="17" a="1"/>
  <c r="N340" i="17" s="1"/>
  <c r="N386" i="17" a="1"/>
  <c r="N386" i="17" s="1"/>
  <c r="N387" i="17" a="1"/>
  <c r="N387" i="17" s="1"/>
  <c r="N388" i="17" a="1"/>
  <c r="N388" i="17" s="1"/>
  <c r="N460" i="17" a="1"/>
  <c r="N460" i="17" s="1"/>
  <c r="N506" i="17" a="1"/>
  <c r="N506" i="17" s="1"/>
  <c r="N507" i="17" a="1"/>
  <c r="N507" i="17" s="1"/>
  <c r="N508" i="17" a="1"/>
  <c r="N508" i="17" s="1"/>
  <c r="N580" i="17" a="1"/>
  <c r="N580" i="17" s="1"/>
  <c r="N626" i="17" a="1"/>
  <c r="N626" i="17" s="1"/>
  <c r="N627" i="17" a="1"/>
  <c r="N627" i="17" s="1"/>
  <c r="N628" i="17" a="1"/>
  <c r="N628" i="17" s="1"/>
  <c r="N700" i="17" a="1"/>
  <c r="N700" i="17" s="1"/>
  <c r="N730" i="17" a="1"/>
  <c r="N730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209" i="17" a="1"/>
  <c r="N209" i="17" s="1"/>
  <c r="N210" i="17" a="1"/>
  <c r="N210" i="17" s="1"/>
  <c r="N211" i="17" a="1"/>
  <c r="N211" i="17" s="1"/>
  <c r="N281" i="17" a="1"/>
  <c r="N281" i="17" s="1"/>
  <c r="N311" i="17" a="1"/>
  <c r="N311" i="17" s="1"/>
  <c r="N341" i="17" a="1"/>
  <c r="N341" i="17" s="1"/>
  <c r="N389" i="17" a="1"/>
  <c r="N389" i="17" s="1"/>
  <c r="N390" i="17" a="1"/>
  <c r="N390" i="17" s="1"/>
  <c r="N391" i="17" a="1"/>
  <c r="N391" i="17" s="1"/>
  <c r="N461" i="17" a="1"/>
  <c r="N461" i="17" s="1"/>
  <c r="N509" i="17" a="1"/>
  <c r="N509" i="17" s="1"/>
  <c r="N510" i="17" a="1"/>
  <c r="N510" i="17" s="1"/>
  <c r="N511" i="17" a="1"/>
  <c r="N511" i="17" s="1"/>
  <c r="N581" i="17" a="1"/>
  <c r="N581" i="17" s="1"/>
  <c r="N629" i="17" a="1"/>
  <c r="N629" i="17" s="1"/>
  <c r="N630" i="17" a="1"/>
  <c r="N630" i="17" s="1"/>
  <c r="N631" i="17" a="1"/>
  <c r="N631" i="17" s="1"/>
  <c r="N701" i="17" a="1"/>
  <c r="N701" i="17" s="1"/>
  <c r="N731" i="17" a="1"/>
  <c r="N731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212" i="17" a="1"/>
  <c r="N212" i="17" s="1"/>
  <c r="N213" i="17" a="1"/>
  <c r="N213" i="17" s="1"/>
  <c r="N214" i="17" a="1"/>
  <c r="N214" i="17"/>
  <c r="N282" i="17" a="1"/>
  <c r="N282" i="17" s="1"/>
  <c r="N312" i="17" a="1"/>
  <c r="N312" i="17" s="1"/>
  <c r="N342" i="17" a="1"/>
  <c r="N342" i="17" s="1"/>
  <c r="N392" i="17" a="1"/>
  <c r="N392" i="17" s="1"/>
  <c r="N393" i="17" a="1"/>
  <c r="N393" i="17" s="1"/>
  <c r="N394" i="17" a="1"/>
  <c r="N394" i="17" s="1"/>
  <c r="N462" i="17" a="1"/>
  <c r="N462" i="17" s="1"/>
  <c r="N512" i="17" a="1"/>
  <c r="N512" i="17" s="1"/>
  <c r="N513" i="17" a="1"/>
  <c r="N513" i="17" s="1"/>
  <c r="N514" i="17" a="1"/>
  <c r="N514" i="17" s="1"/>
  <c r="N582" i="17" a="1"/>
  <c r="N582" i="17" s="1"/>
  <c r="N632" i="17" a="1"/>
  <c r="N632" i="17"/>
  <c r="N633" i="17" a="1"/>
  <c r="N633" i="17" s="1"/>
  <c r="N634" i="17" a="1"/>
  <c r="N634" i="17" s="1"/>
  <c r="N702" i="17" a="1"/>
  <c r="N702" i="17" s="1"/>
  <c r="N732" i="17" a="1"/>
  <c r="N732" i="17" s="1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215" i="17" a="1"/>
  <c r="N215" i="17" s="1"/>
  <c r="N216" i="17" a="1"/>
  <c r="N216" i="17" s="1"/>
  <c r="N217" i="17" a="1"/>
  <c r="N217" i="17" s="1"/>
  <c r="N283" i="17" a="1"/>
  <c r="N283" i="17" s="1"/>
  <c r="N313" i="17" a="1"/>
  <c r="N313" i="17" s="1"/>
  <c r="N343" i="17" a="1"/>
  <c r="N343" i="17" s="1"/>
  <c r="N395" i="17" a="1"/>
  <c r="N395" i="17" s="1"/>
  <c r="N396" i="17" a="1"/>
  <c r="N396" i="17" s="1"/>
  <c r="N397" i="17" a="1"/>
  <c r="N397" i="17" s="1"/>
  <c r="N463" i="17" a="1"/>
  <c r="N463" i="17" s="1"/>
  <c r="N515" i="17" a="1"/>
  <c r="N515" i="17" s="1"/>
  <c r="N516" i="17" a="1"/>
  <c r="N516" i="17" s="1"/>
  <c r="N517" i="17" a="1"/>
  <c r="N517" i="17" s="1"/>
  <c r="N583" i="17" a="1"/>
  <c r="N583" i="17" s="1"/>
  <c r="N635" i="17" a="1"/>
  <c r="N635" i="17" s="1"/>
  <c r="N636" i="17" a="1"/>
  <c r="N636" i="17" s="1"/>
  <c r="N637" i="17" a="1"/>
  <c r="N637" i="17" s="1"/>
  <c r="N703" i="17" a="1"/>
  <c r="N703" i="17" s="1"/>
  <c r="N733" i="17" a="1"/>
  <c r="N733" i="17" s="1"/>
  <c r="N74" i="17" a="1"/>
  <c r="N74" i="17" s="1"/>
  <c r="N75" i="17" a="1"/>
  <c r="N75" i="17" s="1"/>
  <c r="N76" i="17" a="1"/>
  <c r="N76" i="17"/>
  <c r="N77" i="17" a="1"/>
  <c r="N77" i="17" s="1"/>
  <c r="N78" i="17" a="1"/>
  <c r="N78" i="17" s="1"/>
  <c r="N79" i="17" a="1"/>
  <c r="N79" i="17" s="1"/>
  <c r="N218" i="17" a="1"/>
  <c r="N218" i="17" s="1"/>
  <c r="N219" i="17" a="1"/>
  <c r="N219" i="17" s="1"/>
  <c r="N220" i="17" a="1"/>
  <c r="N220" i="17" s="1"/>
  <c r="N284" i="17" a="1"/>
  <c r="N284" i="17" s="1"/>
  <c r="N314" i="17" a="1"/>
  <c r="N314" i="17" s="1"/>
  <c r="N344" i="17" a="1"/>
  <c r="N344" i="17" s="1"/>
  <c r="N398" i="17" a="1"/>
  <c r="N398" i="17" s="1"/>
  <c r="N399" i="17" a="1"/>
  <c r="N399" i="17" s="1"/>
  <c r="N400" i="17" a="1"/>
  <c r="N400" i="17" s="1"/>
  <c r="N464" i="17" a="1"/>
  <c r="N464" i="17" s="1"/>
  <c r="N518" i="17" a="1"/>
  <c r="N518" i="17" s="1"/>
  <c r="N519" i="17" a="1"/>
  <c r="N519" i="17" s="1"/>
  <c r="N520" i="17" a="1"/>
  <c r="N520" i="17" s="1"/>
  <c r="N584" i="17" a="1"/>
  <c r="N584" i="17" s="1"/>
  <c r="N638" i="17" a="1"/>
  <c r="N638" i="17" s="1"/>
  <c r="N639" i="17" a="1"/>
  <c r="N639" i="17" s="1"/>
  <c r="N640" i="17" a="1"/>
  <c r="N640" i="17" s="1"/>
  <c r="N704" i="17" a="1"/>
  <c r="N704" i="17" s="1"/>
  <c r="N734" i="17" a="1"/>
  <c r="N734" i="17" s="1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221" i="17" a="1"/>
  <c r="N221" i="17" s="1"/>
  <c r="N222" i="17" a="1"/>
  <c r="N222" i="17" s="1"/>
  <c r="N223" i="17" a="1"/>
  <c r="N223" i="17" s="1"/>
  <c r="N285" i="17" a="1"/>
  <c r="N285" i="17"/>
  <c r="N315" i="17" a="1"/>
  <c r="N315" i="17" s="1"/>
  <c r="N345" i="17" a="1"/>
  <c r="N345" i="17" s="1"/>
  <c r="N401" i="17" a="1"/>
  <c r="N401" i="17" s="1"/>
  <c r="N402" i="17" a="1"/>
  <c r="N402" i="17" s="1"/>
  <c r="N403" i="17" a="1"/>
  <c r="N403" i="17" s="1"/>
  <c r="N465" i="17" a="1"/>
  <c r="N465" i="17" s="1"/>
  <c r="N521" i="17" a="1"/>
  <c r="N521" i="17" s="1"/>
  <c r="N522" i="17" a="1"/>
  <c r="N522" i="17" s="1"/>
  <c r="N523" i="17" a="1"/>
  <c r="N523" i="17" s="1"/>
  <c r="N585" i="17" a="1"/>
  <c r="N585" i="17" s="1"/>
  <c r="N641" i="17" a="1"/>
  <c r="N641" i="17" s="1"/>
  <c r="N642" i="17" a="1"/>
  <c r="N642" i="17" s="1"/>
  <c r="N643" i="17" a="1"/>
  <c r="N643" i="17" s="1"/>
  <c r="N705" i="17" a="1"/>
  <c r="N705" i="17" s="1"/>
  <c r="N735" i="17" a="1"/>
  <c r="N735" i="17" s="1"/>
  <c r="N86" i="17" a="1"/>
  <c r="N86" i="17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224" i="17" a="1"/>
  <c r="N224" i="17" s="1"/>
  <c r="N225" i="17" a="1"/>
  <c r="N225" i="17" s="1"/>
  <c r="N226" i="17" a="1"/>
  <c r="N226" i="17" s="1"/>
  <c r="N286" i="17" a="1"/>
  <c r="N286" i="17" s="1"/>
  <c r="N316" i="17" a="1"/>
  <c r="N316" i="17" s="1"/>
  <c r="N346" i="17" a="1"/>
  <c r="N346" i="17" s="1"/>
  <c r="N404" i="17" a="1"/>
  <c r="N404" i="17" s="1"/>
  <c r="N405" i="17" a="1"/>
  <c r="N405" i="17" s="1"/>
  <c r="N406" i="17" a="1"/>
  <c r="N406" i="17" s="1"/>
  <c r="N466" i="17" a="1"/>
  <c r="N466" i="17" s="1"/>
  <c r="N524" i="17" a="1"/>
  <c r="N524" i="17"/>
  <c r="N525" i="17" a="1"/>
  <c r="N525" i="17" s="1"/>
  <c r="N526" i="17" a="1"/>
  <c r="N526" i="17" s="1"/>
  <c r="N586" i="17" a="1"/>
  <c r="N586" i="17" s="1"/>
  <c r="N644" i="17" a="1"/>
  <c r="N644" i="17" s="1"/>
  <c r="N645" i="17" a="1"/>
  <c r="N645" i="17" s="1"/>
  <c r="N646" i="17" a="1"/>
  <c r="N646" i="17" s="1"/>
  <c r="N706" i="17" a="1"/>
  <c r="N706" i="17" s="1"/>
  <c r="N736" i="17" a="1"/>
  <c r="N736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227" i="17" a="1"/>
  <c r="N227" i="17" s="1"/>
  <c r="N228" i="17" a="1"/>
  <c r="N228" i="17"/>
  <c r="N229" i="17" a="1"/>
  <c r="N229" i="17" s="1"/>
  <c r="N287" i="17" a="1"/>
  <c r="N287" i="17" s="1"/>
  <c r="N317" i="17" a="1"/>
  <c r="N317" i="17" s="1"/>
  <c r="N347" i="17" a="1"/>
  <c r="N347" i="17" s="1"/>
  <c r="N407" i="17" a="1"/>
  <c r="N407" i="17" s="1"/>
  <c r="N408" i="17" a="1"/>
  <c r="N408" i="17" s="1"/>
  <c r="N409" i="17" a="1"/>
  <c r="N409" i="17" s="1"/>
  <c r="N467" i="17" a="1"/>
  <c r="N467" i="17" s="1"/>
  <c r="N527" i="17" a="1"/>
  <c r="N527" i="17" s="1"/>
  <c r="N528" i="17" a="1"/>
  <c r="N528" i="17" s="1"/>
  <c r="N529" i="17" a="1"/>
  <c r="N529" i="17" s="1"/>
  <c r="N587" i="17" a="1"/>
  <c r="N587" i="17" s="1"/>
  <c r="N647" i="17" a="1"/>
  <c r="N647" i="17" s="1"/>
  <c r="N648" i="17" a="1"/>
  <c r="N648" i="17" s="1"/>
  <c r="N649" i="17" a="1"/>
  <c r="N649" i="17" s="1"/>
  <c r="N707" i="17" a="1"/>
  <c r="N707" i="17"/>
  <c r="N737" i="17" a="1"/>
  <c r="N737" i="17" s="1"/>
  <c r="N98" i="17" a="1"/>
  <c r="N98" i="17" s="1"/>
  <c r="N99" i="17" a="1"/>
  <c r="N99" i="17" s="1"/>
  <c r="N100" i="17" a="1"/>
  <c r="N100" i="17" s="1"/>
  <c r="N101" i="17" a="1"/>
  <c r="N101" i="17" s="1"/>
  <c r="N102" i="17" a="1"/>
  <c r="N102" i="17" s="1"/>
  <c r="N103" i="17" a="1"/>
  <c r="N103" i="17" s="1"/>
  <c r="N230" i="17" a="1"/>
  <c r="N230" i="17" s="1"/>
  <c r="N231" i="17" a="1"/>
  <c r="N231" i="17" s="1"/>
  <c r="N232" i="17" a="1"/>
  <c r="N232" i="17" s="1"/>
  <c r="N288" i="17" a="1"/>
  <c r="N288" i="17" s="1"/>
  <c r="N318" i="17" a="1"/>
  <c r="N318" i="17" s="1"/>
  <c r="N348" i="17" a="1"/>
  <c r="N348" i="17" s="1"/>
  <c r="N410" i="17" a="1"/>
  <c r="N410" i="17" s="1"/>
  <c r="N411" i="17" a="1"/>
  <c r="N411" i="17" s="1"/>
  <c r="N412" i="17" a="1"/>
  <c r="N412" i="17"/>
  <c r="N468" i="17" a="1"/>
  <c r="N468" i="17" s="1"/>
  <c r="N530" i="17" a="1"/>
  <c r="N530" i="17" s="1"/>
  <c r="N531" i="17" a="1"/>
  <c r="N531" i="17" s="1"/>
  <c r="N532" i="17" a="1"/>
  <c r="N532" i="17" s="1"/>
  <c r="N588" i="17" a="1"/>
  <c r="N588" i="17" s="1"/>
  <c r="N650" i="17" a="1"/>
  <c r="N650" i="17" s="1"/>
  <c r="N651" i="17" a="1"/>
  <c r="N651" i="17" s="1"/>
  <c r="N652" i="17" a="1"/>
  <c r="N652" i="17" s="1"/>
  <c r="N708" i="17" a="1"/>
  <c r="N708" i="17" s="1"/>
  <c r="N738" i="17" a="1"/>
  <c r="N738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/>
  <c r="N233" i="17" a="1"/>
  <c r="N233" i="17" s="1"/>
  <c r="N234" i="17" a="1"/>
  <c r="N234" i="17" s="1"/>
  <c r="N235" i="17" a="1"/>
  <c r="N235" i="17" s="1"/>
  <c r="N289" i="17" a="1"/>
  <c r="N289" i="17" s="1"/>
  <c r="N319" i="17" a="1"/>
  <c r="N319" i="17" s="1"/>
  <c r="N349" i="17" a="1"/>
  <c r="N349" i="17" s="1"/>
  <c r="N413" i="17" a="1"/>
  <c r="N413" i="17" s="1"/>
  <c r="N414" i="17" a="1"/>
  <c r="N414" i="17" s="1"/>
  <c r="N415" i="17" a="1"/>
  <c r="N415" i="17" s="1"/>
  <c r="N469" i="17" a="1"/>
  <c r="N469" i="17" s="1"/>
  <c r="N533" i="17" a="1"/>
  <c r="N533" i="17" s="1"/>
  <c r="N534" i="17" a="1"/>
  <c r="N534" i="17" s="1"/>
  <c r="N535" i="17" a="1"/>
  <c r="N535" i="17" s="1"/>
  <c r="N589" i="17" a="1"/>
  <c r="N589" i="17" s="1"/>
  <c r="N653" i="17" a="1"/>
  <c r="N653" i="17" s="1"/>
  <c r="N654" i="17" a="1"/>
  <c r="N654" i="17"/>
  <c r="N655" i="17" a="1"/>
  <c r="N655" i="17" s="1"/>
  <c r="N709" i="17" a="1"/>
  <c r="N709" i="17" s="1"/>
  <c r="N739" i="17" a="1"/>
  <c r="N739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236" i="17" a="1"/>
  <c r="N236" i="17" s="1"/>
  <c r="N237" i="17" a="1"/>
  <c r="N237" i="17" s="1"/>
  <c r="N238" i="17" a="1"/>
  <c r="N238" i="17" s="1"/>
  <c r="N290" i="17" a="1"/>
  <c r="N290" i="17" s="1"/>
  <c r="N320" i="17" a="1"/>
  <c r="N320" i="17" s="1"/>
  <c r="N350" i="17" a="1"/>
  <c r="N350" i="17" s="1"/>
  <c r="N416" i="17" a="1"/>
  <c r="N416" i="17"/>
  <c r="N417" i="17" a="1"/>
  <c r="N417" i="17" s="1"/>
  <c r="N418" i="17" a="1"/>
  <c r="N418" i="17" s="1"/>
  <c r="N470" i="17" a="1"/>
  <c r="N470" i="17" s="1"/>
  <c r="N536" i="17" a="1"/>
  <c r="N536" i="17" s="1"/>
  <c r="N537" i="17" a="1"/>
  <c r="N537" i="17" s="1"/>
  <c r="N538" i="17" a="1"/>
  <c r="N538" i="17" s="1"/>
  <c r="N590" i="17" a="1"/>
  <c r="N590" i="17" s="1"/>
  <c r="N656" i="17" a="1"/>
  <c r="N656" i="17" s="1"/>
  <c r="N657" i="17" a="1"/>
  <c r="N657" i="17" s="1"/>
  <c r="N658" i="17" a="1"/>
  <c r="N658" i="17" s="1"/>
  <c r="N710" i="17" a="1"/>
  <c r="N710" i="17" s="1"/>
  <c r="N740" i="17" a="1"/>
  <c r="N740" i="17" s="1"/>
  <c r="N116" i="17" a="1"/>
  <c r="N116" i="17" s="1"/>
  <c r="N117" i="17" a="1"/>
  <c r="N117" i="17" s="1"/>
  <c r="N118" i="17" a="1"/>
  <c r="N118" i="17" s="1"/>
  <c r="N119" i="17" a="1"/>
  <c r="N119" i="17"/>
  <c r="N120" i="17" a="1"/>
  <c r="N120" i="17" s="1"/>
  <c r="N121" i="17" a="1"/>
  <c r="N121" i="17" s="1"/>
  <c r="N239" i="17" a="1"/>
  <c r="N239" i="17" s="1"/>
  <c r="N240" i="17" a="1"/>
  <c r="N240" i="17" s="1"/>
  <c r="N241" i="17" a="1"/>
  <c r="N241" i="17" s="1"/>
  <c r="N291" i="17" a="1"/>
  <c r="N291" i="17" s="1"/>
  <c r="N321" i="17" a="1"/>
  <c r="N321" i="17" s="1"/>
  <c r="N351" i="17" a="1"/>
  <c r="N351" i="17" s="1"/>
  <c r="N419" i="17" a="1"/>
  <c r="N419" i="17" s="1"/>
  <c r="N420" i="17" a="1"/>
  <c r="N420" i="17" s="1"/>
  <c r="N421" i="17" a="1"/>
  <c r="N421" i="17" s="1"/>
  <c r="N471" i="17" a="1"/>
  <c r="N471" i="17" s="1"/>
  <c r="N539" i="17" a="1"/>
  <c r="N539" i="17" s="1"/>
  <c r="N540" i="17" a="1"/>
  <c r="N540" i="17" s="1"/>
  <c r="N541" i="17" a="1"/>
  <c r="N541" i="17" s="1"/>
  <c r="N591" i="17" a="1"/>
  <c r="N591" i="17"/>
  <c r="N659" i="17" a="1"/>
  <c r="N659" i="17" s="1"/>
  <c r="N660" i="17" a="1"/>
  <c r="N660" i="17" s="1"/>
  <c r="N661" i="17" a="1"/>
  <c r="N661" i="17" s="1"/>
  <c r="N711" i="17" a="1"/>
  <c r="N711" i="17" s="1"/>
  <c r="N741" i="17" a="1"/>
  <c r="N741" i="17" s="1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242" i="17" a="1"/>
  <c r="N242" i="17" s="1"/>
  <c r="N243" i="17" a="1"/>
  <c r="N243" i="17" s="1"/>
  <c r="N244" i="17" a="1"/>
  <c r="N244" i="17" s="1"/>
  <c r="N292" i="17" a="1"/>
  <c r="N292" i="17" s="1"/>
  <c r="N322" i="17" a="1"/>
  <c r="N322" i="17"/>
  <c r="N352" i="17" a="1"/>
  <c r="N352" i="17" s="1"/>
  <c r="N422" i="17" a="1"/>
  <c r="N422" i="17" s="1"/>
  <c r="N423" i="17" a="1"/>
  <c r="N423" i="17" s="1"/>
  <c r="N424" i="17" a="1"/>
  <c r="N424" i="17" s="1"/>
  <c r="N472" i="17" a="1"/>
  <c r="N472" i="17" s="1"/>
  <c r="N542" i="17" a="1"/>
  <c r="N542" i="17" s="1"/>
  <c r="N543" i="17" a="1"/>
  <c r="N543" i="17" s="1"/>
  <c r="N544" i="17" a="1"/>
  <c r="N544" i="17" s="1"/>
  <c r="N592" i="17" a="1"/>
  <c r="N592" i="17" s="1"/>
  <c r="N662" i="17" a="1"/>
  <c r="N662" i="17" s="1"/>
  <c r="N663" i="17" a="1"/>
  <c r="N663" i="17" s="1"/>
  <c r="N664" i="17" a="1"/>
  <c r="N664" i="17" s="1"/>
  <c r="N712" i="17" a="1"/>
  <c r="N712" i="17" s="1"/>
  <c r="N742" i="17" a="1"/>
  <c r="N742" i="17" s="1"/>
  <c r="N128" i="17" a="1"/>
  <c r="N128" i="17" s="1"/>
  <c r="N129" i="17" a="1"/>
  <c r="N129" i="17"/>
  <c r="N130" i="17" a="1"/>
  <c r="N130" i="17" s="1"/>
  <c r="N131" i="17" a="1"/>
  <c r="N131" i="17" s="1"/>
  <c r="N132" i="17" a="1"/>
  <c r="N132" i="17" s="1"/>
  <c r="N133" i="17" a="1"/>
  <c r="N133" i="17" s="1"/>
  <c r="N245" i="17" a="1"/>
  <c r="N245" i="17" s="1"/>
  <c r="N246" i="17" a="1"/>
  <c r="N246" i="17" s="1"/>
  <c r="N247" i="17" a="1"/>
  <c r="N247" i="17" s="1"/>
  <c r="N293" i="17" a="1"/>
  <c r="N293" i="17" s="1"/>
  <c r="N323" i="17" a="1"/>
  <c r="N323" i="17" s="1"/>
  <c r="N353" i="17" a="1"/>
  <c r="N353" i="17" s="1"/>
  <c r="N425" i="17" a="1"/>
  <c r="N425" i="17" s="1"/>
  <c r="N426" i="17" a="1"/>
  <c r="N426" i="17" s="1"/>
  <c r="N427" i="17" a="1"/>
  <c r="N427" i="17" s="1"/>
  <c r="N473" i="17" a="1"/>
  <c r="N473" i="17" s="1"/>
  <c r="N545" i="17" a="1"/>
  <c r="N545" i="17" s="1"/>
  <c r="N546" i="17" a="1"/>
  <c r="N546" i="17"/>
  <c r="N547" i="17" a="1"/>
  <c r="N547" i="17" s="1"/>
  <c r="N593" i="17" a="1"/>
  <c r="N593" i="17" s="1"/>
  <c r="N665" i="17" a="1"/>
  <c r="N665" i="17" s="1"/>
  <c r="N666" i="17" a="1"/>
  <c r="N666" i="17" s="1"/>
  <c r="N667" i="17" a="1"/>
  <c r="N667" i="17" s="1"/>
  <c r="N713" i="17" a="1"/>
  <c r="N713" i="17" s="1"/>
  <c r="N743" i="17" a="1"/>
  <c r="N743" i="17" s="1"/>
  <c r="N134" i="17" a="1"/>
  <c r="N134" i="17" s="1"/>
  <c r="N135" i="17" a="1"/>
  <c r="N135" i="17" s="1"/>
  <c r="N136" i="17" a="1"/>
  <c r="N136" i="17" s="1"/>
  <c r="N137" i="17" a="1"/>
  <c r="N137" i="17" s="1"/>
  <c r="N138" i="17" a="1"/>
  <c r="N138" i="17" s="1"/>
  <c r="N139" i="17" a="1"/>
  <c r="N139" i="17" s="1"/>
  <c r="N248" i="17" a="1"/>
  <c r="N248" i="17" s="1"/>
  <c r="N249" i="17" a="1"/>
  <c r="N249" i="17" s="1"/>
  <c r="N250" i="17" a="1"/>
  <c r="N250" i="17"/>
  <c r="N294" i="17" a="1"/>
  <c r="N294" i="17" s="1"/>
  <c r="N324" i="17" a="1"/>
  <c r="N324" i="17" s="1"/>
  <c r="N354" i="17" a="1"/>
  <c r="N354" i="17" s="1"/>
  <c r="N428" i="17" a="1"/>
  <c r="N428" i="17" s="1"/>
  <c r="N429" i="17" a="1"/>
  <c r="N429" i="17" s="1"/>
  <c r="N430" i="17" a="1"/>
  <c r="N430" i="17" s="1"/>
  <c r="N474" i="17" a="1"/>
  <c r="N474" i="17" s="1"/>
  <c r="N548" i="17" a="1"/>
  <c r="N548" i="17" s="1"/>
  <c r="N549" i="17" a="1"/>
  <c r="N549" i="17" s="1"/>
  <c r="N550" i="17" a="1"/>
  <c r="N550" i="17" s="1"/>
  <c r="N594" i="17" a="1"/>
  <c r="N594" i="17" s="1"/>
  <c r="N668" i="17" a="1"/>
  <c r="N668" i="17" s="1"/>
  <c r="N669" i="17" a="1"/>
  <c r="N669" i="17" s="1"/>
  <c r="N670" i="17" a="1"/>
  <c r="N670" i="17" s="1"/>
  <c r="N714" i="17" a="1"/>
  <c r="N714" i="17" s="1"/>
  <c r="N744" i="17" a="1"/>
  <c r="N744" i="17"/>
  <c r="N140" i="17" a="1"/>
  <c r="N140" i="17" s="1"/>
  <c r="N141" i="17" a="1"/>
  <c r="N141" i="17" s="1"/>
  <c r="N142" i="17" a="1"/>
  <c r="N142" i="17" s="1"/>
  <c r="N143" i="17" a="1"/>
  <c r="N143" i="17" s="1"/>
  <c r="N144" i="17" a="1"/>
  <c r="N144" i="17" s="1"/>
  <c r="N145" i="17" a="1"/>
  <c r="N145" i="17" s="1"/>
  <c r="N251" i="17" a="1"/>
  <c r="N251" i="17" s="1"/>
  <c r="N252" i="17" a="1"/>
  <c r="N252" i="17" s="1"/>
  <c r="N253" i="17" a="1"/>
  <c r="N253" i="17" s="1"/>
  <c r="N295" i="17" a="1"/>
  <c r="N295" i="17" s="1"/>
  <c r="N325" i="17" a="1"/>
  <c r="N325" i="17" s="1"/>
  <c r="N355" i="17" a="1"/>
  <c r="N355" i="17" s="1"/>
  <c r="N431" i="17" a="1"/>
  <c r="N431" i="17" s="1"/>
  <c r="N432" i="17" a="1"/>
  <c r="N432" i="17" s="1"/>
  <c r="N433" i="17" a="1"/>
  <c r="N433" i="17" s="1"/>
  <c r="N475" i="17" a="1"/>
  <c r="N475" i="17" s="1"/>
  <c r="N551" i="17" a="1"/>
  <c r="N551" i="17" s="1"/>
  <c r="N552" i="17" a="1"/>
  <c r="N552" i="17" s="1"/>
  <c r="N553" i="17" a="1"/>
  <c r="N553" i="17" s="1"/>
  <c r="N595" i="17" a="1"/>
  <c r="N595" i="17" s="1"/>
  <c r="N671" i="17" a="1"/>
  <c r="N671" i="17" s="1"/>
  <c r="N672" i="17" a="1"/>
  <c r="N672" i="17" s="1"/>
  <c r="N673" i="17" a="1"/>
  <c r="N673" i="17" s="1"/>
  <c r="N715" i="17" a="1"/>
  <c r="N715" i="17" s="1"/>
  <c r="N745" i="17" a="1"/>
  <c r="N745" i="17" s="1"/>
  <c r="N146" i="17" a="1"/>
  <c r="N146" i="17" s="1"/>
  <c r="N147" i="17" a="1"/>
  <c r="N147" i="17" s="1"/>
  <c r="N148" i="17" a="1"/>
  <c r="N148" i="17"/>
  <c r="N149" i="17" a="1"/>
  <c r="N149" i="17" s="1"/>
  <c r="N150" i="17" a="1"/>
  <c r="N150" i="17" s="1"/>
  <c r="N151" i="17" a="1"/>
  <c r="N151" i="17" s="1"/>
  <c r="N254" i="17" a="1"/>
  <c r="N254" i="17" s="1"/>
  <c r="N255" i="17" a="1"/>
  <c r="N255" i="17" s="1"/>
  <c r="N256" i="17" a="1"/>
  <c r="N256" i="17" s="1"/>
  <c r="N296" i="17" a="1"/>
  <c r="N296" i="17" s="1"/>
  <c r="N326" i="17" a="1"/>
  <c r="N326" i="17" s="1"/>
  <c r="N356" i="17" a="1"/>
  <c r="N356" i="17" s="1"/>
  <c r="N434" i="17" a="1"/>
  <c r="N434" i="17" s="1"/>
  <c r="N435" i="17" a="1"/>
  <c r="N435" i="17" s="1"/>
  <c r="N436" i="17" a="1"/>
  <c r="N436" i="17" s="1"/>
  <c r="N476" i="17" a="1"/>
  <c r="N476" i="17" s="1"/>
  <c r="N554" i="17" a="1"/>
  <c r="N554" i="17" s="1"/>
  <c r="N555" i="17" a="1"/>
  <c r="N555" i="17" s="1"/>
  <c r="N556" i="17" a="1"/>
  <c r="N556" i="17" s="1"/>
  <c r="N596" i="17" a="1"/>
  <c r="N596" i="17" s="1"/>
  <c r="N674" i="17" a="1"/>
  <c r="N674" i="17" s="1"/>
  <c r="N675" i="17" a="1"/>
  <c r="N675" i="17" s="1"/>
  <c r="N676" i="17" a="1"/>
  <c r="N676" i="17" s="1"/>
  <c r="N716" i="17" a="1"/>
  <c r="N716" i="17" s="1"/>
  <c r="N746" i="17" a="1"/>
  <c r="N746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257" i="17" a="1"/>
  <c r="N257" i="17" s="1"/>
  <c r="N258" i="17" a="1"/>
  <c r="N258" i="17" s="1"/>
  <c r="N259" i="17" a="1"/>
  <c r="N259" i="17" s="1"/>
  <c r="N297" i="17" a="1"/>
  <c r="N297" i="17"/>
  <c r="N327" i="17" a="1"/>
  <c r="N327" i="17" s="1"/>
  <c r="N357" i="17" a="1"/>
  <c r="N357" i="17" s="1"/>
  <c r="N437" i="17" a="1"/>
  <c r="N437" i="17" s="1"/>
  <c r="N438" i="17" a="1"/>
  <c r="N438" i="17" s="1"/>
  <c r="N439" i="17" a="1"/>
  <c r="N439" i="17" s="1"/>
  <c r="N477" i="17" a="1"/>
  <c r="N477" i="17" s="1"/>
  <c r="N557" i="17" a="1"/>
  <c r="N557" i="17" s="1"/>
  <c r="N558" i="17" a="1"/>
  <c r="N558" i="17" s="1"/>
  <c r="N559" i="17" a="1"/>
  <c r="N559" i="17" s="1"/>
  <c r="N597" i="17" a="1"/>
  <c r="N597" i="17" s="1"/>
  <c r="N677" i="17" a="1"/>
  <c r="N677" i="17" s="1"/>
  <c r="N678" i="17" a="1"/>
  <c r="N678" i="17" s="1"/>
  <c r="N679" i="17" a="1"/>
  <c r="N679" i="17" s="1"/>
  <c r="N717" i="17" a="1"/>
  <c r="N717" i="17" s="1"/>
  <c r="N747" i="17" a="1"/>
  <c r="N747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260" i="17" a="1"/>
  <c r="N260" i="17" s="1"/>
  <c r="N261" i="17" a="1"/>
  <c r="N261" i="17" s="1"/>
  <c r="N262" i="17" a="1"/>
  <c r="N262" i="17" s="1"/>
  <c r="N298" i="17" a="1"/>
  <c r="N298" i="17" s="1"/>
  <c r="N328" i="17" a="1"/>
  <c r="N328" i="17" s="1"/>
  <c r="N358" i="17" a="1"/>
  <c r="N358" i="17" s="1"/>
  <c r="N440" i="17" a="1"/>
  <c r="N440" i="17" s="1"/>
  <c r="N441" i="17" a="1"/>
  <c r="N441" i="17" s="1"/>
  <c r="N442" i="17" a="1"/>
  <c r="N442" i="17" s="1"/>
  <c r="N478" i="17" a="1"/>
  <c r="N478" i="17" s="1"/>
  <c r="N560" i="17" a="1"/>
  <c r="N560" i="17" s="1"/>
  <c r="N561" i="17" a="1"/>
  <c r="N561" i="17" s="1"/>
  <c r="N562" i="17" a="1"/>
  <c r="N562" i="17" s="1"/>
  <c r="N598" i="17" a="1"/>
  <c r="N598" i="17" s="1"/>
  <c r="N680" i="17" a="1"/>
  <c r="N680" i="17" s="1"/>
  <c r="N681" i="17" a="1"/>
  <c r="N681" i="17" s="1"/>
  <c r="N682" i="17" a="1"/>
  <c r="N682" i="17" s="1"/>
  <c r="N718" i="17" a="1"/>
  <c r="N718" i="17" s="1"/>
  <c r="N748" i="17" a="1"/>
  <c r="N748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263" i="17" a="1"/>
  <c r="N263" i="17" s="1"/>
  <c r="N264" i="17" a="1"/>
  <c r="N264" i="17" s="1"/>
  <c r="N265" i="17" a="1"/>
  <c r="N265" i="17" s="1"/>
  <c r="N299" i="17" a="1"/>
  <c r="N299" i="17" s="1"/>
  <c r="N329" i="17" a="1"/>
  <c r="N329" i="17" s="1"/>
  <c r="N359" i="17" a="1"/>
  <c r="N359" i="17" s="1"/>
  <c r="N443" i="17" a="1"/>
  <c r="N443" i="17" s="1"/>
  <c r="N444" i="17" a="1"/>
  <c r="N444" i="17" s="1"/>
  <c r="N445" i="17" a="1"/>
  <c r="N445" i="17" s="1"/>
  <c r="N479" i="17" a="1"/>
  <c r="N479" i="17" s="1"/>
  <c r="N563" i="17" a="1"/>
  <c r="N563" i="17" s="1"/>
  <c r="N564" i="17" a="1"/>
  <c r="N564" i="17" s="1"/>
  <c r="N565" i="17" a="1"/>
  <c r="N565" i="17" s="1"/>
  <c r="N599" i="17" a="1"/>
  <c r="N599" i="17" s="1"/>
  <c r="N683" i="17" a="1"/>
  <c r="N683" i="17" s="1"/>
  <c r="N684" i="17" a="1"/>
  <c r="N684" i="17" s="1"/>
  <c r="N685" i="17" a="1"/>
  <c r="N685" i="17" s="1"/>
  <c r="N719" i="17" a="1"/>
  <c r="N719" i="17" s="1"/>
  <c r="N749" i="17" a="1"/>
  <c r="N749" i="17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266" i="17" a="1"/>
  <c r="N266" i="17" s="1"/>
  <c r="N267" i="17" a="1"/>
  <c r="N267" i="17" s="1"/>
  <c r="N268" i="17" a="1"/>
  <c r="N268" i="17" s="1"/>
  <c r="N300" i="17" a="1"/>
  <c r="N300" i="17" s="1"/>
  <c r="N330" i="17" a="1"/>
  <c r="N330" i="17" s="1"/>
  <c r="N360" i="17" a="1"/>
  <c r="N360" i="17" s="1"/>
  <c r="N446" i="17" a="1"/>
  <c r="N446" i="17" s="1"/>
  <c r="N447" i="17" a="1"/>
  <c r="N447" i="17" s="1"/>
  <c r="N448" i="17" a="1"/>
  <c r="N448" i="17" s="1"/>
  <c r="N480" i="17" a="1"/>
  <c r="N480" i="17" s="1"/>
  <c r="N566" i="17" a="1"/>
  <c r="N566" i="17" s="1"/>
  <c r="N567" i="17" a="1"/>
  <c r="N567" i="17" s="1"/>
  <c r="N568" i="17" a="1"/>
  <c r="N568" i="17" s="1"/>
  <c r="N600" i="17" a="1"/>
  <c r="N600" i="17" s="1"/>
  <c r="N686" i="17" a="1"/>
  <c r="N686" i="17" s="1"/>
  <c r="N687" i="17" a="1"/>
  <c r="N687" i="17" s="1"/>
  <c r="N688" i="17" a="1"/>
  <c r="N688" i="17" s="1"/>
  <c r="N720" i="17" a="1"/>
  <c r="N720" i="17" s="1"/>
  <c r="N750" i="17" a="1"/>
  <c r="N750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269" i="17" a="1"/>
  <c r="N269" i="17" s="1"/>
  <c r="N270" i="17" a="1"/>
  <c r="N270" i="17" s="1"/>
  <c r="N271" i="17" a="1"/>
  <c r="N271" i="17" s="1"/>
  <c r="N301" i="17" a="1"/>
  <c r="N301" i="17" s="1"/>
  <c r="N331" i="17" a="1"/>
  <c r="N331" i="17" s="1"/>
  <c r="N361" i="17" a="1"/>
  <c r="N361" i="17" s="1"/>
  <c r="N449" i="17" a="1"/>
  <c r="N449" i="17" s="1"/>
  <c r="N450" i="17" a="1"/>
  <c r="N450" i="17" s="1"/>
  <c r="N451" i="17" a="1"/>
  <c r="N451" i="17" s="1"/>
  <c r="N481" i="17" a="1"/>
  <c r="N481" i="17" s="1"/>
  <c r="N569" i="17" a="1"/>
  <c r="N569" i="17" s="1"/>
  <c r="N570" i="17" a="1"/>
  <c r="N570" i="17" s="1"/>
  <c r="N571" i="17" a="1"/>
  <c r="N571" i="17" s="1"/>
  <c r="N601" i="17" a="1"/>
  <c r="N601" i="17" s="1"/>
  <c r="N689" i="17" a="1"/>
  <c r="N689" i="17" s="1"/>
  <c r="N690" i="17" a="1"/>
  <c r="N690" i="17" s="1"/>
  <c r="N691" i="17" a="1"/>
  <c r="N691" i="17"/>
  <c r="N721" i="17" a="1"/>
  <c r="N721" i="17" s="1"/>
  <c r="N751" i="17" a="1"/>
  <c r="N75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182" i="17" a="1"/>
  <c r="O182" i="17" s="1"/>
  <c r="O183" i="17" a="1"/>
  <c r="O183" i="17" s="1"/>
  <c r="O184" i="17" a="1"/>
  <c r="O184" i="17" s="1"/>
  <c r="O272" i="17" a="1"/>
  <c r="O272" i="17" s="1"/>
  <c r="O302" i="17" a="1"/>
  <c r="O302" i="17" s="1"/>
  <c r="O332" i="17" a="1"/>
  <c r="O332" i="17" s="1"/>
  <c r="O362" i="17" a="1"/>
  <c r="O362" i="17" s="1"/>
  <c r="O363" i="17" a="1"/>
  <c r="O363" i="17"/>
  <c r="O364" i="17" a="1"/>
  <c r="O364" i="17" s="1"/>
  <c r="O452" i="17" a="1"/>
  <c r="O452" i="17" s="1"/>
  <c r="O482" i="17" a="1"/>
  <c r="O482" i="17" s="1"/>
  <c r="O483" i="17" a="1"/>
  <c r="O483" i="17" s="1"/>
  <c r="O484" i="17" a="1"/>
  <c r="O484" i="17" s="1"/>
  <c r="O572" i="17" a="1"/>
  <c r="O572" i="17" s="1"/>
  <c r="O602" i="17" a="1"/>
  <c r="O602" i="17" s="1"/>
  <c r="O603" i="17" a="1"/>
  <c r="O603" i="17" s="1"/>
  <c r="O604" i="17" a="1"/>
  <c r="O604" i="17" s="1"/>
  <c r="O692" i="17" a="1"/>
  <c r="O692" i="17" s="1"/>
  <c r="O722" i="17" a="1"/>
  <c r="O72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185" i="17" a="1"/>
  <c r="O185" i="17" s="1"/>
  <c r="O186" i="17" a="1"/>
  <c r="O186" i="17" s="1"/>
  <c r="O187" i="17" a="1"/>
  <c r="O187" i="17" s="1"/>
  <c r="O273" i="17" a="1"/>
  <c r="O273" i="17" s="1"/>
  <c r="O303" i="17" a="1"/>
  <c r="O303" i="17" s="1"/>
  <c r="O333" i="17" a="1"/>
  <c r="O333" i="17" s="1"/>
  <c r="O365" i="17" a="1"/>
  <c r="O365" i="17" s="1"/>
  <c r="O366" i="17" a="1"/>
  <c r="O366" i="17" s="1"/>
  <c r="O367" i="17" a="1"/>
  <c r="O367" i="17"/>
  <c r="O453" i="17" a="1"/>
  <c r="O453" i="17" s="1"/>
  <c r="O485" i="17" a="1"/>
  <c r="O485" i="17" s="1"/>
  <c r="O486" i="17" a="1"/>
  <c r="O486" i="17" s="1"/>
  <c r="O487" i="17" a="1"/>
  <c r="O487" i="17" s="1"/>
  <c r="O573" i="17" a="1"/>
  <c r="O573" i="17" s="1"/>
  <c r="O605" i="17" a="1"/>
  <c r="O605" i="17" s="1"/>
  <c r="O606" i="17" a="1"/>
  <c r="O606" i="17" s="1"/>
  <c r="O607" i="17" a="1"/>
  <c r="O607" i="17" s="1"/>
  <c r="O693" i="17" a="1"/>
  <c r="O693" i="17" s="1"/>
  <c r="O723" i="17" a="1"/>
  <c r="O72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188" i="17" a="1"/>
  <c r="O188" i="17" s="1"/>
  <c r="O189" i="17" a="1"/>
  <c r="O189" i="17" s="1"/>
  <c r="O190" i="17" a="1"/>
  <c r="O190" i="17" s="1"/>
  <c r="O274" i="17" a="1"/>
  <c r="O274" i="17" s="1"/>
  <c r="O304" i="17" a="1"/>
  <c r="O304" i="17" s="1"/>
  <c r="O334" i="17" a="1"/>
  <c r="O334" i="17" s="1"/>
  <c r="O368" i="17" a="1"/>
  <c r="O368" i="17" s="1"/>
  <c r="O369" i="17" a="1"/>
  <c r="O369" i="17" s="1"/>
  <c r="O370" i="17" a="1"/>
  <c r="O370" i="17" s="1"/>
  <c r="O454" i="17" a="1"/>
  <c r="O454" i="17" s="1"/>
  <c r="O488" i="17" a="1"/>
  <c r="O488" i="17" s="1"/>
  <c r="O489" i="17" a="1"/>
  <c r="O489" i="17" s="1"/>
  <c r="O490" i="17" a="1"/>
  <c r="O490" i="17" s="1"/>
  <c r="O574" i="17" a="1"/>
  <c r="O574" i="17" s="1"/>
  <c r="O608" i="17" a="1"/>
  <c r="O608" i="17" s="1"/>
  <c r="O609" i="17" a="1"/>
  <c r="O609" i="17"/>
  <c r="O610" i="17" a="1"/>
  <c r="O610" i="17" s="1"/>
  <c r="O694" i="17" a="1"/>
  <c r="O694" i="17" s="1"/>
  <c r="O724" i="17" a="1"/>
  <c r="O724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191" i="17" a="1"/>
  <c r="O191" i="17" s="1"/>
  <c r="O192" i="17" a="1"/>
  <c r="O192" i="17" s="1"/>
  <c r="O193" i="17" a="1"/>
  <c r="O193" i="17" s="1"/>
  <c r="O275" i="17" a="1"/>
  <c r="O275" i="17" s="1"/>
  <c r="O305" i="17" a="1"/>
  <c r="O305" i="17" s="1"/>
  <c r="O335" i="17" a="1"/>
  <c r="O335" i="17" s="1"/>
  <c r="O371" i="17" a="1"/>
  <c r="O371" i="17" s="1"/>
  <c r="O372" i="17" a="1"/>
  <c r="O372" i="17" s="1"/>
  <c r="O373" i="17" a="1"/>
  <c r="O373" i="17" s="1"/>
  <c r="O455" i="17" a="1"/>
  <c r="O455" i="17" s="1"/>
  <c r="O491" i="17" a="1"/>
  <c r="O491" i="17" s="1"/>
  <c r="O492" i="17" a="1"/>
  <c r="O492" i="17" s="1"/>
  <c r="O493" i="17" a="1"/>
  <c r="O493" i="17" s="1"/>
  <c r="O575" i="17" a="1"/>
  <c r="O575" i="17" s="1"/>
  <c r="O611" i="17" a="1"/>
  <c r="O611" i="17" s="1"/>
  <c r="O612" i="17" a="1"/>
  <c r="O612" i="17" s="1"/>
  <c r="O613" i="17" a="1"/>
  <c r="O613" i="17" s="1"/>
  <c r="O695" i="17" a="1"/>
  <c r="O695" i="17" s="1"/>
  <c r="O725" i="17" a="1"/>
  <c r="O725" i="17" s="1"/>
  <c r="O26" i="17" a="1"/>
  <c r="O26" i="17" s="1"/>
  <c r="O27" i="17" a="1"/>
  <c r="O27" i="17" s="1"/>
  <c r="O28" i="17" a="1"/>
  <c r="O28" i="17" s="1"/>
  <c r="O29" i="17" a="1"/>
  <c r="O29" i="17"/>
  <c r="O30" i="17" a="1"/>
  <c r="O30" i="17" s="1"/>
  <c r="O31" i="17" a="1"/>
  <c r="O31" i="17" s="1"/>
  <c r="O194" i="17" a="1"/>
  <c r="O194" i="17" s="1"/>
  <c r="O195" i="17" a="1"/>
  <c r="O195" i="17" s="1"/>
  <c r="O196" i="17" a="1"/>
  <c r="O196" i="17" s="1"/>
  <c r="O276" i="17" a="1"/>
  <c r="O276" i="17" s="1"/>
  <c r="O306" i="17" a="1"/>
  <c r="O306" i="17" s="1"/>
  <c r="O336" i="17" a="1"/>
  <c r="O336" i="17" s="1"/>
  <c r="O374" i="17" a="1"/>
  <c r="O374" i="17" s="1"/>
  <c r="O375" i="17" a="1"/>
  <c r="O375" i="17" s="1"/>
  <c r="O376" i="17" a="1"/>
  <c r="O376" i="17" s="1"/>
  <c r="O456" i="17" a="1"/>
  <c r="O456" i="17" s="1"/>
  <c r="O494" i="17" a="1"/>
  <c r="O494" i="17" s="1"/>
  <c r="O495" i="17" a="1"/>
  <c r="O495" i="17" s="1"/>
  <c r="O496" i="17" a="1"/>
  <c r="O496" i="17" s="1"/>
  <c r="O576" i="17" a="1"/>
  <c r="O576" i="17" s="1"/>
  <c r="O614" i="17" a="1"/>
  <c r="O614" i="17" s="1"/>
  <c r="O615" i="17" a="1"/>
  <c r="O615" i="17" s="1"/>
  <c r="O616" i="17" a="1"/>
  <c r="O616" i="17" s="1"/>
  <c r="O696" i="17" a="1"/>
  <c r="O696" i="17" s="1"/>
  <c r="O726" i="17" a="1"/>
  <c r="O72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197" i="17" a="1"/>
  <c r="O197" i="17" s="1"/>
  <c r="O198" i="17" a="1"/>
  <c r="O198" i="17" s="1"/>
  <c r="O199" i="17" a="1"/>
  <c r="O199" i="17" s="1"/>
  <c r="O277" i="17" a="1"/>
  <c r="O277" i="17" s="1"/>
  <c r="O307" i="17" a="1"/>
  <c r="O307" i="17"/>
  <c r="O337" i="17" a="1"/>
  <c r="O337" i="17" s="1"/>
  <c r="O377" i="17" a="1"/>
  <c r="O377" i="17" s="1"/>
  <c r="O378" i="17" a="1"/>
  <c r="O378" i="17" s="1"/>
  <c r="O379" i="17" a="1"/>
  <c r="O379" i="17" s="1"/>
  <c r="O457" i="17" a="1"/>
  <c r="O457" i="17" s="1"/>
  <c r="O497" i="17" a="1"/>
  <c r="O497" i="17" s="1"/>
  <c r="O498" i="17" a="1"/>
  <c r="O498" i="17" s="1"/>
  <c r="O499" i="17" a="1"/>
  <c r="O499" i="17" s="1"/>
  <c r="O577" i="17" a="1"/>
  <c r="O577" i="17" s="1"/>
  <c r="O617" i="17" a="1"/>
  <c r="O617" i="17" s="1"/>
  <c r="O618" i="17" a="1"/>
  <c r="O618" i="17" s="1"/>
  <c r="O619" i="17" a="1"/>
  <c r="O619" i="17" s="1"/>
  <c r="O697" i="17" a="1"/>
  <c r="O697" i="17" s="1"/>
  <c r="O727" i="17" a="1"/>
  <c r="O72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200" i="17" a="1"/>
  <c r="O200" i="17" s="1"/>
  <c r="O201" i="17" a="1"/>
  <c r="O201" i="17" s="1"/>
  <c r="O202" i="17" a="1"/>
  <c r="O202" i="17" s="1"/>
  <c r="O278" i="17" a="1"/>
  <c r="O278" i="17"/>
  <c r="O308" i="17" a="1"/>
  <c r="O308" i="17" s="1"/>
  <c r="O338" i="17" a="1"/>
  <c r="O338" i="17" s="1"/>
  <c r="O380" i="17" a="1"/>
  <c r="O380" i="17" s="1"/>
  <c r="O381" i="17" a="1"/>
  <c r="O381" i="17" s="1"/>
  <c r="O382" i="17" a="1"/>
  <c r="O382" i="17" s="1"/>
  <c r="O458" i="17" a="1"/>
  <c r="O458" i="17" s="1"/>
  <c r="O500" i="17" a="1"/>
  <c r="O500" i="17" s="1"/>
  <c r="O501" i="17" a="1"/>
  <c r="O501" i="17" s="1"/>
  <c r="O502" i="17" a="1"/>
  <c r="O502" i="17" s="1"/>
  <c r="O578" i="17" a="1"/>
  <c r="O578" i="17" s="1"/>
  <c r="O620" i="17" a="1"/>
  <c r="O620" i="17" s="1"/>
  <c r="O621" i="17" a="1"/>
  <c r="O621" i="17" s="1"/>
  <c r="O622" i="17" a="1"/>
  <c r="O622" i="17" s="1"/>
  <c r="O698" i="17" a="1"/>
  <c r="O698" i="17" s="1"/>
  <c r="O728" i="17" a="1"/>
  <c r="O72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203" i="17" a="1"/>
  <c r="O203" i="17" s="1"/>
  <c r="O204" i="17" a="1"/>
  <c r="O204" i="17" s="1"/>
  <c r="O205" i="17" a="1"/>
  <c r="O205" i="17" s="1"/>
  <c r="O279" i="17" a="1"/>
  <c r="O279" i="17" s="1"/>
  <c r="O309" i="17" a="1"/>
  <c r="O309" i="17" s="1"/>
  <c r="O339" i="17" a="1"/>
  <c r="O339" i="17"/>
  <c r="O383" i="17" a="1"/>
  <c r="O383" i="17" s="1"/>
  <c r="O384" i="17" a="1"/>
  <c r="O384" i="17" s="1"/>
  <c r="O385" i="17" a="1"/>
  <c r="O385" i="17" s="1"/>
  <c r="O459" i="17" a="1"/>
  <c r="O459" i="17" s="1"/>
  <c r="O503" i="17" a="1"/>
  <c r="O503" i="17" s="1"/>
  <c r="O504" i="17" a="1"/>
  <c r="O504" i="17" s="1"/>
  <c r="O505" i="17" a="1"/>
  <c r="O505" i="17" s="1"/>
  <c r="O579" i="17" a="1"/>
  <c r="O579" i="17" s="1"/>
  <c r="O623" i="17" a="1"/>
  <c r="O623" i="17" s="1"/>
  <c r="O624" i="17" a="1"/>
  <c r="O624" i="17" s="1"/>
  <c r="O625" i="17" a="1"/>
  <c r="O625" i="17" s="1"/>
  <c r="O699" i="17" a="1"/>
  <c r="O699" i="17" s="1"/>
  <c r="O729" i="17" a="1"/>
  <c r="O729" i="17" s="1"/>
  <c r="O50" i="17" a="1"/>
  <c r="O50" i="17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206" i="17" a="1"/>
  <c r="O206" i="17" s="1"/>
  <c r="O207" i="17" a="1"/>
  <c r="O207" i="17" s="1"/>
  <c r="O208" i="17" a="1"/>
  <c r="O208" i="17" s="1"/>
  <c r="O280" i="17" a="1"/>
  <c r="O280" i="17" s="1"/>
  <c r="O310" i="17" a="1"/>
  <c r="O310" i="17"/>
  <c r="O340" i="17" a="1"/>
  <c r="O340" i="17" s="1"/>
  <c r="O386" i="17" a="1"/>
  <c r="O386" i="17" s="1"/>
  <c r="O387" i="17" a="1"/>
  <c r="O387" i="17" s="1"/>
  <c r="O388" i="17" a="1"/>
  <c r="O388" i="17" s="1"/>
  <c r="O460" i="17" a="1"/>
  <c r="O460" i="17" s="1"/>
  <c r="O506" i="17" a="1"/>
  <c r="O506" i="17"/>
  <c r="O507" i="17" a="1"/>
  <c r="O507" i="17" s="1"/>
  <c r="O508" i="17" a="1"/>
  <c r="O508" i="17" s="1"/>
  <c r="O580" i="17" a="1"/>
  <c r="O580" i="17" s="1"/>
  <c r="O626" i="17" a="1"/>
  <c r="O626" i="17" s="1"/>
  <c r="O627" i="17" a="1"/>
  <c r="O627" i="17" s="1"/>
  <c r="O628" i="17" a="1"/>
  <c r="O628" i="17" s="1"/>
  <c r="O700" i="17" a="1"/>
  <c r="O700" i="17" s="1"/>
  <c r="O730" i="17" a="1"/>
  <c r="O73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209" i="17" a="1"/>
  <c r="O209" i="17" s="1"/>
  <c r="O210" i="17" a="1"/>
  <c r="O210" i="17" s="1"/>
  <c r="O211" i="17" a="1"/>
  <c r="O211" i="17" s="1"/>
  <c r="O281" i="17" a="1"/>
  <c r="O281" i="17" s="1"/>
  <c r="O311" i="17" a="1"/>
  <c r="O311" i="17" s="1"/>
  <c r="O341" i="17" a="1"/>
  <c r="O341" i="17"/>
  <c r="O389" i="17" a="1"/>
  <c r="O389" i="17" s="1"/>
  <c r="O390" i="17" a="1"/>
  <c r="O390" i="17" s="1"/>
  <c r="O391" i="17" a="1"/>
  <c r="O391" i="17" s="1"/>
  <c r="O461" i="17" a="1"/>
  <c r="O461" i="17" s="1"/>
  <c r="O509" i="17" a="1"/>
  <c r="O509" i="17" s="1"/>
  <c r="O510" i="17" a="1"/>
  <c r="O510" i="17" s="1"/>
  <c r="O511" i="17" a="1"/>
  <c r="O511" i="17" s="1"/>
  <c r="O581" i="17" a="1"/>
  <c r="O581" i="17" s="1"/>
  <c r="O629" i="17" a="1"/>
  <c r="O629" i="17" s="1"/>
  <c r="O630" i="17" a="1"/>
  <c r="O630" i="17" s="1"/>
  <c r="O631" i="17" a="1"/>
  <c r="O631" i="17" s="1"/>
  <c r="O701" i="17" a="1"/>
  <c r="O701" i="17" s="1"/>
  <c r="O731" i="17" a="1"/>
  <c r="O731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212" i="17" a="1"/>
  <c r="O212" i="17" s="1"/>
  <c r="O213" i="17" a="1"/>
  <c r="O213" i="17" s="1"/>
  <c r="O214" i="17" a="1"/>
  <c r="O214" i="17" s="1"/>
  <c r="O282" i="17" a="1"/>
  <c r="O282" i="17" s="1"/>
  <c r="O312" i="17" a="1"/>
  <c r="O312" i="17" s="1"/>
  <c r="O342" i="17" a="1"/>
  <c r="O342" i="17" s="1"/>
  <c r="O392" i="17" a="1"/>
  <c r="O392" i="17" s="1"/>
  <c r="O393" i="17" a="1"/>
  <c r="O393" i="17" s="1"/>
  <c r="O394" i="17" a="1"/>
  <c r="O394" i="17"/>
  <c r="O462" i="17" a="1"/>
  <c r="O462" i="17" s="1"/>
  <c r="O512" i="17" a="1"/>
  <c r="O512" i="17" s="1"/>
  <c r="O513" i="17" a="1"/>
  <c r="O513" i="17" s="1"/>
  <c r="O514" i="17" a="1"/>
  <c r="O514" i="17" s="1"/>
  <c r="O582" i="17" a="1"/>
  <c r="O582" i="17" s="1"/>
  <c r="O632" i="17" a="1"/>
  <c r="O632" i="17" s="1"/>
  <c r="O633" i="17" a="1"/>
  <c r="O633" i="17" s="1"/>
  <c r="O634" i="17" a="1"/>
  <c r="O634" i="17" s="1"/>
  <c r="O702" i="17" a="1"/>
  <c r="O702" i="17" s="1"/>
  <c r="O732" i="17" a="1"/>
  <c r="O732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215" i="17" a="1"/>
  <c r="O215" i="17" s="1"/>
  <c r="O216" i="17" a="1"/>
  <c r="O216" i="17" s="1"/>
  <c r="O217" i="17" a="1"/>
  <c r="O217" i="17" s="1"/>
  <c r="O283" i="17" a="1"/>
  <c r="O283" i="17" s="1"/>
  <c r="O313" i="17" a="1"/>
  <c r="O313" i="17" s="1"/>
  <c r="O343" i="17" a="1"/>
  <c r="O343" i="17" s="1"/>
  <c r="O395" i="17" a="1"/>
  <c r="O395" i="17" s="1"/>
  <c r="O396" i="17" a="1"/>
  <c r="O396" i="17" s="1"/>
  <c r="O397" i="17" a="1"/>
  <c r="O397" i="17" s="1"/>
  <c r="O463" i="17" a="1"/>
  <c r="O463" i="17" s="1"/>
  <c r="O515" i="17" a="1"/>
  <c r="O515" i="17" s="1"/>
  <c r="O516" i="17" a="1"/>
  <c r="O516" i="17"/>
  <c r="O517" i="17" a="1"/>
  <c r="O517" i="17" s="1"/>
  <c r="O583" i="17" a="1"/>
  <c r="O583" i="17" s="1"/>
  <c r="O635" i="17" a="1"/>
  <c r="O635" i="17" s="1"/>
  <c r="O636" i="17" a="1"/>
  <c r="O636" i="17" s="1"/>
  <c r="O637" i="17" a="1"/>
  <c r="O637" i="17" s="1"/>
  <c r="O703" i="17" a="1"/>
  <c r="O703" i="17" s="1"/>
  <c r="O733" i="17" a="1"/>
  <c r="O733" i="17" s="1"/>
  <c r="O74" i="17" a="1"/>
  <c r="O74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218" i="17" a="1"/>
  <c r="O218" i="17" s="1"/>
  <c r="O219" i="17" a="1"/>
  <c r="O219" i="17" s="1"/>
  <c r="O220" i="17" a="1"/>
  <c r="O220" i="17" s="1"/>
  <c r="O284" i="17" a="1"/>
  <c r="O284" i="17" s="1"/>
  <c r="O314" i="17" a="1"/>
  <c r="O314" i="17" s="1"/>
  <c r="O344" i="17" a="1"/>
  <c r="O344" i="17" s="1"/>
  <c r="O398" i="17" a="1"/>
  <c r="O398" i="17" s="1"/>
  <c r="O399" i="17" a="1"/>
  <c r="O399" i="17" s="1"/>
  <c r="O400" i="17" a="1"/>
  <c r="O400" i="17" s="1"/>
  <c r="O464" i="17" a="1"/>
  <c r="O464" i="17" s="1"/>
  <c r="O518" i="17" a="1"/>
  <c r="O518" i="17" s="1"/>
  <c r="O519" i="17" a="1"/>
  <c r="O519" i="17" s="1"/>
  <c r="O520" i="17" a="1"/>
  <c r="O520" i="17" s="1"/>
  <c r="O584" i="17" a="1"/>
  <c r="O584" i="17" s="1"/>
  <c r="O638" i="17" a="1"/>
  <c r="O638" i="17" s="1"/>
  <c r="O639" i="17" a="1"/>
  <c r="O639" i="17" s="1"/>
  <c r="O640" i="17" a="1"/>
  <c r="O640" i="17" s="1"/>
  <c r="O704" i="17" a="1"/>
  <c r="O704" i="17" s="1"/>
  <c r="O734" i="17" a="1"/>
  <c r="O734" i="17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221" i="17" a="1"/>
  <c r="O221" i="17" s="1"/>
  <c r="O222" i="17" a="1"/>
  <c r="O222" i="17" s="1"/>
  <c r="O223" i="17" a="1"/>
  <c r="O223" i="17" s="1"/>
  <c r="O285" i="17" a="1"/>
  <c r="O285" i="17" s="1"/>
  <c r="O315" i="17" a="1"/>
  <c r="O315" i="17" s="1"/>
  <c r="O345" i="17" a="1"/>
  <c r="O345" i="17" s="1"/>
  <c r="O401" i="17" a="1"/>
  <c r="O401" i="17" s="1"/>
  <c r="O402" i="17" a="1"/>
  <c r="O402" i="17" s="1"/>
  <c r="O403" i="17" a="1"/>
  <c r="O403" i="17" s="1"/>
  <c r="O465" i="17" a="1"/>
  <c r="O465" i="17" s="1"/>
  <c r="O521" i="17" a="1"/>
  <c r="O521" i="17" s="1"/>
  <c r="O522" i="17" a="1"/>
  <c r="O522" i="17" s="1"/>
  <c r="O523" i="17" a="1"/>
  <c r="O523" i="17" s="1"/>
  <c r="O585" i="17" a="1"/>
  <c r="O585" i="17" s="1"/>
  <c r="O641" i="17" a="1"/>
  <c r="O641" i="17" s="1"/>
  <c r="O642" i="17" a="1"/>
  <c r="O642" i="17" s="1"/>
  <c r="O643" i="17" a="1"/>
  <c r="O643" i="17" s="1"/>
  <c r="O705" i="17" a="1"/>
  <c r="O705" i="17" s="1"/>
  <c r="O735" i="17" a="1"/>
  <c r="O73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224" i="17" a="1"/>
  <c r="O224" i="17"/>
  <c r="O225" i="17" a="1"/>
  <c r="O225" i="17" s="1"/>
  <c r="O226" i="17" a="1"/>
  <c r="O226" i="17" s="1"/>
  <c r="O286" i="17" a="1"/>
  <c r="O286" i="17" s="1"/>
  <c r="O316" i="17" a="1"/>
  <c r="O316" i="17" s="1"/>
  <c r="O346" i="17" a="1"/>
  <c r="O346" i="17" s="1"/>
  <c r="O404" i="17" a="1"/>
  <c r="O404" i="17" s="1"/>
  <c r="O405" i="17" a="1"/>
  <c r="O405" i="17" s="1"/>
  <c r="O406" i="17" a="1"/>
  <c r="O406" i="17" s="1"/>
  <c r="O466" i="17" a="1"/>
  <c r="O466" i="17" s="1"/>
  <c r="O524" i="17" a="1"/>
  <c r="O524" i="17" s="1"/>
  <c r="O525" i="17" a="1"/>
  <c r="O525" i="17" s="1"/>
  <c r="O526" i="17" a="1"/>
  <c r="O526" i="17" s="1"/>
  <c r="O586" i="17" a="1"/>
  <c r="O586" i="17" s="1"/>
  <c r="O644" i="17" a="1"/>
  <c r="O644" i="17" s="1"/>
  <c r="O645" i="17" a="1"/>
  <c r="O645" i="17" s="1"/>
  <c r="O646" i="17" a="1"/>
  <c r="O646" i="17" s="1"/>
  <c r="O706" i="17" a="1"/>
  <c r="O706" i="17" s="1"/>
  <c r="O736" i="17" a="1"/>
  <c r="O736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227" i="17" a="1"/>
  <c r="O227" i="17" s="1"/>
  <c r="O228" i="17" a="1"/>
  <c r="O228" i="17" s="1"/>
  <c r="O229" i="17" a="1"/>
  <c r="O229" i="17" s="1"/>
  <c r="O287" i="17" a="1"/>
  <c r="O287" i="17" s="1"/>
  <c r="O317" i="17" a="1"/>
  <c r="O317" i="17" s="1"/>
  <c r="O347" i="17" a="1"/>
  <c r="O347" i="17" s="1"/>
  <c r="O407" i="17" a="1"/>
  <c r="O407" i="17" s="1"/>
  <c r="O408" i="17" a="1"/>
  <c r="O408" i="17"/>
  <c r="O409" i="17" a="1"/>
  <c r="O409" i="17" s="1"/>
  <c r="O467" i="17" a="1"/>
  <c r="O467" i="17" s="1"/>
  <c r="O527" i="17" a="1"/>
  <c r="O527" i="17" s="1"/>
  <c r="O528" i="17" a="1"/>
  <c r="O528" i="17" s="1"/>
  <c r="O529" i="17" a="1"/>
  <c r="O529" i="17" s="1"/>
  <c r="O587" i="17" a="1"/>
  <c r="O587" i="17" s="1"/>
  <c r="O647" i="17" a="1"/>
  <c r="O647" i="17" s="1"/>
  <c r="O648" i="17" a="1"/>
  <c r="O648" i="17" s="1"/>
  <c r="O649" i="17" a="1"/>
  <c r="O649" i="17" s="1"/>
  <c r="O707" i="17" a="1"/>
  <c r="O707" i="17"/>
  <c r="O737" i="17" a="1"/>
  <c r="O737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230" i="17" a="1"/>
  <c r="O230" i="17" s="1"/>
  <c r="O231" i="17" a="1"/>
  <c r="O231" i="17" s="1"/>
  <c r="O232" i="17" a="1"/>
  <c r="O232" i="17" s="1"/>
  <c r="O288" i="17" a="1"/>
  <c r="O288" i="17" s="1"/>
  <c r="O318" i="17" a="1"/>
  <c r="O318" i="17" s="1"/>
  <c r="O348" i="17" a="1"/>
  <c r="O348" i="17" s="1"/>
  <c r="O410" i="17" a="1"/>
  <c r="O410" i="17" s="1"/>
  <c r="O411" i="17" a="1"/>
  <c r="O411" i="17" s="1"/>
  <c r="O412" i="17" a="1"/>
  <c r="O412" i="17"/>
  <c r="O468" i="17" a="1"/>
  <c r="O468" i="17" s="1"/>
  <c r="O530" i="17" a="1"/>
  <c r="O530" i="17" s="1"/>
  <c r="O531" i="17" a="1"/>
  <c r="O531" i="17" s="1"/>
  <c r="O532" i="17" a="1"/>
  <c r="O532" i="17" s="1"/>
  <c r="O588" i="17" a="1"/>
  <c r="O588" i="17" s="1"/>
  <c r="O650" i="17" a="1"/>
  <c r="O650" i="17" s="1"/>
  <c r="O651" i="17" a="1"/>
  <c r="O651" i="17" s="1"/>
  <c r="O652" i="17" a="1"/>
  <c r="O652" i="17" s="1"/>
  <c r="O708" i="17" a="1"/>
  <c r="O708" i="17" s="1"/>
  <c r="O738" i="17" a="1"/>
  <c r="O73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/>
  <c r="O233" i="17" a="1"/>
  <c r="O233" i="17" s="1"/>
  <c r="O234" i="17" a="1"/>
  <c r="O234" i="17" s="1"/>
  <c r="O235" i="17" a="1"/>
  <c r="O235" i="17" s="1"/>
  <c r="O289" i="17" a="1"/>
  <c r="O289" i="17" s="1"/>
  <c r="O319" i="17" a="1"/>
  <c r="O319" i="17" s="1"/>
  <c r="O349" i="17" a="1"/>
  <c r="O349" i="17" s="1"/>
  <c r="O413" i="17" a="1"/>
  <c r="O413" i="17" s="1"/>
  <c r="O414" i="17" a="1"/>
  <c r="O414" i="17" s="1"/>
  <c r="O415" i="17" a="1"/>
  <c r="O415" i="17" s="1"/>
  <c r="O469" i="17" a="1"/>
  <c r="O469" i="17" s="1"/>
  <c r="O533" i="17" a="1"/>
  <c r="O533" i="17" s="1"/>
  <c r="O534" i="17" a="1"/>
  <c r="O534" i="17" s="1"/>
  <c r="O535" i="17" a="1"/>
  <c r="O535" i="17" s="1"/>
  <c r="O589" i="17" a="1"/>
  <c r="O589" i="17" s="1"/>
  <c r="O653" i="17" a="1"/>
  <c r="O653" i="17" s="1"/>
  <c r="O654" i="17" a="1"/>
  <c r="O654" i="17"/>
  <c r="O655" i="17" a="1"/>
  <c r="O655" i="17" s="1"/>
  <c r="O709" i="17" a="1"/>
  <c r="O709" i="17" s="1"/>
  <c r="O739" i="17" a="1"/>
  <c r="O739" i="17" s="1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236" i="17" a="1"/>
  <c r="O236" i="17" s="1"/>
  <c r="O237" i="17" a="1"/>
  <c r="O237" i="17" s="1"/>
  <c r="O238" i="17" a="1"/>
  <c r="O238" i="17" s="1"/>
  <c r="O290" i="17" a="1"/>
  <c r="O290" i="17" s="1"/>
  <c r="O320" i="17" a="1"/>
  <c r="O320" i="17" s="1"/>
  <c r="O350" i="17" a="1"/>
  <c r="O350" i="17" s="1"/>
  <c r="O416" i="17" a="1"/>
  <c r="O416" i="17"/>
  <c r="O417" i="17" a="1"/>
  <c r="O417" i="17" s="1"/>
  <c r="O418" i="17" a="1"/>
  <c r="O418" i="17" s="1"/>
  <c r="O470" i="17" a="1"/>
  <c r="O470" i="17" s="1"/>
  <c r="O536" i="17" a="1"/>
  <c r="O536" i="17" s="1"/>
  <c r="O537" i="17" a="1"/>
  <c r="O537" i="17" s="1"/>
  <c r="O538" i="17" a="1"/>
  <c r="O538" i="17" s="1"/>
  <c r="O590" i="17" a="1"/>
  <c r="O590" i="17" s="1"/>
  <c r="O656" i="17" a="1"/>
  <c r="O656" i="17" s="1"/>
  <c r="O657" i="17" a="1"/>
  <c r="O657" i="17" s="1"/>
  <c r="O658" i="17" a="1"/>
  <c r="O658" i="17" s="1"/>
  <c r="O710" i="17" a="1"/>
  <c r="O710" i="17" s="1"/>
  <c r="O740" i="17" a="1"/>
  <c r="O740" i="17" s="1"/>
  <c r="O116" i="17" a="1"/>
  <c r="O116" i="17" s="1"/>
  <c r="O117" i="17" a="1"/>
  <c r="O117" i="17" s="1"/>
  <c r="O118" i="17" a="1"/>
  <c r="O118" i="17" s="1"/>
  <c r="O119" i="17" a="1"/>
  <c r="O119" i="17"/>
  <c r="O120" i="17" a="1"/>
  <c r="O120" i="17" s="1"/>
  <c r="O121" i="17" a="1"/>
  <c r="O121" i="17" s="1"/>
  <c r="O239" i="17" a="1"/>
  <c r="O239" i="17" s="1"/>
  <c r="O240" i="17" a="1"/>
  <c r="O240" i="17" s="1"/>
  <c r="O241" i="17" a="1"/>
  <c r="O241" i="17" s="1"/>
  <c r="O291" i="17" a="1"/>
  <c r="O291" i="17" s="1"/>
  <c r="O321" i="17" a="1"/>
  <c r="O321" i="17" s="1"/>
  <c r="O351" i="17" a="1"/>
  <c r="O351" i="17" s="1"/>
  <c r="O419" i="17" a="1"/>
  <c r="O419" i="17" s="1"/>
  <c r="O420" i="17" a="1"/>
  <c r="O420" i="17" s="1"/>
  <c r="O421" i="17" a="1"/>
  <c r="O421" i="17" s="1"/>
  <c r="O471" i="17" a="1"/>
  <c r="O471" i="17" s="1"/>
  <c r="O539" i="17" a="1"/>
  <c r="O539" i="17" s="1"/>
  <c r="O540" i="17" a="1"/>
  <c r="O540" i="17" s="1"/>
  <c r="O541" i="17" a="1"/>
  <c r="O541" i="17" s="1"/>
  <c r="O591" i="17" a="1"/>
  <c r="O591" i="17" s="1"/>
  <c r="O659" i="17" a="1"/>
  <c r="O659" i="17" s="1"/>
  <c r="O660" i="17" a="1"/>
  <c r="O660" i="17" s="1"/>
  <c r="O661" i="17" a="1"/>
  <c r="O661" i="17" s="1"/>
  <c r="O711" i="17" a="1"/>
  <c r="O711" i="17" s="1"/>
  <c r="O741" i="17" a="1"/>
  <c r="O74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242" i="17" a="1"/>
  <c r="O242" i="17" s="1"/>
  <c r="O243" i="17" a="1"/>
  <c r="O243" i="17" s="1"/>
  <c r="O244" i="17" a="1"/>
  <c r="O244" i="17" s="1"/>
  <c r="O292" i="17" a="1"/>
  <c r="O292" i="17" s="1"/>
  <c r="O322" i="17" a="1"/>
  <c r="O322" i="17" s="1"/>
  <c r="O352" i="17" a="1"/>
  <c r="O352" i="17" s="1"/>
  <c r="O422" i="17" a="1"/>
  <c r="O422" i="17" s="1"/>
  <c r="O423" i="17" a="1"/>
  <c r="O423" i="17" s="1"/>
  <c r="O424" i="17" a="1"/>
  <c r="O424" i="17" s="1"/>
  <c r="O472" i="17" a="1"/>
  <c r="O472" i="17" s="1"/>
  <c r="O542" i="17" a="1"/>
  <c r="O542" i="17" s="1"/>
  <c r="O543" i="17" a="1"/>
  <c r="O543" i="17" s="1"/>
  <c r="O544" i="17" a="1"/>
  <c r="O544" i="17" s="1"/>
  <c r="O592" i="17" a="1"/>
  <c r="O592" i="17" s="1"/>
  <c r="O662" i="17" a="1"/>
  <c r="O662" i="17" s="1"/>
  <c r="O663" i="17" a="1"/>
  <c r="O663" i="17" s="1"/>
  <c r="O664" i="17" a="1"/>
  <c r="O664" i="17" s="1"/>
  <c r="O712" i="17" a="1"/>
  <c r="O712" i="17" s="1"/>
  <c r="O742" i="17" a="1"/>
  <c r="O742" i="17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245" i="17" a="1"/>
  <c r="O245" i="17" s="1"/>
  <c r="O246" i="17" a="1"/>
  <c r="O246" i="17" s="1"/>
  <c r="O247" i="17" a="1"/>
  <c r="O247" i="17" s="1"/>
  <c r="O293" i="17" a="1"/>
  <c r="O293" i="17" s="1"/>
  <c r="O323" i="17" a="1"/>
  <c r="O323" i="17" s="1"/>
  <c r="O353" i="17" a="1"/>
  <c r="O353" i="17" s="1"/>
  <c r="O425" i="17" a="1"/>
  <c r="O425" i="17" s="1"/>
  <c r="O426" i="17" a="1"/>
  <c r="O426" i="17" s="1"/>
  <c r="O427" i="17" a="1"/>
  <c r="O427" i="17" s="1"/>
  <c r="O473" i="17" a="1"/>
  <c r="O473" i="17" s="1"/>
  <c r="O545" i="17" a="1"/>
  <c r="O545" i="17" s="1"/>
  <c r="O546" i="17" a="1"/>
  <c r="O546" i="17" s="1"/>
  <c r="O547" i="17" a="1"/>
  <c r="O547" i="17" s="1"/>
  <c r="O593" i="17" a="1"/>
  <c r="O593" i="17" s="1"/>
  <c r="O665" i="17" a="1"/>
  <c r="O665" i="17" s="1"/>
  <c r="O666" i="17" a="1"/>
  <c r="O666" i="17" s="1"/>
  <c r="O667" i="17" a="1"/>
  <c r="O667" i="17" s="1"/>
  <c r="O713" i="17" a="1"/>
  <c r="O713" i="17" s="1"/>
  <c r="O743" i="17" a="1"/>
  <c r="O743" i="17" s="1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248" i="17" a="1"/>
  <c r="O248" i="17" s="1"/>
  <c r="O249" i="17" a="1"/>
  <c r="O249" i="17" s="1"/>
  <c r="O250" i="17" a="1"/>
  <c r="O250" i="17" s="1"/>
  <c r="O294" i="17" a="1"/>
  <c r="O294" i="17" s="1"/>
  <c r="O324" i="17" a="1"/>
  <c r="O324" i="17" s="1"/>
  <c r="O354" i="17" a="1"/>
  <c r="O354" i="17" s="1"/>
  <c r="O428" i="17" a="1"/>
  <c r="O428" i="17" s="1"/>
  <c r="O429" i="17" a="1"/>
  <c r="O429" i="17" s="1"/>
  <c r="O430" i="17" a="1"/>
  <c r="O430" i="17" s="1"/>
  <c r="O474" i="17" a="1"/>
  <c r="O474" i="17" s="1"/>
  <c r="O548" i="17" a="1"/>
  <c r="O548" i="17" s="1"/>
  <c r="O549" i="17" a="1"/>
  <c r="O549" i="17" s="1"/>
  <c r="O550" i="17" a="1"/>
  <c r="O550" i="17" s="1"/>
  <c r="O594" i="17" a="1"/>
  <c r="O594" i="17" s="1"/>
  <c r="O668" i="17" a="1"/>
  <c r="O668" i="17" s="1"/>
  <c r="O669" i="17" a="1"/>
  <c r="O669" i="17" s="1"/>
  <c r="O670" i="17" a="1"/>
  <c r="O670" i="17" s="1"/>
  <c r="O714" i="17" a="1"/>
  <c r="O714" i="17" s="1"/>
  <c r="O744" i="17" a="1"/>
  <c r="O74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/>
  <c r="O251" i="17" a="1"/>
  <c r="O251" i="17" s="1"/>
  <c r="O252" i="17" a="1"/>
  <c r="O252" i="17" s="1"/>
  <c r="O253" i="17" a="1"/>
  <c r="O253" i="17" s="1"/>
  <c r="O295" i="17" a="1"/>
  <c r="O295" i="17" s="1"/>
  <c r="O325" i="17" a="1"/>
  <c r="O325" i="17" s="1"/>
  <c r="O355" i="17" a="1"/>
  <c r="O355" i="17" s="1"/>
  <c r="O431" i="17" a="1"/>
  <c r="O431" i="17" s="1"/>
  <c r="O432" i="17" a="1"/>
  <c r="O432" i="17" s="1"/>
  <c r="O433" i="17" a="1"/>
  <c r="O433" i="17" s="1"/>
  <c r="O475" i="17" a="1"/>
  <c r="O475" i="17" s="1"/>
  <c r="O551" i="17" a="1"/>
  <c r="O551" i="17" s="1"/>
  <c r="O552" i="17" a="1"/>
  <c r="O552" i="17" s="1"/>
  <c r="O553" i="17" a="1"/>
  <c r="O553" i="17" s="1"/>
  <c r="O595" i="17" a="1"/>
  <c r="O595" i="17" s="1"/>
  <c r="O671" i="17" a="1"/>
  <c r="O671" i="17" s="1"/>
  <c r="O672" i="17" a="1"/>
  <c r="O672" i="17"/>
  <c r="O673" i="17" a="1"/>
  <c r="O673" i="17" s="1"/>
  <c r="O715" i="17" a="1"/>
  <c r="O715" i="17" s="1"/>
  <c r="O745" i="17" a="1"/>
  <c r="O74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254" i="17" a="1"/>
  <c r="O254" i="17" s="1"/>
  <c r="O255" i="17" a="1"/>
  <c r="O255" i="17" s="1"/>
  <c r="O256" i="17" a="1"/>
  <c r="O256" i="17" s="1"/>
  <c r="O296" i="17" a="1"/>
  <c r="O296" i="17" s="1"/>
  <c r="O326" i="17" a="1"/>
  <c r="O326" i="17" s="1"/>
  <c r="O356" i="17" a="1"/>
  <c r="O356" i="17" s="1"/>
  <c r="O434" i="17" a="1"/>
  <c r="O434" i="17"/>
  <c r="O435" i="17" a="1"/>
  <c r="O435" i="17" s="1"/>
  <c r="O436" i="17" a="1"/>
  <c r="O436" i="17" s="1"/>
  <c r="O476" i="17" a="1"/>
  <c r="O476" i="17" s="1"/>
  <c r="O554" i="17" a="1"/>
  <c r="O554" i="17" s="1"/>
  <c r="O555" i="17" a="1"/>
  <c r="O555" i="17" s="1"/>
  <c r="O556" i="17" a="1"/>
  <c r="O556" i="17" s="1"/>
  <c r="O596" i="17" a="1"/>
  <c r="O596" i="17" s="1"/>
  <c r="O674" i="17" a="1"/>
  <c r="O674" i="17" s="1"/>
  <c r="O675" i="17" a="1"/>
  <c r="O675" i="17" s="1"/>
  <c r="O676" i="17" a="1"/>
  <c r="O676" i="17" s="1"/>
  <c r="O716" i="17" a="1"/>
  <c r="O716" i="17" s="1"/>
  <c r="O746" i="17" a="1"/>
  <c r="O746" i="17" s="1"/>
  <c r="O152" i="17" a="1"/>
  <c r="O152" i="17" s="1"/>
  <c r="O153" i="17" a="1"/>
  <c r="O153" i="17" s="1"/>
  <c r="O154" i="17" a="1"/>
  <c r="O154" i="17" s="1"/>
  <c r="O155" i="17" a="1"/>
  <c r="O155" i="17"/>
  <c r="O156" i="17" a="1"/>
  <c r="O156" i="17" s="1"/>
  <c r="O157" i="17" a="1"/>
  <c r="O157" i="17" s="1"/>
  <c r="O257" i="17" a="1"/>
  <c r="O257" i="17" s="1"/>
  <c r="O258" i="17" a="1"/>
  <c r="O258" i="17" s="1"/>
  <c r="O259" i="17" a="1"/>
  <c r="O259" i="17" s="1"/>
  <c r="O297" i="17" a="1"/>
  <c r="O297" i="17" s="1"/>
  <c r="O327" i="17" a="1"/>
  <c r="O327" i="17" s="1"/>
  <c r="O357" i="17" a="1"/>
  <c r="O357" i="17" s="1"/>
  <c r="O437" i="17" a="1"/>
  <c r="O437" i="17" s="1"/>
  <c r="O438" i="17" a="1"/>
  <c r="O438" i="17" s="1"/>
  <c r="O439" i="17" a="1"/>
  <c r="O439" i="17" s="1"/>
  <c r="O477" i="17" a="1"/>
  <c r="O477" i="17" s="1"/>
  <c r="O557" i="17" a="1"/>
  <c r="O557" i="17" s="1"/>
  <c r="O558" i="17" a="1"/>
  <c r="O558" i="17" s="1"/>
  <c r="O559" i="17" a="1"/>
  <c r="O559" i="17" s="1"/>
  <c r="O597" i="17" a="1"/>
  <c r="O597" i="17"/>
  <c r="O677" i="17" a="1"/>
  <c r="O677" i="17" s="1"/>
  <c r="O678" i="17" a="1"/>
  <c r="O678" i="17" s="1"/>
  <c r="O679" i="17" a="1"/>
  <c r="O679" i="17" s="1"/>
  <c r="O717" i="17" a="1"/>
  <c r="O717" i="17" s="1"/>
  <c r="O747" i="17" a="1"/>
  <c r="O747" i="17" s="1"/>
  <c r="O158" i="17" a="1"/>
  <c r="O158" i="17" s="1"/>
  <c r="O159" i="17" a="1"/>
  <c r="O159" i="17" s="1"/>
  <c r="O160" i="17" a="1"/>
  <c r="O160" i="17" s="1"/>
  <c r="O161" i="17" a="1"/>
  <c r="O161" i="17" s="1"/>
  <c r="O162" i="17" a="1"/>
  <c r="O162" i="17" s="1"/>
  <c r="O163" i="17" a="1"/>
  <c r="O163" i="17" s="1"/>
  <c r="O260" i="17" a="1"/>
  <c r="O260" i="17" s="1"/>
  <c r="O261" i="17" a="1"/>
  <c r="O261" i="17" s="1"/>
  <c r="O262" i="17" a="1"/>
  <c r="O262" i="17" s="1"/>
  <c r="O298" i="17" a="1"/>
  <c r="O298" i="17" s="1"/>
  <c r="O328" i="17" a="1"/>
  <c r="O328" i="17"/>
  <c r="O358" i="17" a="1"/>
  <c r="O358" i="17" s="1"/>
  <c r="O440" i="17" a="1"/>
  <c r="O440" i="17" s="1"/>
  <c r="O441" i="17" a="1"/>
  <c r="O441" i="17" s="1"/>
  <c r="O442" i="17" a="1"/>
  <c r="O442" i="17" s="1"/>
  <c r="O478" i="17" a="1"/>
  <c r="O478" i="17" s="1"/>
  <c r="O560" i="17" a="1"/>
  <c r="O560" i="17" s="1"/>
  <c r="O561" i="17" a="1"/>
  <c r="O561" i="17" s="1"/>
  <c r="O562" i="17" a="1"/>
  <c r="O562" i="17" s="1"/>
  <c r="O598" i="17" a="1"/>
  <c r="O598" i="17" s="1"/>
  <c r="O680" i="17" a="1"/>
  <c r="O680" i="17" s="1"/>
  <c r="O681" i="17" a="1"/>
  <c r="O681" i="17" s="1"/>
  <c r="O682" i="17" a="1"/>
  <c r="O682" i="17" s="1"/>
  <c r="O718" i="17" a="1"/>
  <c r="O718" i="17" s="1"/>
  <c r="O748" i="17" a="1"/>
  <c r="O748" i="17" s="1"/>
  <c r="O164" i="17" a="1"/>
  <c r="O164" i="17" s="1"/>
  <c r="O165" i="17" a="1"/>
  <c r="O165" i="17"/>
  <c r="O166" i="17" a="1"/>
  <c r="O166" i="17" s="1"/>
  <c r="O167" i="17" a="1"/>
  <c r="O167" i="17" s="1"/>
  <c r="O168" i="17" a="1"/>
  <c r="O168" i="17" s="1"/>
  <c r="O169" i="17" a="1"/>
  <c r="O169" i="17" s="1"/>
  <c r="O263" i="17" a="1"/>
  <c r="O263" i="17" s="1"/>
  <c r="O264" i="17" a="1"/>
  <c r="O264" i="17"/>
  <c r="O265" i="17" a="1"/>
  <c r="O265" i="17" s="1"/>
  <c r="O299" i="17" a="1"/>
  <c r="O299" i="17" s="1"/>
  <c r="O329" i="17" a="1"/>
  <c r="O329" i="17" s="1"/>
  <c r="O359" i="17" a="1"/>
  <c r="O359" i="17" s="1"/>
  <c r="O443" i="17" a="1"/>
  <c r="O443" i="17" s="1"/>
  <c r="O444" i="17" a="1"/>
  <c r="O444" i="17" s="1"/>
  <c r="O445" i="17" a="1"/>
  <c r="O445" i="17" s="1"/>
  <c r="O479" i="17" a="1"/>
  <c r="O479" i="17" s="1"/>
  <c r="O563" i="17" a="1"/>
  <c r="O563" i="17" s="1"/>
  <c r="O564" i="17" a="1"/>
  <c r="O564" i="17" s="1"/>
  <c r="O565" i="17" a="1"/>
  <c r="O565" i="17" s="1"/>
  <c r="O599" i="17" a="1"/>
  <c r="O599" i="17" s="1"/>
  <c r="O683" i="17" a="1"/>
  <c r="O683" i="17" s="1"/>
  <c r="O684" i="17" a="1"/>
  <c r="O684" i="17" s="1"/>
  <c r="O685" i="17" a="1"/>
  <c r="O685" i="17" s="1"/>
  <c r="O719" i="17" a="1"/>
  <c r="O719" i="17" s="1"/>
  <c r="O749" i="17" a="1"/>
  <c r="O749" i="17" s="1"/>
  <c r="O170" i="17" a="1"/>
  <c r="O170" i="17" s="1"/>
  <c r="O171" i="17" a="1"/>
  <c r="O171" i="17" s="1"/>
  <c r="O172" i="17" a="1"/>
  <c r="O172" i="17"/>
  <c r="O173" i="17" a="1"/>
  <c r="O173" i="17" s="1"/>
  <c r="O174" i="17" a="1"/>
  <c r="O174" i="17" s="1"/>
  <c r="O175" i="17" a="1"/>
  <c r="O175" i="17" s="1"/>
  <c r="O266" i="17" a="1"/>
  <c r="O266" i="17" s="1"/>
  <c r="O267" i="17" a="1"/>
  <c r="O267" i="17" s="1"/>
  <c r="O268" i="17" a="1"/>
  <c r="O268" i="17" s="1"/>
  <c r="O300" i="17" a="1"/>
  <c r="O300" i="17" s="1"/>
  <c r="O330" i="17" a="1"/>
  <c r="O330" i="17" s="1"/>
  <c r="O360" i="17" a="1"/>
  <c r="O360" i="17" s="1"/>
  <c r="O446" i="17" a="1"/>
  <c r="O446" i="17" s="1"/>
  <c r="O447" i="17" a="1"/>
  <c r="O447" i="17" s="1"/>
  <c r="O448" i="17" a="1"/>
  <c r="O448" i="17" s="1"/>
  <c r="O480" i="17" a="1"/>
  <c r="O480" i="17" s="1"/>
  <c r="O566" i="17" a="1"/>
  <c r="O566" i="17" s="1"/>
  <c r="O567" i="17" a="1"/>
  <c r="O567" i="17" s="1"/>
  <c r="O568" i="17" a="1"/>
  <c r="O568" i="17"/>
  <c r="O600" i="17" a="1"/>
  <c r="O600" i="17" s="1"/>
  <c r="O686" i="17" a="1"/>
  <c r="O686" i="17" s="1"/>
  <c r="O687" i="17" a="1"/>
  <c r="O687" i="17" s="1"/>
  <c r="O688" i="17" a="1"/>
  <c r="O688" i="17" s="1"/>
  <c r="O720" i="17" a="1"/>
  <c r="O720" i="17" s="1"/>
  <c r="O750" i="17" a="1"/>
  <c r="O75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 s="1"/>
  <c r="O269" i="17" a="1"/>
  <c r="O269" i="17" s="1"/>
  <c r="O270" i="17" a="1"/>
  <c r="O270" i="17" s="1"/>
  <c r="O271" i="17" a="1"/>
  <c r="O271" i="17" s="1"/>
  <c r="O301" i="17" a="1"/>
  <c r="O301" i="17"/>
  <c r="O331" i="17" a="1"/>
  <c r="O331" i="17" s="1"/>
  <c r="O361" i="17" a="1"/>
  <c r="O361" i="17" s="1"/>
  <c r="O449" i="17" a="1"/>
  <c r="O449" i="17" s="1"/>
  <c r="O450" i="17" a="1"/>
  <c r="O450" i="17" s="1"/>
  <c r="O451" i="17" a="1"/>
  <c r="O451" i="17" s="1"/>
  <c r="O481" i="17" a="1"/>
  <c r="O481" i="17" s="1"/>
  <c r="O569" i="17" a="1"/>
  <c r="O569" i="17" s="1"/>
  <c r="O570" i="17" a="1"/>
  <c r="O570" i="17" s="1"/>
  <c r="O571" i="17" a="1"/>
  <c r="O571" i="17" s="1"/>
  <c r="O601" i="17" a="1"/>
  <c r="O601" i="17" s="1"/>
  <c r="O689" i="17" a="1"/>
  <c r="O689" i="17" s="1"/>
  <c r="O690" i="17" a="1"/>
  <c r="O690" i="17" s="1"/>
  <c r="O691" i="17" a="1"/>
  <c r="O691" i="17" s="1"/>
  <c r="O721" i="17" a="1"/>
  <c r="O721" i="17" s="1"/>
  <c r="O751" i="17" a="1"/>
  <c r="O751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182" i="17" a="1"/>
  <c r="P182" i="17" s="1"/>
  <c r="P183" i="17" a="1"/>
  <c r="P183" i="17" s="1"/>
  <c r="P184" i="17" a="1"/>
  <c r="P184" i="17" s="1"/>
  <c r="P272" i="17" a="1"/>
  <c r="P272" i="17" s="1"/>
  <c r="P302" i="17" a="1"/>
  <c r="P302" i="17" s="1"/>
  <c r="P332" i="17" a="1"/>
  <c r="P332" i="17" s="1"/>
  <c r="P362" i="17" a="1"/>
  <c r="P362" i="17" s="1"/>
  <c r="P363" i="17" a="1"/>
  <c r="P363" i="17" s="1"/>
  <c r="P364" i="17" a="1"/>
  <c r="P364" i="17" s="1"/>
  <c r="P452" i="17" a="1"/>
  <c r="P452" i="17" s="1"/>
  <c r="P482" i="17" a="1"/>
  <c r="P482" i="17" s="1"/>
  <c r="P483" i="17" a="1"/>
  <c r="P483" i="17" s="1"/>
  <c r="P484" i="17" a="1"/>
  <c r="P484" i="17" s="1"/>
  <c r="P572" i="17" a="1"/>
  <c r="P572" i="17" s="1"/>
  <c r="P602" i="17" a="1"/>
  <c r="P602" i="17" s="1"/>
  <c r="P603" i="17" a="1"/>
  <c r="P603" i="17" s="1"/>
  <c r="P604" i="17" a="1"/>
  <c r="P604" i="17" s="1"/>
  <c r="P692" i="17" a="1"/>
  <c r="P692" i="17" s="1"/>
  <c r="P722" i="17" a="1"/>
  <c r="P72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85" i="17" a="1"/>
  <c r="P185" i="17" s="1"/>
  <c r="P186" i="17" a="1"/>
  <c r="P186" i="17"/>
  <c r="P187" i="17" a="1"/>
  <c r="P187" i="17" s="1"/>
  <c r="P273" i="17" a="1"/>
  <c r="P273" i="17" s="1"/>
  <c r="P303" i="17" a="1"/>
  <c r="P303" i="17" s="1"/>
  <c r="P333" i="17" a="1"/>
  <c r="P333" i="17" s="1"/>
  <c r="P365" i="17" a="1"/>
  <c r="P365" i="17" s="1"/>
  <c r="P366" i="17" a="1"/>
  <c r="P366" i="17" s="1"/>
  <c r="P367" i="17" a="1"/>
  <c r="P367" i="17" s="1"/>
  <c r="P453" i="17" a="1"/>
  <c r="P453" i="17"/>
  <c r="P485" i="17" a="1"/>
  <c r="P485" i="17" s="1"/>
  <c r="P486" i="17" a="1"/>
  <c r="P486" i="17" s="1"/>
  <c r="P487" i="17" a="1"/>
  <c r="P487" i="17" s="1"/>
  <c r="P573" i="17" a="1"/>
  <c r="P573" i="17" s="1"/>
  <c r="P605" i="17" a="1"/>
  <c r="P605" i="17" s="1"/>
  <c r="P606" i="17" a="1"/>
  <c r="P606" i="17" s="1"/>
  <c r="P607" i="17" a="1"/>
  <c r="P607" i="17" s="1"/>
  <c r="P693" i="17" a="1"/>
  <c r="P693" i="17"/>
  <c r="P723" i="17" a="1"/>
  <c r="P72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188" i="17" a="1"/>
  <c r="P188" i="17" s="1"/>
  <c r="P189" i="17" a="1"/>
  <c r="P189" i="17" s="1"/>
  <c r="P190" i="17" a="1"/>
  <c r="P190" i="17" s="1"/>
  <c r="P274" i="17" a="1"/>
  <c r="P274" i="17" s="1"/>
  <c r="P304" i="17" a="1"/>
  <c r="P304" i="17" s="1"/>
  <c r="P334" i="17" a="1"/>
  <c r="P334" i="17" s="1"/>
  <c r="P368" i="17" a="1"/>
  <c r="P368" i="17" s="1"/>
  <c r="P369" i="17" a="1"/>
  <c r="P369" i="17" s="1"/>
  <c r="P370" i="17" a="1"/>
  <c r="P370" i="17"/>
  <c r="P454" i="17" a="1"/>
  <c r="P454" i="17" s="1"/>
  <c r="P488" i="17" a="1"/>
  <c r="P488" i="17" s="1"/>
  <c r="P489" i="17" a="1"/>
  <c r="P489" i="17" s="1"/>
  <c r="P490" i="17" a="1"/>
  <c r="P490" i="17" s="1"/>
  <c r="P574" i="17" a="1"/>
  <c r="P574" i="17" s="1"/>
  <c r="P608" i="17" a="1"/>
  <c r="P608" i="17" s="1"/>
  <c r="P609" i="17" a="1"/>
  <c r="P609" i="17" s="1"/>
  <c r="P610" i="17" a="1"/>
  <c r="P610" i="17"/>
  <c r="P694" i="17" a="1"/>
  <c r="P694" i="17" s="1"/>
  <c r="P724" i="17" a="1"/>
  <c r="P72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/>
  <c r="P191" i="17" a="1"/>
  <c r="P191" i="17" s="1"/>
  <c r="P192" i="17" a="1"/>
  <c r="P192" i="17" s="1"/>
  <c r="P193" i="17" a="1"/>
  <c r="P193" i="17" s="1"/>
  <c r="P275" i="17" a="1"/>
  <c r="P275" i="17" s="1"/>
  <c r="P305" i="17" a="1"/>
  <c r="P305" i="17" s="1"/>
  <c r="P335" i="17" a="1"/>
  <c r="P335" i="17" s="1"/>
  <c r="P371" i="17" a="1"/>
  <c r="P371" i="17" s="1"/>
  <c r="P372" i="17" a="1"/>
  <c r="P372" i="17" s="1"/>
  <c r="P373" i="17" a="1"/>
  <c r="P373" i="17" s="1"/>
  <c r="P455" i="17" a="1"/>
  <c r="P455" i="17" s="1"/>
  <c r="P491" i="17" a="1"/>
  <c r="P491" i="17" s="1"/>
  <c r="P492" i="17" a="1"/>
  <c r="P492" i="17" s="1"/>
  <c r="P493" i="17" a="1"/>
  <c r="P493" i="17" s="1"/>
  <c r="P575" i="17" a="1"/>
  <c r="P575" i="17" s="1"/>
  <c r="P611" i="17" a="1"/>
  <c r="P611" i="17" s="1"/>
  <c r="P612" i="17" a="1"/>
  <c r="P612" i="17"/>
  <c r="P613" i="17" a="1"/>
  <c r="P613" i="17" s="1"/>
  <c r="P695" i="17" a="1"/>
  <c r="P695" i="17" s="1"/>
  <c r="P725" i="17" a="1"/>
  <c r="P7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194" i="17" a="1"/>
  <c r="P194" i="17" s="1"/>
  <c r="P195" i="17" a="1"/>
  <c r="P195" i="17" s="1"/>
  <c r="P196" i="17" a="1"/>
  <c r="P196" i="17" s="1"/>
  <c r="P276" i="17" a="1"/>
  <c r="P276" i="17" s="1"/>
  <c r="P306" i="17" a="1"/>
  <c r="P306" i="17" s="1"/>
  <c r="P336" i="17" a="1"/>
  <c r="P336" i="17" s="1"/>
  <c r="P374" i="17" a="1"/>
  <c r="P374" i="17"/>
  <c r="P375" i="17" a="1"/>
  <c r="P375" i="17" s="1"/>
  <c r="P376" i="17" a="1"/>
  <c r="P376" i="17" s="1"/>
  <c r="P456" i="17" a="1"/>
  <c r="P456" i="17" s="1"/>
  <c r="P494" i="17" a="1"/>
  <c r="P494" i="17" s="1"/>
  <c r="P495" i="17" a="1"/>
  <c r="P495" i="17" s="1"/>
  <c r="P496" i="17" a="1"/>
  <c r="P496" i="17" s="1"/>
  <c r="P576" i="17" a="1"/>
  <c r="P576" i="17" s="1"/>
  <c r="P614" i="17" a="1"/>
  <c r="P614" i="17" s="1"/>
  <c r="P615" i="17" a="1"/>
  <c r="P615" i="17" s="1"/>
  <c r="P616" i="17" a="1"/>
  <c r="P616" i="17" s="1"/>
  <c r="P696" i="17" a="1"/>
  <c r="P696" i="17" s="1"/>
  <c r="P726" i="17" a="1"/>
  <c r="P726" i="17" s="1"/>
  <c r="P32" i="17" a="1"/>
  <c r="P32" i="17" s="1"/>
  <c r="P33" i="17" a="1"/>
  <c r="P33" i="17" s="1"/>
  <c r="P34" i="17" a="1"/>
  <c r="P34" i="17" s="1"/>
  <c r="P35" i="17" a="1"/>
  <c r="P35" i="17"/>
  <c r="P36" i="17" a="1"/>
  <c r="P36" i="17" s="1"/>
  <c r="P37" i="17" a="1"/>
  <c r="P37" i="17" s="1"/>
  <c r="P197" i="17" a="1"/>
  <c r="P197" i="17" s="1"/>
  <c r="P198" i="17" a="1"/>
  <c r="P198" i="17" s="1"/>
  <c r="P199" i="17" a="1"/>
  <c r="P199" i="17" s="1"/>
  <c r="P277" i="17" a="1"/>
  <c r="P277" i="17" s="1"/>
  <c r="P307" i="17" a="1"/>
  <c r="P307" i="17" s="1"/>
  <c r="P337" i="17" a="1"/>
  <c r="P337" i="17"/>
  <c r="P377" i="17" a="1"/>
  <c r="P377" i="17" s="1"/>
  <c r="P378" i="17" a="1"/>
  <c r="P378" i="17" s="1"/>
  <c r="P379" i="17" a="1"/>
  <c r="P379" i="17" s="1"/>
  <c r="P457" i="17" a="1"/>
  <c r="P457" i="17" s="1"/>
  <c r="P497" i="17" a="1"/>
  <c r="P497" i="17" s="1"/>
  <c r="P498" i="17" a="1"/>
  <c r="P498" i="17" s="1"/>
  <c r="P499" i="17" a="1"/>
  <c r="P499" i="17" s="1"/>
  <c r="P577" i="17" a="1"/>
  <c r="P577" i="17" s="1"/>
  <c r="P617" i="17" a="1"/>
  <c r="P617" i="17" s="1"/>
  <c r="P618" i="17" a="1"/>
  <c r="P618" i="17" s="1"/>
  <c r="P619" i="17" a="1"/>
  <c r="P619" i="17" s="1"/>
  <c r="P697" i="17" a="1"/>
  <c r="P697" i="17" s="1"/>
  <c r="P727" i="17" a="1"/>
  <c r="P72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200" i="17" a="1"/>
  <c r="P200" i="17" s="1"/>
  <c r="P201" i="17" a="1"/>
  <c r="P201" i="17" s="1"/>
  <c r="P202" i="17" a="1"/>
  <c r="P202" i="17" s="1"/>
  <c r="P278" i="17" a="1"/>
  <c r="P278" i="17" s="1"/>
  <c r="P308" i="17" a="1"/>
  <c r="P308" i="17"/>
  <c r="P338" i="17" a="1"/>
  <c r="P338" i="17" s="1"/>
  <c r="P380" i="17" a="1"/>
  <c r="P380" i="17" s="1"/>
  <c r="P381" i="17" a="1"/>
  <c r="P381" i="17" s="1"/>
  <c r="P382" i="17" a="1"/>
  <c r="P382" i="17" s="1"/>
  <c r="P458" i="17" a="1"/>
  <c r="P458" i="17" s="1"/>
  <c r="P500" i="17" a="1"/>
  <c r="P500" i="17" s="1"/>
  <c r="P501" i="17" a="1"/>
  <c r="P501" i="17" s="1"/>
  <c r="P502" i="17" a="1"/>
  <c r="P502" i="17" s="1"/>
  <c r="P578" i="17" a="1"/>
  <c r="P578" i="17" s="1"/>
  <c r="P620" i="17" a="1"/>
  <c r="P620" i="17" s="1"/>
  <c r="P621" i="17" a="1"/>
  <c r="P621" i="17" s="1"/>
  <c r="P622" i="17" a="1"/>
  <c r="P622" i="17" s="1"/>
  <c r="P698" i="17" a="1"/>
  <c r="P698" i="17" s="1"/>
  <c r="P728" i="17" a="1"/>
  <c r="P72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203" i="17" a="1"/>
  <c r="P203" i="17" s="1"/>
  <c r="P204" i="17" a="1"/>
  <c r="P204" i="17" s="1"/>
  <c r="P205" i="17" a="1"/>
  <c r="P205" i="17" s="1"/>
  <c r="P279" i="17" a="1"/>
  <c r="P279" i="17" s="1"/>
  <c r="P309" i="17" a="1"/>
  <c r="P309" i="17" s="1"/>
  <c r="P339" i="17" a="1"/>
  <c r="P339" i="17" s="1"/>
  <c r="P383" i="17" a="1"/>
  <c r="P383" i="17" s="1"/>
  <c r="P384" i="17" a="1"/>
  <c r="P384" i="17" s="1"/>
  <c r="P385" i="17" a="1"/>
  <c r="P385" i="17" s="1"/>
  <c r="P459" i="17" a="1"/>
  <c r="P459" i="17" s="1"/>
  <c r="P503" i="17" a="1"/>
  <c r="P503" i="17" s="1"/>
  <c r="P504" i="17" a="1"/>
  <c r="P504" i="17"/>
  <c r="P505" i="17" a="1"/>
  <c r="P505" i="17" s="1"/>
  <c r="P579" i="17" a="1"/>
  <c r="P579" i="17" s="1"/>
  <c r="P623" i="17" a="1"/>
  <c r="P623" i="17" s="1"/>
  <c r="P624" i="17" a="1"/>
  <c r="P624" i="17" s="1"/>
  <c r="P625" i="17" a="1"/>
  <c r="P625" i="17" s="1"/>
  <c r="P699" i="17" a="1"/>
  <c r="P699" i="17" s="1"/>
  <c r="P729" i="17" a="1"/>
  <c r="P729" i="17" s="1"/>
  <c r="P50" i="17" a="1"/>
  <c r="P50" i="17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206" i="17" a="1"/>
  <c r="P206" i="17" s="1"/>
  <c r="P207" i="17" a="1"/>
  <c r="P207" i="17" s="1"/>
  <c r="P208" i="17" a="1"/>
  <c r="P208" i="17" s="1"/>
  <c r="P280" i="17" a="1"/>
  <c r="P280" i="17" s="1"/>
  <c r="P310" i="17" a="1"/>
  <c r="P310" i="17" s="1"/>
  <c r="P340" i="17" a="1"/>
  <c r="P340" i="17" s="1"/>
  <c r="P386" i="17" a="1"/>
  <c r="P386" i="17" s="1"/>
  <c r="P387" i="17" a="1"/>
  <c r="P387" i="17" s="1"/>
  <c r="P388" i="17" a="1"/>
  <c r="P388" i="17" s="1"/>
  <c r="P460" i="17" a="1"/>
  <c r="P460" i="17" s="1"/>
  <c r="P506" i="17" a="1"/>
  <c r="P506" i="17" s="1"/>
  <c r="P507" i="17" a="1"/>
  <c r="P507" i="17" s="1"/>
  <c r="P508" i="17" a="1"/>
  <c r="P508" i="17" s="1"/>
  <c r="P580" i="17" a="1"/>
  <c r="P580" i="17" s="1"/>
  <c r="P626" i="17" a="1"/>
  <c r="P626" i="17" s="1"/>
  <c r="P627" i="17" a="1"/>
  <c r="P627" i="17" s="1"/>
  <c r="P628" i="17" a="1"/>
  <c r="P628" i="17" s="1"/>
  <c r="P700" i="17" a="1"/>
  <c r="P700" i="17" s="1"/>
  <c r="P730" i="17" a="1"/>
  <c r="P730" i="17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209" i="17" a="1"/>
  <c r="P209" i="17" s="1"/>
  <c r="P210" i="17" a="1"/>
  <c r="P210" i="17" s="1"/>
  <c r="P211" i="17" a="1"/>
  <c r="P211" i="17" s="1"/>
  <c r="P281" i="17" a="1"/>
  <c r="P281" i="17" s="1"/>
  <c r="P311" i="17" a="1"/>
  <c r="P311" i="17" s="1"/>
  <c r="P341" i="17" a="1"/>
  <c r="P341" i="17" s="1"/>
  <c r="P389" i="17" a="1"/>
  <c r="P389" i="17" s="1"/>
  <c r="P390" i="17" a="1"/>
  <c r="P390" i="17" s="1"/>
  <c r="P391" i="17" a="1"/>
  <c r="P391" i="17" s="1"/>
  <c r="P461" i="17" a="1"/>
  <c r="P461" i="17"/>
  <c r="P509" i="17" a="1"/>
  <c r="P509" i="17" s="1"/>
  <c r="P510" i="17" a="1"/>
  <c r="P510" i="17" s="1"/>
  <c r="P511" i="17" a="1"/>
  <c r="P511" i="17" s="1"/>
  <c r="P581" i="17" a="1"/>
  <c r="P581" i="17" s="1"/>
  <c r="P629" i="17" a="1"/>
  <c r="P629" i="17" s="1"/>
  <c r="P630" i="17" a="1"/>
  <c r="P630" i="17" s="1"/>
  <c r="P631" i="17" a="1"/>
  <c r="P631" i="17" s="1"/>
  <c r="P701" i="17" a="1"/>
  <c r="P701" i="17" s="1"/>
  <c r="P731" i="17" a="1"/>
  <c r="P73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212" i="17" a="1"/>
  <c r="P212" i="17"/>
  <c r="P213" i="17" a="1"/>
  <c r="P213" i="17" s="1"/>
  <c r="P214" i="17" a="1"/>
  <c r="P214" i="17" s="1"/>
  <c r="P282" i="17" a="1"/>
  <c r="P282" i="17" s="1"/>
  <c r="P312" i="17" a="1"/>
  <c r="P312" i="17" s="1"/>
  <c r="P342" i="17" a="1"/>
  <c r="P342" i="17" s="1"/>
  <c r="P392" i="17" a="1"/>
  <c r="P392" i="17" s="1"/>
  <c r="P393" i="17" a="1"/>
  <c r="P393" i="17" s="1"/>
  <c r="P394" i="17" a="1"/>
  <c r="P394" i="17" s="1"/>
  <c r="P462" i="17" a="1"/>
  <c r="P462" i="17" s="1"/>
  <c r="P512" i="17" a="1"/>
  <c r="P512" i="17" s="1"/>
  <c r="P513" i="17" a="1"/>
  <c r="P513" i="17" s="1"/>
  <c r="P514" i="17" a="1"/>
  <c r="P514" i="17" s="1"/>
  <c r="P582" i="17" a="1"/>
  <c r="P582" i="17" s="1"/>
  <c r="P632" i="17" a="1"/>
  <c r="P632" i="17" s="1"/>
  <c r="P633" i="17" a="1"/>
  <c r="P633" i="17" s="1"/>
  <c r="P634" i="17" a="1"/>
  <c r="P634" i="17" s="1"/>
  <c r="P702" i="17" a="1"/>
  <c r="P702" i="17" s="1"/>
  <c r="P732" i="17" a="1"/>
  <c r="P73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215" i="17" a="1"/>
  <c r="P215" i="17" s="1"/>
  <c r="P216" i="17" a="1"/>
  <c r="P216" i="17" s="1"/>
  <c r="P217" i="17" a="1"/>
  <c r="P217" i="17" s="1"/>
  <c r="P283" i="17" a="1"/>
  <c r="P283" i="17" s="1"/>
  <c r="P313" i="17" a="1"/>
  <c r="P313" i="17" s="1"/>
  <c r="P343" i="17" a="1"/>
  <c r="P343" i="17" s="1"/>
  <c r="P395" i="17" a="1"/>
  <c r="P395" i="17" s="1"/>
  <c r="P396" i="17" a="1"/>
  <c r="P396" i="17"/>
  <c r="P397" i="17" a="1"/>
  <c r="P397" i="17" s="1"/>
  <c r="P463" i="17" a="1"/>
  <c r="P463" i="17" s="1"/>
  <c r="P515" i="17" a="1"/>
  <c r="P515" i="17" s="1"/>
  <c r="P516" i="17" a="1"/>
  <c r="P516" i="17" s="1"/>
  <c r="P517" i="17" a="1"/>
  <c r="P517" i="17" s="1"/>
  <c r="P583" i="17" a="1"/>
  <c r="P583" i="17" s="1"/>
  <c r="P635" i="17" a="1"/>
  <c r="P635" i="17" s="1"/>
  <c r="P636" i="17" a="1"/>
  <c r="P636" i="17"/>
  <c r="P637" i="17" a="1"/>
  <c r="P637" i="17" s="1"/>
  <c r="P703" i="17" a="1"/>
  <c r="P703" i="17" s="1"/>
  <c r="P733" i="17" a="1"/>
  <c r="P733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/>
  <c r="P79" i="17" a="1"/>
  <c r="P79" i="17" s="1"/>
  <c r="P218" i="17" a="1"/>
  <c r="P218" i="17" s="1"/>
  <c r="P219" i="17" a="1"/>
  <c r="P219" i="17" s="1"/>
  <c r="P220" i="17" a="1"/>
  <c r="P220" i="17" s="1"/>
  <c r="P284" i="17" a="1"/>
  <c r="P284" i="17" s="1"/>
  <c r="P314" i="17" a="1"/>
  <c r="P314" i="17" s="1"/>
  <c r="P344" i="17" a="1"/>
  <c r="P344" i="17" s="1"/>
  <c r="P398" i="17" a="1"/>
  <c r="P398" i="17" s="1"/>
  <c r="P399" i="17" a="1"/>
  <c r="P399" i="17" s="1"/>
  <c r="P400" i="17" a="1"/>
  <c r="P400" i="17" s="1"/>
  <c r="P464" i="17" a="1"/>
  <c r="P464" i="17" s="1"/>
  <c r="P518" i="17" a="1"/>
  <c r="P518" i="17" s="1"/>
  <c r="P519" i="17" a="1"/>
  <c r="P519" i="17" s="1"/>
  <c r="P520" i="17" a="1"/>
  <c r="P520" i="17" s="1"/>
  <c r="P584" i="17" a="1"/>
  <c r="P584" i="17" s="1"/>
  <c r="P638" i="17" a="1"/>
  <c r="P638" i="17"/>
  <c r="P639" i="17" a="1"/>
  <c r="P639" i="17" s="1"/>
  <c r="P640" i="17" a="1"/>
  <c r="P640" i="17" s="1"/>
  <c r="P704" i="17" a="1"/>
  <c r="P704" i="17" s="1"/>
  <c r="P734" i="17" a="1"/>
  <c r="P734" i="17" s="1"/>
  <c r="P80" i="17" a="1"/>
  <c r="P80" i="17" s="1"/>
  <c r="P81" i="17" a="1"/>
  <c r="P81" i="17" s="1"/>
  <c r="P82" i="17" a="1"/>
  <c r="P82" i="17" s="1"/>
  <c r="P83" i="17" a="1"/>
  <c r="P83" i="17"/>
  <c r="P84" i="17" a="1"/>
  <c r="P84" i="17" s="1"/>
  <c r="P85" i="17" a="1"/>
  <c r="P85" i="17" s="1"/>
  <c r="P221" i="17" a="1"/>
  <c r="P221" i="17" s="1"/>
  <c r="P222" i="17" a="1"/>
  <c r="P222" i="17" s="1"/>
  <c r="P223" i="17" a="1"/>
  <c r="P223" i="17" s="1"/>
  <c r="P285" i="17" a="1"/>
  <c r="P285" i="17" s="1"/>
  <c r="P315" i="17" a="1"/>
  <c r="P315" i="17" s="1"/>
  <c r="P345" i="17" a="1"/>
  <c r="P345" i="17"/>
  <c r="P401" i="17" a="1"/>
  <c r="P401" i="17" s="1"/>
  <c r="P402" i="17" a="1"/>
  <c r="P402" i="17" s="1"/>
  <c r="P403" i="17" a="1"/>
  <c r="P403" i="17" s="1"/>
  <c r="P465" i="17" a="1"/>
  <c r="P465" i="17" s="1"/>
  <c r="P521" i="17" a="1"/>
  <c r="P521" i="17" s="1"/>
  <c r="P522" i="17" a="1"/>
  <c r="P522" i="17" s="1"/>
  <c r="P523" i="17" a="1"/>
  <c r="P523" i="17" s="1"/>
  <c r="P585" i="17" a="1"/>
  <c r="P585" i="17" s="1"/>
  <c r="P641" i="17" a="1"/>
  <c r="P641" i="17" s="1"/>
  <c r="P642" i="17" a="1"/>
  <c r="P642" i="17" s="1"/>
  <c r="P643" i="17" a="1"/>
  <c r="P643" i="17" s="1"/>
  <c r="P705" i="17" a="1"/>
  <c r="P705" i="17" s="1"/>
  <c r="P735" i="17" a="1"/>
  <c r="P735" i="17" s="1"/>
  <c r="P86" i="17" a="1"/>
  <c r="P86" i="17" s="1"/>
  <c r="P87" i="17" a="1"/>
  <c r="P87" i="17" s="1"/>
  <c r="P88" i="17" a="1"/>
  <c r="P88" i="17"/>
  <c r="P89" i="17" a="1"/>
  <c r="P89" i="17" s="1"/>
  <c r="P90" i="17" a="1"/>
  <c r="P90" i="17" s="1"/>
  <c r="P91" i="17" a="1"/>
  <c r="P91" i="17" s="1"/>
  <c r="P224" i="17" a="1"/>
  <c r="P224" i="17" s="1"/>
  <c r="P225" i="17" a="1"/>
  <c r="P225" i="17" s="1"/>
  <c r="P226" i="17" a="1"/>
  <c r="P226" i="17" s="1"/>
  <c r="P286" i="17" a="1"/>
  <c r="P286" i="17" s="1"/>
  <c r="P316" i="17" a="1"/>
  <c r="P316" i="17" s="1"/>
  <c r="P346" i="17" a="1"/>
  <c r="P346" i="17" s="1"/>
  <c r="P404" i="17" a="1"/>
  <c r="P404" i="17"/>
  <c r="P405" i="17" a="1"/>
  <c r="P405" i="17" s="1"/>
  <c r="P406" i="17" a="1"/>
  <c r="P406" i="17" s="1"/>
  <c r="P466" i="17" a="1"/>
  <c r="P466" i="17" s="1"/>
  <c r="P524" i="17" a="1"/>
  <c r="P524" i="17"/>
  <c r="P525" i="17" a="1"/>
  <c r="P525" i="17" s="1"/>
  <c r="P526" i="17" a="1"/>
  <c r="P526" i="17" s="1"/>
  <c r="P586" i="17" a="1"/>
  <c r="P586" i="17" s="1"/>
  <c r="P644" i="17" a="1"/>
  <c r="P644" i="17" s="1"/>
  <c r="P645" i="17" a="1"/>
  <c r="P645" i="17" s="1"/>
  <c r="P646" i="17" a="1"/>
  <c r="P646" i="17" s="1"/>
  <c r="P706" i="17" a="1"/>
  <c r="P706" i="17" s="1"/>
  <c r="P736" i="17" a="1"/>
  <c r="P736" i="17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/>
  <c r="P227" i="17" a="1"/>
  <c r="P227" i="17" s="1"/>
  <c r="P228" i="17" a="1"/>
  <c r="P228" i="17"/>
  <c r="P229" i="17" a="1"/>
  <c r="P229" i="17" s="1"/>
  <c r="P287" i="17" a="1"/>
  <c r="P287" i="17" s="1"/>
  <c r="P317" i="17" a="1"/>
  <c r="P317" i="17" s="1"/>
  <c r="P347" i="17" a="1"/>
  <c r="P347" i="17"/>
  <c r="P407" i="17" a="1"/>
  <c r="P407" i="17" s="1"/>
  <c r="P408" i="17" a="1"/>
  <c r="P408" i="17"/>
  <c r="P409" i="17" a="1"/>
  <c r="P409" i="17" s="1"/>
  <c r="P467" i="17" a="1"/>
  <c r="P467" i="17"/>
  <c r="P527" i="17" a="1"/>
  <c r="P527" i="17" s="1"/>
  <c r="P528" i="17" a="1"/>
  <c r="P528" i="17" s="1"/>
  <c r="P529" i="17" a="1"/>
  <c r="P529" i="17" s="1"/>
  <c r="P587" i="17" a="1"/>
  <c r="P587" i="17"/>
  <c r="P647" i="17" a="1"/>
  <c r="P647" i="17" s="1"/>
  <c r="P648" i="17" a="1"/>
  <c r="P648" i="17" s="1"/>
  <c r="P649" i="17" a="1"/>
  <c r="P649" i="17" s="1"/>
  <c r="P707" i="17" a="1"/>
  <c r="P707" i="17"/>
  <c r="P737" i="17" a="1"/>
  <c r="P73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230" i="17" a="1"/>
  <c r="P230" i="17"/>
  <c r="P231" i="17" a="1"/>
  <c r="P231" i="17" s="1"/>
  <c r="P232" i="17" a="1"/>
  <c r="P232" i="17" s="1"/>
  <c r="P288" i="17" a="1"/>
  <c r="P288" i="17" s="1"/>
  <c r="P318" i="17" a="1"/>
  <c r="P318" i="17" s="1"/>
  <c r="P348" i="17" a="1"/>
  <c r="P348" i="17" s="1"/>
  <c r="P410" i="17" a="1"/>
  <c r="P410" i="17"/>
  <c r="P411" i="17" a="1"/>
  <c r="P411" i="17" s="1"/>
  <c r="P412" i="17" a="1"/>
  <c r="P412" i="17"/>
  <c r="P468" i="17" a="1"/>
  <c r="P468" i="17" s="1"/>
  <c r="P530" i="17" a="1"/>
  <c r="P530" i="17" s="1"/>
  <c r="P531" i="17" a="1"/>
  <c r="P531" i="17" s="1"/>
  <c r="P532" i="17" a="1"/>
  <c r="P532" i="17"/>
  <c r="P588" i="17" a="1"/>
  <c r="P588" i="17" s="1"/>
  <c r="P650" i="17" a="1"/>
  <c r="P650" i="17"/>
  <c r="P651" i="17" a="1"/>
  <c r="P651" i="17" s="1"/>
  <c r="P652" i="17" a="1"/>
  <c r="P652" i="17"/>
  <c r="P708" i="17" a="1"/>
  <c r="P708" i="17" s="1"/>
  <c r="P738" i="17" a="1"/>
  <c r="P738" i="17" s="1"/>
  <c r="P104" i="17" a="1"/>
  <c r="P104" i="17" s="1"/>
  <c r="P105" i="17" a="1"/>
  <c r="P105" i="17"/>
  <c r="P106" i="17" a="1"/>
  <c r="P106" i="17" s="1"/>
  <c r="P107" i="17" a="1"/>
  <c r="P107" i="17" s="1"/>
  <c r="P108" i="17" a="1"/>
  <c r="P108" i="17" s="1"/>
  <c r="P109" i="17" a="1"/>
  <c r="P109" i="17"/>
  <c r="P233" i="17" a="1"/>
  <c r="P233" i="17" s="1"/>
  <c r="P234" i="17" a="1"/>
  <c r="P234" i="17" s="1"/>
  <c r="P235" i="17" a="1"/>
  <c r="P235" i="17" s="1"/>
  <c r="P289" i="17" a="1"/>
  <c r="P289" i="17" s="1"/>
  <c r="P319" i="17" a="1"/>
  <c r="P319" i="17" s="1"/>
  <c r="P349" i="17" a="1"/>
  <c r="P349" i="17" s="1"/>
  <c r="P413" i="17" a="1"/>
  <c r="P413" i="17" s="1"/>
  <c r="P414" i="17" a="1"/>
  <c r="P414" i="17"/>
  <c r="P415" i="17" a="1"/>
  <c r="P415" i="17" s="1"/>
  <c r="P469" i="17" a="1"/>
  <c r="P469" i="17" s="1"/>
  <c r="P533" i="17" a="1"/>
  <c r="P533" i="17"/>
  <c r="P534" i="17" a="1"/>
  <c r="P534" i="17" s="1"/>
  <c r="P535" i="17" a="1"/>
  <c r="P535" i="17"/>
  <c r="P589" i="17" a="1"/>
  <c r="P589" i="17" s="1"/>
  <c r="P653" i="17" a="1"/>
  <c r="P653" i="17" s="1"/>
  <c r="P654" i="17" a="1"/>
  <c r="P654" i="17" s="1"/>
  <c r="P655" i="17" a="1"/>
  <c r="P655" i="17" s="1"/>
  <c r="P709" i="17" a="1"/>
  <c r="P709" i="17" s="1"/>
  <c r="P739" i="17" a="1"/>
  <c r="P739" i="17"/>
  <c r="P110" i="17" a="1"/>
  <c r="P110" i="17" s="1"/>
  <c r="P111" i="17" a="1"/>
  <c r="P111" i="17"/>
  <c r="P112" i="17" a="1"/>
  <c r="P112" i="17" s="1"/>
  <c r="P113" i="17" a="1"/>
  <c r="P113" i="17" s="1"/>
  <c r="P114" i="17" a="1"/>
  <c r="P114" i="17" s="1"/>
  <c r="P115" i="17" a="1"/>
  <c r="P115" i="17" s="1"/>
  <c r="P236" i="17" a="1"/>
  <c r="P236" i="17" s="1"/>
  <c r="P237" i="17" a="1"/>
  <c r="P237" i="17"/>
  <c r="P238" i="17" a="1"/>
  <c r="P238" i="17" s="1"/>
  <c r="P290" i="17" a="1"/>
  <c r="P290" i="17"/>
  <c r="P320" i="17" a="1"/>
  <c r="P320" i="17" s="1"/>
  <c r="P350" i="17" a="1"/>
  <c r="P350" i="17" s="1"/>
  <c r="P416" i="17" a="1"/>
  <c r="P416" i="17" s="1"/>
  <c r="P417" i="17" a="1"/>
  <c r="P417" i="17" s="1"/>
  <c r="P418" i="17" a="1"/>
  <c r="P418" i="17" s="1"/>
  <c r="P470" i="17" a="1"/>
  <c r="P470" i="17"/>
  <c r="P536" i="17" a="1"/>
  <c r="P536" i="17" s="1"/>
  <c r="P537" i="17" a="1"/>
  <c r="P537" i="17"/>
  <c r="P538" i="17" a="1"/>
  <c r="P538" i="17" s="1"/>
  <c r="P590" i="17" a="1"/>
  <c r="P590" i="17" s="1"/>
  <c r="P656" i="17" a="1"/>
  <c r="P656" i="17" s="1"/>
  <c r="P657" i="17" a="1"/>
  <c r="P657" i="17" s="1"/>
  <c r="P658" i="17" a="1"/>
  <c r="P658" i="17" s="1"/>
  <c r="P710" i="17" a="1"/>
  <c r="P710" i="17"/>
  <c r="P740" i="17" a="1"/>
  <c r="P740" i="17" s="1"/>
  <c r="P116" i="17" a="1"/>
  <c r="P116" i="17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39" i="17" a="1"/>
  <c r="P239" i="17"/>
  <c r="P240" i="17" a="1"/>
  <c r="P240" i="17" s="1"/>
  <c r="P241" i="17" a="1"/>
  <c r="P241" i="17"/>
  <c r="P291" i="17" a="1"/>
  <c r="P291" i="17" s="1"/>
  <c r="P321" i="17" a="1"/>
  <c r="P321" i="17" s="1"/>
  <c r="P351" i="17" a="1"/>
  <c r="P351" i="17" s="1"/>
  <c r="P419" i="17" a="1"/>
  <c r="P419" i="17" s="1"/>
  <c r="P420" i="17" a="1"/>
  <c r="P420" i="17" s="1"/>
  <c r="P421" i="17" a="1"/>
  <c r="P421" i="17"/>
  <c r="P471" i="17" a="1"/>
  <c r="P471" i="17" s="1"/>
  <c r="P539" i="17" a="1"/>
  <c r="P539" i="17"/>
  <c r="P540" i="17" a="1"/>
  <c r="P540" i="17" s="1"/>
  <c r="P541" i="17" a="1"/>
  <c r="P541" i="17" s="1"/>
  <c r="P591" i="17" a="1"/>
  <c r="P591" i="17" s="1"/>
  <c r="P659" i="17" a="1"/>
  <c r="P659" i="17" s="1"/>
  <c r="P660" i="17" a="1"/>
  <c r="P660" i="17" s="1"/>
  <c r="P661" i="17" a="1"/>
  <c r="P661" i="17"/>
  <c r="P711" i="17" a="1"/>
  <c r="P711" i="17" s="1"/>
  <c r="P741" i="17" a="1"/>
  <c r="P741" i="17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/>
  <c r="P242" i="17" a="1"/>
  <c r="P242" i="17" s="1"/>
  <c r="P243" i="17" a="1"/>
  <c r="P243" i="17"/>
  <c r="P244" i="17" a="1"/>
  <c r="P244" i="17" s="1"/>
  <c r="P292" i="17" a="1"/>
  <c r="P292" i="17" s="1"/>
  <c r="P322" i="17" a="1"/>
  <c r="P322" i="17" s="1"/>
  <c r="P352" i="17" a="1"/>
  <c r="P352" i="17" s="1"/>
  <c r="P422" i="17" a="1"/>
  <c r="P422" i="17" s="1"/>
  <c r="P423" i="17" a="1"/>
  <c r="P423" i="17"/>
  <c r="P424" i="17" a="1"/>
  <c r="P424" i="17" s="1"/>
  <c r="P472" i="17" a="1"/>
  <c r="P472" i="17"/>
  <c r="P542" i="17" a="1"/>
  <c r="P542" i="17" s="1"/>
  <c r="P543" i="17" a="1"/>
  <c r="P543" i="17" s="1"/>
  <c r="P544" i="17" a="1"/>
  <c r="P544" i="17" s="1"/>
  <c r="P592" i="17" a="1"/>
  <c r="P592" i="17" s="1"/>
  <c r="P662" i="17" a="1"/>
  <c r="P662" i="17" s="1"/>
  <c r="P663" i="17" a="1"/>
  <c r="P663" i="17"/>
  <c r="P664" i="17" a="1"/>
  <c r="P664" i="17" s="1"/>
  <c r="P712" i="17" a="1"/>
  <c r="P712" i="17"/>
  <c r="P742" i="17" a="1"/>
  <c r="P74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/>
  <c r="P133" i="17" a="1"/>
  <c r="P133" i="17" s="1"/>
  <c r="P245" i="17" a="1"/>
  <c r="P245" i="17"/>
  <c r="P246" i="17" a="1"/>
  <c r="P246" i="17" s="1"/>
  <c r="P247" i="17" a="1"/>
  <c r="P247" i="17" s="1"/>
  <c r="P293" i="17" a="1"/>
  <c r="P293" i="17" s="1"/>
  <c r="P323" i="17" a="1"/>
  <c r="P323" i="17" s="1"/>
  <c r="P353" i="17" a="1"/>
  <c r="P353" i="17" s="1"/>
  <c r="P425" i="17" a="1"/>
  <c r="P425" i="17"/>
  <c r="P426" i="17" a="1"/>
  <c r="P426" i="17" s="1"/>
  <c r="P427" i="17" a="1"/>
  <c r="P427" i="17"/>
  <c r="P473" i="17" a="1"/>
  <c r="P473" i="17" s="1"/>
  <c r="P545" i="17" a="1"/>
  <c r="P545" i="17" s="1"/>
  <c r="P546" i="17" a="1"/>
  <c r="P546" i="17" s="1"/>
  <c r="P547" i="17" a="1"/>
  <c r="P547" i="17" s="1"/>
  <c r="P593" i="17" a="1"/>
  <c r="P593" i="17" s="1"/>
  <c r="P665" i="17" a="1"/>
  <c r="P665" i="17"/>
  <c r="P666" i="17" a="1"/>
  <c r="P666" i="17" s="1"/>
  <c r="P667" i="17" a="1"/>
  <c r="P667" i="17"/>
  <c r="P713" i="17" a="1"/>
  <c r="P713" i="17" s="1"/>
  <c r="P743" i="17" a="1"/>
  <c r="P743" i="17" s="1"/>
  <c r="P134" i="17" a="1"/>
  <c r="P134" i="17" s="1"/>
  <c r="P135" i="17" a="1"/>
  <c r="P135" i="17" s="1"/>
  <c r="P136" i="17" a="1"/>
  <c r="P136" i="17" s="1"/>
  <c r="P137" i="17" a="1"/>
  <c r="P137" i="17"/>
  <c r="P138" i="17" a="1"/>
  <c r="P138" i="17" s="1"/>
  <c r="P139" i="17" a="1"/>
  <c r="P139" i="17"/>
  <c r="P248" i="17" a="1"/>
  <c r="P248" i="17" s="1"/>
  <c r="P249" i="17" a="1"/>
  <c r="P249" i="17" s="1"/>
  <c r="P250" i="17" a="1"/>
  <c r="P250" i="17" s="1"/>
  <c r="P294" i="17" a="1"/>
  <c r="P294" i="17" s="1"/>
  <c r="P324" i="17" a="1"/>
  <c r="P324" i="17" s="1"/>
  <c r="P354" i="17" a="1"/>
  <c r="P354" i="17"/>
  <c r="P428" i="17" a="1"/>
  <c r="P428" i="17" s="1"/>
  <c r="P429" i="17" a="1"/>
  <c r="P429" i="17"/>
  <c r="P430" i="17" a="1"/>
  <c r="P430" i="17" s="1"/>
  <c r="P474" i="17" a="1"/>
  <c r="P474" i="17" s="1"/>
  <c r="P548" i="17" a="1"/>
  <c r="P548" i="17" s="1"/>
  <c r="P549" i="17" a="1"/>
  <c r="P549" i="17" s="1"/>
  <c r="P550" i="17" a="1"/>
  <c r="P550" i="17" s="1"/>
  <c r="P594" i="17" a="1"/>
  <c r="P594" i="17"/>
  <c r="P668" i="17" a="1"/>
  <c r="P668" i="17" s="1"/>
  <c r="P669" i="17" a="1"/>
  <c r="P669" i="17"/>
  <c r="P670" i="17" a="1"/>
  <c r="P670" i="17" s="1"/>
  <c r="P714" i="17" a="1"/>
  <c r="P714" i="17" s="1"/>
  <c r="P744" i="17" a="1"/>
  <c r="P744" i="17" s="1"/>
  <c r="P140" i="17" a="1"/>
  <c r="P140" i="17" s="1"/>
  <c r="P141" i="17" a="1"/>
  <c r="P141" i="17" s="1"/>
  <c r="P142" i="17" a="1"/>
  <c r="P142" i="17"/>
  <c r="P143" i="17" a="1"/>
  <c r="P143" i="17" s="1"/>
  <c r="P144" i="17" a="1"/>
  <c r="P144" i="17"/>
  <c r="P145" i="17" a="1"/>
  <c r="P145" i="17" s="1"/>
  <c r="P251" i="17" a="1"/>
  <c r="P251" i="17"/>
  <c r="P252" i="17" a="1"/>
  <c r="P252" i="17" s="1"/>
  <c r="P253" i="17" a="1"/>
  <c r="P253" i="17"/>
  <c r="P295" i="17" a="1"/>
  <c r="P295" i="17" s="1"/>
  <c r="P325" i="17" a="1"/>
  <c r="P325" i="17"/>
  <c r="P355" i="17" a="1"/>
  <c r="P355" i="17" s="1"/>
  <c r="P431" i="17" a="1"/>
  <c r="P431" i="17"/>
  <c r="P432" i="17" a="1"/>
  <c r="P432" i="17" s="1"/>
  <c r="P433" i="17" a="1"/>
  <c r="P433" i="17"/>
  <c r="P475" i="17" a="1"/>
  <c r="P475" i="17" s="1"/>
  <c r="P551" i="17" a="1"/>
  <c r="P551" i="17"/>
  <c r="P552" i="17" a="1"/>
  <c r="P552" i="17" s="1"/>
  <c r="P553" i="17" a="1"/>
  <c r="P553" i="17"/>
  <c r="P595" i="17" a="1"/>
  <c r="P595" i="17" s="1"/>
  <c r="P671" i="17" a="1"/>
  <c r="P671" i="17"/>
  <c r="P672" i="17" a="1"/>
  <c r="P672" i="17" s="1"/>
  <c r="P673" i="17" a="1"/>
  <c r="P673" i="17"/>
  <c r="P715" i="17" a="1"/>
  <c r="P715" i="17" s="1"/>
  <c r="P745" i="17" a="1"/>
  <c r="P745" i="17"/>
  <c r="P146" i="17" a="1"/>
  <c r="P146" i="17" s="1"/>
  <c r="P147" i="17" a="1"/>
  <c r="P147" i="17"/>
  <c r="P148" i="17" a="1"/>
  <c r="P148" i="17" s="1"/>
  <c r="P149" i="17" a="1"/>
  <c r="P149" i="17"/>
  <c r="P150" i="17" a="1"/>
  <c r="P150" i="17" s="1"/>
  <c r="P151" i="17" a="1"/>
  <c r="P151" i="17"/>
  <c r="P254" i="17" a="1"/>
  <c r="P254" i="17" s="1"/>
  <c r="P255" i="17" a="1"/>
  <c r="P255" i="17"/>
  <c r="P256" i="17" a="1"/>
  <c r="P256" i="17" s="1"/>
  <c r="P296" i="17" a="1"/>
  <c r="P296" i="17"/>
  <c r="P326" i="17" a="1"/>
  <c r="P326" i="17" s="1"/>
  <c r="P356" i="17" a="1"/>
  <c r="P356" i="17"/>
  <c r="P434" i="17" a="1"/>
  <c r="P434" i="17" s="1"/>
  <c r="P435" i="17" a="1"/>
  <c r="P435" i="17"/>
  <c r="P436" i="17" a="1"/>
  <c r="P436" i="17" s="1"/>
  <c r="P476" i="17" a="1"/>
  <c r="P476" i="17"/>
  <c r="P554" i="17" a="1"/>
  <c r="P554" i="17" s="1"/>
  <c r="P555" i="17" a="1"/>
  <c r="P555" i="17"/>
  <c r="P556" i="17" a="1"/>
  <c r="P556" i="17" s="1"/>
  <c r="P596" i="17" a="1"/>
  <c r="P596" i="17"/>
  <c r="P674" i="17" a="1"/>
  <c r="P674" i="17" s="1"/>
  <c r="P675" i="17" a="1"/>
  <c r="P675" i="17"/>
  <c r="P676" i="17" a="1"/>
  <c r="P676" i="17" s="1"/>
  <c r="P716" i="17" a="1"/>
  <c r="P716" i="17"/>
  <c r="P746" i="17" a="1"/>
  <c r="P746" i="17" s="1"/>
  <c r="P152" i="17" a="1"/>
  <c r="P152" i="17"/>
  <c r="P153" i="17" a="1"/>
  <c r="P153" i="17" s="1"/>
  <c r="P154" i="17" a="1"/>
  <c r="P154" i="17"/>
  <c r="P155" i="17" a="1"/>
  <c r="P155" i="17" s="1"/>
  <c r="P156" i="17" a="1"/>
  <c r="P156" i="17"/>
  <c r="P157" i="17" a="1"/>
  <c r="P157" i="17" s="1"/>
  <c r="P257" i="17" a="1"/>
  <c r="P257" i="17"/>
  <c r="P258" i="17" a="1"/>
  <c r="P258" i="17" s="1"/>
  <c r="P259" i="17" a="1"/>
  <c r="P259" i="17"/>
  <c r="P297" i="17" a="1"/>
  <c r="P297" i="17" s="1"/>
  <c r="P327" i="17" a="1"/>
  <c r="P327" i="17"/>
  <c r="P357" i="17" a="1"/>
  <c r="P357" i="17" s="1"/>
  <c r="P437" i="17" a="1"/>
  <c r="P437" i="17"/>
  <c r="P438" i="17" a="1"/>
  <c r="P438" i="17" s="1"/>
  <c r="P439" i="17" a="1"/>
  <c r="P439" i="17"/>
  <c r="P477" i="17" a="1"/>
  <c r="P477" i="17" s="1"/>
  <c r="P557" i="17" a="1"/>
  <c r="P557" i="17"/>
  <c r="P558" i="17" a="1"/>
  <c r="P558" i="17" s="1"/>
  <c r="P559" i="17" a="1"/>
  <c r="P559" i="17"/>
  <c r="P597" i="17" a="1"/>
  <c r="P597" i="17" s="1"/>
  <c r="P677" i="17" a="1"/>
  <c r="P677" i="17"/>
  <c r="P678" i="17" a="1"/>
  <c r="P678" i="17" s="1"/>
  <c r="P679" i="17" a="1"/>
  <c r="P679" i="17"/>
  <c r="P717" i="17" a="1"/>
  <c r="P717" i="17" s="1"/>
  <c r="P747" i="17" a="1"/>
  <c r="P747" i="17"/>
  <c r="P158" i="17" a="1"/>
  <c r="P158" i="17" s="1"/>
  <c r="P159" i="17" a="1"/>
  <c r="P159" i="17"/>
  <c r="P160" i="17" a="1"/>
  <c r="P160" i="17" s="1"/>
  <c r="P161" i="17" a="1"/>
  <c r="P161" i="17"/>
  <c r="P162" i="17" a="1"/>
  <c r="P162" i="17" s="1"/>
  <c r="P163" i="17" a="1"/>
  <c r="P163" i="17"/>
  <c r="P260" i="17" a="1"/>
  <c r="P260" i="17" s="1"/>
  <c r="P261" i="17" a="1"/>
  <c r="P261" i="17"/>
  <c r="P262" i="17" a="1"/>
  <c r="P262" i="17" s="1"/>
  <c r="P298" i="17" a="1"/>
  <c r="P298" i="17"/>
  <c r="P328" i="17" a="1"/>
  <c r="P328" i="17" s="1"/>
  <c r="P358" i="17" a="1"/>
  <c r="P358" i="17"/>
  <c r="P440" i="17" a="1"/>
  <c r="P440" i="17" s="1"/>
  <c r="P441" i="17" a="1"/>
  <c r="P441" i="17"/>
  <c r="P442" i="17" a="1"/>
  <c r="P442" i="17" s="1"/>
  <c r="P478" i="17" a="1"/>
  <c r="P478" i="17"/>
  <c r="P560" i="17" a="1"/>
  <c r="P560" i="17" s="1"/>
  <c r="P561" i="17" a="1"/>
  <c r="P561" i="17"/>
  <c r="P562" i="17" a="1"/>
  <c r="P562" i="17" s="1"/>
  <c r="P598" i="17" a="1"/>
  <c r="P598" i="17"/>
  <c r="P680" i="17" a="1"/>
  <c r="P680" i="17" s="1"/>
  <c r="P681" i="17" a="1"/>
  <c r="P681" i="17"/>
  <c r="P682" i="17" a="1"/>
  <c r="P682" i="17" s="1"/>
  <c r="P718" i="17" a="1"/>
  <c r="P718" i="17"/>
  <c r="P748" i="17" a="1"/>
  <c r="P748" i="17" s="1"/>
  <c r="P164" i="17" a="1"/>
  <c r="P164" i="17"/>
  <c r="P165" i="17" a="1"/>
  <c r="P165" i="17" s="1"/>
  <c r="P166" i="17" a="1"/>
  <c r="P166" i="17"/>
  <c r="P167" i="17" a="1"/>
  <c r="P167" i="17" s="1"/>
  <c r="P168" i="17" a="1"/>
  <c r="P168" i="17"/>
  <c r="P169" i="17" a="1"/>
  <c r="P169" i="17" s="1"/>
  <c r="P263" i="17" a="1"/>
  <c r="P263" i="17"/>
  <c r="P264" i="17" a="1"/>
  <c r="P264" i="17" s="1"/>
  <c r="P265" i="17" a="1"/>
  <c r="P265" i="17"/>
  <c r="P299" i="17" a="1"/>
  <c r="P299" i="17" s="1"/>
  <c r="P329" i="17" a="1"/>
  <c r="P329" i="17"/>
  <c r="P359" i="17" a="1"/>
  <c r="P359" i="17" s="1"/>
  <c r="P443" i="17" a="1"/>
  <c r="P443" i="17"/>
  <c r="P444" i="17" a="1"/>
  <c r="P444" i="17" s="1"/>
  <c r="P445" i="17" a="1"/>
  <c r="P445" i="17"/>
  <c r="P479" i="17" a="1"/>
  <c r="P479" i="17" s="1"/>
  <c r="P563" i="17" a="1"/>
  <c r="P563" i="17"/>
  <c r="P564" i="17" a="1"/>
  <c r="P564" i="17" s="1"/>
  <c r="P565" i="17" a="1"/>
  <c r="P565" i="17"/>
  <c r="P599" i="17" a="1"/>
  <c r="P599" i="17" s="1"/>
  <c r="P683" i="17" a="1"/>
  <c r="P683" i="17"/>
  <c r="P684" i="17" a="1"/>
  <c r="P684" i="17" s="1"/>
  <c r="P685" i="17" a="1"/>
  <c r="P685" i="17"/>
  <c r="P719" i="17" a="1"/>
  <c r="P719" i="17" s="1"/>
  <c r="P749" i="17" a="1"/>
  <c r="P749" i="17"/>
  <c r="P170" i="17" a="1"/>
  <c r="P170" i="17" s="1"/>
  <c r="P171" i="17" a="1"/>
  <c r="P171" i="17"/>
  <c r="P172" i="17" a="1"/>
  <c r="P172" i="17" s="1"/>
  <c r="P173" i="17" a="1"/>
  <c r="P173" i="17"/>
  <c r="P174" i="17" a="1"/>
  <c r="P174" i="17" s="1"/>
  <c r="P175" i="17" a="1"/>
  <c r="P175" i="17"/>
  <c r="P266" i="17" a="1"/>
  <c r="P266" i="17" s="1"/>
  <c r="P267" i="17" a="1"/>
  <c r="P267" i="17"/>
  <c r="P268" i="17" a="1"/>
  <c r="P268" i="17" s="1"/>
  <c r="P300" i="17" a="1"/>
  <c r="P300" i="17"/>
  <c r="P330" i="17" a="1"/>
  <c r="P330" i="17" s="1"/>
  <c r="P360" i="17" a="1"/>
  <c r="P360" i="17"/>
  <c r="P446" i="17" a="1"/>
  <c r="P446" i="17" s="1"/>
  <c r="P447" i="17" a="1"/>
  <c r="P447" i="17"/>
  <c r="P448" i="17" a="1"/>
  <c r="P448" i="17" s="1"/>
  <c r="P480" i="17" a="1"/>
  <c r="P480" i="17"/>
  <c r="P566" i="17" a="1"/>
  <c r="P566" i="17" s="1"/>
  <c r="P567" i="17" a="1"/>
  <c r="P567" i="17"/>
  <c r="P568" i="17" a="1"/>
  <c r="P568" i="17" s="1"/>
  <c r="P600" i="17" a="1"/>
  <c r="P600" i="17"/>
  <c r="P686" i="17" a="1"/>
  <c r="P686" i="17" s="1"/>
  <c r="P687" i="17" a="1"/>
  <c r="P687" i="17"/>
  <c r="P688" i="17" a="1"/>
  <c r="P688" i="17" s="1"/>
  <c r="P720" i="17" a="1"/>
  <c r="P720" i="17"/>
  <c r="P750" i="17" a="1"/>
  <c r="P750" i="17" s="1"/>
  <c r="P176" i="17" a="1"/>
  <c r="P176" i="17"/>
  <c r="P177" i="17" a="1"/>
  <c r="P177" i="17" s="1"/>
  <c r="P178" i="17" a="1"/>
  <c r="P178" i="17"/>
  <c r="P179" i="17" a="1"/>
  <c r="P179" i="17" s="1"/>
  <c r="P180" i="17" a="1"/>
  <c r="P180" i="17"/>
  <c r="P181" i="17" a="1"/>
  <c r="P181" i="17" s="1"/>
  <c r="P269" i="17" a="1"/>
  <c r="P269" i="17"/>
  <c r="P270" i="17" a="1"/>
  <c r="P270" i="17" s="1"/>
  <c r="P271" i="17" a="1"/>
  <c r="P271" i="17"/>
  <c r="P301" i="17" a="1"/>
  <c r="P301" i="17" s="1"/>
  <c r="P331" i="17" a="1"/>
  <c r="P331" i="17"/>
  <c r="P361" i="17" a="1"/>
  <c r="P361" i="17" s="1"/>
  <c r="P449" i="17" a="1"/>
  <c r="P449" i="17"/>
  <c r="P450" i="17" a="1"/>
  <c r="P450" i="17" s="1"/>
  <c r="P451" i="17" a="1"/>
  <c r="P451" i="17"/>
  <c r="P481" i="17" a="1"/>
  <c r="P481" i="17" s="1"/>
  <c r="P569" i="17" a="1"/>
  <c r="P569" i="17"/>
  <c r="P570" i="17" a="1"/>
  <c r="P570" i="17" s="1"/>
  <c r="P571" i="17" a="1"/>
  <c r="P571" i="17"/>
  <c r="P601" i="17" a="1"/>
  <c r="P601" i="17" s="1"/>
  <c r="P689" i="17" a="1"/>
  <c r="P689" i="17"/>
  <c r="P690" i="17" a="1"/>
  <c r="P690" i="17" s="1"/>
  <c r="P691" i="17" a="1"/>
  <c r="P691" i="17"/>
  <c r="P721" i="17" a="1"/>
  <c r="P721" i="17" s="1"/>
  <c r="P751" i="17" a="1"/>
  <c r="P751" i="17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182" i="17" a="1"/>
  <c r="R182" i="17" s="1"/>
  <c r="R183" i="17" a="1"/>
  <c r="R183" i="17" s="1"/>
  <c r="R184" i="17" a="1"/>
  <c r="R184" i="17" s="1"/>
  <c r="R272" i="17" a="1"/>
  <c r="R272" i="17" s="1"/>
  <c r="R302" i="17" a="1"/>
  <c r="R302" i="17" s="1"/>
  <c r="R332" i="17" a="1"/>
  <c r="R332" i="17" s="1"/>
  <c r="R362" i="17" a="1"/>
  <c r="R362" i="17" s="1"/>
  <c r="R363" i="17" a="1"/>
  <c r="R363" i="17" s="1"/>
  <c r="R364" i="17" a="1"/>
  <c r="R364" i="17" s="1"/>
  <c r="R452" i="17" a="1"/>
  <c r="R452" i="17" s="1"/>
  <c r="R482" i="17" a="1"/>
  <c r="R482" i="17" s="1"/>
  <c r="R483" i="17" a="1"/>
  <c r="R483" i="17" s="1"/>
  <c r="R484" i="17" a="1"/>
  <c r="R484" i="17" s="1"/>
  <c r="R572" i="17" a="1"/>
  <c r="R572" i="17" s="1"/>
  <c r="R602" i="17" a="1"/>
  <c r="R602" i="17" s="1"/>
  <c r="R603" i="17" a="1"/>
  <c r="R603" i="17" s="1"/>
  <c r="R604" i="17" a="1"/>
  <c r="R604" i="17" s="1"/>
  <c r="R692" i="17" a="1"/>
  <c r="R692" i="17" s="1"/>
  <c r="R722" i="17" a="1"/>
  <c r="R722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 s="1"/>
  <c r="R185" i="17" a="1"/>
  <c r="R185" i="17" s="1"/>
  <c r="R186" i="17" a="1"/>
  <c r="R186" i="17" s="1"/>
  <c r="R187" i="17" a="1"/>
  <c r="R187" i="17" s="1"/>
  <c r="R273" i="17" a="1"/>
  <c r="R273" i="17" s="1"/>
  <c r="R303" i="17" a="1"/>
  <c r="R303" i="17" s="1"/>
  <c r="R333" i="17" a="1"/>
  <c r="R333" i="17" s="1"/>
  <c r="R365" i="17" a="1"/>
  <c r="R365" i="17" s="1"/>
  <c r="R366" i="17" a="1"/>
  <c r="R366" i="17" s="1"/>
  <c r="R367" i="17" a="1"/>
  <c r="R367" i="17" s="1"/>
  <c r="R453" i="17" a="1"/>
  <c r="R453" i="17"/>
  <c r="R485" i="17" a="1"/>
  <c r="R485" i="17" s="1"/>
  <c r="R486" i="17" a="1"/>
  <c r="R486" i="17" s="1"/>
  <c r="R487" i="17" a="1"/>
  <c r="R487" i="17" s="1"/>
  <c r="R573" i="17" a="1"/>
  <c r="R573" i="17" s="1"/>
  <c r="R605" i="17" a="1"/>
  <c r="R605" i="17" s="1"/>
  <c r="R606" i="17" a="1"/>
  <c r="R606" i="17" s="1"/>
  <c r="R607" i="17" a="1"/>
  <c r="R607" i="17" s="1"/>
  <c r="R693" i="17" a="1"/>
  <c r="R693" i="17" s="1"/>
  <c r="R723" i="17" a="1"/>
  <c r="R72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188" i="17" a="1"/>
  <c r="R188" i="17"/>
  <c r="R189" i="17" a="1"/>
  <c r="R189" i="17" s="1"/>
  <c r="R190" i="17" a="1"/>
  <c r="R190" i="17" s="1"/>
  <c r="R274" i="17" a="1"/>
  <c r="R274" i="17" s="1"/>
  <c r="R304" i="17" a="1"/>
  <c r="R304" i="17" s="1"/>
  <c r="R334" i="17" a="1"/>
  <c r="R334" i="17" s="1"/>
  <c r="R368" i="17" a="1"/>
  <c r="R368" i="17" s="1"/>
  <c r="R369" i="17" a="1"/>
  <c r="R369" i="17" s="1"/>
  <c r="R370" i="17" a="1"/>
  <c r="R370" i="17" s="1"/>
  <c r="R454" i="17" a="1"/>
  <c r="R454" i="17" s="1"/>
  <c r="R488" i="17" a="1"/>
  <c r="R488" i="17" s="1"/>
  <c r="R489" i="17" a="1"/>
  <c r="R489" i="17" s="1"/>
  <c r="R490" i="17" a="1"/>
  <c r="R490" i="17" s="1"/>
  <c r="R574" i="17" a="1"/>
  <c r="R574" i="17" s="1"/>
  <c r="R608" i="17" a="1"/>
  <c r="R608" i="17" s="1"/>
  <c r="R609" i="17" a="1"/>
  <c r="R609" i="17" s="1"/>
  <c r="R610" i="17" a="1"/>
  <c r="R610" i="17" s="1"/>
  <c r="R694" i="17" a="1"/>
  <c r="R694" i="17" s="1"/>
  <c r="R724" i="17" a="1"/>
  <c r="R724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191" i="17" a="1"/>
  <c r="R191" i="17" s="1"/>
  <c r="R192" i="17" a="1"/>
  <c r="R192" i="17" s="1"/>
  <c r="R193" i="17" a="1"/>
  <c r="R193" i="17" s="1"/>
  <c r="R275" i="17" a="1"/>
  <c r="R275" i="17" s="1"/>
  <c r="R305" i="17" a="1"/>
  <c r="R305" i="17" s="1"/>
  <c r="R335" i="17" a="1"/>
  <c r="R335" i="17" s="1"/>
  <c r="R371" i="17" a="1"/>
  <c r="R371" i="17" s="1"/>
  <c r="R372" i="17" a="1"/>
  <c r="R372" i="17" s="1"/>
  <c r="R373" i="17" a="1"/>
  <c r="R373" i="17" s="1"/>
  <c r="R455" i="17" a="1"/>
  <c r="R455" i="17" s="1"/>
  <c r="R491" i="17" a="1"/>
  <c r="R491" i="17" s="1"/>
  <c r="R492" i="17" a="1"/>
  <c r="R492" i="17" s="1"/>
  <c r="R493" i="17" a="1"/>
  <c r="R493" i="17" s="1"/>
  <c r="R575" i="17" a="1"/>
  <c r="R575" i="17" s="1"/>
  <c r="R611" i="17" a="1"/>
  <c r="R611" i="17" s="1"/>
  <c r="R612" i="17" a="1"/>
  <c r="R612" i="17" s="1"/>
  <c r="R613" i="17" a="1"/>
  <c r="R613" i="17" s="1"/>
  <c r="R695" i="17" a="1"/>
  <c r="R695" i="17" s="1"/>
  <c r="R725" i="17" a="1"/>
  <c r="R72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194" i="17" a="1"/>
  <c r="R194" i="17" s="1"/>
  <c r="R195" i="17" a="1"/>
  <c r="R195" i="17" s="1"/>
  <c r="R196" i="17" a="1"/>
  <c r="R196" i="17" s="1"/>
  <c r="R276" i="17" a="1"/>
  <c r="R276" i="17" s="1"/>
  <c r="R306" i="17" a="1"/>
  <c r="R306" i="17" s="1"/>
  <c r="R336" i="17" a="1"/>
  <c r="R336" i="17" s="1"/>
  <c r="R374" i="17" a="1"/>
  <c r="R374" i="17" s="1"/>
  <c r="R375" i="17" a="1"/>
  <c r="R375" i="17" s="1"/>
  <c r="R376" i="17" a="1"/>
  <c r="R376" i="17" s="1"/>
  <c r="R456" i="17" a="1"/>
  <c r="R456" i="17" s="1"/>
  <c r="R494" i="17" a="1"/>
  <c r="R494" i="17" s="1"/>
  <c r="R495" i="17" a="1"/>
  <c r="R495" i="17" s="1"/>
  <c r="R496" i="17" a="1"/>
  <c r="R496" i="17" s="1"/>
  <c r="R576" i="17" a="1"/>
  <c r="R576" i="17" s="1"/>
  <c r="R614" i="17" a="1"/>
  <c r="R614" i="17" s="1"/>
  <c r="R615" i="17" a="1"/>
  <c r="R615" i="17" s="1"/>
  <c r="R616" i="17" a="1"/>
  <c r="R616" i="17"/>
  <c r="R696" i="17" a="1"/>
  <c r="R696" i="17" s="1"/>
  <c r="R726" i="17" a="1"/>
  <c r="R72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97" i="17" a="1"/>
  <c r="R197" i="17" s="1"/>
  <c r="R198" i="17" a="1"/>
  <c r="R198" i="17" s="1"/>
  <c r="R199" i="17" a="1"/>
  <c r="R199" i="17" s="1"/>
  <c r="R277" i="17" a="1"/>
  <c r="R277" i="17" s="1"/>
  <c r="R307" i="17" a="1"/>
  <c r="R307" i="17" s="1"/>
  <c r="R337" i="17" a="1"/>
  <c r="R337" i="17" s="1"/>
  <c r="R377" i="17" a="1"/>
  <c r="R377" i="17" s="1"/>
  <c r="R378" i="17" a="1"/>
  <c r="R378" i="17" s="1"/>
  <c r="R379" i="17" a="1"/>
  <c r="R379" i="17" s="1"/>
  <c r="R457" i="17" a="1"/>
  <c r="R457" i="17" s="1"/>
  <c r="R497" i="17" a="1"/>
  <c r="R497" i="17" s="1"/>
  <c r="R498" i="17" a="1"/>
  <c r="R498" i="17" s="1"/>
  <c r="R499" i="17" a="1"/>
  <c r="R499" i="17" s="1"/>
  <c r="R577" i="17" a="1"/>
  <c r="R577" i="17" s="1"/>
  <c r="R617" i="17" a="1"/>
  <c r="R617" i="17" s="1"/>
  <c r="R618" i="17" a="1"/>
  <c r="R618" i="17" s="1"/>
  <c r="R619" i="17" a="1"/>
  <c r="R619" i="17" s="1"/>
  <c r="R697" i="17" a="1"/>
  <c r="R697" i="17" s="1"/>
  <c r="R727" i="17" a="1"/>
  <c r="R72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/>
  <c r="R43" i="17" a="1"/>
  <c r="R43" i="17" s="1"/>
  <c r="R200" i="17" a="1"/>
  <c r="R200" i="17" s="1"/>
  <c r="R201" i="17" a="1"/>
  <c r="R201" i="17" s="1"/>
  <c r="R202" i="17" a="1"/>
  <c r="R202" i="17" s="1"/>
  <c r="R278" i="17" a="1"/>
  <c r="R278" i="17" s="1"/>
  <c r="R308" i="17" a="1"/>
  <c r="R308" i="17" s="1"/>
  <c r="R338" i="17" a="1"/>
  <c r="R338" i="17" s="1"/>
  <c r="R380" i="17" a="1"/>
  <c r="R380" i="17" s="1"/>
  <c r="R381" i="17" a="1"/>
  <c r="R381" i="17" s="1"/>
  <c r="R382" i="17" a="1"/>
  <c r="R382" i="17" s="1"/>
  <c r="R458" i="17" a="1"/>
  <c r="R458" i="17" s="1"/>
  <c r="R500" i="17" a="1"/>
  <c r="R500" i="17" s="1"/>
  <c r="R501" i="17" a="1"/>
  <c r="R501" i="17" s="1"/>
  <c r="R502" i="17" a="1"/>
  <c r="R502" i="17" s="1"/>
  <c r="R578" i="17" a="1"/>
  <c r="R578" i="17" s="1"/>
  <c r="R620" i="17" a="1"/>
  <c r="R620" i="17" s="1"/>
  <c r="R621" i="17" a="1"/>
  <c r="R621" i="17" s="1"/>
  <c r="R622" i="17" a="1"/>
  <c r="R622" i="17" s="1"/>
  <c r="R698" i="17" a="1"/>
  <c r="R698" i="17" s="1"/>
  <c r="R728" i="17" a="1"/>
  <c r="R728" i="17" s="1"/>
  <c r="R44" i="17" a="1"/>
  <c r="R44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203" i="17" a="1"/>
  <c r="R203" i="17" s="1"/>
  <c r="R204" i="17" a="1"/>
  <c r="R204" i="17" s="1"/>
  <c r="R205" i="17" a="1"/>
  <c r="R205" i="17" s="1"/>
  <c r="R279" i="17" a="1"/>
  <c r="R279" i="17" s="1"/>
  <c r="R309" i="17" a="1"/>
  <c r="R309" i="17" s="1"/>
  <c r="R339" i="17" a="1"/>
  <c r="R339" i="17"/>
  <c r="R383" i="17" a="1"/>
  <c r="R383" i="17" s="1"/>
  <c r="R384" i="17" a="1"/>
  <c r="R384" i="17" s="1"/>
  <c r="R385" i="17" a="1"/>
  <c r="R385" i="17" s="1"/>
  <c r="R459" i="17" a="1"/>
  <c r="R459" i="17" s="1"/>
  <c r="R503" i="17" a="1"/>
  <c r="R503" i="17" s="1"/>
  <c r="R504" i="17" a="1"/>
  <c r="R504" i="17" s="1"/>
  <c r="R505" i="17" a="1"/>
  <c r="R505" i="17" s="1"/>
  <c r="R579" i="17" a="1"/>
  <c r="R579" i="17" s="1"/>
  <c r="R623" i="17" a="1"/>
  <c r="R623" i="17" s="1"/>
  <c r="R624" i="17" a="1"/>
  <c r="R624" i="17" s="1"/>
  <c r="R625" i="17" a="1"/>
  <c r="R625" i="17" s="1"/>
  <c r="R699" i="17" a="1"/>
  <c r="R699" i="17" s="1"/>
  <c r="R729" i="17" a="1"/>
  <c r="R72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206" i="17" a="1"/>
  <c r="R206" i="17" s="1"/>
  <c r="R207" i="17" a="1"/>
  <c r="R207" i="17" s="1"/>
  <c r="R208" i="17" a="1"/>
  <c r="R208" i="17" s="1"/>
  <c r="R280" i="17" a="1"/>
  <c r="R280" i="17" s="1"/>
  <c r="R310" i="17" a="1"/>
  <c r="R310" i="17" s="1"/>
  <c r="R340" i="17" a="1"/>
  <c r="R340" i="17" s="1"/>
  <c r="R386" i="17" a="1"/>
  <c r="R386" i="17" s="1"/>
  <c r="R387" i="17" a="1"/>
  <c r="R387" i="17" s="1"/>
  <c r="R388" i="17" a="1"/>
  <c r="R388" i="17" s="1"/>
  <c r="R460" i="17" a="1"/>
  <c r="R460" i="17" s="1"/>
  <c r="R506" i="17" a="1"/>
  <c r="R506" i="17" s="1"/>
  <c r="R507" i="17" a="1"/>
  <c r="R507" i="17" s="1"/>
  <c r="R508" i="17" a="1"/>
  <c r="R508" i="17"/>
  <c r="R580" i="17" a="1"/>
  <c r="R580" i="17" s="1"/>
  <c r="R626" i="17" a="1"/>
  <c r="R626" i="17" s="1"/>
  <c r="R627" i="17" a="1"/>
  <c r="R627" i="17" s="1"/>
  <c r="R628" i="17" a="1"/>
  <c r="R628" i="17" s="1"/>
  <c r="R700" i="17" a="1"/>
  <c r="R700" i="17" s="1"/>
  <c r="R730" i="17" a="1"/>
  <c r="R730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209" i="17" a="1"/>
  <c r="R209" i="17" s="1"/>
  <c r="R210" i="17" a="1"/>
  <c r="R210" i="17" s="1"/>
  <c r="R211" i="17" a="1"/>
  <c r="R211" i="17" s="1"/>
  <c r="R281" i="17" a="1"/>
  <c r="R281" i="17" s="1"/>
  <c r="R311" i="17" a="1"/>
  <c r="R311" i="17" s="1"/>
  <c r="R341" i="17" a="1"/>
  <c r="R341" i="17" s="1"/>
  <c r="R389" i="17" a="1"/>
  <c r="R389" i="17" s="1"/>
  <c r="R390" i="17" a="1"/>
  <c r="R390" i="17" s="1"/>
  <c r="R391" i="17" a="1"/>
  <c r="R391" i="17" s="1"/>
  <c r="R461" i="17" a="1"/>
  <c r="R461" i="17" s="1"/>
  <c r="R509" i="17" a="1"/>
  <c r="R509" i="17" s="1"/>
  <c r="R510" i="17" a="1"/>
  <c r="R510" i="17" s="1"/>
  <c r="R511" i="17" a="1"/>
  <c r="R511" i="17" s="1"/>
  <c r="R581" i="17" a="1"/>
  <c r="R581" i="17" s="1"/>
  <c r="R629" i="17" a="1"/>
  <c r="R629" i="17" s="1"/>
  <c r="R630" i="17" a="1"/>
  <c r="R630" i="17" s="1"/>
  <c r="R631" i="17" a="1"/>
  <c r="R631" i="17" s="1"/>
  <c r="R701" i="17" a="1"/>
  <c r="R701" i="17" s="1"/>
  <c r="R731" i="17" a="1"/>
  <c r="R731" i="17" s="1"/>
  <c r="R62" i="17" a="1"/>
  <c r="R62" i="17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212" i="17" a="1"/>
  <c r="R212" i="17" s="1"/>
  <c r="R213" i="17" a="1"/>
  <c r="R213" i="17" s="1"/>
  <c r="R214" i="17" a="1"/>
  <c r="R214" i="17" s="1"/>
  <c r="R282" i="17" a="1"/>
  <c r="R282" i="17" s="1"/>
  <c r="R312" i="17" a="1"/>
  <c r="R312" i="17" s="1"/>
  <c r="R342" i="17" a="1"/>
  <c r="R342" i="17" s="1"/>
  <c r="R392" i="17" a="1"/>
  <c r="R392" i="17" s="1"/>
  <c r="R393" i="17" a="1"/>
  <c r="R393" i="17" s="1"/>
  <c r="R394" i="17" a="1"/>
  <c r="R394" i="17" s="1"/>
  <c r="R462" i="17" a="1"/>
  <c r="R462" i="17" s="1"/>
  <c r="R512" i="17" a="1"/>
  <c r="R512" i="17"/>
  <c r="R513" i="17" a="1"/>
  <c r="R513" i="17" s="1"/>
  <c r="R514" i="17" a="1"/>
  <c r="R514" i="17" s="1"/>
  <c r="R582" i="17" a="1"/>
  <c r="R582" i="17" s="1"/>
  <c r="R632" i="17" a="1"/>
  <c r="R632" i="17" s="1"/>
  <c r="R633" i="17" a="1"/>
  <c r="R633" i="17" s="1"/>
  <c r="R634" i="17" a="1"/>
  <c r="R634" i="17" s="1"/>
  <c r="R702" i="17" a="1"/>
  <c r="R702" i="17" s="1"/>
  <c r="R732" i="17" a="1"/>
  <c r="R732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215" i="17" a="1"/>
  <c r="R215" i="17" s="1"/>
  <c r="R216" i="17" a="1"/>
  <c r="R216" i="17" s="1"/>
  <c r="R217" i="17" a="1"/>
  <c r="R217" i="17" s="1"/>
  <c r="R283" i="17" a="1"/>
  <c r="R283" i="17" s="1"/>
  <c r="R313" i="17" a="1"/>
  <c r="R313" i="17" s="1"/>
  <c r="R343" i="17" a="1"/>
  <c r="R343" i="17" s="1"/>
  <c r="R395" i="17" a="1"/>
  <c r="R395" i="17" s="1"/>
  <c r="R396" i="17" a="1"/>
  <c r="R396" i="17" s="1"/>
  <c r="R397" i="17" a="1"/>
  <c r="R397" i="17" s="1"/>
  <c r="R463" i="17" a="1"/>
  <c r="R463" i="17" s="1"/>
  <c r="R515" i="17" a="1"/>
  <c r="R515" i="17" s="1"/>
  <c r="R516" i="17" a="1"/>
  <c r="R516" i="17" s="1"/>
  <c r="R517" i="17" a="1"/>
  <c r="R517" i="17" s="1"/>
  <c r="R583" i="17" a="1"/>
  <c r="R583" i="17"/>
  <c r="R635" i="17" a="1"/>
  <c r="R635" i="17" s="1"/>
  <c r="R636" i="17" a="1"/>
  <c r="R636" i="17" s="1"/>
  <c r="R637" i="17" a="1"/>
  <c r="R637" i="17" s="1"/>
  <c r="R703" i="17" a="1"/>
  <c r="R703" i="17" s="1"/>
  <c r="R733" i="17" a="1"/>
  <c r="R73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218" i="17" a="1"/>
  <c r="R218" i="17" s="1"/>
  <c r="R219" i="17" a="1"/>
  <c r="R219" i="17" s="1"/>
  <c r="R220" i="17" a="1"/>
  <c r="R220" i="17" s="1"/>
  <c r="R284" i="17" a="1"/>
  <c r="R284" i="17" s="1"/>
  <c r="R314" i="17" a="1"/>
  <c r="R314" i="17"/>
  <c r="R344" i="17" a="1"/>
  <c r="R344" i="17" s="1"/>
  <c r="R398" i="17" a="1"/>
  <c r="R398" i="17" s="1"/>
  <c r="R399" i="17" a="1"/>
  <c r="R399" i="17" s="1"/>
  <c r="R400" i="17" a="1"/>
  <c r="R400" i="17" s="1"/>
  <c r="R464" i="17" a="1"/>
  <c r="R464" i="17" s="1"/>
  <c r="R518" i="17" a="1"/>
  <c r="R518" i="17" s="1"/>
  <c r="R519" i="17" a="1"/>
  <c r="R519" i="17" s="1"/>
  <c r="R520" i="17" a="1"/>
  <c r="R520" i="17" s="1"/>
  <c r="R584" i="17" a="1"/>
  <c r="R584" i="17" s="1"/>
  <c r="R638" i="17" a="1"/>
  <c r="R638" i="17" s="1"/>
  <c r="R639" i="17" a="1"/>
  <c r="R639" i="17" s="1"/>
  <c r="R640" i="17" a="1"/>
  <c r="R640" i="17" s="1"/>
  <c r="R704" i="17" a="1"/>
  <c r="R704" i="17" s="1"/>
  <c r="R734" i="17" a="1"/>
  <c r="R734" i="17" s="1"/>
  <c r="R80" i="17" a="1"/>
  <c r="R80" i="17" s="1"/>
  <c r="R81" i="17" a="1"/>
  <c r="R81" i="17"/>
  <c r="R82" i="17" a="1"/>
  <c r="R82" i="17" s="1"/>
  <c r="R83" i="17" a="1"/>
  <c r="R83" i="17" s="1"/>
  <c r="R84" i="17" a="1"/>
  <c r="R84" i="17" s="1"/>
  <c r="R85" i="17" a="1"/>
  <c r="R85" i="17" s="1"/>
  <c r="R221" i="17" a="1"/>
  <c r="R221" i="17" s="1"/>
  <c r="R222" i="17" a="1"/>
  <c r="R222" i="17" s="1"/>
  <c r="R223" i="17" a="1"/>
  <c r="R223" i="17" s="1"/>
  <c r="R285" i="17" a="1"/>
  <c r="R285" i="17" s="1"/>
  <c r="R315" i="17" a="1"/>
  <c r="R315" i="17" s="1"/>
  <c r="R345" i="17" a="1"/>
  <c r="R345" i="17" s="1"/>
  <c r="R401" i="17" a="1"/>
  <c r="R401" i="17" s="1"/>
  <c r="R402" i="17" a="1"/>
  <c r="R402" i="17" s="1"/>
  <c r="R403" i="17" a="1"/>
  <c r="R403" i="17" s="1"/>
  <c r="R465" i="17" a="1"/>
  <c r="R465" i="17" s="1"/>
  <c r="R521" i="17" a="1"/>
  <c r="R521" i="17" s="1"/>
  <c r="R522" i="17" a="1"/>
  <c r="R522" i="17"/>
  <c r="R523" i="17" a="1"/>
  <c r="R523" i="17" s="1"/>
  <c r="R585" i="17" a="1"/>
  <c r="R585" i="17" s="1"/>
  <c r="R641" i="17" a="1"/>
  <c r="R641" i="17" s="1"/>
  <c r="R642" i="17" a="1"/>
  <c r="R642" i="17" s="1"/>
  <c r="R643" i="17" a="1"/>
  <c r="R643" i="17" s="1"/>
  <c r="R705" i="17" a="1"/>
  <c r="R705" i="17" s="1"/>
  <c r="R735" i="17" a="1"/>
  <c r="R735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224" i="17" a="1"/>
  <c r="R224" i="17" s="1"/>
  <c r="R225" i="17" a="1"/>
  <c r="R225" i="17" s="1"/>
  <c r="R226" i="17" a="1"/>
  <c r="R226" i="17" s="1"/>
  <c r="R286" i="17" a="1"/>
  <c r="R286" i="17" s="1"/>
  <c r="R316" i="17" a="1"/>
  <c r="R316" i="17" s="1"/>
  <c r="R346" i="17" a="1"/>
  <c r="R346" i="17" s="1"/>
  <c r="R404" i="17" a="1"/>
  <c r="R404" i="17" s="1"/>
  <c r="R405" i="17" a="1"/>
  <c r="R405" i="17" s="1"/>
  <c r="R406" i="17" a="1"/>
  <c r="R406" i="17"/>
  <c r="R466" i="17" a="1"/>
  <c r="R466" i="17" s="1"/>
  <c r="R524" i="17" a="1"/>
  <c r="R524" i="17" s="1"/>
  <c r="R525" i="17" a="1"/>
  <c r="R525" i="17" s="1"/>
  <c r="R526" i="17" a="1"/>
  <c r="R526" i="17" s="1"/>
  <c r="R586" i="17" a="1"/>
  <c r="R586" i="17" s="1"/>
  <c r="R644" i="17" a="1"/>
  <c r="R644" i="17" s="1"/>
  <c r="R645" i="17" a="1"/>
  <c r="R645" i="17" s="1"/>
  <c r="R646" i="17" a="1"/>
  <c r="R646" i="17" s="1"/>
  <c r="R706" i="17" a="1"/>
  <c r="R706" i="17" s="1"/>
  <c r="R736" i="17" a="1"/>
  <c r="R736" i="17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227" i="17" a="1"/>
  <c r="R227" i="17" s="1"/>
  <c r="R228" i="17" a="1"/>
  <c r="R228" i="17" s="1"/>
  <c r="R229" i="17" a="1"/>
  <c r="R229" i="17" s="1"/>
  <c r="R287" i="17" a="1"/>
  <c r="R287" i="17" s="1"/>
  <c r="R317" i="17" a="1"/>
  <c r="R317" i="17" s="1"/>
  <c r="R347" i="17" a="1"/>
  <c r="R347" i="17" s="1"/>
  <c r="R407" i="17" a="1"/>
  <c r="R407" i="17" s="1"/>
  <c r="R408" i="17" a="1"/>
  <c r="R408" i="17" s="1"/>
  <c r="R409" i="17" a="1"/>
  <c r="R409" i="17" s="1"/>
  <c r="R467" i="17" a="1"/>
  <c r="R467" i="17" s="1"/>
  <c r="R527" i="17" a="1"/>
  <c r="R527" i="17" s="1"/>
  <c r="R528" i="17" a="1"/>
  <c r="R528" i="17" s="1"/>
  <c r="R529" i="17" a="1"/>
  <c r="R529" i="17" s="1"/>
  <c r="R587" i="17" a="1"/>
  <c r="R587" i="17" s="1"/>
  <c r="R647" i="17" a="1"/>
  <c r="R647" i="17" s="1"/>
  <c r="R648" i="17" a="1"/>
  <c r="R648" i="17" s="1"/>
  <c r="R649" i="17" a="1"/>
  <c r="R649" i="17" s="1"/>
  <c r="R707" i="17" a="1"/>
  <c r="R707" i="17" s="1"/>
  <c r="R737" i="17" a="1"/>
  <c r="R737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230" i="17" a="1"/>
  <c r="R230" i="17" s="1"/>
  <c r="R231" i="17" a="1"/>
  <c r="R231" i="17" s="1"/>
  <c r="R232" i="17" a="1"/>
  <c r="R232" i="17"/>
  <c r="R288" i="17" a="1"/>
  <c r="R288" i="17" s="1"/>
  <c r="R318" i="17" a="1"/>
  <c r="R318" i="17" s="1"/>
  <c r="R348" i="17" a="1"/>
  <c r="R348" i="17" s="1"/>
  <c r="R410" i="17" a="1"/>
  <c r="R410" i="17" s="1"/>
  <c r="R411" i="17" a="1"/>
  <c r="R411" i="17" s="1"/>
  <c r="R412" i="17" a="1"/>
  <c r="R412" i="17" s="1"/>
  <c r="R468" i="17" a="1"/>
  <c r="R468" i="17" s="1"/>
  <c r="R530" i="17" a="1"/>
  <c r="R530" i="17" s="1"/>
  <c r="R531" i="17" a="1"/>
  <c r="R531" i="17" s="1"/>
  <c r="R532" i="17" a="1"/>
  <c r="R532" i="17" s="1"/>
  <c r="R588" i="17" a="1"/>
  <c r="R588" i="17" s="1"/>
  <c r="R650" i="17" a="1"/>
  <c r="R650" i="17" s="1"/>
  <c r="R651" i="17" a="1"/>
  <c r="R651" i="17" s="1"/>
  <c r="R652" i="17" a="1"/>
  <c r="R652" i="17" s="1"/>
  <c r="R708" i="17" a="1"/>
  <c r="R708" i="17" s="1"/>
  <c r="R738" i="17" a="1"/>
  <c r="R738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233" i="17" a="1"/>
  <c r="R233" i="17" s="1"/>
  <c r="R234" i="17" a="1"/>
  <c r="R234" i="17" s="1"/>
  <c r="R235" i="17" a="1"/>
  <c r="R235" i="17" s="1"/>
  <c r="R289" i="17" a="1"/>
  <c r="R289" i="17" s="1"/>
  <c r="R319" i="17" a="1"/>
  <c r="R319" i="17" s="1"/>
  <c r="R349" i="17" a="1"/>
  <c r="R349" i="17" s="1"/>
  <c r="R413" i="17" a="1"/>
  <c r="R413" i="17" s="1"/>
  <c r="R414" i="17" a="1"/>
  <c r="R414" i="17" s="1"/>
  <c r="R415" i="17" a="1"/>
  <c r="R415" i="17" s="1"/>
  <c r="R469" i="17" a="1"/>
  <c r="R469" i="17"/>
  <c r="R533" i="17" a="1"/>
  <c r="R533" i="17" s="1"/>
  <c r="R534" i="17" a="1"/>
  <c r="R534" i="17" s="1"/>
  <c r="R535" i="17" a="1"/>
  <c r="R535" i="17" s="1"/>
  <c r="R589" i="17" a="1"/>
  <c r="R589" i="17" s="1"/>
  <c r="R653" i="17" a="1"/>
  <c r="R653" i="17" s="1"/>
  <c r="R654" i="17" a="1"/>
  <c r="R654" i="17" s="1"/>
  <c r="R655" i="17" a="1"/>
  <c r="R655" i="17" s="1"/>
  <c r="R709" i="17" a="1"/>
  <c r="R709" i="17" s="1"/>
  <c r="R739" i="17" a="1"/>
  <c r="R73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36" i="17" a="1"/>
  <c r="R236" i="17" s="1"/>
  <c r="R237" i="17" a="1"/>
  <c r="R237" i="17" s="1"/>
  <c r="R238" i="17" a="1"/>
  <c r="R238" i="17" s="1"/>
  <c r="R290" i="17" a="1"/>
  <c r="R290" i="17" s="1"/>
  <c r="R320" i="17" a="1"/>
  <c r="R320" i="17" s="1"/>
  <c r="R350" i="17" a="1"/>
  <c r="R350" i="17" s="1"/>
  <c r="R416" i="17" a="1"/>
  <c r="R416" i="17" s="1"/>
  <c r="R417" i="17" a="1"/>
  <c r="R417" i="17" s="1"/>
  <c r="R418" i="17" a="1"/>
  <c r="R418" i="17"/>
  <c r="R470" i="17" a="1"/>
  <c r="R470" i="17" s="1"/>
  <c r="R536" i="17" a="1"/>
  <c r="R536" i="17" s="1"/>
  <c r="R537" i="17" a="1"/>
  <c r="R537" i="17" s="1"/>
  <c r="R538" i="17" a="1"/>
  <c r="R538" i="17" s="1"/>
  <c r="R590" i="17" a="1"/>
  <c r="R590" i="17" s="1"/>
  <c r="R656" i="17" a="1"/>
  <c r="R656" i="17" s="1"/>
  <c r="R657" i="17" a="1"/>
  <c r="R657" i="17" s="1"/>
  <c r="R658" i="17" a="1"/>
  <c r="R658" i="17" s="1"/>
  <c r="R710" i="17" a="1"/>
  <c r="R710" i="17" s="1"/>
  <c r="R740" i="17" a="1"/>
  <c r="R740" i="17" s="1"/>
  <c r="R116" i="17" a="1"/>
  <c r="R116" i="17" s="1"/>
  <c r="R117" i="17" a="1"/>
  <c r="R117" i="17" s="1"/>
  <c r="R118" i="17" a="1"/>
  <c r="R118" i="17" s="1"/>
  <c r="R119" i="17" a="1"/>
  <c r="R119" i="17"/>
  <c r="R120" i="17" a="1"/>
  <c r="R120" i="17" s="1"/>
  <c r="R121" i="17" a="1"/>
  <c r="R121" i="17" s="1"/>
  <c r="R239" i="17" a="1"/>
  <c r="R239" i="17" s="1"/>
  <c r="R240" i="17" a="1"/>
  <c r="R240" i="17" s="1"/>
  <c r="R241" i="17" a="1"/>
  <c r="R241" i="17" s="1"/>
  <c r="R291" i="17" a="1"/>
  <c r="R291" i="17" s="1"/>
  <c r="R321" i="17" a="1"/>
  <c r="R321" i="17" s="1"/>
  <c r="R351" i="17" a="1"/>
  <c r="R351" i="17"/>
  <c r="R419" i="17" a="1"/>
  <c r="R419" i="17" s="1"/>
  <c r="R420" i="17" a="1"/>
  <c r="R420" i="17" s="1"/>
  <c r="R421" i="17" a="1"/>
  <c r="R421" i="17" s="1"/>
  <c r="R471" i="17" a="1"/>
  <c r="R471" i="17" s="1"/>
  <c r="R539" i="17" a="1"/>
  <c r="R539" i="17" s="1"/>
  <c r="R540" i="17" a="1"/>
  <c r="R540" i="17" s="1"/>
  <c r="R541" i="17" a="1"/>
  <c r="R541" i="17" s="1"/>
  <c r="R591" i="17" a="1"/>
  <c r="R591" i="17" s="1"/>
  <c r="R659" i="17" a="1"/>
  <c r="R659" i="17" s="1"/>
  <c r="R660" i="17" a="1"/>
  <c r="R660" i="17"/>
  <c r="R661" i="17" a="1"/>
  <c r="R661" i="17" s="1"/>
  <c r="R711" i="17" a="1"/>
  <c r="R711" i="17" s="1"/>
  <c r="R741" i="17" a="1"/>
  <c r="R74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42" i="17" a="1"/>
  <c r="R242" i="17" s="1"/>
  <c r="R243" i="17" a="1"/>
  <c r="R243" i="17" s="1"/>
  <c r="R244" i="17" a="1"/>
  <c r="R244" i="17" s="1"/>
  <c r="R292" i="17" a="1"/>
  <c r="R292" i="17" s="1"/>
  <c r="R322" i="17" a="1"/>
  <c r="R322" i="17"/>
  <c r="R352" i="17" a="1"/>
  <c r="R352" i="17" s="1"/>
  <c r="R422" i="17" a="1"/>
  <c r="R422" i="17" s="1"/>
  <c r="R423" i="17" a="1"/>
  <c r="R423" i="17" s="1"/>
  <c r="R424" i="17" a="1"/>
  <c r="R424" i="17" s="1"/>
  <c r="R472" i="17" a="1"/>
  <c r="R472" i="17" s="1"/>
  <c r="R542" i="17" a="1"/>
  <c r="R542" i="17" s="1"/>
  <c r="R543" i="17" a="1"/>
  <c r="R543" i="17" s="1"/>
  <c r="R544" i="17" a="1"/>
  <c r="R544" i="17"/>
  <c r="R592" i="17" a="1"/>
  <c r="R592" i="17" s="1"/>
  <c r="R662" i="17" a="1"/>
  <c r="R662" i="17" s="1"/>
  <c r="R663" i="17" a="1"/>
  <c r="R663" i="17" s="1"/>
  <c r="R664" i="17" a="1"/>
  <c r="R664" i="17" s="1"/>
  <c r="R712" i="17" a="1"/>
  <c r="R712" i="17" s="1"/>
  <c r="R742" i="17" a="1"/>
  <c r="R74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45" i="17" a="1"/>
  <c r="R245" i="17" s="1"/>
  <c r="R246" i="17" a="1"/>
  <c r="R246" i="17" s="1"/>
  <c r="R247" i="17" a="1"/>
  <c r="R247" i="17" s="1"/>
  <c r="R293" i="17" a="1"/>
  <c r="R293" i="17"/>
  <c r="R323" i="17" a="1"/>
  <c r="R323" i="17" s="1"/>
  <c r="R353" i="17" a="1"/>
  <c r="R353" i="17" s="1"/>
  <c r="R425" i="17" a="1"/>
  <c r="R425" i="17" s="1"/>
  <c r="R426" i="17" a="1"/>
  <c r="R426" i="17" s="1"/>
  <c r="R427" i="17" a="1"/>
  <c r="R427" i="17" s="1"/>
  <c r="R473" i="17" a="1"/>
  <c r="R473" i="17" s="1"/>
  <c r="R545" i="17" a="1"/>
  <c r="R545" i="17" s="1"/>
  <c r="R546" i="17" a="1"/>
  <c r="R546" i="17" s="1"/>
  <c r="R547" i="17" a="1"/>
  <c r="R547" i="17" s="1"/>
  <c r="R593" i="17" a="1"/>
  <c r="R593" i="17" s="1"/>
  <c r="R665" i="17" a="1"/>
  <c r="R665" i="17" s="1"/>
  <c r="R666" i="17" a="1"/>
  <c r="R666" i="17" s="1"/>
  <c r="R667" i="17" a="1"/>
  <c r="R667" i="17" s="1"/>
  <c r="R713" i="17" a="1"/>
  <c r="R713" i="17" s="1"/>
  <c r="R743" i="17" a="1"/>
  <c r="R743" i="17" s="1"/>
  <c r="R134" i="17" a="1"/>
  <c r="R134" i="17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48" i="17" a="1"/>
  <c r="R248" i="17" s="1"/>
  <c r="R249" i="17" a="1"/>
  <c r="R249" i="17" s="1"/>
  <c r="R250" i="17" a="1"/>
  <c r="R250" i="17" s="1"/>
  <c r="R294" i="17" a="1"/>
  <c r="R294" i="17" s="1"/>
  <c r="R324" i="17" a="1"/>
  <c r="R324" i="17" s="1"/>
  <c r="R354" i="17" a="1"/>
  <c r="R354" i="17" s="1"/>
  <c r="R428" i="17" a="1"/>
  <c r="R428" i="17" s="1"/>
  <c r="R429" i="17" a="1"/>
  <c r="R429" i="17" s="1"/>
  <c r="R430" i="17" a="1"/>
  <c r="R430" i="17" s="1"/>
  <c r="R474" i="17" a="1"/>
  <c r="R474" i="17" s="1"/>
  <c r="R548" i="17" a="1"/>
  <c r="R548" i="17" s="1"/>
  <c r="R549" i="17" a="1"/>
  <c r="R549" i="17" s="1"/>
  <c r="R550" i="17" a="1"/>
  <c r="R550" i="17" s="1"/>
  <c r="R594" i="17" a="1"/>
  <c r="R594" i="17" s="1"/>
  <c r="R668" i="17" a="1"/>
  <c r="R668" i="17"/>
  <c r="R669" i="17" a="1"/>
  <c r="R669" i="17" s="1"/>
  <c r="R670" i="17" a="1"/>
  <c r="R670" i="17" s="1"/>
  <c r="R714" i="17" a="1"/>
  <c r="R714" i="17" s="1"/>
  <c r="R744" i="17" a="1"/>
  <c r="R744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51" i="17" a="1"/>
  <c r="R251" i="17" s="1"/>
  <c r="R252" i="17" a="1"/>
  <c r="R252" i="17" s="1"/>
  <c r="R253" i="17" a="1"/>
  <c r="R253" i="17" s="1"/>
  <c r="R295" i="17" a="1"/>
  <c r="R295" i="17" s="1"/>
  <c r="R325" i="17" a="1"/>
  <c r="R325" i="17" s="1"/>
  <c r="R355" i="17" a="1"/>
  <c r="R355" i="17"/>
  <c r="R431" i="17" a="1"/>
  <c r="R431" i="17" s="1"/>
  <c r="R432" i="17" a="1"/>
  <c r="R432" i="17" s="1"/>
  <c r="R433" i="17" a="1"/>
  <c r="R433" i="17" s="1"/>
  <c r="R475" i="17" a="1"/>
  <c r="R475" i="17" s="1"/>
  <c r="R551" i="17" a="1"/>
  <c r="R551" i="17" s="1"/>
  <c r="R552" i="17" a="1"/>
  <c r="R552" i="17" s="1"/>
  <c r="R553" i="17" a="1"/>
  <c r="R553" i="17" s="1"/>
  <c r="R595" i="17" a="1"/>
  <c r="R595" i="17" s="1"/>
  <c r="R671" i="17" a="1"/>
  <c r="R671" i="17" s="1"/>
  <c r="R672" i="17" a="1"/>
  <c r="R672" i="17" s="1"/>
  <c r="R673" i="17" a="1"/>
  <c r="R673" i="17" s="1"/>
  <c r="R715" i="17" a="1"/>
  <c r="R715" i="17" s="1"/>
  <c r="R745" i="17" a="1"/>
  <c r="R745" i="17" s="1"/>
  <c r="R146" i="17" a="1"/>
  <c r="R146" i="17" s="1"/>
  <c r="R147" i="17" a="1"/>
  <c r="R147" i="17" s="1"/>
  <c r="R148" i="17" a="1"/>
  <c r="R148" i="17"/>
  <c r="R149" i="17" a="1"/>
  <c r="R149" i="17" s="1"/>
  <c r="R150" i="17" a="1"/>
  <c r="R150" i="17" s="1"/>
  <c r="R151" i="17" a="1"/>
  <c r="R151" i="17" s="1"/>
  <c r="R254" i="17" a="1"/>
  <c r="R254" i="17" s="1"/>
  <c r="R255" i="17" a="1"/>
  <c r="R255" i="17" s="1"/>
  <c r="R256" i="17" a="1"/>
  <c r="R256" i="17" s="1"/>
  <c r="R296" i="17" a="1"/>
  <c r="R296" i="17" s="1"/>
  <c r="R326" i="17" a="1"/>
  <c r="R326" i="17" s="1"/>
  <c r="R356" i="17" a="1"/>
  <c r="R356" i="17" s="1"/>
  <c r="R434" i="17" a="1"/>
  <c r="R434" i="17" s="1"/>
  <c r="R435" i="17" a="1"/>
  <c r="R435" i="17" s="1"/>
  <c r="R436" i="17" a="1"/>
  <c r="R436" i="17" s="1"/>
  <c r="R476" i="17" a="1"/>
  <c r="R476" i="17" s="1"/>
  <c r="R554" i="17" a="1"/>
  <c r="R554" i="17" s="1"/>
  <c r="R555" i="17" a="1"/>
  <c r="R555" i="17" s="1"/>
  <c r="R556" i="17" a="1"/>
  <c r="R556" i="17"/>
  <c r="R596" i="17" a="1"/>
  <c r="R596" i="17" s="1"/>
  <c r="R674" i="17" a="1"/>
  <c r="R674" i="17" s="1"/>
  <c r="R675" i="17" a="1"/>
  <c r="R675" i="17" s="1"/>
  <c r="R676" i="17" a="1"/>
  <c r="R676" i="17" s="1"/>
  <c r="R716" i="17" a="1"/>
  <c r="R716" i="17" s="1"/>
  <c r="R746" i="17" a="1"/>
  <c r="R746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57" i="17" a="1"/>
  <c r="R257" i="17" s="1"/>
  <c r="R258" i="17" a="1"/>
  <c r="R258" i="17" s="1"/>
  <c r="R259" i="17" a="1"/>
  <c r="R259" i="17" s="1"/>
  <c r="R297" i="17" a="1"/>
  <c r="R297" i="17"/>
  <c r="R327" i="17" a="1"/>
  <c r="R327" i="17" s="1"/>
  <c r="R357" i="17" a="1"/>
  <c r="R357" i="17" s="1"/>
  <c r="R437" i="17" a="1"/>
  <c r="R437" i="17" s="1"/>
  <c r="R438" i="17" a="1"/>
  <c r="R438" i="17" s="1"/>
  <c r="R439" i="17" a="1"/>
  <c r="R439" i="17" s="1"/>
  <c r="R477" i="17" a="1"/>
  <c r="R477" i="17" s="1"/>
  <c r="R557" i="17" a="1"/>
  <c r="R557" i="17" s="1"/>
  <c r="R558" i="17" a="1"/>
  <c r="R558" i="17" s="1"/>
  <c r="R559" i="17" a="1"/>
  <c r="R559" i="17" s="1"/>
  <c r="R597" i="17" a="1"/>
  <c r="R597" i="17" s="1"/>
  <c r="R677" i="17" a="1"/>
  <c r="R677" i="17" s="1"/>
  <c r="R678" i="17" a="1"/>
  <c r="R678" i="17" s="1"/>
  <c r="R679" i="17" a="1"/>
  <c r="R679" i="17" s="1"/>
  <c r="R717" i="17" a="1"/>
  <c r="R717" i="17"/>
  <c r="R747" i="17" a="1"/>
  <c r="R74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260" i="17" a="1"/>
  <c r="R260" i="17" s="1"/>
  <c r="R261" i="17" a="1"/>
  <c r="R261" i="17" s="1"/>
  <c r="R262" i="17" a="1"/>
  <c r="R262" i="17"/>
  <c r="R298" i="17" a="1"/>
  <c r="R298" i="17" s="1"/>
  <c r="R328" i="17" a="1"/>
  <c r="R328" i="17" s="1"/>
  <c r="R358" i="17" a="1"/>
  <c r="R358" i="17" s="1"/>
  <c r="R440" i="17" a="1"/>
  <c r="R440" i="17" s="1"/>
  <c r="R441" i="17" a="1"/>
  <c r="R441" i="17" s="1"/>
  <c r="R442" i="17" a="1"/>
  <c r="R442" i="17" s="1"/>
  <c r="R478" i="17" a="1"/>
  <c r="R478" i="17" s="1"/>
  <c r="R560" i="17" a="1"/>
  <c r="R560" i="17"/>
  <c r="R561" i="17" a="1"/>
  <c r="R561" i="17" s="1"/>
  <c r="R562" i="17" a="1"/>
  <c r="R562" i="17" s="1"/>
  <c r="R598" i="17" a="1"/>
  <c r="R598" i="17" s="1"/>
  <c r="R680" i="17" a="1"/>
  <c r="R680" i="17" s="1"/>
  <c r="R681" i="17" a="1"/>
  <c r="R681" i="17" s="1"/>
  <c r="R682" i="17" a="1"/>
  <c r="R682" i="17" s="1"/>
  <c r="R718" i="17" a="1"/>
  <c r="R718" i="17" s="1"/>
  <c r="R748" i="17" a="1"/>
  <c r="R74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/>
  <c r="R263" i="17" a="1"/>
  <c r="R263" i="17" s="1"/>
  <c r="R264" i="17" a="1"/>
  <c r="R264" i="17" s="1"/>
  <c r="R265" i="17" a="1"/>
  <c r="R265" i="17" s="1"/>
  <c r="R299" i="17" a="1"/>
  <c r="R299" i="17" s="1"/>
  <c r="R329" i="17" a="1"/>
  <c r="R329" i="17" s="1"/>
  <c r="R359" i="17" a="1"/>
  <c r="R359" i="17" s="1"/>
  <c r="R443" i="17" a="1"/>
  <c r="R443" i="17" s="1"/>
  <c r="R444" i="17" a="1"/>
  <c r="R444" i="17" s="1"/>
  <c r="R445" i="17" a="1"/>
  <c r="R445" i="17" s="1"/>
  <c r="R479" i="17" a="1"/>
  <c r="R479" i="17"/>
  <c r="R563" i="17" a="1"/>
  <c r="R563" i="17" s="1"/>
  <c r="R564" i="17" a="1"/>
  <c r="R564" i="17" s="1"/>
  <c r="R565" i="17" a="1"/>
  <c r="R565" i="17" s="1"/>
  <c r="R599" i="17" a="1"/>
  <c r="R599" i="17" s="1"/>
  <c r="R683" i="17" a="1"/>
  <c r="R683" i="17" s="1"/>
  <c r="R684" i="17" a="1"/>
  <c r="R684" i="17" s="1"/>
  <c r="R685" i="17" a="1"/>
  <c r="R685" i="17" s="1"/>
  <c r="R719" i="17" a="1"/>
  <c r="R719" i="17"/>
  <c r="R749" i="17" a="1"/>
  <c r="R74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66" i="17" a="1"/>
  <c r="R266" i="17" s="1"/>
  <c r="R267" i="17" a="1"/>
  <c r="R267" i="17" s="1"/>
  <c r="R268" i="17" a="1"/>
  <c r="R268" i="17" s="1"/>
  <c r="R300" i="17" a="1"/>
  <c r="R300" i="17" s="1"/>
  <c r="R330" i="17" a="1"/>
  <c r="R330" i="17" s="1"/>
  <c r="R360" i="17" a="1"/>
  <c r="R360" i="17" s="1"/>
  <c r="R446" i="17" a="1"/>
  <c r="R446" i="17"/>
  <c r="R447" i="17" a="1"/>
  <c r="R447" i="17" s="1"/>
  <c r="R448" i="17" a="1"/>
  <c r="R448" i="17" s="1"/>
  <c r="R480" i="17" a="1"/>
  <c r="R480" i="17" s="1"/>
  <c r="R566" i="17" a="1"/>
  <c r="R566" i="17" s="1"/>
  <c r="R567" i="17" a="1"/>
  <c r="R567" i="17" s="1"/>
  <c r="R568" i="17" a="1"/>
  <c r="R568" i="17" s="1"/>
  <c r="R600" i="17" a="1"/>
  <c r="R600" i="17" s="1"/>
  <c r="R686" i="17" a="1"/>
  <c r="R686" i="17" s="1"/>
  <c r="R687" i="17" a="1"/>
  <c r="R687" i="17" s="1"/>
  <c r="R688" i="17" a="1"/>
  <c r="R688" i="17"/>
  <c r="R720" i="17" a="1"/>
  <c r="R720" i="17" s="1"/>
  <c r="R750" i="17" a="1"/>
  <c r="R750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/>
  <c r="R269" i="17" a="1"/>
  <c r="R269" i="17" s="1"/>
  <c r="R270" i="17" a="1"/>
  <c r="R270" i="17" s="1"/>
  <c r="R271" i="17" a="1"/>
  <c r="R271" i="17" s="1"/>
  <c r="R301" i="17" a="1"/>
  <c r="R301" i="17" s="1"/>
  <c r="R331" i="17" a="1"/>
  <c r="R331" i="17" s="1"/>
  <c r="R361" i="17" a="1"/>
  <c r="R361" i="17" s="1"/>
  <c r="R449" i="17" a="1"/>
  <c r="R449" i="17" s="1"/>
  <c r="R450" i="17" a="1"/>
  <c r="R450" i="17" s="1"/>
  <c r="R451" i="17" a="1"/>
  <c r="R451" i="17" s="1"/>
  <c r="R481" i="17" a="1"/>
  <c r="R481" i="17" s="1"/>
  <c r="R569" i="17" a="1"/>
  <c r="R569" i="17" s="1"/>
  <c r="R570" i="17" a="1"/>
  <c r="R570" i="17" s="1"/>
  <c r="R571" i="17" a="1"/>
  <c r="R571" i="17" s="1"/>
  <c r="R601" i="17" a="1"/>
  <c r="R601" i="17" s="1"/>
  <c r="R689" i="17" a="1"/>
  <c r="R689" i="17" s="1"/>
  <c r="R690" i="17" a="1"/>
  <c r="R690" i="17" s="1"/>
  <c r="R691" i="17" a="1"/>
  <c r="R691" i="17" s="1"/>
  <c r="R721" i="17" a="1"/>
  <c r="R721" i="17" s="1"/>
  <c r="R751" i="17" a="1"/>
  <c r="R751" i="17" s="1"/>
  <c r="S2" i="17" a="1"/>
  <c r="S2" i="17" s="1"/>
  <c r="S3" i="17" a="1"/>
  <c r="S3" i="17" s="1"/>
  <c r="S4" i="17" a="1"/>
  <c r="S4" i="17"/>
  <c r="S5" i="17" a="1"/>
  <c r="S5" i="17" s="1"/>
  <c r="S6" i="17" a="1"/>
  <c r="S6" i="17" s="1"/>
  <c r="S7" i="17" a="1"/>
  <c r="S7" i="17" s="1"/>
  <c r="S182" i="17" a="1"/>
  <c r="S182" i="17" s="1"/>
  <c r="S183" i="17" a="1"/>
  <c r="S183" i="17" s="1"/>
  <c r="S184" i="17" a="1"/>
  <c r="S184" i="17" s="1"/>
  <c r="S272" i="17" a="1"/>
  <c r="S272" i="17" s="1"/>
  <c r="S302" i="17" a="1"/>
  <c r="S302" i="17"/>
  <c r="S332" i="17" a="1"/>
  <c r="S332" i="17" s="1"/>
  <c r="S362" i="17" a="1"/>
  <c r="S362" i="17" s="1"/>
  <c r="S363" i="17" a="1"/>
  <c r="S363" i="17" s="1"/>
  <c r="S364" i="17" a="1"/>
  <c r="S364" i="17" s="1"/>
  <c r="S452" i="17" a="1"/>
  <c r="S452" i="17" s="1"/>
  <c r="S482" i="17" a="1"/>
  <c r="S482" i="17" s="1"/>
  <c r="S483" i="17" a="1"/>
  <c r="S483" i="17" s="1"/>
  <c r="S484" i="17" a="1"/>
  <c r="S484" i="17" s="1"/>
  <c r="S572" i="17" a="1"/>
  <c r="S572" i="17" s="1"/>
  <c r="S602" i="17" a="1"/>
  <c r="S602" i="17" s="1"/>
  <c r="S603" i="17" a="1"/>
  <c r="S603" i="17" s="1"/>
  <c r="S604" i="17" a="1"/>
  <c r="S604" i="17" s="1"/>
  <c r="S692" i="17" a="1"/>
  <c r="S692" i="17" s="1"/>
  <c r="S722" i="17" a="1"/>
  <c r="S722" i="17" s="1"/>
  <c r="S8" i="17" a="1"/>
  <c r="S8" i="17" s="1"/>
  <c r="S9" i="17" a="1"/>
  <c r="S9" i="17" s="1"/>
  <c r="S10" i="17" a="1"/>
  <c r="S10" i="17" s="1"/>
  <c r="S11" i="17" a="1"/>
  <c r="S11" i="17"/>
  <c r="S12" i="17" a="1"/>
  <c r="S12" i="17" s="1"/>
  <c r="S13" i="17" a="1"/>
  <c r="S13" i="17" s="1"/>
  <c r="S185" i="17" a="1"/>
  <c r="S185" i="17" s="1"/>
  <c r="S186" i="17" a="1"/>
  <c r="S186" i="17" s="1"/>
  <c r="S187" i="17" a="1"/>
  <c r="S187" i="17" s="1"/>
  <c r="S273" i="17" a="1"/>
  <c r="S273" i="17" s="1"/>
  <c r="S303" i="17" a="1"/>
  <c r="S303" i="17" s="1"/>
  <c r="S333" i="17" a="1"/>
  <c r="S333" i="17"/>
  <c r="S365" i="17" a="1"/>
  <c r="S365" i="17" s="1"/>
  <c r="S366" i="17" a="1"/>
  <c r="S366" i="17" s="1"/>
  <c r="S367" i="17" a="1"/>
  <c r="S367" i="17" s="1"/>
  <c r="S453" i="17" a="1"/>
  <c r="S453" i="17" s="1"/>
  <c r="S485" i="17" a="1"/>
  <c r="S485" i="17" s="1"/>
  <c r="S486" i="17" a="1"/>
  <c r="S486" i="17"/>
  <c r="S487" i="17" a="1"/>
  <c r="S487" i="17" s="1"/>
  <c r="S573" i="17" a="1"/>
  <c r="S573" i="17" s="1"/>
  <c r="S605" i="17" a="1"/>
  <c r="S605" i="17" s="1"/>
  <c r="S606" i="17" a="1"/>
  <c r="S606" i="17" s="1"/>
  <c r="S607" i="17" a="1"/>
  <c r="S607" i="17" s="1"/>
  <c r="S693" i="17" a="1"/>
  <c r="S693" i="17" s="1"/>
  <c r="S723" i="17" a="1"/>
  <c r="S72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188" i="17" a="1"/>
  <c r="S188" i="17"/>
  <c r="S189" i="17" a="1"/>
  <c r="S189" i="17" s="1"/>
  <c r="S190" i="17" a="1"/>
  <c r="S190" i="17" s="1"/>
  <c r="S274" i="17" a="1"/>
  <c r="S274" i="17" s="1"/>
  <c r="S304" i="17" a="1"/>
  <c r="S304" i="17" s="1"/>
  <c r="S334" i="17" a="1"/>
  <c r="S334" i="17" s="1"/>
  <c r="S368" i="17" a="1"/>
  <c r="S368" i="17" s="1"/>
  <c r="S369" i="17" a="1"/>
  <c r="S369" i="17" s="1"/>
  <c r="S370" i="17" a="1"/>
  <c r="S370" i="17"/>
  <c r="S454" i="17" a="1"/>
  <c r="S454" i="17" s="1"/>
  <c r="S488" i="17" a="1"/>
  <c r="S488" i="17" s="1"/>
  <c r="S489" i="17" a="1"/>
  <c r="S489" i="17" s="1"/>
  <c r="S490" i="17" a="1"/>
  <c r="S490" i="17" s="1"/>
  <c r="S574" i="17" a="1"/>
  <c r="S574" i="17" s="1"/>
  <c r="S608" i="17" a="1"/>
  <c r="S608" i="17" s="1"/>
  <c r="S609" i="17" a="1"/>
  <c r="S609" i="17" s="1"/>
  <c r="S610" i="17" a="1"/>
  <c r="S610" i="17" s="1"/>
  <c r="S694" i="17" a="1"/>
  <c r="S694" i="17" s="1"/>
  <c r="S724" i="17" a="1"/>
  <c r="S72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/>
  <c r="S191" i="17" a="1"/>
  <c r="S191" i="17" s="1"/>
  <c r="S192" i="17" a="1"/>
  <c r="S192" i="17" s="1"/>
  <c r="S193" i="17" a="1"/>
  <c r="S193" i="17" s="1"/>
  <c r="S275" i="17" a="1"/>
  <c r="S275" i="17" s="1"/>
  <c r="S305" i="17" a="1"/>
  <c r="S305" i="17" s="1"/>
  <c r="S335" i="17" a="1"/>
  <c r="S335" i="17" s="1"/>
  <c r="S371" i="17" a="1"/>
  <c r="S371" i="17" s="1"/>
  <c r="S372" i="17" a="1"/>
  <c r="S372" i="17" s="1"/>
  <c r="S373" i="17" a="1"/>
  <c r="S373" i="17" s="1"/>
  <c r="S455" i="17" a="1"/>
  <c r="S455" i="17" s="1"/>
  <c r="S491" i="17" a="1"/>
  <c r="S491" i="17" s="1"/>
  <c r="S492" i="17" a="1"/>
  <c r="S492" i="17" s="1"/>
  <c r="S493" i="17" a="1"/>
  <c r="S493" i="17" s="1"/>
  <c r="S575" i="17" a="1"/>
  <c r="S575" i="17" s="1"/>
  <c r="S611" i="17" a="1"/>
  <c r="S611" i="17" s="1"/>
  <c r="S612" i="17" a="1"/>
  <c r="S612" i="17"/>
  <c r="S613" i="17" a="1"/>
  <c r="S613" i="17" s="1"/>
  <c r="S695" i="17" a="1"/>
  <c r="S695" i="17" s="1"/>
  <c r="S725" i="17" a="1"/>
  <c r="S72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194" i="17" a="1"/>
  <c r="S194" i="17" s="1"/>
  <c r="S195" i="17" a="1"/>
  <c r="S195" i="17" s="1"/>
  <c r="S196" i="17" a="1"/>
  <c r="S196" i="17" s="1"/>
  <c r="S276" i="17" a="1"/>
  <c r="S276" i="17" s="1"/>
  <c r="S306" i="17" a="1"/>
  <c r="S306" i="17" s="1"/>
  <c r="S336" i="17" a="1"/>
  <c r="S336" i="17" s="1"/>
  <c r="S374" i="17" a="1"/>
  <c r="S374" i="17"/>
  <c r="S375" i="17" a="1"/>
  <c r="S375" i="17" s="1"/>
  <c r="S376" i="17" a="1"/>
  <c r="S376" i="17" s="1"/>
  <c r="S456" i="17" a="1"/>
  <c r="S456" i="17" s="1"/>
  <c r="S494" i="17" a="1"/>
  <c r="S494" i="17" s="1"/>
  <c r="S495" i="17" a="1"/>
  <c r="S495" i="17" s="1"/>
  <c r="S496" i="17" a="1"/>
  <c r="S496" i="17" s="1"/>
  <c r="S576" i="17" a="1"/>
  <c r="S576" i="17" s="1"/>
  <c r="S614" i="17" a="1"/>
  <c r="S614" i="17" s="1"/>
  <c r="S615" i="17" a="1"/>
  <c r="S615" i="17" s="1"/>
  <c r="S616" i="17" a="1"/>
  <c r="S616" i="17" s="1"/>
  <c r="S696" i="17" a="1"/>
  <c r="S696" i="17" s="1"/>
  <c r="S726" i="17" a="1"/>
  <c r="S726" i="17" s="1"/>
  <c r="S32" i="17" a="1"/>
  <c r="S32" i="17" s="1"/>
  <c r="S33" i="17" a="1"/>
  <c r="S33" i="17" s="1"/>
  <c r="S34" i="17" a="1"/>
  <c r="S34" i="17" s="1"/>
  <c r="S35" i="17" a="1"/>
  <c r="S35" i="17"/>
  <c r="S36" i="17" a="1"/>
  <c r="S36" i="17" s="1"/>
  <c r="S37" i="17" a="1"/>
  <c r="S37" i="17" s="1"/>
  <c r="S197" i="17" a="1"/>
  <c r="S197" i="17" s="1"/>
  <c r="S198" i="17" a="1"/>
  <c r="S198" i="17" s="1"/>
  <c r="S199" i="17" a="1"/>
  <c r="S199" i="17" s="1"/>
  <c r="S277" i="17" a="1"/>
  <c r="S277" i="17" s="1"/>
  <c r="S307" i="17" a="1"/>
  <c r="S307" i="17" s="1"/>
  <c r="S337" i="17" a="1"/>
  <c r="S337" i="17" s="1"/>
  <c r="S377" i="17" a="1"/>
  <c r="S377" i="17" s="1"/>
  <c r="S378" i="17" a="1"/>
  <c r="S378" i="17"/>
  <c r="S379" i="17" a="1"/>
  <c r="S379" i="17" s="1"/>
  <c r="S457" i="17" a="1"/>
  <c r="S457" i="17" s="1"/>
  <c r="S497" i="17" a="1"/>
  <c r="S497" i="17" s="1"/>
  <c r="S498" i="17" a="1"/>
  <c r="S498" i="17" s="1"/>
  <c r="S499" i="17" a="1"/>
  <c r="S499" i="17" s="1"/>
  <c r="S577" i="17" a="1"/>
  <c r="S577" i="17" s="1"/>
  <c r="S617" i="17" a="1"/>
  <c r="S617" i="17" s="1"/>
  <c r="S618" i="17" a="1"/>
  <c r="S618" i="17" s="1"/>
  <c r="S619" i="17" a="1"/>
  <c r="S619" i="17" s="1"/>
  <c r="S697" i="17" a="1"/>
  <c r="S697" i="17"/>
  <c r="S727" i="17" a="1"/>
  <c r="S72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200" i="17" a="1"/>
  <c r="S200" i="17" s="1"/>
  <c r="S201" i="17" a="1"/>
  <c r="S201" i="17" s="1"/>
  <c r="S202" i="17" a="1"/>
  <c r="S202" i="17" s="1"/>
  <c r="S278" i="17" a="1"/>
  <c r="S278" i="17" s="1"/>
  <c r="S308" i="17" a="1"/>
  <c r="S308" i="17"/>
  <c r="S338" i="17" a="1"/>
  <c r="S338" i="17" s="1"/>
  <c r="S380" i="17" a="1"/>
  <c r="S380" i="17" s="1"/>
  <c r="S381" i="17" a="1"/>
  <c r="S381" i="17" s="1"/>
  <c r="S382" i="17" a="1"/>
  <c r="S382" i="17" s="1"/>
  <c r="S458" i="17" a="1"/>
  <c r="S458" i="17" s="1"/>
  <c r="S500" i="17" a="1"/>
  <c r="S500" i="17" s="1"/>
  <c r="S501" i="17" a="1"/>
  <c r="S501" i="17" s="1"/>
  <c r="S502" i="17" a="1"/>
  <c r="S502" i="17" s="1"/>
  <c r="S578" i="17" a="1"/>
  <c r="S578" i="17" s="1"/>
  <c r="S620" i="17" a="1"/>
  <c r="S620" i="17"/>
  <c r="S621" i="17" a="1"/>
  <c r="S621" i="17" s="1"/>
  <c r="S622" i="17" a="1"/>
  <c r="S622" i="17" s="1"/>
  <c r="S698" i="17" a="1"/>
  <c r="S698" i="17" s="1"/>
  <c r="S728" i="17" a="1"/>
  <c r="S72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/>
  <c r="S203" i="17" a="1"/>
  <c r="S203" i="17" s="1"/>
  <c r="S204" i="17" a="1"/>
  <c r="S204" i="17" s="1"/>
  <c r="S205" i="17" a="1"/>
  <c r="S205" i="17" s="1"/>
  <c r="S279" i="17" a="1"/>
  <c r="S279" i="17" s="1"/>
  <c r="S309" i="17" a="1"/>
  <c r="S309" i="17" s="1"/>
  <c r="S339" i="17" a="1"/>
  <c r="S339" i="17" s="1"/>
  <c r="S383" i="17" a="1"/>
  <c r="S383" i="17" s="1"/>
  <c r="S384" i="17" a="1"/>
  <c r="S384" i="17" s="1"/>
  <c r="S385" i="17" a="1"/>
  <c r="S385" i="17" s="1"/>
  <c r="S459" i="17" a="1"/>
  <c r="S459" i="17" s="1"/>
  <c r="S503" i="17" a="1"/>
  <c r="S503" i="17" s="1"/>
  <c r="S504" i="17" a="1"/>
  <c r="S504" i="17"/>
  <c r="S505" i="17" a="1"/>
  <c r="S505" i="17" s="1"/>
  <c r="S579" i="17" a="1"/>
  <c r="S579" i="17" s="1"/>
  <c r="S623" i="17" a="1"/>
  <c r="S623" i="17" s="1"/>
  <c r="S624" i="17" a="1"/>
  <c r="S624" i="17" s="1"/>
  <c r="S625" i="17" a="1"/>
  <c r="S625" i="17" s="1"/>
  <c r="S699" i="17" a="1"/>
  <c r="S699" i="17" s="1"/>
  <c r="S729" i="17" a="1"/>
  <c r="S729" i="17" s="1"/>
  <c r="S50" i="17" a="1"/>
  <c r="S50" i="17" s="1"/>
  <c r="S51" i="17" a="1"/>
  <c r="S51" i="17" s="1"/>
  <c r="S52" i="17" a="1"/>
  <c r="S52" i="17"/>
  <c r="S53" i="17" a="1"/>
  <c r="S53" i="17" s="1"/>
  <c r="S54" i="17" a="1"/>
  <c r="S54" i="17" s="1"/>
  <c r="S55" i="17" a="1"/>
  <c r="S55" i="17" s="1"/>
  <c r="S206" i="17" a="1"/>
  <c r="S206" i="17" s="1"/>
  <c r="S207" i="17" a="1"/>
  <c r="S207" i="17" s="1"/>
  <c r="S208" i="17" a="1"/>
  <c r="S208" i="17" s="1"/>
  <c r="S280" i="17" a="1"/>
  <c r="S280" i="17" s="1"/>
  <c r="S310" i="17" a="1"/>
  <c r="S310" i="17" s="1"/>
  <c r="S340" i="17" a="1"/>
  <c r="S340" i="17" s="1"/>
  <c r="S386" i="17" a="1"/>
  <c r="S386" i="17"/>
  <c r="S387" i="17" a="1"/>
  <c r="S387" i="17" s="1"/>
  <c r="S388" i="17" a="1"/>
  <c r="S388" i="17" s="1"/>
  <c r="S460" i="17" a="1"/>
  <c r="S460" i="17" s="1"/>
  <c r="S506" i="17" a="1"/>
  <c r="S506" i="17" s="1"/>
  <c r="S507" i="17" a="1"/>
  <c r="S507" i="17" s="1"/>
  <c r="S508" i="17" a="1"/>
  <c r="S508" i="17" s="1"/>
  <c r="S580" i="17" a="1"/>
  <c r="S580" i="17" s="1"/>
  <c r="S626" i="17" a="1"/>
  <c r="S626" i="17" s="1"/>
  <c r="S627" i="17" a="1"/>
  <c r="S627" i="17" s="1"/>
  <c r="S628" i="17" a="1"/>
  <c r="S628" i="17" s="1"/>
  <c r="S700" i="17" a="1"/>
  <c r="S700" i="17" s="1"/>
  <c r="S730" i="17" a="1"/>
  <c r="S730" i="17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209" i="17" a="1"/>
  <c r="S209" i="17" s="1"/>
  <c r="S210" i="17" a="1"/>
  <c r="S210" i="17" s="1"/>
  <c r="S211" i="17" a="1"/>
  <c r="S211" i="17" s="1"/>
  <c r="S281" i="17" a="1"/>
  <c r="S281" i="17"/>
  <c r="S311" i="17" a="1"/>
  <c r="S311" i="17" s="1"/>
  <c r="S341" i="17" a="1"/>
  <c r="S341" i="17" s="1"/>
  <c r="S389" i="17" a="1"/>
  <c r="S389" i="17" s="1"/>
  <c r="S390" i="17" a="1"/>
  <c r="S390" i="17" s="1"/>
  <c r="S391" i="17" a="1"/>
  <c r="S391" i="17" s="1"/>
  <c r="S461" i="17" a="1"/>
  <c r="S461" i="17" s="1"/>
  <c r="S509" i="17" a="1"/>
  <c r="S509" i="17" s="1"/>
  <c r="S510" i="17" a="1"/>
  <c r="S510" i="17" s="1"/>
  <c r="S511" i="17" a="1"/>
  <c r="S511" i="17" s="1"/>
  <c r="S581" i="17" a="1"/>
  <c r="S581" i="17"/>
  <c r="S629" i="17" a="1"/>
  <c r="S629" i="17" s="1"/>
  <c r="S630" i="17" a="1"/>
  <c r="S630" i="17" s="1"/>
  <c r="S631" i="17" a="1"/>
  <c r="S631" i="17" s="1"/>
  <c r="S701" i="17" a="1"/>
  <c r="S701" i="17" s="1"/>
  <c r="S731" i="17" a="1"/>
  <c r="S73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212" i="17" a="1"/>
  <c r="S212" i="17"/>
  <c r="S213" i="17" a="1"/>
  <c r="S213" i="17" s="1"/>
  <c r="S214" i="17" a="1"/>
  <c r="S214" i="17" s="1"/>
  <c r="S282" i="17" a="1"/>
  <c r="S282" i="17" s="1"/>
  <c r="S312" i="17" a="1"/>
  <c r="S312" i="17" s="1"/>
  <c r="S342" i="17" a="1"/>
  <c r="S342" i="17" s="1"/>
  <c r="S392" i="17" a="1"/>
  <c r="S392" i="17" s="1"/>
  <c r="S393" i="17" a="1"/>
  <c r="S393" i="17" s="1"/>
  <c r="S394" i="17" a="1"/>
  <c r="S394" i="17" s="1"/>
  <c r="S462" i="17" a="1"/>
  <c r="S462" i="17" s="1"/>
  <c r="S512" i="17" a="1"/>
  <c r="S512" i="17" s="1"/>
  <c r="S513" i="17" a="1"/>
  <c r="S513" i="17" s="1"/>
  <c r="S514" i="17" a="1"/>
  <c r="S514" i="17"/>
  <c r="S582" i="17" a="1"/>
  <c r="S582" i="17" s="1"/>
  <c r="S632" i="17" a="1"/>
  <c r="S632" i="17" s="1"/>
  <c r="S633" i="17" a="1"/>
  <c r="S633" i="17" s="1"/>
  <c r="S634" i="17" a="1"/>
  <c r="S634" i="17" s="1"/>
  <c r="S702" i="17" a="1"/>
  <c r="S702" i="17" s="1"/>
  <c r="S732" i="17" a="1"/>
  <c r="S73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215" i="17" a="1"/>
  <c r="S215" i="17" s="1"/>
  <c r="S216" i="17" a="1"/>
  <c r="S216" i="17" s="1"/>
  <c r="S217" i="17" a="1"/>
  <c r="S217" i="17" s="1"/>
  <c r="S283" i="17" a="1"/>
  <c r="S283" i="17"/>
  <c r="S313" i="17" a="1"/>
  <c r="S313" i="17" s="1"/>
  <c r="S343" i="17" a="1"/>
  <c r="S343" i="17" s="1"/>
  <c r="S395" i="17" a="1"/>
  <c r="S395" i="17" s="1"/>
  <c r="S396" i="17" a="1"/>
  <c r="S396" i="17" s="1"/>
  <c r="S397" i="17" a="1"/>
  <c r="S397" i="17" s="1"/>
  <c r="S463" i="17" a="1"/>
  <c r="S463" i="17" s="1"/>
  <c r="S515" i="17" a="1"/>
  <c r="S515" i="17" s="1"/>
  <c r="S516" i="17" a="1"/>
  <c r="S516" i="17" s="1"/>
  <c r="S517" i="17" a="1"/>
  <c r="S517" i="17" s="1"/>
  <c r="S583" i="17" a="1"/>
  <c r="S583" i="17" s="1"/>
  <c r="S635" i="17" a="1"/>
  <c r="S635" i="17" s="1"/>
  <c r="S636" i="17" a="1"/>
  <c r="S636" i="17" s="1"/>
  <c r="S637" i="17" a="1"/>
  <c r="S637" i="17" s="1"/>
  <c r="S703" i="17" a="1"/>
  <c r="S703" i="17" s="1"/>
  <c r="S733" i="17" a="1"/>
  <c r="S733" i="17" s="1"/>
  <c r="S74" i="17" a="1"/>
  <c r="S74" i="17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218" i="17" a="1"/>
  <c r="S218" i="17" s="1"/>
  <c r="S219" i="17" a="1"/>
  <c r="S219" i="17" s="1"/>
  <c r="S220" i="17" a="1"/>
  <c r="S220" i="17" s="1"/>
  <c r="S284" i="17" a="1"/>
  <c r="S284" i="17" s="1"/>
  <c r="S314" i="17" a="1"/>
  <c r="S314" i="17" s="1"/>
  <c r="S344" i="17" a="1"/>
  <c r="S344" i="17" s="1"/>
  <c r="S398" i="17" a="1"/>
  <c r="S398" i="17" s="1"/>
  <c r="S399" i="17" a="1"/>
  <c r="S399" i="17" s="1"/>
  <c r="S400" i="17" a="1"/>
  <c r="S400" i="17" s="1"/>
  <c r="S464" i="17" a="1"/>
  <c r="S464" i="17" s="1"/>
  <c r="S518" i="17" a="1"/>
  <c r="S518" i="17"/>
  <c r="S519" i="17" a="1"/>
  <c r="S519" i="17" s="1"/>
  <c r="S520" i="17" a="1"/>
  <c r="S520" i="17" s="1"/>
  <c r="S584" i="17" a="1"/>
  <c r="S584" i="17" s="1"/>
  <c r="S638" i="17" a="1"/>
  <c r="S638" i="17" s="1"/>
  <c r="S639" i="17" a="1"/>
  <c r="S639" i="17" s="1"/>
  <c r="S640" i="17" a="1"/>
  <c r="S640" i="17" s="1"/>
  <c r="S704" i="17" a="1"/>
  <c r="S704" i="17" s="1"/>
  <c r="S734" i="17" a="1"/>
  <c r="S73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221" i="17" a="1"/>
  <c r="S221" i="17" s="1"/>
  <c r="S222" i="17" a="1"/>
  <c r="S222" i="17"/>
  <c r="S223" i="17" a="1"/>
  <c r="S223" i="17" s="1"/>
  <c r="S285" i="17" a="1"/>
  <c r="S285" i="17" s="1"/>
  <c r="S315" i="17" a="1"/>
  <c r="S315" i="17" s="1"/>
  <c r="S345" i="17" a="1"/>
  <c r="S345" i="17" s="1"/>
  <c r="S401" i="17" a="1"/>
  <c r="S401" i="17" s="1"/>
  <c r="S402" i="17" a="1"/>
  <c r="S402" i="17" s="1"/>
  <c r="S403" i="17" a="1"/>
  <c r="S403" i="17" s="1"/>
  <c r="S465" i="17" a="1"/>
  <c r="S465" i="17" s="1"/>
  <c r="S521" i="17" a="1"/>
  <c r="S521" i="17" s="1"/>
  <c r="S522" i="17" a="1"/>
  <c r="S522" i="17" s="1"/>
  <c r="S523" i="17" a="1"/>
  <c r="S523" i="17" s="1"/>
  <c r="S585" i="17" a="1"/>
  <c r="S585" i="17" s="1"/>
  <c r="S641" i="17" a="1"/>
  <c r="S641" i="17" s="1"/>
  <c r="S642" i="17" a="1"/>
  <c r="S642" i="17" s="1"/>
  <c r="S643" i="17" a="1"/>
  <c r="S643" i="17" s="1"/>
  <c r="S705" i="17" a="1"/>
  <c r="S705" i="17"/>
  <c r="S735" i="17" a="1"/>
  <c r="S73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224" i="17" a="1"/>
  <c r="S224" i="17" s="1"/>
  <c r="S225" i="17" a="1"/>
  <c r="S225" i="17" s="1"/>
  <c r="S226" i="17" a="1"/>
  <c r="S226" i="17" s="1"/>
  <c r="S286" i="17" a="1"/>
  <c r="S286" i="17" s="1"/>
  <c r="S316" i="17" a="1"/>
  <c r="S316" i="17" s="1"/>
  <c r="S346" i="17" a="1"/>
  <c r="S346" i="17" s="1"/>
  <c r="S404" i="17" a="1"/>
  <c r="S404" i="17" s="1"/>
  <c r="S405" i="17" a="1"/>
  <c r="S405" i="17" s="1"/>
  <c r="S406" i="17" a="1"/>
  <c r="S406" i="17"/>
  <c r="S466" i="17" a="1"/>
  <c r="S466" i="17" s="1"/>
  <c r="S524" i="17" a="1"/>
  <c r="S524" i="17" s="1"/>
  <c r="S525" i="17" a="1"/>
  <c r="S525" i="17" s="1"/>
  <c r="S526" i="17" a="1"/>
  <c r="S526" i="17" s="1"/>
  <c r="S586" i="17" a="1"/>
  <c r="S586" i="17" s="1"/>
  <c r="S644" i="17" a="1"/>
  <c r="S644" i="17" s="1"/>
  <c r="S645" i="17" a="1"/>
  <c r="S645" i="17" s="1"/>
  <c r="S646" i="17" a="1"/>
  <c r="S646" i="17" s="1"/>
  <c r="S706" i="17" a="1"/>
  <c r="S706" i="17" s="1"/>
  <c r="S736" i="17" a="1"/>
  <c r="S736" i="17" s="1"/>
  <c r="S92" i="17" a="1"/>
  <c r="S92" i="17" s="1"/>
  <c r="S93" i="17" a="1"/>
  <c r="S93" i="17" s="1"/>
  <c r="S94" i="17" a="1"/>
  <c r="S94" i="17" s="1"/>
  <c r="S95" i="17" a="1"/>
  <c r="S95" i="17"/>
  <c r="S96" i="17" a="1"/>
  <c r="S96" i="17" s="1"/>
  <c r="S97" i="17" a="1"/>
  <c r="S97" i="17" s="1"/>
  <c r="S227" i="17" a="1"/>
  <c r="S227" i="17" s="1"/>
  <c r="S228" i="17" a="1"/>
  <c r="S228" i="17" s="1"/>
  <c r="S229" i="17" a="1"/>
  <c r="S229" i="17" s="1"/>
  <c r="S287" i="17" a="1"/>
  <c r="S287" i="17" s="1"/>
  <c r="S317" i="17" a="1"/>
  <c r="S317" i="17" s="1"/>
  <c r="S347" i="17" a="1"/>
  <c r="S347" i="17" s="1"/>
  <c r="S407" i="17" a="1"/>
  <c r="S407" i="17" s="1"/>
  <c r="S408" i="17" a="1"/>
  <c r="S408" i="17"/>
  <c r="S409" i="17" a="1"/>
  <c r="S409" i="17" s="1"/>
  <c r="S467" i="17" a="1"/>
  <c r="S467" i="17" s="1"/>
  <c r="S527" i="17" a="1"/>
  <c r="S527" i="17" s="1"/>
  <c r="S528" i="17" a="1"/>
  <c r="S528" i="17" s="1"/>
  <c r="S529" i="17" a="1"/>
  <c r="S529" i="17" s="1"/>
  <c r="S587" i="17" a="1"/>
  <c r="S587" i="17" s="1"/>
  <c r="S647" i="17" a="1"/>
  <c r="S647" i="17" s="1"/>
  <c r="S648" i="17" a="1"/>
  <c r="S648" i="17" s="1"/>
  <c r="S649" i="17" a="1"/>
  <c r="S649" i="17" s="1"/>
  <c r="S707" i="17" a="1"/>
  <c r="S707" i="17" s="1"/>
  <c r="S737" i="17" a="1"/>
  <c r="S737" i="17" s="1"/>
  <c r="S98" i="17" a="1"/>
  <c r="S98" i="17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230" i="17" a="1"/>
  <c r="S230" i="17" s="1"/>
  <c r="S231" i="17" a="1"/>
  <c r="S231" i="17" s="1"/>
  <c r="S232" i="17" a="1"/>
  <c r="S232" i="17" s="1"/>
  <c r="S288" i="17" a="1"/>
  <c r="S288" i="17" s="1"/>
  <c r="S318" i="17" a="1"/>
  <c r="S318" i="17"/>
  <c r="S348" i="17" a="1"/>
  <c r="S348" i="17" s="1"/>
  <c r="S410" i="17" a="1"/>
  <c r="S410" i="17" s="1"/>
  <c r="S411" i="17" a="1"/>
  <c r="S411" i="17" s="1"/>
  <c r="S412" i="17" a="1"/>
  <c r="S412" i="17" s="1"/>
  <c r="S468" i="17" a="1"/>
  <c r="S468" i="17" s="1"/>
  <c r="S530" i="17" a="1"/>
  <c r="S530" i="17" s="1"/>
  <c r="S531" i="17" a="1"/>
  <c r="S531" i="17" s="1"/>
  <c r="S532" i="17" a="1"/>
  <c r="S532" i="17" s="1"/>
  <c r="S588" i="17" a="1"/>
  <c r="S588" i="17" s="1"/>
  <c r="S650" i="17" a="1"/>
  <c r="S650" i="17"/>
  <c r="S651" i="17" a="1"/>
  <c r="S651" i="17" s="1"/>
  <c r="S652" i="17" a="1"/>
  <c r="S652" i="17" s="1"/>
  <c r="S708" i="17" a="1"/>
  <c r="S708" i="17" s="1"/>
  <c r="S738" i="17" a="1"/>
  <c r="S73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233" i="17" a="1"/>
  <c r="S233" i="17" s="1"/>
  <c r="S234" i="17" a="1"/>
  <c r="S234" i="17"/>
  <c r="S235" i="17" a="1"/>
  <c r="S235" i="17" s="1"/>
  <c r="S289" i="17" a="1"/>
  <c r="S289" i="17" s="1"/>
  <c r="S319" i="17" a="1"/>
  <c r="S319" i="17" s="1"/>
  <c r="S349" i="17" a="1"/>
  <c r="S349" i="17" s="1"/>
  <c r="S413" i="17" a="1"/>
  <c r="S413" i="17" s="1"/>
  <c r="S414" i="17" a="1"/>
  <c r="S414" i="17" s="1"/>
  <c r="S415" i="17" a="1"/>
  <c r="S415" i="17" s="1"/>
  <c r="S469" i="17" a="1"/>
  <c r="S469" i="17" s="1"/>
  <c r="S533" i="17" a="1"/>
  <c r="S533" i="17" s="1"/>
  <c r="S534" i="17" a="1"/>
  <c r="S534" i="17"/>
  <c r="S535" i="17" a="1"/>
  <c r="S535" i="17" s="1"/>
  <c r="S589" i="17" a="1"/>
  <c r="S589" i="17" s="1"/>
  <c r="S653" i="17" a="1"/>
  <c r="S653" i="17" s="1"/>
  <c r="S654" i="17" a="1"/>
  <c r="S654" i="17" s="1"/>
  <c r="S655" i="17" a="1"/>
  <c r="S655" i="17" s="1"/>
  <c r="S709" i="17" a="1"/>
  <c r="S709" i="17" s="1"/>
  <c r="S739" i="17" a="1"/>
  <c r="S739" i="17" s="1"/>
  <c r="S110" i="17" a="1"/>
  <c r="S110" i="17" s="1"/>
  <c r="S111" i="17" a="1"/>
  <c r="S111" i="17" s="1"/>
  <c r="S112" i="17" a="1"/>
  <c r="S112" i="17"/>
  <c r="S113" i="17" a="1"/>
  <c r="S113" i="17" s="1"/>
  <c r="S114" i="17" a="1"/>
  <c r="S114" i="17" s="1"/>
  <c r="S115" i="17" a="1"/>
  <c r="S115" i="17" s="1"/>
  <c r="S236" i="17" a="1"/>
  <c r="S236" i="17" s="1"/>
  <c r="S237" i="17" a="1"/>
  <c r="S237" i="17" s="1"/>
  <c r="S238" i="17" a="1"/>
  <c r="S238" i="17" s="1"/>
  <c r="S290" i="17" a="1"/>
  <c r="S290" i="17" s="1"/>
  <c r="S320" i="17" a="1"/>
  <c r="S320" i="17" s="1"/>
  <c r="S350" i="17" a="1"/>
  <c r="S350" i="17" s="1"/>
  <c r="S416" i="17" a="1"/>
  <c r="S416" i="17" s="1"/>
  <c r="S417" i="17" a="1"/>
  <c r="S417" i="17" s="1"/>
  <c r="S418" i="17" a="1"/>
  <c r="S418" i="17"/>
  <c r="S470" i="17" a="1"/>
  <c r="S470" i="17" s="1"/>
  <c r="S536" i="17" a="1"/>
  <c r="S536" i="17" s="1"/>
  <c r="S537" i="17" a="1"/>
  <c r="S537" i="17" s="1"/>
  <c r="S538" i="17" a="1"/>
  <c r="S538" i="17" s="1"/>
  <c r="S590" i="17" a="1"/>
  <c r="S590" i="17" s="1"/>
  <c r="S656" i="17" a="1"/>
  <c r="S656" i="17" s="1"/>
  <c r="S657" i="17" a="1"/>
  <c r="S657" i="17" s="1"/>
  <c r="S658" i="17" a="1"/>
  <c r="S658" i="17" s="1"/>
  <c r="S710" i="17" a="1"/>
  <c r="S710" i="17" s="1"/>
  <c r="S740" i="17" a="1"/>
  <c r="S740" i="17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39" i="17" a="1"/>
  <c r="S239" i="17" s="1"/>
  <c r="S240" i="17" a="1"/>
  <c r="S240" i="17" s="1"/>
  <c r="S241" i="17" a="1"/>
  <c r="S241" i="17" s="1"/>
  <c r="S291" i="17" a="1"/>
  <c r="S291" i="17"/>
  <c r="S321" i="17" a="1"/>
  <c r="S321" i="17" s="1"/>
  <c r="S351" i="17" a="1"/>
  <c r="S351" i="17" s="1"/>
  <c r="S419" i="17" a="1"/>
  <c r="S419" i="17" s="1"/>
  <c r="S420" i="17" a="1"/>
  <c r="S420" i="17" s="1"/>
  <c r="S421" i="17" a="1"/>
  <c r="S421" i="17" s="1"/>
  <c r="S471" i="17" a="1"/>
  <c r="S471" i="17" s="1"/>
  <c r="S539" i="17" a="1"/>
  <c r="S539" i="17" s="1"/>
  <c r="S540" i="17" a="1"/>
  <c r="S540" i="17" s="1"/>
  <c r="S541" i="17" a="1"/>
  <c r="S541" i="17" s="1"/>
  <c r="S591" i="17" a="1"/>
  <c r="S591" i="17" s="1"/>
  <c r="S659" i="17" a="1"/>
  <c r="S659" i="17" s="1"/>
  <c r="S660" i="17" a="1"/>
  <c r="S660" i="17"/>
  <c r="S661" i="17" a="1"/>
  <c r="S661" i="17" s="1"/>
  <c r="S711" i="17" a="1"/>
  <c r="S711" i="17" s="1"/>
  <c r="S741" i="17" a="1"/>
  <c r="S74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42" i="17" a="1"/>
  <c r="S242" i="17"/>
  <c r="S243" i="17" a="1"/>
  <c r="S243" i="17" s="1"/>
  <c r="S244" i="17" a="1"/>
  <c r="S244" i="17" s="1"/>
  <c r="S292" i="17" a="1"/>
  <c r="S292" i="17" s="1"/>
  <c r="S322" i="17" a="1"/>
  <c r="S322" i="17" s="1"/>
  <c r="S352" i="17" a="1"/>
  <c r="S352" i="17" s="1"/>
  <c r="S422" i="17" a="1"/>
  <c r="S422" i="17" s="1"/>
  <c r="S423" i="17" a="1"/>
  <c r="S423" i="17" s="1"/>
  <c r="S424" i="17" a="1"/>
  <c r="S424" i="17" s="1"/>
  <c r="S472" i="17" a="1"/>
  <c r="S472" i="17" s="1"/>
  <c r="S542" i="17" a="1"/>
  <c r="S542" i="17" s="1"/>
  <c r="S543" i="17" a="1"/>
  <c r="S543" i="17" s="1"/>
  <c r="S544" i="17" a="1"/>
  <c r="S544" i="17" s="1"/>
  <c r="S592" i="17" a="1"/>
  <c r="S592" i="17" s="1"/>
  <c r="S662" i="17" a="1"/>
  <c r="S662" i="17" s="1"/>
  <c r="S663" i="17" a="1"/>
  <c r="S663" i="17" s="1"/>
  <c r="S664" i="17" a="1"/>
  <c r="S664" i="17"/>
  <c r="S712" i="17" a="1"/>
  <c r="S712" i="17" s="1"/>
  <c r="S742" i="17" a="1"/>
  <c r="S74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45" i="17" a="1"/>
  <c r="S245" i="17" s="1"/>
  <c r="S246" i="17" a="1"/>
  <c r="S246" i="17" s="1"/>
  <c r="S247" i="17" a="1"/>
  <c r="S247" i="17" s="1"/>
  <c r="S293" i="17" a="1"/>
  <c r="S293" i="17" s="1"/>
  <c r="S323" i="17" a="1"/>
  <c r="S323" i="17" s="1"/>
  <c r="S353" i="17" a="1"/>
  <c r="S353" i="17" s="1"/>
  <c r="S425" i="17" a="1"/>
  <c r="S425" i="17" s="1"/>
  <c r="S426" i="17" a="1"/>
  <c r="S426" i="17"/>
  <c r="S427" i="17" a="1"/>
  <c r="S427" i="17" s="1"/>
  <c r="S473" i="17" a="1"/>
  <c r="S473" i="17" s="1"/>
  <c r="S545" i="17" a="1"/>
  <c r="S545" i="17" s="1"/>
  <c r="S546" i="17" a="1"/>
  <c r="S546" i="17" s="1"/>
  <c r="S547" i="17" a="1"/>
  <c r="S547" i="17" s="1"/>
  <c r="S593" i="17" a="1"/>
  <c r="S593" i="17" s="1"/>
  <c r="S665" i="17" a="1"/>
  <c r="S665" i="17" s="1"/>
  <c r="S666" i="17" a="1"/>
  <c r="S666" i="17" s="1"/>
  <c r="S667" i="17" a="1"/>
  <c r="S667" i="17" s="1"/>
  <c r="S713" i="17" a="1"/>
  <c r="S713" i="17" s="1"/>
  <c r="S743" i="17" a="1"/>
  <c r="S74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/>
  <c r="S139" i="17" a="1"/>
  <c r="S139" i="17" s="1"/>
  <c r="S248" i="17" a="1"/>
  <c r="S248" i="17" s="1"/>
  <c r="S249" i="17" a="1"/>
  <c r="S249" i="17" s="1"/>
  <c r="S250" i="17" a="1"/>
  <c r="S250" i="17" s="1"/>
  <c r="S294" i="17" a="1"/>
  <c r="S294" i="17" s="1"/>
  <c r="S324" i="17" a="1"/>
  <c r="S324" i="17" s="1"/>
  <c r="S354" i="17" a="1"/>
  <c r="S354" i="17" s="1"/>
  <c r="S428" i="17" a="1"/>
  <c r="S428" i="17" s="1"/>
  <c r="S429" i="17" a="1"/>
  <c r="S429" i="17" s="1"/>
  <c r="S430" i="17" a="1"/>
  <c r="S430" i="17" s="1"/>
  <c r="S474" i="17" a="1"/>
  <c r="S474" i="17" s="1"/>
  <c r="S548" i="17" a="1"/>
  <c r="S548" i="17" s="1"/>
  <c r="S549" i="17" a="1"/>
  <c r="S549" i="17" s="1"/>
  <c r="S550" i="17" a="1"/>
  <c r="S550" i="17" s="1"/>
  <c r="S594" i="17" a="1"/>
  <c r="S594" i="17" s="1"/>
  <c r="S668" i="17" a="1"/>
  <c r="S668" i="17"/>
  <c r="S669" i="17" a="1"/>
  <c r="S669" i="17" s="1"/>
  <c r="S670" i="17" a="1"/>
  <c r="S670" i="17" s="1"/>
  <c r="S714" i="17" a="1"/>
  <c r="S714" i="17" s="1"/>
  <c r="S744" i="17" a="1"/>
  <c r="S74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/>
  <c r="S251" i="17" a="1"/>
  <c r="S251" i="17" s="1"/>
  <c r="S252" i="17" a="1"/>
  <c r="S252" i="17" s="1"/>
  <c r="S253" i="17" a="1"/>
  <c r="S253" i="17" s="1"/>
  <c r="S295" i="17" a="1"/>
  <c r="S295" i="17" s="1"/>
  <c r="S325" i="17" a="1"/>
  <c r="S325" i="17" s="1"/>
  <c r="S355" i="17" a="1"/>
  <c r="S355" i="17" s="1"/>
  <c r="S431" i="17" a="1"/>
  <c r="S431" i="17" s="1"/>
  <c r="S432" i="17" a="1"/>
  <c r="S432" i="17" s="1"/>
  <c r="S433" i="17" a="1"/>
  <c r="S433" i="17" s="1"/>
  <c r="S475" i="17" a="1"/>
  <c r="S475" i="17" s="1"/>
  <c r="S551" i="17" a="1"/>
  <c r="S551" i="17" s="1"/>
  <c r="S552" i="17" a="1"/>
  <c r="S552" i="17"/>
  <c r="S553" i="17" a="1"/>
  <c r="S553" i="17" s="1"/>
  <c r="S595" i="17" a="1"/>
  <c r="S595" i="17" s="1"/>
  <c r="S671" i="17" a="1"/>
  <c r="S671" i="17" s="1"/>
  <c r="S672" i="17" a="1"/>
  <c r="S672" i="17" s="1"/>
  <c r="S673" i="17" a="1"/>
  <c r="S673" i="17" s="1"/>
  <c r="S715" i="17" a="1"/>
  <c r="S715" i="17" s="1"/>
  <c r="S745" i="17" a="1"/>
  <c r="S74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54" i="17" a="1"/>
  <c r="S254" i="17" s="1"/>
  <c r="S255" i="17" a="1"/>
  <c r="S255" i="17" s="1"/>
  <c r="S256" i="17" a="1"/>
  <c r="S256" i="17" s="1"/>
  <c r="S296" i="17" a="1"/>
  <c r="S296" i="17" s="1"/>
  <c r="S326" i="17" a="1"/>
  <c r="S326" i="17" s="1"/>
  <c r="S356" i="17" a="1"/>
  <c r="S356" i="17" s="1"/>
  <c r="S434" i="17" a="1"/>
  <c r="S434" i="17"/>
  <c r="S435" i="17" a="1"/>
  <c r="S435" i="17" s="1"/>
  <c r="S436" i="17" a="1"/>
  <c r="S436" i="17" s="1"/>
  <c r="S476" i="17" a="1"/>
  <c r="S476" i="17" s="1"/>
  <c r="S554" i="17" a="1"/>
  <c r="S554" i="17" s="1"/>
  <c r="S555" i="17" a="1"/>
  <c r="S555" i="17" s="1"/>
  <c r="S556" i="17" a="1"/>
  <c r="S556" i="17" s="1"/>
  <c r="S596" i="17" a="1"/>
  <c r="S596" i="17" s="1"/>
  <c r="S674" i="17" a="1"/>
  <c r="S674" i="17" s="1"/>
  <c r="S675" i="17" a="1"/>
  <c r="S675" i="17" s="1"/>
  <c r="S676" i="17" a="1"/>
  <c r="S676" i="17" s="1"/>
  <c r="S716" i="17" a="1"/>
  <c r="S716" i="17" s="1"/>
  <c r="S746" i="17" a="1"/>
  <c r="S74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57" i="17" a="1"/>
  <c r="S257" i="17" s="1"/>
  <c r="S258" i="17" a="1"/>
  <c r="S258" i="17" s="1"/>
  <c r="S259" i="17" a="1"/>
  <c r="S259" i="17" s="1"/>
  <c r="S297" i="17" a="1"/>
  <c r="S297" i="17" s="1"/>
  <c r="S327" i="17" a="1"/>
  <c r="S327" i="17" s="1"/>
  <c r="S357" i="17" a="1"/>
  <c r="S357" i="17"/>
  <c r="S437" i="17" a="1"/>
  <c r="S437" i="17" s="1"/>
  <c r="S438" i="17" a="1"/>
  <c r="S438" i="17" s="1"/>
  <c r="S439" i="17" a="1"/>
  <c r="S439" i="17" s="1"/>
  <c r="S477" i="17" a="1"/>
  <c r="S477" i="17" s="1"/>
  <c r="S557" i="17" a="1"/>
  <c r="S557" i="17" s="1"/>
  <c r="S558" i="17" a="1"/>
  <c r="S558" i="17"/>
  <c r="S559" i="17" a="1"/>
  <c r="S559" i="17" s="1"/>
  <c r="S597" i="17" a="1"/>
  <c r="S597" i="17" s="1"/>
  <c r="S677" i="17" a="1"/>
  <c r="S677" i="17" s="1"/>
  <c r="S678" i="17" a="1"/>
  <c r="S678" i="17" s="1"/>
  <c r="S679" i="17" a="1"/>
  <c r="S679" i="17" s="1"/>
  <c r="S717" i="17" a="1"/>
  <c r="S717" i="17"/>
  <c r="S747" i="17" a="1"/>
  <c r="S74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60" i="17" a="1"/>
  <c r="S260" i="17" s="1"/>
  <c r="S261" i="17" a="1"/>
  <c r="S261" i="17" s="1"/>
  <c r="S262" i="17" a="1"/>
  <c r="S262" i="17" s="1"/>
  <c r="S298" i="17" a="1"/>
  <c r="S298" i="17" s="1"/>
  <c r="S328" i="17" a="1"/>
  <c r="S328" i="17" s="1"/>
  <c r="S358" i="17" a="1"/>
  <c r="S358" i="17" s="1"/>
  <c r="S440" i="17" a="1"/>
  <c r="S440" i="17" s="1"/>
  <c r="S441" i="17" a="1"/>
  <c r="S441" i="17" s="1"/>
  <c r="S442" i="17" a="1"/>
  <c r="S442" i="17" s="1"/>
  <c r="S478" i="17" a="1"/>
  <c r="S478" i="17" s="1"/>
  <c r="S560" i="17" a="1"/>
  <c r="S560" i="17" s="1"/>
  <c r="S561" i="17" a="1"/>
  <c r="S561" i="17" s="1"/>
  <c r="S562" i="17" a="1"/>
  <c r="S562" i="17"/>
  <c r="S598" i="17" a="1"/>
  <c r="S598" i="17" s="1"/>
  <c r="S680" i="17" a="1"/>
  <c r="S680" i="17" s="1"/>
  <c r="S681" i="17" a="1"/>
  <c r="S681" i="17" s="1"/>
  <c r="S682" i="17" a="1"/>
  <c r="S682" i="17" s="1"/>
  <c r="S718" i="17" a="1"/>
  <c r="S718" i="17" s="1"/>
  <c r="S748" i="17" a="1"/>
  <c r="S748" i="17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63" i="17" a="1"/>
  <c r="S263" i="17" s="1"/>
  <c r="S264" i="17" a="1"/>
  <c r="S264" i="17" s="1"/>
  <c r="S265" i="17" a="1"/>
  <c r="S265" i="17" s="1"/>
  <c r="S299" i="17" a="1"/>
  <c r="S299" i="17" s="1"/>
  <c r="S329" i="17" a="1"/>
  <c r="S329" i="17" s="1"/>
  <c r="S359" i="17" a="1"/>
  <c r="S359" i="17" s="1"/>
  <c r="S443" i="17" a="1"/>
  <c r="S443" i="17" s="1"/>
  <c r="S444" i="17" a="1"/>
  <c r="S444" i="17" s="1"/>
  <c r="S445" i="17" a="1"/>
  <c r="S445" i="17" s="1"/>
  <c r="S479" i="17" a="1"/>
  <c r="S479" i="17" s="1"/>
  <c r="S563" i="17" a="1"/>
  <c r="S563" i="17" s="1"/>
  <c r="S564" i="17" a="1"/>
  <c r="S564" i="17" s="1"/>
  <c r="S565" i="17" a="1"/>
  <c r="S565" i="17" s="1"/>
  <c r="S599" i="17" a="1"/>
  <c r="S599" i="17" s="1"/>
  <c r="S683" i="17" a="1"/>
  <c r="S683" i="17" s="1"/>
  <c r="S684" i="17" a="1"/>
  <c r="S684" i="17" s="1"/>
  <c r="S685" i="17" a="1"/>
  <c r="S685" i="17" s="1"/>
  <c r="S719" i="17" a="1"/>
  <c r="S719" i="17" s="1"/>
  <c r="S749" i="17" a="1"/>
  <c r="S749" i="17" s="1"/>
  <c r="S170" i="17" a="1"/>
  <c r="S170" i="17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266" i="17" a="1"/>
  <c r="S266" i="17" s="1"/>
  <c r="S267" i="17" a="1"/>
  <c r="S267" i="17" s="1"/>
  <c r="S268" i="17" a="1"/>
  <c r="S268" i="17"/>
  <c r="S300" i="17" a="1"/>
  <c r="S300" i="17" s="1"/>
  <c r="S330" i="17" a="1"/>
  <c r="S330" i="17" s="1"/>
  <c r="S360" i="17" a="1"/>
  <c r="S360" i="17" s="1"/>
  <c r="S446" i="17" a="1"/>
  <c r="S446" i="17" s="1"/>
  <c r="S447" i="17" a="1"/>
  <c r="S447" i="17" s="1"/>
  <c r="S448" i="17" a="1"/>
  <c r="S448" i="17"/>
  <c r="S480" i="17" a="1"/>
  <c r="S480" i="17" s="1"/>
  <c r="S566" i="17" a="1"/>
  <c r="S566" i="17" s="1"/>
  <c r="S567" i="17" a="1"/>
  <c r="S567" i="17" s="1"/>
  <c r="S568" i="17" a="1"/>
  <c r="S568" i="17" s="1"/>
  <c r="S600" i="17" a="1"/>
  <c r="S600" i="17" s="1"/>
  <c r="S686" i="17" a="1"/>
  <c r="S686" i="17" s="1"/>
  <c r="S687" i="17" a="1"/>
  <c r="S687" i="17" s="1"/>
  <c r="S688" i="17" a="1"/>
  <c r="S688" i="17" s="1"/>
  <c r="S720" i="17" a="1"/>
  <c r="S720" i="17" s="1"/>
  <c r="S750" i="17" a="1"/>
  <c r="S75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69" i="17" a="1"/>
  <c r="S269" i="17" s="1"/>
  <c r="S270" i="17" a="1"/>
  <c r="S270" i="17" s="1"/>
  <c r="S271" i="17" a="1"/>
  <c r="S271" i="17" s="1"/>
  <c r="S301" i="17" a="1"/>
  <c r="S301" i="17" s="1"/>
  <c r="S331" i="17" a="1"/>
  <c r="S331" i="17" s="1"/>
  <c r="S361" i="17" a="1"/>
  <c r="S361" i="17" s="1"/>
  <c r="S449" i="17" a="1"/>
  <c r="S449" i="17" s="1"/>
  <c r="S450" i="17" a="1"/>
  <c r="S450" i="17"/>
  <c r="S451" i="17" a="1"/>
  <c r="S451" i="17" s="1"/>
  <c r="S481" i="17" a="1"/>
  <c r="S481" i="17" s="1"/>
  <c r="S569" i="17" a="1"/>
  <c r="S569" i="17" s="1"/>
  <c r="S570" i="17" a="1"/>
  <c r="S570" i="17" s="1"/>
  <c r="S571" i="17" a="1"/>
  <c r="S571" i="17" s="1"/>
  <c r="S601" i="17" a="1"/>
  <c r="S601" i="17" s="1"/>
  <c r="S689" i="17" a="1"/>
  <c r="S689" i="17"/>
  <c r="S690" i="17" a="1"/>
  <c r="S690" i="17" s="1"/>
  <c r="S691" i="17" a="1"/>
  <c r="S691" i="17"/>
  <c r="S721" i="17" a="1"/>
  <c r="S721" i="17" s="1"/>
  <c r="S751" i="17" a="1"/>
  <c r="S75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182" i="17" a="1"/>
  <c r="T182" i="17" s="1"/>
  <c r="T183" i="17" a="1"/>
  <c r="T183" i="17" s="1"/>
  <c r="T184" i="17" a="1"/>
  <c r="T184" i="17" s="1"/>
  <c r="T272" i="17" a="1"/>
  <c r="T272" i="17" s="1"/>
  <c r="T302" i="17" a="1"/>
  <c r="T302" i="17"/>
  <c r="T332" i="17" a="1"/>
  <c r="T332" i="17" s="1"/>
  <c r="T362" i="17" a="1"/>
  <c r="T362" i="17" s="1"/>
  <c r="T363" i="17" a="1"/>
  <c r="T363" i="17" s="1"/>
  <c r="T364" i="17" a="1"/>
  <c r="T364" i="17" s="1"/>
  <c r="T452" i="17" a="1"/>
  <c r="T452" i="17" s="1"/>
  <c r="T482" i="17" a="1"/>
  <c r="T482" i="17" s="1"/>
  <c r="T483" i="17" a="1"/>
  <c r="T483" i="17" s="1"/>
  <c r="T484" i="17" a="1"/>
  <c r="T484" i="17" s="1"/>
  <c r="T572" i="17" a="1"/>
  <c r="T572" i="17" s="1"/>
  <c r="T602" i="17" a="1"/>
  <c r="T602" i="17" s="1"/>
  <c r="T603" i="17" a="1"/>
  <c r="T603" i="17" s="1"/>
  <c r="T604" i="17" a="1"/>
  <c r="T604" i="17"/>
  <c r="T692" i="17" a="1"/>
  <c r="T692" i="17" s="1"/>
  <c r="T722" i="17" a="1"/>
  <c r="T722" i="17" s="1"/>
  <c r="T8" i="17" a="1"/>
  <c r="T8" i="17" s="1"/>
  <c r="T9" i="17" a="1"/>
  <c r="T9" i="17"/>
  <c r="T10" i="17" a="1"/>
  <c r="T10" i="17" s="1"/>
  <c r="T11" i="17" a="1"/>
  <c r="T11" i="17" s="1"/>
  <c r="T12" i="17" a="1"/>
  <c r="T12" i="17" s="1"/>
  <c r="T13" i="17" a="1"/>
  <c r="T13" i="17" s="1"/>
  <c r="T185" i="17" a="1"/>
  <c r="T185" i="17" s="1"/>
  <c r="T186" i="17" a="1"/>
  <c r="T186" i="17" s="1"/>
  <c r="T187" i="17" a="1"/>
  <c r="T187" i="17" s="1"/>
  <c r="T273" i="17" a="1"/>
  <c r="T273" i="17" s="1"/>
  <c r="T303" i="17" a="1"/>
  <c r="T303" i="17" s="1"/>
  <c r="T333" i="17" a="1"/>
  <c r="T333" i="17" s="1"/>
  <c r="T365" i="17" a="1"/>
  <c r="T365" i="17" s="1"/>
  <c r="T366" i="17" a="1"/>
  <c r="T366" i="17" s="1"/>
  <c r="T367" i="17" a="1"/>
  <c r="T367" i="17" s="1"/>
  <c r="T453" i="17" a="1"/>
  <c r="T453" i="17" s="1"/>
  <c r="T485" i="17" a="1"/>
  <c r="T485" i="17" s="1"/>
  <c r="T486" i="17" a="1"/>
  <c r="T486" i="17"/>
  <c r="T487" i="17" a="1"/>
  <c r="T487" i="17" s="1"/>
  <c r="T573" i="17" a="1"/>
  <c r="T573" i="17" s="1"/>
  <c r="T605" i="17" a="1"/>
  <c r="T605" i="17" s="1"/>
  <c r="T606" i="17" a="1"/>
  <c r="T606" i="17" s="1"/>
  <c r="T607" i="17" a="1"/>
  <c r="T607" i="17" s="1"/>
  <c r="T693" i="17" a="1"/>
  <c r="T693" i="17" s="1"/>
  <c r="T723" i="17" a="1"/>
  <c r="T72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/>
  <c r="T19" i="17" a="1"/>
  <c r="T19" i="17" s="1"/>
  <c r="T188" i="17" a="1"/>
  <c r="T188" i="17" s="1"/>
  <c r="T189" i="17" a="1"/>
  <c r="T189" i="17" s="1"/>
  <c r="T190" i="17" a="1"/>
  <c r="T190" i="17"/>
  <c r="T274" i="17" a="1"/>
  <c r="T274" i="17" s="1"/>
  <c r="T304" i="17" a="1"/>
  <c r="T304" i="17" s="1"/>
  <c r="T334" i="17" a="1"/>
  <c r="T334" i="17" s="1"/>
  <c r="T368" i="17" a="1"/>
  <c r="T368" i="17" s="1"/>
  <c r="T369" i="17" a="1"/>
  <c r="T369" i="17" s="1"/>
  <c r="T370" i="17" a="1"/>
  <c r="T370" i="17" s="1"/>
  <c r="T454" i="17" a="1"/>
  <c r="T454" i="17" s="1"/>
  <c r="T488" i="17" a="1"/>
  <c r="T488" i="17" s="1"/>
  <c r="T489" i="17" a="1"/>
  <c r="T489" i="17" s="1"/>
  <c r="T490" i="17" a="1"/>
  <c r="T490" i="17" s="1"/>
  <c r="T574" i="17" a="1"/>
  <c r="T574" i="17" s="1"/>
  <c r="T608" i="17" a="1"/>
  <c r="T608" i="17" s="1"/>
  <c r="T609" i="17" a="1"/>
  <c r="T609" i="17" s="1"/>
  <c r="T610" i="17" a="1"/>
  <c r="T610" i="17" s="1"/>
  <c r="T694" i="17" a="1"/>
  <c r="T694" i="17" s="1"/>
  <c r="T724" i="17" a="1"/>
  <c r="T724" i="17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191" i="17" a="1"/>
  <c r="T191" i="17" s="1"/>
  <c r="T192" i="17" a="1"/>
  <c r="T192" i="17"/>
  <c r="T193" i="17" a="1"/>
  <c r="T193" i="17" s="1"/>
  <c r="T275" i="17" a="1"/>
  <c r="T275" i="17" s="1"/>
  <c r="T305" i="17" a="1"/>
  <c r="T305" i="17" s="1"/>
  <c r="T335" i="17" a="1"/>
  <c r="T335" i="17" s="1"/>
  <c r="T371" i="17" a="1"/>
  <c r="T371" i="17" s="1"/>
  <c r="T372" i="17" a="1"/>
  <c r="T372" i="17" s="1"/>
  <c r="T373" i="17" a="1"/>
  <c r="T373" i="17" s="1"/>
  <c r="T455" i="17" a="1"/>
  <c r="T455" i="17"/>
  <c r="T491" i="17" a="1"/>
  <c r="T491" i="17" s="1"/>
  <c r="T492" i="17" a="1"/>
  <c r="T492" i="17" s="1"/>
  <c r="T493" i="17" a="1"/>
  <c r="T493" i="17" s="1"/>
  <c r="T575" i="17" a="1"/>
  <c r="T575" i="17" s="1"/>
  <c r="T611" i="17" a="1"/>
  <c r="T611" i="17" s="1"/>
  <c r="T612" i="17" a="1"/>
  <c r="T612" i="17" s="1"/>
  <c r="T613" i="17" a="1"/>
  <c r="T613" i="17" s="1"/>
  <c r="T695" i="17" a="1"/>
  <c r="T695" i="17" s="1"/>
  <c r="T725" i="17" a="1"/>
  <c r="T725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194" i="17" a="1"/>
  <c r="T194" i="17"/>
  <c r="T195" i="17" a="1"/>
  <c r="T195" i="17" s="1"/>
  <c r="T196" i="17" a="1"/>
  <c r="T196" i="17" s="1"/>
  <c r="T276" i="17" a="1"/>
  <c r="T276" i="17" s="1"/>
  <c r="T306" i="17" a="1"/>
  <c r="T306" i="17" s="1"/>
  <c r="T336" i="17" a="1"/>
  <c r="T336" i="17" s="1"/>
  <c r="T374" i="17" a="1"/>
  <c r="T374" i="17" s="1"/>
  <c r="T375" i="17" a="1"/>
  <c r="T375" i="17" s="1"/>
  <c r="T376" i="17" a="1"/>
  <c r="T376" i="17"/>
  <c r="T456" i="17" a="1"/>
  <c r="T456" i="17" s="1"/>
  <c r="T494" i="17" a="1"/>
  <c r="T494" i="17" s="1"/>
  <c r="T495" i="17" a="1"/>
  <c r="T495" i="17" s="1"/>
  <c r="T496" i="17" a="1"/>
  <c r="T496" i="17" s="1"/>
  <c r="T576" i="17" a="1"/>
  <c r="T576" i="17" s="1"/>
  <c r="T614" i="17" a="1"/>
  <c r="T614" i="17" s="1"/>
  <c r="T615" i="17" a="1"/>
  <c r="T615" i="17" s="1"/>
  <c r="T616" i="17" a="1"/>
  <c r="T616" i="17"/>
  <c r="T696" i="17" a="1"/>
  <c r="T696" i="17" s="1"/>
  <c r="T726" i="17" a="1"/>
  <c r="T72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97" i="17" a="1"/>
  <c r="T197" i="17" s="1"/>
  <c r="T198" i="17" a="1"/>
  <c r="T198" i="17" s="1"/>
  <c r="T199" i="17" a="1"/>
  <c r="T199" i="17" s="1"/>
  <c r="T277" i="17" a="1"/>
  <c r="T277" i="17" s="1"/>
  <c r="T307" i="17" a="1"/>
  <c r="T307" i="17" s="1"/>
  <c r="T337" i="17" a="1"/>
  <c r="T337" i="17" s="1"/>
  <c r="T377" i="17" a="1"/>
  <c r="T377" i="17" s="1"/>
  <c r="T378" i="17" a="1"/>
  <c r="T378" i="17"/>
  <c r="T379" i="17" a="1"/>
  <c r="T379" i="17" s="1"/>
  <c r="T457" i="17" a="1"/>
  <c r="T457" i="17" s="1"/>
  <c r="T497" i="17" a="1"/>
  <c r="T497" i="17" s="1"/>
  <c r="T498" i="17" a="1"/>
  <c r="T498" i="17" s="1"/>
  <c r="T499" i="17" a="1"/>
  <c r="T499" i="17" s="1"/>
  <c r="T577" i="17" a="1"/>
  <c r="T577" i="17" s="1"/>
  <c r="T617" i="17" a="1"/>
  <c r="T617" i="17" s="1"/>
  <c r="T618" i="17" a="1"/>
  <c r="T618" i="17"/>
  <c r="T619" i="17" a="1"/>
  <c r="T619" i="17" s="1"/>
  <c r="T697" i="17" a="1"/>
  <c r="T697" i="17" s="1"/>
  <c r="T727" i="17" a="1"/>
  <c r="T727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200" i="17" a="1"/>
  <c r="T200" i="17" s="1"/>
  <c r="T201" i="17" a="1"/>
  <c r="T201" i="17" s="1"/>
  <c r="T202" i="17" a="1"/>
  <c r="T202" i="17" s="1"/>
  <c r="T278" i="17" a="1"/>
  <c r="T278" i="17" s="1"/>
  <c r="T308" i="17" a="1"/>
  <c r="T308" i="17" s="1"/>
  <c r="T338" i="17" a="1"/>
  <c r="T338" i="17" s="1"/>
  <c r="T380" i="17" a="1"/>
  <c r="T380" i="17"/>
  <c r="T381" i="17" a="1"/>
  <c r="T381" i="17" s="1"/>
  <c r="T382" i="17" a="1"/>
  <c r="T382" i="17" s="1"/>
  <c r="T458" i="17" a="1"/>
  <c r="T458" i="17" s="1"/>
  <c r="T500" i="17" a="1"/>
  <c r="T500" i="17" s="1"/>
  <c r="T501" i="17" a="1"/>
  <c r="T501" i="17" s="1"/>
  <c r="T502" i="17" a="1"/>
  <c r="T502" i="17" s="1"/>
  <c r="T578" i="17" a="1"/>
  <c r="T578" i="17" s="1"/>
  <c r="T620" i="17" a="1"/>
  <c r="T620" i="17" s="1"/>
  <c r="T621" i="17" a="1"/>
  <c r="T621" i="17" s="1"/>
  <c r="T622" i="17" a="1"/>
  <c r="T622" i="17" s="1"/>
  <c r="T698" i="17" a="1"/>
  <c r="T698" i="17" s="1"/>
  <c r="T728" i="17" a="1"/>
  <c r="T72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203" i="17" a="1"/>
  <c r="T203" i="17" s="1"/>
  <c r="T204" i="17" a="1"/>
  <c r="T204" i="17" s="1"/>
  <c r="T205" i="17" a="1"/>
  <c r="T205" i="17" s="1"/>
  <c r="T279" i="17" a="1"/>
  <c r="T279" i="17" s="1"/>
  <c r="T309" i="17" a="1"/>
  <c r="T309" i="17" s="1"/>
  <c r="T339" i="17" a="1"/>
  <c r="T339" i="17" s="1"/>
  <c r="T383" i="17" a="1"/>
  <c r="T383" i="17" s="1"/>
  <c r="T384" i="17" a="1"/>
  <c r="T384" i="17" s="1"/>
  <c r="T385" i="17" a="1"/>
  <c r="T385" i="17" s="1"/>
  <c r="T459" i="17" a="1"/>
  <c r="T459" i="17" s="1"/>
  <c r="T503" i="17" a="1"/>
  <c r="T503" i="17" s="1"/>
  <c r="T504" i="17" a="1"/>
  <c r="T504" i="17" s="1"/>
  <c r="T505" i="17" a="1"/>
  <c r="T505" i="17" s="1"/>
  <c r="T579" i="17" a="1"/>
  <c r="T579" i="17"/>
  <c r="T623" i="17" a="1"/>
  <c r="T623" i="17" s="1"/>
  <c r="T624" i="17" a="1"/>
  <c r="T624" i="17" s="1"/>
  <c r="T625" i="17" a="1"/>
  <c r="T625" i="17" s="1"/>
  <c r="T699" i="17" a="1"/>
  <c r="T699" i="17" s="1"/>
  <c r="T729" i="17" a="1"/>
  <c r="T72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206" i="17" a="1"/>
  <c r="T206" i="17" s="1"/>
  <c r="T207" i="17" a="1"/>
  <c r="T207" i="17" s="1"/>
  <c r="T208" i="17" a="1"/>
  <c r="T208" i="17" s="1"/>
  <c r="T280" i="17" a="1"/>
  <c r="T280" i="17" s="1"/>
  <c r="T310" i="17" a="1"/>
  <c r="T310" i="17"/>
  <c r="T340" i="17" a="1"/>
  <c r="T340" i="17" s="1"/>
  <c r="T386" i="17" a="1"/>
  <c r="T386" i="17" s="1"/>
  <c r="T387" i="17" a="1"/>
  <c r="T387" i="17" s="1"/>
  <c r="T388" i="17" a="1"/>
  <c r="T388" i="17" s="1"/>
  <c r="T460" i="17" a="1"/>
  <c r="T460" i="17" s="1"/>
  <c r="T506" i="17" a="1"/>
  <c r="T506" i="17" s="1"/>
  <c r="T507" i="17" a="1"/>
  <c r="T507" i="17" s="1"/>
  <c r="T508" i="17" a="1"/>
  <c r="T508" i="17" s="1"/>
  <c r="T580" i="17" a="1"/>
  <c r="T580" i="17" s="1"/>
  <c r="T626" i="17" a="1"/>
  <c r="T626" i="17" s="1"/>
  <c r="T627" i="17" a="1"/>
  <c r="T627" i="17" s="1"/>
  <c r="T628" i="17" a="1"/>
  <c r="T628" i="17" s="1"/>
  <c r="T700" i="17" a="1"/>
  <c r="T700" i="17" s="1"/>
  <c r="T730" i="17" a="1"/>
  <c r="T730" i="17" s="1"/>
  <c r="T56" i="17" a="1"/>
  <c r="T56" i="17" s="1"/>
  <c r="T57" i="17" a="1"/>
  <c r="T57" i="17"/>
  <c r="T58" i="17" a="1"/>
  <c r="T58" i="17" s="1"/>
  <c r="T59" i="17" a="1"/>
  <c r="T59" i="17" s="1"/>
  <c r="T60" i="17" a="1"/>
  <c r="T60" i="17" s="1"/>
  <c r="T61" i="17" a="1"/>
  <c r="T61" i="17" s="1"/>
  <c r="T209" i="17" a="1"/>
  <c r="T209" i="17" s="1"/>
  <c r="T210" i="17" a="1"/>
  <c r="T210" i="17" s="1"/>
  <c r="T211" i="17" a="1"/>
  <c r="T211" i="17" s="1"/>
  <c r="T281" i="17" a="1"/>
  <c r="T281" i="17" s="1"/>
  <c r="T311" i="17" a="1"/>
  <c r="T311" i="17" s="1"/>
  <c r="T341" i="17" a="1"/>
  <c r="T341" i="17" s="1"/>
  <c r="T389" i="17" a="1"/>
  <c r="T389" i="17" s="1"/>
  <c r="T390" i="17" a="1"/>
  <c r="T390" i="17" s="1"/>
  <c r="T391" i="17" a="1"/>
  <c r="T391" i="17" s="1"/>
  <c r="T461" i="17" a="1"/>
  <c r="T461" i="17" s="1"/>
  <c r="T509" i="17" a="1"/>
  <c r="T509" i="17" s="1"/>
  <c r="T510" i="17" a="1"/>
  <c r="T510" i="17" s="1"/>
  <c r="T511" i="17" a="1"/>
  <c r="T511" i="17" s="1"/>
  <c r="T581" i="17" a="1"/>
  <c r="T581" i="17" s="1"/>
  <c r="T629" i="17" a="1"/>
  <c r="T629" i="17" s="1"/>
  <c r="T630" i="17" a="1"/>
  <c r="T630" i="17" s="1"/>
  <c r="T631" i="17" a="1"/>
  <c r="T631" i="17" s="1"/>
  <c r="T701" i="17" a="1"/>
  <c r="T701" i="17" s="1"/>
  <c r="T731" i="17" a="1"/>
  <c r="T73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212" i="17" a="1"/>
  <c r="T212" i="17" s="1"/>
  <c r="T213" i="17" a="1"/>
  <c r="T213" i="17" s="1"/>
  <c r="T214" i="17" a="1"/>
  <c r="T214" i="17"/>
  <c r="T282" i="17" a="1"/>
  <c r="T282" i="17" s="1"/>
  <c r="T312" i="17" a="1"/>
  <c r="T312" i="17" s="1"/>
  <c r="T342" i="17" a="1"/>
  <c r="T342" i="17" s="1"/>
  <c r="T392" i="17" a="1"/>
  <c r="T392" i="17" s="1"/>
  <c r="T393" i="17" a="1"/>
  <c r="T393" i="17" s="1"/>
  <c r="T394" i="17" a="1"/>
  <c r="T394" i="17" s="1"/>
  <c r="T462" i="17" a="1"/>
  <c r="T462" i="17" s="1"/>
  <c r="T512" i="17" a="1"/>
  <c r="T512" i="17" s="1"/>
  <c r="T513" i="17" a="1"/>
  <c r="T513" i="17" s="1"/>
  <c r="T514" i="17" a="1"/>
  <c r="T514" i="17" s="1"/>
  <c r="T582" i="17" a="1"/>
  <c r="T582" i="17" s="1"/>
  <c r="T632" i="17" a="1"/>
  <c r="T632" i="17" s="1"/>
  <c r="T633" i="17" a="1"/>
  <c r="T633" i="17" s="1"/>
  <c r="T634" i="17" a="1"/>
  <c r="T634" i="17" s="1"/>
  <c r="T702" i="17" a="1"/>
  <c r="T702" i="17" s="1"/>
  <c r="T732" i="17" a="1"/>
  <c r="T732" i="17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215" i="17" a="1"/>
  <c r="T215" i="17" s="1"/>
  <c r="T216" i="17" a="1"/>
  <c r="T216" i="17" s="1"/>
  <c r="T217" i="17" a="1"/>
  <c r="T217" i="17" s="1"/>
  <c r="T283" i="17" a="1"/>
  <c r="T283" i="17" s="1"/>
  <c r="T313" i="17" a="1"/>
  <c r="T313" i="17" s="1"/>
  <c r="T343" i="17" a="1"/>
  <c r="T343" i="17" s="1"/>
  <c r="T395" i="17" a="1"/>
  <c r="T395" i="17" s="1"/>
  <c r="T396" i="17" a="1"/>
  <c r="T396" i="17" s="1"/>
  <c r="T397" i="17" a="1"/>
  <c r="T397" i="17" s="1"/>
  <c r="T463" i="17" a="1"/>
  <c r="T463" i="17" s="1"/>
  <c r="T515" i="17" a="1"/>
  <c r="T515" i="17" s="1"/>
  <c r="T516" i="17" a="1"/>
  <c r="T516" i="17" s="1"/>
  <c r="T517" i="17" a="1"/>
  <c r="T517" i="17" s="1"/>
  <c r="T583" i="17" a="1"/>
  <c r="T583" i="17" s="1"/>
  <c r="T635" i="17" a="1"/>
  <c r="T635" i="17" s="1"/>
  <c r="T636" i="17" a="1"/>
  <c r="T636" i="17" s="1"/>
  <c r="T637" i="17" a="1"/>
  <c r="T637" i="17" s="1"/>
  <c r="T703" i="17" a="1"/>
  <c r="T703" i="17" s="1"/>
  <c r="T733" i="17" a="1"/>
  <c r="T73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218" i="17" a="1"/>
  <c r="T218" i="17" s="1"/>
  <c r="T219" i="17" a="1"/>
  <c r="T219" i="17" s="1"/>
  <c r="T220" i="17" a="1"/>
  <c r="T220" i="17" s="1"/>
  <c r="T284" i="17" a="1"/>
  <c r="T284" i="17" s="1"/>
  <c r="T314" i="17" a="1"/>
  <c r="T314" i="17"/>
  <c r="T344" i="17" a="1"/>
  <c r="T344" i="17" s="1"/>
  <c r="T398" i="17" a="1"/>
  <c r="T398" i="17" s="1"/>
  <c r="T399" i="17" a="1"/>
  <c r="T399" i="17" s="1"/>
  <c r="T400" i="17" a="1"/>
  <c r="T400" i="17" s="1"/>
  <c r="T464" i="17" a="1"/>
  <c r="T464" i="17" s="1"/>
  <c r="T518" i="17" a="1"/>
  <c r="T518" i="17" s="1"/>
  <c r="T519" i="17" a="1"/>
  <c r="T519" i="17" s="1"/>
  <c r="T520" i="17" a="1"/>
  <c r="T520" i="17"/>
  <c r="T584" i="17" a="1"/>
  <c r="T584" i="17" s="1"/>
  <c r="T638" i="17" a="1"/>
  <c r="T638" i="17" s="1"/>
  <c r="T639" i="17" a="1"/>
  <c r="T639" i="17" s="1"/>
  <c r="T640" i="17" a="1"/>
  <c r="T640" i="17" s="1"/>
  <c r="T704" i="17" a="1"/>
  <c r="T704" i="17" s="1"/>
  <c r="T734" i="17" a="1"/>
  <c r="T73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221" i="17" a="1"/>
  <c r="T221" i="17" s="1"/>
  <c r="T222" i="17" a="1"/>
  <c r="T222" i="17" s="1"/>
  <c r="T223" i="17" a="1"/>
  <c r="T223" i="17" s="1"/>
  <c r="T285" i="17" a="1"/>
  <c r="T285" i="17" s="1"/>
  <c r="T315" i="17" a="1"/>
  <c r="T315" i="17" s="1"/>
  <c r="T345" i="17" a="1"/>
  <c r="T345" i="17" s="1"/>
  <c r="T401" i="17" a="1"/>
  <c r="T401" i="17" s="1"/>
  <c r="T402" i="17" a="1"/>
  <c r="T402" i="17" s="1"/>
  <c r="T403" i="17" a="1"/>
  <c r="T403" i="17" s="1"/>
  <c r="T465" i="17" a="1"/>
  <c r="T465" i="17" s="1"/>
  <c r="T521" i="17" a="1"/>
  <c r="T521" i="17" s="1"/>
  <c r="T522" i="17" a="1"/>
  <c r="T522" i="17"/>
  <c r="T523" i="17" a="1"/>
  <c r="T523" i="17" s="1"/>
  <c r="T585" i="17" a="1"/>
  <c r="T585" i="17" s="1"/>
  <c r="T641" i="17" a="1"/>
  <c r="T641" i="17" s="1"/>
  <c r="T642" i="17" a="1"/>
  <c r="T642" i="17" s="1"/>
  <c r="T643" i="17" a="1"/>
  <c r="T643" i="17" s="1"/>
  <c r="T705" i="17" a="1"/>
  <c r="T705" i="17" s="1"/>
  <c r="T735" i="17" a="1"/>
  <c r="T735" i="17" s="1"/>
  <c r="T86" i="17" a="1"/>
  <c r="T86" i="17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224" i="17" a="1"/>
  <c r="T224" i="17" s="1"/>
  <c r="T225" i="17" a="1"/>
  <c r="T225" i="17" s="1"/>
  <c r="T226" i="17" a="1"/>
  <c r="T226" i="17"/>
  <c r="T286" i="17" a="1"/>
  <c r="T286" i="17" s="1"/>
  <c r="T316" i="17" a="1"/>
  <c r="T316" i="17" s="1"/>
  <c r="T346" i="17" a="1"/>
  <c r="T346" i="17" s="1"/>
  <c r="T404" i="17" a="1"/>
  <c r="T404" i="17" s="1"/>
  <c r="T405" i="17" a="1"/>
  <c r="T405" i="17" s="1"/>
  <c r="T406" i="17" a="1"/>
  <c r="T406" i="17" s="1"/>
  <c r="T466" i="17" a="1"/>
  <c r="T466" i="17" s="1"/>
  <c r="T524" i="17" a="1"/>
  <c r="T524" i="17" s="1"/>
  <c r="T525" i="17" a="1"/>
  <c r="T525" i="17" s="1"/>
  <c r="T526" i="17" a="1"/>
  <c r="T526" i="17" s="1"/>
  <c r="T586" i="17" a="1"/>
  <c r="T586" i="17" s="1"/>
  <c r="T644" i="17" a="1"/>
  <c r="T644" i="17" s="1"/>
  <c r="T645" i="17" a="1"/>
  <c r="T645" i="17" s="1"/>
  <c r="T646" i="17" a="1"/>
  <c r="T646" i="17" s="1"/>
  <c r="T706" i="17" a="1"/>
  <c r="T706" i="17" s="1"/>
  <c r="T736" i="17" a="1"/>
  <c r="T736" i="17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227" i="17" a="1"/>
  <c r="T227" i="17" s="1"/>
  <c r="T228" i="17" a="1"/>
  <c r="T228" i="17"/>
  <c r="T229" i="17" a="1"/>
  <c r="T229" i="17" s="1"/>
  <c r="T287" i="17" a="1"/>
  <c r="T287" i="17" s="1"/>
  <c r="T317" i="17" a="1"/>
  <c r="T317" i="17" s="1"/>
  <c r="T347" i="17" a="1"/>
  <c r="T347" i="17" s="1"/>
  <c r="T407" i="17" a="1"/>
  <c r="T407" i="17" s="1"/>
  <c r="T408" i="17" a="1"/>
  <c r="T408" i="17" s="1"/>
  <c r="T409" i="17" a="1"/>
  <c r="T409" i="17" s="1"/>
  <c r="T467" i="17" a="1"/>
  <c r="T467" i="17"/>
  <c r="T527" i="17" a="1"/>
  <c r="T527" i="17" s="1"/>
  <c r="T528" i="17" a="1"/>
  <c r="T528" i="17" s="1"/>
  <c r="T529" i="17" a="1"/>
  <c r="T529" i="17" s="1"/>
  <c r="T587" i="17" a="1"/>
  <c r="T587" i="17" s="1"/>
  <c r="T647" i="17" a="1"/>
  <c r="T647" i="17" s="1"/>
  <c r="T648" i="17" a="1"/>
  <c r="T648" i="17" s="1"/>
  <c r="T649" i="17" a="1"/>
  <c r="T649" i="17" s="1"/>
  <c r="T707" i="17" a="1"/>
  <c r="T707" i="17" s="1"/>
  <c r="T737" i="17" a="1"/>
  <c r="T737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230" i="17" a="1"/>
  <c r="T230" i="17"/>
  <c r="T231" i="17" a="1"/>
  <c r="T231" i="17" s="1"/>
  <c r="T232" i="17" a="1"/>
  <c r="T232" i="17" s="1"/>
  <c r="T288" i="17" a="1"/>
  <c r="T288" i="17" s="1"/>
  <c r="T318" i="17" a="1"/>
  <c r="T318" i="17" s="1"/>
  <c r="T348" i="17" a="1"/>
  <c r="T348" i="17" s="1"/>
  <c r="T410" i="17" a="1"/>
  <c r="T410" i="17" s="1"/>
  <c r="T411" i="17" a="1"/>
  <c r="T411" i="17" s="1"/>
  <c r="T412" i="17" a="1"/>
  <c r="T412" i="17"/>
  <c r="T468" i="17" a="1"/>
  <c r="T468" i="17" s="1"/>
  <c r="T530" i="17" a="1"/>
  <c r="T530" i="17" s="1"/>
  <c r="T531" i="17" a="1"/>
  <c r="T531" i="17" s="1"/>
  <c r="T532" i="17" a="1"/>
  <c r="T532" i="17" s="1"/>
  <c r="T588" i="17" a="1"/>
  <c r="T588" i="17" s="1"/>
  <c r="T650" i="17" a="1"/>
  <c r="T650" i="17" s="1"/>
  <c r="T651" i="17" a="1"/>
  <c r="T651" i="17" s="1"/>
  <c r="T652" i="17" a="1"/>
  <c r="T652" i="17"/>
  <c r="T708" i="17" a="1"/>
  <c r="T708" i="17" s="1"/>
  <c r="T738" i="17" a="1"/>
  <c r="T73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233" i="17" a="1"/>
  <c r="T233" i="17" s="1"/>
  <c r="T234" i="17" a="1"/>
  <c r="T234" i="17" s="1"/>
  <c r="T235" i="17" a="1"/>
  <c r="T235" i="17" s="1"/>
  <c r="T289" i="17" a="1"/>
  <c r="T289" i="17" s="1"/>
  <c r="T319" i="17" a="1"/>
  <c r="T319" i="17" s="1"/>
  <c r="T349" i="17" a="1"/>
  <c r="T349" i="17" s="1"/>
  <c r="T413" i="17" a="1"/>
  <c r="T413" i="17" s="1"/>
  <c r="T414" i="17" a="1"/>
  <c r="T414" i="17"/>
  <c r="T415" i="17" a="1"/>
  <c r="T415" i="17" s="1"/>
  <c r="T469" i="17" a="1"/>
  <c r="T469" i="17" s="1"/>
  <c r="T533" i="17" a="1"/>
  <c r="T533" i="17" s="1"/>
  <c r="T534" i="17" a="1"/>
  <c r="T534" i="17" s="1"/>
  <c r="T535" i="17" a="1"/>
  <c r="T535" i="17" s="1"/>
  <c r="T589" i="17" a="1"/>
  <c r="T589" i="17" s="1"/>
  <c r="T653" i="17" a="1"/>
  <c r="T653" i="17" s="1"/>
  <c r="T654" i="17" a="1"/>
  <c r="T654" i="17"/>
  <c r="T655" i="17" a="1"/>
  <c r="T655" i="17" s="1"/>
  <c r="T709" i="17" a="1"/>
  <c r="T709" i="17" s="1"/>
  <c r="T739" i="17" a="1"/>
  <c r="T739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/>
  <c r="T115" i="17" a="1"/>
  <c r="T115" i="17" s="1"/>
  <c r="T236" i="17" a="1"/>
  <c r="T236" i="17" s="1"/>
  <c r="T237" i="17" a="1"/>
  <c r="T237" i="17" s="1"/>
  <c r="T238" i="17" a="1"/>
  <c r="T238" i="17" s="1"/>
  <c r="T290" i="17" a="1"/>
  <c r="T290" i="17" s="1"/>
  <c r="T320" i="17" a="1"/>
  <c r="T320" i="17" s="1"/>
  <c r="T350" i="17" a="1"/>
  <c r="T350" i="17" s="1"/>
  <c r="T416" i="17" a="1"/>
  <c r="T416" i="17" s="1"/>
  <c r="T417" i="17" a="1"/>
  <c r="T417" i="17" s="1"/>
  <c r="T418" i="17" a="1"/>
  <c r="T418" i="17" s="1"/>
  <c r="T470" i="17" a="1"/>
  <c r="T470" i="17" s="1"/>
  <c r="T536" i="17" a="1"/>
  <c r="T536" i="17" s="1"/>
  <c r="T537" i="17" a="1"/>
  <c r="T537" i="17" s="1"/>
  <c r="T538" i="17" a="1"/>
  <c r="T538" i="17" s="1"/>
  <c r="T590" i="17" a="1"/>
  <c r="T590" i="17" s="1"/>
  <c r="T656" i="17" a="1"/>
  <c r="T656" i="17"/>
  <c r="T657" i="17" a="1"/>
  <c r="T657" i="17" s="1"/>
  <c r="T658" i="17" a="1"/>
  <c r="T658" i="17" s="1"/>
  <c r="T710" i="17" a="1"/>
  <c r="T710" i="17" s="1"/>
  <c r="T740" i="17" a="1"/>
  <c r="T740" i="17" s="1"/>
  <c r="T116" i="17" a="1"/>
  <c r="T116" i="17" s="1"/>
  <c r="T117" i="17" a="1"/>
  <c r="T117" i="17" s="1"/>
  <c r="T118" i="17" a="1"/>
  <c r="T118" i="17" s="1"/>
  <c r="T119" i="17" a="1"/>
  <c r="T119" i="17"/>
  <c r="T120" i="17" a="1"/>
  <c r="T120" i="17" s="1"/>
  <c r="T121" i="17" a="1"/>
  <c r="T121" i="17" s="1"/>
  <c r="T239" i="17" a="1"/>
  <c r="T239" i="17" s="1"/>
  <c r="T240" i="17" a="1"/>
  <c r="T240" i="17" s="1"/>
  <c r="T241" i="17" a="1"/>
  <c r="T241" i="17" s="1"/>
  <c r="T291" i="17" a="1"/>
  <c r="T291" i="17" s="1"/>
  <c r="T321" i="17" a="1"/>
  <c r="T321" i="17" s="1"/>
  <c r="T351" i="17" a="1"/>
  <c r="T351" i="17"/>
  <c r="T419" i="17" a="1"/>
  <c r="T419" i="17" s="1"/>
  <c r="T420" i="17" a="1"/>
  <c r="T420" i="17" s="1"/>
  <c r="T421" i="17" a="1"/>
  <c r="T421" i="17" s="1"/>
  <c r="T471" i="17" a="1"/>
  <c r="T471" i="17" s="1"/>
  <c r="T539" i="17" a="1"/>
  <c r="T539" i="17" s="1"/>
  <c r="T540" i="17" a="1"/>
  <c r="T540" i="17" s="1"/>
  <c r="T541" i="17" a="1"/>
  <c r="T541" i="17" s="1"/>
  <c r="T591" i="17" a="1"/>
  <c r="T591" i="17" s="1"/>
  <c r="T659" i="17" a="1"/>
  <c r="T659" i="17" s="1"/>
  <c r="T660" i="17" a="1"/>
  <c r="T660" i="17" s="1"/>
  <c r="T661" i="17" a="1"/>
  <c r="T661" i="17" s="1"/>
  <c r="T711" i="17" a="1"/>
  <c r="T711" i="17" s="1"/>
  <c r="T741" i="17" a="1"/>
  <c r="T741" i="17" s="1"/>
  <c r="T122" i="17" a="1"/>
  <c r="T122" i="17" s="1"/>
  <c r="T123" i="17" a="1"/>
  <c r="T123" i="17" s="1"/>
  <c r="T124" i="17" a="1"/>
  <c r="T124" i="17"/>
  <c r="T125" i="17" a="1"/>
  <c r="T125" i="17" s="1"/>
  <c r="T126" i="17" a="1"/>
  <c r="T126" i="17" s="1"/>
  <c r="T127" i="17" a="1"/>
  <c r="T127" i="17" s="1"/>
  <c r="T242" i="17" a="1"/>
  <c r="T242" i="17" s="1"/>
  <c r="T243" i="17" a="1"/>
  <c r="T243" i="17" s="1"/>
  <c r="T244" i="17" a="1"/>
  <c r="T244" i="17" s="1"/>
  <c r="T292" i="17" a="1"/>
  <c r="T292" i="17" s="1"/>
  <c r="T322" i="17" a="1"/>
  <c r="T322" i="17"/>
  <c r="T352" i="17" a="1"/>
  <c r="T352" i="17" s="1"/>
  <c r="T422" i="17" a="1"/>
  <c r="T422" i="17" s="1"/>
  <c r="T423" i="17" a="1"/>
  <c r="T423" i="17" s="1"/>
  <c r="T424" i="17" a="1"/>
  <c r="T424" i="17" s="1"/>
  <c r="T472" i="17" a="1"/>
  <c r="T472" i="17" s="1"/>
  <c r="T542" i="17" a="1"/>
  <c r="T542" i="17" s="1"/>
  <c r="T543" i="17" a="1"/>
  <c r="T543" i="17" s="1"/>
  <c r="T544" i="17" a="1"/>
  <c r="T544" i="17"/>
  <c r="T592" i="17" a="1"/>
  <c r="T592" i="17" s="1"/>
  <c r="T662" i="17" a="1"/>
  <c r="T662" i="17" s="1"/>
  <c r="T663" i="17" a="1"/>
  <c r="T663" i="17" s="1"/>
  <c r="T664" i="17" a="1"/>
  <c r="T664" i="17" s="1"/>
  <c r="T712" i="17" a="1"/>
  <c r="T712" i="17" s="1"/>
  <c r="T742" i="17" a="1"/>
  <c r="T74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45" i="17" a="1"/>
  <c r="T245" i="17" s="1"/>
  <c r="T246" i="17" a="1"/>
  <c r="T246" i="17" s="1"/>
  <c r="T247" i="17" a="1"/>
  <c r="T247" i="17" s="1"/>
  <c r="T293" i="17" a="1"/>
  <c r="T293" i="17"/>
  <c r="T323" i="17" a="1"/>
  <c r="T323" i="17" s="1"/>
  <c r="T353" i="17" a="1"/>
  <c r="T353" i="17" s="1"/>
  <c r="T425" i="17" a="1"/>
  <c r="T425" i="17" s="1"/>
  <c r="T426" i="17" a="1"/>
  <c r="T426" i="17" s="1"/>
  <c r="T427" i="17" a="1"/>
  <c r="T427" i="17" s="1"/>
  <c r="T473" i="17" a="1"/>
  <c r="T473" i="17" s="1"/>
  <c r="T545" i="17" a="1"/>
  <c r="T545" i="17" s="1"/>
  <c r="T546" i="17" a="1"/>
  <c r="T546" i="17"/>
  <c r="T547" i="17" a="1"/>
  <c r="T547" i="17" s="1"/>
  <c r="T593" i="17" a="1"/>
  <c r="T593" i="17" s="1"/>
  <c r="T665" i="17" a="1"/>
  <c r="T665" i="17" s="1"/>
  <c r="T666" i="17" a="1"/>
  <c r="T666" i="17" s="1"/>
  <c r="T667" i="17" a="1"/>
  <c r="T667" i="17" s="1"/>
  <c r="T713" i="17" a="1"/>
  <c r="T713" i="17" s="1"/>
  <c r="T743" i="17" a="1"/>
  <c r="T743" i="17" s="1"/>
  <c r="T134" i="17" a="1"/>
  <c r="T134" i="17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48" i="17" a="1"/>
  <c r="T248" i="17" s="1"/>
  <c r="T249" i="17" a="1"/>
  <c r="T249" i="17" s="1"/>
  <c r="T250" i="17" a="1"/>
  <c r="T250" i="17" s="1"/>
  <c r="T294" i="17" a="1"/>
  <c r="T294" i="17" s="1"/>
  <c r="T324" i="17" a="1"/>
  <c r="T324" i="17" s="1"/>
  <c r="T354" i="17" a="1"/>
  <c r="T354" i="17" s="1"/>
  <c r="T428" i="17" a="1"/>
  <c r="T428" i="17" s="1"/>
  <c r="T429" i="17" a="1"/>
  <c r="T429" i="17" s="1"/>
  <c r="T430" i="17" a="1"/>
  <c r="T430" i="17" s="1"/>
  <c r="T474" i="17" a="1"/>
  <c r="T474" i="17" s="1"/>
  <c r="T548" i="17" a="1"/>
  <c r="T548" i="17"/>
  <c r="T549" i="17" a="1"/>
  <c r="T549" i="17" s="1"/>
  <c r="T550" i="17" a="1"/>
  <c r="T550" i="17" s="1"/>
  <c r="T594" i="17" a="1"/>
  <c r="T594" i="17" s="1"/>
  <c r="T668" i="17" a="1"/>
  <c r="T668" i="17" s="1"/>
  <c r="T669" i="17" a="1"/>
  <c r="T669" i="17" s="1"/>
  <c r="T670" i="17" a="1"/>
  <c r="T670" i="17" s="1"/>
  <c r="T714" i="17" a="1"/>
  <c r="T714" i="17" s="1"/>
  <c r="T744" i="17" a="1"/>
  <c r="T744" i="17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51" i="17" a="1"/>
  <c r="T251" i="17" s="1"/>
  <c r="T252" i="17" a="1"/>
  <c r="T252" i="17"/>
  <c r="T253" i="17" a="1"/>
  <c r="T253" i="17" s="1"/>
  <c r="T295" i="17" a="1"/>
  <c r="T295" i="17" s="1"/>
  <c r="T325" i="17" a="1"/>
  <c r="T325" i="17" s="1"/>
  <c r="T355" i="17" a="1"/>
  <c r="T355" i="17" s="1"/>
  <c r="T431" i="17" a="1"/>
  <c r="T431" i="17" s="1"/>
  <c r="T432" i="17" a="1"/>
  <c r="T432" i="17" s="1"/>
  <c r="T433" i="17" a="1"/>
  <c r="T433" i="17" s="1"/>
  <c r="T475" i="17" a="1"/>
  <c r="T475" i="17" s="1"/>
  <c r="T551" i="17" a="1"/>
  <c r="T551" i="17" s="1"/>
  <c r="T552" i="17" a="1"/>
  <c r="T552" i="17" s="1"/>
  <c r="T553" i="17" a="1"/>
  <c r="T553" i="17" s="1"/>
  <c r="T595" i="17" a="1"/>
  <c r="T595" i="17" s="1"/>
  <c r="T671" i="17" a="1"/>
  <c r="T671" i="17" s="1"/>
  <c r="T672" i="17" a="1"/>
  <c r="T672" i="17" s="1"/>
  <c r="T673" i="17" a="1"/>
  <c r="T673" i="17" s="1"/>
  <c r="T715" i="17" a="1"/>
  <c r="T715" i="17"/>
  <c r="T745" i="17" a="1"/>
  <c r="T74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254" i="17" a="1"/>
  <c r="T254" i="17"/>
  <c r="T255" i="17" a="1"/>
  <c r="T255" i="17" s="1"/>
  <c r="T256" i="17" a="1"/>
  <c r="T256" i="17" s="1"/>
  <c r="T296" i="17" a="1"/>
  <c r="T296" i="17" s="1"/>
  <c r="T326" i="17" a="1"/>
  <c r="T326" i="17" s="1"/>
  <c r="T356" i="17" a="1"/>
  <c r="T356" i="17" s="1"/>
  <c r="T434" i="17" a="1"/>
  <c r="T434" i="17" s="1"/>
  <c r="T435" i="17" a="1"/>
  <c r="T435" i="17" s="1"/>
  <c r="T436" i="17" a="1"/>
  <c r="T436" i="17"/>
  <c r="T476" i="17" a="1"/>
  <c r="T476" i="17" s="1"/>
  <c r="T554" i="17" a="1"/>
  <c r="T554" i="17" s="1"/>
  <c r="T555" i="17" a="1"/>
  <c r="T555" i="17" s="1"/>
  <c r="T556" i="17" a="1"/>
  <c r="T556" i="17" s="1"/>
  <c r="T596" i="17" a="1"/>
  <c r="T596" i="17" s="1"/>
  <c r="T674" i="17" a="1"/>
  <c r="T674" i="17" s="1"/>
  <c r="T675" i="17" a="1"/>
  <c r="T675" i="17" s="1"/>
  <c r="T676" i="17" a="1"/>
  <c r="T676" i="17" s="1"/>
  <c r="T716" i="17" a="1"/>
  <c r="T716" i="17" s="1"/>
  <c r="T746" i="17" a="1"/>
  <c r="T74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/>
  <c r="T257" i="17" a="1"/>
  <c r="T257" i="17" s="1"/>
  <c r="T258" i="17" a="1"/>
  <c r="T258" i="17" s="1"/>
  <c r="T259" i="17" a="1"/>
  <c r="T259" i="17" s="1"/>
  <c r="T297" i="17" a="1"/>
  <c r="T297" i="17" s="1"/>
  <c r="T327" i="17" a="1"/>
  <c r="T327" i="17" s="1"/>
  <c r="T357" i="17" a="1"/>
  <c r="T357" i="17" s="1"/>
  <c r="T437" i="17" a="1"/>
  <c r="T437" i="17" s="1"/>
  <c r="T438" i="17" a="1"/>
  <c r="T438" i="17"/>
  <c r="T439" i="17" a="1"/>
  <c r="T439" i="17" s="1"/>
  <c r="T477" i="17" a="1"/>
  <c r="T477" i="17" s="1"/>
  <c r="T557" i="17" a="1"/>
  <c r="T557" i="17" s="1"/>
  <c r="T558" i="17" a="1"/>
  <c r="T558" i="17" s="1"/>
  <c r="T559" i="17" a="1"/>
  <c r="T559" i="17" s="1"/>
  <c r="T597" i="17" a="1"/>
  <c r="T597" i="17" s="1"/>
  <c r="T677" i="17" a="1"/>
  <c r="T677" i="17" s="1"/>
  <c r="T678" i="17" a="1"/>
  <c r="T678" i="17"/>
  <c r="T679" i="17" a="1"/>
  <c r="T679" i="17" s="1"/>
  <c r="T717" i="17" a="1"/>
  <c r="T717" i="17" s="1"/>
  <c r="T747" i="17" a="1"/>
  <c r="T74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60" i="17" a="1"/>
  <c r="T260" i="17" s="1"/>
  <c r="T261" i="17" a="1"/>
  <c r="T261" i="17" s="1"/>
  <c r="T262" i="17" a="1"/>
  <c r="T262" i="17" s="1"/>
  <c r="T298" i="17" a="1"/>
  <c r="T298" i="17" s="1"/>
  <c r="T328" i="17" a="1"/>
  <c r="T328" i="17" s="1"/>
  <c r="T358" i="17" a="1"/>
  <c r="T358" i="17" s="1"/>
  <c r="T440" i="17" a="1"/>
  <c r="T440" i="17"/>
  <c r="T441" i="17" a="1"/>
  <c r="T441" i="17" s="1"/>
  <c r="T442" i="17" a="1"/>
  <c r="T442" i="17" s="1"/>
  <c r="T478" i="17" a="1"/>
  <c r="T478" i="17" s="1"/>
  <c r="T560" i="17" a="1"/>
  <c r="T560" i="17" s="1"/>
  <c r="T561" i="17" a="1"/>
  <c r="T561" i="17" s="1"/>
  <c r="T562" i="17" a="1"/>
  <c r="T562" i="17" s="1"/>
  <c r="T598" i="17" a="1"/>
  <c r="T598" i="17" s="1"/>
  <c r="T680" i="17" a="1"/>
  <c r="T680" i="17"/>
  <c r="T681" i="17" a="1"/>
  <c r="T681" i="17" s="1"/>
  <c r="T682" i="17" a="1"/>
  <c r="T682" i="17" s="1"/>
  <c r="T718" i="17" a="1"/>
  <c r="T718" i="17" s="1"/>
  <c r="T748" i="17" a="1"/>
  <c r="T748" i="17" s="1"/>
  <c r="T164" i="17" a="1"/>
  <c r="T164" i="17" s="1"/>
  <c r="T165" i="17" a="1"/>
  <c r="T165" i="17" s="1"/>
  <c r="T166" i="17" a="1"/>
  <c r="T166" i="17" s="1"/>
  <c r="T167" i="17" a="1"/>
  <c r="T167" i="17"/>
  <c r="T168" i="17" a="1"/>
  <c r="T168" i="17" s="1"/>
  <c r="T169" i="17" a="1"/>
  <c r="T169" i="17" s="1"/>
  <c r="T263" i="17" a="1"/>
  <c r="T263" i="17" s="1"/>
  <c r="T264" i="17" a="1"/>
  <c r="T264" i="17" s="1"/>
  <c r="T265" i="17" a="1"/>
  <c r="T265" i="17" s="1"/>
  <c r="T299" i="17" a="1"/>
  <c r="T299" i="17" s="1"/>
  <c r="T329" i="17" a="1"/>
  <c r="T329" i="17" s="1"/>
  <c r="T359" i="17" a="1"/>
  <c r="T359" i="17" s="1"/>
  <c r="T443" i="17" a="1"/>
  <c r="T443" i="17" s="1"/>
  <c r="T444" i="17" a="1"/>
  <c r="T444" i="17" s="1"/>
  <c r="T445" i="17" a="1"/>
  <c r="T445" i="17" s="1"/>
  <c r="T479" i="17" a="1"/>
  <c r="T479" i="17" s="1"/>
  <c r="T563" i="17" a="1"/>
  <c r="T563" i="17" s="1"/>
  <c r="T564" i="17" a="1"/>
  <c r="T564" i="17" s="1"/>
  <c r="T565" i="17" a="1"/>
  <c r="T565" i="17" s="1"/>
  <c r="T599" i="17" a="1"/>
  <c r="T599" i="17"/>
  <c r="T683" i="17" a="1"/>
  <c r="T683" i="17" s="1"/>
  <c r="T684" i="17" a="1"/>
  <c r="T684" i="17" s="1"/>
  <c r="T685" i="17" a="1"/>
  <c r="T685" i="17" s="1"/>
  <c r="T719" i="17" a="1"/>
  <c r="T719" i="17" s="1"/>
  <c r="T749" i="17" a="1"/>
  <c r="T749" i="17" s="1"/>
  <c r="T170" i="17" a="1"/>
  <c r="T170" i="17" s="1"/>
  <c r="T171" i="17" a="1"/>
  <c r="T171" i="17" s="1"/>
  <c r="T172" i="17" a="1"/>
  <c r="T172" i="17"/>
  <c r="T173" i="17" a="1"/>
  <c r="T173" i="17" s="1"/>
  <c r="T174" i="17" a="1"/>
  <c r="T174" i="17" s="1"/>
  <c r="T175" i="17" a="1"/>
  <c r="T175" i="17" s="1"/>
  <c r="T266" i="17" a="1"/>
  <c r="T266" i="17" s="1"/>
  <c r="T267" i="17" a="1"/>
  <c r="T267" i="17" s="1"/>
  <c r="T268" i="17" a="1"/>
  <c r="T268" i="17" s="1"/>
  <c r="T300" i="17" a="1"/>
  <c r="T300" i="17" s="1"/>
  <c r="T330" i="17" a="1"/>
  <c r="T330" i="17"/>
  <c r="T360" i="17" a="1"/>
  <c r="T360" i="17" s="1"/>
  <c r="T446" i="17" a="1"/>
  <c r="T446" i="17" s="1"/>
  <c r="T447" i="17" a="1"/>
  <c r="T447" i="17" s="1"/>
  <c r="T448" i="17" a="1"/>
  <c r="T448" i="17" s="1"/>
  <c r="T480" i="17" a="1"/>
  <c r="T480" i="17" s="1"/>
  <c r="T566" i="17" a="1"/>
  <c r="T566" i="17" s="1"/>
  <c r="T567" i="17" a="1"/>
  <c r="T567" i="17" s="1"/>
  <c r="T568" i="17" a="1"/>
  <c r="T568" i="17" s="1"/>
  <c r="T600" i="17" a="1"/>
  <c r="T600" i="17" s="1"/>
  <c r="T686" i="17" a="1"/>
  <c r="T686" i="17" s="1"/>
  <c r="T687" i="17" a="1"/>
  <c r="T687" i="17" s="1"/>
  <c r="T688" i="17" a="1"/>
  <c r="T688" i="17" s="1"/>
  <c r="T720" i="17" a="1"/>
  <c r="T720" i="17" s="1"/>
  <c r="T750" i="17" a="1"/>
  <c r="T750" i="17" s="1"/>
  <c r="T176" i="17" a="1"/>
  <c r="T176" i="17" s="1"/>
  <c r="T177" i="17" a="1"/>
  <c r="T177" i="17"/>
  <c r="T178" i="17" a="1"/>
  <c r="T178" i="17" s="1"/>
  <c r="T179" i="17" a="1"/>
  <c r="T179" i="17" s="1"/>
  <c r="T180" i="17" a="1"/>
  <c r="T180" i="17" s="1"/>
  <c r="T181" i="17" a="1"/>
  <c r="T181" i="17" s="1"/>
  <c r="T269" i="17" a="1"/>
  <c r="T269" i="17" s="1"/>
  <c r="T270" i="17" a="1"/>
  <c r="T270" i="17" s="1"/>
  <c r="T271" i="17" a="1"/>
  <c r="T271" i="17" s="1"/>
  <c r="T301" i="17" a="1"/>
  <c r="T301" i="17"/>
  <c r="T331" i="17" a="1"/>
  <c r="T331" i="17" s="1"/>
  <c r="T361" i="17" a="1"/>
  <c r="T361" i="17" s="1"/>
  <c r="T449" i="17" a="1"/>
  <c r="T449" i="17" s="1"/>
  <c r="T450" i="17" a="1"/>
  <c r="T450" i="17" s="1"/>
  <c r="T451" i="17" a="1"/>
  <c r="T451" i="17" s="1"/>
  <c r="T481" i="17" a="1"/>
  <c r="T481" i="17" s="1"/>
  <c r="T569" i="17" a="1"/>
  <c r="T569" i="17" s="1"/>
  <c r="T570" i="17" a="1"/>
  <c r="T570" i="17"/>
  <c r="T571" i="17" a="1"/>
  <c r="T571" i="17" s="1"/>
  <c r="T601" i="17" a="1"/>
  <c r="T601" i="17" s="1"/>
  <c r="T689" i="17" a="1"/>
  <c r="T689" i="17" s="1"/>
  <c r="T690" i="17" a="1"/>
  <c r="T690" i="17" s="1"/>
  <c r="T691" i="17" a="1"/>
  <c r="T691" i="17" s="1"/>
  <c r="T721" i="17" a="1"/>
  <c r="T721" i="17" s="1"/>
  <c r="T751" i="17" a="1"/>
  <c r="T75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182" i="17" a="1"/>
  <c r="U182" i="17" s="1"/>
  <c r="U183" i="17" a="1"/>
  <c r="U183" i="17" s="1"/>
  <c r="U184" i="17" a="1"/>
  <c r="U184" i="17"/>
  <c r="U272" i="17" a="1"/>
  <c r="U272" i="17" s="1"/>
  <c r="U302" i="17" a="1"/>
  <c r="U302" i="17" s="1"/>
  <c r="U332" i="17" a="1"/>
  <c r="U332" i="17" s="1"/>
  <c r="U362" i="17" a="1"/>
  <c r="U362" i="17" s="1"/>
  <c r="U363" i="17" a="1"/>
  <c r="U363" i="17" s="1"/>
  <c r="U364" i="17" a="1"/>
  <c r="U364" i="17" s="1"/>
  <c r="U452" i="17" a="1"/>
  <c r="U452" i="17" s="1"/>
  <c r="U482" i="17" a="1"/>
  <c r="U482" i="17"/>
  <c r="U483" i="17" a="1"/>
  <c r="U483" i="17" s="1"/>
  <c r="U484" i="17" a="1"/>
  <c r="U484" i="17" s="1"/>
  <c r="U572" i="17" a="1"/>
  <c r="U572" i="17" s="1"/>
  <c r="U602" i="17" a="1"/>
  <c r="U602" i="17" s="1"/>
  <c r="U603" i="17" a="1"/>
  <c r="U603" i="17" s="1"/>
  <c r="U604" i="17" a="1"/>
  <c r="U604" i="17" s="1"/>
  <c r="U692" i="17" a="1"/>
  <c r="U692" i="17" s="1"/>
  <c r="U722" i="17" a="1"/>
  <c r="U722" i="17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85" i="17" a="1"/>
  <c r="U185" i="17" s="1"/>
  <c r="U186" i="17" a="1"/>
  <c r="U186" i="17" s="1"/>
  <c r="U187" i="17" a="1"/>
  <c r="U187" i="17" s="1"/>
  <c r="U273" i="17" a="1"/>
  <c r="U273" i="17" s="1"/>
  <c r="U303" i="17" a="1"/>
  <c r="U303" i="17" s="1"/>
  <c r="U333" i="17" a="1"/>
  <c r="U333" i="17" s="1"/>
  <c r="U365" i="17" a="1"/>
  <c r="U365" i="17" s="1"/>
  <c r="U366" i="17" a="1"/>
  <c r="U366" i="17" s="1"/>
  <c r="U367" i="17" a="1"/>
  <c r="U367" i="17" s="1"/>
  <c r="U453" i="17" a="1"/>
  <c r="U453" i="17" s="1"/>
  <c r="U485" i="17" a="1"/>
  <c r="U485" i="17" s="1"/>
  <c r="U486" i="17" a="1"/>
  <c r="U486" i="17" s="1"/>
  <c r="U487" i="17" a="1"/>
  <c r="U487" i="17" s="1"/>
  <c r="U573" i="17" a="1"/>
  <c r="U573" i="17" s="1"/>
  <c r="U605" i="17" a="1"/>
  <c r="U605" i="17" s="1"/>
  <c r="U606" i="17" a="1"/>
  <c r="U606" i="17" s="1"/>
  <c r="U607" i="17" a="1"/>
  <c r="U607" i="17" s="1"/>
  <c r="U693" i="17" a="1"/>
  <c r="U693" i="17" s="1"/>
  <c r="U723" i="17" a="1"/>
  <c r="U723" i="17" s="1"/>
  <c r="U14" i="17" a="1"/>
  <c r="U14" i="17" s="1"/>
  <c r="U15" i="17" a="1"/>
  <c r="U15" i="17" s="1"/>
  <c r="U16" i="17" a="1"/>
  <c r="U16" i="17"/>
  <c r="U17" i="17" a="1"/>
  <c r="U17" i="17" s="1"/>
  <c r="U18" i="17" a="1"/>
  <c r="U18" i="17" s="1"/>
  <c r="U19" i="17" a="1"/>
  <c r="U19" i="17" s="1"/>
  <c r="U188" i="17" a="1"/>
  <c r="U188" i="17" s="1"/>
  <c r="U189" i="17" a="1"/>
  <c r="U189" i="17" s="1"/>
  <c r="U190" i="17" a="1"/>
  <c r="U190" i="17" s="1"/>
  <c r="U274" i="17" a="1"/>
  <c r="U274" i="17" s="1"/>
  <c r="U304" i="17" a="1"/>
  <c r="U304" i="17" s="1"/>
  <c r="U334" i="17" a="1"/>
  <c r="U334" i="17" s="1"/>
  <c r="U368" i="17" a="1"/>
  <c r="U368" i="17" s="1"/>
  <c r="U369" i="17" a="1"/>
  <c r="U369" i="17" s="1"/>
  <c r="U370" i="17" a="1"/>
  <c r="U370" i="17" s="1"/>
  <c r="U454" i="17" a="1"/>
  <c r="U454" i="17" s="1"/>
  <c r="U488" i="17" a="1"/>
  <c r="U488" i="17" s="1"/>
  <c r="U489" i="17" a="1"/>
  <c r="U489" i="17" s="1"/>
  <c r="U490" i="17" a="1"/>
  <c r="U490" i="17"/>
  <c r="U574" i="17" a="1"/>
  <c r="U574" i="17" s="1"/>
  <c r="U608" i="17" a="1"/>
  <c r="U608" i="17" s="1"/>
  <c r="U609" i="17" a="1"/>
  <c r="U609" i="17" s="1"/>
  <c r="U610" i="17" a="1"/>
  <c r="U610" i="17" s="1"/>
  <c r="U694" i="17" a="1"/>
  <c r="U694" i="17" s="1"/>
  <c r="U724" i="17" a="1"/>
  <c r="U72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191" i="17" a="1"/>
  <c r="U191" i="17" s="1"/>
  <c r="U192" i="17" a="1"/>
  <c r="U192" i="17" s="1"/>
  <c r="U193" i="17" a="1"/>
  <c r="U193" i="17" s="1"/>
  <c r="U275" i="17" a="1"/>
  <c r="U275" i="17"/>
  <c r="U305" i="17" a="1"/>
  <c r="U305" i="17" s="1"/>
  <c r="U335" i="17" a="1"/>
  <c r="U335" i="17" s="1"/>
  <c r="U371" i="17" a="1"/>
  <c r="U371" i="17" s="1"/>
  <c r="U372" i="17" a="1"/>
  <c r="U372" i="17" s="1"/>
  <c r="U373" i="17" a="1"/>
  <c r="U373" i="17" s="1"/>
  <c r="U455" i="17" a="1"/>
  <c r="U455" i="17" s="1"/>
  <c r="U491" i="17" a="1"/>
  <c r="U491" i="17" s="1"/>
  <c r="U492" i="17" a="1"/>
  <c r="U492" i="17" s="1"/>
  <c r="U493" i="17" a="1"/>
  <c r="U493" i="17" s="1"/>
  <c r="U575" i="17" a="1"/>
  <c r="U575" i="17" s="1"/>
  <c r="U611" i="17" a="1"/>
  <c r="U611" i="17" s="1"/>
  <c r="U612" i="17" a="1"/>
  <c r="U612" i="17" s="1"/>
  <c r="U613" i="17" a="1"/>
  <c r="U613" i="17" s="1"/>
  <c r="U695" i="17" a="1"/>
  <c r="U695" i="17" s="1"/>
  <c r="U725" i="17" a="1"/>
  <c r="U725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194" i="17" a="1"/>
  <c r="U194" i="17" s="1"/>
  <c r="U195" i="17" a="1"/>
  <c r="U195" i="17" s="1"/>
  <c r="U196" i="17" a="1"/>
  <c r="U196" i="17" s="1"/>
  <c r="U276" i="17" a="1"/>
  <c r="U276" i="17" s="1"/>
  <c r="U306" i="17" a="1"/>
  <c r="U306" i="17" s="1"/>
  <c r="U336" i="17" a="1"/>
  <c r="U336" i="17" s="1"/>
  <c r="U374" i="17" a="1"/>
  <c r="U374" i="17" s="1"/>
  <c r="U375" i="17" a="1"/>
  <c r="U375" i="17" s="1"/>
  <c r="U376" i="17" a="1"/>
  <c r="U376" i="17" s="1"/>
  <c r="U456" i="17" a="1"/>
  <c r="U456" i="17" s="1"/>
  <c r="U494" i="17" a="1"/>
  <c r="U494" i="17"/>
  <c r="U495" i="17" a="1"/>
  <c r="U495" i="17" s="1"/>
  <c r="U496" i="17" a="1"/>
  <c r="U496" i="17" s="1"/>
  <c r="U576" i="17" a="1"/>
  <c r="U576" i="17" s="1"/>
  <c r="U614" i="17" a="1"/>
  <c r="U614" i="17" s="1"/>
  <c r="U615" i="17" a="1"/>
  <c r="U615" i="17" s="1"/>
  <c r="U616" i="17" a="1"/>
  <c r="U616" i="17" s="1"/>
  <c r="U696" i="17" a="1"/>
  <c r="U696" i="17" s="1"/>
  <c r="U726" i="17" a="1"/>
  <c r="U72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197" i="17" a="1"/>
  <c r="U197" i="17" s="1"/>
  <c r="U198" i="17" a="1"/>
  <c r="U198" i="17" s="1"/>
  <c r="U199" i="17" a="1"/>
  <c r="U199" i="17" s="1"/>
  <c r="U277" i="17" a="1"/>
  <c r="U277" i="17" s="1"/>
  <c r="U307" i="17" a="1"/>
  <c r="U307" i="17" s="1"/>
  <c r="U337" i="17" a="1"/>
  <c r="U337" i="17" s="1"/>
  <c r="U377" i="17" a="1"/>
  <c r="U377" i="17" s="1"/>
  <c r="U378" i="17" a="1"/>
  <c r="U378" i="17" s="1"/>
  <c r="U379" i="17" a="1"/>
  <c r="U379" i="17" s="1"/>
  <c r="U457" i="17" a="1"/>
  <c r="U457" i="17" s="1"/>
  <c r="U497" i="17" a="1"/>
  <c r="U497" i="17" s="1"/>
  <c r="U498" i="17" a="1"/>
  <c r="U498" i="17" s="1"/>
  <c r="U499" i="17" a="1"/>
  <c r="U499" i="17" s="1"/>
  <c r="U577" i="17" a="1"/>
  <c r="U577" i="17" s="1"/>
  <c r="U617" i="17" a="1"/>
  <c r="U617" i="17" s="1"/>
  <c r="U618" i="17" a="1"/>
  <c r="U618" i="17" s="1"/>
  <c r="U619" i="17" a="1"/>
  <c r="U619" i="17" s="1"/>
  <c r="U697" i="17" a="1"/>
  <c r="U697" i="17"/>
  <c r="U727" i="17" a="1"/>
  <c r="U72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200" i="17" a="1"/>
  <c r="U200" i="17" s="1"/>
  <c r="U201" i="17" a="1"/>
  <c r="U201" i="17" s="1"/>
  <c r="U202" i="17" a="1"/>
  <c r="U202" i="17" s="1"/>
  <c r="U278" i="17" a="1"/>
  <c r="U278" i="17" s="1"/>
  <c r="U308" i="17" a="1"/>
  <c r="U308" i="17" s="1"/>
  <c r="U338" i="17" a="1"/>
  <c r="U338" i="17" s="1"/>
  <c r="U380" i="17" a="1"/>
  <c r="U380" i="17" s="1"/>
  <c r="U381" i="17" a="1"/>
  <c r="U381" i="17" s="1"/>
  <c r="U382" i="17" a="1"/>
  <c r="U382" i="17" s="1"/>
  <c r="U458" i="17" a="1"/>
  <c r="U458" i="17" s="1"/>
  <c r="U500" i="17" a="1"/>
  <c r="U500" i="17" s="1"/>
  <c r="U501" i="17" a="1"/>
  <c r="U501" i="17" s="1"/>
  <c r="U502" i="17" a="1"/>
  <c r="U502" i="17" s="1"/>
  <c r="U578" i="17" a="1"/>
  <c r="U578" i="17" s="1"/>
  <c r="U620" i="17" a="1"/>
  <c r="U620" i="17" s="1"/>
  <c r="U621" i="17" a="1"/>
  <c r="U621" i="17" s="1"/>
  <c r="U622" i="17" a="1"/>
  <c r="U622" i="17" s="1"/>
  <c r="U698" i="17" a="1"/>
  <c r="U698" i="17" s="1"/>
  <c r="U728" i="17" a="1"/>
  <c r="U728" i="17" s="1"/>
  <c r="U44" i="17" a="1"/>
  <c r="U44" i="17" s="1"/>
  <c r="U45" i="17" a="1"/>
  <c r="U45" i="17" s="1"/>
  <c r="U46" i="17" a="1"/>
  <c r="U46" i="17" s="1"/>
  <c r="U47" i="17" a="1"/>
  <c r="U47" i="17"/>
  <c r="U48" i="17" a="1"/>
  <c r="U48" i="17" s="1"/>
  <c r="U49" i="17" a="1"/>
  <c r="U49" i="17" s="1"/>
  <c r="U203" i="17" a="1"/>
  <c r="U203" i="17" s="1"/>
  <c r="U204" i="17" a="1"/>
  <c r="U204" i="17" s="1"/>
  <c r="U205" i="17" a="1"/>
  <c r="U205" i="17" s="1"/>
  <c r="U279" i="17" a="1"/>
  <c r="U279" i="17" s="1"/>
  <c r="U309" i="17" a="1"/>
  <c r="U309" i="17" s="1"/>
  <c r="U339" i="17" a="1"/>
  <c r="U339" i="17" s="1"/>
  <c r="U383" i="17" a="1"/>
  <c r="U383" i="17" s="1"/>
  <c r="U384" i="17" a="1"/>
  <c r="U384" i="17" s="1"/>
  <c r="U385" i="17" a="1"/>
  <c r="U385" i="17" s="1"/>
  <c r="U459" i="17" a="1"/>
  <c r="U459" i="17" s="1"/>
  <c r="U503" i="17" a="1"/>
  <c r="U503" i="17" s="1"/>
  <c r="U504" i="17" a="1"/>
  <c r="U504" i="17" s="1"/>
  <c r="U505" i="17" a="1"/>
  <c r="U505" i="17" s="1"/>
  <c r="U579" i="17" a="1"/>
  <c r="U579" i="17"/>
  <c r="U623" i="17" a="1"/>
  <c r="U623" i="17" s="1"/>
  <c r="U624" i="17" a="1"/>
  <c r="U624" i="17" s="1"/>
  <c r="U625" i="17" a="1"/>
  <c r="U625" i="17" s="1"/>
  <c r="U699" i="17" a="1"/>
  <c r="U699" i="17" s="1"/>
  <c r="U729" i="17" a="1"/>
  <c r="U729" i="17" s="1"/>
  <c r="U50" i="17" a="1"/>
  <c r="U50" i="17" s="1"/>
  <c r="U51" i="17" a="1"/>
  <c r="U51" i="17" s="1"/>
  <c r="U52" i="17" a="1"/>
  <c r="U52" i="17"/>
  <c r="U53" i="17" a="1"/>
  <c r="U53" i="17" s="1"/>
  <c r="U54" i="17" a="1"/>
  <c r="U54" i="17" s="1"/>
  <c r="U55" i="17" a="1"/>
  <c r="U55" i="17" s="1"/>
  <c r="U206" i="17" a="1"/>
  <c r="U206" i="17" s="1"/>
  <c r="U207" i="17" a="1"/>
  <c r="U207" i="17" s="1"/>
  <c r="U208" i="17" a="1"/>
  <c r="U208" i="17" s="1"/>
  <c r="U280" i="17" a="1"/>
  <c r="U280" i="17" s="1"/>
  <c r="U310" i="17" a="1"/>
  <c r="U310" i="17" s="1"/>
  <c r="U340" i="17" a="1"/>
  <c r="U340" i="17" s="1"/>
  <c r="U386" i="17" a="1"/>
  <c r="U386" i="17" s="1"/>
  <c r="U387" i="17" a="1"/>
  <c r="U387" i="17" s="1"/>
  <c r="U388" i="17" a="1"/>
  <c r="U388" i="17" s="1"/>
  <c r="U460" i="17" a="1"/>
  <c r="U460" i="17" s="1"/>
  <c r="U506" i="17" a="1"/>
  <c r="U506" i="17" s="1"/>
  <c r="U507" i="17" a="1"/>
  <c r="U507" i="17" s="1"/>
  <c r="U508" i="17" a="1"/>
  <c r="U508" i="17" s="1"/>
  <c r="U580" i="17" a="1"/>
  <c r="U580" i="17" s="1"/>
  <c r="U626" i="17" a="1"/>
  <c r="U626" i="17"/>
  <c r="U627" i="17" a="1"/>
  <c r="U627" i="17" s="1"/>
  <c r="U628" i="17" a="1"/>
  <c r="U628" i="17" s="1"/>
  <c r="U700" i="17" a="1"/>
  <c r="U700" i="17" s="1"/>
  <c r="U730" i="17" a="1"/>
  <c r="U73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209" i="17" a="1"/>
  <c r="U209" i="17" s="1"/>
  <c r="U210" i="17" a="1"/>
  <c r="U210" i="17" s="1"/>
  <c r="U211" i="17" a="1"/>
  <c r="U211" i="17" s="1"/>
  <c r="U281" i="17" a="1"/>
  <c r="U281" i="17" s="1"/>
  <c r="U311" i="17" a="1"/>
  <c r="U311" i="17" s="1"/>
  <c r="U341" i="17" a="1"/>
  <c r="U341" i="17" s="1"/>
  <c r="U389" i="17" a="1"/>
  <c r="U389" i="17" s="1"/>
  <c r="U390" i="17" a="1"/>
  <c r="U390" i="17" s="1"/>
  <c r="U391" i="17" a="1"/>
  <c r="U391" i="17" s="1"/>
  <c r="U461" i="17" a="1"/>
  <c r="U461" i="17" s="1"/>
  <c r="U509" i="17" a="1"/>
  <c r="U509" i="17" s="1"/>
  <c r="U510" i="17" a="1"/>
  <c r="U510" i="17" s="1"/>
  <c r="U511" i="17" a="1"/>
  <c r="U511" i="17" s="1"/>
  <c r="U581" i="17" a="1"/>
  <c r="U581" i="17" s="1"/>
  <c r="U629" i="17" a="1"/>
  <c r="U629" i="17" s="1"/>
  <c r="U630" i="17" a="1"/>
  <c r="U630" i="17" s="1"/>
  <c r="U631" i="17" a="1"/>
  <c r="U631" i="17" s="1"/>
  <c r="U701" i="17" a="1"/>
  <c r="U701" i="17" s="1"/>
  <c r="U731" i="17" a="1"/>
  <c r="U73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212" i="17" a="1"/>
  <c r="U212" i="17" s="1"/>
  <c r="U213" i="17" a="1"/>
  <c r="U213" i="17" s="1"/>
  <c r="U214" i="17" a="1"/>
  <c r="U214" i="17" s="1"/>
  <c r="U282" i="17" a="1"/>
  <c r="U282" i="17" s="1"/>
  <c r="U312" i="17" a="1"/>
  <c r="U312" i="17" s="1"/>
  <c r="U342" i="17" a="1"/>
  <c r="U342" i="17" s="1"/>
  <c r="U392" i="17" a="1"/>
  <c r="U392" i="17" s="1"/>
  <c r="U393" i="17" a="1"/>
  <c r="U393" i="17" s="1"/>
  <c r="U394" i="17" a="1"/>
  <c r="U394" i="17" s="1"/>
  <c r="U462" i="17" a="1"/>
  <c r="U462" i="17" s="1"/>
  <c r="U512" i="17" a="1"/>
  <c r="U512" i="17" s="1"/>
  <c r="U513" i="17" a="1"/>
  <c r="U513" i="17" s="1"/>
  <c r="U514" i="17" a="1"/>
  <c r="U514" i="17"/>
  <c r="U582" i="17" a="1"/>
  <c r="U582" i="17" s="1"/>
  <c r="U632" i="17" a="1"/>
  <c r="U632" i="17" s="1"/>
  <c r="U633" i="17" a="1"/>
  <c r="U633" i="17" s="1"/>
  <c r="U634" i="17" a="1"/>
  <c r="U634" i="17" s="1"/>
  <c r="U702" i="17" a="1"/>
  <c r="U702" i="17" s="1"/>
  <c r="U732" i="17" a="1"/>
  <c r="U73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215" i="17" a="1"/>
  <c r="U215" i="17" s="1"/>
  <c r="U216" i="17" a="1"/>
  <c r="U216" i="17" s="1"/>
  <c r="U217" i="17" a="1"/>
  <c r="U217" i="17" s="1"/>
  <c r="U283" i="17" a="1"/>
  <c r="U283" i="17"/>
  <c r="U313" i="17" a="1"/>
  <c r="U313" i="17" s="1"/>
  <c r="U343" i="17" a="1"/>
  <c r="U343" i="17" s="1"/>
  <c r="U395" i="17" a="1"/>
  <c r="U395" i="17" s="1"/>
  <c r="U396" i="17" a="1"/>
  <c r="U396" i="17" s="1"/>
  <c r="U397" i="17" a="1"/>
  <c r="U397" i="17" s="1"/>
  <c r="U463" i="17" a="1"/>
  <c r="U463" i="17" s="1"/>
  <c r="U515" i="17" a="1"/>
  <c r="U515" i="17" s="1"/>
  <c r="U516" i="17" a="1"/>
  <c r="U516" i="17" s="1"/>
  <c r="U517" i="17" a="1"/>
  <c r="U517" i="17" s="1"/>
  <c r="U583" i="17" a="1"/>
  <c r="U583" i="17" s="1"/>
  <c r="U635" i="17" a="1"/>
  <c r="U635" i="17" s="1"/>
  <c r="U636" i="17" a="1"/>
  <c r="U636" i="17" s="1"/>
  <c r="U637" i="17" a="1"/>
  <c r="U637" i="17" s="1"/>
  <c r="U703" i="17" a="1"/>
  <c r="U703" i="17" s="1"/>
  <c r="U733" i="17" a="1"/>
  <c r="U733" i="17" s="1"/>
  <c r="U74" i="17" a="1"/>
  <c r="U74" i="17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218" i="17" a="1"/>
  <c r="U218" i="17" s="1"/>
  <c r="U219" i="17" a="1"/>
  <c r="U219" i="17" s="1"/>
  <c r="U220" i="17" a="1"/>
  <c r="U220" i="17" s="1"/>
  <c r="U284" i="17" a="1"/>
  <c r="U284" i="17" s="1"/>
  <c r="U314" i="17" a="1"/>
  <c r="U314" i="17" s="1"/>
  <c r="U344" i="17" a="1"/>
  <c r="U344" i="17" s="1"/>
  <c r="U398" i="17" a="1"/>
  <c r="U398" i="17" s="1"/>
  <c r="U399" i="17" a="1"/>
  <c r="U399" i="17" s="1"/>
  <c r="U400" i="17" a="1"/>
  <c r="U400" i="17" s="1"/>
  <c r="U464" i="17" a="1"/>
  <c r="U464" i="17" s="1"/>
  <c r="U518" i="17" a="1"/>
  <c r="U518" i="17" s="1"/>
  <c r="U519" i="17" a="1"/>
  <c r="U519" i="17" s="1"/>
  <c r="U520" i="17" a="1"/>
  <c r="U520" i="17" s="1"/>
  <c r="U584" i="17" a="1"/>
  <c r="U584" i="17" s="1"/>
  <c r="U638" i="17" a="1"/>
  <c r="U638" i="17" s="1"/>
  <c r="U639" i="17" a="1"/>
  <c r="U639" i="17" s="1"/>
  <c r="U640" i="17" a="1"/>
  <c r="U640" i="17" s="1"/>
  <c r="U704" i="17" a="1"/>
  <c r="U704" i="17" s="1"/>
  <c r="U734" i="17" a="1"/>
  <c r="U73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221" i="17" a="1"/>
  <c r="U221" i="17" s="1"/>
  <c r="U222" i="17" a="1"/>
  <c r="U222" i="17"/>
  <c r="U223" i="17" a="1"/>
  <c r="U223" i="17" s="1"/>
  <c r="U285" i="17" a="1"/>
  <c r="U285" i="17" s="1"/>
  <c r="U315" i="17" a="1"/>
  <c r="U315" i="17" s="1"/>
  <c r="U345" i="17" a="1"/>
  <c r="U345" i="17" s="1"/>
  <c r="U401" i="17" a="1"/>
  <c r="U401" i="17" s="1"/>
  <c r="U402" i="17" a="1"/>
  <c r="U402" i="17" s="1"/>
  <c r="U403" i="17" a="1"/>
  <c r="U403" i="17" s="1"/>
  <c r="U465" i="17" a="1"/>
  <c r="U465" i="17" s="1"/>
  <c r="U521" i="17" a="1"/>
  <c r="U521" i="17" s="1"/>
  <c r="U522" i="17" a="1"/>
  <c r="U522" i="17" s="1"/>
  <c r="U523" i="17" a="1"/>
  <c r="U523" i="17" s="1"/>
  <c r="U585" i="17" a="1"/>
  <c r="U585" i="17" s="1"/>
  <c r="U641" i="17" a="1"/>
  <c r="U641" i="17" s="1"/>
  <c r="U642" i="17" a="1"/>
  <c r="U642" i="17" s="1"/>
  <c r="U643" i="17" a="1"/>
  <c r="U643" i="17" s="1"/>
  <c r="U705" i="17" a="1"/>
  <c r="U705" i="17"/>
  <c r="U735" i="17" a="1"/>
  <c r="U73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224" i="17" a="1"/>
  <c r="U224" i="17" s="1"/>
  <c r="U225" i="17" a="1"/>
  <c r="U225" i="17" s="1"/>
  <c r="U226" i="17" a="1"/>
  <c r="U226" i="17" s="1"/>
  <c r="U286" i="17" a="1"/>
  <c r="U286" i="17" s="1"/>
  <c r="U316" i="17" a="1"/>
  <c r="U316" i="17" s="1"/>
  <c r="U346" i="17" a="1"/>
  <c r="U346" i="17" s="1"/>
  <c r="U404" i="17" a="1"/>
  <c r="U404" i="17" s="1"/>
  <c r="U405" i="17" a="1"/>
  <c r="U405" i="17" s="1"/>
  <c r="U406" i="17" a="1"/>
  <c r="U406" i="17"/>
  <c r="U466" i="17" a="1"/>
  <c r="U466" i="17" s="1"/>
  <c r="U524" i="17" a="1"/>
  <c r="U524" i="17" s="1"/>
  <c r="U525" i="17" a="1"/>
  <c r="U525" i="17" s="1"/>
  <c r="U526" i="17" a="1"/>
  <c r="U526" i="17" s="1"/>
  <c r="U586" i="17" a="1"/>
  <c r="U586" i="17" s="1"/>
  <c r="U644" i="17" a="1"/>
  <c r="U644" i="17" s="1"/>
  <c r="U645" i="17" a="1"/>
  <c r="U645" i="17" s="1"/>
  <c r="U646" i="17" a="1"/>
  <c r="U646" i="17" s="1"/>
  <c r="U706" i="17" a="1"/>
  <c r="U706" i="17" s="1"/>
  <c r="U736" i="17" a="1"/>
  <c r="U736" i="17" s="1"/>
  <c r="U92" i="17" a="1"/>
  <c r="U92" i="17" s="1"/>
  <c r="U93" i="17" a="1"/>
  <c r="U93" i="17" s="1"/>
  <c r="U94" i="17" a="1"/>
  <c r="U94" i="17" s="1"/>
  <c r="U95" i="17" a="1"/>
  <c r="U95" i="17"/>
  <c r="U96" i="17" a="1"/>
  <c r="U96" i="17" s="1"/>
  <c r="U97" i="17" a="1"/>
  <c r="U97" i="17" s="1"/>
  <c r="U227" i="17" a="1"/>
  <c r="U227" i="17" s="1"/>
  <c r="U228" i="17" a="1"/>
  <c r="U228" i="17" s="1"/>
  <c r="U229" i="17" a="1"/>
  <c r="U229" i="17" s="1"/>
  <c r="U287" i="17" a="1"/>
  <c r="U287" i="17" s="1"/>
  <c r="U317" i="17" a="1"/>
  <c r="U317" i="17" s="1"/>
  <c r="U347" i="17" a="1"/>
  <c r="U347" i="17"/>
  <c r="U407" i="17" a="1"/>
  <c r="U407" i="17" s="1"/>
  <c r="U408" i="17" a="1"/>
  <c r="U408" i="17" s="1"/>
  <c r="U409" i="17" a="1"/>
  <c r="U409" i="17" s="1"/>
  <c r="U467" i="17" a="1"/>
  <c r="U467" i="17" s="1"/>
  <c r="U527" i="17" a="1"/>
  <c r="U527" i="17" s="1"/>
  <c r="U528" i="17" a="1"/>
  <c r="U528" i="17" s="1"/>
  <c r="U529" i="17" a="1"/>
  <c r="U529" i="17" s="1"/>
  <c r="U587" i="17" a="1"/>
  <c r="U587" i="17" s="1"/>
  <c r="U647" i="17" a="1"/>
  <c r="U647" i="17" s="1"/>
  <c r="U648" i="17" a="1"/>
  <c r="U648" i="17" s="1"/>
  <c r="U649" i="17" a="1"/>
  <c r="U649" i="17" s="1"/>
  <c r="U707" i="17" a="1"/>
  <c r="U707" i="17" s="1"/>
  <c r="U737" i="17" a="1"/>
  <c r="U737" i="17" s="1"/>
  <c r="U98" i="17" a="1"/>
  <c r="U98" i="17" s="1"/>
  <c r="U99" i="17" a="1"/>
  <c r="U99" i="17" s="1"/>
  <c r="U100" i="17" a="1"/>
  <c r="U100" i="17"/>
  <c r="U101" i="17" a="1"/>
  <c r="U101" i="17" s="1"/>
  <c r="U102" i="17" a="1"/>
  <c r="U102" i="17" s="1"/>
  <c r="U103" i="17" a="1"/>
  <c r="U103" i="17" s="1"/>
  <c r="U230" i="17" a="1"/>
  <c r="U230" i="17" s="1"/>
  <c r="U231" i="17" a="1"/>
  <c r="U231" i="17" s="1"/>
  <c r="U232" i="17" a="1"/>
  <c r="U232" i="17" s="1"/>
  <c r="U288" i="17" a="1"/>
  <c r="U288" i="17" s="1"/>
  <c r="U318" i="17" a="1"/>
  <c r="U318" i="17"/>
  <c r="U348" i="17" a="1"/>
  <c r="U348" i="17" s="1"/>
  <c r="U410" i="17" a="1"/>
  <c r="U410" i="17" s="1"/>
  <c r="U411" i="17" a="1"/>
  <c r="U411" i="17" s="1"/>
  <c r="U412" i="17" a="1"/>
  <c r="U412" i="17" s="1"/>
  <c r="U468" i="17" a="1"/>
  <c r="U468" i="17" s="1"/>
  <c r="U530" i="17" a="1"/>
  <c r="U530" i="17" s="1"/>
  <c r="U531" i="17" a="1"/>
  <c r="U531" i="17" s="1"/>
  <c r="U532" i="17" a="1"/>
  <c r="U532" i="17"/>
  <c r="U588" i="17" a="1"/>
  <c r="U588" i="17" s="1"/>
  <c r="U650" i="17" a="1"/>
  <c r="U650" i="17" s="1"/>
  <c r="U651" i="17" a="1"/>
  <c r="U651" i="17" s="1"/>
  <c r="U652" i="17" a="1"/>
  <c r="U652" i="17" s="1"/>
  <c r="U708" i="17" a="1"/>
  <c r="U708" i="17" s="1"/>
  <c r="U738" i="17" a="1"/>
  <c r="U73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233" i="17" a="1"/>
  <c r="U233" i="17" s="1"/>
  <c r="U234" i="17" a="1"/>
  <c r="U234" i="17" s="1"/>
  <c r="U235" i="17" a="1"/>
  <c r="U235" i="17" s="1"/>
  <c r="U289" i="17" a="1"/>
  <c r="U289" i="17"/>
  <c r="U319" i="17" a="1"/>
  <c r="U319" i="17" s="1"/>
  <c r="U349" i="17" a="1"/>
  <c r="U349" i="17" s="1"/>
  <c r="U413" i="17" a="1"/>
  <c r="U413" i="17" s="1"/>
  <c r="U414" i="17" a="1"/>
  <c r="U414" i="17" s="1"/>
  <c r="U415" i="17" a="1"/>
  <c r="U415" i="17" s="1"/>
  <c r="U469" i="17" a="1"/>
  <c r="U469" i="17" s="1"/>
  <c r="U533" i="17" a="1"/>
  <c r="U533" i="17" s="1"/>
  <c r="U534" i="17" a="1"/>
  <c r="U534" i="17"/>
  <c r="U535" i="17" a="1"/>
  <c r="U535" i="17" s="1"/>
  <c r="U589" i="17" a="1"/>
  <c r="U589" i="17" s="1"/>
  <c r="U653" i="17" a="1"/>
  <c r="U653" i="17" s="1"/>
  <c r="U654" i="17" a="1"/>
  <c r="U654" i="17" s="1"/>
  <c r="U655" i="17" a="1"/>
  <c r="U655" i="17" s="1"/>
  <c r="U709" i="17" a="1"/>
  <c r="U709" i="17" s="1"/>
  <c r="U739" i="17" a="1"/>
  <c r="U739" i="17" s="1"/>
  <c r="U110" i="17" a="1"/>
  <c r="U110" i="17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236" i="17" a="1"/>
  <c r="U236" i="17" s="1"/>
  <c r="U237" i="17" a="1"/>
  <c r="U237" i="17" s="1"/>
  <c r="U238" i="17" a="1"/>
  <c r="U238" i="17" s="1"/>
  <c r="U290" i="17" a="1"/>
  <c r="U290" i="17" s="1"/>
  <c r="U320" i="17" a="1"/>
  <c r="U320" i="17" s="1"/>
  <c r="U350" i="17" a="1"/>
  <c r="U350" i="17" s="1"/>
  <c r="U416" i="17" a="1"/>
  <c r="U416" i="17" s="1"/>
  <c r="U417" i="17" a="1"/>
  <c r="U417" i="17" s="1"/>
  <c r="U418" i="17" a="1"/>
  <c r="U418" i="17" s="1"/>
  <c r="U470" i="17" a="1"/>
  <c r="U470" i="17" s="1"/>
  <c r="U536" i="17" a="1"/>
  <c r="U536" i="17"/>
  <c r="U537" i="17" a="1"/>
  <c r="U537" i="17" s="1"/>
  <c r="U538" i="17" a="1"/>
  <c r="U538" i="17" s="1"/>
  <c r="U590" i="17" a="1"/>
  <c r="U590" i="17" s="1"/>
  <c r="U656" i="17" a="1"/>
  <c r="U656" i="17" s="1"/>
  <c r="U657" i="17" a="1"/>
  <c r="U657" i="17" s="1"/>
  <c r="U658" i="17" a="1"/>
  <c r="U658" i="17" s="1"/>
  <c r="U710" i="17" a="1"/>
  <c r="U710" i="17" s="1"/>
  <c r="U740" i="17" a="1"/>
  <c r="U740" i="17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239" i="17" a="1"/>
  <c r="U239" i="17" s="1"/>
  <c r="U240" i="17" a="1"/>
  <c r="U240" i="17" s="1"/>
  <c r="U241" i="17" a="1"/>
  <c r="U241" i="17" s="1"/>
  <c r="U291" i="17" a="1"/>
  <c r="U291" i="17" s="1"/>
  <c r="U321" i="17" a="1"/>
  <c r="U321" i="17" s="1"/>
  <c r="U351" i="17" a="1"/>
  <c r="U351" i="17" s="1"/>
  <c r="U419" i="17" a="1"/>
  <c r="U419" i="17" s="1"/>
  <c r="U420" i="17" a="1"/>
  <c r="U420" i="17" s="1"/>
  <c r="U421" i="17" a="1"/>
  <c r="U421" i="17" s="1"/>
  <c r="U471" i="17" a="1"/>
  <c r="U471" i="17" s="1"/>
  <c r="U539" i="17" a="1"/>
  <c r="U539" i="17" s="1"/>
  <c r="U540" i="17" a="1"/>
  <c r="U540" i="17" s="1"/>
  <c r="U541" i="17" a="1"/>
  <c r="U541" i="17" s="1"/>
  <c r="U591" i="17" a="1"/>
  <c r="U591" i="17" s="1"/>
  <c r="U659" i="17" a="1"/>
  <c r="U659" i="17" s="1"/>
  <c r="U660" i="17" a="1"/>
  <c r="U660" i="17" s="1"/>
  <c r="U661" i="17" a="1"/>
  <c r="U661" i="17" s="1"/>
  <c r="U711" i="17" a="1"/>
  <c r="U711" i="17"/>
  <c r="U741" i="17" a="1"/>
  <c r="U74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242" i="17" a="1"/>
  <c r="U242" i="17"/>
  <c r="U243" i="17" a="1"/>
  <c r="U243" i="17" s="1"/>
  <c r="U244" i="17" a="1"/>
  <c r="U244" i="17" s="1"/>
  <c r="U292" i="17" a="1"/>
  <c r="U292" i="17" s="1"/>
  <c r="U322" i="17" a="1"/>
  <c r="U322" i="17"/>
  <c r="U352" i="17" a="1"/>
  <c r="U352" i="17" s="1"/>
  <c r="U422" i="17" a="1"/>
  <c r="U422" i="17" s="1"/>
  <c r="U423" i="17" a="1"/>
  <c r="U423" i="17"/>
  <c r="U424" i="17" a="1"/>
  <c r="U424" i="17" s="1"/>
  <c r="U472" i="17" a="1"/>
  <c r="U472" i="17" s="1"/>
  <c r="U542" i="17" a="1"/>
  <c r="U542" i="17" s="1"/>
  <c r="U543" i="17" a="1"/>
  <c r="U543" i="17" s="1"/>
  <c r="U544" i="17" a="1"/>
  <c r="U544" i="17" s="1"/>
  <c r="U592" i="17" a="1"/>
  <c r="U592" i="17" s="1"/>
  <c r="U662" i="17" a="1"/>
  <c r="U662" i="17" s="1"/>
  <c r="U663" i="17" a="1"/>
  <c r="U663" i="17" s="1"/>
  <c r="U664" i="17" a="1"/>
  <c r="U664" i="17" s="1"/>
  <c r="U712" i="17" a="1"/>
  <c r="U712" i="17" s="1"/>
  <c r="U742" i="17" a="1"/>
  <c r="U742" i="17" s="1"/>
  <c r="U128" i="17" a="1"/>
  <c r="U128" i="17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245" i="17" a="1"/>
  <c r="U245" i="17" s="1"/>
  <c r="U246" i="17" a="1"/>
  <c r="U246" i="17" s="1"/>
  <c r="U247" i="17" a="1"/>
  <c r="U247" i="17" s="1"/>
  <c r="U293" i="17" a="1"/>
  <c r="U293" i="17" s="1"/>
  <c r="U323" i="17" a="1"/>
  <c r="U323" i="17" s="1"/>
  <c r="U353" i="17" a="1"/>
  <c r="U353" i="17" s="1"/>
  <c r="U425" i="17" a="1"/>
  <c r="U425" i="17" s="1"/>
  <c r="U426" i="17" a="1"/>
  <c r="U426" i="17" s="1"/>
  <c r="U427" i="17" a="1"/>
  <c r="U427" i="17" s="1"/>
  <c r="U473" i="17" a="1"/>
  <c r="U473" i="17" s="1"/>
  <c r="U545" i="17" a="1"/>
  <c r="U545" i="17" s="1"/>
  <c r="U546" i="17" a="1"/>
  <c r="U546" i="17" s="1"/>
  <c r="U547" i="17" a="1"/>
  <c r="U547" i="17" s="1"/>
  <c r="U593" i="17" a="1"/>
  <c r="U593" i="17" s="1"/>
  <c r="U665" i="17" a="1"/>
  <c r="U665" i="17" s="1"/>
  <c r="U666" i="17" a="1"/>
  <c r="U666" i="17" s="1"/>
  <c r="U667" i="17" a="1"/>
  <c r="U667" i="17" s="1"/>
  <c r="U713" i="17" a="1"/>
  <c r="U713" i="17" s="1"/>
  <c r="U743" i="17" a="1"/>
  <c r="U743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248" i="17" a="1"/>
  <c r="U248" i="17" s="1"/>
  <c r="U249" i="17" a="1"/>
  <c r="U249" i="17" s="1"/>
  <c r="U250" i="17" a="1"/>
  <c r="U250" i="17" s="1"/>
  <c r="U294" i="17" a="1"/>
  <c r="U294" i="17" s="1"/>
  <c r="U324" i="17" a="1"/>
  <c r="U324" i="17" s="1"/>
  <c r="U354" i="17" a="1"/>
  <c r="U354" i="17" s="1"/>
  <c r="U428" i="17" a="1"/>
  <c r="U428" i="17" s="1"/>
  <c r="U429" i="17" a="1"/>
  <c r="U429" i="17" s="1"/>
  <c r="U430" i="17" a="1"/>
  <c r="U430" i="17" s="1"/>
  <c r="U474" i="17" a="1"/>
  <c r="U474" i="17" s="1"/>
  <c r="U548" i="17" a="1"/>
  <c r="U548" i="17" s="1"/>
  <c r="U549" i="17" a="1"/>
  <c r="U549" i="17" s="1"/>
  <c r="U550" i="17" a="1"/>
  <c r="U550" i="17" s="1"/>
  <c r="U594" i="17" a="1"/>
  <c r="U594" i="17" s="1"/>
  <c r="U668" i="17" a="1"/>
  <c r="U668" i="17" s="1"/>
  <c r="U669" i="17" a="1"/>
  <c r="U669" i="17" s="1"/>
  <c r="U670" i="17" a="1"/>
  <c r="U670" i="17" s="1"/>
  <c r="U714" i="17" a="1"/>
  <c r="U714" i="17" s="1"/>
  <c r="U744" i="17" a="1"/>
  <c r="U744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51" i="17" a="1"/>
  <c r="U251" i="17" s="1"/>
  <c r="U252" i="17" a="1"/>
  <c r="U252" i="17" s="1"/>
  <c r="U253" i="17" a="1"/>
  <c r="U253" i="17" s="1"/>
  <c r="U295" i="17" a="1"/>
  <c r="U295" i="17" s="1"/>
  <c r="U325" i="17" a="1"/>
  <c r="U325" i="17" s="1"/>
  <c r="U355" i="17" a="1"/>
  <c r="U355" i="17" s="1"/>
  <c r="U431" i="17" a="1"/>
  <c r="U431" i="17" s="1"/>
  <c r="U432" i="17" a="1"/>
  <c r="U432" i="17" s="1"/>
  <c r="U433" i="17" a="1"/>
  <c r="U433" i="17" s="1"/>
  <c r="U475" i="17" a="1"/>
  <c r="U475" i="17" s="1"/>
  <c r="U551" i="17" a="1"/>
  <c r="U551" i="17" s="1"/>
  <c r="U552" i="17" a="1"/>
  <c r="U552" i="17" s="1"/>
  <c r="U553" i="17" a="1"/>
  <c r="U553" i="17" s="1"/>
  <c r="U595" i="17" a="1"/>
  <c r="U595" i="17" s="1"/>
  <c r="U671" i="17" a="1"/>
  <c r="U671" i="17" s="1"/>
  <c r="U672" i="17" a="1"/>
  <c r="U672" i="17" s="1"/>
  <c r="U673" i="17" a="1"/>
  <c r="U673" i="17" s="1"/>
  <c r="U715" i="17" a="1"/>
  <c r="U715" i="17" s="1"/>
  <c r="U745" i="17" a="1"/>
  <c r="U74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54" i="17" a="1"/>
  <c r="U254" i="17" s="1"/>
  <c r="U255" i="17" a="1"/>
  <c r="U255" i="17" s="1"/>
  <c r="U256" i="17" a="1"/>
  <c r="U256" i="17" s="1"/>
  <c r="U296" i="17" a="1"/>
  <c r="U296" i="17" s="1"/>
  <c r="U326" i="17" a="1"/>
  <c r="U326" i="17" s="1"/>
  <c r="U356" i="17" a="1"/>
  <c r="U356" i="17" s="1"/>
  <c r="U434" i="17" a="1"/>
  <c r="U434" i="17" s="1"/>
  <c r="U435" i="17" a="1"/>
  <c r="U435" i="17" s="1"/>
  <c r="U436" i="17" a="1"/>
  <c r="U436" i="17" s="1"/>
  <c r="U476" i="17" a="1"/>
  <c r="U476" i="17" s="1"/>
  <c r="U554" i="17" a="1"/>
  <c r="U554" i="17" s="1"/>
  <c r="U555" i="17" a="1"/>
  <c r="U555" i="17" s="1"/>
  <c r="U556" i="17" a="1"/>
  <c r="U556" i="17" s="1"/>
  <c r="U596" i="17" a="1"/>
  <c r="U596" i="17" s="1"/>
  <c r="U674" i="17" a="1"/>
  <c r="U674" i="17" s="1"/>
  <c r="U675" i="17" a="1"/>
  <c r="U675" i="17" s="1"/>
  <c r="U676" i="17" a="1"/>
  <c r="U676" i="17" s="1"/>
  <c r="U716" i="17" a="1"/>
  <c r="U716" i="17" s="1"/>
  <c r="U746" i="17" a="1"/>
  <c r="U74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257" i="17" a="1"/>
  <c r="U257" i="17" s="1"/>
  <c r="U258" i="17" a="1"/>
  <c r="U258" i="17" s="1"/>
  <c r="U259" i="17" a="1"/>
  <c r="U259" i="17" s="1"/>
  <c r="U297" i="17" a="1"/>
  <c r="U297" i="17" s="1"/>
  <c r="U327" i="17" a="1"/>
  <c r="U327" i="17" s="1"/>
  <c r="U357" i="17" a="1"/>
  <c r="U357" i="17" s="1"/>
  <c r="U437" i="17" a="1"/>
  <c r="U437" i="17" s="1"/>
  <c r="U438" i="17" a="1"/>
  <c r="U438" i="17" s="1"/>
  <c r="U439" i="17" a="1"/>
  <c r="U439" i="17" s="1"/>
  <c r="U477" i="17" a="1"/>
  <c r="U477" i="17" s="1"/>
  <c r="U557" i="17" a="1"/>
  <c r="U557" i="17" s="1"/>
  <c r="U558" i="17" a="1"/>
  <c r="U558" i="17" s="1"/>
  <c r="U559" i="17" a="1"/>
  <c r="U559" i="17" s="1"/>
  <c r="U597" i="17" a="1"/>
  <c r="U597" i="17" s="1"/>
  <c r="U677" i="17" a="1"/>
  <c r="U677" i="17" s="1"/>
  <c r="U678" i="17" a="1"/>
  <c r="U678" i="17" s="1"/>
  <c r="U679" i="17" a="1"/>
  <c r="U679" i="17" s="1"/>
  <c r="U717" i="17" a="1"/>
  <c r="U717" i="17" s="1"/>
  <c r="U747" i="17" a="1"/>
  <c r="U74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260" i="17" a="1"/>
  <c r="U260" i="17" s="1"/>
  <c r="U261" i="17" a="1"/>
  <c r="U261" i="17" s="1"/>
  <c r="U262" i="17" a="1"/>
  <c r="U262" i="17" s="1"/>
  <c r="U298" i="17" a="1"/>
  <c r="U298" i="17" s="1"/>
  <c r="U328" i="17" a="1"/>
  <c r="U328" i="17" s="1"/>
  <c r="U358" i="17" a="1"/>
  <c r="U358" i="17" s="1"/>
  <c r="U440" i="17" a="1"/>
  <c r="U440" i="17" s="1"/>
  <c r="U441" i="17" a="1"/>
  <c r="U441" i="17" s="1"/>
  <c r="U442" i="17" a="1"/>
  <c r="U442" i="17" s="1"/>
  <c r="U478" i="17" a="1"/>
  <c r="U478" i="17" s="1"/>
  <c r="U560" i="17" a="1"/>
  <c r="U560" i="17" s="1"/>
  <c r="U561" i="17" a="1"/>
  <c r="U561" i="17" s="1"/>
  <c r="U562" i="17" a="1"/>
  <c r="U562" i="17" s="1"/>
  <c r="U598" i="17" a="1"/>
  <c r="U598" i="17" s="1"/>
  <c r="U680" i="17" a="1"/>
  <c r="U680" i="17" s="1"/>
  <c r="U681" i="17" a="1"/>
  <c r="U681" i="17" s="1"/>
  <c r="U682" i="17" a="1"/>
  <c r="U682" i="17" s="1"/>
  <c r="U718" i="17" a="1"/>
  <c r="U718" i="17" s="1"/>
  <c r="U748" i="17" a="1"/>
  <c r="U74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 s="1"/>
  <c r="U263" i="17" a="1"/>
  <c r="U263" i="17" s="1"/>
  <c r="U264" i="17" a="1"/>
  <c r="U264" i="17" s="1"/>
  <c r="U265" i="17" a="1"/>
  <c r="U265" i="17" s="1"/>
  <c r="U299" i="17" a="1"/>
  <c r="U299" i="17" s="1"/>
  <c r="U329" i="17" a="1"/>
  <c r="U329" i="17" s="1"/>
  <c r="U359" i="17" a="1"/>
  <c r="U359" i="17" s="1"/>
  <c r="U443" i="17" a="1"/>
  <c r="U443" i="17" s="1"/>
  <c r="U444" i="17" a="1"/>
  <c r="U444" i="17" s="1"/>
  <c r="U445" i="17" a="1"/>
  <c r="U445" i="17" s="1"/>
  <c r="U479" i="17" a="1"/>
  <c r="U479" i="17" s="1"/>
  <c r="U563" i="17" a="1"/>
  <c r="U563" i="17" s="1"/>
  <c r="U564" i="17" a="1"/>
  <c r="U564" i="17" s="1"/>
  <c r="U565" i="17" a="1"/>
  <c r="U565" i="17" s="1"/>
  <c r="U599" i="17" a="1"/>
  <c r="U599" i="17" s="1"/>
  <c r="U683" i="17" a="1"/>
  <c r="U683" i="17" s="1"/>
  <c r="U684" i="17" a="1"/>
  <c r="U684" i="17" s="1"/>
  <c r="U685" i="17" a="1"/>
  <c r="U685" i="17" s="1"/>
  <c r="U719" i="17" a="1"/>
  <c r="U719" i="17" s="1"/>
  <c r="U749" i="17" a="1"/>
  <c r="U74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266" i="17" a="1"/>
  <c r="U266" i="17" s="1"/>
  <c r="U267" i="17" a="1"/>
  <c r="U267" i="17" s="1"/>
  <c r="U268" i="17" a="1"/>
  <c r="U268" i="17" s="1"/>
  <c r="U300" i="17" a="1"/>
  <c r="U300" i="17" s="1"/>
  <c r="U330" i="17" a="1"/>
  <c r="U330" i="17" s="1"/>
  <c r="U360" i="17" a="1"/>
  <c r="U360" i="17" s="1"/>
  <c r="U446" i="17" a="1"/>
  <c r="U446" i="17" s="1"/>
  <c r="U447" i="17" a="1"/>
  <c r="U447" i="17" s="1"/>
  <c r="U448" i="17" a="1"/>
  <c r="U448" i="17" s="1"/>
  <c r="U480" i="17" a="1"/>
  <c r="U480" i="17" s="1"/>
  <c r="U566" i="17" a="1"/>
  <c r="U566" i="17" s="1"/>
  <c r="U567" i="17" a="1"/>
  <c r="U567" i="17" s="1"/>
  <c r="U568" i="17" a="1"/>
  <c r="U568" i="17" s="1"/>
  <c r="U600" i="17" a="1"/>
  <c r="U600" i="17" s="1"/>
  <c r="U686" i="17" a="1"/>
  <c r="U686" i="17" s="1"/>
  <c r="U687" i="17" a="1"/>
  <c r="U687" i="17" s="1"/>
  <c r="U688" i="17" a="1"/>
  <c r="U688" i="17" s="1"/>
  <c r="U720" i="17" a="1"/>
  <c r="U720" i="17" s="1"/>
  <c r="U750" i="17" a="1"/>
  <c r="U75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269" i="17" a="1"/>
  <c r="U269" i="17" s="1"/>
  <c r="U270" i="17" a="1"/>
  <c r="U270" i="17" s="1"/>
  <c r="U271" i="17" a="1"/>
  <c r="U271" i="17" s="1"/>
  <c r="U301" i="17" a="1"/>
  <c r="U301" i="17" s="1"/>
  <c r="U331" i="17" a="1"/>
  <c r="U331" i="17" s="1"/>
  <c r="U361" i="17" a="1"/>
  <c r="U361" i="17" s="1"/>
  <c r="U449" i="17" a="1"/>
  <c r="U449" i="17" s="1"/>
  <c r="U450" i="17" a="1"/>
  <c r="U450" i="17" s="1"/>
  <c r="U451" i="17" a="1"/>
  <c r="U451" i="17" s="1"/>
  <c r="U481" i="17" a="1"/>
  <c r="U481" i="17" s="1"/>
  <c r="U569" i="17" a="1"/>
  <c r="U569" i="17" s="1"/>
  <c r="U570" i="17" a="1"/>
  <c r="U570" i="17" s="1"/>
  <c r="U571" i="17" a="1"/>
  <c r="U571" i="17" s="1"/>
  <c r="U601" i="17" a="1"/>
  <c r="U601" i="17" s="1"/>
  <c r="U689" i="17" a="1"/>
  <c r="U689" i="17" s="1"/>
  <c r="U690" i="17" a="1"/>
  <c r="U690" i="17" s="1"/>
  <c r="U691" i="17" a="1"/>
  <c r="U691" i="17" s="1"/>
  <c r="U721" i="17" a="1"/>
  <c r="U721" i="17" s="1"/>
  <c r="U751" i="17" a="1"/>
  <c r="U75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182" i="17" a="1"/>
  <c r="V182" i="17" s="1"/>
  <c r="V183" i="17" a="1"/>
  <c r="V183" i="17" s="1"/>
  <c r="V184" i="17" a="1"/>
  <c r="V184" i="17" s="1"/>
  <c r="V272" i="17" a="1"/>
  <c r="V272" i="17" s="1"/>
  <c r="V302" i="17" a="1"/>
  <c r="V302" i="17" s="1"/>
  <c r="V332" i="17" a="1"/>
  <c r="V332" i="17" s="1"/>
  <c r="V362" i="17" a="1"/>
  <c r="V362" i="17" s="1"/>
  <c r="V363" i="17" a="1"/>
  <c r="V363" i="17" s="1"/>
  <c r="V364" i="17" a="1"/>
  <c r="V364" i="17" s="1"/>
  <c r="V452" i="17" a="1"/>
  <c r="V452" i="17" s="1"/>
  <c r="V482" i="17" a="1"/>
  <c r="V482" i="17" s="1"/>
  <c r="V483" i="17" a="1"/>
  <c r="V483" i="17" s="1"/>
  <c r="V484" i="17" a="1"/>
  <c r="V484" i="17" s="1"/>
  <c r="V572" i="17" a="1"/>
  <c r="V572" i="17" s="1"/>
  <c r="V602" i="17" a="1"/>
  <c r="V602" i="17" s="1"/>
  <c r="V603" i="17" a="1"/>
  <c r="V603" i="17" s="1"/>
  <c r="V604" i="17" a="1"/>
  <c r="V604" i="17" s="1"/>
  <c r="V692" i="17" a="1"/>
  <c r="V692" i="17" s="1"/>
  <c r="V722" i="17" a="1"/>
  <c r="V72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85" i="17" a="1"/>
  <c r="V185" i="17" s="1"/>
  <c r="V186" i="17" a="1"/>
  <c r="V186" i="17" s="1"/>
  <c r="V187" i="17" a="1"/>
  <c r="V187" i="17" s="1"/>
  <c r="V273" i="17" a="1"/>
  <c r="V273" i="17" s="1"/>
  <c r="V303" i="17" a="1"/>
  <c r="V303" i="17" s="1"/>
  <c r="V333" i="17" a="1"/>
  <c r="V333" i="17" s="1"/>
  <c r="V365" i="17" a="1"/>
  <c r="V365" i="17" s="1"/>
  <c r="V366" i="17" a="1"/>
  <c r="V366" i="17" s="1"/>
  <c r="V367" i="17" a="1"/>
  <c r="V367" i="17" s="1"/>
  <c r="V453" i="17" a="1"/>
  <c r="V453" i="17" s="1"/>
  <c r="V485" i="17" a="1"/>
  <c r="V485" i="17" s="1"/>
  <c r="V486" i="17" a="1"/>
  <c r="V486" i="17" s="1"/>
  <c r="V487" i="17" a="1"/>
  <c r="V487" i="17" s="1"/>
  <c r="V573" i="17" a="1"/>
  <c r="V573" i="17" s="1"/>
  <c r="V605" i="17" a="1"/>
  <c r="V605" i="17" s="1"/>
  <c r="V606" i="17" a="1"/>
  <c r="V606" i="17" s="1"/>
  <c r="V607" i="17" a="1"/>
  <c r="V607" i="17" s="1"/>
  <c r="V693" i="17" a="1"/>
  <c r="V693" i="17" s="1"/>
  <c r="V723" i="17" a="1"/>
  <c r="V72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188" i="17" a="1"/>
  <c r="V188" i="17" s="1"/>
  <c r="V189" i="17" a="1"/>
  <c r="V189" i="17" s="1"/>
  <c r="V190" i="17" a="1"/>
  <c r="V190" i="17" s="1"/>
  <c r="V274" i="17" a="1"/>
  <c r="V274" i="17" s="1"/>
  <c r="V304" i="17" a="1"/>
  <c r="V304" i="17" s="1"/>
  <c r="V334" i="17" a="1"/>
  <c r="V334" i="17" s="1"/>
  <c r="V368" i="17" a="1"/>
  <c r="V368" i="17" s="1"/>
  <c r="V369" i="17" a="1"/>
  <c r="V369" i="17" s="1"/>
  <c r="V370" i="17" a="1"/>
  <c r="V370" i="17" s="1"/>
  <c r="V454" i="17" a="1"/>
  <c r="V454" i="17" s="1"/>
  <c r="V488" i="17" a="1"/>
  <c r="V488" i="17" s="1"/>
  <c r="V489" i="17" a="1"/>
  <c r="V489" i="17" s="1"/>
  <c r="V490" i="17" a="1"/>
  <c r="V490" i="17" s="1"/>
  <c r="V574" i="17" a="1"/>
  <c r="V574" i="17" s="1"/>
  <c r="V608" i="17" a="1"/>
  <c r="V608" i="17" s="1"/>
  <c r="V609" i="17" a="1"/>
  <c r="V609" i="17" s="1"/>
  <c r="V610" i="17" a="1"/>
  <c r="V610" i="17" s="1"/>
  <c r="V694" i="17" a="1"/>
  <c r="V694" i="17" s="1"/>
  <c r="V724" i="17" a="1"/>
  <c r="V724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191" i="17" a="1"/>
  <c r="V191" i="17" s="1"/>
  <c r="V192" i="17" a="1"/>
  <c r="V192" i="17" s="1"/>
  <c r="V193" i="17" a="1"/>
  <c r="V193" i="17" s="1"/>
  <c r="V275" i="17" a="1"/>
  <c r="V275" i="17" s="1"/>
  <c r="V305" i="17" a="1"/>
  <c r="V305" i="17" s="1"/>
  <c r="V335" i="17" a="1"/>
  <c r="V335" i="17" s="1"/>
  <c r="V371" i="17" a="1"/>
  <c r="V371" i="17" s="1"/>
  <c r="V372" i="17" a="1"/>
  <c r="V372" i="17" s="1"/>
  <c r="V373" i="17" a="1"/>
  <c r="V373" i="17" s="1"/>
  <c r="V455" i="17" a="1"/>
  <c r="V455" i="17" s="1"/>
  <c r="V491" i="17" a="1"/>
  <c r="V491" i="17" s="1"/>
  <c r="V492" i="17" a="1"/>
  <c r="V492" i="17" s="1"/>
  <c r="V493" i="17" a="1"/>
  <c r="V493" i="17" s="1"/>
  <c r="V575" i="17" a="1"/>
  <c r="V575" i="17" s="1"/>
  <c r="V611" i="17" a="1"/>
  <c r="V611" i="17" s="1"/>
  <c r="V612" i="17" a="1"/>
  <c r="V612" i="17" s="1"/>
  <c r="V613" i="17" a="1"/>
  <c r="V613" i="17" s="1"/>
  <c r="V695" i="17" a="1"/>
  <c r="V695" i="17" s="1"/>
  <c r="V725" i="17" a="1"/>
  <c r="V72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194" i="17" a="1"/>
  <c r="V194" i="17" s="1"/>
  <c r="V195" i="17" a="1"/>
  <c r="V195" i="17" s="1"/>
  <c r="V196" i="17" a="1"/>
  <c r="V196" i="17" s="1"/>
  <c r="V276" i="17" a="1"/>
  <c r="V276" i="17" s="1"/>
  <c r="V306" i="17" a="1"/>
  <c r="V306" i="17" s="1"/>
  <c r="V336" i="17" a="1"/>
  <c r="V336" i="17" s="1"/>
  <c r="V374" i="17" a="1"/>
  <c r="V374" i="17" s="1"/>
  <c r="V375" i="17" a="1"/>
  <c r="V375" i="17" s="1"/>
  <c r="V376" i="17" a="1"/>
  <c r="V376" i="17" s="1"/>
  <c r="V456" i="17" a="1"/>
  <c r="V456" i="17" s="1"/>
  <c r="V494" i="17" a="1"/>
  <c r="V494" i="17" s="1"/>
  <c r="V495" i="17" a="1"/>
  <c r="V495" i="17" s="1"/>
  <c r="V496" i="17" a="1"/>
  <c r="V496" i="17" s="1"/>
  <c r="V576" i="17" a="1"/>
  <c r="V576" i="17" s="1"/>
  <c r="V614" i="17" a="1"/>
  <c r="V614" i="17" s="1"/>
  <c r="V615" i="17" a="1"/>
  <c r="V615" i="17" s="1"/>
  <c r="V616" i="17" a="1"/>
  <c r="V616" i="17" s="1"/>
  <c r="V696" i="17" a="1"/>
  <c r="V696" i="17" s="1"/>
  <c r="V726" i="17" a="1"/>
  <c r="V726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97" i="17" a="1"/>
  <c r="V197" i="17" s="1"/>
  <c r="V198" i="17" a="1"/>
  <c r="V198" i="17" s="1"/>
  <c r="V199" i="17" a="1"/>
  <c r="V199" i="17" s="1"/>
  <c r="V277" i="17" a="1"/>
  <c r="V277" i="17" s="1"/>
  <c r="V307" i="17" a="1"/>
  <c r="V307" i="17" s="1"/>
  <c r="V337" i="17" a="1"/>
  <c r="V337" i="17" s="1"/>
  <c r="V377" i="17" a="1"/>
  <c r="V377" i="17" s="1"/>
  <c r="V378" i="17" a="1"/>
  <c r="V378" i="17" s="1"/>
  <c r="V379" i="17" a="1"/>
  <c r="V379" i="17" s="1"/>
  <c r="V457" i="17" a="1"/>
  <c r="V457" i="17" s="1"/>
  <c r="V497" i="17" a="1"/>
  <c r="V497" i="17" s="1"/>
  <c r="V498" i="17" a="1"/>
  <c r="V498" i="17" s="1"/>
  <c r="V499" i="17" a="1"/>
  <c r="V499" i="17" s="1"/>
  <c r="V577" i="17" a="1"/>
  <c r="V577" i="17" s="1"/>
  <c r="V617" i="17" a="1"/>
  <c r="V617" i="17" s="1"/>
  <c r="V618" i="17" a="1"/>
  <c r="V618" i="17" s="1"/>
  <c r="V619" i="17" a="1"/>
  <c r="V619" i="17" s="1"/>
  <c r="V697" i="17" a="1"/>
  <c r="V697" i="17" s="1"/>
  <c r="V727" i="17" a="1"/>
  <c r="V72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200" i="17" a="1"/>
  <c r="V200" i="17" s="1"/>
  <c r="V201" i="17" a="1"/>
  <c r="V201" i="17" s="1"/>
  <c r="V202" i="17" a="1"/>
  <c r="V202" i="17" s="1"/>
  <c r="V278" i="17" a="1"/>
  <c r="V278" i="17" s="1"/>
  <c r="V308" i="17" a="1"/>
  <c r="V308" i="17" s="1"/>
  <c r="V338" i="17" a="1"/>
  <c r="V338" i="17" s="1"/>
  <c r="V380" i="17" a="1"/>
  <c r="V380" i="17" s="1"/>
  <c r="V381" i="17" a="1"/>
  <c r="V381" i="17" s="1"/>
  <c r="V382" i="17" a="1"/>
  <c r="V382" i="17" s="1"/>
  <c r="V458" i="17" a="1"/>
  <c r="V458" i="17" s="1"/>
  <c r="V500" i="17" a="1"/>
  <c r="V500" i="17" s="1"/>
  <c r="V501" i="17" a="1"/>
  <c r="V501" i="17" s="1"/>
  <c r="V502" i="17" a="1"/>
  <c r="V502" i="17" s="1"/>
  <c r="V578" i="17" a="1"/>
  <c r="V578" i="17" s="1"/>
  <c r="V620" i="17" a="1"/>
  <c r="V620" i="17" s="1"/>
  <c r="V621" i="17" a="1"/>
  <c r="V621" i="17" s="1"/>
  <c r="V622" i="17" a="1"/>
  <c r="V622" i="17" s="1"/>
  <c r="V698" i="17" a="1"/>
  <c r="V698" i="17" s="1"/>
  <c r="V728" i="17" a="1"/>
  <c r="V72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203" i="17" a="1"/>
  <c r="V203" i="17" s="1"/>
  <c r="V204" i="17" a="1"/>
  <c r="V204" i="17" s="1"/>
  <c r="V205" i="17" a="1"/>
  <c r="V205" i="17" s="1"/>
  <c r="V279" i="17" a="1"/>
  <c r="V279" i="17" s="1"/>
  <c r="V309" i="17" a="1"/>
  <c r="V309" i="17" s="1"/>
  <c r="V339" i="17" a="1"/>
  <c r="V339" i="17" s="1"/>
  <c r="V383" i="17" a="1"/>
  <c r="V383" i="17" s="1"/>
  <c r="V384" i="17" a="1"/>
  <c r="V384" i="17" s="1"/>
  <c r="V385" i="17" a="1"/>
  <c r="V385" i="17" s="1"/>
  <c r="V459" i="17" a="1"/>
  <c r="V459" i="17" s="1"/>
  <c r="V503" i="17" a="1"/>
  <c r="V503" i="17" s="1"/>
  <c r="V504" i="17" a="1"/>
  <c r="V504" i="17" s="1"/>
  <c r="V505" i="17" a="1"/>
  <c r="V505" i="17" s="1"/>
  <c r="V579" i="17" a="1"/>
  <c r="V579" i="17" s="1"/>
  <c r="V623" i="17" a="1"/>
  <c r="V623" i="17" s="1"/>
  <c r="V624" i="17" a="1"/>
  <c r="V624" i="17" s="1"/>
  <c r="V625" i="17" a="1"/>
  <c r="V625" i="17" s="1"/>
  <c r="V699" i="17" a="1"/>
  <c r="V699" i="17" s="1"/>
  <c r="V729" i="17" a="1"/>
  <c r="V72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206" i="17" a="1"/>
  <c r="V206" i="17" s="1"/>
  <c r="V207" i="17" a="1"/>
  <c r="V207" i="17" s="1"/>
  <c r="V208" i="17" a="1"/>
  <c r="V208" i="17" s="1"/>
  <c r="V280" i="17" a="1"/>
  <c r="V280" i="17" s="1"/>
  <c r="V310" i="17" a="1"/>
  <c r="V310" i="17" s="1"/>
  <c r="V340" i="17" a="1"/>
  <c r="V340" i="17" s="1"/>
  <c r="V386" i="17" a="1"/>
  <c r="V386" i="17" s="1"/>
  <c r="V387" i="17" a="1"/>
  <c r="V387" i="17" s="1"/>
  <c r="V388" i="17" a="1"/>
  <c r="V388" i="17" s="1"/>
  <c r="V460" i="17" a="1"/>
  <c r="V460" i="17" s="1"/>
  <c r="V506" i="17" a="1"/>
  <c r="V506" i="17" s="1"/>
  <c r="V507" i="17" a="1"/>
  <c r="V507" i="17" s="1"/>
  <c r="V508" i="17" a="1"/>
  <c r="V508" i="17" s="1"/>
  <c r="V580" i="17" a="1"/>
  <c r="V580" i="17" s="1"/>
  <c r="V626" i="17" a="1"/>
  <c r="V626" i="17" s="1"/>
  <c r="V627" i="17" a="1"/>
  <c r="V627" i="17" s="1"/>
  <c r="V628" i="17" a="1"/>
  <c r="V628" i="17" s="1"/>
  <c r="V700" i="17" a="1"/>
  <c r="V700" i="17" s="1"/>
  <c r="V730" i="17" a="1"/>
  <c r="V73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209" i="17" a="1"/>
  <c r="V209" i="17" s="1"/>
  <c r="V210" i="17" a="1"/>
  <c r="V210" i="17" s="1"/>
  <c r="V211" i="17" a="1"/>
  <c r="V211" i="17" s="1"/>
  <c r="V281" i="17" a="1"/>
  <c r="V281" i="17" s="1"/>
  <c r="V311" i="17" a="1"/>
  <c r="V311" i="17" s="1"/>
  <c r="V341" i="17" a="1"/>
  <c r="V341" i="17" s="1"/>
  <c r="V389" i="17" a="1"/>
  <c r="V389" i="17" s="1"/>
  <c r="V390" i="17" a="1"/>
  <c r="V390" i="17" s="1"/>
  <c r="V391" i="17" a="1"/>
  <c r="V391" i="17" s="1"/>
  <c r="V461" i="17" a="1"/>
  <c r="V461" i="17" s="1"/>
  <c r="V509" i="17" a="1"/>
  <c r="V509" i="17" s="1"/>
  <c r="V510" i="17" a="1"/>
  <c r="V510" i="17" s="1"/>
  <c r="V511" i="17" a="1"/>
  <c r="V511" i="17" s="1"/>
  <c r="V581" i="17" a="1"/>
  <c r="V581" i="17" s="1"/>
  <c r="V629" i="17" a="1"/>
  <c r="V629" i="17" s="1"/>
  <c r="V630" i="17" a="1"/>
  <c r="V630" i="17" s="1"/>
  <c r="V631" i="17" a="1"/>
  <c r="V631" i="17" s="1"/>
  <c r="V701" i="17" a="1"/>
  <c r="V701" i="17" s="1"/>
  <c r="V731" i="17" a="1"/>
  <c r="V73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212" i="17" a="1"/>
  <c r="V212" i="17" s="1"/>
  <c r="V213" i="17" a="1"/>
  <c r="V213" i="17" s="1"/>
  <c r="V214" i="17" a="1"/>
  <c r="V214" i="17" s="1"/>
  <c r="V282" i="17" a="1"/>
  <c r="V282" i="17" s="1"/>
  <c r="V312" i="17" a="1"/>
  <c r="V312" i="17" s="1"/>
  <c r="V342" i="17" a="1"/>
  <c r="V342" i="17" s="1"/>
  <c r="V392" i="17" a="1"/>
  <c r="V392" i="17" s="1"/>
  <c r="V393" i="17" a="1"/>
  <c r="V393" i="17" s="1"/>
  <c r="V394" i="17" a="1"/>
  <c r="V394" i="17" s="1"/>
  <c r="V462" i="17" a="1"/>
  <c r="V462" i="17" s="1"/>
  <c r="V512" i="17" a="1"/>
  <c r="V512" i="17" s="1"/>
  <c r="V513" i="17" a="1"/>
  <c r="V513" i="17" s="1"/>
  <c r="V514" i="17" a="1"/>
  <c r="V514" i="17" s="1"/>
  <c r="V582" i="17" a="1"/>
  <c r="V582" i="17" s="1"/>
  <c r="V632" i="17" a="1"/>
  <c r="V632" i="17" s="1"/>
  <c r="V633" i="17" a="1"/>
  <c r="V633" i="17" s="1"/>
  <c r="V634" i="17" a="1"/>
  <c r="V634" i="17" s="1"/>
  <c r="V702" i="17" a="1"/>
  <c r="V702" i="17" s="1"/>
  <c r="V732" i="17" a="1"/>
  <c r="V73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215" i="17" a="1"/>
  <c r="V215" i="17" s="1"/>
  <c r="V216" i="17" a="1"/>
  <c r="V216" i="17" s="1"/>
  <c r="V217" i="17" a="1"/>
  <c r="V217" i="17" s="1"/>
  <c r="V283" i="17" a="1"/>
  <c r="V283" i="17" s="1"/>
  <c r="V313" i="17" a="1"/>
  <c r="V313" i="17" s="1"/>
  <c r="V343" i="17" a="1"/>
  <c r="V343" i="17" s="1"/>
  <c r="V395" i="17" a="1"/>
  <c r="V395" i="17" s="1"/>
  <c r="V396" i="17" a="1"/>
  <c r="V396" i="17" s="1"/>
  <c r="V397" i="17" a="1"/>
  <c r="V397" i="17" s="1"/>
  <c r="V463" i="17" a="1"/>
  <c r="V463" i="17" s="1"/>
  <c r="V515" i="17" a="1"/>
  <c r="V515" i="17" s="1"/>
  <c r="V516" i="17" a="1"/>
  <c r="V516" i="17" s="1"/>
  <c r="V517" i="17" a="1"/>
  <c r="V517" i="17" s="1"/>
  <c r="V583" i="17" a="1"/>
  <c r="V583" i="17" s="1"/>
  <c r="V635" i="17" a="1"/>
  <c r="V635" i="17" s="1"/>
  <c r="V636" i="17" a="1"/>
  <c r="V636" i="17" s="1"/>
  <c r="V637" i="17" a="1"/>
  <c r="V637" i="17" s="1"/>
  <c r="V703" i="17" a="1"/>
  <c r="V703" i="17" s="1"/>
  <c r="V733" i="17" a="1"/>
  <c r="V733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218" i="17" a="1"/>
  <c r="V218" i="17" s="1"/>
  <c r="V219" i="17" a="1"/>
  <c r="V219" i="17" s="1"/>
  <c r="V220" i="17" a="1"/>
  <c r="V220" i="17" s="1"/>
  <c r="V284" i="17" a="1"/>
  <c r="V284" i="17" s="1"/>
  <c r="V314" i="17" a="1"/>
  <c r="V314" i="17" s="1"/>
  <c r="V344" i="17" a="1"/>
  <c r="V344" i="17" s="1"/>
  <c r="V398" i="17" a="1"/>
  <c r="V398" i="17" s="1"/>
  <c r="V399" i="17" a="1"/>
  <c r="V399" i="17" s="1"/>
  <c r="V400" i="17" a="1"/>
  <c r="V400" i="17" s="1"/>
  <c r="V464" i="17" a="1"/>
  <c r="V464" i="17" s="1"/>
  <c r="V518" i="17" a="1"/>
  <c r="V518" i="17" s="1"/>
  <c r="V519" i="17" a="1"/>
  <c r="V519" i="17" s="1"/>
  <c r="V520" i="17" a="1"/>
  <c r="V520" i="17" s="1"/>
  <c r="V584" i="17" a="1"/>
  <c r="V584" i="17" s="1"/>
  <c r="V638" i="17" a="1"/>
  <c r="V638" i="17" s="1"/>
  <c r="V639" i="17" a="1"/>
  <c r="V639" i="17" s="1"/>
  <c r="V640" i="17" a="1"/>
  <c r="V640" i="17" s="1"/>
  <c r="V704" i="17" a="1"/>
  <c r="V704" i="17" s="1"/>
  <c r="V734" i="17" a="1"/>
  <c r="V734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221" i="17" a="1"/>
  <c r="V221" i="17" s="1"/>
  <c r="V222" i="17" a="1"/>
  <c r="V222" i="17" s="1"/>
  <c r="V223" i="17" a="1"/>
  <c r="V223" i="17" s="1"/>
  <c r="V285" i="17" a="1"/>
  <c r="V285" i="17" s="1"/>
  <c r="V315" i="17" a="1"/>
  <c r="V315" i="17" s="1"/>
  <c r="V345" i="17" a="1"/>
  <c r="V345" i="17" s="1"/>
  <c r="V401" i="17" a="1"/>
  <c r="V401" i="17" s="1"/>
  <c r="V402" i="17" a="1"/>
  <c r="V402" i="17" s="1"/>
  <c r="V403" i="17" a="1"/>
  <c r="V403" i="17" s="1"/>
  <c r="V465" i="17" a="1"/>
  <c r="V465" i="17" s="1"/>
  <c r="V521" i="17" a="1"/>
  <c r="V521" i="17" s="1"/>
  <c r="V522" i="17" a="1"/>
  <c r="V522" i="17" s="1"/>
  <c r="V523" i="17" a="1"/>
  <c r="V523" i="17" s="1"/>
  <c r="V585" i="17" a="1"/>
  <c r="V585" i="17" s="1"/>
  <c r="V641" i="17" a="1"/>
  <c r="V641" i="17" s="1"/>
  <c r="V642" i="17" a="1"/>
  <c r="V642" i="17" s="1"/>
  <c r="V643" i="17" a="1"/>
  <c r="V643" i="17" s="1"/>
  <c r="V705" i="17" a="1"/>
  <c r="V705" i="17" s="1"/>
  <c r="V735" i="17" a="1"/>
  <c r="V735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224" i="17" a="1"/>
  <c r="V224" i="17" s="1"/>
  <c r="V225" i="17" a="1"/>
  <c r="V225" i="17" s="1"/>
  <c r="V226" i="17" a="1"/>
  <c r="V226" i="17" s="1"/>
  <c r="V286" i="17" a="1"/>
  <c r="V286" i="17" s="1"/>
  <c r="V316" i="17" a="1"/>
  <c r="V316" i="17" s="1"/>
  <c r="V346" i="17" a="1"/>
  <c r="V346" i="17" s="1"/>
  <c r="V404" i="17" a="1"/>
  <c r="V404" i="17" s="1"/>
  <c r="V405" i="17" a="1"/>
  <c r="V405" i="17" s="1"/>
  <c r="V406" i="17" a="1"/>
  <c r="V406" i="17" s="1"/>
  <c r="V466" i="17" a="1"/>
  <c r="V466" i="17" s="1"/>
  <c r="V524" i="17" a="1"/>
  <c r="V524" i="17" s="1"/>
  <c r="V525" i="17" a="1"/>
  <c r="V525" i="17" s="1"/>
  <c r="V526" i="17" a="1"/>
  <c r="V526" i="17" s="1"/>
  <c r="V586" i="17" a="1"/>
  <c r="V586" i="17" s="1"/>
  <c r="V644" i="17" a="1"/>
  <c r="V644" i="17" s="1"/>
  <c r="V645" i="17" a="1"/>
  <c r="V645" i="17" s="1"/>
  <c r="V646" i="17" a="1"/>
  <c r="V646" i="17" s="1"/>
  <c r="V706" i="17" a="1"/>
  <c r="V706" i="17" s="1"/>
  <c r="V736" i="17" a="1"/>
  <c r="V736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227" i="17" a="1"/>
  <c r="V227" i="17" s="1"/>
  <c r="V228" i="17" a="1"/>
  <c r="V228" i="17" s="1"/>
  <c r="V229" i="17" a="1"/>
  <c r="V229" i="17" s="1"/>
  <c r="V287" i="17" a="1"/>
  <c r="V287" i="17" s="1"/>
  <c r="V317" i="17" a="1"/>
  <c r="V317" i="17" s="1"/>
  <c r="V347" i="17" a="1"/>
  <c r="V347" i="17" s="1"/>
  <c r="V407" i="17" a="1"/>
  <c r="V407" i="17" s="1"/>
  <c r="V408" i="17" a="1"/>
  <c r="V408" i="17" s="1"/>
  <c r="V409" i="17" a="1"/>
  <c r="V409" i="17" s="1"/>
  <c r="V467" i="17" a="1"/>
  <c r="V467" i="17" s="1"/>
  <c r="V527" i="17" a="1"/>
  <c r="V527" i="17" s="1"/>
  <c r="V528" i="17" a="1"/>
  <c r="V528" i="17" s="1"/>
  <c r="V529" i="17" a="1"/>
  <c r="V529" i="17" s="1"/>
  <c r="V587" i="17" a="1"/>
  <c r="V587" i="17" s="1"/>
  <c r="V647" i="17" a="1"/>
  <c r="V647" i="17" s="1"/>
  <c r="V648" i="17" a="1"/>
  <c r="V648" i="17" s="1"/>
  <c r="V649" i="17" a="1"/>
  <c r="V649" i="17" s="1"/>
  <c r="V707" i="17" a="1"/>
  <c r="V707" i="17" s="1"/>
  <c r="V737" i="17" a="1"/>
  <c r="V737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230" i="17" a="1"/>
  <c r="V230" i="17" s="1"/>
  <c r="V231" i="17" a="1"/>
  <c r="V231" i="17" s="1"/>
  <c r="V232" i="17" a="1"/>
  <c r="V232" i="17" s="1"/>
  <c r="V288" i="17" a="1"/>
  <c r="V288" i="17" s="1"/>
  <c r="V318" i="17" a="1"/>
  <c r="V318" i="17" s="1"/>
  <c r="V348" i="17" a="1"/>
  <c r="V348" i="17" s="1"/>
  <c r="V410" i="17" a="1"/>
  <c r="V410" i="17" s="1"/>
  <c r="V411" i="17" a="1"/>
  <c r="V411" i="17" s="1"/>
  <c r="V412" i="17" a="1"/>
  <c r="V412" i="17" s="1"/>
  <c r="V468" i="17" a="1"/>
  <c r="V468" i="17" s="1"/>
  <c r="V530" i="17" a="1"/>
  <c r="V530" i="17" s="1"/>
  <c r="V531" i="17" a="1"/>
  <c r="V531" i="17" s="1"/>
  <c r="V532" i="17" a="1"/>
  <c r="V532" i="17" s="1"/>
  <c r="V588" i="17" a="1"/>
  <c r="V588" i="17" s="1"/>
  <c r="V650" i="17" a="1"/>
  <c r="V650" i="17" s="1"/>
  <c r="V651" i="17" a="1"/>
  <c r="V651" i="17" s="1"/>
  <c r="V652" i="17" a="1"/>
  <c r="V652" i="17" s="1"/>
  <c r="V708" i="17" a="1"/>
  <c r="V708" i="17" s="1"/>
  <c r="V738" i="17" a="1"/>
  <c r="V73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233" i="17" a="1"/>
  <c r="V233" i="17" s="1"/>
  <c r="V234" i="17" a="1"/>
  <c r="V234" i="17" s="1"/>
  <c r="V235" i="17" a="1"/>
  <c r="V235" i="17" s="1"/>
  <c r="V289" i="17" a="1"/>
  <c r="V289" i="17" s="1"/>
  <c r="V319" i="17" a="1"/>
  <c r="V319" i="17" s="1"/>
  <c r="V349" i="17" a="1"/>
  <c r="V349" i="17" s="1"/>
  <c r="V413" i="17" a="1"/>
  <c r="V413" i="17" s="1"/>
  <c r="V414" i="17" a="1"/>
  <c r="V414" i="17" s="1"/>
  <c r="V415" i="17" a="1"/>
  <c r="V415" i="17" s="1"/>
  <c r="V469" i="17" a="1"/>
  <c r="V469" i="17" s="1"/>
  <c r="V533" i="17" a="1"/>
  <c r="V533" i="17" s="1"/>
  <c r="V534" i="17" a="1"/>
  <c r="V534" i="17" s="1"/>
  <c r="V535" i="17" a="1"/>
  <c r="V535" i="17" s="1"/>
  <c r="V589" i="17" a="1"/>
  <c r="V589" i="17" s="1"/>
  <c r="V653" i="17" a="1"/>
  <c r="V653" i="17" s="1"/>
  <c r="V654" i="17" a="1"/>
  <c r="V654" i="17" s="1"/>
  <c r="V655" i="17" a="1"/>
  <c r="V655" i="17" s="1"/>
  <c r="V709" i="17" a="1"/>
  <c r="V709" i="17" s="1"/>
  <c r="V739" i="17" a="1"/>
  <c r="V73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36" i="17" a="1"/>
  <c r="V236" i="17" s="1"/>
  <c r="V237" i="17" a="1"/>
  <c r="V237" i="17" s="1"/>
  <c r="V238" i="17" a="1"/>
  <c r="V238" i="17" s="1"/>
  <c r="V290" i="17" a="1"/>
  <c r="V290" i="17"/>
  <c r="V320" i="17" a="1"/>
  <c r="V320" i="17" s="1"/>
  <c r="V350" i="17" a="1"/>
  <c r="V350" i="17" s="1"/>
  <c r="V416" i="17" a="1"/>
  <c r="V416" i="17" s="1"/>
  <c r="V417" i="17" a="1"/>
  <c r="V417" i="17" s="1"/>
  <c r="V418" i="17" a="1"/>
  <c r="V418" i="17" s="1"/>
  <c r="V470" i="17" a="1"/>
  <c r="V470" i="17" s="1"/>
  <c r="V536" i="17" a="1"/>
  <c r="V536" i="17" s="1"/>
  <c r="V537" i="17" a="1"/>
  <c r="V537" i="17"/>
  <c r="V538" i="17" a="1"/>
  <c r="V538" i="17" s="1"/>
  <c r="V590" i="17" a="1"/>
  <c r="V590" i="17" s="1"/>
  <c r="V656" i="17" a="1"/>
  <c r="V656" i="17" s="1"/>
  <c r="V657" i="17" a="1"/>
  <c r="V657" i="17" s="1"/>
  <c r="V658" i="17" a="1"/>
  <c r="V658" i="17" s="1"/>
  <c r="V710" i="17" a="1"/>
  <c r="V710" i="17" s="1"/>
  <c r="V740" i="17" a="1"/>
  <c r="V74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39" i="17" a="1"/>
  <c r="V239" i="17" s="1"/>
  <c r="V240" i="17" a="1"/>
  <c r="V240" i="17" s="1"/>
  <c r="V241" i="17" a="1"/>
  <c r="V241" i="17"/>
  <c r="V291" i="17" a="1"/>
  <c r="V291" i="17" s="1"/>
  <c r="V321" i="17" a="1"/>
  <c r="V321" i="17" s="1"/>
  <c r="V351" i="17" a="1"/>
  <c r="V351" i="17" s="1"/>
  <c r="V419" i="17" a="1"/>
  <c r="V419" i="17" s="1"/>
  <c r="V420" i="17" a="1"/>
  <c r="V420" i="17" s="1"/>
  <c r="V421" i="17" a="1"/>
  <c r="V421" i="17" s="1"/>
  <c r="V471" i="17" a="1"/>
  <c r="V471" i="17" s="1"/>
  <c r="V539" i="17" a="1"/>
  <c r="V539" i="17" s="1"/>
  <c r="V540" i="17" a="1"/>
  <c r="V540" i="17" s="1"/>
  <c r="V541" i="17" a="1"/>
  <c r="V541" i="17" s="1"/>
  <c r="V591" i="17" a="1"/>
  <c r="V591" i="17" s="1"/>
  <c r="V659" i="17" a="1"/>
  <c r="V659" i="17" s="1"/>
  <c r="V660" i="17" a="1"/>
  <c r="V660" i="17" s="1"/>
  <c r="V661" i="17" a="1"/>
  <c r="V661" i="17" s="1"/>
  <c r="V711" i="17" a="1"/>
  <c r="V711" i="17" s="1"/>
  <c r="V741" i="17" a="1"/>
  <c r="V741" i="17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242" i="17" a="1"/>
  <c r="V242" i="17" s="1"/>
  <c r="V243" i="17" a="1"/>
  <c r="V243" i="17" s="1"/>
  <c r="V244" i="17" a="1"/>
  <c r="V244" i="17" s="1"/>
  <c r="V292" i="17" a="1"/>
  <c r="V292" i="17" s="1"/>
  <c r="V322" i="17" a="1"/>
  <c r="V322" i="17" s="1"/>
  <c r="V352" i="17" a="1"/>
  <c r="V352" i="17" s="1"/>
  <c r="V422" i="17" a="1"/>
  <c r="V422" i="17" s="1"/>
  <c r="V423" i="17" a="1"/>
  <c r="V423" i="17" s="1"/>
  <c r="V424" i="17" a="1"/>
  <c r="V424" i="17" s="1"/>
  <c r="V472" i="17" a="1"/>
  <c r="V472" i="17"/>
  <c r="V542" i="17" a="1"/>
  <c r="V542" i="17" s="1"/>
  <c r="V543" i="17" a="1"/>
  <c r="V543" i="17" s="1"/>
  <c r="V544" i="17" a="1"/>
  <c r="V544" i="17" s="1"/>
  <c r="V592" i="17" a="1"/>
  <c r="V592" i="17" s="1"/>
  <c r="V662" i="17" a="1"/>
  <c r="V662" i="17" s="1"/>
  <c r="V663" i="17" a="1"/>
  <c r="V663" i="17" s="1"/>
  <c r="V664" i="17" a="1"/>
  <c r="V664" i="17" s="1"/>
  <c r="V712" i="17" a="1"/>
  <c r="V712" i="17" s="1"/>
  <c r="V742" i="17" a="1"/>
  <c r="V742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45" i="17" a="1"/>
  <c r="V245" i="17"/>
  <c r="V246" i="17" a="1"/>
  <c r="V246" i="17" s="1"/>
  <c r="V247" i="17" a="1"/>
  <c r="V247" i="17" s="1"/>
  <c r="V293" i="17" a="1"/>
  <c r="V293" i="17" s="1"/>
  <c r="V323" i="17" a="1"/>
  <c r="V323" i="17" s="1"/>
  <c r="V353" i="17" a="1"/>
  <c r="V353" i="17" s="1"/>
  <c r="V425" i="17" a="1"/>
  <c r="V425" i="17" s="1"/>
  <c r="V426" i="17" a="1"/>
  <c r="V426" i="17" s="1"/>
  <c r="V427" i="17" a="1"/>
  <c r="V427" i="17" s="1"/>
  <c r="V473" i="17" a="1"/>
  <c r="V473" i="17" s="1"/>
  <c r="V545" i="17" a="1"/>
  <c r="V545" i="17" s="1"/>
  <c r="V546" i="17" a="1"/>
  <c r="V546" i="17" s="1"/>
  <c r="V547" i="17" a="1"/>
  <c r="V547" i="17" s="1"/>
  <c r="V593" i="17" a="1"/>
  <c r="V593" i="17" s="1"/>
  <c r="V665" i="17" a="1"/>
  <c r="V665" i="17" s="1"/>
  <c r="V666" i="17" a="1"/>
  <c r="V666" i="17" s="1"/>
  <c r="V667" i="17" a="1"/>
  <c r="V667" i="17"/>
  <c r="V713" i="17" a="1"/>
  <c r="V713" i="17" s="1"/>
  <c r="V743" i="17" a="1"/>
  <c r="V74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48" i="17" a="1"/>
  <c r="V248" i="17" s="1"/>
  <c r="V249" i="17" a="1"/>
  <c r="V249" i="17" s="1"/>
  <c r="V250" i="17" a="1"/>
  <c r="V250" i="17" s="1"/>
  <c r="V294" i="17" a="1"/>
  <c r="V294" i="17" s="1"/>
  <c r="V324" i="17" a="1"/>
  <c r="V324" i="17" s="1"/>
  <c r="V354" i="17" a="1"/>
  <c r="V354" i="17" s="1"/>
  <c r="V428" i="17" a="1"/>
  <c r="V428" i="17" s="1"/>
  <c r="V429" i="17" a="1"/>
  <c r="V429" i="17"/>
  <c r="V430" i="17" a="1"/>
  <c r="V430" i="17" s="1"/>
  <c r="V474" i="17" a="1"/>
  <c r="V474" i="17" s="1"/>
  <c r="V548" i="17" a="1"/>
  <c r="V548" i="17" s="1"/>
  <c r="V549" i="17" a="1"/>
  <c r="V549" i="17" s="1"/>
  <c r="V550" i="17" a="1"/>
  <c r="V550" i="17" s="1"/>
  <c r="V594" i="17" a="1"/>
  <c r="V594" i="17" s="1"/>
  <c r="V668" i="17" a="1"/>
  <c r="V668" i="17" s="1"/>
  <c r="V669" i="17" a="1"/>
  <c r="V669" i="17" s="1"/>
  <c r="V670" i="17" a="1"/>
  <c r="V670" i="17" s="1"/>
  <c r="V714" i="17" a="1"/>
  <c r="V714" i="17" s="1"/>
  <c r="V744" i="17" a="1"/>
  <c r="V744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/>
  <c r="V145" i="17" a="1"/>
  <c r="V145" i="17" s="1"/>
  <c r="V251" i="17" a="1"/>
  <c r="V251" i="17" s="1"/>
  <c r="V252" i="17" a="1"/>
  <c r="V252" i="17" s="1"/>
  <c r="V253" i="17" a="1"/>
  <c r="V253" i="17" s="1"/>
  <c r="V295" i="17" a="1"/>
  <c r="V295" i="17" s="1"/>
  <c r="V325" i="17" a="1"/>
  <c r="V325" i="17" s="1"/>
  <c r="V355" i="17" a="1"/>
  <c r="V355" i="17" s="1"/>
  <c r="V431" i="17" a="1"/>
  <c r="V431" i="17" s="1"/>
  <c r="V432" i="17" a="1"/>
  <c r="V432" i="17" s="1"/>
  <c r="V433" i="17" a="1"/>
  <c r="V433" i="17" s="1"/>
  <c r="V475" i="17" a="1"/>
  <c r="V475" i="17" s="1"/>
  <c r="V551" i="17" a="1"/>
  <c r="V551" i="17" s="1"/>
  <c r="V552" i="17" a="1"/>
  <c r="V552" i="17" s="1"/>
  <c r="V553" i="17" a="1"/>
  <c r="V553" i="17" s="1"/>
  <c r="V595" i="17" a="1"/>
  <c r="V595" i="17" s="1"/>
  <c r="V671" i="17" a="1"/>
  <c r="V671" i="17"/>
  <c r="V672" i="17" a="1"/>
  <c r="V672" i="17" s="1"/>
  <c r="V673" i="17" a="1"/>
  <c r="V673" i="17" s="1"/>
  <c r="V715" i="17" a="1"/>
  <c r="V715" i="17" s="1"/>
  <c r="V745" i="17" a="1"/>
  <c r="V745" i="17" s="1"/>
  <c r="V146" i="17" a="1"/>
  <c r="V146" i="17" s="1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254" i="17" a="1"/>
  <c r="V254" i="17" s="1"/>
  <c r="V255" i="17" a="1"/>
  <c r="V255" i="17" s="1"/>
  <c r="V256" i="17" a="1"/>
  <c r="V256" i="17" s="1"/>
  <c r="V296" i="17" a="1"/>
  <c r="V296" i="17" s="1"/>
  <c r="V326" i="17" a="1"/>
  <c r="V326" i="17" s="1"/>
  <c r="V356" i="17" a="1"/>
  <c r="V356" i="17"/>
  <c r="V434" i="17" a="1"/>
  <c r="V434" i="17" s="1"/>
  <c r="V435" i="17" a="1"/>
  <c r="V435" i="17" s="1"/>
  <c r="V436" i="17" a="1"/>
  <c r="V436" i="17" s="1"/>
  <c r="V476" i="17" a="1"/>
  <c r="V476" i="17" s="1"/>
  <c r="V554" i="17" a="1"/>
  <c r="V554" i="17" s="1"/>
  <c r="V555" i="17" a="1"/>
  <c r="V555" i="17" s="1"/>
  <c r="V556" i="17" a="1"/>
  <c r="V556" i="17" s="1"/>
  <c r="V596" i="17" a="1"/>
  <c r="V596" i="17" s="1"/>
  <c r="V674" i="17" a="1"/>
  <c r="V674" i="17" s="1"/>
  <c r="V675" i="17" a="1"/>
  <c r="V675" i="17" s="1"/>
  <c r="V676" i="17" a="1"/>
  <c r="V676" i="17" s="1"/>
  <c r="V716" i="17" a="1"/>
  <c r="V716" i="17" s="1"/>
  <c r="V746" i="17" a="1"/>
  <c r="V746" i="17" s="1"/>
  <c r="V152" i="17" a="1"/>
  <c r="V152" i="17" s="1"/>
  <c r="V153" i="17" a="1"/>
  <c r="V153" i="17" s="1"/>
  <c r="V154" i="17" a="1"/>
  <c r="V154" i="17"/>
  <c r="V155" i="17" a="1"/>
  <c r="V155" i="17" s="1"/>
  <c r="V156" i="17" a="1"/>
  <c r="V156" i="17" s="1"/>
  <c r="V157" i="17" a="1"/>
  <c r="V157" i="17" s="1"/>
  <c r="V257" i="17" a="1"/>
  <c r="V257" i="17" s="1"/>
  <c r="V258" i="17" a="1"/>
  <c r="V258" i="17" s="1"/>
  <c r="V259" i="17" a="1"/>
  <c r="V259" i="17" s="1"/>
  <c r="V297" i="17" a="1"/>
  <c r="V297" i="17" s="1"/>
  <c r="V327" i="17" a="1"/>
  <c r="V327" i="17" s="1"/>
  <c r="V357" i="17" a="1"/>
  <c r="V357" i="17" s="1"/>
  <c r="V437" i="17" a="1"/>
  <c r="V437" i="17" s="1"/>
  <c r="V438" i="17" a="1"/>
  <c r="V438" i="17" s="1"/>
  <c r="V439" i="17" a="1"/>
  <c r="V439" i="17" s="1"/>
  <c r="V477" i="17" a="1"/>
  <c r="V477" i="17" s="1"/>
  <c r="V557" i="17" a="1"/>
  <c r="V557" i="17" s="1"/>
  <c r="V558" i="17" a="1"/>
  <c r="V558" i="17" s="1"/>
  <c r="V559" i="17" a="1"/>
  <c r="V559" i="17" s="1"/>
  <c r="V597" i="17" a="1"/>
  <c r="V597" i="17" s="1"/>
  <c r="V677" i="17" a="1"/>
  <c r="V677" i="17" s="1"/>
  <c r="V678" i="17" a="1"/>
  <c r="V678" i="17" s="1"/>
  <c r="V679" i="17" a="1"/>
  <c r="V679" i="17" s="1"/>
  <c r="V717" i="17" a="1"/>
  <c r="V717" i="17" s="1"/>
  <c r="V747" i="17" a="1"/>
  <c r="V747" i="17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60" i="17" a="1"/>
  <c r="V260" i="17" s="1"/>
  <c r="V261" i="17" a="1"/>
  <c r="V261" i="17"/>
  <c r="V262" i="17" a="1"/>
  <c r="V262" i="17" s="1"/>
  <c r="V298" i="17" a="1"/>
  <c r="V298" i="17" s="1"/>
  <c r="V328" i="17" a="1"/>
  <c r="V328" i="17" s="1"/>
  <c r="V358" i="17" a="1"/>
  <c r="V358" i="17" s="1"/>
  <c r="V440" i="17" a="1"/>
  <c r="V440" i="17" s="1"/>
  <c r="V441" i="17" a="1"/>
  <c r="V441" i="17" s="1"/>
  <c r="V442" i="17" a="1"/>
  <c r="V442" i="17" s="1"/>
  <c r="V478" i="17" a="1"/>
  <c r="V478" i="17" s="1"/>
  <c r="V560" i="17" a="1"/>
  <c r="V560" i="17" s="1"/>
  <c r="V561" i="17" a="1"/>
  <c r="V561" i="17" s="1"/>
  <c r="V562" i="17" a="1"/>
  <c r="V562" i="17" s="1"/>
  <c r="V598" i="17" a="1"/>
  <c r="V598" i="17" s="1"/>
  <c r="V680" i="17" a="1"/>
  <c r="V680" i="17" s="1"/>
  <c r="V681" i="17" a="1"/>
  <c r="V681" i="17" s="1"/>
  <c r="V682" i="17" a="1"/>
  <c r="V682" i="17" s="1"/>
  <c r="V718" i="17" a="1"/>
  <c r="V718" i="17"/>
  <c r="V748" i="17" a="1"/>
  <c r="V748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 s="1"/>
  <c r="V263" i="17" a="1"/>
  <c r="V263" i="17" s="1"/>
  <c r="V264" i="17" a="1"/>
  <c r="V264" i="17" s="1"/>
  <c r="V265" i="17" a="1"/>
  <c r="V265" i="17" s="1"/>
  <c r="V299" i="17" a="1"/>
  <c r="V299" i="17" s="1"/>
  <c r="V329" i="17" a="1"/>
  <c r="V329" i="17" s="1"/>
  <c r="V359" i="17" a="1"/>
  <c r="V359" i="17" s="1"/>
  <c r="V443" i="17" a="1"/>
  <c r="V443" i="17" s="1"/>
  <c r="V444" i="17" a="1"/>
  <c r="V444" i="17" s="1"/>
  <c r="V445" i="17" a="1"/>
  <c r="V445" i="17"/>
  <c r="V479" i="17" a="1"/>
  <c r="V479" i="17" s="1"/>
  <c r="V563" i="17" a="1"/>
  <c r="V563" i="17" s="1"/>
  <c r="V564" i="17" a="1"/>
  <c r="V564" i="17" s="1"/>
  <c r="V565" i="17" a="1"/>
  <c r="V565" i="17" s="1"/>
  <c r="V599" i="17" a="1"/>
  <c r="V599" i="17" s="1"/>
  <c r="V683" i="17" a="1"/>
  <c r="V683" i="17" s="1"/>
  <c r="V684" i="17" a="1"/>
  <c r="V684" i="17" s="1"/>
  <c r="V685" i="17" a="1"/>
  <c r="V685" i="17" s="1"/>
  <c r="V719" i="17" a="1"/>
  <c r="V719" i="17" s="1"/>
  <c r="V749" i="17" a="1"/>
  <c r="V74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/>
  <c r="V266" i="17" a="1"/>
  <c r="V266" i="17" s="1"/>
  <c r="V267" i="17" a="1"/>
  <c r="V267" i="17" s="1"/>
  <c r="V268" i="17" a="1"/>
  <c r="V268" i="17" s="1"/>
  <c r="V300" i="17" a="1"/>
  <c r="V300" i="17" s="1"/>
  <c r="V330" i="17" a="1"/>
  <c r="V330" i="17" s="1"/>
  <c r="V360" i="17" a="1"/>
  <c r="V360" i="17" s="1"/>
  <c r="V446" i="17" a="1"/>
  <c r="V446" i="17" s="1"/>
  <c r="V447" i="17" a="1"/>
  <c r="V447" i="17" s="1"/>
  <c r="V448" i="17" a="1"/>
  <c r="V448" i="17" s="1"/>
  <c r="V480" i="17" a="1"/>
  <c r="V480" i="17" s="1"/>
  <c r="V566" i="17" a="1"/>
  <c r="V566" i="17" s="1"/>
  <c r="V567" i="17" a="1"/>
  <c r="V567" i="17" s="1"/>
  <c r="V568" i="17" a="1"/>
  <c r="V568" i="17" s="1"/>
  <c r="V600" i="17" a="1"/>
  <c r="V600" i="17" s="1"/>
  <c r="V686" i="17" a="1"/>
  <c r="V686" i="17" s="1"/>
  <c r="V687" i="17" a="1"/>
  <c r="V687" i="17"/>
  <c r="V688" i="17" a="1"/>
  <c r="V688" i="17" s="1"/>
  <c r="V720" i="17" a="1"/>
  <c r="V720" i="17" s="1"/>
  <c r="V750" i="17" a="1"/>
  <c r="V75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269" i="17" a="1"/>
  <c r="V269" i="17" s="1"/>
  <c r="V270" i="17" a="1"/>
  <c r="V270" i="17" s="1"/>
  <c r="V271" i="17" a="1"/>
  <c r="V271" i="17" s="1"/>
  <c r="V301" i="17" a="1"/>
  <c r="V301" i="17" s="1"/>
  <c r="V331" i="17" a="1"/>
  <c r="V331" i="17" s="1"/>
  <c r="V361" i="17" a="1"/>
  <c r="V361" i="17" s="1"/>
  <c r="V449" i="17" a="1"/>
  <c r="V449" i="17"/>
  <c r="V450" i="17" a="1"/>
  <c r="V450" i="17" s="1"/>
  <c r="V451" i="17" a="1"/>
  <c r="V451" i="17" s="1"/>
  <c r="V481" i="17" a="1"/>
  <c r="V481" i="17" s="1"/>
  <c r="V569" i="17" a="1"/>
  <c r="V569" i="17" s="1"/>
  <c r="V570" i="17" a="1"/>
  <c r="V570" i="17" s="1"/>
  <c r="V571" i="17" a="1"/>
  <c r="V571" i="17" s="1"/>
  <c r="V601" i="17" a="1"/>
  <c r="V601" i="17" s="1"/>
  <c r="V689" i="17" a="1"/>
  <c r="V689" i="17" s="1"/>
  <c r="V690" i="17" a="1"/>
  <c r="V690" i="17" s="1"/>
  <c r="V691" i="17" a="1"/>
  <c r="V691" i="17" s="1"/>
  <c r="V721" i="17" a="1"/>
  <c r="V721" i="17" s="1"/>
  <c r="V751" i="17" a="1"/>
  <c r="V751" i="17" s="1"/>
  <c r="X2" i="17" a="1"/>
  <c r="X2" i="17" s="1"/>
  <c r="Y2" i="17" s="1"/>
  <c r="Q2" i="17" s="1"/>
  <c r="W2" i="17" s="1"/>
  <c r="X3" i="17" a="1"/>
  <c r="X3" i="17" s="1"/>
  <c r="X4" i="17" a="1"/>
  <c r="X4" i="17" s="1"/>
  <c r="X5" i="17" a="1"/>
  <c r="X5" i="17" s="1"/>
  <c r="Y5" i="17" s="1"/>
  <c r="Q5" i="17" s="1"/>
  <c r="W5" i="17" s="1"/>
  <c r="X6" i="17" a="1"/>
  <c r="X6" i="17" s="1"/>
  <c r="Y6" i="17" s="1"/>
  <c r="Q6" i="17" s="1"/>
  <c r="W6" i="17" s="1"/>
  <c r="X7" i="17" a="1"/>
  <c r="X7" i="17" s="1"/>
  <c r="X182" i="17" a="1"/>
  <c r="X182" i="17" s="1"/>
  <c r="Y182" i="17" s="1"/>
  <c r="Q182" i="17" s="1"/>
  <c r="W182" i="17" s="1"/>
  <c r="X183" i="17" a="1"/>
  <c r="X183" i="17" s="1"/>
  <c r="Y183" i="17" s="1"/>
  <c r="Q183" i="17" s="1"/>
  <c r="W183" i="17" s="1"/>
  <c r="X184" i="17" a="1"/>
  <c r="X184" i="17" s="1"/>
  <c r="X272" i="17" a="1"/>
  <c r="X272" i="17" s="1"/>
  <c r="X302" i="17" a="1"/>
  <c r="X302" i="17" s="1"/>
  <c r="Y302" i="17" s="1"/>
  <c r="Q302" i="17" s="1"/>
  <c r="W302" i="17" s="1"/>
  <c r="X332" i="17" a="1"/>
  <c r="X332" i="17" s="1"/>
  <c r="Y332" i="17" s="1"/>
  <c r="Q332" i="17" s="1"/>
  <c r="W332" i="17" s="1"/>
  <c r="X362" i="17" a="1"/>
  <c r="X362" i="17" s="1"/>
  <c r="Y362" i="17" s="1"/>
  <c r="Q362" i="17" s="1"/>
  <c r="W362" i="17" s="1"/>
  <c r="X363" i="17" a="1"/>
  <c r="X363" i="17" s="1"/>
  <c r="X364" i="17" a="1"/>
  <c r="X364" i="17"/>
  <c r="X452" i="17" a="1"/>
  <c r="X452" i="17" s="1"/>
  <c r="Y452" i="17" s="1"/>
  <c r="Q452" i="17" s="1"/>
  <c r="W452" i="17" s="1"/>
  <c r="X482" i="17" a="1"/>
  <c r="X482" i="17" s="1"/>
  <c r="Y482" i="17" s="1"/>
  <c r="Q482" i="17" s="1"/>
  <c r="W482" i="17" s="1"/>
  <c r="X483" i="17" a="1"/>
  <c r="X483" i="17" s="1"/>
  <c r="X484" i="17" a="1"/>
  <c r="X484" i="17" s="1"/>
  <c r="X572" i="17" a="1"/>
  <c r="X572" i="17" s="1"/>
  <c r="Y572" i="17" s="1"/>
  <c r="Q572" i="17" s="1"/>
  <c r="W572" i="17" s="1"/>
  <c r="X602" i="17" a="1"/>
  <c r="X602" i="17" s="1"/>
  <c r="Y602" i="17" s="1"/>
  <c r="Q602" i="17" s="1"/>
  <c r="W602" i="17" s="1"/>
  <c r="X603" i="17" a="1"/>
  <c r="X603" i="17" s="1"/>
  <c r="X604" i="17" a="1"/>
  <c r="X604" i="17" s="1"/>
  <c r="Y604" i="17" s="1"/>
  <c r="Q604" i="17" s="1"/>
  <c r="W604" i="17" s="1"/>
  <c r="X692" i="17" a="1"/>
  <c r="X692" i="17" s="1"/>
  <c r="Y692" i="17" s="1"/>
  <c r="Q692" i="17" s="1"/>
  <c r="W692" i="17" s="1"/>
  <c r="X722" i="17" a="1"/>
  <c r="X722" i="17" s="1"/>
  <c r="X8" i="17" a="1"/>
  <c r="X8" i="17" s="1"/>
  <c r="X9" i="17" a="1"/>
  <c r="X9" i="17" s="1"/>
  <c r="Y9" i="17" s="1"/>
  <c r="Q9" i="17" s="1"/>
  <c r="W9" i="17" s="1"/>
  <c r="X10" i="17" a="1"/>
  <c r="X10" i="17" s="1"/>
  <c r="Y10" i="17" s="1"/>
  <c r="Q10" i="17" s="1"/>
  <c r="W10" i="17" s="1"/>
  <c r="X11" i="17" a="1"/>
  <c r="X11" i="17" s="1"/>
  <c r="Y11" i="17" s="1"/>
  <c r="Q11" i="17" s="1"/>
  <c r="W11" i="17" s="1"/>
  <c r="X12" i="17" a="1"/>
  <c r="X12" i="17" s="1"/>
  <c r="X13" i="17" a="1"/>
  <c r="X13" i="17"/>
  <c r="X185" i="17" a="1"/>
  <c r="X185" i="17" s="1"/>
  <c r="Y185" i="17" s="1"/>
  <c r="Q185" i="17" s="1"/>
  <c r="W185" i="17" s="1"/>
  <c r="X186" i="17" a="1"/>
  <c r="X186" i="17" s="1"/>
  <c r="Y186" i="17" s="1"/>
  <c r="Q186" i="17" s="1"/>
  <c r="W186" i="17" s="1"/>
  <c r="X187" i="17" a="1"/>
  <c r="X187" i="17" s="1"/>
  <c r="X273" i="17" a="1"/>
  <c r="X273" i="17" s="1"/>
  <c r="X303" i="17" a="1"/>
  <c r="X303" i="17" s="1"/>
  <c r="Y303" i="17" s="1"/>
  <c r="Q303" i="17" s="1"/>
  <c r="W303" i="17" s="1"/>
  <c r="X333" i="17" a="1"/>
  <c r="X333" i="17" s="1"/>
  <c r="Y333" i="17" s="1"/>
  <c r="Q333" i="17" s="1"/>
  <c r="W333" i="17" s="1"/>
  <c r="X365" i="17" a="1"/>
  <c r="X365" i="17" s="1"/>
  <c r="X366" i="17" a="1"/>
  <c r="X366" i="17" s="1"/>
  <c r="Y366" i="17" s="1"/>
  <c r="Q366" i="17" s="1"/>
  <c r="W366" i="17" s="1"/>
  <c r="X367" i="17" a="1"/>
  <c r="X367" i="17" s="1"/>
  <c r="Y367" i="17" s="1"/>
  <c r="Q367" i="17" s="1"/>
  <c r="W367" i="17" s="1"/>
  <c r="X453" i="17" a="1"/>
  <c r="X453" i="17" s="1"/>
  <c r="X485" i="17" a="1"/>
  <c r="X485" i="17" s="1"/>
  <c r="X486" i="17" a="1"/>
  <c r="X486" i="17" s="1"/>
  <c r="Y486" i="17" s="1"/>
  <c r="Q486" i="17" s="1"/>
  <c r="W486" i="17" s="1"/>
  <c r="X487" i="17" a="1"/>
  <c r="X487" i="17" s="1"/>
  <c r="Y487" i="17" s="1"/>
  <c r="Q487" i="17" s="1"/>
  <c r="W487" i="17" s="1"/>
  <c r="X573" i="17" a="1"/>
  <c r="X573" i="17" s="1"/>
  <c r="Y573" i="17" s="1"/>
  <c r="Q573" i="17" s="1"/>
  <c r="W573" i="17" s="1"/>
  <c r="X605" i="17" a="1"/>
  <c r="X605" i="17" s="1"/>
  <c r="X606" i="17" a="1"/>
  <c r="X606" i="17"/>
  <c r="X607" i="17" a="1"/>
  <c r="X607" i="17" s="1"/>
  <c r="Y607" i="17" s="1"/>
  <c r="Q607" i="17" s="1"/>
  <c r="W607" i="17" s="1"/>
  <c r="X693" i="17" a="1"/>
  <c r="X693" i="17" s="1"/>
  <c r="Y693" i="17" s="1"/>
  <c r="Q693" i="17" s="1"/>
  <c r="W693" i="17" s="1"/>
  <c r="X723" i="17" a="1"/>
  <c r="X723" i="17" s="1"/>
  <c r="X14" i="17" a="1"/>
  <c r="X14" i="17" s="1"/>
  <c r="X15" i="17" a="1"/>
  <c r="X15" i="17" s="1"/>
  <c r="Y15" i="17" s="1"/>
  <c r="Q15" i="17" s="1"/>
  <c r="W15" i="17" s="1"/>
  <c r="X16" i="17" a="1"/>
  <c r="X16" i="17" s="1"/>
  <c r="Y16" i="17" s="1"/>
  <c r="Q16" i="17" s="1"/>
  <c r="W16" i="17" s="1"/>
  <c r="X17" i="17" a="1"/>
  <c r="X17" i="17" s="1"/>
  <c r="X18" i="17" a="1"/>
  <c r="X18" i="17" s="1"/>
  <c r="Y18" i="17" s="1"/>
  <c r="Q18" i="17" s="1"/>
  <c r="W18" i="17" s="1"/>
  <c r="X19" i="17" a="1"/>
  <c r="X19" i="17" s="1"/>
  <c r="Y19" i="17" s="1"/>
  <c r="Q19" i="17" s="1"/>
  <c r="W19" i="17" s="1"/>
  <c r="X188" i="17" a="1"/>
  <c r="X188" i="17" s="1"/>
  <c r="X189" i="17" a="1"/>
  <c r="X189" i="17" s="1"/>
  <c r="X190" i="17" a="1"/>
  <c r="X190" i="17" s="1"/>
  <c r="Y190" i="17" s="1"/>
  <c r="Q190" i="17" s="1"/>
  <c r="W190" i="17" s="1"/>
  <c r="X274" i="17" a="1"/>
  <c r="X274" i="17" s="1"/>
  <c r="Y274" i="17" s="1"/>
  <c r="Q274" i="17" s="1"/>
  <c r="W274" i="17" s="1"/>
  <c r="X304" i="17" a="1"/>
  <c r="X304" i="17" s="1"/>
  <c r="Y304" i="17" s="1"/>
  <c r="Q304" i="17" s="1"/>
  <c r="W304" i="17" s="1"/>
  <c r="X334" i="17" a="1"/>
  <c r="X334" i="17" s="1"/>
  <c r="X368" i="17" a="1"/>
  <c r="X368" i="17"/>
  <c r="X369" i="17" a="1"/>
  <c r="X369" i="17" s="1"/>
  <c r="Y369" i="17" s="1"/>
  <c r="Q369" i="17" s="1"/>
  <c r="W369" i="17" s="1"/>
  <c r="X370" i="17" a="1"/>
  <c r="X370" i="17" s="1"/>
  <c r="Y370" i="17" s="1"/>
  <c r="Q370" i="17" s="1"/>
  <c r="W370" i="17" s="1"/>
  <c r="X454" i="17" a="1"/>
  <c r="X454" i="17" s="1"/>
  <c r="X488" i="17" a="1"/>
  <c r="X488" i="17" s="1"/>
  <c r="X489" i="17" a="1"/>
  <c r="X489" i="17" s="1"/>
  <c r="Y489" i="17" s="1"/>
  <c r="Q489" i="17" s="1"/>
  <c r="W489" i="17" s="1"/>
  <c r="X490" i="17" a="1"/>
  <c r="X490" i="17" s="1"/>
  <c r="Y490" i="17" s="1"/>
  <c r="Q490" i="17" s="1"/>
  <c r="W490" i="17" s="1"/>
  <c r="X574" i="17" a="1"/>
  <c r="X574" i="17" s="1"/>
  <c r="X608" i="17" a="1"/>
  <c r="X608" i="17" s="1"/>
  <c r="Y608" i="17" s="1"/>
  <c r="Q608" i="17" s="1"/>
  <c r="W608" i="17" s="1"/>
  <c r="X609" i="17" a="1"/>
  <c r="X609" i="17" s="1"/>
  <c r="Y609" i="17" s="1"/>
  <c r="Q609" i="17" s="1"/>
  <c r="W609" i="17" s="1"/>
  <c r="X610" i="17" a="1"/>
  <c r="X610" i="17" s="1"/>
  <c r="X694" i="17" a="1"/>
  <c r="X694" i="17" s="1"/>
  <c r="X724" i="17" a="1"/>
  <c r="X724" i="17" s="1"/>
  <c r="Y724" i="17" s="1"/>
  <c r="Q724" i="17" s="1"/>
  <c r="W724" i="17" s="1"/>
  <c r="X20" i="17" a="1"/>
  <c r="X20" i="17" s="1"/>
  <c r="Y20" i="17" s="1"/>
  <c r="Q20" i="17" s="1"/>
  <c r="W20" i="17" s="1"/>
  <c r="X21" i="17" a="1"/>
  <c r="X21" i="17" s="1"/>
  <c r="Y21" i="17" s="1"/>
  <c r="Q21" i="17" s="1"/>
  <c r="W21" i="17" s="1"/>
  <c r="X22" i="17" a="1"/>
  <c r="X22" i="17" s="1"/>
  <c r="X23" i="17" a="1"/>
  <c r="X23" i="17"/>
  <c r="X24" i="17" a="1"/>
  <c r="X24" i="17" s="1"/>
  <c r="Y24" i="17" s="1"/>
  <c r="Q24" i="17" s="1"/>
  <c r="W24" i="17" s="1"/>
  <c r="X25" i="17" a="1"/>
  <c r="X25" i="17" s="1"/>
  <c r="Y25" i="17" s="1"/>
  <c r="Q25" i="17" s="1"/>
  <c r="W25" i="17" s="1"/>
  <c r="X191" i="17" a="1"/>
  <c r="X191" i="17" s="1"/>
  <c r="X192" i="17" a="1"/>
  <c r="X192" i="17" s="1"/>
  <c r="X193" i="17" a="1"/>
  <c r="X193" i="17" s="1"/>
  <c r="Y193" i="17" s="1"/>
  <c r="Q193" i="17" s="1"/>
  <c r="W193" i="17" s="1"/>
  <c r="X275" i="17" a="1"/>
  <c r="X275" i="17" s="1"/>
  <c r="Y275" i="17" s="1"/>
  <c r="Q275" i="17" s="1"/>
  <c r="W275" i="17" s="1"/>
  <c r="X305" i="17" a="1"/>
  <c r="X305" i="17" s="1"/>
  <c r="X335" i="17" a="1"/>
  <c r="X335" i="17" s="1"/>
  <c r="Y335" i="17" s="1"/>
  <c r="Q335" i="17" s="1"/>
  <c r="W335" i="17" s="1"/>
  <c r="X371" i="17" a="1"/>
  <c r="X371" i="17" s="1"/>
  <c r="Y371" i="17" s="1"/>
  <c r="Q371" i="17" s="1"/>
  <c r="W371" i="17" s="1"/>
  <c r="X372" i="17" a="1"/>
  <c r="X372" i="17" s="1"/>
  <c r="X373" i="17" a="1"/>
  <c r="X373" i="17" s="1"/>
  <c r="X455" i="17" a="1"/>
  <c r="X455" i="17" s="1"/>
  <c r="Y455" i="17" s="1"/>
  <c r="Q455" i="17" s="1"/>
  <c r="W455" i="17" s="1"/>
  <c r="X491" i="17" a="1"/>
  <c r="X491" i="17" s="1"/>
  <c r="Y491" i="17" s="1"/>
  <c r="Q491" i="17" s="1"/>
  <c r="W491" i="17" s="1"/>
  <c r="X492" i="17" a="1"/>
  <c r="X492" i="17" s="1"/>
  <c r="Y492" i="17" s="1"/>
  <c r="Q492" i="17" s="1"/>
  <c r="W492" i="17" s="1"/>
  <c r="X493" i="17" a="1"/>
  <c r="X493" i="17" s="1"/>
  <c r="X575" i="17" a="1"/>
  <c r="X575" i="17"/>
  <c r="X611" i="17" a="1"/>
  <c r="X611" i="17" s="1"/>
  <c r="Y611" i="17" s="1"/>
  <c r="Q611" i="17" s="1"/>
  <c r="W611" i="17" s="1"/>
  <c r="X612" i="17" a="1"/>
  <c r="X612" i="17" s="1"/>
  <c r="Y612" i="17" s="1"/>
  <c r="Q612" i="17" s="1"/>
  <c r="W612" i="17" s="1"/>
  <c r="X613" i="17" a="1"/>
  <c r="X613" i="17" s="1"/>
  <c r="X695" i="17" a="1"/>
  <c r="X695" i="17" s="1"/>
  <c r="X725" i="17" a="1"/>
  <c r="X725" i="17" s="1"/>
  <c r="Y725" i="17" s="1"/>
  <c r="Q725" i="17" s="1"/>
  <c r="W725" i="17" s="1"/>
  <c r="X26" i="17" a="1"/>
  <c r="X26" i="17" s="1"/>
  <c r="Y26" i="17" s="1"/>
  <c r="Q26" i="17" s="1"/>
  <c r="W26" i="17" s="1"/>
  <c r="X27" i="17" a="1"/>
  <c r="X27" i="17" s="1"/>
  <c r="X28" i="17" a="1"/>
  <c r="X28" i="17" s="1"/>
  <c r="Y28" i="17" s="1"/>
  <c r="Q28" i="17" s="1"/>
  <c r="W28" i="17" s="1"/>
  <c r="X29" i="17" a="1"/>
  <c r="X29" i="17" s="1"/>
  <c r="Y29" i="17" s="1"/>
  <c r="Q29" i="17" s="1"/>
  <c r="W29" i="17" s="1"/>
  <c r="X30" i="17" a="1"/>
  <c r="X30" i="17" s="1"/>
  <c r="X31" i="17" a="1"/>
  <c r="X31" i="17" s="1"/>
  <c r="X194" i="17" a="1"/>
  <c r="X194" i="17" s="1"/>
  <c r="Y194" i="17" s="1"/>
  <c r="Q194" i="17" s="1"/>
  <c r="W194" i="17" s="1"/>
  <c r="X195" i="17" a="1"/>
  <c r="X195" i="17" s="1"/>
  <c r="Y195" i="17" s="1"/>
  <c r="Q195" i="17" s="1"/>
  <c r="W195" i="17" s="1"/>
  <c r="X196" i="17" a="1"/>
  <c r="X196" i="17" s="1"/>
  <c r="Y196" i="17" s="1"/>
  <c r="Q196" i="17" s="1"/>
  <c r="W196" i="17" s="1"/>
  <c r="X276" i="17" a="1"/>
  <c r="X276" i="17" s="1"/>
  <c r="X306" i="17" a="1"/>
  <c r="X306" i="17"/>
  <c r="X336" i="17" a="1"/>
  <c r="X336" i="17" s="1"/>
  <c r="Y336" i="17" s="1"/>
  <c r="Q336" i="17" s="1"/>
  <c r="W336" i="17" s="1"/>
  <c r="X374" i="17" a="1"/>
  <c r="X374" i="17" s="1"/>
  <c r="Y374" i="17" s="1"/>
  <c r="Q374" i="17" s="1"/>
  <c r="W374" i="17" s="1"/>
  <c r="X375" i="17" a="1"/>
  <c r="X375" i="17" s="1"/>
  <c r="X376" i="17" a="1"/>
  <c r="X376" i="17" s="1"/>
  <c r="X456" i="17" a="1"/>
  <c r="X456" i="17" s="1"/>
  <c r="Y456" i="17" s="1"/>
  <c r="Q456" i="17" s="1"/>
  <c r="W456" i="17" s="1"/>
  <c r="X494" i="17" a="1"/>
  <c r="X494" i="17" s="1"/>
  <c r="Y494" i="17" s="1"/>
  <c r="Q494" i="17" s="1"/>
  <c r="W494" i="17" s="1"/>
  <c r="X495" i="17" a="1"/>
  <c r="X495" i="17" s="1"/>
  <c r="X496" i="17" a="1"/>
  <c r="X496" i="17" s="1"/>
  <c r="Y496" i="17" s="1"/>
  <c r="Q496" i="17" s="1"/>
  <c r="W496" i="17" s="1"/>
  <c r="X576" i="17" a="1"/>
  <c r="X576" i="17" s="1"/>
  <c r="Y576" i="17" s="1"/>
  <c r="Q576" i="17" s="1"/>
  <c r="W576" i="17" s="1"/>
  <c r="X614" i="17" a="1"/>
  <c r="X614" i="17" s="1"/>
  <c r="X615" i="17" a="1"/>
  <c r="X615" i="17" s="1"/>
  <c r="X616" i="17" a="1"/>
  <c r="X616" i="17" s="1"/>
  <c r="Y616" i="17" s="1"/>
  <c r="Q616" i="17" s="1"/>
  <c r="W616" i="17" s="1"/>
  <c r="X696" i="17" a="1"/>
  <c r="X696" i="17" s="1"/>
  <c r="Y696" i="17" s="1"/>
  <c r="Q696" i="17" s="1"/>
  <c r="W696" i="17" s="1"/>
  <c r="X726" i="17" a="1"/>
  <c r="X726" i="17" s="1"/>
  <c r="Y726" i="17" s="1"/>
  <c r="Q726" i="17" s="1"/>
  <c r="W726" i="17" s="1"/>
  <c r="X32" i="17" a="1"/>
  <c r="X32" i="17" s="1"/>
  <c r="X33" i="17" a="1"/>
  <c r="X33" i="17"/>
  <c r="X34" i="17" a="1"/>
  <c r="X34" i="17" s="1"/>
  <c r="Y34" i="17" s="1"/>
  <c r="Q34" i="17" s="1"/>
  <c r="W34" i="17" s="1"/>
  <c r="X35" i="17" a="1"/>
  <c r="X35" i="17" s="1"/>
  <c r="Y35" i="17" s="1"/>
  <c r="Q35" i="17" s="1"/>
  <c r="W35" i="17" s="1"/>
  <c r="X36" i="17" a="1"/>
  <c r="X36" i="17" s="1"/>
  <c r="X37" i="17" a="1"/>
  <c r="X37" i="17" s="1"/>
  <c r="X197" i="17" a="1"/>
  <c r="X197" i="17" s="1"/>
  <c r="Y197" i="17" s="1"/>
  <c r="Q197" i="17" s="1"/>
  <c r="W197" i="17" s="1"/>
  <c r="X198" i="17" a="1"/>
  <c r="X198" i="17" s="1"/>
  <c r="Y198" i="17" s="1"/>
  <c r="Q198" i="17" s="1"/>
  <c r="W198" i="17" s="1"/>
  <c r="X199" i="17" a="1"/>
  <c r="X199" i="17" s="1"/>
  <c r="X277" i="17" a="1"/>
  <c r="X277" i="17" s="1"/>
  <c r="Y277" i="17" s="1"/>
  <c r="Q277" i="17" s="1"/>
  <c r="W277" i="17" s="1"/>
  <c r="X307" i="17" a="1"/>
  <c r="X307" i="17" s="1"/>
  <c r="Y307" i="17" s="1"/>
  <c r="Q307" i="17" s="1"/>
  <c r="W307" i="17" s="1"/>
  <c r="X337" i="17" a="1"/>
  <c r="X337" i="17" s="1"/>
  <c r="X377" i="17" a="1"/>
  <c r="X377" i="17" s="1"/>
  <c r="X378" i="17" a="1"/>
  <c r="X378" i="17" s="1"/>
  <c r="Y378" i="17" s="1"/>
  <c r="Q378" i="17" s="1"/>
  <c r="W378" i="17" s="1"/>
  <c r="X379" i="17" a="1"/>
  <c r="X379" i="17" s="1"/>
  <c r="Y379" i="17" s="1"/>
  <c r="Q379" i="17" s="1"/>
  <c r="W379" i="17" s="1"/>
  <c r="X457" i="17" a="1"/>
  <c r="X457" i="17" s="1"/>
  <c r="Y457" i="17" s="1"/>
  <c r="Q457" i="17" s="1"/>
  <c r="W457" i="17" s="1"/>
  <c r="X497" i="17" a="1"/>
  <c r="X497" i="17" s="1"/>
  <c r="X498" i="17" a="1"/>
  <c r="X498" i="17" s="1"/>
  <c r="X499" i="17" a="1"/>
  <c r="X499" i="17" s="1"/>
  <c r="Y499" i="17" s="1"/>
  <c r="Q499" i="17" s="1"/>
  <c r="W499" i="17" s="1"/>
  <c r="X577" i="17" a="1"/>
  <c r="X577" i="17" s="1"/>
  <c r="Y577" i="17" s="1"/>
  <c r="Q577" i="17" s="1"/>
  <c r="W577" i="17" s="1"/>
  <c r="X617" i="17" a="1"/>
  <c r="X617" i="17" s="1"/>
  <c r="X618" i="17" a="1"/>
  <c r="X618" i="17" s="1"/>
  <c r="X619" i="17" a="1"/>
  <c r="X619" i="17" s="1"/>
  <c r="Y619" i="17" s="1"/>
  <c r="Q619" i="17" s="1"/>
  <c r="W619" i="17" s="1"/>
  <c r="X697" i="17" a="1"/>
  <c r="X697" i="17"/>
  <c r="X727" i="17" a="1"/>
  <c r="X727" i="17" s="1"/>
  <c r="X38" i="17" a="1"/>
  <c r="X38" i="17" s="1"/>
  <c r="Y38" i="17" s="1"/>
  <c r="Q38" i="17" s="1"/>
  <c r="W38" i="17" s="1"/>
  <c r="X39" i="17" a="1"/>
  <c r="X39" i="17" s="1"/>
  <c r="Y39" i="17" s="1"/>
  <c r="Q39" i="17" s="1"/>
  <c r="W39" i="17" s="1"/>
  <c r="X40" i="17" a="1"/>
  <c r="X40" i="17" s="1"/>
  <c r="X41" i="17" a="1"/>
  <c r="X41" i="17" s="1"/>
  <c r="X42" i="17" a="1"/>
  <c r="X42" i="17" s="1"/>
  <c r="Y42" i="17" s="1"/>
  <c r="Q42" i="17" s="1"/>
  <c r="W42" i="17" s="1"/>
  <c r="X43" i="17" a="1"/>
  <c r="X43" i="17" s="1"/>
  <c r="Y43" i="17" s="1"/>
  <c r="Q43" i="17" s="1"/>
  <c r="W43" i="17" s="1"/>
  <c r="X200" i="17" a="1"/>
  <c r="X200" i="17" s="1"/>
  <c r="Y200" i="17" s="1"/>
  <c r="Q200" i="17" s="1"/>
  <c r="W200" i="17" s="1"/>
  <c r="X201" i="17" a="1"/>
  <c r="X201" i="17" s="1"/>
  <c r="X202" i="17" a="1"/>
  <c r="X202" i="17" s="1"/>
  <c r="X278" i="17" a="1"/>
  <c r="X278" i="17" s="1"/>
  <c r="Y278" i="17" s="1"/>
  <c r="Q278" i="17" s="1"/>
  <c r="W278" i="17" s="1"/>
  <c r="X308" i="17" a="1"/>
  <c r="X308" i="17" s="1"/>
  <c r="Y308" i="17" s="1"/>
  <c r="Q308" i="17" s="1"/>
  <c r="W308" i="17" s="1"/>
  <c r="X338" i="17" a="1"/>
  <c r="X338" i="17" s="1"/>
  <c r="X380" i="17" a="1"/>
  <c r="X380" i="17" s="1"/>
  <c r="X381" i="17" a="1"/>
  <c r="X381" i="17" s="1"/>
  <c r="Y381" i="17" s="1"/>
  <c r="Q381" i="17" s="1"/>
  <c r="W381" i="17" s="1"/>
  <c r="X382" i="17" a="1"/>
  <c r="X382" i="17" s="1"/>
  <c r="Y382" i="17" s="1"/>
  <c r="Q382" i="17" s="1"/>
  <c r="W382" i="17" s="1"/>
  <c r="X458" i="17" a="1"/>
  <c r="X458" i="17" s="1"/>
  <c r="X500" i="17" a="1"/>
  <c r="X500" i="17" s="1"/>
  <c r="Y500" i="17" s="1"/>
  <c r="Q500" i="17" s="1"/>
  <c r="W500" i="17" s="1"/>
  <c r="X501" i="17" a="1"/>
  <c r="X501" i="17" s="1"/>
  <c r="Y501" i="17" s="1"/>
  <c r="Q501" i="17" s="1"/>
  <c r="W501" i="17" s="1"/>
  <c r="X502" i="17" a="1"/>
  <c r="X502" i="17" s="1"/>
  <c r="X578" i="17" a="1"/>
  <c r="X578" i="17" s="1"/>
  <c r="X620" i="17" a="1"/>
  <c r="X620" i="17" s="1"/>
  <c r="Y620" i="17" s="1"/>
  <c r="Q620" i="17" s="1"/>
  <c r="W620" i="17" s="1"/>
  <c r="X621" i="17" a="1"/>
  <c r="X621" i="17" s="1"/>
  <c r="Y621" i="17" s="1"/>
  <c r="Q621" i="17" s="1"/>
  <c r="W621" i="17" s="1"/>
  <c r="X622" i="17" a="1"/>
  <c r="X622" i="17"/>
  <c r="X698" i="17" a="1"/>
  <c r="X698" i="17" s="1"/>
  <c r="X728" i="17" a="1"/>
  <c r="X728" i="17" s="1"/>
  <c r="X44" i="17" a="1"/>
  <c r="X44" i="17" s="1"/>
  <c r="Y44" i="17" s="1"/>
  <c r="Q44" i="17" s="1"/>
  <c r="W44" i="17" s="1"/>
  <c r="X45" i="17" a="1"/>
  <c r="X45" i="17" s="1"/>
  <c r="Y45" i="17" s="1"/>
  <c r="Q45" i="17" s="1"/>
  <c r="W45" i="17" s="1"/>
  <c r="X46" i="17" a="1"/>
  <c r="X46" i="17" s="1"/>
  <c r="X47" i="17" a="1"/>
  <c r="X47" i="17" s="1"/>
  <c r="X48" i="17" a="1"/>
  <c r="X48" i="17" s="1"/>
  <c r="Y48" i="17" s="1"/>
  <c r="Q48" i="17" s="1"/>
  <c r="W48" i="17" s="1"/>
  <c r="X49" i="17" a="1"/>
  <c r="X49" i="17" s="1"/>
  <c r="Y49" i="17" s="1"/>
  <c r="Q49" i="17" s="1"/>
  <c r="W49" i="17" s="1"/>
  <c r="X203" i="17" a="1"/>
  <c r="X203" i="17" s="1"/>
  <c r="X204" i="17" a="1"/>
  <c r="X204" i="17" s="1"/>
  <c r="Y204" i="17" s="1"/>
  <c r="Q204" i="17" s="1"/>
  <c r="W204" i="17" s="1"/>
  <c r="X205" i="17" a="1"/>
  <c r="X205" i="17" s="1"/>
  <c r="Y205" i="17" s="1"/>
  <c r="Q205" i="17" s="1"/>
  <c r="W205" i="17" s="1"/>
  <c r="X279" i="17" a="1"/>
  <c r="X279" i="17" s="1"/>
  <c r="X309" i="17" a="1"/>
  <c r="X309" i="17" s="1"/>
  <c r="X339" i="17" a="1"/>
  <c r="X339" i="17" s="1"/>
  <c r="Y339" i="17" s="1"/>
  <c r="Q339" i="17" s="1"/>
  <c r="W339" i="17" s="1"/>
  <c r="X383" i="17" a="1"/>
  <c r="X383" i="17" s="1"/>
  <c r="Y383" i="17" s="1"/>
  <c r="Q383" i="17" s="1"/>
  <c r="W383" i="17" s="1"/>
  <c r="X384" i="17" a="1"/>
  <c r="X384" i="17"/>
  <c r="X385" i="17" a="1"/>
  <c r="X385" i="17" s="1"/>
  <c r="X459" i="17" a="1"/>
  <c r="X459" i="17" s="1"/>
  <c r="X503" i="17" a="1"/>
  <c r="X503" i="17" s="1"/>
  <c r="Y503" i="17" s="1"/>
  <c r="Q503" i="17" s="1"/>
  <c r="W503" i="17" s="1"/>
  <c r="X504" i="17" a="1"/>
  <c r="X504" i="17" s="1"/>
  <c r="Y504" i="17" s="1"/>
  <c r="Q504" i="17" s="1"/>
  <c r="W504" i="17" s="1"/>
  <c r="X505" i="17" a="1"/>
  <c r="X505" i="17" s="1"/>
  <c r="X579" i="17" a="1"/>
  <c r="X579" i="17" s="1"/>
  <c r="X623" i="17" a="1"/>
  <c r="X623" i="17" s="1"/>
  <c r="Y623" i="17" s="1"/>
  <c r="Q623" i="17" s="1"/>
  <c r="W623" i="17" s="1"/>
  <c r="X624" i="17" a="1"/>
  <c r="X624" i="17" s="1"/>
  <c r="Y624" i="17" s="1"/>
  <c r="Q624" i="17" s="1"/>
  <c r="W624" i="17" s="1"/>
  <c r="X625" i="17" a="1"/>
  <c r="X625" i="17" s="1"/>
  <c r="X699" i="17" a="1"/>
  <c r="X699" i="17" s="1"/>
  <c r="Y699" i="17" s="1"/>
  <c r="Q699" i="17" s="1"/>
  <c r="W699" i="17" s="1"/>
  <c r="X729" i="17" a="1"/>
  <c r="X729" i="17" s="1"/>
  <c r="Y729" i="17" s="1"/>
  <c r="Q729" i="17" s="1"/>
  <c r="W729" i="17" s="1"/>
  <c r="X50" i="17" a="1"/>
  <c r="X50" i="17" s="1"/>
  <c r="X51" i="17" a="1"/>
  <c r="X51" i="17" s="1"/>
  <c r="X52" i="17" a="1"/>
  <c r="X52" i="17" s="1"/>
  <c r="Y52" i="17" s="1"/>
  <c r="Q52" i="17" s="1"/>
  <c r="W52" i="17" s="1"/>
  <c r="X53" i="17" a="1"/>
  <c r="X53" i="17" s="1"/>
  <c r="Y53" i="17" s="1"/>
  <c r="Q53" i="17" s="1"/>
  <c r="W53" i="17" s="1"/>
  <c r="X54" i="17" a="1"/>
  <c r="X54" i="17" s="1"/>
  <c r="Y54" i="17" s="1"/>
  <c r="Q54" i="17" s="1"/>
  <c r="W54" i="17" s="1"/>
  <c r="X55" i="17" a="1"/>
  <c r="X55" i="17" s="1"/>
  <c r="X206" i="17" a="1"/>
  <c r="X206" i="17" s="1"/>
  <c r="X207" i="17" a="1"/>
  <c r="X207" i="17" s="1"/>
  <c r="Y207" i="17" s="1"/>
  <c r="Q207" i="17" s="1"/>
  <c r="W207" i="17" s="1"/>
  <c r="X208" i="17" a="1"/>
  <c r="X208" i="17" s="1"/>
  <c r="Y208" i="17" s="1"/>
  <c r="Q208" i="17" s="1"/>
  <c r="W208" i="17" s="1"/>
  <c r="X280" i="17" a="1"/>
  <c r="X280" i="17" s="1"/>
  <c r="X310" i="17" a="1"/>
  <c r="X310" i="17" s="1"/>
  <c r="X340" i="17" a="1"/>
  <c r="X340" i="17" s="1"/>
  <c r="Y340" i="17" s="1"/>
  <c r="Q340" i="17" s="1"/>
  <c r="W340" i="17" s="1"/>
  <c r="X386" i="17" a="1"/>
  <c r="X386" i="17"/>
  <c r="X387" i="17" a="1"/>
  <c r="X387" i="17" s="1"/>
  <c r="X388" i="17" a="1"/>
  <c r="X388" i="17" s="1"/>
  <c r="Y388" i="17" s="1"/>
  <c r="Q388" i="17" s="1"/>
  <c r="W388" i="17" s="1"/>
  <c r="X460" i="17" a="1"/>
  <c r="X460" i="17" s="1"/>
  <c r="Y460" i="17" s="1"/>
  <c r="Q460" i="17" s="1"/>
  <c r="W460" i="17" s="1"/>
  <c r="X506" i="17" a="1"/>
  <c r="X506" i="17" s="1"/>
  <c r="X507" i="17" a="1"/>
  <c r="X507" i="17" s="1"/>
  <c r="X508" i="17" a="1"/>
  <c r="X508" i="17" s="1"/>
  <c r="Y508" i="17" s="1"/>
  <c r="Q508" i="17" s="1"/>
  <c r="W508" i="17" s="1"/>
  <c r="X580" i="17" a="1"/>
  <c r="X580" i="17" s="1"/>
  <c r="Y580" i="17" s="1"/>
  <c r="Q580" i="17" s="1"/>
  <c r="W580" i="17" s="1"/>
  <c r="X626" i="17" a="1"/>
  <c r="X626" i="17" s="1"/>
  <c r="Y626" i="17" s="1"/>
  <c r="Q626" i="17" s="1"/>
  <c r="W626" i="17" s="1"/>
  <c r="X627" i="17" a="1"/>
  <c r="X627" i="17" s="1"/>
  <c r="X628" i="17" a="1"/>
  <c r="X628" i="17" s="1"/>
  <c r="X700" i="17" a="1"/>
  <c r="X700" i="17" s="1"/>
  <c r="Y700" i="17" s="1"/>
  <c r="Q700" i="17" s="1"/>
  <c r="W700" i="17" s="1"/>
  <c r="X730" i="17" a="1"/>
  <c r="X730" i="17" s="1"/>
  <c r="Y730" i="17" s="1"/>
  <c r="Q730" i="17" s="1"/>
  <c r="W730" i="17" s="1"/>
  <c r="X56" i="17" a="1"/>
  <c r="X56" i="17" s="1"/>
  <c r="X57" i="17" a="1"/>
  <c r="X57" i="17" s="1"/>
  <c r="X58" i="17" a="1"/>
  <c r="X58" i="17" s="1"/>
  <c r="Y58" i="17" s="1"/>
  <c r="Q58" i="17" s="1"/>
  <c r="W58" i="17" s="1"/>
  <c r="X59" i="17" a="1"/>
  <c r="X59" i="17" s="1"/>
  <c r="Y59" i="17" s="1"/>
  <c r="Q59" i="17" s="1"/>
  <c r="W59" i="17" s="1"/>
  <c r="X60" i="17" a="1"/>
  <c r="X60" i="17" s="1"/>
  <c r="X61" i="17" a="1"/>
  <c r="X61" i="17" s="1"/>
  <c r="Y61" i="17" s="1"/>
  <c r="Q61" i="17" s="1"/>
  <c r="W61" i="17" s="1"/>
  <c r="X209" i="17" a="1"/>
  <c r="X209" i="17" s="1"/>
  <c r="Y209" i="17" s="1"/>
  <c r="Q209" i="17" s="1"/>
  <c r="W209" i="17" s="1"/>
  <c r="X210" i="17" a="1"/>
  <c r="X210" i="17" s="1"/>
  <c r="X211" i="17" a="1"/>
  <c r="X211" i="17" s="1"/>
  <c r="X281" i="17" a="1"/>
  <c r="X281" i="17" s="1"/>
  <c r="Y281" i="17" s="1"/>
  <c r="Q281" i="17" s="1"/>
  <c r="W281" i="17" s="1"/>
  <c r="X311" i="17" a="1"/>
  <c r="X311" i="17" s="1"/>
  <c r="Y311" i="17" s="1"/>
  <c r="Q311" i="17" s="1"/>
  <c r="W311" i="17" s="1"/>
  <c r="X341" i="17" a="1"/>
  <c r="X341" i="17"/>
  <c r="X389" i="17" a="1"/>
  <c r="X389" i="17" s="1"/>
  <c r="X390" i="17" a="1"/>
  <c r="X390" i="17" s="1"/>
  <c r="X391" i="17" a="1"/>
  <c r="X391" i="17" s="1"/>
  <c r="Y391" i="17" s="1"/>
  <c r="Q391" i="17" s="1"/>
  <c r="W391" i="17" s="1"/>
  <c r="X461" i="17" a="1"/>
  <c r="X461" i="17" s="1"/>
  <c r="Y461" i="17" s="1"/>
  <c r="Q461" i="17" s="1"/>
  <c r="W461" i="17" s="1"/>
  <c r="X509" i="17" a="1"/>
  <c r="X509" i="17" s="1"/>
  <c r="X510" i="17" a="1"/>
  <c r="X510" i="17" s="1"/>
  <c r="X511" i="17" a="1"/>
  <c r="X511" i="17" s="1"/>
  <c r="Y511" i="17" s="1"/>
  <c r="Q511" i="17" s="1"/>
  <c r="W511" i="17" s="1"/>
  <c r="X581" i="17" a="1"/>
  <c r="X581" i="17" s="1"/>
  <c r="Y581" i="17" s="1"/>
  <c r="Q581" i="17" s="1"/>
  <c r="W581" i="17" s="1"/>
  <c r="X629" i="17" a="1"/>
  <c r="X629" i="17" s="1"/>
  <c r="X630" i="17" a="1"/>
  <c r="X630" i="17" s="1"/>
  <c r="Y630" i="17" s="1"/>
  <c r="Q630" i="17" s="1"/>
  <c r="W630" i="17" s="1"/>
  <c r="X631" i="17" a="1"/>
  <c r="X631" i="17" s="1"/>
  <c r="Y631" i="17" s="1"/>
  <c r="Q631" i="17" s="1"/>
  <c r="W631" i="17" s="1"/>
  <c r="X701" i="17" a="1"/>
  <c r="X701" i="17" s="1"/>
  <c r="X731" i="17" a="1"/>
  <c r="X731" i="17" s="1"/>
  <c r="X62" i="17" a="1"/>
  <c r="X62" i="17" s="1"/>
  <c r="Y62" i="17" s="1"/>
  <c r="Q62" i="17" s="1"/>
  <c r="W62" i="17" s="1"/>
  <c r="X63" i="17" a="1"/>
  <c r="X63" i="17" s="1"/>
  <c r="Y63" i="17" s="1"/>
  <c r="Q63" i="17" s="1"/>
  <c r="W63" i="17" s="1"/>
  <c r="X64" i="17" a="1"/>
  <c r="X64" i="17"/>
  <c r="X65" i="17" a="1"/>
  <c r="X65" i="17" s="1"/>
  <c r="X66" i="17" a="1"/>
  <c r="X66" i="17" s="1"/>
  <c r="X67" i="17" a="1"/>
  <c r="X67" i="17" s="1"/>
  <c r="Y67" i="17" s="1"/>
  <c r="Q67" i="17" s="1"/>
  <c r="W67" i="17" s="1"/>
  <c r="X212" i="17" a="1"/>
  <c r="X212" i="17" s="1"/>
  <c r="Y212" i="17" s="1"/>
  <c r="Q212" i="17" s="1"/>
  <c r="W212" i="17" s="1"/>
  <c r="X213" i="17" a="1"/>
  <c r="X213" i="17" s="1"/>
  <c r="X214" i="17" a="1"/>
  <c r="X214" i="17" s="1"/>
  <c r="X282" i="17" a="1"/>
  <c r="X282" i="17" s="1"/>
  <c r="Y282" i="17" s="1"/>
  <c r="Q282" i="17" s="1"/>
  <c r="W282" i="17" s="1"/>
  <c r="X312" i="17" a="1"/>
  <c r="X312" i="17" s="1"/>
  <c r="Y312" i="17" s="1"/>
  <c r="Q312" i="17" s="1"/>
  <c r="W312" i="17" s="1"/>
  <c r="X342" i="17" a="1"/>
  <c r="X342" i="17" s="1"/>
  <c r="X392" i="17" a="1"/>
  <c r="X392" i="17" s="1"/>
  <c r="Y392" i="17" s="1"/>
  <c r="Q392" i="17" s="1"/>
  <c r="W392" i="17" s="1"/>
  <c r="X393" i="17" a="1"/>
  <c r="X393" i="17" s="1"/>
  <c r="Y393" i="17" s="1"/>
  <c r="Q393" i="17" s="1"/>
  <c r="W393" i="17" s="1"/>
  <c r="X394" i="17" a="1"/>
  <c r="X394" i="17" s="1"/>
  <c r="X462" i="17" a="1"/>
  <c r="X462" i="17" s="1"/>
  <c r="X512" i="17" a="1"/>
  <c r="X512" i="17" s="1"/>
  <c r="Y512" i="17" s="1"/>
  <c r="Q512" i="17" s="1"/>
  <c r="W512" i="17" s="1"/>
  <c r="X513" i="17" a="1"/>
  <c r="X513" i="17" s="1"/>
  <c r="Y513" i="17" s="1"/>
  <c r="Q513" i="17" s="1"/>
  <c r="W513" i="17" s="1"/>
  <c r="X514" i="17" a="1"/>
  <c r="X514" i="17" s="1"/>
  <c r="Y514" i="17" s="1"/>
  <c r="Q514" i="17" s="1"/>
  <c r="W514" i="17" s="1"/>
  <c r="X582" i="17" a="1"/>
  <c r="X582" i="17" s="1"/>
  <c r="X632" i="17" a="1"/>
  <c r="X632" i="17" s="1"/>
  <c r="X633" i="17" a="1"/>
  <c r="X633" i="17" s="1"/>
  <c r="Y633" i="17" s="1"/>
  <c r="Q633" i="17" s="1"/>
  <c r="W633" i="17" s="1"/>
  <c r="X634" i="17" a="1"/>
  <c r="X634" i="17" s="1"/>
  <c r="Y634" i="17" s="1"/>
  <c r="Q634" i="17" s="1"/>
  <c r="W634" i="17" s="1"/>
  <c r="X702" i="17" a="1"/>
  <c r="X702" i="17" s="1"/>
  <c r="X732" i="17" a="1"/>
  <c r="X732" i="17" s="1"/>
  <c r="X68" i="17" a="1"/>
  <c r="X68" i="17" s="1"/>
  <c r="Y68" i="17" s="1"/>
  <c r="Q68" i="17" s="1"/>
  <c r="W68" i="17" s="1"/>
  <c r="X69" i="17" a="1"/>
  <c r="X69" i="17"/>
  <c r="X70" i="17" a="1"/>
  <c r="X70" i="17" s="1"/>
  <c r="X71" i="17" a="1"/>
  <c r="X71" i="17" s="1"/>
  <c r="Y71" i="17" s="1"/>
  <c r="Q71" i="17" s="1"/>
  <c r="W71" i="17" s="1"/>
  <c r="X72" i="17" a="1"/>
  <c r="X72" i="17" s="1"/>
  <c r="Y72" i="17" s="1"/>
  <c r="Q72" i="17" s="1"/>
  <c r="W72" i="17" s="1"/>
  <c r="X73" i="17" a="1"/>
  <c r="X73" i="17" s="1"/>
  <c r="X215" i="17" a="1"/>
  <c r="X215" i="17" s="1"/>
  <c r="X216" i="17" a="1"/>
  <c r="X216" i="17" s="1"/>
  <c r="Y216" i="17" s="1"/>
  <c r="Q216" i="17" s="1"/>
  <c r="W216" i="17" s="1"/>
  <c r="X217" i="17" a="1"/>
  <c r="X217" i="17" s="1"/>
  <c r="Y217" i="17" s="1"/>
  <c r="Q217" i="17" s="1"/>
  <c r="W217" i="17" s="1"/>
  <c r="X283" i="17" a="1"/>
  <c r="X283" i="17" s="1"/>
  <c r="Y283" i="17" s="1"/>
  <c r="Q283" i="17" s="1"/>
  <c r="W283" i="17" s="1"/>
  <c r="X313" i="17" a="1"/>
  <c r="X313" i="17" s="1"/>
  <c r="X343" i="17" a="1"/>
  <c r="X343" i="17" s="1"/>
  <c r="X395" i="17" a="1"/>
  <c r="X395" i="17" s="1"/>
  <c r="Y395" i="17" s="1"/>
  <c r="Q395" i="17" s="1"/>
  <c r="W395" i="17" s="1"/>
  <c r="X396" i="17" a="1"/>
  <c r="X396" i="17" s="1"/>
  <c r="Y396" i="17" s="1"/>
  <c r="Q396" i="17" s="1"/>
  <c r="W396" i="17" s="1"/>
  <c r="X397" i="17" a="1"/>
  <c r="X397" i="17" s="1"/>
  <c r="X463" i="17" a="1"/>
  <c r="X463" i="17" s="1"/>
  <c r="X515" i="17" a="1"/>
  <c r="X515" i="17" s="1"/>
  <c r="Y515" i="17" s="1"/>
  <c r="Q515" i="17" s="1"/>
  <c r="W515" i="17" s="1"/>
  <c r="X516" i="17" a="1"/>
  <c r="X516" i="17" s="1"/>
  <c r="Y516" i="17" s="1"/>
  <c r="Q516" i="17" s="1"/>
  <c r="W516" i="17" s="1"/>
  <c r="X517" i="17" a="1"/>
  <c r="X517" i="17" s="1"/>
  <c r="X583" i="17" a="1"/>
  <c r="X583" i="17" s="1"/>
  <c r="Y583" i="17" s="1"/>
  <c r="Q583" i="17" s="1"/>
  <c r="W583" i="17" s="1"/>
  <c r="X635" i="17" a="1"/>
  <c r="X635" i="17" s="1"/>
  <c r="Y635" i="17" s="1"/>
  <c r="Q635" i="17" s="1"/>
  <c r="W635" i="17" s="1"/>
  <c r="X636" i="17" a="1"/>
  <c r="X636" i="17" s="1"/>
  <c r="X637" i="17" a="1"/>
  <c r="X637" i="17" s="1"/>
  <c r="X703" i="17" a="1"/>
  <c r="X703" i="17" s="1"/>
  <c r="Y703" i="17" s="1"/>
  <c r="Q703" i="17" s="1"/>
  <c r="W703" i="17" s="1"/>
  <c r="X733" i="17" a="1"/>
  <c r="X733" i="17" s="1"/>
  <c r="Y733" i="17" s="1"/>
  <c r="Q733" i="17" s="1"/>
  <c r="W733" i="17" s="1"/>
  <c r="X74" i="17" a="1"/>
  <c r="X74" i="17"/>
  <c r="X75" i="17" a="1"/>
  <c r="X75" i="17" s="1"/>
  <c r="X76" i="17" a="1"/>
  <c r="X76" i="17" s="1"/>
  <c r="X77" i="17" a="1"/>
  <c r="X77" i="17" s="1"/>
  <c r="Y77" i="17" s="1"/>
  <c r="Q77" i="17" s="1"/>
  <c r="W77" i="17" s="1"/>
  <c r="X78" i="17" a="1"/>
  <c r="X78" i="17" s="1"/>
  <c r="Y78" i="17" s="1"/>
  <c r="Q78" i="17" s="1"/>
  <c r="W78" i="17" s="1"/>
  <c r="X79" i="17" a="1"/>
  <c r="X79" i="17" s="1"/>
  <c r="X218" i="17" a="1"/>
  <c r="X218" i="17" s="1"/>
  <c r="X219" i="17" a="1"/>
  <c r="X219" i="17" s="1"/>
  <c r="Y219" i="17" s="1"/>
  <c r="Q219" i="17" s="1"/>
  <c r="W219" i="17" s="1"/>
  <c r="X220" i="17" a="1"/>
  <c r="X220" i="17" s="1"/>
  <c r="Y220" i="17" s="1"/>
  <c r="Q220" i="17" s="1"/>
  <c r="W220" i="17" s="1"/>
  <c r="X284" i="17" a="1"/>
  <c r="X284" i="17" s="1"/>
  <c r="X314" i="17" a="1"/>
  <c r="X314" i="17" s="1"/>
  <c r="Y314" i="17" s="1"/>
  <c r="Q314" i="17" s="1"/>
  <c r="W314" i="17" s="1"/>
  <c r="X344" i="17" a="1"/>
  <c r="X344" i="17" s="1"/>
  <c r="Y344" i="17" s="1"/>
  <c r="Q344" i="17" s="1"/>
  <c r="W344" i="17" s="1"/>
  <c r="X398" i="17" a="1"/>
  <c r="X398" i="17" s="1"/>
  <c r="X399" i="17" a="1"/>
  <c r="X399" i="17" s="1"/>
  <c r="X400" i="17" a="1"/>
  <c r="X400" i="17" s="1"/>
  <c r="Y400" i="17" s="1"/>
  <c r="Q400" i="17" s="1"/>
  <c r="W400" i="17" s="1"/>
  <c r="X464" i="17" a="1"/>
  <c r="X464" i="17" s="1"/>
  <c r="Y464" i="17" s="1"/>
  <c r="Q464" i="17" s="1"/>
  <c r="W464" i="17" s="1"/>
  <c r="X518" i="17" a="1"/>
  <c r="X518" i="17"/>
  <c r="X519" i="17" a="1"/>
  <c r="X519" i="17" s="1"/>
  <c r="X520" i="17" a="1"/>
  <c r="X520" i="17" s="1"/>
  <c r="X584" i="17" a="1"/>
  <c r="X584" i="17" s="1"/>
  <c r="Y584" i="17" s="1"/>
  <c r="Q584" i="17" s="1"/>
  <c r="W584" i="17" s="1"/>
  <c r="X638" i="17" a="1"/>
  <c r="X638" i="17" s="1"/>
  <c r="Y638" i="17" s="1"/>
  <c r="Q638" i="17" s="1"/>
  <c r="W638" i="17" s="1"/>
  <c r="X639" i="17" a="1"/>
  <c r="X639" i="17" s="1"/>
  <c r="X640" i="17" a="1"/>
  <c r="X640" i="17" s="1"/>
  <c r="X704" i="17" a="1"/>
  <c r="X704" i="17" s="1"/>
  <c r="Y704" i="17" s="1"/>
  <c r="Q704" i="17" s="1"/>
  <c r="W704" i="17" s="1"/>
  <c r="X734" i="17" a="1"/>
  <c r="X734" i="17" s="1"/>
  <c r="Y734" i="17" s="1"/>
  <c r="Q734" i="17" s="1"/>
  <c r="W734" i="17" s="1"/>
  <c r="X80" i="17" a="1"/>
  <c r="X80" i="17" s="1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X84" i="17" a="1"/>
  <c r="X84" i="17" s="1"/>
  <c r="X85" i="17" a="1"/>
  <c r="X85" i="17" s="1"/>
  <c r="Y85" i="17" s="1"/>
  <c r="Q85" i="17" s="1"/>
  <c r="W85" i="17" s="1"/>
  <c r="X221" i="17" a="1"/>
  <c r="X221" i="17" s="1"/>
  <c r="Y221" i="17" s="1"/>
  <c r="Q221" i="17" s="1"/>
  <c r="W221" i="17" s="1"/>
  <c r="X222" i="17" a="1"/>
  <c r="X222" i="17" s="1"/>
  <c r="Y222" i="17" s="1"/>
  <c r="Q222" i="17" s="1"/>
  <c r="W222" i="17" s="1"/>
  <c r="X223" i="17" a="1"/>
  <c r="X223" i="17" s="1"/>
  <c r="X285" i="17" a="1"/>
  <c r="X285" i="17" s="1"/>
  <c r="X315" i="17" a="1"/>
  <c r="X315" i="17" s="1"/>
  <c r="Y315" i="17" s="1"/>
  <c r="Q315" i="17" s="1"/>
  <c r="W315" i="17" s="1"/>
  <c r="X345" i="17" a="1"/>
  <c r="X345" i="17" s="1"/>
  <c r="Y345" i="17" s="1"/>
  <c r="Q345" i="17" s="1"/>
  <c r="W345" i="17" s="1"/>
  <c r="X401" i="17" a="1"/>
  <c r="X401" i="17" s="1"/>
  <c r="X402" i="17" a="1"/>
  <c r="X402" i="17" s="1"/>
  <c r="X403" i="17" a="1"/>
  <c r="X403" i="17" s="1"/>
  <c r="Y403" i="17" s="1"/>
  <c r="Q403" i="17" s="1"/>
  <c r="W403" i="17" s="1"/>
  <c r="X465" i="17" a="1"/>
  <c r="X465" i="17"/>
  <c r="X521" i="17" a="1"/>
  <c r="X521" i="17" s="1"/>
  <c r="X522" i="17" a="1"/>
  <c r="X522" i="17" s="1"/>
  <c r="Y522" i="17" s="1"/>
  <c r="Q522" i="17" s="1"/>
  <c r="W522" i="17" s="1"/>
  <c r="X523" i="17" a="1"/>
  <c r="X523" i="17" s="1"/>
  <c r="Y523" i="17" s="1"/>
  <c r="Q523" i="17" s="1"/>
  <c r="W523" i="17" s="1"/>
  <c r="X585" i="17" a="1"/>
  <c r="X585" i="17" s="1"/>
  <c r="X641" i="17" a="1"/>
  <c r="X641" i="17" s="1"/>
  <c r="X642" i="17" a="1"/>
  <c r="X642" i="17" s="1"/>
  <c r="Y642" i="17" s="1"/>
  <c r="Q642" i="17" s="1"/>
  <c r="W642" i="17" s="1"/>
  <c r="X643" i="17" a="1"/>
  <c r="X643" i="17" s="1"/>
  <c r="Y643" i="17" s="1"/>
  <c r="Q643" i="17" s="1"/>
  <c r="W643" i="17" s="1"/>
  <c r="X705" i="17" a="1"/>
  <c r="X705" i="17" s="1"/>
  <c r="Y705" i="17" s="1"/>
  <c r="Q705" i="17" s="1"/>
  <c r="W705" i="17" s="1"/>
  <c r="X735" i="17" a="1"/>
  <c r="X735" i="17" s="1"/>
  <c r="X86" i="17" a="1"/>
  <c r="X86" i="17" s="1"/>
  <c r="X87" i="17" a="1"/>
  <c r="X87" i="17" s="1"/>
  <c r="Y87" i="17" s="1"/>
  <c r="Q87" i="17" s="1"/>
  <c r="W87" i="17" s="1"/>
  <c r="X88" i="17" a="1"/>
  <c r="X88" i="17" s="1"/>
  <c r="Y88" i="17" s="1"/>
  <c r="Q88" i="17" s="1"/>
  <c r="W88" i="17" s="1"/>
  <c r="X89" i="17" a="1"/>
  <c r="X89" i="17" s="1"/>
  <c r="X90" i="17" a="1"/>
  <c r="X90" i="17" s="1"/>
  <c r="X91" i="17" a="1"/>
  <c r="X91" i="17" s="1"/>
  <c r="Y91" i="17" s="1"/>
  <c r="Q91" i="17" s="1"/>
  <c r="W91" i="17" s="1"/>
  <c r="X224" i="17" a="1"/>
  <c r="X224" i="17" s="1"/>
  <c r="Y224" i="17" s="1"/>
  <c r="Q224" i="17" s="1"/>
  <c r="W224" i="17" s="1"/>
  <c r="X225" i="17" a="1"/>
  <c r="X225" i="17" s="1"/>
  <c r="X226" i="17" a="1"/>
  <c r="X226" i="17" s="1"/>
  <c r="Y226" i="17" s="1"/>
  <c r="Q226" i="17" s="1"/>
  <c r="W226" i="17" s="1"/>
  <c r="X286" i="17" a="1"/>
  <c r="X286" i="17" s="1"/>
  <c r="Y286" i="17" s="1"/>
  <c r="Q286" i="17" s="1"/>
  <c r="W286" i="17" s="1"/>
  <c r="X316" i="17" a="1"/>
  <c r="X316" i="17" s="1"/>
  <c r="X346" i="17" a="1"/>
  <c r="X346" i="17" s="1"/>
  <c r="X404" i="17" a="1"/>
  <c r="X404" i="17" s="1"/>
  <c r="Y404" i="17" s="1"/>
  <c r="Q404" i="17" s="1"/>
  <c r="W404" i="17" s="1"/>
  <c r="X405" i="17" a="1"/>
  <c r="X405" i="17" s="1"/>
  <c r="Y405" i="17" s="1"/>
  <c r="Q405" i="17" s="1"/>
  <c r="W405" i="17" s="1"/>
  <c r="X406" i="17" a="1"/>
  <c r="X406" i="17"/>
  <c r="X466" i="17" a="1"/>
  <c r="X466" i="17" s="1"/>
  <c r="X524" i="17" a="1"/>
  <c r="X524" i="17" s="1"/>
  <c r="X525" i="17" a="1"/>
  <c r="X525" i="17" s="1"/>
  <c r="Y525" i="17" s="1"/>
  <c r="Q525" i="17" s="1"/>
  <c r="W525" i="17" s="1"/>
  <c r="X526" i="17" a="1"/>
  <c r="X526" i="17" s="1"/>
  <c r="Y526" i="17" s="1"/>
  <c r="Q526" i="17" s="1"/>
  <c r="W526" i="17" s="1"/>
  <c r="X586" i="17" a="1"/>
  <c r="X586" i="17" s="1"/>
  <c r="X644" i="17" a="1"/>
  <c r="X644" i="17" s="1"/>
  <c r="X645" i="17" a="1"/>
  <c r="X645" i="17" s="1"/>
  <c r="Y645" i="17" s="1"/>
  <c r="Q645" i="17" s="1"/>
  <c r="W645" i="17" s="1"/>
  <c r="X646" i="17" a="1"/>
  <c r="X646" i="17" s="1"/>
  <c r="Y646" i="17" s="1"/>
  <c r="Q646" i="17" s="1"/>
  <c r="W646" i="17" s="1"/>
  <c r="X706" i="17" a="1"/>
  <c r="X706" i="17" s="1"/>
  <c r="X736" i="17" a="1"/>
  <c r="X736" i="17" s="1"/>
  <c r="Y736" i="17" s="1"/>
  <c r="Q736" i="17" s="1"/>
  <c r="W736" i="17" s="1"/>
  <c r="X92" i="17" a="1"/>
  <c r="X92" i="17" s="1"/>
  <c r="Y92" i="17" s="1"/>
  <c r="Q92" i="17" s="1"/>
  <c r="W92" i="17" s="1"/>
  <c r="X93" i="17" a="1"/>
  <c r="X93" i="17" s="1"/>
  <c r="X94" i="17" a="1"/>
  <c r="X94" i="17" s="1"/>
  <c r="X95" i="17" a="1"/>
  <c r="X95" i="17" s="1"/>
  <c r="Y95" i="17" s="1"/>
  <c r="Q95" i="17" s="1"/>
  <c r="W95" i="17" s="1"/>
  <c r="X96" i="17" a="1"/>
  <c r="X96" i="17" s="1"/>
  <c r="Y96" i="17" s="1"/>
  <c r="Q96" i="17" s="1"/>
  <c r="W96" i="17" s="1"/>
  <c r="X97" i="17" a="1"/>
  <c r="X97" i="17"/>
  <c r="X227" i="17" a="1"/>
  <c r="X227" i="17" s="1"/>
  <c r="X228" i="17" a="1"/>
  <c r="X228" i="17" s="1"/>
  <c r="X229" i="17" a="1"/>
  <c r="X229" i="17" s="1"/>
  <c r="Y229" i="17" s="1"/>
  <c r="Q229" i="17" s="1"/>
  <c r="W229" i="17" s="1"/>
  <c r="X287" i="17" a="1"/>
  <c r="X287" i="17" s="1"/>
  <c r="Y287" i="17" s="1"/>
  <c r="Q287" i="17" s="1"/>
  <c r="W287" i="17" s="1"/>
  <c r="X317" i="17" a="1"/>
  <c r="X317" i="17" s="1"/>
  <c r="X347" i="17" a="1"/>
  <c r="X347" i="17" s="1"/>
  <c r="X407" i="17" a="1"/>
  <c r="X407" i="17" s="1"/>
  <c r="Y407" i="17" s="1"/>
  <c r="Q407" i="17" s="1"/>
  <c r="W407" i="17" s="1"/>
  <c r="X408" i="17" a="1"/>
  <c r="X408" i="17" s="1"/>
  <c r="Y408" i="17" s="1"/>
  <c r="Q408" i="17" s="1"/>
  <c r="W408" i="17" s="1"/>
  <c r="X409" i="17" a="1"/>
  <c r="X409" i="17" s="1"/>
  <c r="X467" i="17" a="1"/>
  <c r="X467" i="17" s="1"/>
  <c r="Y467" i="17" s="1"/>
  <c r="Q467" i="17" s="1"/>
  <c r="W467" i="17" s="1"/>
  <c r="X527" i="17" a="1"/>
  <c r="X527" i="17" s="1"/>
  <c r="Y527" i="17" s="1"/>
  <c r="Q527" i="17" s="1"/>
  <c r="W527" i="17" s="1"/>
  <c r="X528" i="17" a="1"/>
  <c r="X528" i="17" s="1"/>
  <c r="X529" i="17" a="1"/>
  <c r="X529" i="17" s="1"/>
  <c r="X587" i="17" a="1"/>
  <c r="X587" i="17" s="1"/>
  <c r="Y587" i="17" s="1"/>
  <c r="Q587" i="17" s="1"/>
  <c r="W587" i="17" s="1"/>
  <c r="X647" i="17" a="1"/>
  <c r="X647" i="17" s="1"/>
  <c r="Y647" i="17" s="1"/>
  <c r="Q647" i="17" s="1"/>
  <c r="W647" i="17" s="1"/>
  <c r="X648" i="17" a="1"/>
  <c r="X648" i="17" s="1"/>
  <c r="Y648" i="17" s="1"/>
  <c r="Q648" i="17" s="1"/>
  <c r="W648" i="17" s="1"/>
  <c r="X649" i="17" a="1"/>
  <c r="X649" i="17" s="1"/>
  <c r="X707" i="17" a="1"/>
  <c r="X707" i="17" s="1"/>
  <c r="X737" i="17" a="1"/>
  <c r="X737" i="17" s="1"/>
  <c r="Y737" i="17" s="1"/>
  <c r="Q737" i="17" s="1"/>
  <c r="W737" i="17" s="1"/>
  <c r="X98" i="17" a="1"/>
  <c r="X98" i="17" s="1"/>
  <c r="Y98" i="17" s="1"/>
  <c r="Q98" i="17" s="1"/>
  <c r="W98" i="17" s="1"/>
  <c r="X99" i="17" a="1"/>
  <c r="X99" i="17" s="1"/>
  <c r="X100" i="17" a="1"/>
  <c r="X100" i="17" s="1"/>
  <c r="X101" i="17" a="1"/>
  <c r="X101" i="17" s="1"/>
  <c r="Y101" i="17" s="1"/>
  <c r="Q101" i="17" s="1"/>
  <c r="W101" i="17" s="1"/>
  <c r="X102" i="17" a="1"/>
  <c r="X102" i="17"/>
  <c r="X103" i="17" a="1"/>
  <c r="X103" i="17" s="1"/>
  <c r="X230" i="17" a="1"/>
  <c r="X230" i="17" s="1"/>
  <c r="Y230" i="17" s="1"/>
  <c r="Q230" i="17" s="1"/>
  <c r="W230" i="17" s="1"/>
  <c r="X231" i="17" a="1"/>
  <c r="X231" i="17" s="1"/>
  <c r="Y231" i="17" s="1"/>
  <c r="Q231" i="17" s="1"/>
  <c r="W231" i="17" s="1"/>
  <c r="X232" i="17" a="1"/>
  <c r="X232" i="17" s="1"/>
  <c r="X288" i="17" a="1"/>
  <c r="X288" i="17" s="1"/>
  <c r="X318" i="17" a="1"/>
  <c r="X318" i="17" s="1"/>
  <c r="Y318" i="17" s="1"/>
  <c r="Q318" i="17" s="1"/>
  <c r="W318" i="17" s="1"/>
  <c r="X348" i="17" a="1"/>
  <c r="X348" i="17" s="1"/>
  <c r="Y348" i="17" s="1"/>
  <c r="Q348" i="17" s="1"/>
  <c r="W348" i="17" s="1"/>
  <c r="X410" i="17" a="1"/>
  <c r="X410" i="17" s="1"/>
  <c r="Y410" i="17" s="1"/>
  <c r="Q410" i="17" s="1"/>
  <c r="W410" i="17" s="1"/>
  <c r="X411" i="17" a="1"/>
  <c r="X411" i="17" s="1"/>
  <c r="X412" i="17" a="1"/>
  <c r="X412" i="17" s="1"/>
  <c r="X468" i="17" a="1"/>
  <c r="X468" i="17" s="1"/>
  <c r="Y468" i="17" s="1"/>
  <c r="Q468" i="17" s="1"/>
  <c r="W468" i="17" s="1"/>
  <c r="X530" i="17" a="1"/>
  <c r="X530" i="17" s="1"/>
  <c r="Y530" i="17" s="1"/>
  <c r="Q530" i="17" s="1"/>
  <c r="W530" i="17" s="1"/>
  <c r="X531" i="17" a="1"/>
  <c r="X531" i="17" s="1"/>
  <c r="X532" i="17" a="1"/>
  <c r="X532" i="17" s="1"/>
  <c r="X588" i="17" a="1"/>
  <c r="X588" i="17" s="1"/>
  <c r="Y588" i="17" s="1"/>
  <c r="Q588" i="17" s="1"/>
  <c r="W588" i="17" s="1"/>
  <c r="X650" i="17" a="1"/>
  <c r="X650" i="17" s="1"/>
  <c r="Y650" i="17" s="1"/>
  <c r="Q650" i="17" s="1"/>
  <c r="W650" i="17" s="1"/>
  <c r="X651" i="17" a="1"/>
  <c r="X651" i="17" s="1"/>
  <c r="X652" i="17" a="1"/>
  <c r="X652" i="17" s="1"/>
  <c r="Y652" i="17" s="1"/>
  <c r="Q652" i="17" s="1"/>
  <c r="W652" i="17" s="1"/>
  <c r="X708" i="17" a="1"/>
  <c r="X708" i="17" s="1"/>
  <c r="Y708" i="17" s="1"/>
  <c r="Q708" i="17" s="1"/>
  <c r="W708" i="17" s="1"/>
  <c r="X738" i="17" a="1"/>
  <c r="X738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Y106" i="17" s="1"/>
  <c r="Q106" i="17" s="1"/>
  <c r="W106" i="17" s="1"/>
  <c r="X107" i="17" a="1"/>
  <c r="X107" i="17"/>
  <c r="X108" i="17" a="1"/>
  <c r="X108" i="17" s="1"/>
  <c r="X109" i="17" a="1"/>
  <c r="X109" i="17" s="1"/>
  <c r="X233" i="17" a="1"/>
  <c r="X233" i="17" s="1"/>
  <c r="Y233" i="17" s="1"/>
  <c r="Q233" i="17" s="1"/>
  <c r="W233" i="17" s="1"/>
  <c r="X234" i="17" a="1"/>
  <c r="X234" i="17" s="1"/>
  <c r="Y234" i="17" s="1"/>
  <c r="Q234" i="17" s="1"/>
  <c r="W234" i="17" s="1"/>
  <c r="X235" i="17" a="1"/>
  <c r="X235" i="17" s="1"/>
  <c r="X289" i="17" a="1"/>
  <c r="X289" i="17" s="1"/>
  <c r="X319" i="17" a="1"/>
  <c r="X319" i="17" s="1"/>
  <c r="Y319" i="17" s="1"/>
  <c r="Q319" i="17" s="1"/>
  <c r="W319" i="17" s="1"/>
  <c r="X349" i="17" a="1"/>
  <c r="X349" i="17" s="1"/>
  <c r="Y349" i="17" s="1"/>
  <c r="Q349" i="17" s="1"/>
  <c r="W349" i="17" s="1"/>
  <c r="X413" i="17" a="1"/>
  <c r="X413" i="17" s="1"/>
  <c r="X414" i="17" a="1"/>
  <c r="X414" i="17" s="1"/>
  <c r="Y414" i="17" s="1"/>
  <c r="Q414" i="17" s="1"/>
  <c r="W414" i="17" s="1"/>
  <c r="X415" i="17" a="1"/>
  <c r="X415" i="17" s="1"/>
  <c r="Y415" i="17" s="1"/>
  <c r="Q415" i="17" s="1"/>
  <c r="W415" i="17" s="1"/>
  <c r="X469" i="17" a="1"/>
  <c r="X469" i="17" s="1"/>
  <c r="X533" i="17" a="1"/>
  <c r="X533" i="17" s="1"/>
  <c r="X534" i="17" a="1"/>
  <c r="X534" i="17" s="1"/>
  <c r="Y534" i="17" s="1"/>
  <c r="Q534" i="17" s="1"/>
  <c r="W534" i="17" s="1"/>
  <c r="X535" i="17" a="1"/>
  <c r="X535" i="17" s="1"/>
  <c r="Y535" i="17" s="1"/>
  <c r="Q535" i="17" s="1"/>
  <c r="W535" i="17" s="1"/>
  <c r="X589" i="17" a="1"/>
  <c r="X589" i="17" s="1"/>
  <c r="Y589" i="17" s="1"/>
  <c r="Q589" i="17" s="1"/>
  <c r="W589" i="17" s="1"/>
  <c r="X653" i="17" a="1"/>
  <c r="X653" i="17" s="1"/>
  <c r="X654" i="17" a="1"/>
  <c r="X654" i="17" s="1"/>
  <c r="X655" i="17" a="1"/>
  <c r="X655" i="17" s="1"/>
  <c r="Y655" i="17" s="1"/>
  <c r="Q655" i="17" s="1"/>
  <c r="W655" i="17" s="1"/>
  <c r="X709" i="17" a="1"/>
  <c r="X709" i="17" s="1"/>
  <c r="Y709" i="17" s="1"/>
  <c r="Q709" i="17" s="1"/>
  <c r="W709" i="17" s="1"/>
  <c r="X739" i="17" a="1"/>
  <c r="X739" i="17" s="1"/>
  <c r="X110" i="17" a="1"/>
  <c r="X110" i="17" s="1"/>
  <c r="X111" i="17" a="1"/>
  <c r="X111" i="17" s="1"/>
  <c r="Y111" i="17" s="1"/>
  <c r="Q111" i="17" s="1"/>
  <c r="W111" i="17" s="1"/>
  <c r="X112" i="17" a="1"/>
  <c r="X112" i="17" s="1"/>
  <c r="Y112" i="17" s="1"/>
  <c r="Q112" i="17" s="1"/>
  <c r="W112" i="17" s="1"/>
  <c r="X113" i="17" a="1"/>
  <c r="X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236" i="17" a="1"/>
  <c r="X236" i="17" s="1"/>
  <c r="X237" i="17" a="1"/>
  <c r="X237" i="17" s="1"/>
  <c r="X238" i="17" a="1"/>
  <c r="X238" i="17" s="1"/>
  <c r="Y238" i="17" s="1"/>
  <c r="Q238" i="17" s="1"/>
  <c r="W238" i="17" s="1"/>
  <c r="X290" i="17" a="1"/>
  <c r="X290" i="17" s="1"/>
  <c r="Y290" i="17" s="1"/>
  <c r="Q290" i="17" s="1"/>
  <c r="W290" i="17" s="1"/>
  <c r="X320" i="17" a="1"/>
  <c r="X320" i="17"/>
  <c r="X350" i="17" a="1"/>
  <c r="X350" i="17" s="1"/>
  <c r="X416" i="17" a="1"/>
  <c r="X416" i="17" s="1"/>
  <c r="X417" i="17" a="1"/>
  <c r="X417" i="17" s="1"/>
  <c r="Y417" i="17" s="1"/>
  <c r="Q417" i="17" s="1"/>
  <c r="W417" i="17" s="1"/>
  <c r="X418" i="17" a="1"/>
  <c r="X418" i="17" s="1"/>
  <c r="Y418" i="17" s="1"/>
  <c r="Q418" i="17" s="1"/>
  <c r="W418" i="17" s="1"/>
  <c r="X470" i="17" a="1"/>
  <c r="X470" i="17" s="1"/>
  <c r="X536" i="17" a="1"/>
  <c r="X536" i="17" s="1"/>
  <c r="X537" i="17" a="1"/>
  <c r="X537" i="17" s="1"/>
  <c r="Y537" i="17" s="1"/>
  <c r="Q537" i="17" s="1"/>
  <c r="W537" i="17" s="1"/>
  <c r="X538" i="17" a="1"/>
  <c r="X538" i="17" s="1"/>
  <c r="Y538" i="17" s="1"/>
  <c r="Q538" i="17" s="1"/>
  <c r="W538" i="17" s="1"/>
  <c r="X590" i="17" a="1"/>
  <c r="X590" i="17" s="1"/>
  <c r="X656" i="17" a="1"/>
  <c r="X656" i="17" s="1"/>
  <c r="Y656" i="17" s="1"/>
  <c r="Q656" i="17" s="1"/>
  <c r="W656" i="17" s="1"/>
  <c r="X657" i="17" a="1"/>
  <c r="X657" i="17" s="1"/>
  <c r="Y657" i="17" s="1"/>
  <c r="Q657" i="17" s="1"/>
  <c r="W657" i="17" s="1"/>
  <c r="X658" i="17" a="1"/>
  <c r="X658" i="17" s="1"/>
  <c r="X710" i="17" a="1"/>
  <c r="X710" i="17" s="1"/>
  <c r="X740" i="17" a="1"/>
  <c r="X740" i="17" s="1"/>
  <c r="Y740" i="17" s="1"/>
  <c r="Q740" i="17" s="1"/>
  <c r="W740" i="17" s="1"/>
  <c r="X116" i="17" a="1"/>
  <c r="X116" i="17" s="1"/>
  <c r="Y116" i="17" s="1"/>
  <c r="Q116" i="17" s="1"/>
  <c r="W116" i="17" s="1"/>
  <c r="X117" i="17" a="1"/>
  <c r="X117" i="17" s="1"/>
  <c r="Y117" i="17" s="1"/>
  <c r="Q117" i="17" s="1"/>
  <c r="W117" i="17" s="1"/>
  <c r="X118" i="17" a="1"/>
  <c r="X118" i="17" s="1"/>
  <c r="X119" i="17" a="1"/>
  <c r="X119" i="17" s="1"/>
  <c r="X120" i="17" a="1"/>
  <c r="X120" i="17" s="1"/>
  <c r="Y120" i="17" s="1"/>
  <c r="Q120" i="17" s="1"/>
  <c r="W120" i="17" s="1"/>
  <c r="X121" i="17" a="1"/>
  <c r="X121" i="17" s="1"/>
  <c r="Y121" i="17" s="1"/>
  <c r="Q121" i="17" s="1"/>
  <c r="W121" i="17" s="1"/>
  <c r="X239" i="17" a="1"/>
  <c r="X239" i="17" s="1"/>
  <c r="X240" i="17" a="1"/>
  <c r="X240" i="17" s="1"/>
  <c r="X241" i="17" a="1"/>
  <c r="X241" i="17" s="1"/>
  <c r="Y241" i="17" s="1"/>
  <c r="Q241" i="17" s="1"/>
  <c r="W241" i="17" s="1"/>
  <c r="X291" i="17" a="1"/>
  <c r="X291" i="17" s="1"/>
  <c r="Y291" i="17" s="1"/>
  <c r="Q291" i="17" s="1"/>
  <c r="W291" i="17" s="1"/>
  <c r="X321" i="17" a="1"/>
  <c r="X321" i="17" s="1"/>
  <c r="X351" i="17" a="1"/>
  <c r="X351" i="17" s="1"/>
  <c r="Y351" i="17" s="1"/>
  <c r="Q351" i="17" s="1"/>
  <c r="W351" i="17" s="1"/>
  <c r="X419" i="17" a="1"/>
  <c r="X419" i="17" s="1"/>
  <c r="Y419" i="17" s="1"/>
  <c r="Q419" i="17" s="1"/>
  <c r="W419" i="17" s="1"/>
  <c r="X420" i="17" a="1"/>
  <c r="X420" i="17" s="1"/>
  <c r="X421" i="17" a="1"/>
  <c r="X421" i="17" s="1"/>
  <c r="X471" i="17" a="1"/>
  <c r="X471" i="17" s="1"/>
  <c r="Y471" i="17" s="1"/>
  <c r="Q471" i="17" s="1"/>
  <c r="W471" i="17" s="1"/>
  <c r="X539" i="17" a="1"/>
  <c r="X539" i="17" s="1"/>
  <c r="Y539" i="17" s="1"/>
  <c r="Q539" i="17" s="1"/>
  <c r="W539" i="17" s="1"/>
  <c r="X540" i="17" a="1"/>
  <c r="X540" i="17"/>
  <c r="X541" i="17" a="1"/>
  <c r="X541" i="17" s="1"/>
  <c r="X591" i="17" a="1"/>
  <c r="X591" i="17" s="1"/>
  <c r="X659" i="17" a="1"/>
  <c r="X659" i="17" s="1"/>
  <c r="Y659" i="17" s="1"/>
  <c r="Q659" i="17" s="1"/>
  <c r="W659" i="17" s="1"/>
  <c r="X660" i="17" a="1"/>
  <c r="X660" i="17" s="1"/>
  <c r="Y660" i="17" s="1"/>
  <c r="Q660" i="17" s="1"/>
  <c r="W660" i="17" s="1"/>
  <c r="X661" i="17" a="1"/>
  <c r="X661" i="17" s="1"/>
  <c r="X711" i="17" a="1"/>
  <c r="X711" i="17" s="1"/>
  <c r="X741" i="17" a="1"/>
  <c r="X741" i="17" s="1"/>
  <c r="Y741" i="17" s="1"/>
  <c r="Q741" i="17" s="1"/>
  <c r="W741" i="17" s="1"/>
  <c r="X122" i="17" a="1"/>
  <c r="X122" i="17" s="1"/>
  <c r="Y122" i="17" s="1"/>
  <c r="Q122" i="17" s="1"/>
  <c r="W122" i="17" s="1"/>
  <c r="X123" i="17" a="1"/>
  <c r="X123" i="17" s="1"/>
  <c r="X124" i="17" a="1"/>
  <c r="X124" i="17" s="1"/>
  <c r="Y124" i="17" s="1"/>
  <c r="Q124" i="17" s="1"/>
  <c r="W124" i="17" s="1"/>
  <c r="X125" i="17" a="1"/>
  <c r="X125" i="17" s="1"/>
  <c r="Y125" i="17" s="1"/>
  <c r="Q125" i="17" s="1"/>
  <c r="W125" i="17" s="1"/>
  <c r="X126" i="17" a="1"/>
  <c r="X126" i="17" s="1"/>
  <c r="X127" i="17" a="1"/>
  <c r="X127" i="17" s="1"/>
  <c r="X242" i="17" a="1"/>
  <c r="X242" i="17" s="1"/>
  <c r="Y242" i="17" s="1"/>
  <c r="Q242" i="17" s="1"/>
  <c r="W242" i="17" s="1"/>
  <c r="X243" i="17" a="1"/>
  <c r="X243" i="17" s="1"/>
  <c r="Y243" i="17" s="1"/>
  <c r="Q243" i="17" s="1"/>
  <c r="W243" i="17" s="1"/>
  <c r="X244" i="17" a="1"/>
  <c r="X244" i="17" s="1"/>
  <c r="Y244" i="17" s="1"/>
  <c r="Q244" i="17" s="1"/>
  <c r="W244" i="17" s="1"/>
  <c r="X292" i="17" a="1"/>
  <c r="X292" i="17" s="1"/>
  <c r="X322" i="17" a="1"/>
  <c r="X322" i="17" s="1"/>
  <c r="X352" i="17" a="1"/>
  <c r="X352" i="17" s="1"/>
  <c r="Y352" i="17" s="1"/>
  <c r="Q352" i="17" s="1"/>
  <c r="W352" i="17" s="1"/>
  <c r="X422" i="17" a="1"/>
  <c r="X422" i="17" s="1"/>
  <c r="Y422" i="17" s="1"/>
  <c r="Q422" i="17" s="1"/>
  <c r="W422" i="17" s="1"/>
  <c r="X423" i="17" a="1"/>
  <c r="X423" i="17" s="1"/>
  <c r="X424" i="17" a="1"/>
  <c r="X424" i="17" s="1"/>
  <c r="X472" i="17" a="1"/>
  <c r="X472" i="17" s="1"/>
  <c r="Y472" i="17" s="1"/>
  <c r="Q472" i="17" s="1"/>
  <c r="W472" i="17" s="1"/>
  <c r="X542" i="17" a="1"/>
  <c r="X542" i="17" s="1"/>
  <c r="Y542" i="17" s="1"/>
  <c r="Q542" i="17" s="1"/>
  <c r="W542" i="17" s="1"/>
  <c r="X543" i="17" a="1"/>
  <c r="X543" i="17" s="1"/>
  <c r="X544" i="17" a="1"/>
  <c r="X544" i="17" s="1"/>
  <c r="Y544" i="17" s="1"/>
  <c r="Q544" i="17" s="1"/>
  <c r="W544" i="17" s="1"/>
  <c r="X592" i="17" a="1"/>
  <c r="X592" i="17" s="1"/>
  <c r="Y592" i="17" s="1"/>
  <c r="Q592" i="17" s="1"/>
  <c r="W592" i="17" s="1"/>
  <c r="X662" i="17" a="1"/>
  <c r="X662" i="17" s="1"/>
  <c r="X663" i="17" a="1"/>
  <c r="X663" i="17" s="1"/>
  <c r="X664" i="17" a="1"/>
  <c r="X664" i="17" s="1"/>
  <c r="Y664" i="17" s="1"/>
  <c r="Q664" i="17" s="1"/>
  <c r="W664" i="17" s="1"/>
  <c r="X712" i="17" a="1"/>
  <c r="X712" i="17" s="1"/>
  <c r="Y712" i="17" s="1"/>
  <c r="Q712" i="17" s="1"/>
  <c r="W712" i="17" s="1"/>
  <c r="X742" i="17" a="1"/>
  <c r="X742" i="17"/>
  <c r="X128" i="17" a="1"/>
  <c r="X128" i="17" s="1"/>
  <c r="X129" i="17" a="1"/>
  <c r="X129" i="17" s="1"/>
  <c r="X130" i="17" a="1"/>
  <c r="X130" i="17" s="1"/>
  <c r="Y130" i="17" s="1"/>
  <c r="Q130" i="17" s="1"/>
  <c r="W130" i="17" s="1"/>
  <c r="X131" i="17" a="1"/>
  <c r="X131" i="17" s="1"/>
  <c r="Y131" i="17" s="1"/>
  <c r="Q131" i="17" s="1"/>
  <c r="W131" i="17" s="1"/>
  <c r="X132" i="17" a="1"/>
  <c r="X132" i="17" s="1"/>
  <c r="X133" i="17" a="1"/>
  <c r="X133" i="17" s="1"/>
  <c r="X245" i="17" a="1"/>
  <c r="X245" i="17" s="1"/>
  <c r="Y245" i="17" s="1"/>
  <c r="Q245" i="17" s="1"/>
  <c r="W245" i="17" s="1"/>
  <c r="X246" i="17" a="1"/>
  <c r="X246" i="17" s="1"/>
  <c r="Y246" i="17" s="1"/>
  <c r="Q246" i="17" s="1"/>
  <c r="W246" i="17" s="1"/>
  <c r="X247" i="17" a="1"/>
  <c r="X247" i="17" s="1"/>
  <c r="X293" i="17" a="1"/>
  <c r="X293" i="17" s="1"/>
  <c r="Y293" i="17" s="1"/>
  <c r="Q293" i="17" s="1"/>
  <c r="W293" i="17" s="1"/>
  <c r="X323" i="17" a="1"/>
  <c r="X323" i="17" s="1"/>
  <c r="Y323" i="17" s="1"/>
  <c r="Q323" i="17" s="1"/>
  <c r="W323" i="17" s="1"/>
  <c r="X353" i="17" a="1"/>
  <c r="X353" i="17" s="1"/>
  <c r="X425" i="17" a="1"/>
  <c r="X425" i="17" s="1"/>
  <c r="X426" i="17" a="1"/>
  <c r="X426" i="17" s="1"/>
  <c r="Y426" i="17" s="1"/>
  <c r="Q426" i="17" s="1"/>
  <c r="W426" i="17" s="1"/>
  <c r="X427" i="17" a="1"/>
  <c r="X427" i="17" s="1"/>
  <c r="Y427" i="17" s="1"/>
  <c r="Q427" i="17" s="1"/>
  <c r="W427" i="17" s="1"/>
  <c r="X473" i="17" a="1"/>
  <c r="X473" i="17" s="1"/>
  <c r="Y473" i="17" s="1"/>
  <c r="Q473" i="17" s="1"/>
  <c r="W473" i="17" s="1"/>
  <c r="X545" i="17" a="1"/>
  <c r="X545" i="17" s="1"/>
  <c r="X546" i="17" a="1"/>
  <c r="X546" i="17" s="1"/>
  <c r="X547" i="17" a="1"/>
  <c r="X547" i="17" s="1"/>
  <c r="Y547" i="17" s="1"/>
  <c r="Q547" i="17" s="1"/>
  <c r="W547" i="17" s="1"/>
  <c r="X593" i="17" a="1"/>
  <c r="X593" i="17" s="1"/>
  <c r="Y593" i="17" s="1"/>
  <c r="Q593" i="17" s="1"/>
  <c r="W593" i="17" s="1"/>
  <c r="X665" i="17" a="1"/>
  <c r="X665" i="17" s="1"/>
  <c r="X666" i="17" a="1"/>
  <c r="X666" i="17" s="1"/>
  <c r="X667" i="17" a="1"/>
  <c r="X667" i="17" s="1"/>
  <c r="Y667" i="17" s="1"/>
  <c r="Q667" i="17" s="1"/>
  <c r="W667" i="17" s="1"/>
  <c r="X713" i="17" a="1"/>
  <c r="X713" i="17" s="1"/>
  <c r="Y713" i="17" s="1"/>
  <c r="Q713" i="17" s="1"/>
  <c r="W713" i="17" s="1"/>
  <c r="X743" i="17" a="1"/>
  <c r="X743" i="17" s="1"/>
  <c r="X134" i="17" a="1"/>
  <c r="X134" i="17" s="1"/>
  <c r="Y134" i="17" s="1"/>
  <c r="Q134" i="17" s="1"/>
  <c r="W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X138" i="17" a="1"/>
  <c r="X138" i="17" s="1"/>
  <c r="Y138" i="17" s="1"/>
  <c r="Q138" i="17" s="1"/>
  <c r="W138" i="17" s="1"/>
  <c r="X139" i="17" a="1"/>
  <c r="X139" i="17" s="1"/>
  <c r="Y139" i="17" s="1"/>
  <c r="Q139" i="17" s="1"/>
  <c r="W139" i="17" s="1"/>
  <c r="X248" i="17" a="1"/>
  <c r="X248" i="17"/>
  <c r="Y248" i="17" s="1"/>
  <c r="Q248" i="17" s="1"/>
  <c r="W248" i="17" s="1"/>
  <c r="X249" i="17" a="1"/>
  <c r="X249" i="17" s="1"/>
  <c r="X250" i="17" a="1"/>
  <c r="X250" i="17" s="1"/>
  <c r="X294" i="17" a="1"/>
  <c r="X294" i="17" s="1"/>
  <c r="Y294" i="17" s="1"/>
  <c r="Q294" i="17" s="1"/>
  <c r="W294" i="17" s="1"/>
  <c r="X324" i="17" a="1"/>
  <c r="X324" i="17" s="1"/>
  <c r="X354" i="17" a="1"/>
  <c r="X354" i="17" s="1"/>
  <c r="X428" i="17" a="1"/>
  <c r="X428" i="17" s="1"/>
  <c r="X429" i="17" a="1"/>
  <c r="X429" i="17" s="1"/>
  <c r="Y429" i="17" s="1"/>
  <c r="Q429" i="17" s="1"/>
  <c r="W429" i="17" s="1"/>
  <c r="X430" i="17" a="1"/>
  <c r="X430" i="17" s="1"/>
  <c r="Y430" i="17" s="1"/>
  <c r="Q430" i="17" s="1"/>
  <c r="W430" i="17" s="1"/>
  <c r="X474" i="17" a="1"/>
  <c r="X474" i="17" s="1"/>
  <c r="X548" i="17" a="1"/>
  <c r="X548" i="17" s="1"/>
  <c r="Y548" i="17" s="1"/>
  <c r="Q548" i="17" s="1"/>
  <c r="W548" i="17" s="1"/>
  <c r="X549" i="17" a="1"/>
  <c r="X549" i="17" s="1"/>
  <c r="Y549" i="17" s="1"/>
  <c r="Q549" i="17" s="1"/>
  <c r="W549" i="17" s="1"/>
  <c r="X550" i="17" a="1"/>
  <c r="X550" i="17" s="1"/>
  <c r="X594" i="17" a="1"/>
  <c r="X594" i="17" s="1"/>
  <c r="X668" i="17" a="1"/>
  <c r="X668" i="17" s="1"/>
  <c r="X669" i="17" a="1"/>
  <c r="X669" i="17" s="1"/>
  <c r="Y669" i="17" s="1"/>
  <c r="Q669" i="17" s="1"/>
  <c r="W669" i="17" s="1"/>
  <c r="X670" i="17" a="1"/>
  <c r="X670" i="17" s="1"/>
  <c r="Y670" i="17" s="1"/>
  <c r="Q670" i="17" s="1"/>
  <c r="W670" i="17" s="1"/>
  <c r="X714" i="17" a="1"/>
  <c r="X714" i="17" s="1"/>
  <c r="X744" i="17" a="1"/>
  <c r="X744" i="17" s="1"/>
  <c r="X140" i="17" a="1"/>
  <c r="X140" i="17" s="1"/>
  <c r="Y140" i="17" s="1"/>
  <c r="Q140" i="17" s="1"/>
  <c r="W140" i="17" s="1"/>
  <c r="X141" i="17" a="1"/>
  <c r="X141" i="17" s="1"/>
  <c r="X142" i="17" a="1"/>
  <c r="X142" i="17" s="1"/>
  <c r="X143" i="17" a="1"/>
  <c r="X143" i="17" s="1"/>
  <c r="X144" i="17" a="1"/>
  <c r="X144" i="17" s="1"/>
  <c r="Y144" i="17" s="1"/>
  <c r="Q144" i="17" s="1"/>
  <c r="W144" i="17" s="1"/>
  <c r="X145" i="17" a="1"/>
  <c r="X145" i="17" s="1"/>
  <c r="Y145" i="17" s="1"/>
  <c r="Q145" i="17" s="1"/>
  <c r="W145" i="17" s="1"/>
  <c r="X251" i="17" a="1"/>
  <c r="X251" i="17" s="1"/>
  <c r="X252" i="17" a="1"/>
  <c r="X252" i="17" s="1"/>
  <c r="Y252" i="17" s="1"/>
  <c r="Q252" i="17" s="1"/>
  <c r="W252" i="17" s="1"/>
  <c r="X253" i="17" a="1"/>
  <c r="X253" i="17" s="1"/>
  <c r="Y253" i="17" s="1"/>
  <c r="Q253" i="17" s="1"/>
  <c r="W253" i="17" s="1"/>
  <c r="X295" i="17" a="1"/>
  <c r="X295" i="17" s="1"/>
  <c r="X325" i="17" a="1"/>
  <c r="X325" i="17" s="1"/>
  <c r="X355" i="17" a="1"/>
  <c r="X355" i="17" s="1"/>
  <c r="X431" i="17" a="1"/>
  <c r="X431" i="17" s="1"/>
  <c r="Y431" i="17" s="1"/>
  <c r="Q431" i="17" s="1"/>
  <c r="W431" i="17" s="1"/>
  <c r="X432" i="17" a="1"/>
  <c r="X432" i="17"/>
  <c r="Y432" i="17" s="1"/>
  <c r="Q432" i="17" s="1"/>
  <c r="W432" i="17" s="1"/>
  <c r="X433" i="17" a="1"/>
  <c r="X433" i="17" s="1"/>
  <c r="X475" i="17" a="1"/>
  <c r="X475" i="17" s="1"/>
  <c r="X551" i="17" a="1"/>
  <c r="X551" i="17" s="1"/>
  <c r="Y551" i="17" s="1"/>
  <c r="Q551" i="17" s="1"/>
  <c r="W551" i="17" s="1"/>
  <c r="X552" i="17" a="1"/>
  <c r="X552" i="17" s="1"/>
  <c r="X553" i="17" a="1"/>
  <c r="X553" i="17" s="1"/>
  <c r="X595" i="17" a="1"/>
  <c r="X595" i="17" s="1"/>
  <c r="X671" i="17" a="1"/>
  <c r="X671" i="17" s="1"/>
  <c r="Y671" i="17" s="1"/>
  <c r="Q671" i="17" s="1"/>
  <c r="W671" i="17" s="1"/>
  <c r="X672" i="17" a="1"/>
  <c r="X672" i="17" s="1"/>
  <c r="Y672" i="17" s="1"/>
  <c r="Q672" i="17" s="1"/>
  <c r="W672" i="17" s="1"/>
  <c r="X673" i="17" a="1"/>
  <c r="X673" i="17" s="1"/>
  <c r="X715" i="17" a="1"/>
  <c r="X715" i="17" s="1"/>
  <c r="Y715" i="17" s="1"/>
  <c r="Q715" i="17" s="1"/>
  <c r="W715" i="17" s="1"/>
  <c r="X745" i="17" a="1"/>
  <c r="X745" i="17" s="1"/>
  <c r="Y745" i="17" s="1"/>
  <c r="Q745" i="17" s="1"/>
  <c r="W745" i="17" s="1"/>
  <c r="X146" i="17" a="1"/>
  <c r="X146" i="17" s="1"/>
  <c r="X147" i="17" a="1"/>
  <c r="X147" i="17" s="1"/>
  <c r="X148" i="17" a="1"/>
  <c r="X148" i="17" s="1"/>
  <c r="X149" i="17" a="1"/>
  <c r="X149" i="17" s="1"/>
  <c r="Y149" i="17" s="1"/>
  <c r="Q149" i="17" s="1"/>
  <c r="W149" i="17" s="1"/>
  <c r="X150" i="17" a="1"/>
  <c r="X150" i="17" s="1"/>
  <c r="Y150" i="17" s="1"/>
  <c r="Q150" i="17" s="1"/>
  <c r="W150" i="17" s="1"/>
  <c r="X151" i="17" a="1"/>
  <c r="X151" i="17" s="1"/>
  <c r="X254" i="17" a="1"/>
  <c r="X254" i="17" s="1"/>
  <c r="X255" i="17" a="1"/>
  <c r="X255" i="17" s="1"/>
  <c r="Y255" i="17" s="1"/>
  <c r="Q255" i="17" s="1"/>
  <c r="W255" i="17" s="1"/>
  <c r="X256" i="17" a="1"/>
  <c r="X256" i="17" s="1"/>
  <c r="X296" i="17" a="1"/>
  <c r="X296" i="17" s="1"/>
  <c r="X326" i="17" a="1"/>
  <c r="X326" i="17" s="1"/>
  <c r="X356" i="17" a="1"/>
  <c r="X356" i="17" s="1"/>
  <c r="Y356" i="17" s="1"/>
  <c r="Q356" i="17" s="1"/>
  <c r="W356" i="17" s="1"/>
  <c r="X434" i="17" a="1"/>
  <c r="X434" i="17" s="1"/>
  <c r="Y434" i="17" s="1"/>
  <c r="Q434" i="17" s="1"/>
  <c r="W434" i="17" s="1"/>
  <c r="X435" i="17" a="1"/>
  <c r="X435" i="17" s="1"/>
  <c r="X436" i="17" a="1"/>
  <c r="X436" i="17" s="1"/>
  <c r="Y436" i="17" s="1"/>
  <c r="Q436" i="17" s="1"/>
  <c r="W436" i="17" s="1"/>
  <c r="X476" i="17" a="1"/>
  <c r="X476" i="17" s="1"/>
  <c r="Y476" i="17" s="1"/>
  <c r="Q476" i="17" s="1"/>
  <c r="W476" i="17" s="1"/>
  <c r="X554" i="17" a="1"/>
  <c r="X554" i="17" s="1"/>
  <c r="X555" i="17" a="1"/>
  <c r="X555" i="17" s="1"/>
  <c r="X556" i="17" a="1"/>
  <c r="X556" i="17" s="1"/>
  <c r="X596" i="17" a="1"/>
  <c r="X596" i="17" s="1"/>
  <c r="Y596" i="17" s="1"/>
  <c r="Q596" i="17" s="1"/>
  <c r="W596" i="17" s="1"/>
  <c r="X674" i="17" a="1"/>
  <c r="X674" i="17"/>
  <c r="Y674" i="17" s="1"/>
  <c r="Q674" i="17" s="1"/>
  <c r="W674" i="17" s="1"/>
  <c r="X675" i="17" a="1"/>
  <c r="X675" i="17" s="1"/>
  <c r="X676" i="17" a="1"/>
  <c r="X676" i="17" s="1"/>
  <c r="X716" i="17" a="1"/>
  <c r="X716" i="17" s="1"/>
  <c r="Y716" i="17" s="1"/>
  <c r="Q716" i="17" s="1"/>
  <c r="W716" i="17" s="1"/>
  <c r="X746" i="17" a="1"/>
  <c r="X746" i="17" s="1"/>
  <c r="X152" i="17" a="1"/>
  <c r="X152" i="17" s="1"/>
  <c r="X153" i="17" a="1"/>
  <c r="X153" i="17" s="1"/>
  <c r="X154" i="17" a="1"/>
  <c r="X154" i="17" s="1"/>
  <c r="Y154" i="17" s="1"/>
  <c r="Q154" i="17" s="1"/>
  <c r="W154" i="17" s="1"/>
  <c r="X155" i="17" a="1"/>
  <c r="X155" i="17" s="1"/>
  <c r="Y155" i="17" s="1"/>
  <c r="Q155" i="17" s="1"/>
  <c r="W155" i="17" s="1"/>
  <c r="X156" i="17" a="1"/>
  <c r="X156" i="17" s="1"/>
  <c r="X157" i="17" a="1"/>
  <c r="X157" i="17" s="1"/>
  <c r="Y157" i="17" s="1"/>
  <c r="Q157" i="17" s="1"/>
  <c r="W157" i="17" s="1"/>
  <c r="X257" i="17" a="1"/>
  <c r="X257" i="17" s="1"/>
  <c r="Y257" i="17" s="1"/>
  <c r="Q257" i="17" s="1"/>
  <c r="W257" i="17" s="1"/>
  <c r="X258" i="17" a="1"/>
  <c r="X258" i="17" s="1"/>
  <c r="X259" i="17" a="1"/>
  <c r="X259" i="17" s="1"/>
  <c r="X297" i="17" a="1"/>
  <c r="X297" i="17" s="1"/>
  <c r="X327" i="17" a="1"/>
  <c r="X327" i="17" s="1"/>
  <c r="Y327" i="17" s="1"/>
  <c r="Q327" i="17" s="1"/>
  <c r="W327" i="17" s="1"/>
  <c r="X357" i="17" a="1"/>
  <c r="X357" i="17" s="1"/>
  <c r="Y357" i="17" s="1"/>
  <c r="Q357" i="17" s="1"/>
  <c r="W357" i="17" s="1"/>
  <c r="X437" i="17" a="1"/>
  <c r="X437" i="17" s="1"/>
  <c r="X438" i="17" a="1"/>
  <c r="X438" i="17" s="1"/>
  <c r="X439" i="17" a="1"/>
  <c r="X439" i="17" s="1"/>
  <c r="Y439" i="17" s="1"/>
  <c r="Q439" i="17" s="1"/>
  <c r="W439" i="17" s="1"/>
  <c r="X477" i="17" a="1"/>
  <c r="X477" i="17" s="1"/>
  <c r="X557" i="17" a="1"/>
  <c r="X557" i="17" s="1"/>
  <c r="X558" i="17" a="1"/>
  <c r="X558" i="17" s="1"/>
  <c r="X559" i="17" a="1"/>
  <c r="X559" i="17" s="1"/>
  <c r="Y559" i="17" s="1"/>
  <c r="Q559" i="17" s="1"/>
  <c r="W559" i="17" s="1"/>
  <c r="X597" i="17" a="1"/>
  <c r="X597" i="17" s="1"/>
  <c r="Y597" i="17" s="1"/>
  <c r="Q597" i="17" s="1"/>
  <c r="W597" i="17" s="1"/>
  <c r="X677" i="17" a="1"/>
  <c r="X677" i="17" s="1"/>
  <c r="X678" i="17" a="1"/>
  <c r="X678" i="17" s="1"/>
  <c r="Y678" i="17" s="1"/>
  <c r="Q678" i="17" s="1"/>
  <c r="W678" i="17" s="1"/>
  <c r="X679" i="17" a="1"/>
  <c r="X679" i="17" s="1"/>
  <c r="Y679" i="17" s="1"/>
  <c r="Q679" i="17" s="1"/>
  <c r="W679" i="17" s="1"/>
  <c r="X717" i="17" a="1"/>
  <c r="X717" i="17" s="1"/>
  <c r="X747" i="17" a="1"/>
  <c r="X747" i="17" s="1"/>
  <c r="X158" i="17" a="1"/>
  <c r="X158" i="17" s="1"/>
  <c r="X159" i="17" a="1"/>
  <c r="X159" i="17" s="1"/>
  <c r="Y159" i="17" s="1"/>
  <c r="Q159" i="17" s="1"/>
  <c r="W159" i="17" s="1"/>
  <c r="X160" i="17" a="1"/>
  <c r="X160" i="17"/>
  <c r="Y160" i="17" s="1"/>
  <c r="Q160" i="17" s="1"/>
  <c r="W160" i="17" s="1"/>
  <c r="X161" i="17" a="1"/>
  <c r="X161" i="17" s="1"/>
  <c r="X162" i="17" a="1"/>
  <c r="X162" i="17" s="1"/>
  <c r="X163" i="17" a="1"/>
  <c r="X163" i="17" s="1"/>
  <c r="Y163" i="17" s="1"/>
  <c r="Q163" i="17" s="1"/>
  <c r="W163" i="17" s="1"/>
  <c r="X260" i="17" a="1"/>
  <c r="X260" i="17" s="1"/>
  <c r="X261" i="17" a="1"/>
  <c r="X261" i="17" s="1"/>
  <c r="X262" i="17" a="1"/>
  <c r="X262" i="17" s="1"/>
  <c r="X298" i="17" a="1"/>
  <c r="X298" i="17" s="1"/>
  <c r="Y298" i="17" s="1"/>
  <c r="Q298" i="17" s="1"/>
  <c r="W298" i="17" s="1"/>
  <c r="X328" i="17" a="1"/>
  <c r="X328" i="17" s="1"/>
  <c r="Y328" i="17" s="1"/>
  <c r="Q328" i="17" s="1"/>
  <c r="W328" i="17" s="1"/>
  <c r="X358" i="17" a="1"/>
  <c r="X358" i="17" s="1"/>
  <c r="X440" i="17" a="1"/>
  <c r="X440" i="17" s="1"/>
  <c r="Y440" i="17" s="1"/>
  <c r="Q440" i="17" s="1"/>
  <c r="W440" i="17" s="1"/>
  <c r="X441" i="17" a="1"/>
  <c r="X441" i="17" s="1"/>
  <c r="Y441" i="17" s="1"/>
  <c r="Q441" i="17" s="1"/>
  <c r="W441" i="17" s="1"/>
  <c r="X442" i="17" a="1"/>
  <c r="X442" i="17" s="1"/>
  <c r="X478" i="17" a="1"/>
  <c r="X478" i="17" s="1"/>
  <c r="X560" i="17" a="1"/>
  <c r="X560" i="17" s="1"/>
  <c r="X561" i="17" a="1"/>
  <c r="X561" i="17" s="1"/>
  <c r="Y561" i="17" s="1"/>
  <c r="Q561" i="17" s="1"/>
  <c r="W561" i="17" s="1"/>
  <c r="X562" i="17" a="1"/>
  <c r="X562" i="17" s="1"/>
  <c r="Y562" i="17" s="1"/>
  <c r="Q562" i="17" s="1"/>
  <c r="W562" i="17" s="1"/>
  <c r="X598" i="17" a="1"/>
  <c r="X598" i="17" s="1"/>
  <c r="X680" i="17" a="1"/>
  <c r="X680" i="17" s="1"/>
  <c r="X681" i="17" a="1"/>
  <c r="X681" i="17" s="1"/>
  <c r="Y681" i="17" s="1"/>
  <c r="Q681" i="17" s="1"/>
  <c r="W681" i="17" s="1"/>
  <c r="X682" i="17" a="1"/>
  <c r="X682" i="17" s="1"/>
  <c r="X718" i="17" a="1"/>
  <c r="X718" i="17" s="1"/>
  <c r="X748" i="17" a="1"/>
  <c r="X748" i="17" s="1"/>
  <c r="X164" i="17" a="1"/>
  <c r="X164" i="17" s="1"/>
  <c r="Y164" i="17" s="1"/>
  <c r="Q164" i="17" s="1"/>
  <c r="W164" i="17" s="1"/>
  <c r="X165" i="17" a="1"/>
  <c r="X165" i="17" s="1"/>
  <c r="Y165" i="17" s="1"/>
  <c r="Q165" i="17" s="1"/>
  <c r="W165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Y168" i="17" s="1"/>
  <c r="Q168" i="17" s="1"/>
  <c r="W168" i="17" s="1"/>
  <c r="X169" i="17" a="1"/>
  <c r="X169" i="17" s="1"/>
  <c r="X263" i="17" a="1"/>
  <c r="X263" i="17" s="1"/>
  <c r="X264" i="17" a="1"/>
  <c r="X264" i="17" s="1"/>
  <c r="X265" i="17" a="1"/>
  <c r="X265" i="17" s="1"/>
  <c r="Y265" i="17" s="1"/>
  <c r="Q265" i="17" s="1"/>
  <c r="W265" i="17" s="1"/>
  <c r="X299" i="17" a="1"/>
  <c r="X299" i="17"/>
  <c r="Y299" i="17" s="1"/>
  <c r="Q299" i="17" s="1"/>
  <c r="W299" i="17" s="1"/>
  <c r="X329" i="17" a="1"/>
  <c r="X329" i="17" s="1"/>
  <c r="X359" i="17" a="1"/>
  <c r="X359" i="17" s="1"/>
  <c r="X443" i="17" a="1"/>
  <c r="X443" i="17" s="1"/>
  <c r="Y443" i="17" s="1"/>
  <c r="Q443" i="17" s="1"/>
  <c r="W443" i="17" s="1"/>
  <c r="X444" i="17" a="1"/>
  <c r="X444" i="17" s="1"/>
  <c r="X445" i="17" a="1"/>
  <c r="X445" i="17" s="1"/>
  <c r="X479" i="17" a="1"/>
  <c r="X479" i="17" s="1"/>
  <c r="X563" i="17" a="1"/>
  <c r="X563" i="17" s="1"/>
  <c r="Y563" i="17" s="1"/>
  <c r="Q563" i="17" s="1"/>
  <c r="W563" i="17" s="1"/>
  <c r="X564" i="17" a="1"/>
  <c r="X564" i="17" s="1"/>
  <c r="Y564" i="17" s="1"/>
  <c r="Q564" i="17" s="1"/>
  <c r="W564" i="17" s="1"/>
  <c r="X565" i="17" a="1"/>
  <c r="X565" i="17" s="1"/>
  <c r="X599" i="17" a="1"/>
  <c r="X599" i="17" s="1"/>
  <c r="Y599" i="17" s="1"/>
  <c r="Q599" i="17" s="1"/>
  <c r="W599" i="17" s="1"/>
  <c r="X683" i="17" a="1"/>
  <c r="X683" i="17" s="1"/>
  <c r="Y683" i="17" s="1"/>
  <c r="Q683" i="17" s="1"/>
  <c r="W683" i="17" s="1"/>
  <c r="X684" i="17" a="1"/>
  <c r="X684" i="17" s="1"/>
  <c r="X685" i="17" a="1"/>
  <c r="X685" i="17" s="1"/>
  <c r="X719" i="17" a="1"/>
  <c r="X719" i="17" s="1"/>
  <c r="X749" i="17" a="1"/>
  <c r="X749" i="17" s="1"/>
  <c r="Y749" i="17" s="1"/>
  <c r="Q749" i="17" s="1"/>
  <c r="W749" i="17" s="1"/>
  <c r="X170" i="17" a="1"/>
  <c r="X170" i="17" s="1"/>
  <c r="Y170" i="17" s="1"/>
  <c r="Q170" i="17" s="1"/>
  <c r="W170" i="17" s="1"/>
  <c r="X171" i="17" a="1"/>
  <c r="X171" i="17" s="1"/>
  <c r="X172" i="17" a="1"/>
  <c r="X172" i="17" s="1"/>
  <c r="X173" i="17" a="1"/>
  <c r="X173" i="17" s="1"/>
  <c r="Y173" i="17" s="1"/>
  <c r="Q173" i="17" s="1"/>
  <c r="W173" i="17" s="1"/>
  <c r="X174" i="17" a="1"/>
  <c r="X174" i="17" s="1"/>
  <c r="X175" i="17" a="1"/>
  <c r="X175" i="17" s="1"/>
  <c r="X266" i="17" a="1"/>
  <c r="X266" i="17" s="1"/>
  <c r="X267" i="17" a="1"/>
  <c r="X267" i="17" s="1"/>
  <c r="Y267" i="17" s="1"/>
  <c r="Q267" i="17" s="1"/>
  <c r="W267" i="17" s="1"/>
  <c r="X268" i="17" a="1"/>
  <c r="X268" i="17" s="1"/>
  <c r="Y268" i="17" s="1"/>
  <c r="Q268" i="17" s="1"/>
  <c r="W268" i="17" s="1"/>
  <c r="X300" i="17" a="1"/>
  <c r="X300" i="17" s="1"/>
  <c r="X330" i="17" a="1"/>
  <c r="X330" i="17" s="1"/>
  <c r="Y330" i="17" s="1"/>
  <c r="Q330" i="17" s="1"/>
  <c r="W330" i="17" s="1"/>
  <c r="X360" i="17" a="1"/>
  <c r="X360" i="17" s="1"/>
  <c r="Y360" i="17" s="1"/>
  <c r="Q360" i="17" s="1"/>
  <c r="W360" i="17" s="1"/>
  <c r="X446" i="17" a="1"/>
  <c r="X446" i="17" s="1"/>
  <c r="X447" i="17" a="1"/>
  <c r="X447" i="17" s="1"/>
  <c r="X448" i="17" a="1"/>
  <c r="X448" i="17" s="1"/>
  <c r="X480" i="17" a="1"/>
  <c r="X480" i="17" s="1"/>
  <c r="Y480" i="17" s="1"/>
  <c r="Q480" i="17" s="1"/>
  <c r="W480" i="17" s="1"/>
  <c r="X566" i="17" a="1"/>
  <c r="X566" i="17"/>
  <c r="Y566" i="17" s="1"/>
  <c r="Q566" i="17" s="1"/>
  <c r="W566" i="17" s="1"/>
  <c r="X567" i="17" a="1"/>
  <c r="X567" i="17" s="1"/>
  <c r="X568" i="17" a="1"/>
  <c r="X568" i="17" s="1"/>
  <c r="X600" i="17" a="1"/>
  <c r="X600" i="17" s="1"/>
  <c r="Y600" i="17" s="1"/>
  <c r="Q600" i="17" s="1"/>
  <c r="W600" i="17" s="1"/>
  <c r="X686" i="17" a="1"/>
  <c r="X686" i="17" s="1"/>
  <c r="X687" i="17" a="1"/>
  <c r="X687" i="17" s="1"/>
  <c r="X688" i="17" a="1"/>
  <c r="X688" i="17" s="1"/>
  <c r="Y688" i="17" s="1"/>
  <c r="Q688" i="17" s="1"/>
  <c r="W688" i="17" s="1"/>
  <c r="X720" i="17" a="1"/>
  <c r="X720" i="17" s="1"/>
  <c r="Y720" i="17" s="1"/>
  <c r="Q720" i="17" s="1"/>
  <c r="W720" i="17" s="1"/>
  <c r="X750" i="17" a="1"/>
  <c r="X750" i="17" s="1"/>
  <c r="Y750" i="17" s="1"/>
  <c r="Q750" i="17" s="1"/>
  <c r="W750" i="17" s="1"/>
  <c r="X176" i="17" a="1"/>
  <c r="X176" i="17" s="1"/>
  <c r="X177" i="17" a="1"/>
  <c r="X177" i="17" s="1"/>
  <c r="Y177" i="17" s="1"/>
  <c r="Q177" i="17" s="1"/>
  <c r="W177" i="17" s="1"/>
  <c r="X178" i="17" a="1"/>
  <c r="X178" i="17" s="1"/>
  <c r="Y178" i="17" s="1"/>
  <c r="Q178" i="17" s="1"/>
  <c r="W178" i="17" s="1"/>
  <c r="X179" i="17" a="1"/>
  <c r="X179" i="17" s="1"/>
  <c r="X180" i="17" a="1"/>
  <c r="X180" i="17" s="1"/>
  <c r="Y180" i="17" s="1"/>
  <c r="Q180" i="17" s="1"/>
  <c r="W180" i="17" s="1"/>
  <c r="X181" i="17" a="1"/>
  <c r="X181" i="17" s="1"/>
  <c r="X269" i="17" a="1"/>
  <c r="X269" i="17" s="1"/>
  <c r="Y269" i="17" s="1"/>
  <c r="Q269" i="17" s="1"/>
  <c r="W269" i="17" s="1"/>
  <c r="X270" i="17" a="1"/>
  <c r="X270" i="17" s="1"/>
  <c r="Y270" i="17" s="1"/>
  <c r="Q270" i="17" s="1"/>
  <c r="W270" i="17" s="1"/>
  <c r="X271" i="17" a="1"/>
  <c r="X271" i="17" s="1"/>
  <c r="X301" i="17" a="1"/>
  <c r="X301" i="17" s="1"/>
  <c r="X331" i="17" a="1"/>
  <c r="X331" i="17" s="1"/>
  <c r="Y331" i="17" s="1"/>
  <c r="Q331" i="17" s="1"/>
  <c r="W331" i="17" s="1"/>
  <c r="X361" i="17" a="1"/>
  <c r="X361" i="17" s="1"/>
  <c r="X449" i="17" a="1"/>
  <c r="X449" i="17" s="1"/>
  <c r="X450" i="17" a="1"/>
  <c r="X450" i="17" s="1"/>
  <c r="X451" i="17" a="1"/>
  <c r="X451" i="17" s="1"/>
  <c r="Y451" i="17" s="1"/>
  <c r="Q451" i="17" s="1"/>
  <c r="W451" i="17" s="1"/>
  <c r="X481" i="17" a="1"/>
  <c r="X481" i="17" s="1"/>
  <c r="Y481" i="17" s="1"/>
  <c r="Q481" i="17" s="1"/>
  <c r="W481" i="17" s="1"/>
  <c r="X569" i="17" a="1"/>
  <c r="X569" i="17" s="1"/>
  <c r="X570" i="17" a="1"/>
  <c r="X570" i="17" s="1"/>
  <c r="Y570" i="17" s="1"/>
  <c r="Q570" i="17" s="1"/>
  <c r="W570" i="17" s="1"/>
  <c r="X571" i="17" a="1"/>
  <c r="X571" i="17" s="1"/>
  <c r="Y571" i="17" s="1"/>
  <c r="Q571" i="17" s="1"/>
  <c r="W571" i="17" s="1"/>
  <c r="X601" i="17" a="1"/>
  <c r="X601" i="17" s="1"/>
  <c r="X689" i="17" a="1"/>
  <c r="X689" i="17" s="1"/>
  <c r="X690" i="17" a="1"/>
  <c r="X690" i="17" s="1"/>
  <c r="X691" i="17" a="1"/>
  <c r="X691" i="17" s="1"/>
  <c r="Y691" i="17" s="1"/>
  <c r="Q691" i="17" s="1"/>
  <c r="W691" i="17" s="1"/>
  <c r="X721" i="17" a="1"/>
  <c r="X721" i="17"/>
  <c r="Y721" i="17" s="1"/>
  <c r="Q721" i="17" s="1"/>
  <c r="W721" i="17" s="1"/>
  <c r="X751" i="17" a="1"/>
  <c r="X751" i="17" s="1"/>
  <c r="Y3" i="17"/>
  <c r="Q3" i="17" s="1"/>
  <c r="W3" i="17" s="1"/>
  <c r="Y4" i="17"/>
  <c r="Q4" i="17" s="1"/>
  <c r="W4" i="17" s="1"/>
  <c r="Y7" i="17"/>
  <c r="Q7" i="17" s="1"/>
  <c r="W7" i="17" s="1"/>
  <c r="Y184" i="17"/>
  <c r="Q184" i="17" s="1"/>
  <c r="W184" i="17" s="1"/>
  <c r="Y272" i="17"/>
  <c r="Q272" i="17" s="1"/>
  <c r="W272" i="17" s="1"/>
  <c r="Y363" i="17"/>
  <c r="Q363" i="17" s="1"/>
  <c r="W363" i="17" s="1"/>
  <c r="Y364" i="17"/>
  <c r="Q364" i="17" s="1"/>
  <c r="W364" i="17" s="1"/>
  <c r="Y483" i="17"/>
  <c r="Q483" i="17" s="1"/>
  <c r="W483" i="17" s="1"/>
  <c r="Y484" i="17"/>
  <c r="Q484" i="17" s="1"/>
  <c r="W484" i="17" s="1"/>
  <c r="Y603" i="17"/>
  <c r="Q603" i="17" s="1"/>
  <c r="W603" i="17" s="1"/>
  <c r="Y722" i="17"/>
  <c r="Q722" i="17" s="1"/>
  <c r="W722" i="17" s="1"/>
  <c r="Y8" i="17"/>
  <c r="Q8" i="17" s="1"/>
  <c r="W8" i="17" s="1"/>
  <c r="Y12" i="17"/>
  <c r="Q12" i="17" s="1"/>
  <c r="W12" i="17" s="1"/>
  <c r="Y13" i="17"/>
  <c r="Q13" i="17" s="1"/>
  <c r="W13" i="17" s="1"/>
  <c r="Y187" i="17"/>
  <c r="Q187" i="17" s="1"/>
  <c r="W187" i="17" s="1"/>
  <c r="Y273" i="17"/>
  <c r="Q273" i="17" s="1"/>
  <c r="W273" i="17" s="1"/>
  <c r="Y365" i="17"/>
  <c r="Q365" i="17" s="1"/>
  <c r="W365" i="17" s="1"/>
  <c r="Y453" i="17"/>
  <c r="Q453" i="17" s="1"/>
  <c r="W453" i="17" s="1"/>
  <c r="Y485" i="17"/>
  <c r="Q485" i="17" s="1"/>
  <c r="W485" i="17" s="1"/>
  <c r="Y605" i="17"/>
  <c r="Q605" i="17" s="1"/>
  <c r="W605" i="17" s="1"/>
  <c r="Y606" i="17"/>
  <c r="Q606" i="17" s="1"/>
  <c r="W606" i="17" s="1"/>
  <c r="Y723" i="17"/>
  <c r="Q723" i="17" s="1"/>
  <c r="W723" i="17" s="1"/>
  <c r="Y14" i="17"/>
  <c r="Q14" i="17" s="1"/>
  <c r="W14" i="17" s="1"/>
  <c r="Y17" i="17"/>
  <c r="Q17" i="17" s="1"/>
  <c r="W17" i="17" s="1"/>
  <c r="Y188" i="17"/>
  <c r="Q188" i="17" s="1"/>
  <c r="W188" i="17" s="1"/>
  <c r="Y189" i="17"/>
  <c r="Q189" i="17" s="1"/>
  <c r="W189" i="17" s="1"/>
  <c r="Y334" i="17"/>
  <c r="Q334" i="17" s="1"/>
  <c r="W334" i="17" s="1"/>
  <c r="Y368" i="17"/>
  <c r="Q368" i="17" s="1"/>
  <c r="W368" i="17" s="1"/>
  <c r="Y454" i="17"/>
  <c r="Q454" i="17" s="1"/>
  <c r="W454" i="17" s="1"/>
  <c r="Y488" i="17"/>
  <c r="Q488" i="17" s="1"/>
  <c r="W488" i="17" s="1"/>
  <c r="Y574" i="17"/>
  <c r="Q574" i="17" s="1"/>
  <c r="W574" i="17" s="1"/>
  <c r="Y610" i="17"/>
  <c r="Q610" i="17" s="1"/>
  <c r="W610" i="17" s="1"/>
  <c r="Y694" i="17"/>
  <c r="Q694" i="17" s="1"/>
  <c r="W694" i="17" s="1"/>
  <c r="Y22" i="17"/>
  <c r="Q22" i="17" s="1"/>
  <c r="W22" i="17" s="1"/>
  <c r="Y23" i="17"/>
  <c r="Q23" i="17" s="1"/>
  <c r="W23" i="17" s="1"/>
  <c r="Y191" i="17"/>
  <c r="Q191" i="17" s="1"/>
  <c r="W191" i="17" s="1"/>
  <c r="Y192" i="17"/>
  <c r="Q192" i="17" s="1"/>
  <c r="W192" i="17" s="1"/>
  <c r="Y305" i="17"/>
  <c r="Q305" i="17" s="1"/>
  <c r="W305" i="17" s="1"/>
  <c r="Y372" i="17"/>
  <c r="Q372" i="17" s="1"/>
  <c r="W372" i="17" s="1"/>
  <c r="Y373" i="17"/>
  <c r="Q373" i="17" s="1"/>
  <c r="W373" i="17" s="1"/>
  <c r="Y493" i="17"/>
  <c r="Q493" i="17" s="1"/>
  <c r="W493" i="17" s="1"/>
  <c r="Y575" i="17"/>
  <c r="Q575" i="17" s="1"/>
  <c r="W575" i="17" s="1"/>
  <c r="Y613" i="17"/>
  <c r="Q613" i="17" s="1"/>
  <c r="W613" i="17" s="1"/>
  <c r="Y695" i="17"/>
  <c r="Q695" i="17" s="1"/>
  <c r="W695" i="17" s="1"/>
  <c r="Y27" i="17"/>
  <c r="Q27" i="17" s="1"/>
  <c r="W27" i="17" s="1"/>
  <c r="Y30" i="17"/>
  <c r="Q30" i="17" s="1"/>
  <c r="W30" i="17" s="1"/>
  <c r="Y31" i="17"/>
  <c r="Q31" i="17" s="1"/>
  <c r="W31" i="17" s="1"/>
  <c r="Y276" i="17"/>
  <c r="Q276" i="17" s="1"/>
  <c r="W276" i="17" s="1"/>
  <c r="Y306" i="17"/>
  <c r="Q306" i="17" s="1"/>
  <c r="W306" i="17" s="1"/>
  <c r="Y375" i="17"/>
  <c r="Q375" i="17" s="1"/>
  <c r="W375" i="17" s="1"/>
  <c r="Y376" i="17"/>
  <c r="Q376" i="17" s="1"/>
  <c r="W376" i="17" s="1"/>
  <c r="Y495" i="17"/>
  <c r="Q495" i="17" s="1"/>
  <c r="W495" i="17" s="1"/>
  <c r="Y614" i="17"/>
  <c r="Q614" i="17" s="1"/>
  <c r="W614" i="17" s="1"/>
  <c r="Y615" i="17"/>
  <c r="Q615" i="17" s="1"/>
  <c r="W615" i="17" s="1"/>
  <c r="Y32" i="17"/>
  <c r="Q32" i="17" s="1"/>
  <c r="W32" i="17" s="1"/>
  <c r="Y33" i="17"/>
  <c r="Q33" i="17" s="1"/>
  <c r="W33" i="17" s="1"/>
  <c r="Y36" i="17"/>
  <c r="Q36" i="17" s="1"/>
  <c r="W36" i="17" s="1"/>
  <c r="Y37" i="17"/>
  <c r="Q37" i="17" s="1"/>
  <c r="W37" i="17" s="1"/>
  <c r="Y199" i="17"/>
  <c r="Q199" i="17" s="1"/>
  <c r="W199" i="17" s="1"/>
  <c r="Y337" i="17"/>
  <c r="Q337" i="17" s="1"/>
  <c r="W337" i="17" s="1"/>
  <c r="Y377" i="17"/>
  <c r="Q377" i="17" s="1"/>
  <c r="W377" i="17" s="1"/>
  <c r="Y497" i="17"/>
  <c r="Q497" i="17" s="1"/>
  <c r="W497" i="17" s="1"/>
  <c r="Y498" i="17"/>
  <c r="Q498" i="17" s="1"/>
  <c r="W498" i="17" s="1"/>
  <c r="Y617" i="17"/>
  <c r="Q617" i="17" s="1"/>
  <c r="W617" i="17" s="1"/>
  <c r="Y618" i="17"/>
  <c r="Q618" i="17" s="1"/>
  <c r="W618" i="17" s="1"/>
  <c r="Y697" i="17"/>
  <c r="Q697" i="17" s="1"/>
  <c r="W697" i="17" s="1"/>
  <c r="Y727" i="17"/>
  <c r="Q727" i="17" s="1"/>
  <c r="W727" i="17" s="1"/>
  <c r="Y40" i="17"/>
  <c r="Q40" i="17" s="1"/>
  <c r="W40" i="17" s="1"/>
  <c r="Y41" i="17"/>
  <c r="Q41" i="17" s="1"/>
  <c r="W41" i="17" s="1"/>
  <c r="Y201" i="17"/>
  <c r="Q201" i="17" s="1"/>
  <c r="W201" i="17" s="1"/>
  <c r="Y202" i="17"/>
  <c r="Q202" i="17" s="1"/>
  <c r="W202" i="17" s="1"/>
  <c r="Y338" i="17"/>
  <c r="Q338" i="17" s="1"/>
  <c r="W338" i="17" s="1"/>
  <c r="Y380" i="17"/>
  <c r="Q380" i="17" s="1"/>
  <c r="W380" i="17" s="1"/>
  <c r="Y458" i="17"/>
  <c r="Q458" i="17" s="1"/>
  <c r="W458" i="17" s="1"/>
  <c r="Y502" i="17"/>
  <c r="Q502" i="17" s="1"/>
  <c r="W502" i="17" s="1"/>
  <c r="Y578" i="17"/>
  <c r="Q578" i="17" s="1"/>
  <c r="W578" i="17" s="1"/>
  <c r="Y622" i="17"/>
  <c r="Q622" i="17" s="1"/>
  <c r="W622" i="17" s="1"/>
  <c r="Y698" i="17"/>
  <c r="Q698" i="17" s="1"/>
  <c r="W698" i="17" s="1"/>
  <c r="Y728" i="17"/>
  <c r="Q728" i="17" s="1"/>
  <c r="W728" i="17" s="1"/>
  <c r="Y46" i="17"/>
  <c r="Q46" i="17" s="1"/>
  <c r="W46" i="17" s="1"/>
  <c r="Y47" i="17"/>
  <c r="Q47" i="17" s="1"/>
  <c r="W47" i="17" s="1"/>
  <c r="Y203" i="17"/>
  <c r="Q203" i="17" s="1"/>
  <c r="W203" i="17" s="1"/>
  <c r="Y279" i="17"/>
  <c r="Q279" i="17" s="1"/>
  <c r="W279" i="17" s="1"/>
  <c r="Y309" i="17"/>
  <c r="Q309" i="17" s="1"/>
  <c r="W309" i="17" s="1"/>
  <c r="Y384" i="17"/>
  <c r="Q384" i="17" s="1"/>
  <c r="W384" i="17" s="1"/>
  <c r="Y385" i="17"/>
  <c r="Q385" i="17" s="1"/>
  <c r="W385" i="17" s="1"/>
  <c r="Y459" i="17"/>
  <c r="Q459" i="17" s="1"/>
  <c r="W459" i="17" s="1"/>
  <c r="Y505" i="17"/>
  <c r="Q505" i="17" s="1"/>
  <c r="W505" i="17" s="1"/>
  <c r="Y579" i="17"/>
  <c r="Q579" i="17" s="1"/>
  <c r="W579" i="17" s="1"/>
  <c r="Y625" i="17"/>
  <c r="Q625" i="17" s="1"/>
  <c r="W625" i="17" s="1"/>
  <c r="Y50" i="17"/>
  <c r="Q50" i="17" s="1"/>
  <c r="W50" i="17" s="1"/>
  <c r="Y51" i="17"/>
  <c r="Q51" i="17" s="1"/>
  <c r="W51" i="17" s="1"/>
  <c r="Y55" i="17"/>
  <c r="Q55" i="17" s="1"/>
  <c r="W55" i="17" s="1"/>
  <c r="Y206" i="17"/>
  <c r="Q206" i="17" s="1"/>
  <c r="W206" i="17" s="1"/>
  <c r="Y280" i="17"/>
  <c r="Q280" i="17" s="1"/>
  <c r="W280" i="17" s="1"/>
  <c r="Y310" i="17"/>
  <c r="Q310" i="17" s="1"/>
  <c r="W310" i="17" s="1"/>
  <c r="Y386" i="17"/>
  <c r="Q386" i="17" s="1"/>
  <c r="W386" i="17" s="1"/>
  <c r="Y387" i="17"/>
  <c r="Q387" i="17" s="1"/>
  <c r="W387" i="17" s="1"/>
  <c r="Y506" i="17"/>
  <c r="Q506" i="17" s="1"/>
  <c r="W506" i="17" s="1"/>
  <c r="Y507" i="17"/>
  <c r="Q507" i="17" s="1"/>
  <c r="W507" i="17" s="1"/>
  <c r="Y627" i="17"/>
  <c r="Q627" i="17" s="1"/>
  <c r="W627" i="17" s="1"/>
  <c r="Y628" i="17"/>
  <c r="Q628" i="17" s="1"/>
  <c r="W628" i="17" s="1"/>
  <c r="Y56" i="17"/>
  <c r="Q56" i="17" s="1"/>
  <c r="W56" i="17" s="1"/>
  <c r="Y57" i="17"/>
  <c r="Q57" i="17" s="1"/>
  <c r="W57" i="17" s="1"/>
  <c r="Y60" i="17"/>
  <c r="Q60" i="17" s="1"/>
  <c r="W60" i="17" s="1"/>
  <c r="Y210" i="17"/>
  <c r="Q210" i="17" s="1"/>
  <c r="W210" i="17" s="1"/>
  <c r="Y211" i="17"/>
  <c r="Q211" i="17" s="1"/>
  <c r="W211" i="17" s="1"/>
  <c r="Y341" i="17"/>
  <c r="Q341" i="17" s="1"/>
  <c r="W341" i="17" s="1"/>
  <c r="Y389" i="17"/>
  <c r="Q389" i="17" s="1"/>
  <c r="W389" i="17" s="1"/>
  <c r="Y390" i="17"/>
  <c r="Q390" i="17" s="1"/>
  <c r="W390" i="17" s="1"/>
  <c r="Y509" i="17"/>
  <c r="Q509" i="17" s="1"/>
  <c r="W509" i="17" s="1"/>
  <c r="Y510" i="17"/>
  <c r="Q510" i="17" s="1"/>
  <c r="W510" i="17" s="1"/>
  <c r="Y629" i="17"/>
  <c r="Q629" i="17" s="1"/>
  <c r="W629" i="17" s="1"/>
  <c r="Y701" i="17"/>
  <c r="Q701" i="17" s="1"/>
  <c r="W701" i="17" s="1"/>
  <c r="Y731" i="17"/>
  <c r="Q731" i="17" s="1"/>
  <c r="W731" i="17" s="1"/>
  <c r="Y64" i="17"/>
  <c r="Q64" i="17" s="1"/>
  <c r="W64" i="17" s="1"/>
  <c r="Y65" i="17"/>
  <c r="Q65" i="17" s="1"/>
  <c r="W65" i="17" s="1"/>
  <c r="Y66" i="17"/>
  <c r="Q66" i="17" s="1"/>
  <c r="W66" i="17" s="1"/>
  <c r="Y213" i="17"/>
  <c r="Q213" i="17" s="1"/>
  <c r="W213" i="17" s="1"/>
  <c r="Y214" i="17"/>
  <c r="Q214" i="17" s="1"/>
  <c r="W214" i="17" s="1"/>
  <c r="Y342" i="17"/>
  <c r="Q342" i="17" s="1"/>
  <c r="W342" i="17" s="1"/>
  <c r="Y394" i="17"/>
  <c r="Q394" i="17" s="1"/>
  <c r="W394" i="17" s="1"/>
  <c r="Y462" i="17"/>
  <c r="Q462" i="17" s="1"/>
  <c r="W462" i="17" s="1"/>
  <c r="Y582" i="17"/>
  <c r="Q582" i="17" s="1"/>
  <c r="W582" i="17" s="1"/>
  <c r="Y632" i="17"/>
  <c r="Q632" i="17" s="1"/>
  <c r="W632" i="17" s="1"/>
  <c r="Y702" i="17"/>
  <c r="Q702" i="17" s="1"/>
  <c r="W702" i="17" s="1"/>
  <c r="Y732" i="17"/>
  <c r="Q732" i="17" s="1"/>
  <c r="W732" i="17" s="1"/>
  <c r="Y69" i="17"/>
  <c r="Q69" i="17" s="1"/>
  <c r="W69" i="17" s="1"/>
  <c r="Y70" i="17"/>
  <c r="Q70" i="17" s="1"/>
  <c r="W70" i="17" s="1"/>
  <c r="Y73" i="17"/>
  <c r="Q73" i="17" s="1"/>
  <c r="W73" i="17" s="1"/>
  <c r="Y215" i="17"/>
  <c r="Q215" i="17" s="1"/>
  <c r="W215" i="17" s="1"/>
  <c r="Y313" i="17"/>
  <c r="Q313" i="17" s="1"/>
  <c r="W313" i="17" s="1"/>
  <c r="Y343" i="17"/>
  <c r="Q343" i="17" s="1"/>
  <c r="W343" i="17" s="1"/>
  <c r="Y397" i="17"/>
  <c r="Q397" i="17" s="1"/>
  <c r="W397" i="17" s="1"/>
  <c r="Y463" i="17"/>
  <c r="Q463" i="17" s="1"/>
  <c r="W463" i="17" s="1"/>
  <c r="Y517" i="17"/>
  <c r="Q517" i="17" s="1"/>
  <c r="W517" i="17" s="1"/>
  <c r="Y636" i="17"/>
  <c r="Q636" i="17" s="1"/>
  <c r="W636" i="17" s="1"/>
  <c r="Y637" i="17"/>
  <c r="Q637" i="17" s="1"/>
  <c r="W637" i="17" s="1"/>
  <c r="Y74" i="17"/>
  <c r="Q74" i="17" s="1"/>
  <c r="W74" i="17" s="1"/>
  <c r="Y75" i="17"/>
  <c r="Q75" i="17" s="1"/>
  <c r="W75" i="17" s="1"/>
  <c r="Y76" i="17"/>
  <c r="Q76" i="17" s="1"/>
  <c r="W76" i="17" s="1"/>
  <c r="Y79" i="17"/>
  <c r="Q79" i="17" s="1"/>
  <c r="W79" i="17" s="1"/>
  <c r="Y218" i="17"/>
  <c r="Q218" i="17" s="1"/>
  <c r="W218" i="17" s="1"/>
  <c r="Y284" i="17"/>
  <c r="Q284" i="17" s="1"/>
  <c r="W284" i="17" s="1"/>
  <c r="Y398" i="17"/>
  <c r="Q398" i="17" s="1"/>
  <c r="W398" i="17" s="1"/>
  <c r="Y399" i="17"/>
  <c r="Q399" i="17" s="1"/>
  <c r="W399" i="17" s="1"/>
  <c r="Y518" i="17"/>
  <c r="Q518" i="17" s="1"/>
  <c r="W518" i="17" s="1"/>
  <c r="Y519" i="17"/>
  <c r="Q519" i="17" s="1"/>
  <c r="W519" i="17" s="1"/>
  <c r="Y520" i="17"/>
  <c r="Q520" i="17" s="1"/>
  <c r="W520" i="17" s="1"/>
  <c r="Y639" i="17"/>
  <c r="Q639" i="17" s="1"/>
  <c r="W639" i="17" s="1"/>
  <c r="Y640" i="17"/>
  <c r="Q640" i="17" s="1"/>
  <c r="W640" i="17" s="1"/>
  <c r="Y80" i="17"/>
  <c r="Q80" i="17" s="1"/>
  <c r="W80" i="17" s="1"/>
  <c r="Y83" i="17"/>
  <c r="Q83" i="17" s="1"/>
  <c r="W83" i="17" s="1"/>
  <c r="Y84" i="17"/>
  <c r="Q84" i="17" s="1"/>
  <c r="W84" i="17" s="1"/>
  <c r="Y223" i="17"/>
  <c r="Q223" i="17" s="1"/>
  <c r="W223" i="17" s="1"/>
  <c r="Y285" i="17"/>
  <c r="Q285" i="17" s="1"/>
  <c r="W285" i="17" s="1"/>
  <c r="Y401" i="17"/>
  <c r="Q401" i="17" s="1"/>
  <c r="W401" i="17" s="1"/>
  <c r="Y402" i="17"/>
  <c r="Q402" i="17" s="1"/>
  <c r="W402" i="17" s="1"/>
  <c r="Y465" i="17"/>
  <c r="Q465" i="17" s="1"/>
  <c r="W465" i="17" s="1"/>
  <c r="Y521" i="17"/>
  <c r="Q521" i="17" s="1"/>
  <c r="W521" i="17" s="1"/>
  <c r="Y585" i="17"/>
  <c r="Q585" i="17" s="1"/>
  <c r="W585" i="17" s="1"/>
  <c r="Y641" i="17"/>
  <c r="Q641" i="17" s="1"/>
  <c r="W641" i="17" s="1"/>
  <c r="Y735" i="17"/>
  <c r="Q735" i="17" s="1"/>
  <c r="W735" i="17" s="1"/>
  <c r="Y86" i="17"/>
  <c r="Q86" i="17" s="1"/>
  <c r="W86" i="17" s="1"/>
  <c r="Y89" i="17"/>
  <c r="Q89" i="17" s="1"/>
  <c r="W89" i="17" s="1"/>
  <c r="Y90" i="17"/>
  <c r="Q90" i="17" s="1"/>
  <c r="W90" i="17" s="1"/>
  <c r="Y225" i="17"/>
  <c r="Q225" i="17" s="1"/>
  <c r="W225" i="17" s="1"/>
  <c r="Y316" i="17"/>
  <c r="Q316" i="17" s="1"/>
  <c r="W316" i="17" s="1"/>
  <c r="Y346" i="17"/>
  <c r="Q346" i="17" s="1"/>
  <c r="W346" i="17" s="1"/>
  <c r="Y406" i="17"/>
  <c r="Q406" i="17" s="1"/>
  <c r="W406" i="17" s="1"/>
  <c r="Y466" i="17"/>
  <c r="Q466" i="17" s="1"/>
  <c r="W466" i="17" s="1"/>
  <c r="Y524" i="17"/>
  <c r="Q524" i="17" s="1"/>
  <c r="W524" i="17" s="1"/>
  <c r="Y586" i="17"/>
  <c r="Q586" i="17" s="1"/>
  <c r="W586" i="17" s="1"/>
  <c r="Y644" i="17"/>
  <c r="Q644" i="17" s="1"/>
  <c r="W644" i="17" s="1"/>
  <c r="Y706" i="17"/>
  <c r="Q706" i="17" s="1"/>
  <c r="W706" i="17" s="1"/>
  <c r="Y93" i="17"/>
  <c r="Q93" i="17" s="1"/>
  <c r="W93" i="17" s="1"/>
  <c r="Y94" i="17"/>
  <c r="Q94" i="17" s="1"/>
  <c r="W94" i="17" s="1"/>
  <c r="Y97" i="17"/>
  <c r="Q97" i="17" s="1"/>
  <c r="W97" i="17" s="1"/>
  <c r="Y227" i="17"/>
  <c r="Q227" i="17" s="1"/>
  <c r="W227" i="17" s="1"/>
  <c r="Y228" i="17"/>
  <c r="Q228" i="17" s="1"/>
  <c r="W228" i="17" s="1"/>
  <c r="Y317" i="17"/>
  <c r="Q317" i="17" s="1"/>
  <c r="W317" i="17" s="1"/>
  <c r="Y347" i="17"/>
  <c r="Q347" i="17" s="1"/>
  <c r="W347" i="17" s="1"/>
  <c r="Y409" i="17"/>
  <c r="Q409" i="17" s="1"/>
  <c r="W409" i="17" s="1"/>
  <c r="Y528" i="17"/>
  <c r="Q528" i="17" s="1"/>
  <c r="W528" i="17" s="1"/>
  <c r="Y529" i="17"/>
  <c r="Q529" i="17" s="1"/>
  <c r="W529" i="17" s="1"/>
  <c r="Y649" i="17"/>
  <c r="Q649" i="17" s="1"/>
  <c r="W649" i="17" s="1"/>
  <c r="Y707" i="17"/>
  <c r="Q707" i="17" s="1"/>
  <c r="W707" i="17" s="1"/>
  <c r="Y99" i="17"/>
  <c r="Q99" i="17" s="1"/>
  <c r="W99" i="17" s="1"/>
  <c r="Y100" i="17"/>
  <c r="Q100" i="17" s="1"/>
  <c r="W100" i="17" s="1"/>
  <c r="Y102" i="17"/>
  <c r="Q102" i="17" s="1"/>
  <c r="W102" i="17" s="1"/>
  <c r="Y103" i="17"/>
  <c r="Q103" i="17" s="1"/>
  <c r="W103" i="17" s="1"/>
  <c r="Y232" i="17"/>
  <c r="Q232" i="17" s="1"/>
  <c r="W232" i="17" s="1"/>
  <c r="Y288" i="17"/>
  <c r="Q288" i="17" s="1"/>
  <c r="W288" i="17" s="1"/>
  <c r="Y411" i="17"/>
  <c r="Q411" i="17" s="1"/>
  <c r="W411" i="17" s="1"/>
  <c r="Y412" i="17"/>
  <c r="Q412" i="17" s="1"/>
  <c r="W412" i="17" s="1"/>
  <c r="Y531" i="17"/>
  <c r="Q531" i="17" s="1"/>
  <c r="W531" i="17" s="1"/>
  <c r="Y532" i="17"/>
  <c r="Q532" i="17" s="1"/>
  <c r="W532" i="17" s="1"/>
  <c r="Y651" i="17"/>
  <c r="Q651" i="17" s="1"/>
  <c r="W651" i="17" s="1"/>
  <c r="Y738" i="17"/>
  <c r="Q738" i="17" s="1"/>
  <c r="W738" i="17" s="1"/>
  <c r="Y104" i="17"/>
  <c r="Q104" i="17" s="1"/>
  <c r="W104" i="17" s="1"/>
  <c r="Y107" i="17"/>
  <c r="Q107" i="17" s="1"/>
  <c r="W107" i="17" s="1"/>
  <c r="Y108" i="17"/>
  <c r="Q108" i="17" s="1"/>
  <c r="W108" i="17" s="1"/>
  <c r="Y109" i="17"/>
  <c r="Q109" i="17" s="1"/>
  <c r="W109" i="17" s="1"/>
  <c r="Y235" i="17"/>
  <c r="Q235" i="17" s="1"/>
  <c r="W235" i="17" s="1"/>
  <c r="Y289" i="17"/>
  <c r="Q289" i="17" s="1"/>
  <c r="W289" i="17" s="1"/>
  <c r="Y413" i="17"/>
  <c r="Q413" i="17" s="1"/>
  <c r="W413" i="17" s="1"/>
  <c r="Y469" i="17"/>
  <c r="Q469" i="17" s="1"/>
  <c r="W469" i="17" s="1"/>
  <c r="Y533" i="17"/>
  <c r="Q533" i="17" s="1"/>
  <c r="W533" i="17" s="1"/>
  <c r="Y653" i="17"/>
  <c r="Q653" i="17" s="1"/>
  <c r="W653" i="17" s="1"/>
  <c r="Y654" i="17"/>
  <c r="Q654" i="17" s="1"/>
  <c r="W654" i="17" s="1"/>
  <c r="Y739" i="17"/>
  <c r="Q739" i="17" s="1"/>
  <c r="W739" i="17" s="1"/>
  <c r="Y110" i="17"/>
  <c r="Q110" i="17" s="1"/>
  <c r="W110" i="17" s="1"/>
  <c r="Y113" i="17"/>
  <c r="Q113" i="17" s="1"/>
  <c r="W113" i="17" s="1"/>
  <c r="Y236" i="17"/>
  <c r="Q236" i="17" s="1"/>
  <c r="W236" i="17" s="1"/>
  <c r="Y237" i="17"/>
  <c r="Q237" i="17" s="1"/>
  <c r="W237" i="17" s="1"/>
  <c r="Y320" i="17"/>
  <c r="Q320" i="17" s="1"/>
  <c r="W320" i="17" s="1"/>
  <c r="Y350" i="17"/>
  <c r="Q350" i="17" s="1"/>
  <c r="W350" i="17" s="1"/>
  <c r="Y416" i="17"/>
  <c r="Q416" i="17" s="1"/>
  <c r="W416" i="17" s="1"/>
  <c r="Y470" i="17"/>
  <c r="Q470" i="17" s="1"/>
  <c r="W470" i="17" s="1"/>
  <c r="Y536" i="17"/>
  <c r="Q536" i="17" s="1"/>
  <c r="W536" i="17" s="1"/>
  <c r="Y590" i="17"/>
  <c r="Q590" i="17" s="1"/>
  <c r="W590" i="17" s="1"/>
  <c r="Y658" i="17"/>
  <c r="Q658" i="17" s="1"/>
  <c r="W658" i="17" s="1"/>
  <c r="Y710" i="17"/>
  <c r="Q710" i="17" s="1"/>
  <c r="W710" i="17" s="1"/>
  <c r="Y118" i="17"/>
  <c r="Q118" i="17" s="1"/>
  <c r="W118" i="17" s="1"/>
  <c r="Y119" i="17"/>
  <c r="Q119" i="17" s="1"/>
  <c r="W119" i="17" s="1"/>
  <c r="Y239" i="17"/>
  <c r="Q239" i="17" s="1"/>
  <c r="W239" i="17" s="1"/>
  <c r="Y240" i="17"/>
  <c r="Q240" i="17" s="1"/>
  <c r="W240" i="17" s="1"/>
  <c r="Y321" i="17"/>
  <c r="Q321" i="17" s="1"/>
  <c r="W321" i="17" s="1"/>
  <c r="Y420" i="17"/>
  <c r="Q420" i="17" s="1"/>
  <c r="W420" i="17" s="1"/>
  <c r="Y421" i="17"/>
  <c r="Q421" i="17" s="1"/>
  <c r="W421" i="17" s="1"/>
  <c r="Y540" i="17"/>
  <c r="Q540" i="17" s="1"/>
  <c r="W540" i="17" s="1"/>
  <c r="Y541" i="17"/>
  <c r="Q541" i="17" s="1"/>
  <c r="W541" i="17" s="1"/>
  <c r="Y591" i="17"/>
  <c r="Q591" i="17" s="1"/>
  <c r="W591" i="17" s="1"/>
  <c r="Y661" i="17"/>
  <c r="Q661" i="17" s="1"/>
  <c r="W661" i="17" s="1"/>
  <c r="Y711" i="17"/>
  <c r="Q711" i="17" s="1"/>
  <c r="W711" i="17" s="1"/>
  <c r="Y123" i="17"/>
  <c r="Q123" i="17" s="1"/>
  <c r="W123" i="17" s="1"/>
  <c r="Y126" i="17"/>
  <c r="Q126" i="17" s="1"/>
  <c r="W126" i="17" s="1"/>
  <c r="Y127" i="17"/>
  <c r="Q127" i="17" s="1"/>
  <c r="W127" i="17" s="1"/>
  <c r="Y292" i="17"/>
  <c r="Q292" i="17" s="1"/>
  <c r="W292" i="17" s="1"/>
  <c r="Y322" i="17"/>
  <c r="Q322" i="17" s="1"/>
  <c r="W322" i="17" s="1"/>
  <c r="Y423" i="17"/>
  <c r="Q423" i="17" s="1"/>
  <c r="W423" i="17" s="1"/>
  <c r="Y424" i="17"/>
  <c r="Q424" i="17" s="1"/>
  <c r="W424" i="17" s="1"/>
  <c r="Y543" i="17"/>
  <c r="Q543" i="17" s="1"/>
  <c r="W543" i="17" s="1"/>
  <c r="Y662" i="17"/>
  <c r="Q662" i="17" s="1"/>
  <c r="W662" i="17" s="1"/>
  <c r="Y663" i="17"/>
  <c r="Q663" i="17" s="1"/>
  <c r="W663" i="17" s="1"/>
  <c r="Y742" i="17"/>
  <c r="Q742" i="17" s="1"/>
  <c r="W742" i="17" s="1"/>
  <c r="Y128" i="17"/>
  <c r="Q128" i="17" s="1"/>
  <c r="W128" i="17" s="1"/>
  <c r="Y129" i="17"/>
  <c r="Q129" i="17" s="1"/>
  <c r="W129" i="17" s="1"/>
  <c r="Y132" i="17"/>
  <c r="Q132" i="17" s="1"/>
  <c r="W132" i="17" s="1"/>
  <c r="Y133" i="17"/>
  <c r="Q133" i="17" s="1"/>
  <c r="W133" i="17" s="1"/>
  <c r="Y247" i="17"/>
  <c r="Q247" i="17" s="1"/>
  <c r="W247" i="17" s="1"/>
  <c r="Y353" i="17"/>
  <c r="Q353" i="17" s="1"/>
  <c r="W353" i="17" s="1"/>
  <c r="Y425" i="17"/>
  <c r="Q425" i="17" s="1"/>
  <c r="W425" i="17" s="1"/>
  <c r="Y545" i="17"/>
  <c r="Q545" i="17" s="1"/>
  <c r="W545" i="17" s="1"/>
  <c r="Y546" i="17"/>
  <c r="Q546" i="17" s="1"/>
  <c r="W546" i="17" s="1"/>
  <c r="Y665" i="17"/>
  <c r="Q665" i="17" s="1"/>
  <c r="W665" i="17" s="1"/>
  <c r="Y666" i="17"/>
  <c r="Q666" i="17" s="1"/>
  <c r="W666" i="17" s="1"/>
  <c r="Y743" i="17"/>
  <c r="Q743" i="17" s="1"/>
  <c r="W743" i="17" s="1"/>
  <c r="Y136" i="17"/>
  <c r="Q136" i="17" s="1"/>
  <c r="W136" i="17" s="1"/>
  <c r="Y137" i="17"/>
  <c r="Q137" i="17" s="1"/>
  <c r="W137" i="17" s="1"/>
  <c r="Y249" i="17"/>
  <c r="Q249" i="17" s="1"/>
  <c r="W249" i="17" s="1"/>
  <c r="Y250" i="17"/>
  <c r="Q250" i="17" s="1"/>
  <c r="W250" i="17" s="1"/>
  <c r="Y324" i="17"/>
  <c r="Q324" i="17" s="1"/>
  <c r="W324" i="17" s="1"/>
  <c r="Y354" i="17"/>
  <c r="Q354" i="17" s="1"/>
  <c r="W354" i="17" s="1"/>
  <c r="Y428" i="17"/>
  <c r="Q428" i="17" s="1"/>
  <c r="W428" i="17" s="1"/>
  <c r="Y474" i="17"/>
  <c r="Q474" i="17" s="1"/>
  <c r="W474" i="17" s="1"/>
  <c r="Y550" i="17"/>
  <c r="Q550" i="17" s="1"/>
  <c r="W550" i="17" s="1"/>
  <c r="Y594" i="17"/>
  <c r="Q594" i="17" s="1"/>
  <c r="W594" i="17" s="1"/>
  <c r="Y668" i="17"/>
  <c r="Q668" i="17" s="1"/>
  <c r="W668" i="17" s="1"/>
  <c r="Y714" i="17"/>
  <c r="Q714" i="17" s="1"/>
  <c r="W714" i="17" s="1"/>
  <c r="Y744" i="17"/>
  <c r="Q744" i="17" s="1"/>
  <c r="W744" i="17" s="1"/>
  <c r="Y141" i="17"/>
  <c r="Q141" i="17" s="1"/>
  <c r="W141" i="17" s="1"/>
  <c r="Y142" i="17"/>
  <c r="Q142" i="17" s="1"/>
  <c r="W142" i="17" s="1"/>
  <c r="Y143" i="17"/>
  <c r="Q143" i="17" s="1"/>
  <c r="W143" i="17" s="1"/>
  <c r="Y251" i="17"/>
  <c r="Q251" i="17" s="1"/>
  <c r="W251" i="17" s="1"/>
  <c r="Y295" i="17"/>
  <c r="Q295" i="17" s="1"/>
  <c r="W295" i="17" s="1"/>
  <c r="Y325" i="17"/>
  <c r="Q325" i="17" s="1"/>
  <c r="W325" i="17" s="1"/>
  <c r="Y355" i="17"/>
  <c r="Q355" i="17" s="1"/>
  <c r="W355" i="17" s="1"/>
  <c r="Y433" i="17"/>
  <c r="Q433" i="17" s="1"/>
  <c r="W433" i="17" s="1"/>
  <c r="Y475" i="17"/>
  <c r="Q475" i="17" s="1"/>
  <c r="W475" i="17" s="1"/>
  <c r="Y552" i="17"/>
  <c r="Q552" i="17" s="1"/>
  <c r="W552" i="17" s="1"/>
  <c r="Y553" i="17"/>
  <c r="Q553" i="17" s="1"/>
  <c r="W553" i="17" s="1"/>
  <c r="Y595" i="17"/>
  <c r="Q595" i="17" s="1"/>
  <c r="W595" i="17" s="1"/>
  <c r="Y673" i="17"/>
  <c r="Q673" i="17" s="1"/>
  <c r="W673" i="17" s="1"/>
  <c r="Y146" i="17"/>
  <c r="Q146" i="17" s="1"/>
  <c r="W146" i="17" s="1"/>
  <c r="Y147" i="17"/>
  <c r="Q147" i="17" s="1"/>
  <c r="W147" i="17" s="1"/>
  <c r="Y148" i="17"/>
  <c r="Q148" i="17" s="1"/>
  <c r="W148" i="17" s="1"/>
  <c r="Y151" i="17"/>
  <c r="Q151" i="17" s="1"/>
  <c r="W151" i="17" s="1"/>
  <c r="Y254" i="17"/>
  <c r="Q254" i="17" s="1"/>
  <c r="W254" i="17" s="1"/>
  <c r="Y256" i="17"/>
  <c r="Q256" i="17" s="1"/>
  <c r="W256" i="17" s="1"/>
  <c r="Y296" i="17"/>
  <c r="Q296" i="17" s="1"/>
  <c r="W296" i="17" s="1"/>
  <c r="Y326" i="17"/>
  <c r="Q326" i="17" s="1"/>
  <c r="W326" i="17" s="1"/>
  <c r="Y435" i="17"/>
  <c r="Q435" i="17" s="1"/>
  <c r="W435" i="17" s="1"/>
  <c r="Y554" i="17"/>
  <c r="Q554" i="17" s="1"/>
  <c r="W554" i="17" s="1"/>
  <c r="Y555" i="17"/>
  <c r="Q555" i="17" s="1"/>
  <c r="W555" i="17" s="1"/>
  <c r="Y556" i="17"/>
  <c r="Q556" i="17" s="1"/>
  <c r="W556" i="17" s="1"/>
  <c r="Y675" i="17"/>
  <c r="Q675" i="17" s="1"/>
  <c r="W675" i="17" s="1"/>
  <c r="Y676" i="17"/>
  <c r="Q676" i="17" s="1"/>
  <c r="W676" i="17" s="1"/>
  <c r="Y746" i="17"/>
  <c r="Q746" i="17" s="1"/>
  <c r="W746" i="17" s="1"/>
  <c r="Y152" i="17"/>
  <c r="Q152" i="17" s="1"/>
  <c r="W152" i="17" s="1"/>
  <c r="Y153" i="17"/>
  <c r="Q153" i="17" s="1"/>
  <c r="W153" i="17" s="1"/>
  <c r="Y156" i="17"/>
  <c r="Q156" i="17" s="1"/>
  <c r="W156" i="17" s="1"/>
  <c r="Y258" i="17"/>
  <c r="Q258" i="17" s="1"/>
  <c r="W258" i="17" s="1"/>
  <c r="Y259" i="17"/>
  <c r="Q259" i="17" s="1"/>
  <c r="W259" i="17" s="1"/>
  <c r="Y297" i="17"/>
  <c r="Q297" i="17" s="1"/>
  <c r="W297" i="17" s="1"/>
  <c r="Y437" i="17"/>
  <c r="Q437" i="17" s="1"/>
  <c r="W437" i="17" s="1"/>
  <c r="Y438" i="17"/>
  <c r="Q438" i="17" s="1"/>
  <c r="W438" i="17" s="1"/>
  <c r="Y477" i="17"/>
  <c r="Q477" i="17" s="1"/>
  <c r="W477" i="17" s="1"/>
  <c r="Y557" i="17"/>
  <c r="Q557" i="17" s="1"/>
  <c r="W557" i="17" s="1"/>
  <c r="Y558" i="17"/>
  <c r="Q558" i="17" s="1"/>
  <c r="W558" i="17" s="1"/>
  <c r="Y677" i="17"/>
  <c r="Q677" i="17" s="1"/>
  <c r="W677" i="17" s="1"/>
  <c r="Y717" i="17"/>
  <c r="Q717" i="17" s="1"/>
  <c r="W717" i="17" s="1"/>
  <c r="Y747" i="17"/>
  <c r="Q747" i="17" s="1"/>
  <c r="W747" i="17" s="1"/>
  <c r="Y158" i="17"/>
  <c r="Q158" i="17" s="1"/>
  <c r="W158" i="17" s="1"/>
  <c r="Y161" i="17"/>
  <c r="Q161" i="17" s="1"/>
  <c r="W161" i="17" s="1"/>
  <c r="Y162" i="17"/>
  <c r="Q162" i="17" s="1"/>
  <c r="W162" i="17" s="1"/>
  <c r="Y260" i="17"/>
  <c r="Q260" i="17" s="1"/>
  <c r="W260" i="17" s="1"/>
  <c r="Y261" i="17"/>
  <c r="Q261" i="17" s="1"/>
  <c r="W261" i="17" s="1"/>
  <c r="Y262" i="17"/>
  <c r="Q262" i="17" s="1"/>
  <c r="W262" i="17" s="1"/>
  <c r="Y358" i="17"/>
  <c r="Q358" i="17" s="1"/>
  <c r="W358" i="17" s="1"/>
  <c r="Y442" i="17"/>
  <c r="Q442" i="17" s="1"/>
  <c r="W442" i="17" s="1"/>
  <c r="Y478" i="17"/>
  <c r="Q478" i="17" s="1"/>
  <c r="W478" i="17" s="1"/>
  <c r="Y560" i="17"/>
  <c r="Q560" i="17" s="1"/>
  <c r="W560" i="17" s="1"/>
  <c r="Y598" i="17"/>
  <c r="Q598" i="17" s="1"/>
  <c r="W598" i="17" s="1"/>
  <c r="Y680" i="17"/>
  <c r="Q680" i="17" s="1"/>
  <c r="W680" i="17" s="1"/>
  <c r="Y682" i="17"/>
  <c r="Q682" i="17" s="1"/>
  <c r="W682" i="17" s="1"/>
  <c r="Y718" i="17"/>
  <c r="Q718" i="17" s="1"/>
  <c r="W718" i="17" s="1"/>
  <c r="Y748" i="17"/>
  <c r="Q748" i="17" s="1"/>
  <c r="W748" i="17" s="1"/>
  <c r="Y166" i="17"/>
  <c r="Q166" i="17" s="1"/>
  <c r="W166" i="17" s="1"/>
  <c r="Y169" i="17"/>
  <c r="Q169" i="17" s="1"/>
  <c r="W169" i="17" s="1"/>
  <c r="Y263" i="17"/>
  <c r="Q263" i="17" s="1"/>
  <c r="W263" i="17" s="1"/>
  <c r="Y264" i="17"/>
  <c r="Q264" i="17" s="1"/>
  <c r="W264" i="17" s="1"/>
  <c r="Y329" i="17"/>
  <c r="Q329" i="17" s="1"/>
  <c r="W329" i="17" s="1"/>
  <c r="Y359" i="17"/>
  <c r="Q359" i="17" s="1"/>
  <c r="W359" i="17" s="1"/>
  <c r="Y444" i="17"/>
  <c r="Q444" i="17" s="1"/>
  <c r="W444" i="17" s="1"/>
  <c r="Y445" i="17"/>
  <c r="Q445" i="17" s="1"/>
  <c r="W445" i="17" s="1"/>
  <c r="Y479" i="17"/>
  <c r="Q479" i="17" s="1"/>
  <c r="W479" i="17" s="1"/>
  <c r="Y565" i="17"/>
  <c r="Q565" i="17" s="1"/>
  <c r="W565" i="17" s="1"/>
  <c r="Y684" i="17"/>
  <c r="Q684" i="17" s="1"/>
  <c r="W684" i="17" s="1"/>
  <c r="Y685" i="17"/>
  <c r="Q685" i="17" s="1"/>
  <c r="W685" i="17" s="1"/>
  <c r="Y719" i="17"/>
  <c r="Q719" i="17" s="1"/>
  <c r="W719" i="17" s="1"/>
  <c r="Y171" i="17"/>
  <c r="Q171" i="17" s="1"/>
  <c r="W171" i="17" s="1"/>
  <c r="Y172" i="17"/>
  <c r="Q172" i="17" s="1"/>
  <c r="W172" i="17" s="1"/>
  <c r="Y174" i="17"/>
  <c r="Q174" i="17" s="1"/>
  <c r="W174" i="17" s="1"/>
  <c r="Y175" i="17"/>
  <c r="Q175" i="17" s="1"/>
  <c r="W175" i="17" s="1"/>
  <c r="Y266" i="17"/>
  <c r="Q266" i="17" s="1"/>
  <c r="W266" i="17" s="1"/>
  <c r="Y300" i="17"/>
  <c r="Q300" i="17" s="1"/>
  <c r="W300" i="17" s="1"/>
  <c r="Y446" i="17"/>
  <c r="Q446" i="17" s="1"/>
  <c r="W446" i="17" s="1"/>
  <c r="Y447" i="17"/>
  <c r="Q447" i="17" s="1"/>
  <c r="W447" i="17" s="1"/>
  <c r="Y448" i="17"/>
  <c r="Q448" i="17" s="1"/>
  <c r="W448" i="17" s="1"/>
  <c r="Y567" i="17"/>
  <c r="Q567" i="17" s="1"/>
  <c r="W567" i="17" s="1"/>
  <c r="Y568" i="17"/>
  <c r="Q568" i="17" s="1"/>
  <c r="W568" i="17" s="1"/>
  <c r="Y686" i="17"/>
  <c r="Q686" i="17" s="1"/>
  <c r="W686" i="17" s="1"/>
  <c r="Y687" i="17"/>
  <c r="Q687" i="17" s="1"/>
  <c r="W687" i="17" s="1"/>
  <c r="Y176" i="17"/>
  <c r="Q176" i="17" s="1"/>
  <c r="W176" i="17" s="1"/>
  <c r="Y179" i="17"/>
  <c r="Q179" i="17" s="1"/>
  <c r="W179" i="17" s="1"/>
  <c r="Y181" i="17"/>
  <c r="Q181" i="17" s="1"/>
  <c r="W181" i="17" s="1"/>
  <c r="Y271" i="17"/>
  <c r="Q271" i="17" s="1"/>
  <c r="W271" i="17" s="1"/>
  <c r="Y301" i="17"/>
  <c r="Q301" i="17" s="1"/>
  <c r="W301" i="17" s="1"/>
  <c r="Y361" i="17"/>
  <c r="Q361" i="17" s="1"/>
  <c r="W361" i="17" s="1"/>
  <c r="Y449" i="17"/>
  <c r="Q449" i="17" s="1"/>
  <c r="W449" i="17" s="1"/>
  <c r="Y450" i="17"/>
  <c r="Q450" i="17" s="1"/>
  <c r="W450" i="17" s="1"/>
  <c r="Y569" i="17"/>
  <c r="Q569" i="17" s="1"/>
  <c r="W569" i="17" s="1"/>
  <c r="Y601" i="17"/>
  <c r="Q601" i="17" s="1"/>
  <c r="W601" i="17" s="1"/>
  <c r="Y689" i="17"/>
  <c r="Q689" i="17" s="1"/>
  <c r="W689" i="17" s="1"/>
  <c r="Y690" i="17"/>
  <c r="Q690" i="17" s="1"/>
  <c r="W690" i="17" s="1"/>
  <c r="Y751" i="17"/>
  <c r="Q751" i="17" s="1"/>
  <c r="W751" i="17" s="1"/>
  <c r="G2" i="16"/>
  <c r="F29" i="22"/>
  <c r="E29" i="22"/>
  <c r="R111" i="18" l="1"/>
  <c r="U111" i="18" s="1"/>
  <c r="R95" i="18"/>
  <c r="U95" i="18" s="1"/>
  <c r="R79" i="18"/>
  <c r="U79" i="18" s="1"/>
  <c r="R71" i="18"/>
  <c r="U71" i="18" s="1"/>
  <c r="R55" i="18"/>
  <c r="U55" i="18" s="1"/>
  <c r="R51" i="18"/>
  <c r="U51" i="18" s="1"/>
  <c r="R35" i="18"/>
  <c r="U35" i="18" s="1"/>
  <c r="R31" i="18"/>
  <c r="U31" i="18" s="1"/>
  <c r="R15" i="18"/>
  <c r="U15" i="18" s="1"/>
  <c r="R7" i="18"/>
  <c r="U7" i="18" s="1"/>
  <c r="N6" i="17" a="1"/>
  <c r="N6" i="17" s="1"/>
  <c r="N7" i="17" a="1"/>
  <c r="N7" i="17" s="1"/>
  <c r="N2" i="17" a="1"/>
  <c r="N2" i="17" s="1"/>
  <c r="N363" i="17" a="1"/>
  <c r="N363" i="17" s="1"/>
  <c r="N272" i="17" a="1"/>
  <c r="N272" i="17" s="1"/>
  <c r="N184" i="17" a="1"/>
  <c r="N184" i="17" s="1"/>
  <c r="N182" i="17" a="1"/>
  <c r="N182" i="17" s="1"/>
  <c r="N4" i="17" a="1"/>
  <c r="N4" i="17" s="1"/>
  <c r="N3" i="17" a="1"/>
  <c r="N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11 pedidos clientes separate\pedidoscleint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11 pedidos clientes separate\pedidoscleint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11 pedidos clientes separate\pedidoscleint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11 pedidos clientes separate\pedidoscleint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11 pedidos clientes separate\pedidoscleint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11 pedidos clientes separate\pedidoscleint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<sst xmlns="http://schemas.openxmlformats.org/spreadsheetml/2006/main" count="10247" uniqueCount="139">
  <si>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</si>
  <si>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</si>
  <si>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</si>
  <si>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</si>
  <si>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</si>
  <si>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</si>
  <si>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</si>
  <si>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</si>
  <si>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</si>
  <si>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</si>
  <si>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</si>
  <si>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</si>
  <si>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</si>
  <si>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</si>
  <si>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</si>
  <si>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</si>
  <si>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</si>
  <si>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</si>
  <si>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</si>
  <si>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</si>
  <si>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</si>
  <si>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</si>
  <si>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</si>
  <si>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</si>
  <si>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</si>
  <si>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</si>
  <si>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</si>
  <si>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</si>
  <si>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</si>
  <si>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</si>
  <si>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</si>
  <si>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</si>
  <si>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</si>
  <si>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</si>
  <si>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</si>
  <si>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</si>
  <si>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</si>
  <si>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</si>
  <si>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</si>
  <si>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</si>
  <si>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</si>
  <si>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</si>
  <si>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</si>
  <si>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</si>
  <si>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</si>
  <si>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</si>
  <si>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</si>
  <si>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</si>
  <si>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</si>
  <si>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</si>
  <si>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</si>
  <si>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</si>
  <si>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</si>
  <si>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</si>
  <si>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</si>
  <si>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</si>
  <si>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</si>
  <si>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</si>
  <si>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</si>
  <si>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</si>
  <si>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</si>
  <si>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</si>
  <si>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</si>
  <si>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</si>
  <si>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</si>
  <si>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</si>
  <si>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</si>
  <si>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</si>
  <si>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Pedido Cleintes</t>
  </si>
  <si>
    <t>C:\Users\nesto\OneDrive - Universidad de la Sabana\Universidad\2025-1\Simulación\Puntos del taller\411 Pedidos Clientes Separate\PedidosCLeintes.p</t>
  </si>
  <si>
    <t>2025-05-21 19:18:09</t>
  </si>
  <si>
    <t>Clientes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</si>
  <si>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</si>
  <si>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</si>
  <si>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</si>
  <si>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</si>
  <si>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</si>
  <si>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</si>
  <si>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</si>
  <si>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Empaque de pedidos</t>
  </si>
  <si>
    <t>Total Time Per Entity</t>
  </si>
  <si>
    <t>Process</t>
  </si>
  <si>
    <t>VA Time Per Entity</t>
  </si>
  <si>
    <t>Wait Time Per Entity</t>
  </si>
  <si>
    <t>Empaque de pedidos.Queue</t>
  </si>
  <si>
    <t>Waiting Time</t>
  </si>
  <si>
    <t>Queue</t>
  </si>
  <si>
    <t>Entrega Pedido.Queue1</t>
  </si>
  <si>
    <t>Entrega Pedido.Queue2</t>
  </si>
  <si>
    <t>Ordnes</t>
  </si>
  <si>
    <t>Ordnes.Queue</t>
  </si>
  <si>
    <t>Pago</t>
  </si>
  <si>
    <t>Pago.Queue</t>
  </si>
  <si>
    <t>Preparar orden</t>
  </si>
  <si>
    <t>Preparar orden.Queue</t>
  </si>
  <si>
    <t>TiempoSistema</t>
  </si>
  <si>
    <t>Interval</t>
  </si>
  <si>
    <t>User Specified</t>
  </si>
  <si>
    <t>WIP</t>
  </si>
  <si>
    <t>Number Waiting</t>
  </si>
  <si>
    <t>rPreparador</t>
  </si>
  <si>
    <t>Instantaneous Utilization</t>
  </si>
  <si>
    <t>Resource</t>
  </si>
  <si>
    <t>Number Busy</t>
  </si>
  <si>
    <t>Number Scheduled</t>
  </si>
  <si>
    <t>rPrimerTrabajador</t>
  </si>
  <si>
    <t>rSegundoTrabajador</t>
  </si>
  <si>
    <t>Clientes.NumberIn</t>
  </si>
  <si>
    <t>Number In</t>
  </si>
  <si>
    <t>Clientes.NumberOut</t>
  </si>
  <si>
    <t>Number Out</t>
  </si>
  <si>
    <t>Empaque de pedidos Accum VA Time</t>
  </si>
  <si>
    <t>Accum VA Time</t>
  </si>
  <si>
    <t>Empaque de pedidos Accum Wait Time</t>
  </si>
  <si>
    <t>Accum Wait Time</t>
  </si>
  <si>
    <t>Empaque de pedidos Number In</t>
  </si>
  <si>
    <t>Empaque de pedidos Number Out</t>
  </si>
  <si>
    <t>Ordnes Accum VA Time</t>
  </si>
  <si>
    <t>Ordnes Accum Wait Time</t>
  </si>
  <si>
    <t>Ordnes Number In</t>
  </si>
  <si>
    <t>Ordnes Number Out</t>
  </si>
  <si>
    <t>Pago Accum VA Time</t>
  </si>
  <si>
    <t>Pago Accum Wait Time</t>
  </si>
  <si>
    <t>Pago Number In</t>
  </si>
  <si>
    <t>Pago Number Out</t>
  </si>
  <si>
    <t>Preparar orden Accum VA Time</t>
  </si>
  <si>
    <t>Preparar orden Accum Wait Time</t>
  </si>
  <si>
    <t>Preparar orden Number In</t>
  </si>
  <si>
    <t>Preparar orden Number Out</t>
  </si>
  <si>
    <t>System.NumberOut</t>
  </si>
  <si>
    <t>System</t>
  </si>
  <si>
    <t>rPreparador.NumberSeized</t>
  </si>
  <si>
    <t>Total Number Seized</t>
  </si>
  <si>
    <t>rPreparador.ScheduledUtilization</t>
  </si>
  <si>
    <t>Scheduled Utilization</t>
  </si>
  <si>
    <t>rPrimerTrabajador.NumberSeized</t>
  </si>
  <si>
    <t>rPrimerTrabajador.ScheduledUtilization</t>
  </si>
  <si>
    <t>rSegundoTrabajador.NumberSeized</t>
  </si>
  <si>
    <t>rSegundoTrabajador.ScheduledUtilization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</si>
</sst>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00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180" fontId="0" fillId="2" borderId="0" xfId="0" applyNumberFormat="1" applyFill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80455219907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804552777779" createdVersion="7" refreshedVersion="8" minRefreshableVersion="3" recordCount="750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Pedido Cleinte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11">
        <s v="Clientes"/>
        <s v="Empaque de pedidos"/>
        <s v="Empaque de pedidos.Queue"/>
        <s v="Entrega Pedido.Queue1"/>
        <s v="Entrega Pedido.Queue2"/>
        <s v="Ordnes"/>
        <s v="Ordnes.Queue"/>
        <s v="Pago"/>
        <s v="Pago.Queue"/>
        <s v="Preparar orden"/>
        <s v="Preparar orden.Queue"/>
        <s v="TiempoSistema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Total Time Per Entity"/>
        <s v="VA Time Per Entity"/>
        <s v="Wait Time Per Entity"/>
        <s v="Waiting Time"/>
        <s v="Interval"/>
        <m u="1"/>
      </sharedItems>
    </cacheField>
    <cacheField name="Source" numFmtId="0">
      <sharedItems containsBlank="1" count="5">
        <s v="Entity"/>
        <s v="Process"/>
        <s v="Queue"/>
        <s v="User Specified"/>
        <m u="1"/>
      </sharedItems>
    </cacheField>
    <cacheField name="Average" numFmtId="0">
      <sharedItems containsSemiMixedTypes="0" containsString="0" containsNumber="1" minValue="0" maxValue="7.0605631014237096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4.7619585709961401"/>
    </cacheField>
    <cacheField name="Maximum" numFmtId="0">
      <sharedItems containsSemiMixedTypes="0" containsString="0" containsNumber="1" minValue="0" maxValue="25.258727602665498"/>
    </cacheField>
    <cacheField name="NumberObservations" numFmtId="0">
      <sharedItems containsSemiMixedTypes="0" containsString="0" containsNumber="1" containsInteger="1" minValue="24" maxValue="49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5.6791002251848095"/>
    </cacheField>
    <cacheField name="StDevOfAverage" numFmtId="0">
      <sharedItems containsSemiMixedTypes="0" containsString="0" containsNumber="1" minValue="0" maxValue="1.033879326769270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8605688528297838"/>
    </cacheField>
    <cacheField name="MinimumAverage" numFmtId="0">
      <sharedItems containsSemiMixedTypes="0" containsString="0" containsNumber="1" minValue="0" maxValue="5.1503583657054"/>
    </cacheField>
    <cacheField name="MaximumAverage" numFmtId="0">
      <sharedItems containsSemiMixedTypes="0" containsString="0" containsNumber="1" minValue="0" maxValue="7.0605631014237096"/>
    </cacheField>
    <cacheField name="OverallMinimum" numFmtId="0">
      <sharedItems containsSemiMixedTypes="0" containsString="0" containsNumber="1" minValue="0" maxValue="4.2407242950458501"/>
    </cacheField>
    <cacheField name="OverallMaximum" numFmtId="0">
      <sharedItems containsSemiMixedTypes="0" containsString="0" containsNumber="1" minValue="0" maxValue="25.258727602665498"/>
    </cacheField>
    <cacheField name="AverageNumberObservations" numFmtId="0">
      <sharedItems containsSemiMixedTypes="0" containsString="0" containsNumber="1" minValue="38.866666666666667" maxValue="39.9"/>
    </cacheField>
    <cacheField name="SummaryHalfWidth" numFmtId="0">
      <sharedItems containsSemiMixedTypes="0" containsString="0" containsNumber="1" minValue="0" maxValue="0.38605688528297838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804553472219" createdVersion="7" refreshedVersion="8" minRefreshableVersion="3" recordCount="750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Pedido Cleinte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3">
        <s v="Clientes.NumberIn"/>
        <s v="Clientes.NumberOut"/>
        <s v="Empaque de pedidos Accum VA Time"/>
        <s v="Empaque de pedidos Accum Wait Time"/>
        <s v="Empaque de pedidos Number In"/>
        <s v="Empaque de pedidos Number Out"/>
        <s v="Ordnes Accum VA Time"/>
        <s v="Ordnes Accum Wait Time"/>
        <s v="Ordnes Number In"/>
        <s v="Ordnes Number Out"/>
        <s v="Pago Accum VA Time"/>
        <s v="Pago Accum Wait Time"/>
        <s v="Pago Number In"/>
        <s v="Pago Number Out"/>
        <s v="Preparar orden Accum VA Time"/>
        <s v="Preparar orden Accum Wait Time"/>
        <s v="Preparar orden Number In"/>
        <s v="Preparar orden Number Out"/>
        <s v="System.NumberOut"/>
        <s v="rPreparador.NumberSeized"/>
        <s v="rPreparador.ScheduledUtilization"/>
        <s v="rPrimerTrabajador.NumberSeized"/>
        <s v="rPrimerTrabajador.ScheduledUtilization"/>
        <s v="rSegundoTrabajador.NumberSeized"/>
        <s v="rSegundoTrabajador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Accum VA Time"/>
        <s v="Accum Wait Time"/>
        <s v="Total Number Seized"/>
        <s v="Scheduled Utilization"/>
        <m u="1"/>
      </sharedItems>
    </cacheField>
    <cacheField name="Source" numFmtId="0">
      <sharedItems containsBlank="1" count="5">
        <s v="Entity"/>
        <s v="Process"/>
        <s v="System"/>
        <s v="Resource"/>
        <m u="1"/>
      </sharedItems>
    </cacheField>
    <cacheField name="RecordedValue" numFmtId="0">
      <sharedItems containsSemiMixedTypes="0" containsString="0" containsNumber="1" minValue="0" maxValue="14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" maxValue="118.5"/>
    </cacheField>
    <cacheField name="StandardDeviation" numFmtId="0">
      <sharedItems containsSemiMixedTypes="0" containsString="0" containsNumber="1" minValue="0" maxValue="22.92290697586414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8.5595541371227313"/>
    </cacheField>
    <cacheField name="Minimum" numFmtId="0">
      <sharedItems containsSemiMixedTypes="0" containsString="0" containsNumber="1" minValue="0" maxValue="78"/>
    </cacheField>
    <cacheField name="Maximum" numFmtId="0">
      <sharedItems containsSemiMixedTypes="0" containsString="0" containsNumber="1" minValue="0" maxValue="1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80455381944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804554282404" createdVersion="7" refreshedVersion="8" minRefreshableVersion="3" recordCount="480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Pedido Cleintes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34">
        <s v="Clientes"/>
        <s v="Empaque de pedidos.Queue"/>
        <s v="Entrega Pedido.Queue1"/>
        <s v="Entrega Pedido.Queue2"/>
        <s v="Ordnes.Queue"/>
        <s v="Pago.Queue"/>
        <s v="Preparar orden.Queue"/>
        <s v="rPreparador"/>
        <s v="rPrimerTrabajador"/>
        <s v="rSegundoTrabajado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2.43438354854378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11"/>
    </cacheField>
    <cacheField name="LastRecordedValue" numFmtId="0">
      <sharedItems containsSemiMixedTypes="0" containsString="0" containsNumber="1" containsInteg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1.7663501237199533"/>
    </cacheField>
    <cacheField name="StDevOfAverage" numFmtId="0">
      <sharedItems containsSemiMixedTypes="0" containsString="0" containsNumber="1" minValue="0" maxValue="0.39485752277920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474422221508549"/>
    </cacheField>
    <cacheField name="MinimumAverage" numFmtId="0">
      <sharedItems containsSemiMixedTypes="0" containsString="0" containsNumber="1" minValue="0" maxValue="1.02094278585578"/>
    </cacheField>
    <cacheField name="MaximumAverage" numFmtId="0">
      <sharedItems containsSemiMixedTypes="0" containsString="0" containsNumber="1" minValue="0" maxValue="2.4343835485437801"/>
    </cacheField>
    <cacheField name="SummaryHalfWidth" numFmtId="0">
      <sharedItems containsSemiMixedTypes="0" containsString="0" containsNumber="1" minValue="0" maxValue="0.14744222215085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0">
  <r>
    <x v="0"/>
    <s v="2025-05-21 19:18:09"/>
    <n v="1"/>
    <x v="0"/>
    <x v="0"/>
    <x v="0"/>
    <n v="0"/>
    <n v="2E+20"/>
    <n v="0"/>
    <n v="0"/>
    <n v="24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"/>
    <x v="0"/>
    <x v="1"/>
    <x v="0"/>
    <n v="0"/>
    <n v="2E+20"/>
    <n v="0"/>
    <n v="0"/>
    <n v="24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"/>
    <x v="0"/>
    <x v="2"/>
    <x v="0"/>
    <n v="4.9901464291949802"/>
    <n v="2E+20"/>
    <n v="4.0254454244855804"/>
    <n v="7.1048012359080603"/>
    <n v="24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"/>
    <x v="0"/>
    <x v="3"/>
    <x v="0"/>
    <n v="0"/>
    <n v="2E+20"/>
    <n v="0"/>
    <n v="0"/>
    <n v="24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"/>
    <x v="0"/>
    <x v="4"/>
    <x v="0"/>
    <n v="5.2586510039234797"/>
    <n v="2E+20"/>
    <n v="4.62720848247801"/>
    <n v="5.9861054927465602"/>
    <n v="24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"/>
    <x v="0"/>
    <x v="5"/>
    <x v="0"/>
    <n v="3.16424476237338"/>
    <n v="2E+20"/>
    <n v="1.6405894057747299"/>
    <n v="7.4175294560363696"/>
    <n v="24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"/>
    <x v="0"/>
    <x v="0"/>
    <x v="0"/>
    <n v="0"/>
    <n v="2E+20"/>
    <n v="0"/>
    <n v="0"/>
    <n v="41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"/>
    <x v="0"/>
    <x v="1"/>
    <x v="0"/>
    <n v="0"/>
    <n v="2E+20"/>
    <n v="0"/>
    <n v="0"/>
    <n v="41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"/>
    <x v="0"/>
    <x v="2"/>
    <x v="0"/>
    <n v="5.37317306554423"/>
    <n v="2E+20"/>
    <n v="3.9575986654000999"/>
    <n v="9.1422098980663709"/>
    <n v="41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"/>
    <x v="0"/>
    <x v="3"/>
    <x v="0"/>
    <n v="0"/>
    <n v="2E+20"/>
    <n v="0"/>
    <n v="0"/>
    <n v="41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"/>
    <x v="0"/>
    <x v="4"/>
    <x v="0"/>
    <n v="5.2593989258363401"/>
    <n v="2E+20"/>
    <n v="4.7050089393844399"/>
    <n v="5.9934723732307003"/>
    <n v="41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"/>
    <x v="0"/>
    <x v="5"/>
    <x v="0"/>
    <n v="3.8248782129360999"/>
    <n v="2E+20"/>
    <n v="1.6998400687433799"/>
    <n v="11.3500962595087"/>
    <n v="41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3"/>
    <x v="0"/>
    <x v="0"/>
    <x v="0"/>
    <n v="0"/>
    <n v="2E+20"/>
    <n v="0"/>
    <n v="0"/>
    <n v="47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"/>
    <x v="0"/>
    <x v="1"/>
    <x v="0"/>
    <n v="0"/>
    <n v="2E+20"/>
    <n v="0"/>
    <n v="0"/>
    <n v="47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"/>
    <x v="0"/>
    <x v="2"/>
    <x v="0"/>
    <n v="6.5824737447319199"/>
    <n v="2E+20"/>
    <n v="3.7710601849318399"/>
    <n v="17.694691938395401"/>
    <n v="47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3"/>
    <x v="0"/>
    <x v="3"/>
    <x v="0"/>
    <n v="0"/>
    <n v="2E+20"/>
    <n v="0"/>
    <n v="0"/>
    <n v="47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"/>
    <x v="0"/>
    <x v="4"/>
    <x v="0"/>
    <n v="5.2671562700378098"/>
    <n v="2E+20"/>
    <n v="4.3165344852243797"/>
    <n v="6.30943396154737"/>
    <n v="47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3"/>
    <x v="0"/>
    <x v="5"/>
    <x v="0"/>
    <n v="5.9976539277776597"/>
    <n v="2E+20"/>
    <n v="1.85850381653538"/>
    <n v="25.258727602665498"/>
    <n v="47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4"/>
    <x v="0"/>
    <x v="0"/>
    <x v="0"/>
    <n v="0"/>
    <n v="2E+20"/>
    <n v="0"/>
    <n v="0"/>
    <n v="33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4"/>
    <x v="0"/>
    <x v="1"/>
    <x v="0"/>
    <n v="0"/>
    <n v="2E+20"/>
    <n v="0"/>
    <n v="0"/>
    <n v="33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4"/>
    <x v="0"/>
    <x v="2"/>
    <x v="0"/>
    <n v="5.0599023904699596"/>
    <n v="2E+20"/>
    <n v="3.9162386779727401"/>
    <n v="6.9525050170237703"/>
    <n v="33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4"/>
    <x v="0"/>
    <x v="3"/>
    <x v="0"/>
    <n v="0"/>
    <n v="2E+20"/>
    <n v="0"/>
    <n v="0"/>
    <n v="33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4"/>
    <x v="0"/>
    <x v="4"/>
    <x v="0"/>
    <n v="5.2531484429622397"/>
    <n v="2E+20"/>
    <n v="4.6164442315029204"/>
    <n v="5.8201655913658401"/>
    <n v="33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4"/>
    <x v="0"/>
    <x v="5"/>
    <x v="0"/>
    <n v="3.3008157945192602"/>
    <n v="2E+20"/>
    <n v="1.74306434394104"/>
    <n v="6.8607468135405396"/>
    <n v="33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5"/>
    <x v="0"/>
    <x v="0"/>
    <x v="0"/>
    <n v="0"/>
    <n v="2E+20"/>
    <n v="0"/>
    <n v="0"/>
    <n v="45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5"/>
    <x v="0"/>
    <x v="1"/>
    <x v="0"/>
    <n v="0"/>
    <n v="2E+20"/>
    <n v="0"/>
    <n v="0"/>
    <n v="45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5"/>
    <x v="0"/>
    <x v="2"/>
    <x v="0"/>
    <n v="6.4564235040147402"/>
    <n v="2E+20"/>
    <n v="3.77373200780477"/>
    <n v="13.9904048933167"/>
    <n v="45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5"/>
    <x v="0"/>
    <x v="3"/>
    <x v="0"/>
    <n v="0"/>
    <n v="2E+20"/>
    <n v="0"/>
    <n v="0"/>
    <n v="45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5"/>
    <x v="0"/>
    <x v="4"/>
    <x v="0"/>
    <n v="5.1503583657054"/>
    <n v="2E+20"/>
    <n v="4.2407242950458501"/>
    <n v="5.8729064206666202"/>
    <n v="45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5"/>
    <x v="0"/>
    <x v="5"/>
    <x v="0"/>
    <n v="6.0485309847011299"/>
    <n v="2E+20"/>
    <n v="1.83986214539374"/>
    <n v="20.841714105099701"/>
    <n v="45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6"/>
    <x v="0"/>
    <x v="0"/>
    <x v="0"/>
    <n v="0"/>
    <n v="2E+20"/>
    <n v="0"/>
    <n v="0"/>
    <n v="39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6"/>
    <x v="0"/>
    <x v="1"/>
    <x v="0"/>
    <n v="0"/>
    <n v="2E+20"/>
    <n v="0"/>
    <n v="0"/>
    <n v="39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6"/>
    <x v="0"/>
    <x v="2"/>
    <x v="0"/>
    <n v="5.7216303778570596"/>
    <n v="2E+20"/>
    <n v="3.9039523983078901"/>
    <n v="12.3815572575869"/>
    <n v="39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6"/>
    <x v="0"/>
    <x v="3"/>
    <x v="0"/>
    <n v="0"/>
    <n v="2E+20"/>
    <n v="0"/>
    <n v="0"/>
    <n v="39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6"/>
    <x v="0"/>
    <x v="4"/>
    <x v="0"/>
    <n v="5.2901437654373202"/>
    <n v="2E+20"/>
    <n v="4.4134501376984501"/>
    <n v="6.0518587687134602"/>
    <n v="39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6"/>
    <x v="0"/>
    <x v="5"/>
    <x v="0"/>
    <n v="4.4549797931294304"/>
    <n v="2E+20"/>
    <n v="1.82083624158321"/>
    <n v="16.4797361781512"/>
    <n v="39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7"/>
    <x v="0"/>
    <x v="0"/>
    <x v="0"/>
    <n v="0"/>
    <n v="2E+20"/>
    <n v="0"/>
    <n v="0"/>
    <n v="38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7"/>
    <x v="0"/>
    <x v="1"/>
    <x v="0"/>
    <n v="0"/>
    <n v="2E+20"/>
    <n v="0"/>
    <n v="0"/>
    <n v="38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7"/>
    <x v="0"/>
    <x v="2"/>
    <x v="0"/>
    <n v="5.7860017153237804"/>
    <n v="2E+20"/>
    <n v="3.9216516812408599"/>
    <n v="10.9217463512029"/>
    <n v="38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7"/>
    <x v="0"/>
    <x v="3"/>
    <x v="0"/>
    <n v="0"/>
    <n v="2E+20"/>
    <n v="0"/>
    <n v="0"/>
    <n v="38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7"/>
    <x v="0"/>
    <x v="4"/>
    <x v="0"/>
    <n v="5.30915872698922"/>
    <n v="2E+20"/>
    <n v="4.5590273120235496"/>
    <n v="6.4764210163886604"/>
    <n v="38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7"/>
    <x v="0"/>
    <x v="5"/>
    <x v="0"/>
    <n v="4.5496006865804404"/>
    <n v="2E+20"/>
    <n v="1.7893562486997601"/>
    <n v="14.5457321913836"/>
    <n v="38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8"/>
    <x v="0"/>
    <x v="0"/>
    <x v="0"/>
    <n v="0"/>
    <n v="2E+20"/>
    <n v="0"/>
    <n v="0"/>
    <n v="34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8"/>
    <x v="0"/>
    <x v="1"/>
    <x v="0"/>
    <n v="0"/>
    <n v="2E+20"/>
    <n v="0"/>
    <n v="0"/>
    <n v="34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8"/>
    <x v="0"/>
    <x v="2"/>
    <x v="0"/>
    <n v="6.2370891620170301"/>
    <n v="2E+20"/>
    <n v="4.09411058137204"/>
    <n v="11.060571969165499"/>
    <n v="34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8"/>
    <x v="0"/>
    <x v="3"/>
    <x v="0"/>
    <n v="0"/>
    <n v="2E+20"/>
    <n v="0"/>
    <n v="0"/>
    <n v="34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8"/>
    <x v="0"/>
    <x v="4"/>
    <x v="0"/>
    <n v="5.3833110799081201"/>
    <n v="2E+20"/>
    <n v="4.4436397318995597"/>
    <n v="6.3810191449293301"/>
    <n v="34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8"/>
    <x v="0"/>
    <x v="5"/>
    <x v="0"/>
    <n v="5.2265097263833198"/>
    <n v="2E+20"/>
    <n v="1.6704633009798899"/>
    <n v="13.893226313539801"/>
    <n v="34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9"/>
    <x v="0"/>
    <x v="0"/>
    <x v="0"/>
    <n v="0"/>
    <n v="2E+20"/>
    <n v="0"/>
    <n v="0"/>
    <n v="34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9"/>
    <x v="0"/>
    <x v="1"/>
    <x v="0"/>
    <n v="0"/>
    <n v="2E+20"/>
    <n v="0"/>
    <n v="0"/>
    <n v="34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9"/>
    <x v="0"/>
    <x v="2"/>
    <x v="0"/>
    <n v="5.0664534532326799"/>
    <n v="2E+20"/>
    <n v="3.7758741569295502"/>
    <n v="7.7385654873742604"/>
    <n v="34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9"/>
    <x v="0"/>
    <x v="3"/>
    <x v="0"/>
    <n v="0"/>
    <n v="2E+20"/>
    <n v="0"/>
    <n v="0"/>
    <n v="34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9"/>
    <x v="0"/>
    <x v="4"/>
    <x v="0"/>
    <n v="5.1642783300267396"/>
    <n v="2E+20"/>
    <n v="4.4942661588472701"/>
    <n v="5.7728733103349699"/>
    <n v="34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9"/>
    <x v="0"/>
    <x v="5"/>
    <x v="0"/>
    <n v="3.3817632298823401"/>
    <n v="2E+20"/>
    <n v="1.66976785940696"/>
    <n v="8.1179795685649196"/>
    <n v="34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0"/>
    <x v="0"/>
    <x v="0"/>
    <x v="0"/>
    <n v="0"/>
    <n v="2E+20"/>
    <n v="0"/>
    <n v="0"/>
    <n v="41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0"/>
    <x v="0"/>
    <x v="1"/>
    <x v="0"/>
    <n v="0"/>
    <n v="2E+20"/>
    <n v="0"/>
    <n v="0"/>
    <n v="41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0"/>
    <x v="0"/>
    <x v="2"/>
    <x v="0"/>
    <n v="5.0609584404715404"/>
    <n v="2E+20"/>
    <n v="3.8186791056629699"/>
    <n v="8.4922699045034999"/>
    <n v="41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0"/>
    <x v="0"/>
    <x v="3"/>
    <x v="0"/>
    <n v="0"/>
    <n v="2E+20"/>
    <n v="0"/>
    <n v="0"/>
    <n v="41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0"/>
    <x v="0"/>
    <x v="4"/>
    <x v="0"/>
    <n v="5.1781960792566704"/>
    <n v="2E+20"/>
    <n v="4.3099885437811398"/>
    <n v="5.8738899899730397"/>
    <n v="41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0"/>
    <x v="0"/>
    <x v="5"/>
    <x v="0"/>
    <n v="3.3778233617343898"/>
    <n v="2E+20"/>
    <n v="1.6580900971213"/>
    <n v="10.276226009065599"/>
    <n v="41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1"/>
    <x v="0"/>
    <x v="0"/>
    <x v="0"/>
    <n v="0"/>
    <n v="2E+20"/>
    <n v="0"/>
    <n v="0"/>
    <n v="44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1"/>
    <x v="0"/>
    <x v="1"/>
    <x v="0"/>
    <n v="0"/>
    <n v="2E+20"/>
    <n v="0"/>
    <n v="0"/>
    <n v="44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1"/>
    <x v="0"/>
    <x v="2"/>
    <x v="0"/>
    <n v="5.4779144439759397"/>
    <n v="2E+20"/>
    <n v="3.9162561901202699"/>
    <n v="10.4133186108066"/>
    <n v="44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1"/>
    <x v="0"/>
    <x v="3"/>
    <x v="0"/>
    <n v="0"/>
    <n v="2E+20"/>
    <n v="0"/>
    <n v="0"/>
    <n v="44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1"/>
    <x v="0"/>
    <x v="4"/>
    <x v="0"/>
    <n v="5.1841870865356103"/>
    <n v="2E+20"/>
    <n v="4.4042666815768401"/>
    <n v="5.8139399397979297"/>
    <n v="44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1"/>
    <x v="0"/>
    <x v="5"/>
    <x v="0"/>
    <n v="4.0861726866881796"/>
    <n v="2E+20"/>
    <n v="1.7139085531134399"/>
    <n v="13.132563747166"/>
    <n v="44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2"/>
    <x v="0"/>
    <x v="0"/>
    <x v="0"/>
    <n v="0"/>
    <n v="2E+20"/>
    <n v="0"/>
    <n v="0"/>
    <n v="28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2"/>
    <x v="0"/>
    <x v="1"/>
    <x v="0"/>
    <n v="0"/>
    <n v="2E+20"/>
    <n v="0"/>
    <n v="0"/>
    <n v="28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2"/>
    <x v="0"/>
    <x v="2"/>
    <x v="0"/>
    <n v="4.5414842685188104"/>
    <n v="2E+20"/>
    <n v="3.8213819387362098"/>
    <n v="5.3058785150574899"/>
    <n v="28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2"/>
    <x v="0"/>
    <x v="3"/>
    <x v="0"/>
    <n v="0"/>
    <n v="2E+20"/>
    <n v="0"/>
    <n v="0"/>
    <n v="28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2"/>
    <x v="0"/>
    <x v="4"/>
    <x v="0"/>
    <n v="5.1916804219733601"/>
    <n v="2E+20"/>
    <n v="4.3868284679077201"/>
    <n v="5.8602223078023998"/>
    <n v="28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2"/>
    <x v="0"/>
    <x v="5"/>
    <x v="0"/>
    <n v="2.3996249564013099"/>
    <n v="2E+20"/>
    <n v="1.6520700544039599"/>
    <n v="3.9673294645580901"/>
    <n v="28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3"/>
    <x v="0"/>
    <x v="0"/>
    <x v="0"/>
    <n v="0"/>
    <n v="2E+20"/>
    <n v="0"/>
    <n v="0"/>
    <n v="37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3"/>
    <x v="0"/>
    <x v="1"/>
    <x v="0"/>
    <n v="0"/>
    <n v="2E+20"/>
    <n v="0"/>
    <n v="0"/>
    <n v="37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3"/>
    <x v="0"/>
    <x v="2"/>
    <x v="0"/>
    <n v="5.1297077386662897"/>
    <n v="2E+20"/>
    <n v="3.9432756521734298"/>
    <n v="7.7716694485821201"/>
    <n v="37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3"/>
    <x v="0"/>
    <x v="3"/>
    <x v="0"/>
    <n v="0"/>
    <n v="2E+20"/>
    <n v="0"/>
    <n v="0"/>
    <n v="37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3"/>
    <x v="0"/>
    <x v="4"/>
    <x v="0"/>
    <n v="5.23955136233704"/>
    <n v="2E+20"/>
    <n v="4.5174320101216097"/>
    <n v="6.0606648689852198"/>
    <n v="37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3"/>
    <x v="0"/>
    <x v="5"/>
    <x v="0"/>
    <n v="3.4148922355976401"/>
    <n v="2E+20"/>
    <n v="1.6319811642559701"/>
    <n v="8.2337938721786408"/>
    <n v="37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4"/>
    <x v="0"/>
    <x v="0"/>
    <x v="0"/>
    <n v="0"/>
    <n v="2E+20"/>
    <n v="0"/>
    <n v="0"/>
    <n v="44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4"/>
    <x v="0"/>
    <x v="1"/>
    <x v="0"/>
    <n v="0"/>
    <n v="2E+20"/>
    <n v="0"/>
    <n v="0"/>
    <n v="44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4"/>
    <x v="0"/>
    <x v="2"/>
    <x v="0"/>
    <n v="5.7451893964056397"/>
    <n v="2E+20"/>
    <n v="4.0303409931519001"/>
    <n v="11.5590259560568"/>
    <n v="44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4"/>
    <x v="0"/>
    <x v="3"/>
    <x v="0"/>
    <n v="0"/>
    <n v="2E+20"/>
    <n v="0"/>
    <n v="0"/>
    <n v="44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4"/>
    <x v="0"/>
    <x v="4"/>
    <x v="0"/>
    <n v="5.2565121247740301"/>
    <n v="2E+20"/>
    <n v="4.5122012364888597"/>
    <n v="5.8996403816374796"/>
    <n v="44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4"/>
    <x v="0"/>
    <x v="5"/>
    <x v="0"/>
    <n v="4.5156941821617202"/>
    <n v="2E+20"/>
    <n v="1.75907602209216"/>
    <n v="15.084805698832101"/>
    <n v="44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5"/>
    <x v="0"/>
    <x v="0"/>
    <x v="0"/>
    <n v="0"/>
    <n v="2E+20"/>
    <n v="0"/>
    <n v="0"/>
    <n v="46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5"/>
    <x v="0"/>
    <x v="1"/>
    <x v="0"/>
    <n v="0"/>
    <n v="2E+20"/>
    <n v="0"/>
    <n v="0"/>
    <n v="46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5"/>
    <x v="0"/>
    <x v="2"/>
    <x v="0"/>
    <n v="5.9286923725667702"/>
    <n v="2E+20"/>
    <n v="4.1081519687558599"/>
    <n v="10.712704223101801"/>
    <n v="46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5"/>
    <x v="0"/>
    <x v="3"/>
    <x v="0"/>
    <n v="0"/>
    <n v="2E+20"/>
    <n v="0"/>
    <n v="0"/>
    <n v="46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5"/>
    <x v="0"/>
    <x v="4"/>
    <x v="0"/>
    <n v="5.2745521934159898"/>
    <n v="2E+20"/>
    <n v="4.4535690994210597"/>
    <n v="6.4723182642688899"/>
    <n v="46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5"/>
    <x v="0"/>
    <x v="5"/>
    <x v="0"/>
    <n v="4.7857878547431403"/>
    <n v="2E+20"/>
    <n v="1.7319180121926601"/>
    <n v="12.779826279306301"/>
    <n v="46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6"/>
    <x v="0"/>
    <x v="0"/>
    <x v="0"/>
    <n v="0"/>
    <n v="2E+20"/>
    <n v="0"/>
    <n v="0"/>
    <n v="36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6"/>
    <x v="0"/>
    <x v="1"/>
    <x v="0"/>
    <n v="0"/>
    <n v="2E+20"/>
    <n v="0"/>
    <n v="0"/>
    <n v="36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6"/>
    <x v="0"/>
    <x v="2"/>
    <x v="0"/>
    <n v="5.2789868852581803"/>
    <n v="2E+20"/>
    <n v="3.7631500064803398"/>
    <n v="8.3765423593206396"/>
    <n v="36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6"/>
    <x v="0"/>
    <x v="3"/>
    <x v="0"/>
    <n v="0"/>
    <n v="2E+20"/>
    <n v="0"/>
    <n v="0"/>
    <n v="36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6"/>
    <x v="0"/>
    <x v="4"/>
    <x v="0"/>
    <n v="5.3113567425900801"/>
    <n v="2E+20"/>
    <n v="4.2925229502525601"/>
    <n v="6.0424232488465703"/>
    <n v="36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6"/>
    <x v="0"/>
    <x v="5"/>
    <x v="0"/>
    <n v="3.55910364577676"/>
    <n v="2E+20"/>
    <n v="1.83551728462486"/>
    <n v="10.187410399772601"/>
    <n v="36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7"/>
    <x v="0"/>
    <x v="0"/>
    <x v="0"/>
    <n v="0"/>
    <n v="2E+20"/>
    <n v="0"/>
    <n v="0"/>
    <n v="31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7"/>
    <x v="0"/>
    <x v="1"/>
    <x v="0"/>
    <n v="0"/>
    <n v="2E+20"/>
    <n v="0"/>
    <n v="0"/>
    <n v="31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7"/>
    <x v="0"/>
    <x v="2"/>
    <x v="0"/>
    <n v="5.1578603614814797"/>
    <n v="2E+20"/>
    <n v="4.0370712054074698"/>
    <n v="7.7781456312297301"/>
    <n v="31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7"/>
    <x v="0"/>
    <x v="3"/>
    <x v="0"/>
    <n v="0"/>
    <n v="2E+20"/>
    <n v="0"/>
    <n v="0"/>
    <n v="31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7"/>
    <x v="0"/>
    <x v="4"/>
    <x v="0"/>
    <n v="5.2925509933892601"/>
    <n v="2E+20"/>
    <n v="4.7619585709961401"/>
    <n v="6.0832351397976696"/>
    <n v="31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7"/>
    <x v="0"/>
    <x v="5"/>
    <x v="0"/>
    <n v="3.3712128135908199"/>
    <n v="2E+20"/>
    <n v="1.6212297132984801"/>
    <n v="8.3876929900077393"/>
    <n v="31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8"/>
    <x v="0"/>
    <x v="0"/>
    <x v="0"/>
    <n v="0"/>
    <n v="2E+20"/>
    <n v="0"/>
    <n v="0"/>
    <n v="44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8"/>
    <x v="0"/>
    <x v="1"/>
    <x v="0"/>
    <n v="0"/>
    <n v="2E+20"/>
    <n v="0"/>
    <n v="0"/>
    <n v="44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8"/>
    <x v="0"/>
    <x v="2"/>
    <x v="0"/>
    <n v="7.0605631014237096"/>
    <n v="2E+20"/>
    <n v="4.0502293774329798"/>
    <n v="13.1971108310285"/>
    <n v="44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8"/>
    <x v="0"/>
    <x v="3"/>
    <x v="0"/>
    <n v="0"/>
    <n v="2E+20"/>
    <n v="0"/>
    <n v="0"/>
    <n v="44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8"/>
    <x v="0"/>
    <x v="4"/>
    <x v="0"/>
    <n v="5.24494979136536"/>
    <n v="2E+20"/>
    <n v="4.53221842149122"/>
    <n v="5.8697776485695199"/>
    <n v="44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8"/>
    <x v="0"/>
    <x v="5"/>
    <x v="0"/>
    <n v="7.0027213080203197"/>
    <n v="2E+20"/>
    <n v="1.95025969390313"/>
    <n v="17.1520474559386"/>
    <n v="44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9"/>
    <x v="0"/>
    <x v="0"/>
    <x v="0"/>
    <n v="0"/>
    <n v="2E+20"/>
    <n v="0"/>
    <n v="0"/>
    <n v="32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9"/>
    <x v="0"/>
    <x v="1"/>
    <x v="0"/>
    <n v="0"/>
    <n v="2E+20"/>
    <n v="0"/>
    <n v="0"/>
    <n v="32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9"/>
    <x v="0"/>
    <x v="2"/>
    <x v="0"/>
    <n v="5.8942133079372603"/>
    <n v="2E+20"/>
    <n v="4.0874960166305803"/>
    <n v="9.0287947879010204"/>
    <n v="32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9"/>
    <x v="0"/>
    <x v="3"/>
    <x v="0"/>
    <n v="0"/>
    <n v="2E+20"/>
    <n v="0"/>
    <n v="0"/>
    <n v="32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9"/>
    <x v="0"/>
    <x v="4"/>
    <x v="0"/>
    <n v="5.2639785533219401"/>
    <n v="2E+20"/>
    <n v="4.5135637013994598"/>
    <n v="6.2308636261074399"/>
    <n v="32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19"/>
    <x v="0"/>
    <x v="5"/>
    <x v="0"/>
    <n v="4.7404486021855101"/>
    <n v="2E+20"/>
    <n v="1.8424749334406301"/>
    <n v="9.9818511789581894"/>
    <n v="32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0"/>
    <x v="0"/>
    <x v="0"/>
    <x v="0"/>
    <n v="0"/>
    <n v="2E+20"/>
    <n v="0"/>
    <n v="0"/>
    <n v="42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0"/>
    <x v="0"/>
    <x v="1"/>
    <x v="0"/>
    <n v="0"/>
    <n v="2E+20"/>
    <n v="0"/>
    <n v="0"/>
    <n v="42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0"/>
    <x v="0"/>
    <x v="2"/>
    <x v="0"/>
    <n v="5.8777488770038904"/>
    <n v="2E+20"/>
    <n v="3.8118710216141398"/>
    <n v="9.5502200894016394"/>
    <n v="42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0"/>
    <x v="0"/>
    <x v="3"/>
    <x v="0"/>
    <n v="0"/>
    <n v="2E+20"/>
    <n v="0"/>
    <n v="0"/>
    <n v="42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0"/>
    <x v="0"/>
    <x v="4"/>
    <x v="0"/>
    <n v="5.2277456821760202"/>
    <n v="2E+20"/>
    <n v="4.6745993175121896"/>
    <n v="6.0052853931861803"/>
    <n v="42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0"/>
    <x v="0"/>
    <x v="5"/>
    <x v="0"/>
    <n v="4.8158563456958499"/>
    <n v="2E+20"/>
    <n v="1.7416267740578899"/>
    <n v="11.8492864033558"/>
    <n v="42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1"/>
    <x v="0"/>
    <x v="0"/>
    <x v="0"/>
    <n v="0"/>
    <n v="2E+20"/>
    <n v="0"/>
    <n v="0"/>
    <n v="49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1"/>
    <x v="0"/>
    <x v="1"/>
    <x v="0"/>
    <n v="0"/>
    <n v="2E+20"/>
    <n v="0"/>
    <n v="0"/>
    <n v="49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1"/>
    <x v="0"/>
    <x v="2"/>
    <x v="0"/>
    <n v="5.8677766038104604"/>
    <n v="2E+20"/>
    <n v="3.9257274289025199"/>
    <n v="8.9947946623618495"/>
    <n v="49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1"/>
    <x v="0"/>
    <x v="3"/>
    <x v="0"/>
    <n v="0"/>
    <n v="2E+20"/>
    <n v="0"/>
    <n v="0"/>
    <n v="49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1"/>
    <x v="0"/>
    <x v="4"/>
    <x v="0"/>
    <n v="5.1660112965793896"/>
    <n v="2E+20"/>
    <n v="4.4274332628206396"/>
    <n v="5.9304673241945496"/>
    <n v="49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1"/>
    <x v="0"/>
    <x v="5"/>
    <x v="0"/>
    <n v="4.9189902836154502"/>
    <n v="2E+20"/>
    <n v="1.7637359555122001"/>
    <n v="11.4865362355056"/>
    <n v="49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2"/>
    <x v="0"/>
    <x v="0"/>
    <x v="0"/>
    <n v="0"/>
    <n v="2E+20"/>
    <n v="0"/>
    <n v="0"/>
    <n v="34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2"/>
    <x v="0"/>
    <x v="1"/>
    <x v="0"/>
    <n v="0"/>
    <n v="2E+20"/>
    <n v="0"/>
    <n v="0"/>
    <n v="34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2"/>
    <x v="0"/>
    <x v="2"/>
    <x v="0"/>
    <n v="5.3585831308550196"/>
    <n v="2E+20"/>
    <n v="3.8998443838482202"/>
    <n v="10.208446951671201"/>
    <n v="34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2"/>
    <x v="0"/>
    <x v="3"/>
    <x v="0"/>
    <n v="0"/>
    <n v="2E+20"/>
    <n v="0"/>
    <n v="0"/>
    <n v="34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2"/>
    <x v="0"/>
    <x v="4"/>
    <x v="0"/>
    <n v="5.3604543978300896"/>
    <n v="2E+20"/>
    <n v="4.5197327616110403"/>
    <n v="6.1943250255745896"/>
    <n v="34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2"/>
    <x v="0"/>
    <x v="5"/>
    <x v="0"/>
    <n v="3.6158128682612101"/>
    <n v="2E+20"/>
    <n v="1.6753786752398101"/>
    <n v="11.8464263407961"/>
    <n v="34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3"/>
    <x v="0"/>
    <x v="0"/>
    <x v="0"/>
    <n v="0"/>
    <n v="2E+20"/>
    <n v="0"/>
    <n v="0"/>
    <n v="40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3"/>
    <x v="0"/>
    <x v="1"/>
    <x v="0"/>
    <n v="0"/>
    <n v="2E+20"/>
    <n v="0"/>
    <n v="0"/>
    <n v="40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3"/>
    <x v="0"/>
    <x v="2"/>
    <x v="0"/>
    <n v="5.5750073009557299"/>
    <n v="2E+20"/>
    <n v="3.9343613497721499"/>
    <n v="14.7043954945631"/>
    <n v="40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3"/>
    <x v="0"/>
    <x v="3"/>
    <x v="0"/>
    <n v="0"/>
    <n v="2E+20"/>
    <n v="0"/>
    <n v="0"/>
    <n v="40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3"/>
    <x v="0"/>
    <x v="4"/>
    <x v="0"/>
    <n v="5.2657366373391303"/>
    <n v="2E+20"/>
    <n v="4.5332887494852399"/>
    <n v="5.8968799094369597"/>
    <n v="40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3"/>
    <x v="0"/>
    <x v="5"/>
    <x v="0"/>
    <n v="4.1963652488737404"/>
    <n v="2E+20"/>
    <n v="1.7064061569334501"/>
    <n v="19.770060554509801"/>
    <n v="40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4"/>
    <x v="0"/>
    <x v="0"/>
    <x v="0"/>
    <n v="0"/>
    <n v="2E+20"/>
    <n v="0"/>
    <n v="0"/>
    <n v="39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4"/>
    <x v="0"/>
    <x v="1"/>
    <x v="0"/>
    <n v="0"/>
    <n v="2E+20"/>
    <n v="0"/>
    <n v="0"/>
    <n v="39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4"/>
    <x v="0"/>
    <x v="2"/>
    <x v="0"/>
    <n v="5.2485468905854002"/>
    <n v="2E+20"/>
    <n v="4.0997643602738902"/>
    <n v="8.0193183830500594"/>
    <n v="39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4"/>
    <x v="0"/>
    <x v="3"/>
    <x v="0"/>
    <n v="0"/>
    <n v="2E+20"/>
    <n v="0"/>
    <n v="0"/>
    <n v="39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4"/>
    <x v="0"/>
    <x v="4"/>
    <x v="0"/>
    <n v="5.4129072038716304"/>
    <n v="2E+20"/>
    <n v="4.6682282584665904"/>
    <n v="6.6447887759692303"/>
    <n v="39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4"/>
    <x v="0"/>
    <x v="5"/>
    <x v="0"/>
    <n v="3.4015610252598298"/>
    <n v="2E+20"/>
    <n v="1.8378696284562701"/>
    <n v="8.1567568814366194"/>
    <n v="39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5"/>
    <x v="0"/>
    <x v="0"/>
    <x v="0"/>
    <n v="0"/>
    <n v="2E+20"/>
    <n v="0"/>
    <n v="0"/>
    <n v="35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5"/>
    <x v="0"/>
    <x v="1"/>
    <x v="0"/>
    <n v="0"/>
    <n v="2E+20"/>
    <n v="0"/>
    <n v="0"/>
    <n v="35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5"/>
    <x v="0"/>
    <x v="2"/>
    <x v="0"/>
    <n v="5.8991462347782901"/>
    <n v="2E+20"/>
    <n v="4.14619432782745"/>
    <n v="11.804276302883901"/>
    <n v="35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5"/>
    <x v="0"/>
    <x v="3"/>
    <x v="0"/>
    <n v="0"/>
    <n v="2E+20"/>
    <n v="0"/>
    <n v="0"/>
    <n v="35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5"/>
    <x v="0"/>
    <x v="4"/>
    <x v="0"/>
    <n v="5.2016367625786604"/>
    <n v="2E+20"/>
    <n v="4.5876688078828902"/>
    <n v="5.78126324029191"/>
    <n v="35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5"/>
    <x v="0"/>
    <x v="5"/>
    <x v="0"/>
    <n v="4.9352134044706597"/>
    <n v="2E+20"/>
    <n v="1.8355156954780201"/>
    <n v="15.4935973867098"/>
    <n v="35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6"/>
    <x v="0"/>
    <x v="0"/>
    <x v="0"/>
    <n v="0"/>
    <n v="2E+20"/>
    <n v="0"/>
    <n v="0"/>
    <n v="45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6"/>
    <x v="0"/>
    <x v="1"/>
    <x v="0"/>
    <n v="0"/>
    <n v="2E+20"/>
    <n v="0"/>
    <n v="0"/>
    <n v="45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6"/>
    <x v="0"/>
    <x v="2"/>
    <x v="0"/>
    <n v="6.5350297212214699"/>
    <n v="2E+20"/>
    <n v="3.8378643227556402"/>
    <n v="11.7990397483852"/>
    <n v="45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6"/>
    <x v="0"/>
    <x v="3"/>
    <x v="0"/>
    <n v="0"/>
    <n v="2E+20"/>
    <n v="0"/>
    <n v="0"/>
    <n v="45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6"/>
    <x v="0"/>
    <x v="4"/>
    <x v="0"/>
    <n v="5.3417022337919704"/>
    <n v="2E+20"/>
    <n v="4.3829359183615404"/>
    <n v="6.1177334432963697"/>
    <n v="45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6"/>
    <x v="0"/>
    <x v="5"/>
    <x v="0"/>
    <n v="5.8252948259884603"/>
    <n v="2E+20"/>
    <n v="1.76047239010736"/>
    <n v="15.3038414361852"/>
    <n v="45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7"/>
    <x v="0"/>
    <x v="0"/>
    <x v="0"/>
    <n v="0"/>
    <n v="2E+20"/>
    <n v="0"/>
    <n v="0"/>
    <n v="43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7"/>
    <x v="0"/>
    <x v="1"/>
    <x v="0"/>
    <n v="0"/>
    <n v="2E+20"/>
    <n v="0"/>
    <n v="0"/>
    <n v="43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7"/>
    <x v="0"/>
    <x v="2"/>
    <x v="0"/>
    <n v="6.0860339742083296"/>
    <n v="2E+20"/>
    <n v="3.9947345185198602"/>
    <n v="15.254931763080601"/>
    <n v="43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7"/>
    <x v="0"/>
    <x v="3"/>
    <x v="0"/>
    <n v="0"/>
    <n v="2E+20"/>
    <n v="0"/>
    <n v="0"/>
    <n v="43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7"/>
    <x v="0"/>
    <x v="4"/>
    <x v="0"/>
    <n v="5.2782771941857103"/>
    <n v="2E+20"/>
    <n v="4.6138056338330102"/>
    <n v="5.8971848436178496"/>
    <n v="43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7"/>
    <x v="0"/>
    <x v="5"/>
    <x v="0"/>
    <n v="5.0916873926626298"/>
    <n v="2E+20"/>
    <n v="1.6927575073677601"/>
    <n v="20.791857327252998"/>
    <n v="43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8"/>
    <x v="0"/>
    <x v="0"/>
    <x v="0"/>
    <n v="0"/>
    <n v="2E+20"/>
    <n v="0"/>
    <n v="0"/>
    <n v="39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8"/>
    <x v="0"/>
    <x v="1"/>
    <x v="0"/>
    <n v="0"/>
    <n v="2E+20"/>
    <n v="0"/>
    <n v="0"/>
    <n v="39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8"/>
    <x v="0"/>
    <x v="2"/>
    <x v="0"/>
    <n v="5.5366392103216198"/>
    <n v="2E+20"/>
    <n v="3.9470249147768799"/>
    <n v="9.5178010041786791"/>
    <n v="39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8"/>
    <x v="0"/>
    <x v="3"/>
    <x v="0"/>
    <n v="0"/>
    <n v="2E+20"/>
    <n v="0"/>
    <n v="0"/>
    <n v="39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8"/>
    <x v="0"/>
    <x v="4"/>
    <x v="0"/>
    <n v="5.2417249579783496"/>
    <n v="2E+20"/>
    <n v="4.4269643655717097"/>
    <n v="5.93066598370436"/>
    <n v="39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8"/>
    <x v="0"/>
    <x v="5"/>
    <x v="0"/>
    <n v="4.17991470218365"/>
    <n v="2E+20"/>
    <n v="1.8367756224011"/>
    <n v="11.507148677042901"/>
    <n v="39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29"/>
    <x v="0"/>
    <x v="0"/>
    <x v="0"/>
    <n v="0"/>
    <n v="2E+20"/>
    <n v="0"/>
    <n v="0"/>
    <n v="47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9"/>
    <x v="0"/>
    <x v="1"/>
    <x v="0"/>
    <n v="0"/>
    <n v="2E+20"/>
    <n v="0"/>
    <n v="0"/>
    <n v="47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9"/>
    <x v="0"/>
    <x v="2"/>
    <x v="0"/>
    <n v="6.2439564787786397"/>
    <n v="2E+20"/>
    <n v="3.8142829116111399"/>
    <n v="11.116060141194"/>
    <n v="47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9"/>
    <x v="0"/>
    <x v="3"/>
    <x v="0"/>
    <n v="0"/>
    <n v="2E+20"/>
    <n v="0"/>
    <n v="0"/>
    <n v="47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9"/>
    <x v="0"/>
    <x v="4"/>
    <x v="0"/>
    <n v="5.3118027310077798"/>
    <n v="2E+20"/>
    <n v="4.3339926022875197"/>
    <n v="6.29680263180924"/>
    <n v="47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29"/>
    <x v="0"/>
    <x v="5"/>
    <x v="0"/>
    <n v="5.4111335600622699"/>
    <n v="2E+20"/>
    <n v="1.84824120145424"/>
    <n v="14.829413039137799"/>
    <n v="47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30"/>
    <x v="0"/>
    <x v="0"/>
    <x v="0"/>
    <n v="0"/>
    <n v="2E+20"/>
    <n v="0"/>
    <n v="0"/>
    <n v="35"/>
    <s v="Pedido CleintesClientesNVA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0"/>
    <x v="0"/>
    <x v="1"/>
    <x v="0"/>
    <n v="0"/>
    <n v="2E+20"/>
    <n v="0"/>
    <n v="0"/>
    <n v="35"/>
    <s v="Pedido CleintesClientesOth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0"/>
    <x v="0"/>
    <x v="2"/>
    <x v="0"/>
    <n v="5.5956741739334301"/>
    <n v="2E+20"/>
    <n v="3.6737230936318102"/>
    <n v="13.054040763509001"/>
    <n v="35"/>
    <s v="Pedido CleintesClientesTotal TimeEntity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30"/>
    <x v="0"/>
    <x v="3"/>
    <x v="0"/>
    <n v="0"/>
    <n v="2E+20"/>
    <n v="0"/>
    <n v="0"/>
    <n v="35"/>
    <s v="Pedido CleintesClientesTransfer TimeEntity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0"/>
    <x v="0"/>
    <x v="4"/>
    <x v="0"/>
    <n v="5.19751053344425"/>
    <n v="2E+20"/>
    <n v="4.5459492458485897"/>
    <n v="6.1218085781186202"/>
    <n v="35"/>
    <s v="Pedido CleintesClientesVA TimeEntity"/>
    <n v="30"/>
    <n v="5.2592876630189664"/>
    <n v="6.4915135446006245E-2"/>
    <n v="0.95"/>
    <n v="2.4239709944021991E-2"/>
    <n v="5.1503583657054"/>
    <n v="5.4129072038716304"/>
    <n v="4.2407242950458501"/>
    <n v="6.6447887759692303"/>
    <n v="38.866666666666667"/>
    <n v="2.4239709944021991E-2"/>
    <n v="30"/>
    <n v="1"/>
  </r>
  <r>
    <x v="0"/>
    <s v="2025-05-21 19:18:09"/>
    <n v="30"/>
    <x v="0"/>
    <x v="5"/>
    <x v="0"/>
    <n v="4.2526845414954604"/>
    <n v="2E+20"/>
    <n v="1.6733230629022799"/>
    <n v="16.910598253034799"/>
    <n v="35"/>
    <s v="Pedido CleintesClientesWait TimeEntity"/>
    <n v="30"/>
    <n v="4.3948990987917362"/>
    <n v="1.0338793267692701"/>
    <n v="0.95"/>
    <n v="0.38605688528297838"/>
    <n v="2.3996249564013099"/>
    <n v="7.0027213080203197"/>
    <n v="1.6212297132984801"/>
    <n v="25.258727602665498"/>
    <n v="38.866666666666667"/>
    <n v="0.38605688528297838"/>
    <n v="30"/>
    <n v="1"/>
  </r>
  <r>
    <x v="0"/>
    <s v="2025-05-21 19:18:09"/>
    <n v="1"/>
    <x v="1"/>
    <x v="6"/>
    <x v="1"/>
    <n v="0.53384451376685804"/>
    <n v="2E+20"/>
    <n v="0.22317135359688201"/>
    <n v="1.17308225990853"/>
    <n v="24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"/>
    <x v="1"/>
    <x v="7"/>
    <x v="1"/>
    <n v="0.53384451376685804"/>
    <n v="2E+20"/>
    <n v="0.22317135359688201"/>
    <n v="1.17308225990853"/>
    <n v="24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"/>
    <x v="1"/>
    <x v="8"/>
    <x v="1"/>
    <n v="0"/>
    <n v="2E+20"/>
    <n v="0"/>
    <n v="0"/>
    <n v="24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"/>
    <x v="1"/>
    <x v="6"/>
    <x v="1"/>
    <n v="0.50810891252276502"/>
    <n v="2E+20"/>
    <n v="0.25012866618268997"/>
    <n v="0.92475838052879999"/>
    <n v="41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"/>
    <x v="1"/>
    <x v="7"/>
    <x v="1"/>
    <n v="0.50810891252276502"/>
    <n v="2E+20"/>
    <n v="0.25012866618268997"/>
    <n v="0.92475838052879999"/>
    <n v="41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"/>
    <x v="1"/>
    <x v="8"/>
    <x v="1"/>
    <n v="0"/>
    <n v="2E+20"/>
    <n v="0"/>
    <n v="0"/>
    <n v="41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"/>
    <x v="1"/>
    <x v="6"/>
    <x v="1"/>
    <n v="0.50470088634225196"/>
    <n v="2E+20"/>
    <n v="0.28848080303778501"/>
    <n v="1.2894694141643901"/>
    <n v="47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3"/>
    <x v="1"/>
    <x v="7"/>
    <x v="1"/>
    <n v="0.50470088634225196"/>
    <n v="2E+20"/>
    <n v="0.28848080303778501"/>
    <n v="1.2894694141643901"/>
    <n v="47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3"/>
    <x v="1"/>
    <x v="8"/>
    <x v="1"/>
    <n v="0"/>
    <n v="2E+20"/>
    <n v="0"/>
    <n v="0"/>
    <n v="47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4"/>
    <x v="1"/>
    <x v="6"/>
    <x v="1"/>
    <n v="0.51908342312318101"/>
    <n v="2E+20"/>
    <n v="0.15858779300546599"/>
    <n v="0.98735649077681797"/>
    <n v="33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4"/>
    <x v="1"/>
    <x v="7"/>
    <x v="1"/>
    <n v="0.51908342312318101"/>
    <n v="2E+20"/>
    <n v="0.15858779300546599"/>
    <n v="0.98735649077681797"/>
    <n v="33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4"/>
    <x v="1"/>
    <x v="8"/>
    <x v="1"/>
    <n v="0"/>
    <n v="2E+20"/>
    <n v="0"/>
    <n v="0"/>
    <n v="33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5"/>
    <x v="1"/>
    <x v="6"/>
    <x v="1"/>
    <n v="0.49678567466607298"/>
    <n v="2E+20"/>
    <n v="0.21460418662047701"/>
    <n v="0.89149707193263295"/>
    <n v="45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5"/>
    <x v="1"/>
    <x v="7"/>
    <x v="1"/>
    <n v="0.49678567466607298"/>
    <n v="2E+20"/>
    <n v="0.21460418662047701"/>
    <n v="0.89149707193263295"/>
    <n v="45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5"/>
    <x v="1"/>
    <x v="8"/>
    <x v="1"/>
    <n v="0"/>
    <n v="2E+20"/>
    <n v="0"/>
    <n v="0"/>
    <n v="45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6"/>
    <x v="1"/>
    <x v="6"/>
    <x v="1"/>
    <n v="0.52677648727448301"/>
    <n v="2E+20"/>
    <n v="0.222699451140699"/>
    <n v="1.0743161800966401"/>
    <n v="39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6"/>
    <x v="1"/>
    <x v="7"/>
    <x v="1"/>
    <n v="0.52677648727448301"/>
    <n v="2E+20"/>
    <n v="0.222699451140699"/>
    <n v="1.0743161800966401"/>
    <n v="39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6"/>
    <x v="1"/>
    <x v="8"/>
    <x v="1"/>
    <n v="0"/>
    <n v="2E+20"/>
    <n v="0"/>
    <n v="0"/>
    <n v="39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7"/>
    <x v="1"/>
    <x v="6"/>
    <x v="1"/>
    <n v="0.54874490679130095"/>
    <n v="2E+20"/>
    <n v="0.31769682637872199"/>
    <n v="1.0004643645272899"/>
    <n v="38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7"/>
    <x v="1"/>
    <x v="7"/>
    <x v="1"/>
    <n v="0.54874490679130095"/>
    <n v="2E+20"/>
    <n v="0.31769682637872199"/>
    <n v="1.0004643645272899"/>
    <n v="38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7"/>
    <x v="1"/>
    <x v="8"/>
    <x v="1"/>
    <n v="0"/>
    <n v="2E+20"/>
    <n v="0"/>
    <n v="0"/>
    <n v="38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8"/>
    <x v="1"/>
    <x v="6"/>
    <x v="1"/>
    <n v="0.54468964982455803"/>
    <n v="2E+20"/>
    <n v="0.28147151586456698"/>
    <n v="1.1450272520460301"/>
    <n v="34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8"/>
    <x v="1"/>
    <x v="7"/>
    <x v="1"/>
    <n v="0.54468964982455803"/>
    <n v="2E+20"/>
    <n v="0.28147151586456698"/>
    <n v="1.1450272520460301"/>
    <n v="34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8"/>
    <x v="1"/>
    <x v="8"/>
    <x v="1"/>
    <n v="0"/>
    <n v="2E+20"/>
    <n v="0"/>
    <n v="0"/>
    <n v="34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9"/>
    <x v="1"/>
    <x v="6"/>
    <x v="1"/>
    <n v="0.54065364511691605"/>
    <n v="2E+20"/>
    <n v="0.257979244801191"/>
    <n v="0.98515695032096995"/>
    <n v="34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9"/>
    <x v="1"/>
    <x v="7"/>
    <x v="1"/>
    <n v="0.54065364511691605"/>
    <n v="2E+20"/>
    <n v="0.257979244801191"/>
    <n v="0.98515695032096995"/>
    <n v="34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9"/>
    <x v="1"/>
    <x v="8"/>
    <x v="1"/>
    <n v="0"/>
    <n v="2E+20"/>
    <n v="0"/>
    <n v="0"/>
    <n v="34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0"/>
    <x v="1"/>
    <x v="6"/>
    <x v="1"/>
    <n v="0.46557136595482601"/>
    <n v="2E+20"/>
    <n v="0.24321537350928299"/>
    <n v="0.84816327335281005"/>
    <n v="41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0"/>
    <x v="1"/>
    <x v="7"/>
    <x v="1"/>
    <n v="0.46557136595482601"/>
    <n v="2E+20"/>
    <n v="0.24321537350928299"/>
    <n v="0.84816327335281005"/>
    <n v="41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0"/>
    <x v="1"/>
    <x v="8"/>
    <x v="1"/>
    <n v="0"/>
    <n v="2E+20"/>
    <n v="0"/>
    <n v="0"/>
    <n v="41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1"/>
    <x v="1"/>
    <x v="6"/>
    <x v="1"/>
    <n v="0.492135434906734"/>
    <n v="2E+20"/>
    <n v="0.205998440900444"/>
    <n v="0.93208266521079997"/>
    <n v="44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1"/>
    <x v="1"/>
    <x v="7"/>
    <x v="1"/>
    <n v="0.492135434906734"/>
    <n v="2E+20"/>
    <n v="0.205998440900444"/>
    <n v="0.93208266521079997"/>
    <n v="44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1"/>
    <x v="1"/>
    <x v="8"/>
    <x v="1"/>
    <n v="0"/>
    <n v="2E+20"/>
    <n v="0"/>
    <n v="0"/>
    <n v="44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2"/>
    <x v="1"/>
    <x v="6"/>
    <x v="1"/>
    <n v="0.486691688784962"/>
    <n v="2E+20"/>
    <n v="0.26837576589548501"/>
    <n v="0.776496283574858"/>
    <n v="28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2"/>
    <x v="1"/>
    <x v="7"/>
    <x v="1"/>
    <n v="0.486691688784962"/>
    <n v="2E+20"/>
    <n v="0.26837576589548501"/>
    <n v="0.776496283574858"/>
    <n v="28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2"/>
    <x v="1"/>
    <x v="8"/>
    <x v="1"/>
    <n v="0"/>
    <n v="2E+20"/>
    <n v="0"/>
    <n v="0"/>
    <n v="28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3"/>
    <x v="1"/>
    <x v="6"/>
    <x v="1"/>
    <n v="0.47654060849642299"/>
    <n v="2E+20"/>
    <n v="0.219101986547074"/>
    <n v="0.82083704155191795"/>
    <n v="37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3"/>
    <x v="1"/>
    <x v="7"/>
    <x v="1"/>
    <n v="0.47654060849642299"/>
    <n v="2E+20"/>
    <n v="0.219101986547074"/>
    <n v="0.82083704155191795"/>
    <n v="37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3"/>
    <x v="1"/>
    <x v="8"/>
    <x v="1"/>
    <n v="0"/>
    <n v="2E+20"/>
    <n v="0"/>
    <n v="0"/>
    <n v="37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4"/>
    <x v="1"/>
    <x v="6"/>
    <x v="1"/>
    <n v="0.466016170952958"/>
    <n v="2E+20"/>
    <n v="0.28966312897544799"/>
    <n v="0.95524075029456401"/>
    <n v="44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4"/>
    <x v="1"/>
    <x v="7"/>
    <x v="1"/>
    <n v="0.466016170952958"/>
    <n v="2E+20"/>
    <n v="0.28966312897544799"/>
    <n v="0.95524075029456401"/>
    <n v="44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4"/>
    <x v="1"/>
    <x v="8"/>
    <x v="1"/>
    <n v="0"/>
    <n v="2E+20"/>
    <n v="0"/>
    <n v="0"/>
    <n v="44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5"/>
    <x v="1"/>
    <x v="6"/>
    <x v="1"/>
    <n v="0.53795832109825203"/>
    <n v="2E+20"/>
    <n v="0.202348782047238"/>
    <n v="1.42475765411467"/>
    <n v="46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5"/>
    <x v="1"/>
    <x v="7"/>
    <x v="1"/>
    <n v="0.53795832109825203"/>
    <n v="2E+20"/>
    <n v="0.202348782047238"/>
    <n v="1.42475765411467"/>
    <n v="46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5"/>
    <x v="1"/>
    <x v="8"/>
    <x v="1"/>
    <n v="0"/>
    <n v="2E+20"/>
    <n v="0"/>
    <n v="0"/>
    <n v="46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6"/>
    <x v="1"/>
    <x v="6"/>
    <x v="1"/>
    <n v="0.57276714050204303"/>
    <n v="2E+20"/>
    <n v="0.25657502412045102"/>
    <n v="1.16741874944682"/>
    <n v="36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6"/>
    <x v="1"/>
    <x v="7"/>
    <x v="1"/>
    <n v="0.57276714050204303"/>
    <n v="2E+20"/>
    <n v="0.25657502412045102"/>
    <n v="1.16741874944682"/>
    <n v="36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6"/>
    <x v="1"/>
    <x v="8"/>
    <x v="1"/>
    <n v="0"/>
    <n v="2E+20"/>
    <n v="0"/>
    <n v="0"/>
    <n v="36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7"/>
    <x v="1"/>
    <x v="6"/>
    <x v="1"/>
    <n v="0.56981041219232398"/>
    <n v="2E+20"/>
    <n v="0.22390147388040299"/>
    <n v="0.98511331186459505"/>
    <n v="31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7"/>
    <x v="1"/>
    <x v="7"/>
    <x v="1"/>
    <n v="0.56981041219232398"/>
    <n v="2E+20"/>
    <n v="0.22390147388040299"/>
    <n v="0.98511331186459505"/>
    <n v="31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7"/>
    <x v="1"/>
    <x v="8"/>
    <x v="1"/>
    <n v="0"/>
    <n v="2E+20"/>
    <n v="0"/>
    <n v="0"/>
    <n v="31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8"/>
    <x v="1"/>
    <x v="6"/>
    <x v="1"/>
    <n v="0.51539230997200502"/>
    <n v="2E+20"/>
    <n v="0.197197275406126"/>
    <n v="1.0548917214392799"/>
    <n v="44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8"/>
    <x v="1"/>
    <x v="7"/>
    <x v="1"/>
    <n v="0.51539230997200502"/>
    <n v="2E+20"/>
    <n v="0.197197275406126"/>
    <n v="1.0548917214392799"/>
    <n v="44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8"/>
    <x v="1"/>
    <x v="8"/>
    <x v="1"/>
    <n v="0"/>
    <n v="2E+20"/>
    <n v="0"/>
    <n v="0"/>
    <n v="44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9"/>
    <x v="1"/>
    <x v="6"/>
    <x v="1"/>
    <n v="0.46678271101438801"/>
    <n v="2E+20"/>
    <n v="0.17030648482017299"/>
    <n v="0.84070884244432198"/>
    <n v="32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9"/>
    <x v="1"/>
    <x v="7"/>
    <x v="1"/>
    <n v="0.46678271101438801"/>
    <n v="2E+20"/>
    <n v="0.17030648482017299"/>
    <n v="0.84070884244432198"/>
    <n v="32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19"/>
    <x v="1"/>
    <x v="8"/>
    <x v="1"/>
    <n v="0"/>
    <n v="2E+20"/>
    <n v="0"/>
    <n v="0"/>
    <n v="32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0"/>
    <x v="1"/>
    <x v="6"/>
    <x v="1"/>
    <n v="0.47380702960891202"/>
    <n v="2E+20"/>
    <n v="0.30948989870823601"/>
    <n v="0.70491097614299703"/>
    <n v="42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0"/>
    <x v="1"/>
    <x v="7"/>
    <x v="1"/>
    <n v="0.47380702960891202"/>
    <n v="2E+20"/>
    <n v="0.30948989870823601"/>
    <n v="0.70491097614299703"/>
    <n v="42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0"/>
    <x v="1"/>
    <x v="8"/>
    <x v="1"/>
    <n v="0"/>
    <n v="2E+20"/>
    <n v="0"/>
    <n v="0"/>
    <n v="42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1"/>
    <x v="1"/>
    <x v="6"/>
    <x v="1"/>
    <n v="0.504916224568428"/>
    <n v="2E+20"/>
    <n v="0.18271213063049899"/>
    <n v="0.962986920225404"/>
    <n v="49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1"/>
    <x v="1"/>
    <x v="7"/>
    <x v="1"/>
    <n v="0.504916224568428"/>
    <n v="2E+20"/>
    <n v="0.18271213063049899"/>
    <n v="0.962986920225404"/>
    <n v="49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1"/>
    <x v="1"/>
    <x v="8"/>
    <x v="1"/>
    <n v="0"/>
    <n v="2E+20"/>
    <n v="0"/>
    <n v="0"/>
    <n v="49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2"/>
    <x v="1"/>
    <x v="6"/>
    <x v="1"/>
    <n v="0.579636180667775"/>
    <n v="2E+20"/>
    <n v="0.27271861843205197"/>
    <n v="0.86648509642097304"/>
    <n v="34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2"/>
    <x v="1"/>
    <x v="7"/>
    <x v="1"/>
    <n v="0.579636180667775"/>
    <n v="2E+20"/>
    <n v="0.27271861843205197"/>
    <n v="0.86648509642097304"/>
    <n v="34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2"/>
    <x v="1"/>
    <x v="8"/>
    <x v="1"/>
    <n v="0"/>
    <n v="2E+20"/>
    <n v="0"/>
    <n v="0"/>
    <n v="34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3"/>
    <x v="1"/>
    <x v="6"/>
    <x v="1"/>
    <n v="0.45815656639628"/>
    <n v="2E+20"/>
    <n v="0.25069947044033802"/>
    <n v="0.957271557125836"/>
    <n v="40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3"/>
    <x v="1"/>
    <x v="7"/>
    <x v="1"/>
    <n v="0.45815656639628"/>
    <n v="2E+20"/>
    <n v="0.25069947044033802"/>
    <n v="0.957271557125836"/>
    <n v="40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3"/>
    <x v="1"/>
    <x v="8"/>
    <x v="1"/>
    <n v="0"/>
    <n v="2E+20"/>
    <n v="0"/>
    <n v="0"/>
    <n v="40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4"/>
    <x v="1"/>
    <x v="6"/>
    <x v="1"/>
    <n v="0.56212130295829499"/>
    <n v="2E+20"/>
    <n v="0.25996718697068399"/>
    <n v="1.3976139603421101"/>
    <n v="39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4"/>
    <x v="1"/>
    <x v="7"/>
    <x v="1"/>
    <n v="0.56212130295829499"/>
    <n v="2E+20"/>
    <n v="0.25996718697068399"/>
    <n v="1.3976139603421101"/>
    <n v="39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4"/>
    <x v="1"/>
    <x v="8"/>
    <x v="1"/>
    <n v="0"/>
    <n v="2E+20"/>
    <n v="0"/>
    <n v="0"/>
    <n v="39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5"/>
    <x v="1"/>
    <x v="6"/>
    <x v="1"/>
    <n v="0.45048365558606801"/>
    <n v="2E+20"/>
    <n v="0.17600445953164001"/>
    <n v="0.76932855382438003"/>
    <n v="35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5"/>
    <x v="1"/>
    <x v="7"/>
    <x v="1"/>
    <n v="0.45048365558606801"/>
    <n v="2E+20"/>
    <n v="0.17600445953164001"/>
    <n v="0.76932855382438003"/>
    <n v="35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5"/>
    <x v="1"/>
    <x v="8"/>
    <x v="1"/>
    <n v="0"/>
    <n v="2E+20"/>
    <n v="0"/>
    <n v="0"/>
    <n v="35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6"/>
    <x v="1"/>
    <x v="6"/>
    <x v="1"/>
    <n v="0.52301959335479098"/>
    <n v="2E+20"/>
    <n v="0.299982710592332"/>
    <n v="1.04085222221421"/>
    <n v="45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6"/>
    <x v="1"/>
    <x v="7"/>
    <x v="1"/>
    <n v="0.52301959335479098"/>
    <n v="2E+20"/>
    <n v="0.299982710592332"/>
    <n v="1.04085222221421"/>
    <n v="45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6"/>
    <x v="1"/>
    <x v="8"/>
    <x v="1"/>
    <n v="0"/>
    <n v="2E+20"/>
    <n v="0"/>
    <n v="0"/>
    <n v="45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7"/>
    <x v="1"/>
    <x v="6"/>
    <x v="1"/>
    <n v="0.494254185449921"/>
    <n v="2E+20"/>
    <n v="0.26407621494536199"/>
    <n v="1.10284859632101"/>
    <n v="43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7"/>
    <x v="1"/>
    <x v="7"/>
    <x v="1"/>
    <n v="0.494254185449921"/>
    <n v="2E+20"/>
    <n v="0.26407621494536199"/>
    <n v="1.10284859632101"/>
    <n v="43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7"/>
    <x v="1"/>
    <x v="8"/>
    <x v="1"/>
    <n v="0"/>
    <n v="2E+20"/>
    <n v="0"/>
    <n v="0"/>
    <n v="43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8"/>
    <x v="1"/>
    <x v="6"/>
    <x v="1"/>
    <n v="0.48920275254853801"/>
    <n v="2E+20"/>
    <n v="0.206908543913087"/>
    <n v="0.863336481036306"/>
    <n v="39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8"/>
    <x v="1"/>
    <x v="7"/>
    <x v="1"/>
    <n v="0.48920275254853801"/>
    <n v="2E+20"/>
    <n v="0.206908543913087"/>
    <n v="0.863336481036306"/>
    <n v="39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8"/>
    <x v="1"/>
    <x v="8"/>
    <x v="1"/>
    <n v="0"/>
    <n v="2E+20"/>
    <n v="0"/>
    <n v="0"/>
    <n v="39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29"/>
    <x v="1"/>
    <x v="6"/>
    <x v="1"/>
    <n v="0.52685129864247804"/>
    <n v="2E+20"/>
    <n v="0.19890761841700999"/>
    <n v="1.1165132167260801"/>
    <n v="47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9"/>
    <x v="1"/>
    <x v="7"/>
    <x v="1"/>
    <n v="0.52685129864247804"/>
    <n v="2E+20"/>
    <n v="0.19890761841700999"/>
    <n v="1.1165132167260801"/>
    <n v="47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29"/>
    <x v="1"/>
    <x v="8"/>
    <x v="1"/>
    <n v="0"/>
    <n v="2E+20"/>
    <n v="0"/>
    <n v="0"/>
    <n v="47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30"/>
    <x v="1"/>
    <x v="6"/>
    <x v="1"/>
    <n v="0.48315836752618802"/>
    <n v="2E+20"/>
    <n v="0.20787236124452599"/>
    <n v="1.0531372480224901"/>
    <n v="35"/>
    <s v="Pedido CleintesEmpaque de pedidosTotal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30"/>
    <x v="1"/>
    <x v="7"/>
    <x v="1"/>
    <n v="0.48315836752618802"/>
    <n v="2E+20"/>
    <n v="0.20787236124452599"/>
    <n v="1.0531372480224901"/>
    <n v="35"/>
    <s v="Pedido CleintesEmpaque de pedidosVA Time Per EntityProcess"/>
    <n v="30"/>
    <n v="0.51062204735369909"/>
    <n v="3.6123938160903798E-2"/>
    <n v="0.95"/>
    <n v="1.348890019315159E-2"/>
    <n v="0.45048365558606801"/>
    <n v="0.579636180667775"/>
    <n v="0.15858779300546599"/>
    <n v="1.42475765411467"/>
    <n v="38.866666666666667"/>
    <n v="1.348890019315159E-2"/>
    <n v="30"/>
    <n v="1"/>
  </r>
  <r>
    <x v="0"/>
    <s v="2025-05-21 19:18:09"/>
    <n v="30"/>
    <x v="1"/>
    <x v="8"/>
    <x v="1"/>
    <n v="0"/>
    <n v="2E+20"/>
    <n v="0"/>
    <n v="0"/>
    <n v="35"/>
    <s v="Pedido CleintesEmpaque de pedidosWait Time Per EntityProcess"/>
    <n v="30"/>
    <n v="0"/>
    <n v="0"/>
    <n v="0.95"/>
    <n v="0"/>
    <n v="0"/>
    <n v="0"/>
    <n v="0"/>
    <n v="0"/>
    <n v="38.866666666666667"/>
    <n v="0"/>
    <n v="30"/>
    <n v="1"/>
  </r>
  <r>
    <x v="0"/>
    <s v="2025-05-21 19:18:09"/>
    <n v="1"/>
    <x v="2"/>
    <x v="9"/>
    <x v="2"/>
    <n v="0"/>
    <n v="2E+20"/>
    <n v="0"/>
    <n v="0"/>
    <n v="25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"/>
    <x v="2"/>
    <x v="9"/>
    <x v="2"/>
    <n v="0"/>
    <n v="2E+20"/>
    <n v="0"/>
    <n v="0"/>
    <n v="41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3"/>
    <x v="2"/>
    <x v="9"/>
    <x v="2"/>
    <n v="0"/>
    <n v="2E+20"/>
    <n v="0"/>
    <n v="0"/>
    <n v="47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4"/>
    <x v="2"/>
    <x v="9"/>
    <x v="2"/>
    <n v="0"/>
    <n v="2E+20"/>
    <n v="0"/>
    <n v="0"/>
    <n v="33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5"/>
    <x v="2"/>
    <x v="9"/>
    <x v="2"/>
    <n v="0"/>
    <n v="2E+20"/>
    <n v="0"/>
    <n v="0"/>
    <n v="45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6"/>
    <x v="2"/>
    <x v="9"/>
    <x v="2"/>
    <n v="0"/>
    <n v="2E+20"/>
    <n v="0"/>
    <n v="0"/>
    <n v="39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7"/>
    <x v="2"/>
    <x v="9"/>
    <x v="2"/>
    <n v="0"/>
    <n v="2E+20"/>
    <n v="0"/>
    <n v="0"/>
    <n v="38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8"/>
    <x v="2"/>
    <x v="9"/>
    <x v="2"/>
    <n v="0"/>
    <n v="2E+20"/>
    <n v="0"/>
    <n v="0"/>
    <n v="35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9"/>
    <x v="2"/>
    <x v="9"/>
    <x v="2"/>
    <n v="0"/>
    <n v="2E+20"/>
    <n v="0"/>
    <n v="0"/>
    <n v="34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0"/>
    <x v="2"/>
    <x v="9"/>
    <x v="2"/>
    <n v="0"/>
    <n v="2E+20"/>
    <n v="0"/>
    <n v="0"/>
    <n v="41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1"/>
    <x v="2"/>
    <x v="9"/>
    <x v="2"/>
    <n v="0"/>
    <n v="2E+20"/>
    <n v="0"/>
    <n v="0"/>
    <n v="44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2"/>
    <x v="2"/>
    <x v="9"/>
    <x v="2"/>
    <n v="0"/>
    <n v="2E+20"/>
    <n v="0"/>
    <n v="0"/>
    <n v="28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3"/>
    <x v="2"/>
    <x v="9"/>
    <x v="2"/>
    <n v="0"/>
    <n v="2E+20"/>
    <n v="0"/>
    <n v="0"/>
    <n v="37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4"/>
    <x v="2"/>
    <x v="9"/>
    <x v="2"/>
    <n v="0"/>
    <n v="2E+20"/>
    <n v="0"/>
    <n v="0"/>
    <n v="44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5"/>
    <x v="2"/>
    <x v="9"/>
    <x v="2"/>
    <n v="0"/>
    <n v="2E+20"/>
    <n v="0"/>
    <n v="0"/>
    <n v="46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6"/>
    <x v="2"/>
    <x v="9"/>
    <x v="2"/>
    <n v="0"/>
    <n v="2E+20"/>
    <n v="0"/>
    <n v="0"/>
    <n v="36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7"/>
    <x v="2"/>
    <x v="9"/>
    <x v="2"/>
    <n v="0"/>
    <n v="2E+20"/>
    <n v="0"/>
    <n v="0"/>
    <n v="31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8"/>
    <x v="2"/>
    <x v="9"/>
    <x v="2"/>
    <n v="0"/>
    <n v="2E+20"/>
    <n v="0"/>
    <n v="0"/>
    <n v="44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9"/>
    <x v="2"/>
    <x v="9"/>
    <x v="2"/>
    <n v="0"/>
    <n v="2E+20"/>
    <n v="0"/>
    <n v="0"/>
    <n v="32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0"/>
    <x v="2"/>
    <x v="9"/>
    <x v="2"/>
    <n v="0"/>
    <n v="2E+20"/>
    <n v="0"/>
    <n v="0"/>
    <n v="42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1"/>
    <x v="2"/>
    <x v="9"/>
    <x v="2"/>
    <n v="0"/>
    <n v="2E+20"/>
    <n v="0"/>
    <n v="0"/>
    <n v="49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2"/>
    <x v="2"/>
    <x v="9"/>
    <x v="2"/>
    <n v="0"/>
    <n v="2E+20"/>
    <n v="0"/>
    <n v="0"/>
    <n v="34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3"/>
    <x v="2"/>
    <x v="9"/>
    <x v="2"/>
    <n v="0"/>
    <n v="2E+20"/>
    <n v="0"/>
    <n v="0"/>
    <n v="40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4"/>
    <x v="2"/>
    <x v="9"/>
    <x v="2"/>
    <n v="0"/>
    <n v="2E+20"/>
    <n v="0"/>
    <n v="0"/>
    <n v="39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5"/>
    <x v="2"/>
    <x v="9"/>
    <x v="2"/>
    <n v="0"/>
    <n v="2E+20"/>
    <n v="0"/>
    <n v="0"/>
    <n v="35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6"/>
    <x v="2"/>
    <x v="9"/>
    <x v="2"/>
    <n v="0"/>
    <n v="2E+20"/>
    <n v="0"/>
    <n v="0"/>
    <n v="45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7"/>
    <x v="2"/>
    <x v="9"/>
    <x v="2"/>
    <n v="0"/>
    <n v="2E+20"/>
    <n v="0"/>
    <n v="0"/>
    <n v="43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8"/>
    <x v="2"/>
    <x v="9"/>
    <x v="2"/>
    <n v="0"/>
    <n v="2E+20"/>
    <n v="0"/>
    <n v="0"/>
    <n v="39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29"/>
    <x v="2"/>
    <x v="9"/>
    <x v="2"/>
    <n v="0"/>
    <n v="2E+20"/>
    <n v="0"/>
    <n v="0"/>
    <n v="47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30"/>
    <x v="2"/>
    <x v="9"/>
    <x v="2"/>
    <n v="0"/>
    <n v="2E+20"/>
    <n v="0"/>
    <n v="0"/>
    <n v="35"/>
    <s v="Pedido CleintesEmpaque de pedidos.QueueWaiting TimeQueue"/>
    <n v="30"/>
    <n v="0"/>
    <n v="0"/>
    <n v="0.95"/>
    <n v="0"/>
    <n v="0"/>
    <n v="0"/>
    <n v="0"/>
    <n v="0"/>
    <n v="38.93333333333333"/>
    <n v="0"/>
    <n v="30"/>
    <n v="1"/>
  </r>
  <r>
    <x v="0"/>
    <s v="2025-05-21 19:18:09"/>
    <n v="1"/>
    <x v="3"/>
    <x v="9"/>
    <x v="2"/>
    <n v="2.5792175536502899"/>
    <n v="2E+20"/>
    <n v="1.5097767760263201"/>
    <n v="3.9105334732157999"/>
    <n v="25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"/>
    <x v="3"/>
    <x v="9"/>
    <x v="2"/>
    <n v="2.7381637096768099"/>
    <n v="2E+20"/>
    <n v="1.2928356188239201"/>
    <n v="5.3439931566600496"/>
    <n v="41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3"/>
    <x v="3"/>
    <x v="9"/>
    <x v="2"/>
    <n v="3.2606295455889902"/>
    <n v="2E+20"/>
    <n v="4.98474293469542E-2"/>
    <n v="11.0435763581718"/>
    <n v="47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4"/>
    <x v="3"/>
    <x v="9"/>
    <x v="2"/>
    <n v="2.64480755238153"/>
    <n v="2E+20"/>
    <n v="0.61209523282275302"/>
    <n v="4.1789407853266898"/>
    <n v="33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5"/>
    <x v="3"/>
    <x v="9"/>
    <x v="2"/>
    <n v="3.59840113473913"/>
    <n v="2E+20"/>
    <n v="1.14297395617815"/>
    <n v="9.8715937618972305"/>
    <n v="45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6"/>
    <x v="3"/>
    <x v="9"/>
    <x v="2"/>
    <n v="3.1207306051644998"/>
    <n v="2E+20"/>
    <n v="1.52993617955906"/>
    <n v="6.9753770976142304"/>
    <n v="39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7"/>
    <x v="3"/>
    <x v="9"/>
    <x v="2"/>
    <n v="3.1742160649827298"/>
    <n v="2E+20"/>
    <n v="1.66995156682947"/>
    <n v="7.9945684614645103"/>
    <n v="38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8"/>
    <x v="3"/>
    <x v="9"/>
    <x v="2"/>
    <n v="3.0305591959205902"/>
    <n v="2E+20"/>
    <n v="0.62514958276250399"/>
    <n v="6.5638807980811897"/>
    <n v="35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9"/>
    <x v="3"/>
    <x v="9"/>
    <x v="2"/>
    <n v="2.52193948823651"/>
    <n v="2E+20"/>
    <n v="0.85701230064319101"/>
    <n v="4.4885074662773503"/>
    <n v="34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0"/>
    <x v="3"/>
    <x v="9"/>
    <x v="2"/>
    <n v="2.5043110087826701"/>
    <n v="2E+20"/>
    <n v="0.594815154109682"/>
    <n v="6.2366741456623096"/>
    <n v="41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1"/>
    <x v="3"/>
    <x v="9"/>
    <x v="2"/>
    <n v="2.7480942963188402"/>
    <n v="2E+20"/>
    <n v="0.81550916630264703"/>
    <n v="6.2008449272974397"/>
    <n v="44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2"/>
    <x v="3"/>
    <x v="9"/>
    <x v="2"/>
    <n v="2.3220935699991401"/>
    <n v="2E+20"/>
    <n v="1.6520700544039599"/>
    <n v="3.1003589346767102"/>
    <n v="28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3"/>
    <x v="3"/>
    <x v="9"/>
    <x v="2"/>
    <n v="2.5656311380373999"/>
    <n v="2E+20"/>
    <n v="0.70987986434442996"/>
    <n v="5.3469718732250699"/>
    <n v="37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4"/>
    <x v="3"/>
    <x v="9"/>
    <x v="2"/>
    <n v="2.9183818039721698"/>
    <n v="2E+20"/>
    <n v="1.07273328039281"/>
    <n v="6.7349763791412904"/>
    <n v="44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5"/>
    <x v="3"/>
    <x v="9"/>
    <x v="2"/>
    <n v="2.9954748452251798"/>
    <n v="2E+20"/>
    <n v="0.44789527807387203"/>
    <n v="5.9765819175763699"/>
    <n v="46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6"/>
    <x v="3"/>
    <x v="9"/>
    <x v="2"/>
    <n v="2.6084020215612602"/>
    <n v="2E+20"/>
    <n v="0.88005422647583498"/>
    <n v="5.78067344308357"/>
    <n v="36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7"/>
    <x v="3"/>
    <x v="9"/>
    <x v="2"/>
    <n v="2.6201114986254201"/>
    <n v="2E+20"/>
    <n v="1.1665879861064099"/>
    <n v="4.8238654016669802"/>
    <n v="31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8"/>
    <x v="3"/>
    <x v="9"/>
    <x v="2"/>
    <n v="3.6762693648511302"/>
    <n v="2E+20"/>
    <n v="0"/>
    <n v="8.5494543720663607"/>
    <n v="44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9"/>
    <x v="3"/>
    <x v="9"/>
    <x v="2"/>
    <n v="2.998014453823"/>
    <n v="2E+20"/>
    <n v="1.07317254429444"/>
    <n v="5.9373705403008401"/>
    <n v="32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0"/>
    <x v="3"/>
    <x v="9"/>
    <x v="2"/>
    <n v="3.08397864456323"/>
    <n v="2E+20"/>
    <n v="0.602865380176553"/>
    <n v="6.8850950997047704"/>
    <n v="42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1"/>
    <x v="3"/>
    <x v="9"/>
    <x v="2"/>
    <n v="3.24936939814951"/>
    <n v="2E+20"/>
    <n v="1.2765819450271501"/>
    <n v="6.9527416572043101"/>
    <n v="49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2"/>
    <x v="3"/>
    <x v="9"/>
    <x v="2"/>
    <n v="2.56378769848954"/>
    <n v="2E+20"/>
    <n v="0.91402969543097601"/>
    <n v="5.5120542600557796"/>
    <n v="34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3"/>
    <x v="3"/>
    <x v="9"/>
    <x v="2"/>
    <n v="2.75212927620866"/>
    <n v="2E+20"/>
    <n v="0.89178443796302498"/>
    <n v="8.3041784526601798"/>
    <n v="40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4"/>
    <x v="3"/>
    <x v="9"/>
    <x v="2"/>
    <n v="2.6893878120593602"/>
    <n v="2E+20"/>
    <n v="1.1491718479073101"/>
    <n v="4.39896017494425"/>
    <n v="39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5"/>
    <x v="3"/>
    <x v="9"/>
    <x v="2"/>
    <n v="3.2669644693151301"/>
    <n v="2E+20"/>
    <n v="0.91507331801898295"/>
    <n v="7.8655665454267902"/>
    <n v="35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6"/>
    <x v="3"/>
    <x v="9"/>
    <x v="2"/>
    <n v="3.2249043425227502"/>
    <n v="2E+20"/>
    <n v="6.42749072324591E-2"/>
    <n v="7.4046686941093602"/>
    <n v="45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7"/>
    <x v="3"/>
    <x v="9"/>
    <x v="2"/>
    <n v="3.09065313938095"/>
    <n v="2E+20"/>
    <n v="0.83804779629423398"/>
    <n v="9.8472072492780907"/>
    <n v="43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8"/>
    <x v="3"/>
    <x v="9"/>
    <x v="2"/>
    <n v="2.7401337874883498"/>
    <n v="2E+20"/>
    <n v="0.60115721419574797"/>
    <n v="5.8887423899940599"/>
    <n v="39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29"/>
    <x v="3"/>
    <x v="9"/>
    <x v="2"/>
    <n v="3.3889142621292998"/>
    <n v="2E+20"/>
    <n v="9.7367227721605304E-2"/>
    <n v="7.5503030181769804"/>
    <n v="47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30"/>
    <x v="3"/>
    <x v="9"/>
    <x v="2"/>
    <n v="2.84472559386285"/>
    <n v="2E+20"/>
    <n v="0.84230716801066796"/>
    <n v="6.2629956990440299"/>
    <n v="35"/>
    <s v="Pedido CleintesEntrega Pedido.Queue1Waiting TimeQueue"/>
    <n v="30"/>
    <n v="2.9173465758568971"/>
    <n v="0.34123184424372122"/>
    <n v="0.95"/>
    <n v="0.12741806469788963"/>
    <n v="2.3220935699991401"/>
    <n v="3.6762693648511302"/>
    <n v="0"/>
    <n v="11.0435763581718"/>
    <n v="38.93333333333333"/>
    <n v="0.12741806469788963"/>
    <n v="30"/>
    <n v="1"/>
  </r>
  <r>
    <x v="0"/>
    <s v="2025-05-21 19:18:09"/>
    <n v="1"/>
    <x v="4"/>
    <x v="9"/>
    <x v="2"/>
    <n v="0"/>
    <n v="2E+20"/>
    <n v="0"/>
    <n v="0"/>
    <n v="25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"/>
    <x v="4"/>
    <x v="9"/>
    <x v="2"/>
    <n v="0"/>
    <n v="2E+20"/>
    <n v="0"/>
    <n v="0"/>
    <n v="41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3"/>
    <x v="4"/>
    <x v="9"/>
    <x v="2"/>
    <n v="0"/>
    <n v="2E+20"/>
    <n v="0"/>
    <n v="0"/>
    <n v="47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4"/>
    <x v="4"/>
    <x v="9"/>
    <x v="2"/>
    <n v="0"/>
    <n v="2E+20"/>
    <n v="0"/>
    <n v="0"/>
    <n v="33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5"/>
    <x v="4"/>
    <x v="9"/>
    <x v="2"/>
    <n v="0"/>
    <n v="2E+20"/>
    <n v="0"/>
    <n v="0"/>
    <n v="45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6"/>
    <x v="4"/>
    <x v="9"/>
    <x v="2"/>
    <n v="0"/>
    <n v="2E+20"/>
    <n v="0"/>
    <n v="0"/>
    <n v="39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7"/>
    <x v="4"/>
    <x v="9"/>
    <x v="2"/>
    <n v="0"/>
    <n v="2E+20"/>
    <n v="0"/>
    <n v="0"/>
    <n v="38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8"/>
    <x v="4"/>
    <x v="9"/>
    <x v="2"/>
    <n v="0"/>
    <n v="2E+20"/>
    <n v="0"/>
    <n v="0"/>
    <n v="35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9"/>
    <x v="4"/>
    <x v="9"/>
    <x v="2"/>
    <n v="0"/>
    <n v="2E+20"/>
    <n v="0"/>
    <n v="0"/>
    <n v="34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0"/>
    <x v="4"/>
    <x v="9"/>
    <x v="2"/>
    <n v="0"/>
    <n v="2E+20"/>
    <n v="0"/>
    <n v="0"/>
    <n v="41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1"/>
    <x v="4"/>
    <x v="9"/>
    <x v="2"/>
    <n v="0"/>
    <n v="2E+20"/>
    <n v="0"/>
    <n v="0"/>
    <n v="44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2"/>
    <x v="4"/>
    <x v="9"/>
    <x v="2"/>
    <n v="0"/>
    <n v="2E+20"/>
    <n v="0"/>
    <n v="0"/>
    <n v="28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3"/>
    <x v="4"/>
    <x v="9"/>
    <x v="2"/>
    <n v="0"/>
    <n v="2E+20"/>
    <n v="0"/>
    <n v="0"/>
    <n v="37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4"/>
    <x v="4"/>
    <x v="9"/>
    <x v="2"/>
    <n v="0"/>
    <n v="2E+20"/>
    <n v="0"/>
    <n v="0"/>
    <n v="44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5"/>
    <x v="4"/>
    <x v="9"/>
    <x v="2"/>
    <n v="0"/>
    <n v="2E+20"/>
    <n v="0"/>
    <n v="0"/>
    <n v="46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6"/>
    <x v="4"/>
    <x v="9"/>
    <x v="2"/>
    <n v="0"/>
    <n v="2E+20"/>
    <n v="0"/>
    <n v="0"/>
    <n v="36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7"/>
    <x v="4"/>
    <x v="9"/>
    <x v="2"/>
    <n v="0"/>
    <n v="2E+20"/>
    <n v="0"/>
    <n v="0"/>
    <n v="31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8"/>
    <x v="4"/>
    <x v="9"/>
    <x v="2"/>
    <n v="8.4576406883549898E-4"/>
    <n v="2E+20"/>
    <n v="0"/>
    <n v="3.7213619028762003E-2"/>
    <n v="44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9"/>
    <x v="4"/>
    <x v="9"/>
    <x v="2"/>
    <n v="0"/>
    <n v="2E+20"/>
    <n v="0"/>
    <n v="0"/>
    <n v="32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0"/>
    <x v="4"/>
    <x v="9"/>
    <x v="2"/>
    <n v="0"/>
    <n v="2E+20"/>
    <n v="0"/>
    <n v="0"/>
    <n v="42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1"/>
    <x v="4"/>
    <x v="9"/>
    <x v="2"/>
    <n v="0"/>
    <n v="2E+20"/>
    <n v="0"/>
    <n v="0"/>
    <n v="49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2"/>
    <x v="4"/>
    <x v="9"/>
    <x v="2"/>
    <n v="0"/>
    <n v="2E+20"/>
    <n v="0"/>
    <n v="0"/>
    <n v="34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3"/>
    <x v="4"/>
    <x v="9"/>
    <x v="2"/>
    <n v="0"/>
    <n v="2E+20"/>
    <n v="0"/>
    <n v="0"/>
    <n v="40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4"/>
    <x v="4"/>
    <x v="9"/>
    <x v="2"/>
    <n v="0"/>
    <n v="2E+20"/>
    <n v="0"/>
    <n v="0"/>
    <n v="39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5"/>
    <x v="4"/>
    <x v="9"/>
    <x v="2"/>
    <n v="0"/>
    <n v="2E+20"/>
    <n v="0"/>
    <n v="0"/>
    <n v="35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6"/>
    <x v="4"/>
    <x v="9"/>
    <x v="2"/>
    <n v="0"/>
    <n v="2E+20"/>
    <n v="0"/>
    <n v="0"/>
    <n v="45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7"/>
    <x v="4"/>
    <x v="9"/>
    <x v="2"/>
    <n v="0"/>
    <n v="2E+20"/>
    <n v="0"/>
    <n v="0"/>
    <n v="43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8"/>
    <x v="4"/>
    <x v="9"/>
    <x v="2"/>
    <n v="0"/>
    <n v="2E+20"/>
    <n v="0"/>
    <n v="0"/>
    <n v="39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29"/>
    <x v="4"/>
    <x v="9"/>
    <x v="2"/>
    <n v="0"/>
    <n v="2E+20"/>
    <n v="0"/>
    <n v="0"/>
    <n v="47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30"/>
    <x v="4"/>
    <x v="9"/>
    <x v="2"/>
    <n v="0"/>
    <n v="2E+20"/>
    <n v="0"/>
    <n v="0"/>
    <n v="35"/>
    <s v="Pedido CleintesEntrega Pedido.Queue2Waiting TimeQueue"/>
    <n v="30"/>
    <n v="2.8192135627849965E-5"/>
    <n v="1.544146862761849E-4"/>
    <n v="0.95"/>
    <n v="5.7659391461104205E-5"/>
    <n v="0"/>
    <n v="8.4576406883549898E-4"/>
    <n v="0"/>
    <n v="3.7213619028762003E-2"/>
    <n v="38.93333333333333"/>
    <n v="5.7659391461104205E-5"/>
    <n v="30"/>
    <n v="1"/>
  </r>
  <r>
    <x v="0"/>
    <s v="2025-05-21 19:18:09"/>
    <n v="1"/>
    <x v="5"/>
    <x v="6"/>
    <x v="1"/>
    <n v="1.05364323748338"/>
    <n v="2E+20"/>
    <n v="0.66873080619410497"/>
    <n v="1.5029775905256899"/>
    <n v="26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"/>
    <x v="5"/>
    <x v="7"/>
    <x v="1"/>
    <n v="1.0040877603001599"/>
    <n v="2E+20"/>
    <n v="0.66873080619410497"/>
    <n v="1.3264847042121299"/>
    <n v="26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"/>
    <x v="5"/>
    <x v="8"/>
    <x v="1"/>
    <n v="4.9555477183221001E-2"/>
    <n v="2E+20"/>
    <n v="0"/>
    <n v="0.54562112350964298"/>
    <n v="26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"/>
    <x v="5"/>
    <x v="6"/>
    <x v="1"/>
    <n v="1.1539600797932501"/>
    <n v="2E+20"/>
    <n v="0.68321886816823996"/>
    <n v="2.0406175266893598"/>
    <n v="41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"/>
    <x v="5"/>
    <x v="7"/>
    <x v="1"/>
    <n v="1.03829988466526"/>
    <n v="2E+20"/>
    <n v="0.68321886816823996"/>
    <n v="1.32205929071108"/>
    <n v="41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"/>
    <x v="5"/>
    <x v="8"/>
    <x v="1"/>
    <n v="0.115660195127994"/>
    <n v="2E+20"/>
    <n v="0"/>
    <n v="0.81936615306581495"/>
    <n v="41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3"/>
    <x v="5"/>
    <x v="6"/>
    <x v="1"/>
    <n v="1.3954364053061299"/>
    <n v="2E+20"/>
    <n v="0.67777694132847399"/>
    <n v="4.1506309379140403"/>
    <n v="47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3"/>
    <x v="5"/>
    <x v="7"/>
    <x v="1"/>
    <n v="0.99450331769312095"/>
    <n v="2E+20"/>
    <n v="0.67777694132847399"/>
    <n v="1.31601869587661"/>
    <n v="47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3"/>
    <x v="5"/>
    <x v="8"/>
    <x v="1"/>
    <n v="0.400933087613008"/>
    <n v="2E+20"/>
    <n v="0"/>
    <n v="3.19299741817977"/>
    <n v="47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4"/>
    <x v="5"/>
    <x v="6"/>
    <x v="1"/>
    <n v="1.0467571203352399"/>
    <n v="2E+20"/>
    <n v="0.68472970287359702"/>
    <n v="1.90485669799656"/>
    <n v="33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4"/>
    <x v="5"/>
    <x v="7"/>
    <x v="1"/>
    <n v="0.99937055572259803"/>
    <n v="2E+20"/>
    <n v="0.68472970287359702"/>
    <n v="1.32338309984664"/>
    <n v="33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4"/>
    <x v="5"/>
    <x v="8"/>
    <x v="1"/>
    <n v="4.7386564612643102E-2"/>
    <n v="2E+20"/>
    <n v="0"/>
    <n v="0.99174815399776195"/>
    <n v="33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5"/>
    <x v="5"/>
    <x v="6"/>
    <x v="1"/>
    <n v="1.2102582285706101"/>
    <n v="2E+20"/>
    <n v="0.66998926628406297"/>
    <n v="3.01715846298214"/>
    <n v="46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5"/>
    <x v="5"/>
    <x v="7"/>
    <x v="1"/>
    <n v="0.96864790155887004"/>
    <n v="2E+20"/>
    <n v="0.66998926628406297"/>
    <n v="1.32578727069534"/>
    <n v="46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5"/>
    <x v="5"/>
    <x v="8"/>
    <x v="1"/>
    <n v="0.24161032701174501"/>
    <n v="2E+20"/>
    <n v="0"/>
    <n v="1.91154478279672"/>
    <n v="46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6"/>
    <x v="5"/>
    <x v="6"/>
    <x v="1"/>
    <n v="1.17136070987291"/>
    <n v="2E+20"/>
    <n v="0.66833348207836696"/>
    <n v="3.1251970433750702"/>
    <n v="39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6"/>
    <x v="5"/>
    <x v="7"/>
    <x v="1"/>
    <n v="1.0016696282666999"/>
    <n v="2E+20"/>
    <n v="0.66833348207836696"/>
    <n v="1.31001941575531"/>
    <n v="39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6"/>
    <x v="5"/>
    <x v="8"/>
    <x v="1"/>
    <n v="0.169691081606206"/>
    <n v="2E+20"/>
    <n v="0"/>
    <n v="2.2926430280432202"/>
    <n v="39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7"/>
    <x v="5"/>
    <x v="6"/>
    <x v="1"/>
    <n v="1.16449911028659"/>
    <n v="2E+20"/>
    <n v="0.67838189807918103"/>
    <n v="2.8098061866412101"/>
    <n v="38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7"/>
    <x v="5"/>
    <x v="7"/>
    <x v="1"/>
    <n v="0.97578740057255897"/>
    <n v="2E+20"/>
    <n v="0.67838189807918103"/>
    <n v="1.3054344536509499"/>
    <n v="38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7"/>
    <x v="5"/>
    <x v="8"/>
    <x v="1"/>
    <n v="0.188711709714035"/>
    <n v="2E+20"/>
    <n v="0"/>
    <n v="1.7707802369025001"/>
    <n v="38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8"/>
    <x v="5"/>
    <x v="6"/>
    <x v="1"/>
    <n v="1.3045079347339199"/>
    <n v="2E+20"/>
    <n v="0.67538129611747899"/>
    <n v="2.3630373750943199"/>
    <n v="36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8"/>
    <x v="5"/>
    <x v="7"/>
    <x v="1"/>
    <n v="1.00829421585964"/>
    <n v="2E+20"/>
    <n v="0.67538129611747899"/>
    <n v="1.30115138023952"/>
    <n v="36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8"/>
    <x v="5"/>
    <x v="8"/>
    <x v="1"/>
    <n v="0.296213718874276"/>
    <n v="2E+20"/>
    <n v="0"/>
    <n v="1.2815772132147201"/>
    <n v="36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9"/>
    <x v="5"/>
    <x v="6"/>
    <x v="1"/>
    <n v="1.0514883232169501"/>
    <n v="2E+20"/>
    <n v="0.67607267464026699"/>
    <n v="2.12214050847555"/>
    <n v="35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9"/>
    <x v="5"/>
    <x v="7"/>
    <x v="1"/>
    <n v="0.94670553782035205"/>
    <n v="2E+20"/>
    <n v="0.67607267464026699"/>
    <n v="1.2895986296995801"/>
    <n v="35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9"/>
    <x v="5"/>
    <x v="8"/>
    <x v="1"/>
    <n v="0.10478278539659799"/>
    <n v="2E+20"/>
    <n v="0"/>
    <n v="1.2312310406051701"/>
    <n v="35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0"/>
    <x v="5"/>
    <x v="6"/>
    <x v="1"/>
    <n v="1.1003260739971901"/>
    <n v="2E+20"/>
    <n v="0.67346969978461901"/>
    <n v="2.08659460954394"/>
    <n v="41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0"/>
    <x v="5"/>
    <x v="7"/>
    <x v="1"/>
    <n v="1.0147126660046599"/>
    <n v="2E+20"/>
    <n v="0.67346969978461901"/>
    <n v="1.3292309251790799"/>
    <n v="41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0"/>
    <x v="5"/>
    <x v="8"/>
    <x v="1"/>
    <n v="8.5613407992534502E-2"/>
    <n v="2E+20"/>
    <n v="0"/>
    <n v="0.75736368436486101"/>
    <n v="41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1"/>
    <x v="5"/>
    <x v="6"/>
    <x v="1"/>
    <n v="1.18394233399104"/>
    <n v="2E+20"/>
    <n v="0.67012360522581105"/>
    <n v="2.8254592273287602"/>
    <n v="45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1"/>
    <x v="5"/>
    <x v="7"/>
    <x v="1"/>
    <n v="1.0024079436176501"/>
    <n v="2E+20"/>
    <n v="0.67012360522581105"/>
    <n v="1.3249230965915"/>
    <n v="45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1"/>
    <x v="5"/>
    <x v="8"/>
    <x v="1"/>
    <n v="0.18153439037338301"/>
    <n v="2E+20"/>
    <n v="0"/>
    <n v="1.5140255971397201"/>
    <n v="45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2"/>
    <x v="5"/>
    <x v="6"/>
    <x v="1"/>
    <n v="1.00105179769245"/>
    <n v="2E+20"/>
    <n v="0.67819980060303897"/>
    <n v="1.3046888994704899"/>
    <n v="29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2"/>
    <x v="5"/>
    <x v="7"/>
    <x v="1"/>
    <n v="1.00105179769245"/>
    <n v="2E+20"/>
    <n v="0.67819980060303897"/>
    <n v="1.3046888994704899"/>
    <n v="29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2"/>
    <x v="5"/>
    <x v="8"/>
    <x v="1"/>
    <n v="0"/>
    <n v="2E+20"/>
    <n v="0"/>
    <n v="0"/>
    <n v="29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3"/>
    <x v="5"/>
    <x v="6"/>
    <x v="1"/>
    <n v="1.1501049809095301"/>
    <n v="2E+20"/>
    <n v="0.71136690459113805"/>
    <n v="1.99568080325029"/>
    <n v="38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3"/>
    <x v="5"/>
    <x v="7"/>
    <x v="1"/>
    <n v="1.00280765369881"/>
    <n v="2E+20"/>
    <n v="0.71136690459113805"/>
    <n v="1.32221464292988"/>
    <n v="38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3"/>
    <x v="5"/>
    <x v="8"/>
    <x v="1"/>
    <n v="0.147297327210718"/>
    <n v="2E+20"/>
    <n v="0"/>
    <n v="1.0966276193490201"/>
    <n v="38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4"/>
    <x v="5"/>
    <x v="6"/>
    <x v="1"/>
    <n v="1.2948566029134401"/>
    <n v="2E+20"/>
    <n v="0.698365402243041"/>
    <n v="3.2211867269644499"/>
    <n v="48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4"/>
    <x v="5"/>
    <x v="7"/>
    <x v="1"/>
    <n v="1.0110613696725099"/>
    <n v="2E+20"/>
    <n v="0.698365402243041"/>
    <n v="1.31333900735586"/>
    <n v="48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4"/>
    <x v="5"/>
    <x v="8"/>
    <x v="1"/>
    <n v="0.28379523324093497"/>
    <n v="2E+20"/>
    <n v="0"/>
    <n v="2.1095684939747099"/>
    <n v="48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5"/>
    <x v="5"/>
    <x v="6"/>
    <x v="1"/>
    <n v="1.2590863758761699"/>
    <n v="2E+20"/>
    <n v="0.66778756668036698"/>
    <n v="3.4694708729501502"/>
    <n v="46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5"/>
    <x v="5"/>
    <x v="7"/>
    <x v="1"/>
    <n v="1.02204305116399"/>
    <n v="2E+20"/>
    <n v="0.66778756668036698"/>
    <n v="1.3316418608448299"/>
    <n v="46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5"/>
    <x v="5"/>
    <x v="8"/>
    <x v="1"/>
    <n v="0.23704332471218201"/>
    <n v="2E+20"/>
    <n v="0"/>
    <n v="2.24424714214953"/>
    <n v="46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6"/>
    <x v="5"/>
    <x v="6"/>
    <x v="1"/>
    <n v="1.11474624164749"/>
    <n v="2E+20"/>
    <n v="0.68053161808393303"/>
    <n v="1.9871373113492601"/>
    <n v="36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6"/>
    <x v="5"/>
    <x v="7"/>
    <x v="1"/>
    <n v="1.0149035756959199"/>
    <n v="2E+20"/>
    <n v="0.68053161808393303"/>
    <n v="1.32434713563926"/>
    <n v="36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6"/>
    <x v="5"/>
    <x v="8"/>
    <x v="1"/>
    <n v="9.9842665951570098E-2"/>
    <n v="2E+20"/>
    <n v="0"/>
    <n v="0.88359831546645795"/>
    <n v="36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7"/>
    <x v="5"/>
    <x v="6"/>
    <x v="1"/>
    <n v="1.0921014273560701"/>
    <n v="2E+20"/>
    <n v="0.67382252126984099"/>
    <n v="1.7913168738585299"/>
    <n v="33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7"/>
    <x v="5"/>
    <x v="7"/>
    <x v="1"/>
    <n v="0.98369691727342601"/>
    <n v="2E+20"/>
    <n v="0.67382252126984099"/>
    <n v="1.320539161406"/>
    <n v="33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7"/>
    <x v="5"/>
    <x v="8"/>
    <x v="1"/>
    <n v="0.10840451008264"/>
    <n v="2E+20"/>
    <n v="0"/>
    <n v="0.80449345903841196"/>
    <n v="33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8"/>
    <x v="5"/>
    <x v="6"/>
    <x v="1"/>
    <n v="1.35806279348973"/>
    <n v="2E+20"/>
    <n v="0.66686181399057898"/>
    <n v="4.0023700276815104"/>
    <n v="44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8"/>
    <x v="5"/>
    <x v="7"/>
    <x v="1"/>
    <n v="0.93439199770167003"/>
    <n v="2E+20"/>
    <n v="0.66686181399057898"/>
    <n v="1.3301564394502601"/>
    <n v="44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8"/>
    <x v="5"/>
    <x v="8"/>
    <x v="1"/>
    <n v="0.423670795788058"/>
    <n v="2E+20"/>
    <n v="0"/>
    <n v="2.9513852267355798"/>
    <n v="44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9"/>
    <x v="5"/>
    <x v="6"/>
    <x v="1"/>
    <n v="1.2990721755946399"/>
    <n v="2E+20"/>
    <n v="0.71844581533733298"/>
    <n v="2.9337623401419202"/>
    <n v="33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19"/>
    <x v="5"/>
    <x v="7"/>
    <x v="1"/>
    <n v="1.07209969553912"/>
    <n v="2E+20"/>
    <n v="0.69883602470858397"/>
    <n v="1.32735611407182"/>
    <n v="33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19"/>
    <x v="5"/>
    <x v="8"/>
    <x v="1"/>
    <n v="0.22697248005552001"/>
    <n v="2E+20"/>
    <n v="0"/>
    <n v="1.71074320892841"/>
    <n v="33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0"/>
    <x v="5"/>
    <x v="6"/>
    <x v="1"/>
    <n v="1.2380886965270099"/>
    <n v="2E+20"/>
    <n v="0.68376786360536801"/>
    <n v="2.1650138412401101"/>
    <n v="42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0"/>
    <x v="5"/>
    <x v="7"/>
    <x v="1"/>
    <n v="1.0358703581790201"/>
    <n v="2E+20"/>
    <n v="0.68376786360536801"/>
    <n v="1.3250680297937301"/>
    <n v="42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0"/>
    <x v="5"/>
    <x v="8"/>
    <x v="1"/>
    <n v="0.20221833834799099"/>
    <n v="2E+20"/>
    <n v="0"/>
    <n v="1.1325382542042799"/>
    <n v="42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1"/>
    <x v="5"/>
    <x v="6"/>
    <x v="1"/>
    <n v="1.1456354028576601"/>
    <n v="2E+20"/>
    <n v="0.67603111809364003"/>
    <n v="2.2736403953258599"/>
    <n v="49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1"/>
    <x v="5"/>
    <x v="7"/>
    <x v="1"/>
    <n v="0.98688792801316005"/>
    <n v="2E+20"/>
    <n v="0.67603111809364003"/>
    <n v="1.32855421498755"/>
    <n v="49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1"/>
    <x v="5"/>
    <x v="8"/>
    <x v="1"/>
    <n v="0.1587474748445"/>
    <n v="2E+20"/>
    <n v="0"/>
    <n v="1.4369105193560301"/>
    <n v="49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2"/>
    <x v="5"/>
    <x v="6"/>
    <x v="1"/>
    <n v="1.1612628149509701"/>
    <n v="2E+20"/>
    <n v="0.67021125230800704"/>
    <n v="2.6370445440118102"/>
    <n v="34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2"/>
    <x v="5"/>
    <x v="7"/>
    <x v="1"/>
    <n v="0.99572697447765102"/>
    <n v="2E+20"/>
    <n v="0.67021125230800704"/>
    <n v="1.32148181511781"/>
    <n v="34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2"/>
    <x v="5"/>
    <x v="8"/>
    <x v="1"/>
    <n v="0.16553584047332001"/>
    <n v="2E+20"/>
    <n v="0"/>
    <n v="1.75557526412083"/>
    <n v="34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3"/>
    <x v="5"/>
    <x v="6"/>
    <x v="1"/>
    <n v="1.2801701140717401"/>
    <n v="2E+20"/>
    <n v="0.69797478333970298"/>
    <n v="4.0245986799727396"/>
    <n v="43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3"/>
    <x v="5"/>
    <x v="7"/>
    <x v="1"/>
    <n v="1.02786722816153"/>
    <n v="2E+20"/>
    <n v="0.69797478333970298"/>
    <n v="1.32637120330355"/>
    <n v="43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3"/>
    <x v="5"/>
    <x v="8"/>
    <x v="1"/>
    <n v="0.25230288591021099"/>
    <n v="2E+20"/>
    <n v="0"/>
    <n v="3.18582228215026"/>
    <n v="43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4"/>
    <x v="5"/>
    <x v="6"/>
    <x v="1"/>
    <n v="1.1098781240044899"/>
    <n v="2E+20"/>
    <n v="0.67605625433593297"/>
    <n v="2.1710465303897601"/>
    <n v="40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4"/>
    <x v="5"/>
    <x v="7"/>
    <x v="1"/>
    <n v="1.0303695742694099"/>
    <n v="2E+20"/>
    <n v="0.67605625433593297"/>
    <n v="1.3228091145401"/>
    <n v="40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4"/>
    <x v="5"/>
    <x v="8"/>
    <x v="1"/>
    <n v="7.9508549735074402E-2"/>
    <n v="2E+20"/>
    <n v="0"/>
    <n v="1.2257929851467999"/>
    <n v="40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5"/>
    <x v="5"/>
    <x v="6"/>
    <x v="1"/>
    <n v="1.2109586469211999"/>
    <n v="2E+20"/>
    <n v="0.68872210816704205"/>
    <n v="2.3470401377050401"/>
    <n v="35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5"/>
    <x v="5"/>
    <x v="7"/>
    <x v="1"/>
    <n v="1.0367942647574999"/>
    <n v="2E+20"/>
    <n v="0.68872210816704205"/>
    <n v="1.3265131727267501"/>
    <n v="35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5"/>
    <x v="5"/>
    <x v="8"/>
    <x v="1"/>
    <n v="0.174164382163707"/>
    <n v="2E+20"/>
    <n v="0"/>
    <n v="1.21901637317741"/>
    <n v="35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6"/>
    <x v="5"/>
    <x v="6"/>
    <x v="1"/>
    <n v="1.3800427893077201"/>
    <n v="2E+20"/>
    <n v="0.68750958059825995"/>
    <n v="2.9973537017810901"/>
    <n v="45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6"/>
    <x v="5"/>
    <x v="7"/>
    <x v="1"/>
    <n v="1.02841909697977"/>
    <n v="2E+20"/>
    <n v="0.68750958059825995"/>
    <n v="1.32748181049487"/>
    <n v="45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6"/>
    <x v="5"/>
    <x v="8"/>
    <x v="1"/>
    <n v="0.35162369232795398"/>
    <n v="2E+20"/>
    <n v="0"/>
    <n v="1.8197121460958099"/>
    <n v="45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7"/>
    <x v="5"/>
    <x v="6"/>
    <x v="1"/>
    <n v="1.3338019946303901"/>
    <n v="2E+20"/>
    <n v="0.68166103147292001"/>
    <n v="3.6707749448985099"/>
    <n v="46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7"/>
    <x v="5"/>
    <x v="7"/>
    <x v="1"/>
    <n v="1.00802588509983"/>
    <n v="2E+20"/>
    <n v="0.68166103147292001"/>
    <n v="1.33298858408691"/>
    <n v="46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7"/>
    <x v="5"/>
    <x v="8"/>
    <x v="1"/>
    <n v="0.32577610953055502"/>
    <n v="2E+20"/>
    <n v="0"/>
    <n v="2.72390413286303"/>
    <n v="46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8"/>
    <x v="5"/>
    <x v="6"/>
    <x v="1"/>
    <n v="1.1624360079326901"/>
    <n v="2E+20"/>
    <n v="0.72145081143435197"/>
    <n v="2.3414589774518801"/>
    <n v="39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8"/>
    <x v="5"/>
    <x v="7"/>
    <x v="1"/>
    <n v="0.99090482854665596"/>
    <n v="2E+20"/>
    <n v="0.681130358566577"/>
    <n v="1.31726969483061"/>
    <n v="39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8"/>
    <x v="5"/>
    <x v="8"/>
    <x v="1"/>
    <n v="0.17153117938603499"/>
    <n v="2E+20"/>
    <n v="0"/>
    <n v="1.3386129386459"/>
    <n v="39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29"/>
    <x v="5"/>
    <x v="6"/>
    <x v="1"/>
    <n v="1.2353165149054499"/>
    <n v="2E+20"/>
    <n v="0.66878478161742505"/>
    <n v="2.83863658701513"/>
    <n v="48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29"/>
    <x v="5"/>
    <x v="7"/>
    <x v="1"/>
    <n v="1.0147164331362699"/>
    <n v="2E+20"/>
    <n v="0.66878478161742505"/>
    <n v="1.3326590315421101"/>
    <n v="48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29"/>
    <x v="5"/>
    <x v="8"/>
    <x v="1"/>
    <n v="0.220600081769177"/>
    <n v="2E+20"/>
    <n v="0"/>
    <n v="1.74933888766196"/>
    <n v="48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30"/>
    <x v="5"/>
    <x v="6"/>
    <x v="1"/>
    <n v="1.25799490540096"/>
    <n v="2E+20"/>
    <n v="0.68446110477339095"/>
    <n v="4.1908575360205598"/>
    <n v="35"/>
    <s v="Pedido CleintesOrdnesTotal Time Per EntityProcess"/>
    <n v="30"/>
    <n v="1.1973615988192337"/>
    <n v="0.10431229158212847"/>
    <n v="0.95"/>
    <n v="3.8950849816067064E-2"/>
    <n v="1.00105179769245"/>
    <n v="1.3954364053061299"/>
    <n v="0.66686181399057898"/>
    <n v="4.1908575360205598"/>
    <n v="39.666666666666664"/>
    <n v="3.8950849816067064E-2"/>
    <n v="30"/>
    <n v="1"/>
  </r>
  <r>
    <x v="0"/>
    <s v="2025-05-21 19:18:09"/>
    <n v="30"/>
    <x v="5"/>
    <x v="7"/>
    <x v="1"/>
    <n v="1.0144594598657199"/>
    <n v="2E+20"/>
    <n v="0.68446110477339095"/>
    <n v="1.3216765087323801"/>
    <n v="35"/>
    <s v="Pedido CleintesOrdnesVA Time Per EntityProcess"/>
    <n v="30"/>
    <n v="1.0055528300668661"/>
    <n v="2.742416633794929E-2"/>
    <n v="0.95"/>
    <n v="1.0240352006065174E-2"/>
    <n v="0.93439199770167003"/>
    <n v="1.07209969553912"/>
    <n v="0.66686181399057898"/>
    <n v="1.33298858408691"/>
    <n v="39.666666666666664"/>
    <n v="1.0240352006065174E-2"/>
    <n v="30"/>
    <n v="1"/>
  </r>
  <r>
    <x v="0"/>
    <s v="2025-05-21 19:18:09"/>
    <n v="30"/>
    <x v="5"/>
    <x v="8"/>
    <x v="1"/>
    <n v="0.24353544553523901"/>
    <n v="2E+20"/>
    <n v="0"/>
    <n v="3.4323212298415702"/>
    <n v="35"/>
    <s v="Pedido CleintesOrdnesWait Time Per EntityProcess"/>
    <n v="30"/>
    <n v="0.19180876875236769"/>
    <n v="0.103228745315481"/>
    <n v="0.95"/>
    <n v="3.854624699063957E-2"/>
    <n v="0"/>
    <n v="0.423670795788058"/>
    <n v="0"/>
    <n v="3.4323212298415702"/>
    <n v="39.666666666666664"/>
    <n v="3.854624699063957E-2"/>
    <n v="30"/>
    <n v="1"/>
  </r>
  <r>
    <x v="0"/>
    <s v="2025-05-21 19:18:09"/>
    <n v="1"/>
    <x v="6"/>
    <x v="9"/>
    <x v="2"/>
    <n v="5.5640609447438802E-2"/>
    <n v="2E+20"/>
    <n v="0"/>
    <n v="0.54562112350964298"/>
    <n v="27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"/>
    <x v="6"/>
    <x v="9"/>
    <x v="2"/>
    <n v="0.115660195127994"/>
    <n v="2E+20"/>
    <n v="0"/>
    <n v="0.81936615306581495"/>
    <n v="41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3"/>
    <x v="6"/>
    <x v="9"/>
    <x v="2"/>
    <n v="0.400933087613008"/>
    <n v="2E+20"/>
    <n v="0"/>
    <n v="3.19299741817977"/>
    <n v="47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4"/>
    <x v="6"/>
    <x v="9"/>
    <x v="2"/>
    <n v="4.7386564612643102E-2"/>
    <n v="2E+20"/>
    <n v="0"/>
    <n v="0.99174815399776195"/>
    <n v="33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5"/>
    <x v="6"/>
    <x v="9"/>
    <x v="2"/>
    <n v="0.24161032701174501"/>
    <n v="2E+20"/>
    <n v="0"/>
    <n v="1.91154478279672"/>
    <n v="46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6"/>
    <x v="6"/>
    <x v="9"/>
    <x v="2"/>
    <n v="0.169691081606206"/>
    <n v="2E+20"/>
    <n v="0"/>
    <n v="2.2926430280432202"/>
    <n v="39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7"/>
    <x v="6"/>
    <x v="9"/>
    <x v="2"/>
    <n v="0.188711709714035"/>
    <n v="2E+20"/>
    <n v="0"/>
    <n v="1.7707802369025001"/>
    <n v="38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8"/>
    <x v="6"/>
    <x v="9"/>
    <x v="2"/>
    <n v="0.30818958509302302"/>
    <n v="2E+20"/>
    <n v="0"/>
    <n v="1.2815772132147201"/>
    <n v="37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9"/>
    <x v="6"/>
    <x v="9"/>
    <x v="2"/>
    <n v="0.10478278539659799"/>
    <n v="2E+20"/>
    <n v="0"/>
    <n v="1.2312310406051701"/>
    <n v="35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0"/>
    <x v="6"/>
    <x v="9"/>
    <x v="2"/>
    <n v="8.5613407992534502E-2"/>
    <n v="2E+20"/>
    <n v="0"/>
    <n v="0.75736368436486101"/>
    <n v="41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1"/>
    <x v="6"/>
    <x v="9"/>
    <x v="2"/>
    <n v="0.18153439037338301"/>
    <n v="2E+20"/>
    <n v="0"/>
    <n v="1.5140255971397201"/>
    <n v="45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2"/>
    <x v="6"/>
    <x v="9"/>
    <x v="2"/>
    <n v="0"/>
    <n v="2E+20"/>
    <n v="0"/>
    <n v="0"/>
    <n v="29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3"/>
    <x v="6"/>
    <x v="9"/>
    <x v="2"/>
    <n v="0.147297327210718"/>
    <n v="2E+20"/>
    <n v="0"/>
    <n v="1.0966276193490201"/>
    <n v="38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4"/>
    <x v="6"/>
    <x v="9"/>
    <x v="2"/>
    <n v="0.297573314001982"/>
    <n v="2E+20"/>
    <n v="0"/>
    <n v="2.1095684939747099"/>
    <n v="49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5"/>
    <x v="6"/>
    <x v="9"/>
    <x v="2"/>
    <n v="0.23199984971830601"/>
    <n v="2E+20"/>
    <n v="0"/>
    <n v="2.24424714214953"/>
    <n v="47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6"/>
    <x v="6"/>
    <x v="9"/>
    <x v="2"/>
    <n v="9.7144215520446497E-2"/>
    <n v="2E+20"/>
    <n v="0"/>
    <n v="0.88359831546645795"/>
    <n v="37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7"/>
    <x v="6"/>
    <x v="9"/>
    <x v="2"/>
    <n v="0.10840451008264"/>
    <n v="2E+20"/>
    <n v="0"/>
    <n v="0.80449345903841196"/>
    <n v="33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8"/>
    <x v="6"/>
    <x v="9"/>
    <x v="2"/>
    <n v="0.423670795788058"/>
    <n v="2E+20"/>
    <n v="0"/>
    <n v="2.9513852267355798"/>
    <n v="44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9"/>
    <x v="6"/>
    <x v="9"/>
    <x v="2"/>
    <n v="0.22697248005552001"/>
    <n v="2E+20"/>
    <n v="0"/>
    <n v="1.71074320892841"/>
    <n v="33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0"/>
    <x v="6"/>
    <x v="9"/>
    <x v="2"/>
    <n v="0.20221833834799099"/>
    <n v="2E+20"/>
    <n v="0"/>
    <n v="1.1325382542042799"/>
    <n v="42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1"/>
    <x v="6"/>
    <x v="9"/>
    <x v="2"/>
    <n v="0.1587474748445"/>
    <n v="2E+20"/>
    <n v="0"/>
    <n v="1.4369105193560301"/>
    <n v="49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2"/>
    <x v="6"/>
    <x v="9"/>
    <x v="2"/>
    <n v="0.16553584047332001"/>
    <n v="2E+20"/>
    <n v="0"/>
    <n v="1.75557526412083"/>
    <n v="34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3"/>
    <x v="6"/>
    <x v="9"/>
    <x v="2"/>
    <n v="0.25230288591021099"/>
    <n v="2E+20"/>
    <n v="0"/>
    <n v="3.18582228215026"/>
    <n v="43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4"/>
    <x v="6"/>
    <x v="9"/>
    <x v="2"/>
    <n v="7.9210599219190797E-2"/>
    <n v="2E+20"/>
    <n v="0"/>
    <n v="1.2257929851467999"/>
    <n v="41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5"/>
    <x v="6"/>
    <x v="9"/>
    <x v="2"/>
    <n v="0.174164382163707"/>
    <n v="2E+20"/>
    <n v="0"/>
    <n v="1.21901637317741"/>
    <n v="35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6"/>
    <x v="6"/>
    <x v="9"/>
    <x v="2"/>
    <n v="0.35162369232795398"/>
    <n v="2E+20"/>
    <n v="0"/>
    <n v="1.8197121460958099"/>
    <n v="45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7"/>
    <x v="6"/>
    <x v="9"/>
    <x v="2"/>
    <n v="0.34531267735813798"/>
    <n v="2E+20"/>
    <n v="0"/>
    <n v="2.72390413286303"/>
    <n v="47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8"/>
    <x v="6"/>
    <x v="9"/>
    <x v="2"/>
    <n v="0.17153117938603499"/>
    <n v="2E+20"/>
    <n v="0"/>
    <n v="1.3386129386459"/>
    <n v="39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29"/>
    <x v="6"/>
    <x v="9"/>
    <x v="2"/>
    <n v="0.220600081769177"/>
    <n v="2E+20"/>
    <n v="0"/>
    <n v="1.74933888766196"/>
    <n v="48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30"/>
    <x v="6"/>
    <x v="9"/>
    <x v="2"/>
    <n v="0.24353544553523901"/>
    <n v="2E+20"/>
    <n v="0"/>
    <n v="3.4323212298415702"/>
    <n v="35"/>
    <s v="Pedido CleintesOrdnes.QueueWaiting TimeQueue"/>
    <n v="30"/>
    <n v="0.19325329445672476"/>
    <n v="0.10478169799096031"/>
    <n v="0.95"/>
    <n v="3.9126129049758457E-2"/>
    <n v="0"/>
    <n v="0.423670795788058"/>
    <n v="0"/>
    <n v="3.4323212298415702"/>
    <n v="39.9"/>
    <n v="3.9126129049758457E-2"/>
    <n v="30"/>
    <n v="1"/>
  </r>
  <r>
    <x v="0"/>
    <s v="2025-05-21 19:18:09"/>
    <n v="1"/>
    <x v="7"/>
    <x v="6"/>
    <x v="1"/>
    <n v="0.89576353228166405"/>
    <n v="2E+20"/>
    <n v="0.428617818086515"/>
    <n v="2.0169480983265999"/>
    <n v="26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"/>
    <x v="7"/>
    <x v="7"/>
    <x v="1"/>
    <n v="0.75281577888035101"/>
    <n v="2E+20"/>
    <n v="0.428617818086515"/>
    <n v="1.0665882435860801"/>
    <n v="26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"/>
    <x v="7"/>
    <x v="8"/>
    <x v="1"/>
    <n v="0.14294775340131299"/>
    <n v="2E+20"/>
    <n v="0"/>
    <n v="1.02581914731135"/>
    <n v="26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"/>
    <x v="7"/>
    <x v="6"/>
    <x v="1"/>
    <n v="0.97294036355139901"/>
    <n v="2E+20"/>
    <n v="0.48332694264408399"/>
    <n v="1.9760591945369601"/>
    <n v="41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"/>
    <x v="7"/>
    <x v="7"/>
    <x v="1"/>
    <n v="0.73955114505032504"/>
    <n v="2E+20"/>
    <n v="0.468763276210098"/>
    <n v="1.0439431461895501"/>
    <n v="41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"/>
    <x v="7"/>
    <x v="8"/>
    <x v="1"/>
    <n v="0.233389218501074"/>
    <n v="2E+20"/>
    <n v="0"/>
    <n v="1.22125137362355"/>
    <n v="41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3"/>
    <x v="7"/>
    <x v="6"/>
    <x v="1"/>
    <n v="1.4217069074945501"/>
    <n v="2E+20"/>
    <n v="0.44115502910023002"/>
    <n v="3.4884455562185401"/>
    <n v="47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3"/>
    <x v="7"/>
    <x v="7"/>
    <x v="1"/>
    <n v="0.78009542275253596"/>
    <n v="2E+20"/>
    <n v="0.44115502910023002"/>
    <n v="1.07310198663306"/>
    <n v="47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3"/>
    <x v="7"/>
    <x v="8"/>
    <x v="1"/>
    <n v="0.64161148474201402"/>
    <n v="2E+20"/>
    <n v="0"/>
    <n v="2.7921282585527498"/>
    <n v="47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4"/>
    <x v="7"/>
    <x v="6"/>
    <x v="1"/>
    <n v="0.84925429463000901"/>
    <n v="2E+20"/>
    <n v="0.41857551264863002"/>
    <n v="2.1041180235358601"/>
    <n v="33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4"/>
    <x v="7"/>
    <x v="7"/>
    <x v="1"/>
    <n v="0.69500572513110004"/>
    <n v="2E+20"/>
    <n v="0.41857551264863002"/>
    <n v="1.07901258109222"/>
    <n v="33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4"/>
    <x v="7"/>
    <x v="8"/>
    <x v="1"/>
    <n v="0.154248569498909"/>
    <n v="2E+20"/>
    <n v="0"/>
    <n v="1.2183593939921"/>
    <n v="33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5"/>
    <x v="7"/>
    <x v="6"/>
    <x v="1"/>
    <n v="1.1421125344971099"/>
    <n v="2E+20"/>
    <n v="0.42686316932809398"/>
    <n v="3.2899173740513401"/>
    <n v="46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5"/>
    <x v="7"/>
    <x v="7"/>
    <x v="1"/>
    <n v="0.70431775109834605"/>
    <n v="2E+20"/>
    <n v="0.42686316932809398"/>
    <n v="1.0748637437113899"/>
    <n v="46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5"/>
    <x v="7"/>
    <x v="8"/>
    <x v="1"/>
    <n v="0.43779478339876099"/>
    <n v="2E+20"/>
    <n v="0"/>
    <n v="2.8278524290315099"/>
    <n v="46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6"/>
    <x v="7"/>
    <x v="6"/>
    <x v="1"/>
    <n v="0.90276257554517503"/>
    <n v="2E+20"/>
    <n v="0.44410974293379202"/>
    <n v="3.0854967685188499"/>
    <n v="39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6"/>
    <x v="7"/>
    <x v="7"/>
    <x v="1"/>
    <n v="0.70367036906735903"/>
    <n v="2E+20"/>
    <n v="0.44410974293379202"/>
    <n v="1.073416574686"/>
    <n v="39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6"/>
    <x v="7"/>
    <x v="8"/>
    <x v="1"/>
    <n v="0.199092206477816"/>
    <n v="2E+20"/>
    <n v="0"/>
    <n v="2.6193087530210999"/>
    <n v="39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7"/>
    <x v="7"/>
    <x v="6"/>
    <x v="1"/>
    <n v="0.89854163326315695"/>
    <n v="2E+20"/>
    <n v="0.478963204897013"/>
    <n v="2.2946588577276699"/>
    <n v="38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7"/>
    <x v="7"/>
    <x v="7"/>
    <x v="1"/>
    <n v="0.77273144369879598"/>
    <n v="2E+20"/>
    <n v="0.478963204897013"/>
    <n v="1.07645708847858"/>
    <n v="38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7"/>
    <x v="7"/>
    <x v="8"/>
    <x v="1"/>
    <n v="0.12581018956436099"/>
    <n v="2E+20"/>
    <n v="0"/>
    <n v="1.6778654099730499"/>
    <n v="38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8"/>
    <x v="7"/>
    <x v="6"/>
    <x v="1"/>
    <n v="1.30244162909924"/>
    <n v="2E+20"/>
    <n v="0.45245001018327002"/>
    <n v="3.0653485340278599"/>
    <n v="36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8"/>
    <x v="7"/>
    <x v="7"/>
    <x v="1"/>
    <n v="0.80880755359712897"/>
    <n v="2E+20"/>
    <n v="0.43035953651690301"/>
    <n v="1.0828879284455699"/>
    <n v="36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8"/>
    <x v="7"/>
    <x v="8"/>
    <x v="1"/>
    <n v="0.49363407550211003"/>
    <n v="2E+20"/>
    <n v="0"/>
    <n v="2.1156431861267002"/>
    <n v="36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9"/>
    <x v="7"/>
    <x v="6"/>
    <x v="1"/>
    <n v="0.95596517090875499"/>
    <n v="2E+20"/>
    <n v="0.43154339068008302"/>
    <n v="2.0879024815602101"/>
    <n v="35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9"/>
    <x v="7"/>
    <x v="7"/>
    <x v="1"/>
    <n v="0.71998879304688801"/>
    <n v="2E+20"/>
    <n v="0.43154339068008302"/>
    <n v="1.0725137089391701"/>
    <n v="35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9"/>
    <x v="7"/>
    <x v="8"/>
    <x v="1"/>
    <n v="0.23597637786186701"/>
    <n v="2E+20"/>
    <n v="0"/>
    <n v="1.1632963437111199"/>
    <n v="35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0"/>
    <x v="7"/>
    <x v="6"/>
    <x v="1"/>
    <n v="0.99074999173684697"/>
    <n v="2E+20"/>
    <n v="0.42065101803731902"/>
    <n v="2.35502882777971"/>
    <n v="41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0"/>
    <x v="7"/>
    <x v="7"/>
    <x v="1"/>
    <n v="0.74823761747607398"/>
    <n v="2E+20"/>
    <n v="0.42065101803731902"/>
    <n v="1.0804635672985801"/>
    <n v="41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0"/>
    <x v="7"/>
    <x v="8"/>
    <x v="1"/>
    <n v="0.24251237426077299"/>
    <n v="2E+20"/>
    <n v="0"/>
    <n v="1.3292309251790799"/>
    <n v="41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1"/>
    <x v="7"/>
    <x v="6"/>
    <x v="1"/>
    <n v="1.04435103292901"/>
    <n v="2E+20"/>
    <n v="0.44402248762796898"/>
    <n v="2.8869538368983299"/>
    <n v="44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1"/>
    <x v="7"/>
    <x v="7"/>
    <x v="1"/>
    <n v="0.72494611947122201"/>
    <n v="2E+20"/>
    <n v="0.44402248762796898"/>
    <n v="1.03711728930338"/>
    <n v="44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1"/>
    <x v="7"/>
    <x v="8"/>
    <x v="1"/>
    <n v="0.31940491345778599"/>
    <n v="2E+20"/>
    <n v="0"/>
    <n v="2.3620403858948902"/>
    <n v="44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2"/>
    <x v="7"/>
    <x v="6"/>
    <x v="1"/>
    <n v="0.73683357844020803"/>
    <n v="2E+20"/>
    <n v="0.43204414950386599"/>
    <n v="1.0815709915396401"/>
    <n v="29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2"/>
    <x v="7"/>
    <x v="7"/>
    <x v="1"/>
    <n v="0.73683357844020803"/>
    <n v="2E+20"/>
    <n v="0.43204414950386599"/>
    <n v="1.0815709915396401"/>
    <n v="29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2"/>
    <x v="7"/>
    <x v="8"/>
    <x v="1"/>
    <n v="0"/>
    <n v="2E+20"/>
    <n v="0"/>
    <n v="0"/>
    <n v="29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3"/>
    <x v="7"/>
    <x v="6"/>
    <x v="1"/>
    <n v="0.97130399697423198"/>
    <n v="2E+20"/>
    <n v="0.42237485134810998"/>
    <n v="2.0999578373680099"/>
    <n v="38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3"/>
    <x v="7"/>
    <x v="7"/>
    <x v="1"/>
    <n v="0.74190139217237405"/>
    <n v="2E+20"/>
    <n v="0.42237485134810998"/>
    <n v="1.05703910157035"/>
    <n v="38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3"/>
    <x v="7"/>
    <x v="8"/>
    <x v="1"/>
    <n v="0.22940260480185801"/>
    <n v="2E+20"/>
    <n v="0"/>
    <n v="1.12079811241637"/>
    <n v="38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4"/>
    <x v="7"/>
    <x v="6"/>
    <x v="1"/>
    <n v="1.1845856654373601"/>
    <n v="2E+20"/>
    <n v="0.44966271540526698"/>
    <n v="3.1790087354981398"/>
    <n v="47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4"/>
    <x v="7"/>
    <x v="7"/>
    <x v="1"/>
    <n v="0.77526221732710099"/>
    <n v="2E+20"/>
    <n v="0.42913452487884002"/>
    <n v="1.0768769998066099"/>
    <n v="47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4"/>
    <x v="7"/>
    <x v="8"/>
    <x v="1"/>
    <n v="0.409323448110261"/>
    <n v="2E+20"/>
    <n v="0"/>
    <n v="2.5369350358112901"/>
    <n v="47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5"/>
    <x v="7"/>
    <x v="6"/>
    <x v="1"/>
    <n v="1.1361728303671701"/>
    <n v="2E+20"/>
    <n v="0.45440512768784902"/>
    <n v="2.8189618754347499"/>
    <n v="46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5"/>
    <x v="7"/>
    <x v="7"/>
    <x v="1"/>
    <n v="0.71407393586413603"/>
    <n v="2E+20"/>
    <n v="0.41711618986306598"/>
    <n v="1.07296184136044"/>
    <n v="46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5"/>
    <x v="7"/>
    <x v="8"/>
    <x v="1"/>
    <n v="0.422098894503039"/>
    <n v="2E+20"/>
    <n v="0"/>
    <n v="2.29818557216106"/>
    <n v="46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6"/>
    <x v="7"/>
    <x v="6"/>
    <x v="1"/>
    <n v="0.98307148154738699"/>
    <n v="2E+20"/>
    <n v="0.42357130739288401"/>
    <n v="2.04855850456874"/>
    <n v="36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6"/>
    <x v="7"/>
    <x v="7"/>
    <x v="1"/>
    <n v="0.72874989760337505"/>
    <n v="2E+20"/>
    <n v="0.42357130739288401"/>
    <n v="1.08231028599032"/>
    <n v="36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6"/>
    <x v="7"/>
    <x v="8"/>
    <x v="1"/>
    <n v="0.254321583944012"/>
    <n v="2E+20"/>
    <n v="0"/>
    <n v="1.26778760171362"/>
    <n v="36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7"/>
    <x v="7"/>
    <x v="6"/>
    <x v="1"/>
    <n v="0.90958256713775498"/>
    <n v="2E+20"/>
    <n v="0.44857767845258001"/>
    <n v="1.8411509816187099"/>
    <n v="32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7"/>
    <x v="7"/>
    <x v="7"/>
    <x v="1"/>
    <n v="0.77388293159598498"/>
    <n v="2E+20"/>
    <n v="0.44857767845258001"/>
    <n v="1.08155779268023"/>
    <n v="32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7"/>
    <x v="7"/>
    <x v="8"/>
    <x v="1"/>
    <n v="0.13569963554177"/>
    <n v="2E+20"/>
    <n v="0"/>
    <n v="1.00060913769079"/>
    <n v="32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8"/>
    <x v="7"/>
    <x v="6"/>
    <x v="1"/>
    <n v="1.5108386331108501"/>
    <n v="2E+20"/>
    <n v="0.45249980877986901"/>
    <n v="4.2424665512149602"/>
    <n v="44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8"/>
    <x v="7"/>
    <x v="7"/>
    <x v="1"/>
    <n v="0.76604627115970203"/>
    <n v="2E+20"/>
    <n v="0.432505912762991"/>
    <n v="1.0780045438758801"/>
    <n v="44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8"/>
    <x v="7"/>
    <x v="8"/>
    <x v="1"/>
    <n v="0.74479236195114795"/>
    <n v="2E+20"/>
    <n v="0"/>
    <n v="3.63182180622454"/>
    <n v="44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9"/>
    <x v="7"/>
    <x v="6"/>
    <x v="1"/>
    <n v="1.1029303674650399"/>
    <n v="2E+20"/>
    <n v="0.45284211454617901"/>
    <n v="2.94659638769738"/>
    <n v="33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19"/>
    <x v="7"/>
    <x v="7"/>
    <x v="1"/>
    <n v="0.72699356901999002"/>
    <n v="2E+20"/>
    <n v="0.42606768476888102"/>
    <n v="1.0729326473455001"/>
    <n v="33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19"/>
    <x v="7"/>
    <x v="8"/>
    <x v="1"/>
    <n v="0.37593679844504901"/>
    <n v="2E+20"/>
    <n v="0"/>
    <n v="2.1064487585094298"/>
    <n v="33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0"/>
    <x v="7"/>
    <x v="6"/>
    <x v="1"/>
    <n v="1.0818745063047499"/>
    <n v="2E+20"/>
    <n v="0.42863516459119899"/>
    <n v="2.3651570530649799"/>
    <n v="42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0"/>
    <x v="7"/>
    <x v="7"/>
    <x v="1"/>
    <n v="0.71629990137371002"/>
    <n v="2E+20"/>
    <n v="0.427072622388323"/>
    <n v="1.08050452096903"/>
    <n v="42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0"/>
    <x v="7"/>
    <x v="8"/>
    <x v="1"/>
    <n v="0.365574604931035"/>
    <n v="2E+20"/>
    <n v="0"/>
    <n v="1.70798141429001"/>
    <n v="42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1"/>
    <x v="7"/>
    <x v="6"/>
    <x v="1"/>
    <n v="0.96785557823486301"/>
    <n v="2E+20"/>
    <n v="0.42290869199311498"/>
    <n v="1.96972760121722"/>
    <n v="49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1"/>
    <x v="7"/>
    <x v="7"/>
    <x v="1"/>
    <n v="0.70473455698563403"/>
    <n v="2E+20"/>
    <n v="0.42290869199311498"/>
    <n v="1.0639934271165701"/>
    <n v="49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1"/>
    <x v="7"/>
    <x v="8"/>
    <x v="1"/>
    <n v="0.26312102124922898"/>
    <n v="2E+20"/>
    <n v="0"/>
    <n v="1.20889964715113"/>
    <n v="49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2"/>
    <x v="7"/>
    <x v="6"/>
    <x v="1"/>
    <n v="1.0538964367467401"/>
    <n v="2E+20"/>
    <n v="0.43088362481708498"/>
    <n v="2.9202698674448002"/>
    <n v="34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2"/>
    <x v="7"/>
    <x v="7"/>
    <x v="1"/>
    <n v="0.77807122758941705"/>
    <n v="2E+20"/>
    <n v="0.43088362481708498"/>
    <n v="1.0692126602823999"/>
    <n v="34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2"/>
    <x v="7"/>
    <x v="8"/>
    <x v="1"/>
    <n v="0.27582520915732101"/>
    <n v="2E+20"/>
    <n v="0"/>
    <n v="2.0140863617868101"/>
    <n v="34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3"/>
    <x v="7"/>
    <x v="6"/>
    <x v="1"/>
    <n v="1.1647296740233499"/>
    <n v="2E+20"/>
    <n v="0.50298822641090601"/>
    <n v="4.0123181738870102"/>
    <n v="42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3"/>
    <x v="7"/>
    <x v="7"/>
    <x v="1"/>
    <n v="0.76218645408224495"/>
    <n v="2E+20"/>
    <n v="0.43620012997396901"/>
    <n v="1.0414166973374701"/>
    <n v="42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3"/>
    <x v="7"/>
    <x v="8"/>
    <x v="1"/>
    <n v="0.40254321994110898"/>
    <n v="2E+20"/>
    <n v="0"/>
    <n v="3.57611804391304"/>
    <n v="42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4"/>
    <x v="7"/>
    <x v="6"/>
    <x v="1"/>
    <n v="0.87653352648669502"/>
    <n v="2E+20"/>
    <n v="0.479096492996405"/>
    <n v="2.1532905249905401"/>
    <n v="39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4"/>
    <x v="7"/>
    <x v="7"/>
    <x v="1"/>
    <n v="0.784414913641728"/>
    <n v="2E+20"/>
    <n v="0.41920304140001002"/>
    <n v="1.06723795457962"/>
    <n v="39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4"/>
    <x v="7"/>
    <x v="8"/>
    <x v="1"/>
    <n v="9.2118612844967598E-2"/>
    <n v="2E+20"/>
    <n v="0"/>
    <n v="1.18330099339983"/>
    <n v="39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5"/>
    <x v="7"/>
    <x v="6"/>
    <x v="1"/>
    <n v="0.97073946295589397"/>
    <n v="2E+20"/>
    <n v="0.43167535133430601"/>
    <n v="2.4530936825391598"/>
    <n v="35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5"/>
    <x v="7"/>
    <x v="7"/>
    <x v="1"/>
    <n v="0.71465985429841405"/>
    <n v="2E+20"/>
    <n v="0.43167535133430601"/>
    <n v="1.05717225804281"/>
    <n v="35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5"/>
    <x v="7"/>
    <x v="8"/>
    <x v="1"/>
    <n v="0.25607960865747897"/>
    <n v="2E+20"/>
    <n v="0"/>
    <n v="1.7882092160449901"/>
    <n v="35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6"/>
    <x v="7"/>
    <x v="6"/>
    <x v="1"/>
    <n v="1.4070629960362"/>
    <n v="2E+20"/>
    <n v="0.43138585125010598"/>
    <n v="3.14736562999494"/>
    <n v="45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6"/>
    <x v="7"/>
    <x v="7"/>
    <x v="1"/>
    <n v="0.82348832138033201"/>
    <n v="2E+20"/>
    <n v="0.43138585125010598"/>
    <n v="1.06428679281052"/>
    <n v="45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6"/>
    <x v="7"/>
    <x v="8"/>
    <x v="1"/>
    <n v="0.58357467465587098"/>
    <n v="2E+20"/>
    <n v="0"/>
    <n v="2.5447109921783801"/>
    <n v="45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7"/>
    <x v="7"/>
    <x v="6"/>
    <x v="1"/>
    <n v="1.2137623785012901"/>
    <n v="2E+20"/>
    <n v="0.42065092925122399"/>
    <n v="3.31084421613869"/>
    <n v="45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7"/>
    <x v="7"/>
    <x v="7"/>
    <x v="1"/>
    <n v="0.77568823679625198"/>
    <n v="2E+20"/>
    <n v="0.42065092925122399"/>
    <n v="1.07908609876853"/>
    <n v="45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7"/>
    <x v="7"/>
    <x v="8"/>
    <x v="1"/>
    <n v="0.438074141705034"/>
    <n v="2E+20"/>
    <n v="0"/>
    <n v="2.87631127301893"/>
    <n v="45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8"/>
    <x v="7"/>
    <x v="6"/>
    <x v="1"/>
    <n v="1.14486666235204"/>
    <n v="2E+20"/>
    <n v="0.43293963048321199"/>
    <n v="3.0107734688600298"/>
    <n v="39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8"/>
    <x v="7"/>
    <x v="7"/>
    <x v="1"/>
    <n v="0.74002619195377495"/>
    <n v="2E+20"/>
    <n v="0.43293963048321199"/>
    <n v="1.0445362440988799"/>
    <n v="39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8"/>
    <x v="7"/>
    <x v="8"/>
    <x v="1"/>
    <n v="0.40484047039826698"/>
    <n v="2E+20"/>
    <n v="0"/>
    <n v="2.0464245301250799"/>
    <n v="39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29"/>
    <x v="7"/>
    <x v="6"/>
    <x v="1"/>
    <n v="1.0900655501621099"/>
    <n v="2E+20"/>
    <n v="0.42496781355427499"/>
    <n v="2.8768019311832198"/>
    <n v="47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29"/>
    <x v="7"/>
    <x v="7"/>
    <x v="1"/>
    <n v="0.77504229102549804"/>
    <n v="2E+20"/>
    <n v="0.42338181381816797"/>
    <n v="1.06783821110028"/>
    <n v="47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29"/>
    <x v="7"/>
    <x v="8"/>
    <x v="1"/>
    <n v="0.315023259136608"/>
    <n v="2E+20"/>
    <n v="0"/>
    <n v="2.3512538794300899"/>
    <n v="47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30"/>
    <x v="7"/>
    <x v="6"/>
    <x v="1"/>
    <n v="1.00979530714343"/>
    <n v="2E+20"/>
    <n v="0.43134993277540401"/>
    <n v="3.6956405773655399"/>
    <n v="35"/>
    <s v="Pedido CleintesPagoTotal Time Per EntityProcess"/>
    <n v="30"/>
    <n v="1.0631030288454759"/>
    <n v="0.17862308807588656"/>
    <n v="0.95"/>
    <n v="6.6698957254218635E-2"/>
    <n v="0.73683357844020803"/>
    <n v="1.5108386331108501"/>
    <n v="0.41857551264863002"/>
    <n v="4.2424665512149602"/>
    <n v="39.43333333333333"/>
    <n v="6.6698957254218635E-2"/>
    <n v="30"/>
    <n v="1"/>
  </r>
  <r>
    <x v="0"/>
    <s v="2025-05-21 19:18:09"/>
    <n v="30"/>
    <x v="7"/>
    <x v="7"/>
    <x v="1"/>
    <n v="0.72901413730848097"/>
    <n v="2E+20"/>
    <n v="0.43134993277540401"/>
    <n v="1.07194924531987"/>
    <n v="35"/>
    <s v="Pedido CleintesPagoVA Time Per EntityProcess"/>
    <n v="30"/>
    <n v="0.74725125329628284"/>
    <n v="3.2862725719947306E-2"/>
    <n v="0.95"/>
    <n v="1.2271143454426573E-2"/>
    <n v="0.69500572513110004"/>
    <n v="0.82348832138033201"/>
    <n v="0.41711618986306598"/>
    <n v="1.0828879284455699"/>
    <n v="39.43333333333333"/>
    <n v="1.2271143454426573E-2"/>
    <n v="30"/>
    <n v="1"/>
  </r>
  <r>
    <x v="0"/>
    <s v="2025-05-21 19:18:09"/>
    <n v="30"/>
    <x v="7"/>
    <x v="8"/>
    <x v="1"/>
    <n v="0.28078116983495199"/>
    <n v="2E+20"/>
    <n v="0"/>
    <n v="2.93828800002863"/>
    <n v="35"/>
    <s v="Pedido CleintesPagoWait Time Per EntityProcess"/>
    <n v="30"/>
    <n v="0.31585177554919308"/>
    <n v="0.16523680193017196"/>
    <n v="0.95"/>
    <n v="6.1700435859008876E-2"/>
    <n v="0"/>
    <n v="0.74479236195114795"/>
    <n v="0"/>
    <n v="3.63182180622454"/>
    <n v="39.43333333333333"/>
    <n v="6.1700435859008876E-2"/>
    <n v="30"/>
    <n v="1"/>
  </r>
  <r>
    <x v="0"/>
    <s v="2025-05-21 19:18:09"/>
    <n v="1"/>
    <x v="8"/>
    <x v="9"/>
    <x v="2"/>
    <n v="0.14294775340131299"/>
    <n v="2E+20"/>
    <n v="0"/>
    <n v="1.02581914731135"/>
    <n v="26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"/>
    <x v="8"/>
    <x v="9"/>
    <x v="2"/>
    <n v="0.233389218501074"/>
    <n v="2E+20"/>
    <n v="0"/>
    <n v="1.22125137362355"/>
    <n v="41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3"/>
    <x v="8"/>
    <x v="9"/>
    <x v="2"/>
    <n v="0.64161148474201402"/>
    <n v="2E+20"/>
    <n v="0"/>
    <n v="2.7921282585527498"/>
    <n v="47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4"/>
    <x v="8"/>
    <x v="9"/>
    <x v="2"/>
    <n v="0.154248569498909"/>
    <n v="2E+20"/>
    <n v="0"/>
    <n v="1.2183593939921"/>
    <n v="33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5"/>
    <x v="8"/>
    <x v="9"/>
    <x v="2"/>
    <n v="0.43779478339876099"/>
    <n v="2E+20"/>
    <n v="0"/>
    <n v="2.8278524290315099"/>
    <n v="46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6"/>
    <x v="8"/>
    <x v="9"/>
    <x v="2"/>
    <n v="0.199092206477816"/>
    <n v="2E+20"/>
    <n v="0"/>
    <n v="2.6193087530210999"/>
    <n v="39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7"/>
    <x v="8"/>
    <x v="9"/>
    <x v="2"/>
    <n v="0.12581018956436099"/>
    <n v="2E+20"/>
    <n v="0"/>
    <n v="1.6778654099730499"/>
    <n v="38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8"/>
    <x v="8"/>
    <x v="9"/>
    <x v="2"/>
    <n v="0.49363407550211003"/>
    <n v="2E+20"/>
    <n v="0"/>
    <n v="2.1156431861267002"/>
    <n v="36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9"/>
    <x v="8"/>
    <x v="9"/>
    <x v="2"/>
    <n v="0.23597637786186701"/>
    <n v="2E+20"/>
    <n v="0"/>
    <n v="1.1632963437111199"/>
    <n v="35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0"/>
    <x v="8"/>
    <x v="9"/>
    <x v="2"/>
    <n v="0.24251237426077299"/>
    <n v="2E+20"/>
    <n v="0"/>
    <n v="1.3292309251790799"/>
    <n v="41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1"/>
    <x v="8"/>
    <x v="9"/>
    <x v="2"/>
    <n v="0.31230702649205699"/>
    <n v="2E+20"/>
    <n v="0"/>
    <n v="2.3620403858948902"/>
    <n v="45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2"/>
    <x v="8"/>
    <x v="9"/>
    <x v="2"/>
    <n v="0"/>
    <n v="2E+20"/>
    <n v="0"/>
    <n v="0"/>
    <n v="29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3"/>
    <x v="8"/>
    <x v="9"/>
    <x v="2"/>
    <n v="0.22940260480185801"/>
    <n v="2E+20"/>
    <n v="0"/>
    <n v="1.12079811241637"/>
    <n v="38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4"/>
    <x v="8"/>
    <x v="9"/>
    <x v="2"/>
    <n v="0.409323448110261"/>
    <n v="2E+20"/>
    <n v="0"/>
    <n v="2.5369350358112901"/>
    <n v="47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5"/>
    <x v="8"/>
    <x v="9"/>
    <x v="2"/>
    <n v="0.422098894503039"/>
    <n v="2E+20"/>
    <n v="0"/>
    <n v="2.29818557216106"/>
    <n v="46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6"/>
    <x v="8"/>
    <x v="9"/>
    <x v="2"/>
    <n v="0.254321583944012"/>
    <n v="2E+20"/>
    <n v="0"/>
    <n v="1.26778760171362"/>
    <n v="36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7"/>
    <x v="8"/>
    <x v="9"/>
    <x v="2"/>
    <n v="0.1609163305745"/>
    <n v="2E+20"/>
    <n v="0"/>
    <n v="1.00060913769079"/>
    <n v="33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8"/>
    <x v="8"/>
    <x v="9"/>
    <x v="2"/>
    <n v="0.74479236195114795"/>
    <n v="2E+20"/>
    <n v="0"/>
    <n v="3.63182180622454"/>
    <n v="44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9"/>
    <x v="8"/>
    <x v="9"/>
    <x v="2"/>
    <n v="0.37593679844504901"/>
    <n v="2E+20"/>
    <n v="0"/>
    <n v="2.1064487585094298"/>
    <n v="33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0"/>
    <x v="8"/>
    <x v="9"/>
    <x v="2"/>
    <n v="0.365574604931035"/>
    <n v="2E+20"/>
    <n v="0"/>
    <n v="1.70798141429001"/>
    <n v="42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1"/>
    <x v="8"/>
    <x v="9"/>
    <x v="2"/>
    <n v="0.26312102124922898"/>
    <n v="2E+20"/>
    <n v="0"/>
    <n v="1.20889964715113"/>
    <n v="49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2"/>
    <x v="8"/>
    <x v="9"/>
    <x v="2"/>
    <n v="0.27582520915732101"/>
    <n v="2E+20"/>
    <n v="0"/>
    <n v="2.0140863617868101"/>
    <n v="34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3"/>
    <x v="8"/>
    <x v="9"/>
    <x v="2"/>
    <n v="0.39318174970991998"/>
    <n v="2E+20"/>
    <n v="0"/>
    <n v="3.57611804391304"/>
    <n v="43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4"/>
    <x v="8"/>
    <x v="9"/>
    <x v="2"/>
    <n v="9.2118612844967598E-2"/>
    <n v="2E+20"/>
    <n v="0"/>
    <n v="1.18330099339983"/>
    <n v="39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5"/>
    <x v="8"/>
    <x v="9"/>
    <x v="2"/>
    <n v="0.25607960865747897"/>
    <n v="2E+20"/>
    <n v="0"/>
    <n v="1.7882092160449901"/>
    <n v="35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6"/>
    <x v="8"/>
    <x v="9"/>
    <x v="2"/>
    <n v="0.58357467465587098"/>
    <n v="2E+20"/>
    <n v="0"/>
    <n v="2.5447109921783801"/>
    <n v="45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7"/>
    <x v="8"/>
    <x v="9"/>
    <x v="2"/>
    <n v="0.438074141705034"/>
    <n v="2E+20"/>
    <n v="0"/>
    <n v="2.87631127301893"/>
    <n v="45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8"/>
    <x v="8"/>
    <x v="9"/>
    <x v="2"/>
    <n v="0.40484047039826698"/>
    <n v="2E+20"/>
    <n v="0"/>
    <n v="2.0464245301250799"/>
    <n v="39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29"/>
    <x v="8"/>
    <x v="9"/>
    <x v="2"/>
    <n v="0.30846027457126202"/>
    <n v="2E+20"/>
    <n v="0"/>
    <n v="2.3512538794300899"/>
    <n v="48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30"/>
    <x v="8"/>
    <x v="9"/>
    <x v="2"/>
    <n v="0.28078116983495199"/>
    <n v="2E+20"/>
    <n v="0"/>
    <n v="2.93828800002863"/>
    <n v="35"/>
    <s v="Pedido CleintesPago.QueueWaiting TimeQueue"/>
    <n v="30"/>
    <n v="0.3159249206582086"/>
    <n v="0.16419723898119068"/>
    <n v="0.95"/>
    <n v="6.1312256674312914E-2"/>
    <n v="0"/>
    <n v="0.74479236195114795"/>
    <n v="0"/>
    <n v="3.63182180622454"/>
    <n v="39.56666666666667"/>
    <n v="6.1312256674312914E-2"/>
    <n v="30"/>
    <n v="1"/>
  </r>
  <r>
    <x v="0"/>
    <s v="2025-05-21 19:18:09"/>
    <n v="1"/>
    <x v="9"/>
    <x v="6"/>
    <x v="1"/>
    <n v="3.4419329751448902"/>
    <n v="2E+20"/>
    <n v="2.67619328759403"/>
    <n v="5.4519475840009699"/>
    <n v="25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"/>
    <x v="9"/>
    <x v="7"/>
    <x v="1"/>
    <n v="2.9990624304683999"/>
    <n v="2E+20"/>
    <n v="2.6689905866869599"/>
    <n v="3.3160559823090101"/>
    <n v="25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"/>
    <x v="9"/>
    <x v="8"/>
    <x v="1"/>
    <n v="0.44287054467649301"/>
    <n v="2E+20"/>
    <n v="0"/>
    <n v="2.4733428114393399"/>
    <n v="25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"/>
    <x v="9"/>
    <x v="6"/>
    <x v="1"/>
    <n v="3.7111040732282099"/>
    <n v="2E+20"/>
    <n v="2.6941196857340799"/>
    <n v="7.3200523511970097"/>
    <n v="41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"/>
    <x v="9"/>
    <x v="7"/>
    <x v="1"/>
    <n v="2.97343898359799"/>
    <n v="2E+20"/>
    <n v="2.6941196857340799"/>
    <n v="3.3331274149528798"/>
    <n v="41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"/>
    <x v="9"/>
    <x v="8"/>
    <x v="1"/>
    <n v="0.73766508963022204"/>
    <n v="2E+20"/>
    <n v="0"/>
    <n v="4.5825489759276401"/>
    <n v="41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3"/>
    <x v="9"/>
    <x v="6"/>
    <x v="1"/>
    <n v="4.6823364530835399"/>
    <n v="2E+20"/>
    <n v="2.7014622563974902"/>
    <n v="12.9499421430497"/>
    <n v="47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3"/>
    <x v="9"/>
    <x v="7"/>
    <x v="1"/>
    <n v="2.9878566432498999"/>
    <n v="2E+20"/>
    <n v="2.6744926581863102"/>
    <n v="3.3108498509897899"/>
    <n v="47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3"/>
    <x v="9"/>
    <x v="8"/>
    <x v="1"/>
    <n v="1.69447980983364"/>
    <n v="2E+20"/>
    <n v="0"/>
    <n v="10.0970660655851"/>
    <n v="47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4"/>
    <x v="9"/>
    <x v="6"/>
    <x v="1"/>
    <n v="3.4940618470115399"/>
    <n v="2E+20"/>
    <n v="2.6757724075352498"/>
    <n v="5.2303284996046404"/>
    <n v="33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4"/>
    <x v="9"/>
    <x v="7"/>
    <x v="1"/>
    <n v="3.03968873898536"/>
    <n v="2E+20"/>
    <n v="2.6757724075352498"/>
    <n v="3.3035285813821198"/>
    <n v="33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4"/>
    <x v="9"/>
    <x v="8"/>
    <x v="1"/>
    <n v="0.45437310802617498"/>
    <n v="2E+20"/>
    <n v="0"/>
    <n v="2.0671783217012298"/>
    <n v="33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5"/>
    <x v="9"/>
    <x v="6"/>
    <x v="1"/>
    <n v="4.7424658463917897"/>
    <n v="2E+20"/>
    <n v="2.6669469668355799"/>
    <n v="11.2996953978171"/>
    <n v="45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5"/>
    <x v="9"/>
    <x v="7"/>
    <x v="1"/>
    <n v="2.9868389981827499"/>
    <n v="2E+20"/>
    <n v="2.6669469668355799"/>
    <n v="3.3238470621137002"/>
    <n v="45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5"/>
    <x v="9"/>
    <x v="8"/>
    <x v="1"/>
    <n v="1.75562684820904"/>
    <n v="2E+20"/>
    <n v="0"/>
    <n v="8.5271218796846409"/>
    <n v="45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6"/>
    <x v="9"/>
    <x v="6"/>
    <x v="1"/>
    <n v="4.0234931807096803"/>
    <n v="2E+20"/>
    <n v="2.7515510577725899"/>
    <n v="8.9375763600001807"/>
    <n v="39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6"/>
    <x v="9"/>
    <x v="7"/>
    <x v="1"/>
    <n v="3.0580272808287701"/>
    <n v="2E+20"/>
    <n v="2.7163272465220101"/>
    <n v="3.3255959301526201"/>
    <n v="39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6"/>
    <x v="9"/>
    <x v="8"/>
    <x v="1"/>
    <n v="0.96546589988090303"/>
    <n v="2E+20"/>
    <n v="0"/>
    <n v="5.8327832088809801"/>
    <n v="39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7"/>
    <x v="9"/>
    <x v="6"/>
    <x v="1"/>
    <n v="4.0727576982458897"/>
    <n v="2E+20"/>
    <n v="2.7409113791888702"/>
    <n v="8.8820887943803193"/>
    <n v="38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7"/>
    <x v="9"/>
    <x v="7"/>
    <x v="1"/>
    <n v="3.0118949759265701"/>
    <n v="2E+20"/>
    <n v="2.6716580255212801"/>
    <n v="3.3265974873813899"/>
    <n v="38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7"/>
    <x v="9"/>
    <x v="8"/>
    <x v="1"/>
    <n v="1.0608627223193201"/>
    <n v="2E+20"/>
    <n v="0"/>
    <n v="6.2104307688590401"/>
    <n v="38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8"/>
    <x v="9"/>
    <x v="6"/>
    <x v="1"/>
    <n v="4.3241768254524704"/>
    <n v="2E+20"/>
    <n v="2.6681064122746698"/>
    <n v="8.3487018524037406"/>
    <n v="35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8"/>
    <x v="9"/>
    <x v="7"/>
    <x v="1"/>
    <n v="3.0084398571938702"/>
    <n v="2E+20"/>
    <n v="2.6681064122746698"/>
    <n v="3.3299666216200401"/>
    <n v="35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8"/>
    <x v="9"/>
    <x v="8"/>
    <x v="1"/>
    <n v="1.31573696825859"/>
    <n v="2E+20"/>
    <n v="0"/>
    <n v="5.18874567833213"/>
    <n v="35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9"/>
    <x v="9"/>
    <x v="6"/>
    <x v="1"/>
    <n v="3.4795881066763901"/>
    <n v="2E+20"/>
    <n v="2.6977778284738001"/>
    <n v="5.8237069855649297"/>
    <n v="34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9"/>
    <x v="9"/>
    <x v="7"/>
    <x v="1"/>
    <n v="2.9705458566201699"/>
    <n v="2E+20"/>
    <n v="2.6749307613495099"/>
    <n v="3.3077787631173701"/>
    <n v="34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9"/>
    <x v="9"/>
    <x v="8"/>
    <x v="1"/>
    <n v="0.50904225005622505"/>
    <n v="2E+20"/>
    <n v="0"/>
    <n v="2.54474588976829"/>
    <n v="34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0"/>
    <x v="9"/>
    <x v="6"/>
    <x v="1"/>
    <n v="3.4950610005195202"/>
    <n v="2E+20"/>
    <n v="2.6747508621051801"/>
    <n v="7.2913864337481904"/>
    <n v="41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0"/>
    <x v="9"/>
    <x v="7"/>
    <x v="1"/>
    <n v="2.9496744298211102"/>
    <n v="2E+20"/>
    <n v="2.6747508621051801"/>
    <n v="3.3026436227961802"/>
    <n v="41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0"/>
    <x v="9"/>
    <x v="8"/>
    <x v="1"/>
    <n v="0.54538657069841001"/>
    <n v="2E+20"/>
    <n v="0"/>
    <n v="4.0395518634033198"/>
    <n v="41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1"/>
    <x v="9"/>
    <x v="6"/>
    <x v="1"/>
    <n v="3.7924453292478399"/>
    <n v="2E+20"/>
    <n v="2.7004122109430599"/>
    <n v="7.7973149180890902"/>
    <n v="44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1"/>
    <x v="9"/>
    <x v="7"/>
    <x v="1"/>
    <n v="2.9594320243090699"/>
    <n v="2E+20"/>
    <n v="2.6688678180317802"/>
    <n v="3.3133808789999599"/>
    <n v="44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1"/>
    <x v="9"/>
    <x v="8"/>
    <x v="1"/>
    <n v="0.83301330493878001"/>
    <n v="2E+20"/>
    <n v="0"/>
    <n v="4.6550838426716199"/>
    <n v="44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2"/>
    <x v="9"/>
    <x v="6"/>
    <x v="1"/>
    <n v="3.0498211098558601"/>
    <n v="2E+20"/>
    <n v="2.6693372057187599"/>
    <n v="3.9547863654923998"/>
    <n v="28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2"/>
    <x v="9"/>
    <x v="7"/>
    <x v="1"/>
    <n v="2.97228972345368"/>
    <n v="2E+20"/>
    <n v="2.6693372057187599"/>
    <n v="3.3291719341177699"/>
    <n v="28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2"/>
    <x v="9"/>
    <x v="8"/>
    <x v="1"/>
    <n v="7.7531386402174704E-2"/>
    <n v="2E+20"/>
    <n v="0"/>
    <n v="0.87537089400441903"/>
    <n v="28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3"/>
    <x v="9"/>
    <x v="6"/>
    <x v="1"/>
    <n v="3.5247358592683899"/>
    <n v="2E+20"/>
    <n v="2.6755040466118798"/>
    <n v="5.9152556837431396"/>
    <n v="37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3"/>
    <x v="9"/>
    <x v="7"/>
    <x v="1"/>
    <n v="3.01342620907938"/>
    <n v="2E+20"/>
    <n v="2.6755040466118798"/>
    <n v="3.3298843284011399"/>
    <n v="37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3"/>
    <x v="9"/>
    <x v="8"/>
    <x v="1"/>
    <n v="0.51130965018901198"/>
    <n v="2E+20"/>
    <n v="0"/>
    <n v="2.8868219989535602"/>
    <n v="37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4"/>
    <x v="9"/>
    <x v="6"/>
    <x v="1"/>
    <n v="4.0270169105301097"/>
    <n v="2E+20"/>
    <n v="2.7114555179205602"/>
    <n v="8.6395961375037498"/>
    <n v="44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4"/>
    <x v="9"/>
    <x v="7"/>
    <x v="1"/>
    <n v="3.0028674101307198"/>
    <n v="2E+20"/>
    <n v="2.6872124810766902"/>
    <n v="3.3116535821003499"/>
    <n v="44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4"/>
    <x v="9"/>
    <x v="8"/>
    <x v="1"/>
    <n v="1.0241495003993999"/>
    <n v="2E+20"/>
    <n v="0"/>
    <n v="5.6116682951624801"/>
    <n v="44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5"/>
    <x v="9"/>
    <x v="6"/>
    <x v="1"/>
    <n v="4.1316476755923599"/>
    <n v="2E+20"/>
    <n v="2.7287943857531101"/>
    <n v="7.3191754665166"/>
    <n v="46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5"/>
    <x v="9"/>
    <x v="7"/>
    <x v="1"/>
    <n v="3.0004768852896202"/>
    <n v="2E+20"/>
    <n v="2.7031326962063802"/>
    <n v="3.30135351496661"/>
    <n v="46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5"/>
    <x v="9"/>
    <x v="8"/>
    <x v="1"/>
    <n v="1.1311707903027399"/>
    <n v="2E+20"/>
    <n v="0"/>
    <n v="4.4563149721252397"/>
    <n v="46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6"/>
    <x v="9"/>
    <x v="6"/>
    <x v="1"/>
    <n v="3.59147350310865"/>
    <n v="2E+20"/>
    <n v="2.67270578954574"/>
    <n v="6.2439602214478196"/>
    <n v="36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6"/>
    <x v="9"/>
    <x v="7"/>
    <x v="1"/>
    <n v="2.9949361287887402"/>
    <n v="2E+20"/>
    <n v="2.67270578954574"/>
    <n v="3.2978429115802301"/>
    <n v="36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6"/>
    <x v="9"/>
    <x v="8"/>
    <x v="1"/>
    <n v="0.59653737431991105"/>
    <n v="2E+20"/>
    <n v="0"/>
    <n v="3.5231386412225998"/>
    <n v="36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7"/>
    <x v="9"/>
    <x v="6"/>
    <x v="1"/>
    <n v="3.50590344549861"/>
    <n v="2E+20"/>
    <n v="2.6966274670003498"/>
    <n v="5.60823609446697"/>
    <n v="31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7"/>
    <x v="9"/>
    <x v="7"/>
    <x v="1"/>
    <n v="2.9635234965131798"/>
    <n v="2E+20"/>
    <n v="2.6741734135202599"/>
    <n v="3.30479831187276"/>
    <n v="31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7"/>
    <x v="9"/>
    <x v="8"/>
    <x v="1"/>
    <n v="0.54237994898542696"/>
    <n v="2E+20"/>
    <n v="0"/>
    <n v="2.9065554390868402"/>
    <n v="31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8"/>
    <x v="9"/>
    <x v="6"/>
    <x v="1"/>
    <n v="5.1862622338931397"/>
    <n v="2E+20"/>
    <n v="2.7253086409196801"/>
    <n v="10.1268658797912"/>
    <n v="44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8"/>
    <x v="9"/>
    <x v="7"/>
    <x v="1"/>
    <n v="3.0291192125319899"/>
    <n v="2E+20"/>
    <n v="2.7173960266174801"/>
    <n v="3.3315376343573502"/>
    <n v="44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8"/>
    <x v="9"/>
    <x v="8"/>
    <x v="1"/>
    <n v="2.1571430213611502"/>
    <n v="2E+20"/>
    <n v="0"/>
    <n v="7.0206824150299596"/>
    <n v="44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9"/>
    <x v="9"/>
    <x v="6"/>
    <x v="1"/>
    <n v="4.1102138475701899"/>
    <n v="2E+20"/>
    <n v="2.7797174918529599"/>
    <n v="6.4744037259966198"/>
    <n v="32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19"/>
    <x v="9"/>
    <x v="7"/>
    <x v="1"/>
    <n v="2.9895298926613898"/>
    <n v="2E+20"/>
    <n v="2.6692992518384799"/>
    <n v="3.3268883146003199"/>
    <n v="32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19"/>
    <x v="9"/>
    <x v="8"/>
    <x v="1"/>
    <n v="1.1206839549087999"/>
    <n v="2E+20"/>
    <n v="0"/>
    <n v="3.7779475959708702"/>
    <n v="32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0"/>
    <x v="9"/>
    <x v="6"/>
    <x v="1"/>
    <n v="4.1658531508679699"/>
    <n v="2E+20"/>
    <n v="2.67095911042543"/>
    <n v="7.6582718317544796"/>
    <n v="42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0"/>
    <x v="9"/>
    <x v="7"/>
    <x v="1"/>
    <n v="3.0017683930143799"/>
    <n v="2E+20"/>
    <n v="2.67095911042543"/>
    <n v="3.3331738103413899"/>
    <n v="42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0"/>
    <x v="9"/>
    <x v="8"/>
    <x v="1"/>
    <n v="1.16408475785359"/>
    <n v="2E+20"/>
    <n v="0"/>
    <n v="4.8310216656812104"/>
    <n v="42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1"/>
    <x v="9"/>
    <x v="6"/>
    <x v="1"/>
    <n v="4.2172249763843697"/>
    <n v="2E+20"/>
    <n v="2.6721194707337501"/>
    <n v="7.3858997354616198"/>
    <n v="49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1"/>
    <x v="9"/>
    <x v="7"/>
    <x v="1"/>
    <n v="2.9694725870121599"/>
    <n v="2E+20"/>
    <n v="2.6721194707337501"/>
    <n v="3.3309529889768901"/>
    <n v="49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1"/>
    <x v="9"/>
    <x v="8"/>
    <x v="1"/>
    <n v="1.24775238937221"/>
    <n v="2E+20"/>
    <n v="0"/>
    <n v="4.5337945783012703"/>
    <n v="49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2"/>
    <x v="9"/>
    <x v="6"/>
    <x v="1"/>
    <n v="3.6176841352362801"/>
    <n v="2E+20"/>
    <n v="2.6687587319028698"/>
    <n v="7.3377232232088803"/>
    <n v="34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2"/>
    <x v="9"/>
    <x v="7"/>
    <x v="1"/>
    <n v="3.00702001509524"/>
    <n v="2E+20"/>
    <n v="2.6687587319028698"/>
    <n v="3.3205039639302201"/>
    <n v="34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2"/>
    <x v="9"/>
    <x v="8"/>
    <x v="1"/>
    <n v="0.610664120141033"/>
    <n v="2E+20"/>
    <n v="0"/>
    <n v="4.1264851870092203"/>
    <n v="34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3"/>
    <x v="9"/>
    <x v="6"/>
    <x v="1"/>
    <n v="3.8870945852571399"/>
    <n v="2E+20"/>
    <n v="2.6707769458940498"/>
    <n v="9.8891016171132797"/>
    <n v="40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3"/>
    <x v="9"/>
    <x v="7"/>
    <x v="1"/>
    <n v="3.0149393149703601"/>
    <n v="2E+20"/>
    <n v="2.6677583096459299"/>
    <n v="3.3261027723757501"/>
    <n v="40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3"/>
    <x v="9"/>
    <x v="8"/>
    <x v="1"/>
    <n v="0.87215527028678197"/>
    <n v="2E+20"/>
    <n v="0"/>
    <n v="7.20167645873744"/>
    <n v="40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4"/>
    <x v="9"/>
    <x v="6"/>
    <x v="1"/>
    <n v="3.56592133854606"/>
    <n v="2E+20"/>
    <n v="2.7148125368936702"/>
    <n v="5.3384193849201198"/>
    <n v="39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4"/>
    <x v="9"/>
    <x v="7"/>
    <x v="1"/>
    <n v="3.0274139686880699"/>
    <n v="2E+20"/>
    <n v="2.6668671113536502"/>
    <n v="3.3161578348551402"/>
    <n v="39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4"/>
    <x v="9"/>
    <x v="8"/>
    <x v="1"/>
    <n v="0.53850736985798697"/>
    <n v="2E+20"/>
    <n v="0"/>
    <n v="2.2203395013803902"/>
    <n v="39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5"/>
    <x v="9"/>
    <x v="6"/>
    <x v="1"/>
    <n v="4.2377039322710202"/>
    <n v="2E+20"/>
    <n v="2.6667851392858202"/>
    <n v="9.1429426153000595"/>
    <n v="35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5"/>
    <x v="9"/>
    <x v="7"/>
    <x v="1"/>
    <n v="2.99969898793668"/>
    <n v="2E+20"/>
    <n v="2.6667851392858202"/>
    <n v="3.33007708688254"/>
    <n v="35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5"/>
    <x v="9"/>
    <x v="8"/>
    <x v="1"/>
    <n v="1.2380049443343399"/>
    <n v="2E+20"/>
    <n v="0"/>
    <n v="6.09852169259322"/>
    <n v="35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6"/>
    <x v="9"/>
    <x v="6"/>
    <x v="1"/>
    <n v="4.6319673385589599"/>
    <n v="2E+20"/>
    <n v="2.66671895965567"/>
    <n v="9.2711123025125808"/>
    <n v="45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6"/>
    <x v="9"/>
    <x v="7"/>
    <x v="1"/>
    <n v="2.9667752220770698"/>
    <n v="2E+20"/>
    <n v="2.66671895965567"/>
    <n v="3.3218583777240398"/>
    <n v="45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6"/>
    <x v="9"/>
    <x v="8"/>
    <x v="1"/>
    <n v="1.6651921164818799"/>
    <n v="2E+20"/>
    <n v="0"/>
    <n v="6.2570021359449601"/>
    <n v="45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7"/>
    <x v="9"/>
    <x v="6"/>
    <x v="1"/>
    <n v="4.2839306126400096"/>
    <n v="2E+20"/>
    <n v="2.68958267215393"/>
    <n v="11.4341104077902"/>
    <n v="43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7"/>
    <x v="9"/>
    <x v="7"/>
    <x v="1"/>
    <n v="2.9981001208481799"/>
    <n v="2E+20"/>
    <n v="2.6755073001874501"/>
    <n v="3.3328968351494401"/>
    <n v="43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7"/>
    <x v="9"/>
    <x v="8"/>
    <x v="1"/>
    <n v="1.2858304917918399"/>
    <n v="2E+20"/>
    <n v="0"/>
    <n v="8.2358163568506804"/>
    <n v="43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8"/>
    <x v="9"/>
    <x v="6"/>
    <x v="1"/>
    <n v="3.8850004498403901"/>
    <n v="2E+20"/>
    <n v="2.7240551960020198"/>
    <n v="7.4727481019568103"/>
    <n v="39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8"/>
    <x v="9"/>
    <x v="7"/>
    <x v="1"/>
    <n v="3.0215911849293802"/>
    <n v="2E+20"/>
    <n v="2.7197944752647798"/>
    <n v="3.3084354978356698"/>
    <n v="39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8"/>
    <x v="9"/>
    <x v="8"/>
    <x v="1"/>
    <n v="0.863409264911007"/>
    <n v="2E+20"/>
    <n v="0"/>
    <n v="4.3864158109700799"/>
    <n v="39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29"/>
    <x v="9"/>
    <x v="6"/>
    <x v="1"/>
    <n v="4.47897981229141"/>
    <n v="2E+20"/>
    <n v="2.68597650916838"/>
    <n v="9.0425312696806905"/>
    <n v="47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29"/>
    <x v="9"/>
    <x v="7"/>
    <x v="1"/>
    <n v="2.9970774740252799"/>
    <n v="2E+20"/>
    <n v="2.67459720908451"/>
    <n v="3.3113717440073498"/>
    <n v="47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29"/>
    <x v="9"/>
    <x v="8"/>
    <x v="1"/>
    <n v="1.48190233826613"/>
    <n v="2E+20"/>
    <n v="0"/>
    <n v="5.7428745754779396"/>
    <n v="47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30"/>
    <x v="9"/>
    <x v="6"/>
    <x v="1"/>
    <n v="3.85452090100629"/>
    <n v="2E+20"/>
    <n v="2.66844281531821"/>
    <n v="8.6004510800496092"/>
    <n v="35"/>
    <s v="Pedido CleintesPreparar ordenTotal Time Per EntityProcess"/>
    <n v="30"/>
    <n v="3.9737459717976331"/>
    <n v="0.47439080527262911"/>
    <n v="0.95"/>
    <n v="0.17714043791041653"/>
    <n v="3.0498211098558601"/>
    <n v="5.1862622338931397"/>
    <n v="2.66671895965567"/>
    <n v="12.9499421430497"/>
    <n v="38.93333333333333"/>
    <n v="0.17714043791041653"/>
    <n v="30"/>
    <n v="1"/>
  </r>
  <r>
    <x v="0"/>
    <s v="2025-05-21 19:18:09"/>
    <n v="30"/>
    <x v="9"/>
    <x v="7"/>
    <x v="1"/>
    <n v="2.9708785687438701"/>
    <n v="2E+20"/>
    <n v="2.66844281531821"/>
    <n v="3.317839664274"/>
    <n v="35"/>
    <s v="Pedido CleintesPreparar ordenVA Time Per EntityProcess"/>
    <n v="30"/>
    <n v="2.9961935004991109"/>
    <n v="2.5225271463398983E-2"/>
    <n v="0.95"/>
    <n v="9.419271165822158E-3"/>
    <n v="2.9496744298211102"/>
    <n v="3.0580272808287701"/>
    <n v="2.66671895965567"/>
    <n v="3.3331738103413899"/>
    <n v="38.93333333333333"/>
    <n v="9.419271165822158E-3"/>
    <n v="30"/>
    <n v="1"/>
  </r>
  <r>
    <x v="0"/>
    <s v="2025-05-21 19:18:09"/>
    <n v="30"/>
    <x v="9"/>
    <x v="8"/>
    <x v="1"/>
    <n v="0.88364233226241995"/>
    <n v="2E+20"/>
    <n v="0"/>
    <n v="5.6078854385332004"/>
    <n v="35"/>
    <s v="Pedido CleintesPreparar ordenWait Time Per EntityProcess"/>
    <n v="30"/>
    <n v="0.97755247129852119"/>
    <n v="0.47135244247406149"/>
    <n v="0.95"/>
    <n v="0.17600589459573387"/>
    <n v="7.7531386402174704E-2"/>
    <n v="2.1571430213611502"/>
    <n v="0"/>
    <n v="10.0970660655851"/>
    <n v="38.93333333333333"/>
    <n v="0.17600589459573387"/>
    <n v="30"/>
    <n v="1"/>
  </r>
  <r>
    <x v="0"/>
    <s v="2025-05-21 19:18:09"/>
    <n v="1"/>
    <x v="10"/>
    <x v="9"/>
    <x v="2"/>
    <n v="0.52927865587287004"/>
    <n v="2E+20"/>
    <n v="0"/>
    <n v="2.6894814357822798"/>
    <n v="26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"/>
    <x v="10"/>
    <x v="9"/>
    <x v="2"/>
    <n v="0.73766508963022204"/>
    <n v="2E+20"/>
    <n v="0"/>
    <n v="4.5825489759276401"/>
    <n v="41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3"/>
    <x v="10"/>
    <x v="9"/>
    <x v="2"/>
    <n v="1.69447980983364"/>
    <n v="2E+20"/>
    <n v="0"/>
    <n v="10.0970660655851"/>
    <n v="47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4"/>
    <x v="10"/>
    <x v="9"/>
    <x v="2"/>
    <n v="0.45437310802617498"/>
    <n v="2E+20"/>
    <n v="0"/>
    <n v="2.0671783217012298"/>
    <n v="33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5"/>
    <x v="10"/>
    <x v="9"/>
    <x v="2"/>
    <n v="1.7174610471610201"/>
    <n v="2E+20"/>
    <n v="0"/>
    <n v="8.5271218796846409"/>
    <n v="46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6"/>
    <x v="10"/>
    <x v="9"/>
    <x v="2"/>
    <n v="0.96546589988090303"/>
    <n v="2E+20"/>
    <n v="0"/>
    <n v="5.8327832088809801"/>
    <n v="39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7"/>
    <x v="10"/>
    <x v="9"/>
    <x v="2"/>
    <n v="1.0608627223193201"/>
    <n v="2E+20"/>
    <n v="0"/>
    <n v="6.2104307688590401"/>
    <n v="38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8"/>
    <x v="10"/>
    <x v="9"/>
    <x v="2"/>
    <n v="1.3238126736017499"/>
    <n v="2E+20"/>
    <n v="0"/>
    <n v="5.18874567833213"/>
    <n v="36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9"/>
    <x v="10"/>
    <x v="9"/>
    <x v="2"/>
    <n v="0.49449818576890398"/>
    <n v="2E+20"/>
    <n v="0"/>
    <n v="2.54474588976829"/>
    <n v="35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0"/>
    <x v="10"/>
    <x v="9"/>
    <x v="2"/>
    <n v="0.54538657069841001"/>
    <n v="2E+20"/>
    <n v="0"/>
    <n v="4.0395518634033198"/>
    <n v="41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1"/>
    <x v="10"/>
    <x v="9"/>
    <x v="2"/>
    <n v="0.81450189816236296"/>
    <n v="2E+20"/>
    <n v="0"/>
    <n v="4.6550838426716199"/>
    <n v="45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2"/>
    <x v="10"/>
    <x v="9"/>
    <x v="2"/>
    <n v="7.4857890319341105E-2"/>
    <n v="2E+20"/>
    <n v="0"/>
    <n v="0.87537089400441903"/>
    <n v="29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3"/>
    <x v="10"/>
    <x v="9"/>
    <x v="2"/>
    <n v="0.54230254332340799"/>
    <n v="2E+20"/>
    <n v="0"/>
    <n v="2.8868219989535602"/>
    <n v="38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4"/>
    <x v="10"/>
    <x v="9"/>
    <x v="2"/>
    <n v="1.0759189190767"/>
    <n v="2E+20"/>
    <n v="0"/>
    <n v="5.6116682951624801"/>
    <n v="45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5"/>
    <x v="10"/>
    <x v="9"/>
    <x v="2"/>
    <n v="1.1311707903027399"/>
    <n v="2E+20"/>
    <n v="0"/>
    <n v="4.4563149721252397"/>
    <n v="46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6"/>
    <x v="10"/>
    <x v="9"/>
    <x v="2"/>
    <n v="0.59653737431991105"/>
    <n v="2E+20"/>
    <n v="0"/>
    <n v="3.5231386412225998"/>
    <n v="36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7"/>
    <x v="10"/>
    <x v="9"/>
    <x v="2"/>
    <n v="0.52543057557963202"/>
    <n v="2E+20"/>
    <n v="0"/>
    <n v="2.9065554390868402"/>
    <n v="32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8"/>
    <x v="10"/>
    <x v="9"/>
    <x v="2"/>
    <n v="2.1571430213611502"/>
    <n v="2E+20"/>
    <n v="0"/>
    <n v="7.0206824150299596"/>
    <n v="44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9"/>
    <x v="10"/>
    <x v="9"/>
    <x v="2"/>
    <n v="1.0867238350630799"/>
    <n v="2E+20"/>
    <n v="0"/>
    <n v="3.7779475959708702"/>
    <n v="33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0"/>
    <x v="10"/>
    <x v="9"/>
    <x v="2"/>
    <n v="1.16408475785359"/>
    <n v="2E+20"/>
    <n v="0"/>
    <n v="4.8310216656812104"/>
    <n v="42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1"/>
    <x v="10"/>
    <x v="9"/>
    <x v="2"/>
    <n v="1.24775238937221"/>
    <n v="2E+20"/>
    <n v="0"/>
    <n v="4.5337945783012703"/>
    <n v="49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2"/>
    <x v="10"/>
    <x v="9"/>
    <x v="2"/>
    <n v="0.610664120141033"/>
    <n v="2E+20"/>
    <n v="0"/>
    <n v="4.1264851870092203"/>
    <n v="34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3"/>
    <x v="10"/>
    <x v="9"/>
    <x v="2"/>
    <n v="0.88775528024655503"/>
    <n v="2E+20"/>
    <n v="0"/>
    <n v="7.20167645873744"/>
    <n v="41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4"/>
    <x v="10"/>
    <x v="9"/>
    <x v="2"/>
    <n v="0.52504468561153705"/>
    <n v="2E+20"/>
    <n v="0"/>
    <n v="2.2203395013803902"/>
    <n v="40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5"/>
    <x v="10"/>
    <x v="9"/>
    <x v="2"/>
    <n v="1.2380049443343399"/>
    <n v="2E+20"/>
    <n v="0"/>
    <n v="6.09852169259322"/>
    <n v="35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6"/>
    <x v="10"/>
    <x v="9"/>
    <x v="2"/>
    <n v="1.6651921164818799"/>
    <n v="2E+20"/>
    <n v="0"/>
    <n v="6.2570021359449601"/>
    <n v="45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7"/>
    <x v="10"/>
    <x v="9"/>
    <x v="2"/>
    <n v="1.2877547002299099"/>
    <n v="2E+20"/>
    <n v="0"/>
    <n v="8.2358163568506804"/>
    <n v="44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8"/>
    <x v="10"/>
    <x v="9"/>
    <x v="2"/>
    <n v="0.863409264911007"/>
    <n v="2E+20"/>
    <n v="0"/>
    <n v="4.3864158109700799"/>
    <n v="39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29"/>
    <x v="10"/>
    <x v="9"/>
    <x v="2"/>
    <n v="1.4510293728855901"/>
    <n v="2E+20"/>
    <n v="0"/>
    <n v="5.7428745754779396"/>
    <n v="48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30"/>
    <x v="10"/>
    <x v="9"/>
    <x v="2"/>
    <n v="0.88364233226241995"/>
    <n v="2E+20"/>
    <n v="0"/>
    <n v="5.6078854385332004"/>
    <n v="35"/>
    <s v="Pedido CleintesPreparar orden.QueueWaiting TimeQueue"/>
    <n v="30"/>
    <n v="0.97840681915438699"/>
    <n v="0.46594375103094737"/>
    <n v="0.95"/>
    <n v="0.17398625601904402"/>
    <n v="7.4857890319341105E-2"/>
    <n v="2.1571430213611502"/>
    <n v="0"/>
    <n v="10.0970660655851"/>
    <n v="39.4"/>
    <n v="0.17398625601904402"/>
    <n v="30"/>
    <n v="1"/>
  </r>
  <r>
    <x v="0"/>
    <s v="2025-05-21 19:18:09"/>
    <n v="1"/>
    <x v="11"/>
    <x v="10"/>
    <x v="3"/>
    <n v="4.9901464291949802"/>
    <n v="2E+20"/>
    <n v="4.0254454244855804"/>
    <n v="7.1048012359080603"/>
    <n v="24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"/>
    <x v="11"/>
    <x v="10"/>
    <x v="3"/>
    <n v="5.37317306554423"/>
    <n v="2E+20"/>
    <n v="3.9575986654000999"/>
    <n v="9.1422098980663709"/>
    <n v="41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3"/>
    <x v="11"/>
    <x v="10"/>
    <x v="3"/>
    <n v="6.5824737447319199"/>
    <n v="2E+20"/>
    <n v="3.7710601849318399"/>
    <n v="17.694691938395401"/>
    <n v="47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4"/>
    <x v="11"/>
    <x v="10"/>
    <x v="3"/>
    <n v="5.0599023904699596"/>
    <n v="2E+20"/>
    <n v="3.9162386779727401"/>
    <n v="6.9525050170237703"/>
    <n v="33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5"/>
    <x v="11"/>
    <x v="10"/>
    <x v="3"/>
    <n v="6.4564235040147402"/>
    <n v="2E+20"/>
    <n v="3.77373200780477"/>
    <n v="13.9904048933167"/>
    <n v="45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6"/>
    <x v="11"/>
    <x v="10"/>
    <x v="3"/>
    <n v="5.7216303778570596"/>
    <n v="2E+20"/>
    <n v="3.9039523983078901"/>
    <n v="12.3815572575869"/>
    <n v="39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7"/>
    <x v="11"/>
    <x v="10"/>
    <x v="3"/>
    <n v="5.7860017153237804"/>
    <n v="2E+20"/>
    <n v="3.9216516812408599"/>
    <n v="10.9217463512029"/>
    <n v="38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8"/>
    <x v="11"/>
    <x v="10"/>
    <x v="3"/>
    <n v="6.2370891620170301"/>
    <n v="2E+20"/>
    <n v="4.09411058137204"/>
    <n v="11.060571969165499"/>
    <n v="34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9"/>
    <x v="11"/>
    <x v="10"/>
    <x v="3"/>
    <n v="5.0664534532326799"/>
    <n v="2E+20"/>
    <n v="3.7758741569295502"/>
    <n v="7.7385654873742604"/>
    <n v="34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0"/>
    <x v="11"/>
    <x v="10"/>
    <x v="3"/>
    <n v="5.0609584404715404"/>
    <n v="2E+20"/>
    <n v="3.8186791056629699"/>
    <n v="8.4922699045034999"/>
    <n v="41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1"/>
    <x v="11"/>
    <x v="10"/>
    <x v="3"/>
    <n v="5.4779144439759397"/>
    <n v="2E+20"/>
    <n v="3.9162561901202699"/>
    <n v="10.4133186108066"/>
    <n v="44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2"/>
    <x v="11"/>
    <x v="10"/>
    <x v="3"/>
    <n v="4.5414842685188104"/>
    <n v="2E+20"/>
    <n v="3.8213819387362098"/>
    <n v="5.3058785150574899"/>
    <n v="28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3"/>
    <x v="11"/>
    <x v="10"/>
    <x v="3"/>
    <n v="5.1297077386662897"/>
    <n v="2E+20"/>
    <n v="3.9432756521734298"/>
    <n v="7.7716694485821201"/>
    <n v="37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4"/>
    <x v="11"/>
    <x v="10"/>
    <x v="3"/>
    <n v="5.7451893964056397"/>
    <n v="2E+20"/>
    <n v="4.0303409931519001"/>
    <n v="11.5590259560568"/>
    <n v="44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5"/>
    <x v="11"/>
    <x v="10"/>
    <x v="3"/>
    <n v="5.9286923725667702"/>
    <n v="2E+20"/>
    <n v="4.1081519687558599"/>
    <n v="10.712704223101801"/>
    <n v="46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6"/>
    <x v="11"/>
    <x v="10"/>
    <x v="3"/>
    <n v="5.2789868852581803"/>
    <n v="2E+20"/>
    <n v="3.7631500064803398"/>
    <n v="8.3765423593206396"/>
    <n v="36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7"/>
    <x v="11"/>
    <x v="10"/>
    <x v="3"/>
    <n v="5.1578603614814797"/>
    <n v="2E+20"/>
    <n v="4.0370712054074698"/>
    <n v="7.7781456312297301"/>
    <n v="31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8"/>
    <x v="11"/>
    <x v="10"/>
    <x v="3"/>
    <n v="7.0605631014237096"/>
    <n v="2E+20"/>
    <n v="4.0502293774329798"/>
    <n v="13.1971108310285"/>
    <n v="44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19"/>
    <x v="11"/>
    <x v="10"/>
    <x v="3"/>
    <n v="5.8942133079372603"/>
    <n v="2E+20"/>
    <n v="4.0874960166305803"/>
    <n v="9.0287947879010204"/>
    <n v="32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0"/>
    <x v="11"/>
    <x v="10"/>
    <x v="3"/>
    <n v="5.8777488770038904"/>
    <n v="2E+20"/>
    <n v="3.8118710216141398"/>
    <n v="9.5502200894016394"/>
    <n v="42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1"/>
    <x v="11"/>
    <x v="10"/>
    <x v="3"/>
    <n v="5.8677766038104604"/>
    <n v="2E+20"/>
    <n v="3.9257274289025199"/>
    <n v="8.9947946623618495"/>
    <n v="49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2"/>
    <x v="11"/>
    <x v="10"/>
    <x v="3"/>
    <n v="5.3585831308550196"/>
    <n v="2E+20"/>
    <n v="3.8998443838482202"/>
    <n v="10.208446951671201"/>
    <n v="34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3"/>
    <x v="11"/>
    <x v="10"/>
    <x v="3"/>
    <n v="5.5750073009557299"/>
    <n v="2E+20"/>
    <n v="3.9343613497721499"/>
    <n v="14.7043954945631"/>
    <n v="40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4"/>
    <x v="11"/>
    <x v="10"/>
    <x v="3"/>
    <n v="5.2485468905854002"/>
    <n v="2E+20"/>
    <n v="4.0997643602738902"/>
    <n v="8.0193183830500594"/>
    <n v="39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5"/>
    <x v="11"/>
    <x v="10"/>
    <x v="3"/>
    <n v="5.8991462347782901"/>
    <n v="2E+20"/>
    <n v="4.14619432782745"/>
    <n v="11.804276302883901"/>
    <n v="35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6"/>
    <x v="11"/>
    <x v="10"/>
    <x v="3"/>
    <n v="6.5350297212214699"/>
    <n v="2E+20"/>
    <n v="3.8378643227556402"/>
    <n v="11.7990397483852"/>
    <n v="45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7"/>
    <x v="11"/>
    <x v="10"/>
    <x v="3"/>
    <n v="6.0860339742083296"/>
    <n v="2E+20"/>
    <n v="3.9947345185198602"/>
    <n v="15.254931763080601"/>
    <n v="43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8"/>
    <x v="11"/>
    <x v="10"/>
    <x v="3"/>
    <n v="5.5366392103216198"/>
    <n v="2E+20"/>
    <n v="3.9470249147768799"/>
    <n v="9.5178010041786791"/>
    <n v="39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29"/>
    <x v="11"/>
    <x v="10"/>
    <x v="3"/>
    <n v="6.2439564787786397"/>
    <n v="2E+20"/>
    <n v="3.8142829116111399"/>
    <n v="11.116060141194"/>
    <n v="47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  <r>
    <x v="0"/>
    <s v="2025-05-21 19:18:09"/>
    <n v="30"/>
    <x v="11"/>
    <x v="10"/>
    <x v="3"/>
    <n v="5.5956741739334301"/>
    <n v="2E+20"/>
    <n v="3.6737230936318102"/>
    <n v="13.054040763509001"/>
    <n v="35"/>
    <s v="Pedido CleintesTiempoSistemaIntervalUser Specified"/>
    <n v="30"/>
    <n v="5.6791002251848095"/>
    <n v="0.56356566752342163"/>
    <n v="0.95"/>
    <n v="0.21043887871942071"/>
    <n v="4.5414842685188104"/>
    <n v="7.0605631014237096"/>
    <n v="3.6737230936318102"/>
    <n v="17.694691938395401"/>
    <n v="38.866666666666667"/>
    <n v="0.21043887871942071"/>
    <n v="3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0">
  <r>
    <x v="0"/>
    <s v="2025-05-21 19:18:09"/>
    <n v="1"/>
    <x v="0"/>
    <x v="0"/>
    <x v="0"/>
    <n v="78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"/>
    <x v="1"/>
    <x v="1"/>
    <x v="0"/>
    <n v="72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"/>
    <x v="2"/>
    <x v="2"/>
    <x v="1"/>
    <n v="12.81226833040459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"/>
    <x v="4"/>
    <x v="0"/>
    <x v="1"/>
    <n v="25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"/>
    <x v="5"/>
    <x v="1"/>
    <x v="1"/>
    <n v="24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"/>
    <x v="6"/>
    <x v="2"/>
    <x v="1"/>
    <n v="26.106281767804099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"/>
    <x v="7"/>
    <x v="3"/>
    <x v="1"/>
    <n v="1.2884424067637501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"/>
    <x v="8"/>
    <x v="0"/>
    <x v="1"/>
    <n v="27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"/>
    <x v="9"/>
    <x v="1"/>
    <x v="1"/>
    <n v="26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"/>
    <x v="10"/>
    <x v="2"/>
    <x v="1"/>
    <n v="19.5732102508891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"/>
    <x v="11"/>
    <x v="3"/>
    <x v="1"/>
    <n v="3.7166415884341499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"/>
    <x v="12"/>
    <x v="0"/>
    <x v="1"/>
    <n v="26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"/>
    <x v="13"/>
    <x v="1"/>
    <x v="1"/>
    <n v="26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"/>
    <x v="14"/>
    <x v="2"/>
    <x v="1"/>
    <n v="74.976560761710004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"/>
    <x v="15"/>
    <x v="3"/>
    <x v="1"/>
    <n v="11.0717636169123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"/>
    <x v="16"/>
    <x v="0"/>
    <x v="1"/>
    <n v="26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"/>
    <x v="17"/>
    <x v="1"/>
    <x v="1"/>
    <n v="25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"/>
    <x v="18"/>
    <x v="1"/>
    <x v="2"/>
    <n v="24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"/>
    <x v="19"/>
    <x v="4"/>
    <x v="3"/>
    <n v="26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"/>
    <x v="20"/>
    <x v="5"/>
    <x v="3"/>
    <n v="0.312775779999246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"/>
    <x v="21"/>
    <x v="4"/>
    <x v="3"/>
    <n v="53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"/>
    <x v="22"/>
    <x v="5"/>
    <x v="3"/>
    <n v="0.194735973294278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"/>
    <x v="23"/>
    <x v="4"/>
    <x v="3"/>
    <n v="25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"/>
    <x v="24"/>
    <x v="5"/>
    <x v="3"/>
    <n v="5.3757894868807901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"/>
    <x v="0"/>
    <x v="0"/>
    <x v="0"/>
    <n v="123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"/>
    <x v="1"/>
    <x v="1"/>
    <x v="0"/>
    <n v="123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"/>
    <x v="2"/>
    <x v="2"/>
    <x v="1"/>
    <n v="20.832465413433301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"/>
    <x v="4"/>
    <x v="0"/>
    <x v="1"/>
    <n v="41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"/>
    <x v="5"/>
    <x v="1"/>
    <x v="1"/>
    <n v="41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"/>
    <x v="6"/>
    <x v="2"/>
    <x v="1"/>
    <n v="42.570295271275597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"/>
    <x v="7"/>
    <x v="3"/>
    <x v="1"/>
    <n v="4.74206800024775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"/>
    <x v="8"/>
    <x v="0"/>
    <x v="1"/>
    <n v="41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"/>
    <x v="9"/>
    <x v="1"/>
    <x v="1"/>
    <n v="41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"/>
    <x v="10"/>
    <x v="2"/>
    <x v="1"/>
    <n v="30.321596947063298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"/>
    <x v="11"/>
    <x v="3"/>
    <x v="1"/>
    <n v="9.5689579585440399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"/>
    <x v="12"/>
    <x v="0"/>
    <x v="1"/>
    <n v="41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"/>
    <x v="13"/>
    <x v="1"/>
    <x v="1"/>
    <n v="41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"/>
    <x v="14"/>
    <x v="2"/>
    <x v="1"/>
    <n v="121.910998327518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"/>
    <x v="15"/>
    <x v="3"/>
    <x v="1"/>
    <n v="30.24426867483909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"/>
    <x v="16"/>
    <x v="0"/>
    <x v="1"/>
    <n v="41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"/>
    <x v="17"/>
    <x v="1"/>
    <x v="1"/>
    <n v="41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"/>
    <x v="18"/>
    <x v="1"/>
    <x v="2"/>
    <n v="41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"/>
    <x v="19"/>
    <x v="4"/>
    <x v="3"/>
    <n v="41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"/>
    <x v="20"/>
    <x v="5"/>
    <x v="3"/>
    <n v="0.50796249303132301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"/>
    <x v="21"/>
    <x v="4"/>
    <x v="3"/>
    <n v="82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"/>
    <x v="22"/>
    <x v="5"/>
    <x v="3"/>
    <n v="0.30371621757641198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"/>
    <x v="23"/>
    <x v="4"/>
    <x v="3"/>
    <n v="41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"/>
    <x v="24"/>
    <x v="5"/>
    <x v="3"/>
    <n v="8.6801939222638902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3"/>
    <x v="0"/>
    <x v="0"/>
    <x v="0"/>
    <n v="141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3"/>
    <x v="1"/>
    <x v="1"/>
    <x v="0"/>
    <n v="141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3"/>
    <x v="2"/>
    <x v="2"/>
    <x v="1"/>
    <n v="23.720941658085898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3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3"/>
    <x v="4"/>
    <x v="0"/>
    <x v="1"/>
    <n v="47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3"/>
    <x v="5"/>
    <x v="1"/>
    <x v="1"/>
    <n v="47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3"/>
    <x v="6"/>
    <x v="2"/>
    <x v="1"/>
    <n v="46.741655931576702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3"/>
    <x v="7"/>
    <x v="3"/>
    <x v="1"/>
    <n v="18.843855117811401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3"/>
    <x v="8"/>
    <x v="0"/>
    <x v="1"/>
    <n v="47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3"/>
    <x v="9"/>
    <x v="1"/>
    <x v="1"/>
    <n v="47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3"/>
    <x v="10"/>
    <x v="2"/>
    <x v="1"/>
    <n v="36.664484869369197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3"/>
    <x v="11"/>
    <x v="3"/>
    <x v="1"/>
    <n v="30.155739782874701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3"/>
    <x v="12"/>
    <x v="0"/>
    <x v="1"/>
    <n v="47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3"/>
    <x v="13"/>
    <x v="1"/>
    <x v="1"/>
    <n v="47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3"/>
    <x v="14"/>
    <x v="2"/>
    <x v="1"/>
    <n v="140.429262232745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3"/>
    <x v="15"/>
    <x v="3"/>
    <x v="1"/>
    <n v="79.640551062181203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3"/>
    <x v="16"/>
    <x v="0"/>
    <x v="1"/>
    <n v="47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3"/>
    <x v="17"/>
    <x v="1"/>
    <x v="1"/>
    <n v="47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3"/>
    <x v="18"/>
    <x v="1"/>
    <x v="2"/>
    <n v="47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3"/>
    <x v="19"/>
    <x v="4"/>
    <x v="3"/>
    <n v="47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3"/>
    <x v="20"/>
    <x v="5"/>
    <x v="3"/>
    <n v="0.58512192596977297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3"/>
    <x v="21"/>
    <x v="4"/>
    <x v="3"/>
    <n v="94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3"/>
    <x v="22"/>
    <x v="5"/>
    <x v="3"/>
    <n v="0.34752558667060801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3"/>
    <x v="23"/>
    <x v="4"/>
    <x v="3"/>
    <n v="47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3"/>
    <x v="24"/>
    <x v="5"/>
    <x v="3"/>
    <n v="9.8837256908690996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4"/>
    <x v="0"/>
    <x v="0"/>
    <x v="0"/>
    <n v="99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4"/>
    <x v="1"/>
    <x v="1"/>
    <x v="0"/>
    <n v="99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4"/>
    <x v="2"/>
    <x v="2"/>
    <x v="1"/>
    <n v="17.129752963064998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4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4"/>
    <x v="4"/>
    <x v="0"/>
    <x v="1"/>
    <n v="33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4"/>
    <x v="5"/>
    <x v="1"/>
    <x v="1"/>
    <n v="33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4"/>
    <x v="6"/>
    <x v="2"/>
    <x v="1"/>
    <n v="32.979228338845701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4"/>
    <x v="7"/>
    <x v="3"/>
    <x v="1"/>
    <n v="1.5637566322172201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4"/>
    <x v="8"/>
    <x v="0"/>
    <x v="1"/>
    <n v="33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4"/>
    <x v="9"/>
    <x v="1"/>
    <x v="1"/>
    <n v="33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4"/>
    <x v="10"/>
    <x v="2"/>
    <x v="1"/>
    <n v="22.9351889293263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4"/>
    <x v="11"/>
    <x v="3"/>
    <x v="1"/>
    <n v="5.0902027934639902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4"/>
    <x v="12"/>
    <x v="0"/>
    <x v="1"/>
    <n v="33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4"/>
    <x v="13"/>
    <x v="1"/>
    <x v="1"/>
    <n v="33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4"/>
    <x v="14"/>
    <x v="2"/>
    <x v="1"/>
    <n v="100.30972838651699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4"/>
    <x v="15"/>
    <x v="3"/>
    <x v="1"/>
    <n v="14.994312564863799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4"/>
    <x v="16"/>
    <x v="0"/>
    <x v="1"/>
    <n v="33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4"/>
    <x v="17"/>
    <x v="1"/>
    <x v="1"/>
    <n v="33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4"/>
    <x v="18"/>
    <x v="1"/>
    <x v="2"/>
    <n v="33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4"/>
    <x v="19"/>
    <x v="4"/>
    <x v="3"/>
    <n v="33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4"/>
    <x v="20"/>
    <x v="5"/>
    <x v="3"/>
    <n v="0.417957201610486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4"/>
    <x v="21"/>
    <x v="4"/>
    <x v="3"/>
    <n v="6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4"/>
    <x v="22"/>
    <x v="5"/>
    <x v="3"/>
    <n v="0.2329767386173839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4"/>
    <x v="23"/>
    <x v="4"/>
    <x v="3"/>
    <n v="33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4"/>
    <x v="24"/>
    <x v="5"/>
    <x v="3"/>
    <n v="7.1373970679437404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5"/>
    <x v="0"/>
    <x v="0"/>
    <x v="0"/>
    <n v="137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5"/>
    <x v="1"/>
    <x v="1"/>
    <x v="0"/>
    <n v="135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5"/>
    <x v="2"/>
    <x v="2"/>
    <x v="1"/>
    <n v="22.35535535997329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5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5"/>
    <x v="4"/>
    <x v="0"/>
    <x v="1"/>
    <n v="45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5"/>
    <x v="5"/>
    <x v="1"/>
    <x v="1"/>
    <n v="45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5"/>
    <x v="6"/>
    <x v="2"/>
    <x v="1"/>
    <n v="44.557803471707999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5"/>
    <x v="7"/>
    <x v="3"/>
    <x v="1"/>
    <n v="11.1140750425403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5"/>
    <x v="8"/>
    <x v="0"/>
    <x v="1"/>
    <n v="46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5"/>
    <x v="9"/>
    <x v="1"/>
    <x v="1"/>
    <n v="46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5"/>
    <x v="10"/>
    <x v="2"/>
    <x v="1"/>
    <n v="32.398616550523897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5"/>
    <x v="11"/>
    <x v="3"/>
    <x v="1"/>
    <n v="20.138560036343002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5"/>
    <x v="12"/>
    <x v="0"/>
    <x v="1"/>
    <n v="46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5"/>
    <x v="13"/>
    <x v="1"/>
    <x v="1"/>
    <n v="46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5"/>
    <x v="14"/>
    <x v="2"/>
    <x v="1"/>
    <n v="134.40775491822399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5"/>
    <x v="15"/>
    <x v="3"/>
    <x v="1"/>
    <n v="79.003208169406804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5"/>
    <x v="16"/>
    <x v="0"/>
    <x v="1"/>
    <n v="46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5"/>
    <x v="17"/>
    <x v="1"/>
    <x v="1"/>
    <n v="45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5"/>
    <x v="18"/>
    <x v="1"/>
    <x v="2"/>
    <n v="45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5"/>
    <x v="19"/>
    <x v="4"/>
    <x v="3"/>
    <n v="46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5"/>
    <x v="20"/>
    <x v="5"/>
    <x v="3"/>
    <n v="0.56445211209023904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5"/>
    <x v="21"/>
    <x v="4"/>
    <x v="3"/>
    <n v="92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5"/>
    <x v="22"/>
    <x v="5"/>
    <x v="3"/>
    <n v="0.32065175009263303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5"/>
    <x v="23"/>
    <x v="4"/>
    <x v="3"/>
    <n v="45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5"/>
    <x v="24"/>
    <x v="5"/>
    <x v="3"/>
    <n v="9.3147313999888598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6"/>
    <x v="0"/>
    <x v="0"/>
    <x v="0"/>
    <n v="117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6"/>
    <x v="1"/>
    <x v="1"/>
    <x v="0"/>
    <n v="117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6"/>
    <x v="2"/>
    <x v="2"/>
    <x v="1"/>
    <n v="20.544283003704798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6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6"/>
    <x v="4"/>
    <x v="0"/>
    <x v="1"/>
    <n v="39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6"/>
    <x v="5"/>
    <x v="1"/>
    <x v="1"/>
    <n v="39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6"/>
    <x v="6"/>
    <x v="2"/>
    <x v="1"/>
    <n v="39.065115502401298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6"/>
    <x v="7"/>
    <x v="3"/>
    <x v="1"/>
    <n v="6.61795218264204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6"/>
    <x v="8"/>
    <x v="0"/>
    <x v="1"/>
    <n v="39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6"/>
    <x v="9"/>
    <x v="1"/>
    <x v="1"/>
    <n v="39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6"/>
    <x v="10"/>
    <x v="2"/>
    <x v="1"/>
    <n v="27.4431443936270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6"/>
    <x v="11"/>
    <x v="3"/>
    <x v="1"/>
    <n v="7.7645960526348299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6"/>
    <x v="12"/>
    <x v="0"/>
    <x v="1"/>
    <n v="39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6"/>
    <x v="13"/>
    <x v="1"/>
    <x v="1"/>
    <n v="39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6"/>
    <x v="14"/>
    <x v="2"/>
    <x v="1"/>
    <n v="119.263063952322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6"/>
    <x v="15"/>
    <x v="3"/>
    <x v="1"/>
    <n v="37.6531700953552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6"/>
    <x v="16"/>
    <x v="0"/>
    <x v="1"/>
    <n v="39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6"/>
    <x v="17"/>
    <x v="1"/>
    <x v="1"/>
    <n v="39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6"/>
    <x v="18"/>
    <x v="1"/>
    <x v="2"/>
    <n v="39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6"/>
    <x v="19"/>
    <x v="4"/>
    <x v="3"/>
    <n v="39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6"/>
    <x v="20"/>
    <x v="5"/>
    <x v="3"/>
    <n v="0.49692943313467602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6"/>
    <x v="21"/>
    <x v="4"/>
    <x v="3"/>
    <n v="78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6"/>
    <x v="22"/>
    <x v="5"/>
    <x v="3"/>
    <n v="0.27711774956678498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6"/>
    <x v="23"/>
    <x v="4"/>
    <x v="3"/>
    <n v="39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6"/>
    <x v="24"/>
    <x v="5"/>
    <x v="3"/>
    <n v="8.5601179182103498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7"/>
    <x v="0"/>
    <x v="0"/>
    <x v="0"/>
    <n v="114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7"/>
    <x v="1"/>
    <x v="1"/>
    <x v="0"/>
    <n v="114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7"/>
    <x v="2"/>
    <x v="2"/>
    <x v="1"/>
    <n v="20.8523064580694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7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7"/>
    <x v="4"/>
    <x v="0"/>
    <x v="1"/>
    <n v="38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7"/>
    <x v="5"/>
    <x v="1"/>
    <x v="1"/>
    <n v="38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7"/>
    <x v="6"/>
    <x v="2"/>
    <x v="1"/>
    <n v="37.079921221757203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7"/>
    <x v="7"/>
    <x v="3"/>
    <x v="1"/>
    <n v="7.17104496913334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7"/>
    <x v="8"/>
    <x v="0"/>
    <x v="1"/>
    <n v="38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7"/>
    <x v="9"/>
    <x v="1"/>
    <x v="1"/>
    <n v="38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7"/>
    <x v="10"/>
    <x v="2"/>
    <x v="1"/>
    <n v="29.3637948605542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7"/>
    <x v="11"/>
    <x v="3"/>
    <x v="1"/>
    <n v="4.7807872034457102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7"/>
    <x v="12"/>
    <x v="0"/>
    <x v="1"/>
    <n v="38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7"/>
    <x v="13"/>
    <x v="1"/>
    <x v="1"/>
    <n v="38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7"/>
    <x v="14"/>
    <x v="2"/>
    <x v="1"/>
    <n v="114.45200908520999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7"/>
    <x v="15"/>
    <x v="3"/>
    <x v="1"/>
    <n v="40.31278344813409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7"/>
    <x v="16"/>
    <x v="0"/>
    <x v="1"/>
    <n v="38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7"/>
    <x v="17"/>
    <x v="1"/>
    <x v="1"/>
    <n v="38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7"/>
    <x v="18"/>
    <x v="1"/>
    <x v="2"/>
    <n v="38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7"/>
    <x v="19"/>
    <x v="4"/>
    <x v="3"/>
    <n v="38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7"/>
    <x v="20"/>
    <x v="5"/>
    <x v="3"/>
    <n v="0.47688337118837298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7"/>
    <x v="21"/>
    <x v="4"/>
    <x v="3"/>
    <n v="7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7"/>
    <x v="22"/>
    <x v="5"/>
    <x v="3"/>
    <n v="0.2768488170096309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7"/>
    <x v="23"/>
    <x v="4"/>
    <x v="3"/>
    <n v="38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7"/>
    <x v="24"/>
    <x v="5"/>
    <x v="3"/>
    <n v="8.6884610241955998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8"/>
    <x v="0"/>
    <x v="0"/>
    <x v="0"/>
    <n v="108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8"/>
    <x v="1"/>
    <x v="1"/>
    <x v="0"/>
    <n v="102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8"/>
    <x v="2"/>
    <x v="2"/>
    <x v="1"/>
    <n v="18.51944809403499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8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8"/>
    <x v="4"/>
    <x v="0"/>
    <x v="1"/>
    <n v="35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8"/>
    <x v="5"/>
    <x v="1"/>
    <x v="1"/>
    <n v="34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8"/>
    <x v="6"/>
    <x v="2"/>
    <x v="1"/>
    <n v="36.298591770947098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8"/>
    <x v="7"/>
    <x v="3"/>
    <x v="1"/>
    <n v="10.6636938794739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8"/>
    <x v="8"/>
    <x v="0"/>
    <x v="1"/>
    <n v="37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8"/>
    <x v="9"/>
    <x v="1"/>
    <x v="1"/>
    <n v="36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8"/>
    <x v="10"/>
    <x v="2"/>
    <x v="1"/>
    <n v="29.117071929496699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8"/>
    <x v="11"/>
    <x v="3"/>
    <x v="1"/>
    <n v="17.770826718075998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8"/>
    <x v="12"/>
    <x v="0"/>
    <x v="1"/>
    <n v="36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8"/>
    <x v="13"/>
    <x v="1"/>
    <x v="1"/>
    <n v="36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8"/>
    <x v="14"/>
    <x v="2"/>
    <x v="1"/>
    <n v="105.295395001786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8"/>
    <x v="15"/>
    <x v="3"/>
    <x v="1"/>
    <n v="46.050793889050802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8"/>
    <x v="16"/>
    <x v="0"/>
    <x v="1"/>
    <n v="36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8"/>
    <x v="17"/>
    <x v="1"/>
    <x v="1"/>
    <n v="35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8"/>
    <x v="18"/>
    <x v="1"/>
    <x v="2"/>
    <n v="34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8"/>
    <x v="19"/>
    <x v="4"/>
    <x v="3"/>
    <n v="36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8"/>
    <x v="20"/>
    <x v="5"/>
    <x v="3"/>
    <n v="0.440171879332103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8"/>
    <x v="21"/>
    <x v="4"/>
    <x v="3"/>
    <n v="73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8"/>
    <x v="22"/>
    <x v="5"/>
    <x v="3"/>
    <n v="0.27398625202090898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8"/>
    <x v="23"/>
    <x v="4"/>
    <x v="3"/>
    <n v="35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8"/>
    <x v="24"/>
    <x v="5"/>
    <x v="3"/>
    <n v="7.86054338831427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9"/>
    <x v="0"/>
    <x v="0"/>
    <x v="0"/>
    <n v="104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9"/>
    <x v="1"/>
    <x v="1"/>
    <x v="0"/>
    <n v="102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9"/>
    <x v="2"/>
    <x v="2"/>
    <x v="1"/>
    <n v="18.382223933975101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9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9"/>
    <x v="4"/>
    <x v="0"/>
    <x v="1"/>
    <n v="34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9"/>
    <x v="5"/>
    <x v="1"/>
    <x v="1"/>
    <n v="34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9"/>
    <x v="6"/>
    <x v="2"/>
    <x v="1"/>
    <n v="33.134693823712297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9"/>
    <x v="7"/>
    <x v="3"/>
    <x v="1"/>
    <n v="3.66739748888094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9"/>
    <x v="8"/>
    <x v="0"/>
    <x v="1"/>
    <n v="35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9"/>
    <x v="9"/>
    <x v="1"/>
    <x v="1"/>
    <n v="35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9"/>
    <x v="10"/>
    <x v="2"/>
    <x v="1"/>
    <n v="25.199607756641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9"/>
    <x v="11"/>
    <x v="3"/>
    <x v="1"/>
    <n v="8.2591732251653305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9"/>
    <x v="12"/>
    <x v="0"/>
    <x v="1"/>
    <n v="35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9"/>
    <x v="13"/>
    <x v="1"/>
    <x v="1"/>
    <n v="35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9"/>
    <x v="14"/>
    <x v="2"/>
    <x v="1"/>
    <n v="100.998559125086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9"/>
    <x v="15"/>
    <x v="3"/>
    <x v="1"/>
    <n v="17.307436501911599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9"/>
    <x v="16"/>
    <x v="0"/>
    <x v="1"/>
    <n v="35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9"/>
    <x v="17"/>
    <x v="1"/>
    <x v="1"/>
    <n v="34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9"/>
    <x v="18"/>
    <x v="1"/>
    <x v="2"/>
    <n v="34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9"/>
    <x v="19"/>
    <x v="4"/>
    <x v="3"/>
    <n v="35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9"/>
    <x v="20"/>
    <x v="5"/>
    <x v="3"/>
    <n v="0.43219764849044101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9"/>
    <x v="21"/>
    <x v="4"/>
    <x v="3"/>
    <n v="70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9"/>
    <x v="22"/>
    <x v="5"/>
    <x v="3"/>
    <n v="0.24305958991813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9"/>
    <x v="23"/>
    <x v="4"/>
    <x v="3"/>
    <n v="34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9"/>
    <x v="24"/>
    <x v="5"/>
    <x v="3"/>
    <n v="7.6592599724896404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0"/>
    <x v="0"/>
    <x v="0"/>
    <x v="0"/>
    <n v="123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0"/>
    <x v="1"/>
    <x v="1"/>
    <x v="0"/>
    <n v="123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0"/>
    <x v="2"/>
    <x v="2"/>
    <x v="1"/>
    <n v="19.088426004147902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0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0"/>
    <x v="4"/>
    <x v="0"/>
    <x v="1"/>
    <n v="41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0"/>
    <x v="5"/>
    <x v="1"/>
    <x v="1"/>
    <n v="41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0"/>
    <x v="6"/>
    <x v="2"/>
    <x v="1"/>
    <n v="41.603219306191001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0"/>
    <x v="7"/>
    <x v="3"/>
    <x v="1"/>
    <n v="3.51014972769392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0"/>
    <x v="8"/>
    <x v="0"/>
    <x v="1"/>
    <n v="41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0"/>
    <x v="9"/>
    <x v="1"/>
    <x v="1"/>
    <n v="41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0"/>
    <x v="10"/>
    <x v="2"/>
    <x v="1"/>
    <n v="30.6777423165191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0"/>
    <x v="11"/>
    <x v="3"/>
    <x v="1"/>
    <n v="9.9430073446916794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0"/>
    <x v="12"/>
    <x v="0"/>
    <x v="1"/>
    <n v="41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0"/>
    <x v="13"/>
    <x v="1"/>
    <x v="1"/>
    <n v="41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0"/>
    <x v="14"/>
    <x v="2"/>
    <x v="1"/>
    <n v="120.936651622666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0"/>
    <x v="15"/>
    <x v="3"/>
    <x v="1"/>
    <n v="22.360849398634802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0"/>
    <x v="16"/>
    <x v="0"/>
    <x v="1"/>
    <n v="41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0"/>
    <x v="17"/>
    <x v="1"/>
    <x v="1"/>
    <n v="41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0"/>
    <x v="18"/>
    <x v="1"/>
    <x v="2"/>
    <n v="41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0"/>
    <x v="19"/>
    <x v="4"/>
    <x v="3"/>
    <n v="41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0"/>
    <x v="20"/>
    <x v="5"/>
    <x v="3"/>
    <n v="0.50390271509443996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0"/>
    <x v="21"/>
    <x v="4"/>
    <x v="3"/>
    <n v="82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0"/>
    <x v="22"/>
    <x v="5"/>
    <x v="3"/>
    <n v="0.30117067342795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0"/>
    <x v="23"/>
    <x v="4"/>
    <x v="3"/>
    <n v="41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0"/>
    <x v="24"/>
    <x v="5"/>
    <x v="3"/>
    <n v="7.9535108350616099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1"/>
    <x v="0"/>
    <x v="0"/>
    <x v="0"/>
    <n v="134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1"/>
    <x v="1"/>
    <x v="1"/>
    <x v="0"/>
    <n v="132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1"/>
    <x v="2"/>
    <x v="2"/>
    <x v="1"/>
    <n v="21.653959135896301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1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1"/>
    <x v="4"/>
    <x v="0"/>
    <x v="1"/>
    <n v="44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1"/>
    <x v="5"/>
    <x v="1"/>
    <x v="1"/>
    <n v="44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1"/>
    <x v="6"/>
    <x v="2"/>
    <x v="1"/>
    <n v="45.108357462794501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1"/>
    <x v="7"/>
    <x v="3"/>
    <x v="1"/>
    <n v="8.1690475668022398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1"/>
    <x v="8"/>
    <x v="0"/>
    <x v="1"/>
    <n v="45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1"/>
    <x v="9"/>
    <x v="1"/>
    <x v="1"/>
    <n v="45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1"/>
    <x v="10"/>
    <x v="2"/>
    <x v="1"/>
    <n v="31.8976292567338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1"/>
    <x v="11"/>
    <x v="3"/>
    <x v="1"/>
    <n v="14.0538161921426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1"/>
    <x v="12"/>
    <x v="0"/>
    <x v="1"/>
    <n v="45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1"/>
    <x v="13"/>
    <x v="1"/>
    <x v="1"/>
    <n v="44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1"/>
    <x v="14"/>
    <x v="2"/>
    <x v="1"/>
    <n v="130.215009069599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1"/>
    <x v="15"/>
    <x v="3"/>
    <x v="1"/>
    <n v="36.65258541730629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1"/>
    <x v="16"/>
    <x v="0"/>
    <x v="1"/>
    <n v="45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1"/>
    <x v="17"/>
    <x v="1"/>
    <x v="1"/>
    <n v="44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1"/>
    <x v="18"/>
    <x v="1"/>
    <x v="2"/>
    <n v="44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1"/>
    <x v="19"/>
    <x v="4"/>
    <x v="3"/>
    <n v="45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1"/>
    <x v="20"/>
    <x v="5"/>
    <x v="3"/>
    <n v="0.54448563197593103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1"/>
    <x v="21"/>
    <x v="4"/>
    <x v="3"/>
    <n v="90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1"/>
    <x v="22"/>
    <x v="5"/>
    <x v="3"/>
    <n v="0.32278137218397002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1"/>
    <x v="23"/>
    <x v="4"/>
    <x v="3"/>
    <n v="44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1"/>
    <x v="24"/>
    <x v="5"/>
    <x v="3"/>
    <n v="9.0224829732901302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2"/>
    <x v="0"/>
    <x v="0"/>
    <x v="0"/>
    <n v="86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2"/>
    <x v="1"/>
    <x v="1"/>
    <x v="0"/>
    <n v="84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2"/>
    <x v="2"/>
    <x v="2"/>
    <x v="1"/>
    <n v="13.62736728597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2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2"/>
    <x v="4"/>
    <x v="0"/>
    <x v="1"/>
    <n v="28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2"/>
    <x v="5"/>
    <x v="1"/>
    <x v="1"/>
    <n v="28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2"/>
    <x v="6"/>
    <x v="2"/>
    <x v="1"/>
    <n v="29.0305021330811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2"/>
    <x v="7"/>
    <x v="3"/>
    <x v="1"/>
    <n v="0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2"/>
    <x v="8"/>
    <x v="0"/>
    <x v="1"/>
    <n v="29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2"/>
    <x v="9"/>
    <x v="1"/>
    <x v="1"/>
    <n v="29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2"/>
    <x v="10"/>
    <x v="2"/>
    <x v="1"/>
    <n v="21.368173774765999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2"/>
    <x v="11"/>
    <x v="3"/>
    <x v="1"/>
    <n v="0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2"/>
    <x v="12"/>
    <x v="0"/>
    <x v="1"/>
    <n v="29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2"/>
    <x v="13"/>
    <x v="1"/>
    <x v="1"/>
    <n v="29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2"/>
    <x v="14"/>
    <x v="2"/>
    <x v="1"/>
    <n v="83.224112256703094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2"/>
    <x v="15"/>
    <x v="3"/>
    <x v="1"/>
    <n v="2.1708788192608899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2"/>
    <x v="16"/>
    <x v="0"/>
    <x v="1"/>
    <n v="29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2"/>
    <x v="17"/>
    <x v="1"/>
    <x v="1"/>
    <n v="28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2"/>
    <x v="18"/>
    <x v="1"/>
    <x v="2"/>
    <n v="28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2"/>
    <x v="19"/>
    <x v="4"/>
    <x v="3"/>
    <n v="29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2"/>
    <x v="20"/>
    <x v="5"/>
    <x v="3"/>
    <n v="0.35746401082605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2"/>
    <x v="21"/>
    <x v="4"/>
    <x v="3"/>
    <n v="58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2"/>
    <x v="22"/>
    <x v="5"/>
    <x v="3"/>
    <n v="0.2099944829493629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2"/>
    <x v="23"/>
    <x v="4"/>
    <x v="3"/>
    <n v="28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2"/>
    <x v="24"/>
    <x v="5"/>
    <x v="3"/>
    <n v="5.6780697024912299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3"/>
    <x v="0"/>
    <x v="0"/>
    <x v="0"/>
    <n v="113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3"/>
    <x v="1"/>
    <x v="1"/>
    <x v="0"/>
    <n v="111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3"/>
    <x v="2"/>
    <x v="2"/>
    <x v="1"/>
    <n v="17.63200251436759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3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3"/>
    <x v="4"/>
    <x v="0"/>
    <x v="1"/>
    <n v="37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3"/>
    <x v="5"/>
    <x v="1"/>
    <x v="1"/>
    <n v="37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3"/>
    <x v="6"/>
    <x v="2"/>
    <x v="1"/>
    <n v="38.106690840554698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3"/>
    <x v="7"/>
    <x v="3"/>
    <x v="1"/>
    <n v="5.5972984340072998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3"/>
    <x v="8"/>
    <x v="0"/>
    <x v="1"/>
    <n v="38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3"/>
    <x v="9"/>
    <x v="1"/>
    <x v="1"/>
    <n v="38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3"/>
    <x v="10"/>
    <x v="2"/>
    <x v="1"/>
    <n v="28.192252902550202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3"/>
    <x v="11"/>
    <x v="3"/>
    <x v="1"/>
    <n v="8.71729898247062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3"/>
    <x v="12"/>
    <x v="0"/>
    <x v="1"/>
    <n v="38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3"/>
    <x v="13"/>
    <x v="1"/>
    <x v="1"/>
    <n v="38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3"/>
    <x v="14"/>
    <x v="2"/>
    <x v="1"/>
    <n v="111.49676973593699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3"/>
    <x v="15"/>
    <x v="3"/>
    <x v="1"/>
    <n v="18.9184570569934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3"/>
    <x v="16"/>
    <x v="0"/>
    <x v="1"/>
    <n v="38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3"/>
    <x v="17"/>
    <x v="1"/>
    <x v="1"/>
    <n v="37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3"/>
    <x v="18"/>
    <x v="1"/>
    <x v="2"/>
    <n v="37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3"/>
    <x v="19"/>
    <x v="4"/>
    <x v="3"/>
    <n v="38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3"/>
    <x v="20"/>
    <x v="5"/>
    <x v="3"/>
    <n v="0.473661497490875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3"/>
    <x v="21"/>
    <x v="4"/>
    <x v="3"/>
    <n v="7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3"/>
    <x v="22"/>
    <x v="5"/>
    <x v="3"/>
    <n v="0.2762455989296039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3"/>
    <x v="23"/>
    <x v="4"/>
    <x v="3"/>
    <n v="37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3"/>
    <x v="24"/>
    <x v="5"/>
    <x v="3"/>
    <n v="7.3466677143198503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4"/>
    <x v="0"/>
    <x v="0"/>
    <x v="0"/>
    <n v="141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4"/>
    <x v="1"/>
    <x v="1"/>
    <x v="0"/>
    <n v="132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4"/>
    <x v="2"/>
    <x v="2"/>
    <x v="1"/>
    <n v="20.504711521930201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4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4"/>
    <x v="4"/>
    <x v="0"/>
    <x v="1"/>
    <n v="44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4"/>
    <x v="5"/>
    <x v="1"/>
    <x v="1"/>
    <n v="44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4"/>
    <x v="6"/>
    <x v="2"/>
    <x v="1"/>
    <n v="48.530945744280402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4"/>
    <x v="7"/>
    <x v="3"/>
    <x v="1"/>
    <n v="13.622171195564899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4"/>
    <x v="8"/>
    <x v="0"/>
    <x v="1"/>
    <n v="49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4"/>
    <x v="9"/>
    <x v="1"/>
    <x v="1"/>
    <n v="48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4"/>
    <x v="10"/>
    <x v="2"/>
    <x v="1"/>
    <n v="36.437324214373803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4"/>
    <x v="11"/>
    <x v="3"/>
    <x v="1"/>
    <n v="19.238202061182299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4"/>
    <x v="12"/>
    <x v="0"/>
    <x v="1"/>
    <n v="48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4"/>
    <x v="13"/>
    <x v="1"/>
    <x v="1"/>
    <n v="47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4"/>
    <x v="14"/>
    <x v="2"/>
    <x v="1"/>
    <n v="132.126166045752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4"/>
    <x v="15"/>
    <x v="3"/>
    <x v="1"/>
    <n v="45.0625780175735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4"/>
    <x v="16"/>
    <x v="0"/>
    <x v="1"/>
    <n v="48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4"/>
    <x v="17"/>
    <x v="1"/>
    <x v="1"/>
    <n v="44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4"/>
    <x v="18"/>
    <x v="1"/>
    <x v="2"/>
    <n v="44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4"/>
    <x v="19"/>
    <x v="4"/>
    <x v="3"/>
    <n v="45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4"/>
    <x v="20"/>
    <x v="5"/>
    <x v="3"/>
    <n v="0.56102683884971605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4"/>
    <x v="21"/>
    <x v="4"/>
    <x v="3"/>
    <n v="9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4"/>
    <x v="22"/>
    <x v="5"/>
    <x v="3"/>
    <n v="0.35600885922648501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4"/>
    <x v="23"/>
    <x v="4"/>
    <x v="3"/>
    <n v="44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4"/>
    <x v="24"/>
    <x v="5"/>
    <x v="3"/>
    <n v="8.5436298008042297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5"/>
    <x v="0"/>
    <x v="0"/>
    <x v="0"/>
    <n v="139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5"/>
    <x v="1"/>
    <x v="1"/>
    <x v="0"/>
    <n v="138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5"/>
    <x v="2"/>
    <x v="2"/>
    <x v="1"/>
    <n v="24.7460827705196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5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5"/>
    <x v="4"/>
    <x v="0"/>
    <x v="1"/>
    <n v="46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5"/>
    <x v="5"/>
    <x v="1"/>
    <x v="1"/>
    <n v="46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5"/>
    <x v="6"/>
    <x v="2"/>
    <x v="1"/>
    <n v="47.013980353543403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5"/>
    <x v="7"/>
    <x v="3"/>
    <x v="1"/>
    <n v="10.9039929367604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5"/>
    <x v="8"/>
    <x v="0"/>
    <x v="1"/>
    <n v="47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5"/>
    <x v="9"/>
    <x v="1"/>
    <x v="1"/>
    <n v="46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5"/>
    <x v="10"/>
    <x v="2"/>
    <x v="1"/>
    <n v="32.847401049750196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5"/>
    <x v="11"/>
    <x v="3"/>
    <x v="1"/>
    <n v="19.416549147139801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5"/>
    <x v="12"/>
    <x v="0"/>
    <x v="1"/>
    <n v="46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5"/>
    <x v="13"/>
    <x v="1"/>
    <x v="1"/>
    <n v="46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5"/>
    <x v="14"/>
    <x v="2"/>
    <x v="1"/>
    <n v="138.021936723322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5"/>
    <x v="15"/>
    <x v="3"/>
    <x v="1"/>
    <n v="52.03385635392589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5"/>
    <x v="16"/>
    <x v="0"/>
    <x v="1"/>
    <n v="46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5"/>
    <x v="17"/>
    <x v="1"/>
    <x v="1"/>
    <n v="46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5"/>
    <x v="18"/>
    <x v="1"/>
    <x v="2"/>
    <n v="46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5"/>
    <x v="19"/>
    <x v="4"/>
    <x v="3"/>
    <n v="46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5"/>
    <x v="20"/>
    <x v="5"/>
    <x v="3"/>
    <n v="0.57509140301384398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5"/>
    <x v="21"/>
    <x v="4"/>
    <x v="3"/>
    <n v="93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5"/>
    <x v="22"/>
    <x v="5"/>
    <x v="3"/>
    <n v="0.33629620257472598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5"/>
    <x v="23"/>
    <x v="4"/>
    <x v="3"/>
    <n v="46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5"/>
    <x v="24"/>
    <x v="5"/>
    <x v="3"/>
    <n v="0.103108678210498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6"/>
    <x v="0"/>
    <x v="0"/>
    <x v="0"/>
    <n v="109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6"/>
    <x v="1"/>
    <x v="1"/>
    <x v="0"/>
    <n v="108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6"/>
    <x v="2"/>
    <x v="2"/>
    <x v="1"/>
    <n v="20.619617058073601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6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6"/>
    <x v="4"/>
    <x v="0"/>
    <x v="1"/>
    <n v="36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6"/>
    <x v="5"/>
    <x v="1"/>
    <x v="1"/>
    <n v="36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6"/>
    <x v="6"/>
    <x v="2"/>
    <x v="1"/>
    <n v="36.536528725053202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6"/>
    <x v="7"/>
    <x v="3"/>
    <x v="1"/>
    <n v="3.59433597425652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6"/>
    <x v="8"/>
    <x v="0"/>
    <x v="1"/>
    <n v="37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6"/>
    <x v="9"/>
    <x v="1"/>
    <x v="1"/>
    <n v="36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6"/>
    <x v="10"/>
    <x v="2"/>
    <x v="1"/>
    <n v="26.234996313721499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6"/>
    <x v="11"/>
    <x v="3"/>
    <x v="1"/>
    <n v="9.1555770219844295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6"/>
    <x v="12"/>
    <x v="0"/>
    <x v="1"/>
    <n v="36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6"/>
    <x v="13"/>
    <x v="1"/>
    <x v="1"/>
    <n v="36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6"/>
    <x v="14"/>
    <x v="2"/>
    <x v="1"/>
    <n v="107.817700636395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6"/>
    <x v="15"/>
    <x v="3"/>
    <x v="1"/>
    <n v="21.475345475516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6"/>
    <x v="16"/>
    <x v="0"/>
    <x v="1"/>
    <n v="36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6"/>
    <x v="17"/>
    <x v="1"/>
    <x v="1"/>
    <n v="36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6"/>
    <x v="18"/>
    <x v="1"/>
    <x v="2"/>
    <n v="36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6"/>
    <x v="19"/>
    <x v="4"/>
    <x v="3"/>
    <n v="36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6"/>
    <x v="20"/>
    <x v="5"/>
    <x v="3"/>
    <n v="0.449240419318310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6"/>
    <x v="21"/>
    <x v="4"/>
    <x v="3"/>
    <n v="73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6"/>
    <x v="22"/>
    <x v="5"/>
    <x v="3"/>
    <n v="0.26424452175138902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6"/>
    <x v="23"/>
    <x v="4"/>
    <x v="3"/>
    <n v="36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6"/>
    <x v="24"/>
    <x v="5"/>
    <x v="3"/>
    <n v="8.5915071075306507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7"/>
    <x v="0"/>
    <x v="0"/>
    <x v="0"/>
    <n v="97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7"/>
    <x v="1"/>
    <x v="1"/>
    <x v="0"/>
    <n v="93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7"/>
    <x v="2"/>
    <x v="2"/>
    <x v="1"/>
    <n v="17.664122777962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7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7"/>
    <x v="4"/>
    <x v="0"/>
    <x v="1"/>
    <n v="31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7"/>
    <x v="5"/>
    <x v="1"/>
    <x v="1"/>
    <n v="31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7"/>
    <x v="6"/>
    <x v="2"/>
    <x v="1"/>
    <n v="32.461998270023102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7"/>
    <x v="7"/>
    <x v="3"/>
    <x v="1"/>
    <n v="3.5773488327271101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7"/>
    <x v="8"/>
    <x v="0"/>
    <x v="1"/>
    <n v="33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7"/>
    <x v="9"/>
    <x v="1"/>
    <x v="1"/>
    <n v="33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7"/>
    <x v="10"/>
    <x v="2"/>
    <x v="1"/>
    <n v="24.764253811071502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7"/>
    <x v="11"/>
    <x v="3"/>
    <x v="1"/>
    <n v="4.3423883373366401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7"/>
    <x v="12"/>
    <x v="0"/>
    <x v="1"/>
    <n v="33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7"/>
    <x v="13"/>
    <x v="1"/>
    <x v="1"/>
    <n v="32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7"/>
    <x v="14"/>
    <x v="2"/>
    <x v="1"/>
    <n v="91.869228391908607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7"/>
    <x v="15"/>
    <x v="3"/>
    <x v="1"/>
    <n v="16.8137784185482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7"/>
    <x v="16"/>
    <x v="0"/>
    <x v="1"/>
    <n v="33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7"/>
    <x v="17"/>
    <x v="1"/>
    <x v="1"/>
    <n v="31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7"/>
    <x v="18"/>
    <x v="1"/>
    <x v="2"/>
    <n v="31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7"/>
    <x v="19"/>
    <x v="4"/>
    <x v="3"/>
    <n v="32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7"/>
    <x v="20"/>
    <x v="5"/>
    <x v="3"/>
    <n v="0.390123122775005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7"/>
    <x v="21"/>
    <x v="4"/>
    <x v="3"/>
    <n v="6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7"/>
    <x v="22"/>
    <x v="5"/>
    <x v="3"/>
    <n v="0.238914505666034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7"/>
    <x v="23"/>
    <x v="4"/>
    <x v="3"/>
    <n v="31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7"/>
    <x v="24"/>
    <x v="5"/>
    <x v="3"/>
    <n v="7.3600511574841807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8"/>
    <x v="0"/>
    <x v="0"/>
    <x v="0"/>
    <n v="132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8"/>
    <x v="1"/>
    <x v="1"/>
    <x v="0"/>
    <n v="132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8"/>
    <x v="2"/>
    <x v="2"/>
    <x v="1"/>
    <n v="22.677261638768201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8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8"/>
    <x v="4"/>
    <x v="0"/>
    <x v="1"/>
    <n v="44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8"/>
    <x v="5"/>
    <x v="1"/>
    <x v="1"/>
    <n v="44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8"/>
    <x v="6"/>
    <x v="2"/>
    <x v="1"/>
    <n v="41.113247898873503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8"/>
    <x v="7"/>
    <x v="3"/>
    <x v="1"/>
    <n v="18.6415150146745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8"/>
    <x v="8"/>
    <x v="0"/>
    <x v="1"/>
    <n v="44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8"/>
    <x v="9"/>
    <x v="1"/>
    <x v="1"/>
    <n v="44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8"/>
    <x v="10"/>
    <x v="2"/>
    <x v="1"/>
    <n v="33.706035931026904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8"/>
    <x v="11"/>
    <x v="3"/>
    <x v="1"/>
    <n v="32.770863925850499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8"/>
    <x v="12"/>
    <x v="0"/>
    <x v="1"/>
    <n v="44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8"/>
    <x v="13"/>
    <x v="1"/>
    <x v="1"/>
    <n v="44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8"/>
    <x v="14"/>
    <x v="2"/>
    <x v="1"/>
    <n v="133.28124535140699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8"/>
    <x v="15"/>
    <x v="3"/>
    <x v="1"/>
    <n v="94.914292939890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8"/>
    <x v="16"/>
    <x v="0"/>
    <x v="1"/>
    <n v="44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8"/>
    <x v="17"/>
    <x v="1"/>
    <x v="1"/>
    <n v="44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8"/>
    <x v="18"/>
    <x v="1"/>
    <x v="2"/>
    <n v="44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8"/>
    <x v="19"/>
    <x v="4"/>
    <x v="3"/>
    <n v="44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8"/>
    <x v="20"/>
    <x v="5"/>
    <x v="3"/>
    <n v="0.555338522297531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8"/>
    <x v="21"/>
    <x v="4"/>
    <x v="3"/>
    <n v="88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8"/>
    <x v="22"/>
    <x v="5"/>
    <x v="3"/>
    <n v="0.31174701595791798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8"/>
    <x v="23"/>
    <x v="4"/>
    <x v="3"/>
    <n v="44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8"/>
    <x v="24"/>
    <x v="5"/>
    <x v="3"/>
    <n v="9.44885901615342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19"/>
    <x v="0"/>
    <x v="0"/>
    <x v="0"/>
    <n v="98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19"/>
    <x v="1"/>
    <x v="1"/>
    <x v="0"/>
    <n v="96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19"/>
    <x v="2"/>
    <x v="2"/>
    <x v="1"/>
    <n v="14.9370467524604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19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19"/>
    <x v="4"/>
    <x v="0"/>
    <x v="1"/>
    <n v="32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19"/>
    <x v="5"/>
    <x v="1"/>
    <x v="1"/>
    <n v="32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19"/>
    <x v="6"/>
    <x v="2"/>
    <x v="1"/>
    <n v="35.379289952790899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19"/>
    <x v="7"/>
    <x v="3"/>
    <x v="1"/>
    <n v="7.4900918418321503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19"/>
    <x v="8"/>
    <x v="0"/>
    <x v="1"/>
    <n v="33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19"/>
    <x v="9"/>
    <x v="1"/>
    <x v="1"/>
    <n v="33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19"/>
    <x v="10"/>
    <x v="2"/>
    <x v="1"/>
    <n v="23.9907877776597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19"/>
    <x v="11"/>
    <x v="3"/>
    <x v="1"/>
    <n v="12.405914348686601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19"/>
    <x v="12"/>
    <x v="0"/>
    <x v="1"/>
    <n v="33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19"/>
    <x v="13"/>
    <x v="1"/>
    <x v="1"/>
    <n v="33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19"/>
    <x v="14"/>
    <x v="2"/>
    <x v="1"/>
    <n v="95.6649565651646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19"/>
    <x v="15"/>
    <x v="3"/>
    <x v="1"/>
    <n v="35.86188655708149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19"/>
    <x v="16"/>
    <x v="0"/>
    <x v="1"/>
    <n v="33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19"/>
    <x v="17"/>
    <x v="1"/>
    <x v="1"/>
    <n v="32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19"/>
    <x v="18"/>
    <x v="1"/>
    <x v="2"/>
    <n v="32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19"/>
    <x v="19"/>
    <x v="4"/>
    <x v="3"/>
    <n v="33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19"/>
    <x v="20"/>
    <x v="5"/>
    <x v="3"/>
    <n v="0.40390293768324398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19"/>
    <x v="21"/>
    <x v="4"/>
    <x v="3"/>
    <n v="6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19"/>
    <x v="22"/>
    <x v="5"/>
    <x v="3"/>
    <n v="0.247375323876877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19"/>
    <x v="23"/>
    <x v="4"/>
    <x v="3"/>
    <n v="32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19"/>
    <x v="24"/>
    <x v="5"/>
    <x v="3"/>
    <n v="6.2237694801918403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0"/>
    <x v="0"/>
    <x v="0"/>
    <x v="0"/>
    <n v="126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0"/>
    <x v="1"/>
    <x v="1"/>
    <x v="0"/>
    <n v="126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0"/>
    <x v="2"/>
    <x v="2"/>
    <x v="1"/>
    <n v="19.89989524357429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0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0"/>
    <x v="4"/>
    <x v="0"/>
    <x v="1"/>
    <n v="42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0"/>
    <x v="5"/>
    <x v="1"/>
    <x v="1"/>
    <n v="42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0"/>
    <x v="6"/>
    <x v="2"/>
    <x v="1"/>
    <n v="43.506555043518702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0"/>
    <x v="7"/>
    <x v="3"/>
    <x v="1"/>
    <n v="8.4931702106156202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0"/>
    <x v="8"/>
    <x v="0"/>
    <x v="1"/>
    <n v="42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0"/>
    <x v="9"/>
    <x v="1"/>
    <x v="1"/>
    <n v="42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0"/>
    <x v="10"/>
    <x v="2"/>
    <x v="1"/>
    <n v="30.084595857695799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0"/>
    <x v="11"/>
    <x v="3"/>
    <x v="1"/>
    <n v="15.3541334071035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0"/>
    <x v="12"/>
    <x v="0"/>
    <x v="1"/>
    <n v="42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0"/>
    <x v="13"/>
    <x v="1"/>
    <x v="1"/>
    <n v="42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0"/>
    <x v="14"/>
    <x v="2"/>
    <x v="1"/>
    <n v="126.074272506604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0"/>
    <x v="15"/>
    <x v="3"/>
    <x v="1"/>
    <n v="48.89155982985089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0"/>
    <x v="16"/>
    <x v="0"/>
    <x v="1"/>
    <n v="42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0"/>
    <x v="17"/>
    <x v="1"/>
    <x v="1"/>
    <n v="42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0"/>
    <x v="18"/>
    <x v="1"/>
    <x v="2"/>
    <n v="42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0"/>
    <x v="19"/>
    <x v="4"/>
    <x v="3"/>
    <n v="42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0"/>
    <x v="20"/>
    <x v="5"/>
    <x v="3"/>
    <n v="0.52530946877751705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0"/>
    <x v="21"/>
    <x v="4"/>
    <x v="3"/>
    <n v="84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0"/>
    <x v="22"/>
    <x v="5"/>
    <x v="3"/>
    <n v="0.30662979542172702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0"/>
    <x v="23"/>
    <x v="4"/>
    <x v="3"/>
    <n v="42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0"/>
    <x v="24"/>
    <x v="5"/>
    <x v="3"/>
    <n v="8.2916230181559497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1"/>
    <x v="0"/>
    <x v="0"/>
    <x v="0"/>
    <n v="147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1"/>
    <x v="1"/>
    <x v="1"/>
    <x v="0"/>
    <n v="147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1"/>
    <x v="2"/>
    <x v="2"/>
    <x v="1"/>
    <n v="24.740895003853002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1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1"/>
    <x v="4"/>
    <x v="0"/>
    <x v="1"/>
    <n v="49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1"/>
    <x v="5"/>
    <x v="1"/>
    <x v="1"/>
    <n v="49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1"/>
    <x v="6"/>
    <x v="2"/>
    <x v="1"/>
    <n v="48.357508472644902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1"/>
    <x v="7"/>
    <x v="3"/>
    <x v="1"/>
    <n v="7.7786262673805204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1"/>
    <x v="8"/>
    <x v="0"/>
    <x v="1"/>
    <n v="49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1"/>
    <x v="9"/>
    <x v="1"/>
    <x v="1"/>
    <n v="49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1"/>
    <x v="10"/>
    <x v="2"/>
    <x v="1"/>
    <n v="34.531993292296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1"/>
    <x v="11"/>
    <x v="3"/>
    <x v="1"/>
    <n v="12.8929300412122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1"/>
    <x v="12"/>
    <x v="0"/>
    <x v="1"/>
    <n v="49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1"/>
    <x v="13"/>
    <x v="1"/>
    <x v="1"/>
    <n v="49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1"/>
    <x v="14"/>
    <x v="2"/>
    <x v="1"/>
    <n v="145.504156763596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1"/>
    <x v="15"/>
    <x v="3"/>
    <x v="1"/>
    <n v="61.1398670792383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1"/>
    <x v="16"/>
    <x v="0"/>
    <x v="1"/>
    <n v="49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1"/>
    <x v="17"/>
    <x v="1"/>
    <x v="1"/>
    <n v="49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1"/>
    <x v="18"/>
    <x v="1"/>
    <x v="2"/>
    <n v="49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1"/>
    <x v="19"/>
    <x v="4"/>
    <x v="3"/>
    <n v="49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1"/>
    <x v="20"/>
    <x v="5"/>
    <x v="3"/>
    <n v="0.60626731984831705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1"/>
    <x v="21"/>
    <x v="4"/>
    <x v="3"/>
    <n v="98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1"/>
    <x v="22"/>
    <x v="5"/>
    <x v="3"/>
    <n v="0.345372924020587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1"/>
    <x v="23"/>
    <x v="4"/>
    <x v="3"/>
    <n v="49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1"/>
    <x v="24"/>
    <x v="5"/>
    <x v="3"/>
    <n v="0.103087062516054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2"/>
    <x v="0"/>
    <x v="0"/>
    <x v="0"/>
    <n v="102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2"/>
    <x v="1"/>
    <x v="1"/>
    <x v="0"/>
    <n v="102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2"/>
    <x v="2"/>
    <x v="2"/>
    <x v="1"/>
    <n v="19.7076301427043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2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2"/>
    <x v="4"/>
    <x v="0"/>
    <x v="1"/>
    <n v="34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2"/>
    <x v="5"/>
    <x v="1"/>
    <x v="1"/>
    <n v="34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2"/>
    <x v="6"/>
    <x v="2"/>
    <x v="1"/>
    <n v="33.854717132240097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2"/>
    <x v="7"/>
    <x v="3"/>
    <x v="1"/>
    <n v="5.6282185760929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2"/>
    <x v="8"/>
    <x v="0"/>
    <x v="1"/>
    <n v="34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2"/>
    <x v="9"/>
    <x v="1"/>
    <x v="1"/>
    <n v="34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2"/>
    <x v="10"/>
    <x v="2"/>
    <x v="1"/>
    <n v="26.4544217380402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2"/>
    <x v="11"/>
    <x v="3"/>
    <x v="1"/>
    <n v="9.3780571113489195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2"/>
    <x v="12"/>
    <x v="0"/>
    <x v="1"/>
    <n v="34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2"/>
    <x v="13"/>
    <x v="1"/>
    <x v="1"/>
    <n v="34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2"/>
    <x v="14"/>
    <x v="2"/>
    <x v="1"/>
    <n v="102.23868051323799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2"/>
    <x v="15"/>
    <x v="3"/>
    <x v="1"/>
    <n v="20.762580084795101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2"/>
    <x v="16"/>
    <x v="0"/>
    <x v="1"/>
    <n v="34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2"/>
    <x v="17"/>
    <x v="1"/>
    <x v="1"/>
    <n v="34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2"/>
    <x v="18"/>
    <x v="1"/>
    <x v="2"/>
    <n v="34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2"/>
    <x v="19"/>
    <x v="4"/>
    <x v="3"/>
    <n v="34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2"/>
    <x v="20"/>
    <x v="5"/>
    <x v="3"/>
    <n v="0.425994502138492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2"/>
    <x v="21"/>
    <x v="4"/>
    <x v="3"/>
    <n v="68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2"/>
    <x v="22"/>
    <x v="5"/>
    <x v="3"/>
    <n v="0.25128807862616798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2"/>
    <x v="23"/>
    <x v="4"/>
    <x v="3"/>
    <n v="34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2"/>
    <x v="24"/>
    <x v="5"/>
    <x v="3"/>
    <n v="8.2115125594601407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3"/>
    <x v="0"/>
    <x v="0"/>
    <x v="0"/>
    <n v="126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3"/>
    <x v="1"/>
    <x v="1"/>
    <x v="0"/>
    <n v="120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3"/>
    <x v="2"/>
    <x v="2"/>
    <x v="1"/>
    <n v="18.32626265585119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3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3"/>
    <x v="4"/>
    <x v="0"/>
    <x v="1"/>
    <n v="40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3"/>
    <x v="5"/>
    <x v="1"/>
    <x v="1"/>
    <n v="40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3"/>
    <x v="6"/>
    <x v="2"/>
    <x v="1"/>
    <n v="44.198290810945799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3"/>
    <x v="7"/>
    <x v="3"/>
    <x v="1"/>
    <n v="10.8490240941391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3"/>
    <x v="8"/>
    <x v="0"/>
    <x v="1"/>
    <n v="43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3"/>
    <x v="9"/>
    <x v="1"/>
    <x v="1"/>
    <n v="43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3"/>
    <x v="10"/>
    <x v="2"/>
    <x v="1"/>
    <n v="32.011831071454303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3"/>
    <x v="11"/>
    <x v="3"/>
    <x v="1"/>
    <n v="16.906815237526601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3"/>
    <x v="12"/>
    <x v="0"/>
    <x v="1"/>
    <n v="43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3"/>
    <x v="13"/>
    <x v="1"/>
    <x v="1"/>
    <n v="42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3"/>
    <x v="14"/>
    <x v="2"/>
    <x v="1"/>
    <n v="120.597572598814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3"/>
    <x v="15"/>
    <x v="3"/>
    <x v="1"/>
    <n v="34.886210811471301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3"/>
    <x v="16"/>
    <x v="0"/>
    <x v="1"/>
    <n v="43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3"/>
    <x v="17"/>
    <x v="1"/>
    <x v="1"/>
    <n v="40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3"/>
    <x v="18"/>
    <x v="1"/>
    <x v="2"/>
    <n v="40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3"/>
    <x v="19"/>
    <x v="4"/>
    <x v="3"/>
    <n v="41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3"/>
    <x v="20"/>
    <x v="5"/>
    <x v="3"/>
    <n v="0.513429705627380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3"/>
    <x v="21"/>
    <x v="4"/>
    <x v="3"/>
    <n v="8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3"/>
    <x v="22"/>
    <x v="5"/>
    <x v="3"/>
    <n v="0.31895559429968101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3"/>
    <x v="23"/>
    <x v="4"/>
    <x v="3"/>
    <n v="40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3"/>
    <x v="24"/>
    <x v="5"/>
    <x v="3"/>
    <n v="7.63594277327133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4"/>
    <x v="0"/>
    <x v="0"/>
    <x v="0"/>
    <n v="120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4"/>
    <x v="1"/>
    <x v="1"/>
    <x v="0"/>
    <n v="117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4"/>
    <x v="2"/>
    <x v="2"/>
    <x v="1"/>
    <n v="21.922730815373502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4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4"/>
    <x v="4"/>
    <x v="0"/>
    <x v="1"/>
    <n v="39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4"/>
    <x v="5"/>
    <x v="1"/>
    <x v="1"/>
    <n v="39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4"/>
    <x v="6"/>
    <x v="2"/>
    <x v="1"/>
    <n v="41.214782970776497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4"/>
    <x v="7"/>
    <x v="3"/>
    <x v="1"/>
    <n v="3.1803419894029799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4"/>
    <x v="8"/>
    <x v="0"/>
    <x v="1"/>
    <n v="41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4"/>
    <x v="9"/>
    <x v="1"/>
    <x v="1"/>
    <n v="40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4"/>
    <x v="10"/>
    <x v="2"/>
    <x v="1"/>
    <n v="30.5921816320274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4"/>
    <x v="11"/>
    <x v="3"/>
    <x v="1"/>
    <n v="3.5926259009537298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4"/>
    <x v="12"/>
    <x v="0"/>
    <x v="1"/>
    <n v="40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4"/>
    <x v="13"/>
    <x v="1"/>
    <x v="1"/>
    <n v="39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4"/>
    <x v="14"/>
    <x v="2"/>
    <x v="1"/>
    <n v="118.069144778835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4"/>
    <x v="15"/>
    <x v="3"/>
    <x v="1"/>
    <n v="21.001787424461501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4"/>
    <x v="16"/>
    <x v="0"/>
    <x v="1"/>
    <n v="40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4"/>
    <x v="17"/>
    <x v="1"/>
    <x v="1"/>
    <n v="39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4"/>
    <x v="18"/>
    <x v="1"/>
    <x v="2"/>
    <n v="39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4"/>
    <x v="19"/>
    <x v="4"/>
    <x v="3"/>
    <n v="40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4"/>
    <x v="20"/>
    <x v="5"/>
    <x v="3"/>
    <n v="0.49240957479207098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4"/>
    <x v="21"/>
    <x v="4"/>
    <x v="3"/>
    <n v="80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4"/>
    <x v="22"/>
    <x v="5"/>
    <x v="3"/>
    <n v="0.299650490725275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4"/>
    <x v="23"/>
    <x v="4"/>
    <x v="3"/>
    <n v="39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4"/>
    <x v="24"/>
    <x v="5"/>
    <x v="3"/>
    <n v="9.1344711730722894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5"/>
    <x v="0"/>
    <x v="0"/>
    <x v="0"/>
    <n v="105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5"/>
    <x v="1"/>
    <x v="1"/>
    <x v="0"/>
    <n v="105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5"/>
    <x v="2"/>
    <x v="2"/>
    <x v="1"/>
    <n v="15.7669279455124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5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5"/>
    <x v="4"/>
    <x v="0"/>
    <x v="1"/>
    <n v="35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5"/>
    <x v="5"/>
    <x v="1"/>
    <x v="1"/>
    <n v="35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5"/>
    <x v="6"/>
    <x v="2"/>
    <x v="1"/>
    <n v="36.287799266512401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5"/>
    <x v="7"/>
    <x v="3"/>
    <x v="1"/>
    <n v="6.0957533757297497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5"/>
    <x v="8"/>
    <x v="0"/>
    <x v="1"/>
    <n v="35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5"/>
    <x v="9"/>
    <x v="1"/>
    <x v="1"/>
    <n v="35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5"/>
    <x v="10"/>
    <x v="2"/>
    <x v="1"/>
    <n v="25.0130949004445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5"/>
    <x v="11"/>
    <x v="3"/>
    <x v="1"/>
    <n v="8.9627863030117698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5"/>
    <x v="12"/>
    <x v="0"/>
    <x v="1"/>
    <n v="35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5"/>
    <x v="13"/>
    <x v="1"/>
    <x v="1"/>
    <n v="35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5"/>
    <x v="14"/>
    <x v="2"/>
    <x v="1"/>
    <n v="104.989464577784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5"/>
    <x v="15"/>
    <x v="3"/>
    <x v="1"/>
    <n v="43.330173051701998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5"/>
    <x v="16"/>
    <x v="0"/>
    <x v="1"/>
    <n v="35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5"/>
    <x v="17"/>
    <x v="1"/>
    <x v="1"/>
    <n v="35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5"/>
    <x v="18"/>
    <x v="1"/>
    <x v="2"/>
    <n v="35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5"/>
    <x v="19"/>
    <x v="4"/>
    <x v="3"/>
    <n v="35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5"/>
    <x v="20"/>
    <x v="5"/>
    <x v="3"/>
    <n v="0.43745610240743199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5"/>
    <x v="21"/>
    <x v="4"/>
    <x v="3"/>
    <n v="70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5"/>
    <x v="22"/>
    <x v="5"/>
    <x v="3"/>
    <n v="0.255420392362321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5"/>
    <x v="23"/>
    <x v="4"/>
    <x v="3"/>
    <n v="35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5"/>
    <x v="24"/>
    <x v="5"/>
    <x v="3"/>
    <n v="6.5695533106301607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6"/>
    <x v="0"/>
    <x v="0"/>
    <x v="0"/>
    <n v="135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6"/>
    <x v="1"/>
    <x v="1"/>
    <x v="0"/>
    <n v="135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6"/>
    <x v="2"/>
    <x v="2"/>
    <x v="1"/>
    <n v="23.5358817009656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6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6"/>
    <x v="4"/>
    <x v="0"/>
    <x v="1"/>
    <n v="45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6"/>
    <x v="5"/>
    <x v="1"/>
    <x v="1"/>
    <n v="45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6"/>
    <x v="6"/>
    <x v="2"/>
    <x v="1"/>
    <n v="46.278859364089598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6"/>
    <x v="7"/>
    <x v="3"/>
    <x v="1"/>
    <n v="15.8230661547579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6"/>
    <x v="8"/>
    <x v="0"/>
    <x v="1"/>
    <n v="45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6"/>
    <x v="9"/>
    <x v="1"/>
    <x v="1"/>
    <n v="45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6"/>
    <x v="10"/>
    <x v="2"/>
    <x v="1"/>
    <n v="37.0569744621149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6"/>
    <x v="11"/>
    <x v="3"/>
    <x v="1"/>
    <n v="26.260860359514201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6"/>
    <x v="12"/>
    <x v="0"/>
    <x v="1"/>
    <n v="45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6"/>
    <x v="13"/>
    <x v="1"/>
    <x v="1"/>
    <n v="45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6"/>
    <x v="14"/>
    <x v="2"/>
    <x v="1"/>
    <n v="133.504884993468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6"/>
    <x v="15"/>
    <x v="3"/>
    <x v="1"/>
    <n v="74.933645241684602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6"/>
    <x v="16"/>
    <x v="0"/>
    <x v="1"/>
    <n v="45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6"/>
    <x v="17"/>
    <x v="1"/>
    <x v="1"/>
    <n v="45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6"/>
    <x v="18"/>
    <x v="1"/>
    <x v="2"/>
    <n v="45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6"/>
    <x v="19"/>
    <x v="4"/>
    <x v="3"/>
    <n v="45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6"/>
    <x v="20"/>
    <x v="5"/>
    <x v="3"/>
    <n v="0.55627035413945203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6"/>
    <x v="21"/>
    <x v="4"/>
    <x v="3"/>
    <n v="90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6"/>
    <x v="22"/>
    <x v="5"/>
    <x v="3"/>
    <n v="0.3472326409425189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6"/>
    <x v="23"/>
    <x v="4"/>
    <x v="3"/>
    <n v="45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6"/>
    <x v="24"/>
    <x v="5"/>
    <x v="3"/>
    <n v="9.8066173754023198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7"/>
    <x v="0"/>
    <x v="0"/>
    <x v="0"/>
    <n v="136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7"/>
    <x v="1"/>
    <x v="1"/>
    <x v="0"/>
    <n v="129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7"/>
    <x v="2"/>
    <x v="2"/>
    <x v="1"/>
    <n v="21.2529299743466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7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7"/>
    <x v="4"/>
    <x v="0"/>
    <x v="1"/>
    <n v="43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7"/>
    <x v="5"/>
    <x v="1"/>
    <x v="1"/>
    <n v="43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7"/>
    <x v="6"/>
    <x v="2"/>
    <x v="1"/>
    <n v="46.369190714592399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7"/>
    <x v="7"/>
    <x v="3"/>
    <x v="1"/>
    <n v="14.9857010384055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7"/>
    <x v="8"/>
    <x v="0"/>
    <x v="1"/>
    <n v="47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7"/>
    <x v="9"/>
    <x v="1"/>
    <x v="1"/>
    <n v="46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7"/>
    <x v="10"/>
    <x v="2"/>
    <x v="1"/>
    <n v="34.905970655831297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7"/>
    <x v="11"/>
    <x v="3"/>
    <x v="1"/>
    <n v="19.713336376726499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7"/>
    <x v="12"/>
    <x v="0"/>
    <x v="1"/>
    <n v="46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7"/>
    <x v="13"/>
    <x v="1"/>
    <x v="1"/>
    <n v="45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7"/>
    <x v="14"/>
    <x v="2"/>
    <x v="1"/>
    <n v="128.918305196472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7"/>
    <x v="15"/>
    <x v="3"/>
    <x v="1"/>
    <n v="55.290711147049002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7"/>
    <x v="16"/>
    <x v="0"/>
    <x v="1"/>
    <n v="46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7"/>
    <x v="17"/>
    <x v="1"/>
    <x v="1"/>
    <n v="43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7"/>
    <x v="18"/>
    <x v="1"/>
    <x v="2"/>
    <n v="43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7"/>
    <x v="19"/>
    <x v="4"/>
    <x v="3"/>
    <n v="44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7"/>
    <x v="20"/>
    <x v="5"/>
    <x v="3"/>
    <n v="0.54750563151332998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7"/>
    <x v="21"/>
    <x v="4"/>
    <x v="3"/>
    <n v="92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7"/>
    <x v="22"/>
    <x v="5"/>
    <x v="3"/>
    <n v="0.33967631542724103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7"/>
    <x v="23"/>
    <x v="4"/>
    <x v="3"/>
    <n v="43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7"/>
    <x v="24"/>
    <x v="5"/>
    <x v="3"/>
    <n v="8.8553874893110798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8"/>
    <x v="0"/>
    <x v="0"/>
    <x v="0"/>
    <n v="117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8"/>
    <x v="1"/>
    <x v="1"/>
    <x v="0"/>
    <n v="117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8"/>
    <x v="2"/>
    <x v="2"/>
    <x v="1"/>
    <n v="19.078907349392999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8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8"/>
    <x v="4"/>
    <x v="0"/>
    <x v="1"/>
    <n v="39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8"/>
    <x v="5"/>
    <x v="1"/>
    <x v="1"/>
    <n v="39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8"/>
    <x v="6"/>
    <x v="2"/>
    <x v="1"/>
    <n v="38.645288313319597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8"/>
    <x v="7"/>
    <x v="3"/>
    <x v="1"/>
    <n v="6.6897159960553596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8"/>
    <x v="8"/>
    <x v="0"/>
    <x v="1"/>
    <n v="39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8"/>
    <x v="9"/>
    <x v="1"/>
    <x v="1"/>
    <n v="39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8"/>
    <x v="10"/>
    <x v="2"/>
    <x v="1"/>
    <n v="28.861021486197199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8"/>
    <x v="11"/>
    <x v="3"/>
    <x v="1"/>
    <n v="15.7887783455324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8"/>
    <x v="12"/>
    <x v="0"/>
    <x v="1"/>
    <n v="39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8"/>
    <x v="13"/>
    <x v="1"/>
    <x v="1"/>
    <n v="39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8"/>
    <x v="14"/>
    <x v="2"/>
    <x v="1"/>
    <n v="117.842056212246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8"/>
    <x v="15"/>
    <x v="3"/>
    <x v="1"/>
    <n v="33.672961331529301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8"/>
    <x v="16"/>
    <x v="0"/>
    <x v="1"/>
    <n v="39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8"/>
    <x v="17"/>
    <x v="1"/>
    <x v="1"/>
    <n v="39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8"/>
    <x v="18"/>
    <x v="1"/>
    <x v="2"/>
    <n v="39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8"/>
    <x v="19"/>
    <x v="4"/>
    <x v="3"/>
    <n v="39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8"/>
    <x v="20"/>
    <x v="5"/>
    <x v="3"/>
    <n v="0.49100856755102501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8"/>
    <x v="21"/>
    <x v="4"/>
    <x v="3"/>
    <n v="78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8"/>
    <x v="22"/>
    <x v="5"/>
    <x v="3"/>
    <n v="0.28127629083132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8"/>
    <x v="23"/>
    <x v="4"/>
    <x v="3"/>
    <n v="39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8"/>
    <x v="24"/>
    <x v="5"/>
    <x v="3"/>
    <n v="7.9495447289137294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29"/>
    <x v="0"/>
    <x v="0"/>
    <x v="0"/>
    <n v="143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29"/>
    <x v="1"/>
    <x v="1"/>
    <x v="0"/>
    <n v="141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29"/>
    <x v="2"/>
    <x v="2"/>
    <x v="1"/>
    <n v="24.762011036196501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29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29"/>
    <x v="4"/>
    <x v="0"/>
    <x v="1"/>
    <n v="47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29"/>
    <x v="5"/>
    <x v="1"/>
    <x v="1"/>
    <n v="47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29"/>
    <x v="6"/>
    <x v="2"/>
    <x v="1"/>
    <n v="48.706388790541098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29"/>
    <x v="7"/>
    <x v="3"/>
    <x v="1"/>
    <n v="10.5888039249205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29"/>
    <x v="8"/>
    <x v="0"/>
    <x v="1"/>
    <n v="48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29"/>
    <x v="9"/>
    <x v="1"/>
    <x v="1"/>
    <n v="48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29"/>
    <x v="10"/>
    <x v="2"/>
    <x v="1"/>
    <n v="36.426987678198401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29"/>
    <x v="11"/>
    <x v="3"/>
    <x v="1"/>
    <n v="14.8060931794206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29"/>
    <x v="12"/>
    <x v="0"/>
    <x v="1"/>
    <n v="48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29"/>
    <x v="13"/>
    <x v="1"/>
    <x v="1"/>
    <n v="47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29"/>
    <x v="14"/>
    <x v="2"/>
    <x v="1"/>
    <n v="140.86264127918801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29"/>
    <x v="15"/>
    <x v="3"/>
    <x v="1"/>
    <n v="69.649409898508196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29"/>
    <x v="16"/>
    <x v="0"/>
    <x v="1"/>
    <n v="48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29"/>
    <x v="17"/>
    <x v="1"/>
    <x v="1"/>
    <n v="47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29"/>
    <x v="18"/>
    <x v="1"/>
    <x v="2"/>
    <n v="47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29"/>
    <x v="19"/>
    <x v="4"/>
    <x v="3"/>
    <n v="48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29"/>
    <x v="20"/>
    <x v="5"/>
    <x v="3"/>
    <n v="0.58995872822012696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29"/>
    <x v="21"/>
    <x v="4"/>
    <x v="3"/>
    <n v="96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29"/>
    <x v="22"/>
    <x v="5"/>
    <x v="3"/>
    <n v="0.3577534581765919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29"/>
    <x v="23"/>
    <x v="4"/>
    <x v="3"/>
    <n v="47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29"/>
    <x v="24"/>
    <x v="5"/>
    <x v="3"/>
    <n v="0.10317504598415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  <r>
    <x v="0"/>
    <s v="2025-05-21 19:18:09"/>
    <n v="30"/>
    <x v="0"/>
    <x v="0"/>
    <x v="0"/>
    <n v="105"/>
    <n v="0"/>
    <s v="Pedido CleintesClientes.NumberInNumber InEntity"/>
    <n v="30"/>
    <n v="118.5"/>
    <n v="18.009097317936192"/>
    <n v="0.95"/>
    <n v="6.7247074559912132"/>
    <n v="78"/>
    <n v="147"/>
  </r>
  <r>
    <x v="0"/>
    <s v="2025-05-21 19:18:09"/>
    <n v="30"/>
    <x v="1"/>
    <x v="1"/>
    <x v="0"/>
    <n v="105"/>
    <n v="0"/>
    <s v="Pedido CleintesClientes.NumberOutNumber OutEntity"/>
    <n v="30"/>
    <n v="116.6"/>
    <n v="18.252255410940514"/>
    <n v="0.95"/>
    <n v="6.8155041801214233"/>
    <n v="72"/>
    <n v="147"/>
  </r>
  <r>
    <x v="0"/>
    <s v="2025-05-21 19:18:09"/>
    <n v="30"/>
    <x v="2"/>
    <x v="2"/>
    <x v="1"/>
    <n v="16.910542863416602"/>
    <n v="0"/>
    <s v="Pedido CleintesEmpaque de pedidos Accum VA TimeAccum VA TimeProcess"/>
    <n v="30"/>
    <n v="19.806808580201274"/>
    <n v="3.1624794742170024"/>
    <n v="0.95"/>
    <n v="1.180889243044158"/>
    <n v="12.812268330404599"/>
    <n v="24.762011036196501"/>
  </r>
  <r>
    <x v="0"/>
    <s v="2025-05-21 19:18:09"/>
    <n v="30"/>
    <x v="3"/>
    <x v="3"/>
    <x v="1"/>
    <n v="0"/>
    <n v="0"/>
    <s v="Pedido CleintesEmpaque de pedidos Accum Wait TimeAccum Wait TimeProcess"/>
    <n v="30"/>
    <n v="0"/>
    <n v="0"/>
    <n v="0.95"/>
    <n v="0"/>
    <n v="0"/>
    <n v="0"/>
  </r>
  <r>
    <x v="0"/>
    <s v="2025-05-21 19:18:09"/>
    <n v="30"/>
    <x v="4"/>
    <x v="0"/>
    <x v="1"/>
    <n v="35"/>
    <n v="0"/>
    <s v="Pedido CleintesEmpaque de pedidos Number InNumber InProcess"/>
    <n v="30"/>
    <n v="38.93333333333333"/>
    <n v="5.9765826548191505"/>
    <n v="0.95"/>
    <n v="2.231692640151488"/>
    <n v="25"/>
    <n v="49"/>
  </r>
  <r>
    <x v="0"/>
    <s v="2025-05-21 19:18:09"/>
    <n v="30"/>
    <x v="5"/>
    <x v="1"/>
    <x v="1"/>
    <n v="35"/>
    <n v="0"/>
    <s v="Pedido CleintesEmpaque de pedidos Number OutNumber OutProcess"/>
    <n v="30"/>
    <n v="38.866666666666667"/>
    <n v="6.0840851369801694"/>
    <n v="0.95"/>
    <n v="2.2718347267071408"/>
    <n v="24"/>
    <n v="49"/>
  </r>
  <r>
    <x v="0"/>
    <s v="2025-05-21 19:18:09"/>
    <n v="30"/>
    <x v="6"/>
    <x v="2"/>
    <x v="1"/>
    <n v="35.506081095300097"/>
    <n v="0"/>
    <s v="Pedido CleintesOrdnes Accum VA TimeAccum VA TimeProcess"/>
    <n v="30"/>
    <n v="39.878126992056487"/>
    <n v="6.1068580319474277"/>
    <n v="0.95"/>
    <n v="2.2803382654396627"/>
    <n v="26.106281767804099"/>
    <n v="48.706388790541098"/>
  </r>
  <r>
    <x v="0"/>
    <s v="2025-05-21 19:18:09"/>
    <n v="30"/>
    <x v="7"/>
    <x v="3"/>
    <x v="1"/>
    <n v="8.5237405937333808"/>
    <n v="0"/>
    <s v="Pedido CleintesOrdnes Accum Wait TimeAccum Wait TimeProcess"/>
    <n v="30"/>
    <n v="7.9804799821754404"/>
    <n v="4.8950382198155014"/>
    <n v="0.95"/>
    <n v="1.8278373109445534"/>
    <n v="0"/>
    <n v="18.843855117811401"/>
  </r>
  <r>
    <x v="0"/>
    <s v="2025-05-21 19:18:09"/>
    <n v="30"/>
    <x v="8"/>
    <x v="0"/>
    <x v="1"/>
    <n v="35"/>
    <n v="0"/>
    <s v="Pedido CleintesOrdnes Number InNumber InProcess"/>
    <n v="30"/>
    <n v="39.9"/>
    <n v="6.0648791101463475"/>
    <n v="0.95"/>
    <n v="2.2646630784246509"/>
    <n v="27"/>
    <n v="49"/>
  </r>
  <r>
    <x v="0"/>
    <s v="2025-05-21 19:18:09"/>
    <n v="30"/>
    <x v="9"/>
    <x v="1"/>
    <x v="1"/>
    <n v="35"/>
    <n v="0"/>
    <s v="Pedido CleintesOrdnes Number OutNumber OutProcess"/>
    <n v="30"/>
    <n v="39.666666666666664"/>
    <n v="6.0477030882540914"/>
    <n v="0.95"/>
    <n v="2.2582494464449909"/>
    <n v="26"/>
    <n v="49"/>
  </r>
  <r>
    <x v="0"/>
    <s v="2025-05-21 19:18:09"/>
    <n v="30"/>
    <x v="10"/>
    <x v="2"/>
    <x v="1"/>
    <n v="25.515494805796799"/>
    <n v="0"/>
    <s v="Pedido CleintesPago Accum VA TimeAccum VA TimeProcess"/>
    <n v="30"/>
    <n v="29.486262713858675"/>
    <n v="4.747176664010901"/>
    <n v="0.95"/>
    <n v="1.7726248986165154"/>
    <n v="19.573210250889101"/>
    <n v="37.056974462114901"/>
  </r>
  <r>
    <x v="0"/>
    <s v="2025-05-21 19:18:09"/>
    <n v="30"/>
    <x v="11"/>
    <x v="3"/>
    <x v="1"/>
    <n v="9.8273409442233195"/>
    <n v="0"/>
    <s v="Pedido CleintesPago Accum Wait TimeAccum Wait TimeProcess"/>
    <n v="30"/>
    <n v="13.025761997568024"/>
    <n v="7.8467935605388783"/>
    <n v="0.95"/>
    <n v="2.9300408693791589"/>
    <n v="0"/>
    <n v="32.770863925850499"/>
  </r>
  <r>
    <x v="0"/>
    <s v="2025-05-21 19:18:09"/>
    <n v="30"/>
    <x v="12"/>
    <x v="0"/>
    <x v="1"/>
    <n v="35"/>
    <n v="0"/>
    <s v="Pedido CleintesPago Number InNumber InProcess"/>
    <n v="30"/>
    <n v="39.666666666666664"/>
    <n v="6.0477030882540914"/>
    <n v="0.95"/>
    <n v="2.2582494464449909"/>
    <n v="26"/>
    <n v="49"/>
  </r>
  <r>
    <x v="0"/>
    <s v="2025-05-21 19:18:09"/>
    <n v="30"/>
    <x v="13"/>
    <x v="1"/>
    <x v="1"/>
    <n v="35"/>
    <n v="0"/>
    <s v="Pedido CleintesPago Number OutNumber OutProcess"/>
    <n v="30"/>
    <n v="39.43333333333333"/>
    <n v="5.9171482724502509"/>
    <n v="0.95"/>
    <n v="2.2094994770405134"/>
    <n v="26"/>
    <n v="49"/>
  </r>
  <r>
    <x v="0"/>
    <s v="2025-05-21 19:18:09"/>
    <n v="30"/>
    <x v="14"/>
    <x v="2"/>
    <x v="1"/>
    <n v="103.980749906035"/>
    <n v="0"/>
    <s v="Pedido CleintesPreparar orden Accum VA TimeAccum VA TimeProcess"/>
    <n v="30"/>
    <n v="116.64263458387505"/>
    <n v="17.825477946659205"/>
    <n v="0.95"/>
    <n v="6.6561428559287226"/>
    <n v="74.976560761710004"/>
    <n v="145.504156763596"/>
  </r>
  <r>
    <x v="0"/>
    <s v="2025-05-21 19:18:09"/>
    <n v="30"/>
    <x v="15"/>
    <x v="3"/>
    <x v="1"/>
    <n v="30.927481629184701"/>
    <n v="0"/>
    <s v="Pedido CleintesPreparar orden Accum Wait TimeAccum Wait TimeProcess"/>
    <n v="30"/>
    <n v="39.900972800228722"/>
    <n v="22.922906975864144"/>
    <n v="0.95"/>
    <n v="8.5595541371227313"/>
    <n v="2.1708788192608899"/>
    <n v="94.9142929398908"/>
  </r>
  <r>
    <x v="0"/>
    <s v="2025-05-21 19:18:09"/>
    <n v="30"/>
    <x v="16"/>
    <x v="0"/>
    <x v="1"/>
    <n v="35"/>
    <n v="0"/>
    <s v="Pedido CleintesPreparar orden Number InNumber InProcess"/>
    <n v="30"/>
    <n v="39.666666666666664"/>
    <n v="6.0477030882540914"/>
    <n v="0.95"/>
    <n v="2.2582494464449909"/>
    <n v="26"/>
    <n v="49"/>
  </r>
  <r>
    <x v="0"/>
    <s v="2025-05-21 19:18:09"/>
    <n v="30"/>
    <x v="17"/>
    <x v="1"/>
    <x v="1"/>
    <n v="35"/>
    <n v="0"/>
    <s v="Pedido CleintesPreparar orden Number OutNumber OutProcess"/>
    <n v="30"/>
    <n v="38.93333333333333"/>
    <n v="5.9765826548191505"/>
    <n v="0.95"/>
    <n v="2.231692640151488"/>
    <n v="25"/>
    <n v="49"/>
  </r>
  <r>
    <x v="0"/>
    <s v="2025-05-21 19:18:09"/>
    <n v="30"/>
    <x v="18"/>
    <x v="1"/>
    <x v="2"/>
    <n v="35"/>
    <n v="0"/>
    <s v="Pedido CleintesSystem.NumberOutNumber OutSystem"/>
    <n v="30"/>
    <n v="38.866666666666667"/>
    <n v="6.0840851369801694"/>
    <n v="0.95"/>
    <n v="2.2718347267071408"/>
    <n v="24"/>
    <n v="49"/>
  </r>
  <r>
    <x v="0"/>
    <s v="2025-05-21 19:18:09"/>
    <n v="30"/>
    <x v="19"/>
    <x v="4"/>
    <x v="3"/>
    <n v="35"/>
    <n v="0"/>
    <s v="Pedido CleintesrPreparador.NumberSeizedTotal Number SeizedResource"/>
    <n v="30"/>
    <n v="39.4"/>
    <n v="5.8757244601014422"/>
    <n v="0.95"/>
    <n v="2.1940315713015526"/>
    <n v="26"/>
    <n v="49"/>
  </r>
  <r>
    <x v="0"/>
    <s v="2025-05-21 19:18:09"/>
    <n v="30"/>
    <x v="20"/>
    <x v="5"/>
    <x v="3"/>
    <n v="0.43325312460847998"/>
    <n v="0"/>
    <s v="Pedido CleintesrPreparador.ScheduledUtilizationScheduled UtilizationResource"/>
    <n v="30"/>
    <n v="0.48891840079317483"/>
    <n v="7.3627413122013347E-2"/>
    <n v="0.95"/>
    <n v="2.7492927893383642E-2"/>
    <n v="0.31277577999924699"/>
    <n v="0.60626731984831705"/>
  </r>
  <r>
    <x v="0"/>
    <s v="2025-05-21 19:18:09"/>
    <n v="30"/>
    <x v="21"/>
    <x v="4"/>
    <x v="3"/>
    <n v="70"/>
    <n v="0"/>
    <s v="Pedido CleintesrPrimerTrabajador.NumberSeizedTotal Number SeizedResource"/>
    <n v="30"/>
    <n v="79.466666666666669"/>
    <n v="12.016463801753446"/>
    <n v="0.95"/>
    <n v="4.487021325706305"/>
    <n v="53"/>
    <n v="98"/>
  </r>
  <r>
    <x v="0"/>
    <s v="2025-05-21 19:18:09"/>
    <n v="30"/>
    <x v="22"/>
    <x v="5"/>
    <x v="3"/>
    <n v="0.25425656625457099"/>
    <n v="0"/>
    <s v="Pedido CleintesrPrimerTrabajador.ScheduledUtilizationScheduled UtilizationResource"/>
    <n v="30"/>
    <n v="0.28976365927997022"/>
    <n v="4.4748273652133699E-2"/>
    <n v="0.95"/>
    <n v="1.6709279991037516E-2"/>
    <n v="0.194735973294278"/>
    <n v="0.35775345817659199"/>
  </r>
  <r>
    <x v="0"/>
    <s v="2025-05-21 19:18:09"/>
    <n v="30"/>
    <x v="23"/>
    <x v="4"/>
    <x v="3"/>
    <n v="35"/>
    <n v="0"/>
    <s v="Pedido CleintesrSegundoTrabajador.NumberSeizedTotal Number SeizedResource"/>
    <n v="30"/>
    <n v="38.93333333333333"/>
    <n v="5.9765826548191505"/>
    <n v="0.95"/>
    <n v="2.231692640151488"/>
    <n v="25"/>
    <n v="49"/>
  </r>
  <r>
    <x v="0"/>
    <s v="2025-05-21 19:18:09"/>
    <n v="30"/>
    <x v="24"/>
    <x v="5"/>
    <x v="3"/>
    <n v="7.0460595264235801E-2"/>
    <n v="0"/>
    <s v="Pedido CleintesrSegundoTrabajador.ScheduledUtilizationScheduled UtilizationResource"/>
    <n v="30"/>
    <n v="8.2588852761398115E-2"/>
    <n v="1.3130964022328008E-2"/>
    <n v="0.95"/>
    <n v="4.9031825474871024E-3"/>
    <n v="5.3757894868807901E-2"/>
    <n v="0.10317504598415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x v="0"/>
    <s v="2025-05-21 19:18:09"/>
    <n v="1"/>
    <x v="0"/>
    <x v="0"/>
    <x v="0"/>
    <n v="1.02094278585578"/>
    <n v="2E+20"/>
    <n v="0"/>
    <n v="6"/>
    <n v="6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"/>
    <x v="2"/>
    <x v="1"/>
    <x v="1"/>
    <n v="0.273073251721628"/>
    <n v="2E+20"/>
    <n v="0"/>
    <n v="2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"/>
    <x v="4"/>
    <x v="1"/>
    <x v="1"/>
    <n v="6.2595685628368701E-3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"/>
    <x v="5"/>
    <x v="1"/>
    <x v="1"/>
    <n v="1.5486006618475601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"/>
    <x v="6"/>
    <x v="1"/>
    <x v="1"/>
    <n v="5.7338521052894199E-2"/>
    <n v="2E+20"/>
    <n v="0"/>
    <n v="1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"/>
    <x v="7"/>
    <x v="2"/>
    <x v="2"/>
    <n v="0.31277577999924699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"/>
    <x v="7"/>
    <x v="3"/>
    <x v="2"/>
    <n v="0.31277577999924699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"/>
    <x v="8"/>
    <x v="2"/>
    <x v="2"/>
    <n v="0.194735973294278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"/>
    <x v="8"/>
    <x v="3"/>
    <x v="2"/>
    <n v="0.194735973294278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"/>
    <x v="9"/>
    <x v="2"/>
    <x v="2"/>
    <n v="5.3757894868807901E-2"/>
    <n v="2E+20"/>
    <n v="0"/>
    <n v="1"/>
    <n v="1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"/>
    <x v="9"/>
    <x v="3"/>
    <x v="2"/>
    <n v="5.3757894868807901E-2"/>
    <n v="2E+20"/>
    <n v="0"/>
    <n v="1"/>
    <n v="1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"/>
    <x v="0"/>
    <x v="0"/>
    <x v="0"/>
    <n v="1.72550122298557"/>
    <n v="2E+20"/>
    <n v="0"/>
    <n v="7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"/>
    <x v="2"/>
    <x v="1"/>
    <x v="1"/>
    <n v="0.46776963373645603"/>
    <n v="2E+20"/>
    <n v="0"/>
    <n v="2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"/>
    <x v="4"/>
    <x v="1"/>
    <x v="1"/>
    <n v="1.9758616667698899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"/>
    <x v="5"/>
    <x v="1"/>
    <x v="1"/>
    <n v="3.9870658160600203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"/>
    <x v="6"/>
    <x v="1"/>
    <x v="1"/>
    <n v="0.12601778614516301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"/>
    <x v="7"/>
    <x v="2"/>
    <x v="2"/>
    <n v="0.50796249303132301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"/>
    <x v="7"/>
    <x v="3"/>
    <x v="2"/>
    <n v="0.50796249303132301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"/>
    <x v="8"/>
    <x v="2"/>
    <x v="2"/>
    <n v="0.30371621757641198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"/>
    <x v="8"/>
    <x v="3"/>
    <x v="2"/>
    <n v="0.30371621757641198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"/>
    <x v="9"/>
    <x v="2"/>
    <x v="2"/>
    <n v="8.6801939222638902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"/>
    <x v="9"/>
    <x v="3"/>
    <x v="2"/>
    <n v="8.6801939222638902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3"/>
    <x v="0"/>
    <x v="0"/>
    <x v="0"/>
    <n v="2.4036998442229098"/>
    <n v="2E+20"/>
    <n v="0"/>
    <n v="11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3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3"/>
    <x v="2"/>
    <x v="1"/>
    <x v="1"/>
    <n v="0.63853995267784402"/>
    <n v="2E+20"/>
    <n v="0"/>
    <n v="4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3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3"/>
    <x v="4"/>
    <x v="1"/>
    <x v="1"/>
    <n v="7.8516062990880695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3"/>
    <x v="5"/>
    <x v="1"/>
    <x v="1"/>
    <n v="0.12564891576197801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3"/>
    <x v="6"/>
    <x v="1"/>
    <x v="1"/>
    <n v="0.33183562942575501"/>
    <n v="2E+20"/>
    <n v="0"/>
    <n v="4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3"/>
    <x v="7"/>
    <x v="2"/>
    <x v="2"/>
    <n v="0.58512192596977297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3"/>
    <x v="7"/>
    <x v="3"/>
    <x v="2"/>
    <n v="0.58512192596977297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3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3"/>
    <x v="8"/>
    <x v="2"/>
    <x v="2"/>
    <n v="0.34752558667060801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3"/>
    <x v="8"/>
    <x v="3"/>
    <x v="2"/>
    <n v="0.34752558667060801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3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3"/>
    <x v="9"/>
    <x v="2"/>
    <x v="2"/>
    <n v="9.8837256908690996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3"/>
    <x v="9"/>
    <x v="3"/>
    <x v="2"/>
    <n v="9.8837256908690996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3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4"/>
    <x v="0"/>
    <x v="0"/>
    <x v="0"/>
    <n v="1.31891802401258"/>
    <n v="2E+20"/>
    <n v="0"/>
    <n v="6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4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4"/>
    <x v="2"/>
    <x v="1"/>
    <x v="1"/>
    <n v="0.36366103845246001"/>
    <n v="2E+20"/>
    <n v="0"/>
    <n v="2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4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4"/>
    <x v="4"/>
    <x v="1"/>
    <x v="1"/>
    <n v="6.5156526342384198E-3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4"/>
    <x v="5"/>
    <x v="1"/>
    <x v="1"/>
    <n v="2.1209178306099901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4"/>
    <x v="6"/>
    <x v="1"/>
    <x v="1"/>
    <n v="6.2476302353599099E-2"/>
    <n v="2E+20"/>
    <n v="0"/>
    <n v="1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4"/>
    <x v="7"/>
    <x v="2"/>
    <x v="2"/>
    <n v="0.41795720161048699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4"/>
    <x v="7"/>
    <x v="3"/>
    <x v="2"/>
    <n v="0.41795720161048699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4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4"/>
    <x v="8"/>
    <x v="2"/>
    <x v="2"/>
    <n v="0.2329767386173839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4"/>
    <x v="8"/>
    <x v="3"/>
    <x v="2"/>
    <n v="0.2329767386173839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4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4"/>
    <x v="9"/>
    <x v="2"/>
    <x v="2"/>
    <n v="7.1373970679437404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4"/>
    <x v="9"/>
    <x v="3"/>
    <x v="2"/>
    <n v="7.1373970679437404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4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5"/>
    <x v="0"/>
    <x v="0"/>
    <x v="0"/>
    <n v="2.2986723947345702"/>
    <n v="2E+20"/>
    <n v="0"/>
    <n v="10"/>
    <n v="2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5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5"/>
    <x v="2"/>
    <x v="1"/>
    <x v="1"/>
    <n v="0.67472724368415504"/>
    <n v="2E+20"/>
    <n v="0"/>
    <n v="4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5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5"/>
    <x v="4"/>
    <x v="1"/>
    <x v="1"/>
    <n v="4.6308646010584403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5"/>
    <x v="5"/>
    <x v="1"/>
    <x v="1"/>
    <n v="8.3910666818095905E-2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5"/>
    <x v="6"/>
    <x v="1"/>
    <x v="1"/>
    <n v="0.32918003403919499"/>
    <n v="2E+20"/>
    <n v="0"/>
    <n v="3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5"/>
    <x v="7"/>
    <x v="2"/>
    <x v="2"/>
    <n v="0.56445211209023904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5"/>
    <x v="7"/>
    <x v="3"/>
    <x v="2"/>
    <n v="0.56445211209023904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5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5"/>
    <x v="8"/>
    <x v="2"/>
    <x v="2"/>
    <n v="0.32065175009263303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5"/>
    <x v="8"/>
    <x v="3"/>
    <x v="2"/>
    <n v="0.32065175009263303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5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5"/>
    <x v="9"/>
    <x v="2"/>
    <x v="2"/>
    <n v="9.3147313999888598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5"/>
    <x v="9"/>
    <x v="3"/>
    <x v="2"/>
    <n v="9.3147313999888598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5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6"/>
    <x v="0"/>
    <x v="0"/>
    <x v="0"/>
    <n v="1.7547849366313"/>
    <n v="2E+20"/>
    <n v="0"/>
    <n v="8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6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6"/>
    <x v="2"/>
    <x v="1"/>
    <x v="1"/>
    <n v="0.50711872333923103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6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6"/>
    <x v="4"/>
    <x v="1"/>
    <x v="1"/>
    <n v="2.7574800761008499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6"/>
    <x v="5"/>
    <x v="1"/>
    <x v="1"/>
    <n v="3.2352483552645098E-2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6"/>
    <x v="6"/>
    <x v="1"/>
    <x v="1"/>
    <n v="0.15688820873064699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6"/>
    <x v="7"/>
    <x v="2"/>
    <x v="2"/>
    <n v="0.49692943313467602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6"/>
    <x v="7"/>
    <x v="3"/>
    <x v="2"/>
    <n v="0.49692943313467602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6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6"/>
    <x v="8"/>
    <x v="2"/>
    <x v="2"/>
    <n v="0.27711774956678498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6"/>
    <x v="8"/>
    <x v="3"/>
    <x v="2"/>
    <n v="0.27711774956678498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6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6"/>
    <x v="9"/>
    <x v="2"/>
    <x v="2"/>
    <n v="8.5601179182103498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6"/>
    <x v="9"/>
    <x v="3"/>
    <x v="2"/>
    <n v="8.5601179182103498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6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7"/>
    <x v="0"/>
    <x v="0"/>
    <x v="0"/>
    <n v="1.73473946096578"/>
    <n v="2E+20"/>
    <n v="0"/>
    <n v="9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7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7"/>
    <x v="2"/>
    <x v="1"/>
    <x v="1"/>
    <n v="0.50258421028893197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7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7"/>
    <x v="4"/>
    <x v="1"/>
    <x v="1"/>
    <n v="2.9879354038055601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7"/>
    <x v="5"/>
    <x v="1"/>
    <x v="1"/>
    <n v="1.9919946681023801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7"/>
    <x v="6"/>
    <x v="1"/>
    <x v="1"/>
    <n v="0.16796993103389199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7"/>
    <x v="7"/>
    <x v="2"/>
    <x v="2"/>
    <n v="0.47688337118837298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7"/>
    <x v="7"/>
    <x v="3"/>
    <x v="2"/>
    <n v="0.47688337118837298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7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7"/>
    <x v="8"/>
    <x v="2"/>
    <x v="2"/>
    <n v="0.2768488170096309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7"/>
    <x v="8"/>
    <x v="3"/>
    <x v="2"/>
    <n v="0.2768488170096309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7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7"/>
    <x v="9"/>
    <x v="2"/>
    <x v="2"/>
    <n v="8.6884610241955998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7"/>
    <x v="9"/>
    <x v="3"/>
    <x v="2"/>
    <n v="8.6884610241955998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7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8"/>
    <x v="0"/>
    <x v="0"/>
    <x v="0"/>
    <n v="1.71348154241067"/>
    <n v="2E+20"/>
    <n v="0"/>
    <n v="8"/>
    <n v="6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8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8"/>
    <x v="2"/>
    <x v="1"/>
    <x v="1"/>
    <n v="0.44337753600747898"/>
    <n v="2E+20"/>
    <n v="0"/>
    <n v="3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8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8"/>
    <x v="4"/>
    <x v="1"/>
    <x v="1"/>
    <n v="4.75125610351744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8"/>
    <x v="5"/>
    <x v="1"/>
    <x v="1"/>
    <n v="7.4045111325316604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8"/>
    <x v="6"/>
    <x v="1"/>
    <x v="1"/>
    <n v="0.19857190104026201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8"/>
    <x v="7"/>
    <x v="2"/>
    <x v="2"/>
    <n v="0.440171879332103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8"/>
    <x v="7"/>
    <x v="3"/>
    <x v="2"/>
    <n v="0.440171879332103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8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8"/>
    <x v="8"/>
    <x v="2"/>
    <x v="2"/>
    <n v="0.27398625202090898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8"/>
    <x v="8"/>
    <x v="3"/>
    <x v="2"/>
    <n v="0.27398625202090898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8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8"/>
    <x v="9"/>
    <x v="2"/>
    <x v="2"/>
    <n v="7.86054338831427E-2"/>
    <n v="2E+20"/>
    <n v="0"/>
    <n v="1"/>
    <n v="1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8"/>
    <x v="9"/>
    <x v="3"/>
    <x v="2"/>
    <n v="7.86054338831427E-2"/>
    <n v="2E+20"/>
    <n v="0"/>
    <n v="1"/>
    <n v="1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8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9"/>
    <x v="0"/>
    <x v="0"/>
    <x v="0"/>
    <n v="1.3917437808073101"/>
    <n v="2E+20"/>
    <n v="0"/>
    <n v="6"/>
    <n v="2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9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9"/>
    <x v="2"/>
    <x v="1"/>
    <x v="1"/>
    <n v="0.36490037982421197"/>
    <n v="2E+20"/>
    <n v="0"/>
    <n v="2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9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9"/>
    <x v="4"/>
    <x v="1"/>
    <x v="1"/>
    <n v="1.52808228703373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9"/>
    <x v="5"/>
    <x v="1"/>
    <x v="1"/>
    <n v="3.4413221771522201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9"/>
    <x v="6"/>
    <x v="1"/>
    <x v="1"/>
    <n v="7.2114318757965201E-2"/>
    <n v="2E+20"/>
    <n v="0"/>
    <n v="1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9"/>
    <x v="7"/>
    <x v="2"/>
    <x v="2"/>
    <n v="0.43219764849044101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9"/>
    <x v="7"/>
    <x v="3"/>
    <x v="2"/>
    <n v="0.43219764849044101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9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9"/>
    <x v="8"/>
    <x v="2"/>
    <x v="2"/>
    <n v="0.24305958991813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9"/>
    <x v="8"/>
    <x v="3"/>
    <x v="2"/>
    <n v="0.24305958991813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9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9"/>
    <x v="9"/>
    <x v="2"/>
    <x v="2"/>
    <n v="7.6592599724896404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9"/>
    <x v="9"/>
    <x v="3"/>
    <x v="2"/>
    <n v="7.6592599724896404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9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0"/>
    <x v="0"/>
    <x v="0"/>
    <x v="0"/>
    <n v="1.62072353787054"/>
    <n v="2E+20"/>
    <n v="0"/>
    <n v="7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0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0"/>
    <x v="2"/>
    <x v="1"/>
    <x v="1"/>
    <n v="0.42781979733370701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0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0"/>
    <x v="4"/>
    <x v="1"/>
    <x v="1"/>
    <n v="1.4625623865391299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0"/>
    <x v="5"/>
    <x v="1"/>
    <x v="1"/>
    <n v="4.1429197269548697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0"/>
    <x v="6"/>
    <x v="1"/>
    <x v="1"/>
    <n v="9.3170205827645E-2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0"/>
    <x v="7"/>
    <x v="2"/>
    <x v="2"/>
    <n v="0.50390271509443996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0"/>
    <x v="7"/>
    <x v="3"/>
    <x v="2"/>
    <n v="0.50390271509443996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0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0"/>
    <x v="8"/>
    <x v="2"/>
    <x v="2"/>
    <n v="0.30117067342795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0"/>
    <x v="8"/>
    <x v="3"/>
    <x v="2"/>
    <n v="0.30117067342795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0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0"/>
    <x v="9"/>
    <x v="2"/>
    <x v="2"/>
    <n v="7.9535108350616099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0"/>
    <x v="9"/>
    <x v="3"/>
    <x v="2"/>
    <n v="7.9535108350616099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0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1"/>
    <x v="0"/>
    <x v="0"/>
    <x v="0"/>
    <n v="1.8870731525847699"/>
    <n v="2E+20"/>
    <n v="0"/>
    <n v="8"/>
    <n v="2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1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1"/>
    <x v="2"/>
    <x v="1"/>
    <x v="1"/>
    <n v="0.50381728765845402"/>
    <n v="2E+20"/>
    <n v="0"/>
    <n v="2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1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1"/>
    <x v="4"/>
    <x v="1"/>
    <x v="1"/>
    <n v="3.4037698195009299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1"/>
    <x v="5"/>
    <x v="1"/>
    <x v="1"/>
    <n v="5.85575674672607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1"/>
    <x v="6"/>
    <x v="1"/>
    <x v="1"/>
    <n v="0.15271910590544299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1"/>
    <x v="7"/>
    <x v="2"/>
    <x v="2"/>
    <n v="0.54448563197593103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1"/>
    <x v="7"/>
    <x v="3"/>
    <x v="2"/>
    <n v="0.54448563197593103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1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1"/>
    <x v="8"/>
    <x v="2"/>
    <x v="2"/>
    <n v="0.32278137218397002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1"/>
    <x v="8"/>
    <x v="3"/>
    <x v="2"/>
    <n v="0.32278137218397002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1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1"/>
    <x v="9"/>
    <x v="2"/>
    <x v="2"/>
    <n v="9.0224829732901302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1"/>
    <x v="9"/>
    <x v="3"/>
    <x v="2"/>
    <n v="9.0224829732901302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1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2"/>
    <x v="0"/>
    <x v="0"/>
    <x v="0"/>
    <n v="1.02432119510853"/>
    <n v="2E+20"/>
    <n v="0"/>
    <n v="5"/>
    <n v="2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2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2"/>
    <x v="2"/>
    <x v="1"/>
    <x v="1"/>
    <n v="0.27747528184478798"/>
    <n v="2E+20"/>
    <n v="0"/>
    <n v="2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2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2"/>
    <x v="4"/>
    <x v="1"/>
    <x v="1"/>
    <n v="0"/>
    <n v="2E+20"/>
    <n v="0"/>
    <n v="0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2"/>
    <x v="5"/>
    <x v="1"/>
    <x v="1"/>
    <n v="0"/>
    <n v="2E+20"/>
    <n v="0"/>
    <n v="0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2"/>
    <x v="6"/>
    <x v="1"/>
    <x v="1"/>
    <n v="9.0453284135870501E-3"/>
    <n v="2E+20"/>
    <n v="0"/>
    <n v="1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2"/>
    <x v="7"/>
    <x v="2"/>
    <x v="2"/>
    <n v="0.357464010826059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2"/>
    <x v="7"/>
    <x v="3"/>
    <x v="2"/>
    <n v="0.357464010826059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2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2"/>
    <x v="8"/>
    <x v="2"/>
    <x v="2"/>
    <n v="0.2099944829493629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2"/>
    <x v="8"/>
    <x v="3"/>
    <x v="2"/>
    <n v="0.2099944829493629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2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2"/>
    <x v="9"/>
    <x v="2"/>
    <x v="2"/>
    <n v="5.6780697024912299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2"/>
    <x v="9"/>
    <x v="3"/>
    <x v="2"/>
    <n v="5.6780697024912299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2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3"/>
    <x v="0"/>
    <x v="0"/>
    <x v="0"/>
    <n v="1.5215521204411"/>
    <n v="2E+20"/>
    <n v="0"/>
    <n v="7"/>
    <n v="2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3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3"/>
    <x v="2"/>
    <x v="1"/>
    <x v="1"/>
    <n v="0.40573626732949503"/>
    <n v="2E+20"/>
    <n v="0"/>
    <n v="2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3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3"/>
    <x v="4"/>
    <x v="1"/>
    <x v="1"/>
    <n v="2.33220768083637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3"/>
    <x v="5"/>
    <x v="1"/>
    <x v="1"/>
    <n v="3.6322079093627599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3"/>
    <x v="6"/>
    <x v="1"/>
    <x v="1"/>
    <n v="8.5864569359539594E-2"/>
    <n v="2E+20"/>
    <n v="0"/>
    <n v="1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3"/>
    <x v="7"/>
    <x v="2"/>
    <x v="2"/>
    <n v="0.47366149749087599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3"/>
    <x v="7"/>
    <x v="3"/>
    <x v="2"/>
    <n v="0.47366149749087599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3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3"/>
    <x v="8"/>
    <x v="2"/>
    <x v="2"/>
    <n v="0.2762455989296039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3"/>
    <x v="8"/>
    <x v="3"/>
    <x v="2"/>
    <n v="0.2762455989296039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3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3"/>
    <x v="9"/>
    <x v="2"/>
    <x v="2"/>
    <n v="7.3466677143198503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3"/>
    <x v="9"/>
    <x v="3"/>
    <x v="2"/>
    <n v="7.3466677143198503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3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4"/>
    <x v="0"/>
    <x v="0"/>
    <x v="0"/>
    <n v="2.1222110032980401"/>
    <n v="2E+20"/>
    <n v="0"/>
    <n v="10"/>
    <n v="9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4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4"/>
    <x v="2"/>
    <x v="1"/>
    <x v="1"/>
    <n v="0.56331505853492903"/>
    <n v="2E+20"/>
    <n v="0"/>
    <n v="3"/>
    <n v="3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4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4"/>
    <x v="4"/>
    <x v="1"/>
    <x v="1"/>
    <n v="6.0754551608738099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4"/>
    <x v="5"/>
    <x v="1"/>
    <x v="1"/>
    <n v="8.5343198571135398E-2"/>
    <n v="2E+20"/>
    <n v="0"/>
    <n v="2"/>
    <n v="1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4"/>
    <x v="6"/>
    <x v="1"/>
    <x v="1"/>
    <n v="0.23945360248290601"/>
    <n v="2E+20"/>
    <n v="0"/>
    <n v="3"/>
    <n v="3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4"/>
    <x v="7"/>
    <x v="2"/>
    <x v="2"/>
    <n v="0.56102683884971605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4"/>
    <x v="7"/>
    <x v="3"/>
    <x v="2"/>
    <n v="0.56102683884971605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4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4"/>
    <x v="8"/>
    <x v="2"/>
    <x v="2"/>
    <n v="0.35600885922648501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4"/>
    <x v="8"/>
    <x v="3"/>
    <x v="2"/>
    <n v="0.35600885922648501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4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4"/>
    <x v="9"/>
    <x v="2"/>
    <x v="2"/>
    <n v="8.5436298008042297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4"/>
    <x v="9"/>
    <x v="3"/>
    <x v="2"/>
    <n v="8.5436298008042297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4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5"/>
    <x v="0"/>
    <x v="0"/>
    <x v="0"/>
    <n v="2.1379896457125001"/>
    <n v="2E+20"/>
    <n v="0"/>
    <n v="8"/>
    <n v="1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5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5"/>
    <x v="2"/>
    <x v="1"/>
    <x v="1"/>
    <n v="0.57413267866815998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5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5"/>
    <x v="4"/>
    <x v="1"/>
    <x v="1"/>
    <n v="4.5433303903168298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5"/>
    <x v="5"/>
    <x v="1"/>
    <x v="1"/>
    <n v="8.0902288113082504E-2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5"/>
    <x v="6"/>
    <x v="1"/>
    <x v="1"/>
    <n v="0.21680773480802501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5"/>
    <x v="7"/>
    <x v="2"/>
    <x v="2"/>
    <n v="0.57509140301384398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5"/>
    <x v="7"/>
    <x v="3"/>
    <x v="2"/>
    <n v="0.57509140301384398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5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5"/>
    <x v="8"/>
    <x v="2"/>
    <x v="2"/>
    <n v="0.33629620257472598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5"/>
    <x v="8"/>
    <x v="3"/>
    <x v="2"/>
    <n v="0.33629620257472598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5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5"/>
    <x v="9"/>
    <x v="2"/>
    <x v="2"/>
    <n v="0.103108678210498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5"/>
    <x v="9"/>
    <x v="3"/>
    <x v="2"/>
    <n v="0.103108678210498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5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6"/>
    <x v="0"/>
    <x v="0"/>
    <x v="0"/>
    <n v="1.50509570116213"/>
    <n v="2E+20"/>
    <n v="0"/>
    <n v="8"/>
    <n v="1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6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6"/>
    <x v="2"/>
    <x v="1"/>
    <x v="1"/>
    <n v="0.39126030323418898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6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6"/>
    <x v="4"/>
    <x v="1"/>
    <x v="1"/>
    <n v="1.49763998927355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6"/>
    <x v="5"/>
    <x v="1"/>
    <x v="1"/>
    <n v="3.8148237591601797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6"/>
    <x v="6"/>
    <x v="1"/>
    <x v="1"/>
    <n v="8.9480606147986697E-2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6"/>
    <x v="7"/>
    <x v="2"/>
    <x v="2"/>
    <n v="0.44924041931831099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6"/>
    <x v="7"/>
    <x v="3"/>
    <x v="2"/>
    <n v="0.44924041931831099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6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6"/>
    <x v="8"/>
    <x v="2"/>
    <x v="2"/>
    <n v="0.26424452175138902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6"/>
    <x v="8"/>
    <x v="3"/>
    <x v="2"/>
    <n v="0.26424452175138902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6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6"/>
    <x v="9"/>
    <x v="2"/>
    <x v="2"/>
    <n v="8.5915071075306507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6"/>
    <x v="9"/>
    <x v="3"/>
    <x v="2"/>
    <n v="8.5915071075306507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6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7"/>
    <x v="0"/>
    <x v="0"/>
    <x v="0"/>
    <n v="1.30033554544369"/>
    <n v="2E+20"/>
    <n v="0"/>
    <n v="7"/>
    <n v="4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7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7"/>
    <x v="2"/>
    <x v="1"/>
    <x v="1"/>
    <n v="0.33890285723392299"/>
    <n v="2E+20"/>
    <n v="0"/>
    <n v="2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7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7"/>
    <x v="4"/>
    <x v="1"/>
    <x v="1"/>
    <n v="1.49056201363629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7"/>
    <x v="5"/>
    <x v="1"/>
    <x v="1"/>
    <n v="2.2125995453993699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7"/>
    <x v="6"/>
    <x v="1"/>
    <x v="1"/>
    <n v="7.4561909453848205E-2"/>
    <n v="2E+20"/>
    <n v="0"/>
    <n v="1"/>
    <n v="1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7"/>
    <x v="7"/>
    <x v="2"/>
    <x v="2"/>
    <n v="0.39012312277500599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7"/>
    <x v="7"/>
    <x v="3"/>
    <x v="2"/>
    <n v="0.39012312277500599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7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7"/>
    <x v="8"/>
    <x v="2"/>
    <x v="2"/>
    <n v="0.238914505666034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7"/>
    <x v="8"/>
    <x v="3"/>
    <x v="2"/>
    <n v="0.238914505666034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7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7"/>
    <x v="9"/>
    <x v="2"/>
    <x v="2"/>
    <n v="7.3600511574841807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7"/>
    <x v="9"/>
    <x v="3"/>
    <x v="2"/>
    <n v="7.3600511574841807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7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8"/>
    <x v="0"/>
    <x v="0"/>
    <x v="0"/>
    <n v="2.4343835485437801"/>
    <n v="2E+20"/>
    <n v="0"/>
    <n v="9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8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8"/>
    <x v="2"/>
    <x v="1"/>
    <x v="1"/>
    <n v="0.67398271688937295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8"/>
    <x v="3"/>
    <x v="1"/>
    <x v="1"/>
    <n v="1.55056745953175E-4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8"/>
    <x v="4"/>
    <x v="1"/>
    <x v="1"/>
    <n v="7.7672979227810607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8"/>
    <x v="5"/>
    <x v="1"/>
    <x v="1"/>
    <n v="0.13654526635771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8"/>
    <x v="6"/>
    <x v="1"/>
    <x v="1"/>
    <n v="0.39547622058287801"/>
    <n v="2E+20"/>
    <n v="0"/>
    <n v="3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8"/>
    <x v="7"/>
    <x v="2"/>
    <x v="2"/>
    <n v="0.555338522297531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8"/>
    <x v="7"/>
    <x v="3"/>
    <x v="2"/>
    <n v="0.555338522297531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8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8"/>
    <x v="8"/>
    <x v="2"/>
    <x v="2"/>
    <n v="0.31174701595791798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8"/>
    <x v="8"/>
    <x v="3"/>
    <x v="2"/>
    <n v="0.31174701595791798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8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8"/>
    <x v="9"/>
    <x v="2"/>
    <x v="2"/>
    <n v="9.44885901615342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8"/>
    <x v="9"/>
    <x v="3"/>
    <x v="2"/>
    <n v="9.44885901615342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8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19"/>
    <x v="0"/>
    <x v="0"/>
    <x v="0"/>
    <n v="1.47199043855885"/>
    <n v="2E+20"/>
    <n v="0"/>
    <n v="8"/>
    <n v="2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19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19"/>
    <x v="2"/>
    <x v="1"/>
    <x v="1"/>
    <n v="0.40167453947797499"/>
    <n v="2E+20"/>
    <n v="0"/>
    <n v="3"/>
    <n v="1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19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19"/>
    <x v="4"/>
    <x v="1"/>
    <x v="1"/>
    <n v="3.1208716007633901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19"/>
    <x v="5"/>
    <x v="1"/>
    <x v="1"/>
    <n v="5.1691309786194198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19"/>
    <x v="6"/>
    <x v="1"/>
    <x v="1"/>
    <n v="0.14942452732117301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19"/>
    <x v="7"/>
    <x v="2"/>
    <x v="2"/>
    <n v="0.40390293768324398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9"/>
    <x v="7"/>
    <x v="3"/>
    <x v="2"/>
    <n v="0.40390293768324398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19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19"/>
    <x v="8"/>
    <x v="2"/>
    <x v="2"/>
    <n v="0.247375323876877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9"/>
    <x v="8"/>
    <x v="3"/>
    <x v="2"/>
    <n v="0.247375323876877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19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19"/>
    <x v="9"/>
    <x v="2"/>
    <x v="2"/>
    <n v="6.2237694801918403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9"/>
    <x v="9"/>
    <x v="3"/>
    <x v="2"/>
    <n v="6.2237694801918403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19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0"/>
    <x v="0"/>
    <x v="0"/>
    <x v="0"/>
    <n v="1.9234628152407001"/>
    <n v="2E+20"/>
    <n v="0"/>
    <n v="8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0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0"/>
    <x v="2"/>
    <x v="1"/>
    <x v="1"/>
    <n v="0.53969626279856497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0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0"/>
    <x v="4"/>
    <x v="1"/>
    <x v="1"/>
    <n v="3.53882092108984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0"/>
    <x v="5"/>
    <x v="1"/>
    <x v="1"/>
    <n v="6.3975555862931105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0"/>
    <x v="6"/>
    <x v="1"/>
    <x v="1"/>
    <n v="0.20371483262437901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0"/>
    <x v="7"/>
    <x v="2"/>
    <x v="2"/>
    <n v="0.52530946877751705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0"/>
    <x v="7"/>
    <x v="3"/>
    <x v="2"/>
    <n v="0.52530946877751705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0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0"/>
    <x v="8"/>
    <x v="2"/>
    <x v="2"/>
    <n v="0.30662979542172702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0"/>
    <x v="8"/>
    <x v="3"/>
    <x v="2"/>
    <n v="0.30662979542172702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0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0"/>
    <x v="9"/>
    <x v="2"/>
    <x v="2"/>
    <n v="8.2916230181559497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0"/>
    <x v="9"/>
    <x v="3"/>
    <x v="2"/>
    <n v="8.2916230181559497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0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1"/>
    <x v="0"/>
    <x v="0"/>
    <x v="0"/>
    <n v="2.2651952809885501"/>
    <n v="2E+20"/>
    <n v="0"/>
    <n v="7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1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1"/>
    <x v="2"/>
    <x v="1"/>
    <x v="1"/>
    <n v="0.663412918788859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1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1"/>
    <x v="4"/>
    <x v="1"/>
    <x v="1"/>
    <n v="3.2410942780752197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1"/>
    <x v="5"/>
    <x v="1"/>
    <x v="1"/>
    <n v="5.3720541838384199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1"/>
    <x v="6"/>
    <x v="1"/>
    <x v="1"/>
    <n v="0.25474944616349299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1"/>
    <x v="7"/>
    <x v="2"/>
    <x v="2"/>
    <n v="0.60626731984831705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1"/>
    <x v="7"/>
    <x v="3"/>
    <x v="2"/>
    <n v="0.60626731984831705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1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1"/>
    <x v="8"/>
    <x v="2"/>
    <x v="2"/>
    <n v="0.345372924020587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1"/>
    <x v="8"/>
    <x v="3"/>
    <x v="2"/>
    <n v="0.345372924020587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1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1"/>
    <x v="9"/>
    <x v="2"/>
    <x v="2"/>
    <n v="0.103087062516054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1"/>
    <x v="9"/>
    <x v="3"/>
    <x v="2"/>
    <n v="0.103087062516054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1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2"/>
    <x v="0"/>
    <x v="0"/>
    <x v="0"/>
    <n v="1.4358681138854701"/>
    <n v="2E+20"/>
    <n v="0"/>
    <n v="8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2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2"/>
    <x v="2"/>
    <x v="1"/>
    <x v="1"/>
    <n v="0.36320325728601799"/>
    <n v="2E+20"/>
    <n v="0"/>
    <n v="2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2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2"/>
    <x v="4"/>
    <x v="1"/>
    <x v="1"/>
    <n v="2.3450910733720399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2"/>
    <x v="5"/>
    <x v="1"/>
    <x v="1"/>
    <n v="3.9075237963953902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2"/>
    <x v="6"/>
    <x v="1"/>
    <x v="1"/>
    <n v="8.6510750353312904E-2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2"/>
    <x v="7"/>
    <x v="2"/>
    <x v="2"/>
    <n v="0.42599450213849299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2"/>
    <x v="7"/>
    <x v="3"/>
    <x v="2"/>
    <n v="0.42599450213849299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2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2"/>
    <x v="8"/>
    <x v="2"/>
    <x v="2"/>
    <n v="0.25128807862616798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2"/>
    <x v="8"/>
    <x v="3"/>
    <x v="2"/>
    <n v="0.25128807862616798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2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2"/>
    <x v="9"/>
    <x v="2"/>
    <x v="2"/>
    <n v="8.2115125594601407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2"/>
    <x v="9"/>
    <x v="3"/>
    <x v="2"/>
    <n v="8.2115125594601407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2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3"/>
    <x v="0"/>
    <x v="0"/>
    <x v="0"/>
    <n v="1.81191590368315"/>
    <n v="2E+20"/>
    <n v="0"/>
    <n v="10"/>
    <n v="6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3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3"/>
    <x v="2"/>
    <x v="1"/>
    <x v="1"/>
    <n v="0.47149579144647502"/>
    <n v="2E+20"/>
    <n v="0"/>
    <n v="3"/>
    <n v="2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3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3"/>
    <x v="4"/>
    <x v="1"/>
    <x v="1"/>
    <n v="4.5204267058912798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3"/>
    <x v="5"/>
    <x v="1"/>
    <x v="1"/>
    <n v="7.0445063489693996E-2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3"/>
    <x v="6"/>
    <x v="1"/>
    <x v="1"/>
    <n v="0.16330719856286299"/>
    <n v="2E+20"/>
    <n v="0"/>
    <n v="3"/>
    <n v="2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3"/>
    <x v="7"/>
    <x v="2"/>
    <x v="2"/>
    <n v="0.51342970562738099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3"/>
    <x v="7"/>
    <x v="3"/>
    <x v="2"/>
    <n v="0.51342970562738099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3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3"/>
    <x v="8"/>
    <x v="2"/>
    <x v="2"/>
    <n v="0.31895559429968101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3"/>
    <x v="8"/>
    <x v="3"/>
    <x v="2"/>
    <n v="0.31895559429968101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3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3"/>
    <x v="9"/>
    <x v="2"/>
    <x v="2"/>
    <n v="7.63594277327133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3"/>
    <x v="9"/>
    <x v="3"/>
    <x v="2"/>
    <n v="7.63594277327133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3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4"/>
    <x v="0"/>
    <x v="0"/>
    <x v="0"/>
    <n v="1.6195830579385999"/>
    <n v="2E+20"/>
    <n v="0"/>
    <n v="7"/>
    <n v="3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4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4"/>
    <x v="2"/>
    <x v="1"/>
    <x v="1"/>
    <n v="0.43702551945964602"/>
    <n v="2E+20"/>
    <n v="0"/>
    <n v="2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4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4"/>
    <x v="4"/>
    <x v="1"/>
    <x v="1"/>
    <n v="1.35318106999451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4"/>
    <x v="5"/>
    <x v="1"/>
    <x v="1"/>
    <n v="1.54240794675665E-2"/>
    <n v="2E+20"/>
    <n v="0"/>
    <n v="1"/>
    <n v="1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4"/>
    <x v="6"/>
    <x v="1"/>
    <x v="1"/>
    <n v="8.7507447601922903E-2"/>
    <n v="2E+20"/>
    <n v="0"/>
    <n v="1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4"/>
    <x v="7"/>
    <x v="2"/>
    <x v="2"/>
    <n v="0.49240957479207098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4"/>
    <x v="7"/>
    <x v="3"/>
    <x v="2"/>
    <n v="0.49240957479207098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4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4"/>
    <x v="8"/>
    <x v="2"/>
    <x v="2"/>
    <n v="0.299650490725275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4"/>
    <x v="8"/>
    <x v="3"/>
    <x v="2"/>
    <n v="0.299650490725275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4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4"/>
    <x v="9"/>
    <x v="2"/>
    <x v="2"/>
    <n v="9.1344711730722894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4"/>
    <x v="9"/>
    <x v="3"/>
    <x v="2"/>
    <n v="9.1344711730722894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4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5"/>
    <x v="0"/>
    <x v="0"/>
    <x v="0"/>
    <n v="1.60968171557396"/>
    <n v="2E+20"/>
    <n v="0"/>
    <n v="9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5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5"/>
    <x v="2"/>
    <x v="1"/>
    <x v="1"/>
    <n v="0.47643231844179001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5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5"/>
    <x v="4"/>
    <x v="1"/>
    <x v="1"/>
    <n v="2.5398972398873999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5"/>
    <x v="5"/>
    <x v="1"/>
    <x v="1"/>
    <n v="3.7344942929215703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5"/>
    <x v="6"/>
    <x v="1"/>
    <x v="1"/>
    <n v="0.180542387715425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5"/>
    <x v="7"/>
    <x v="2"/>
    <x v="2"/>
    <n v="0.43745610240743199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5"/>
    <x v="7"/>
    <x v="3"/>
    <x v="2"/>
    <n v="0.43745610240743199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5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5"/>
    <x v="8"/>
    <x v="2"/>
    <x v="2"/>
    <n v="0.255420392362321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5"/>
    <x v="8"/>
    <x v="3"/>
    <x v="2"/>
    <n v="0.255420392362321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5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5"/>
    <x v="9"/>
    <x v="2"/>
    <x v="2"/>
    <n v="6.5695533106301607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5"/>
    <x v="9"/>
    <x v="3"/>
    <x v="2"/>
    <n v="6.5695533106301607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5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6"/>
    <x v="0"/>
    <x v="0"/>
    <x v="0"/>
    <n v="2.2899442962168801"/>
    <n v="2E+20"/>
    <n v="0"/>
    <n v="9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6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6"/>
    <x v="2"/>
    <x v="1"/>
    <x v="1"/>
    <n v="0.60466956422301599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6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6"/>
    <x v="4"/>
    <x v="1"/>
    <x v="1"/>
    <n v="6.5929442311491407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6"/>
    <x v="5"/>
    <x v="1"/>
    <x v="1"/>
    <n v="0.109420251497976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6"/>
    <x v="6"/>
    <x v="1"/>
    <x v="1"/>
    <n v="0.31222352184035301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6"/>
    <x v="7"/>
    <x v="2"/>
    <x v="2"/>
    <n v="0.55627035413945203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6"/>
    <x v="7"/>
    <x v="3"/>
    <x v="2"/>
    <n v="0.55627035413945203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6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6"/>
    <x v="8"/>
    <x v="2"/>
    <x v="2"/>
    <n v="0.3472326409425189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6"/>
    <x v="8"/>
    <x v="3"/>
    <x v="2"/>
    <n v="0.3472326409425189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6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6"/>
    <x v="9"/>
    <x v="2"/>
    <x v="2"/>
    <n v="9.8066173754023198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6"/>
    <x v="9"/>
    <x v="3"/>
    <x v="2"/>
    <n v="9.8066173754023198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6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7"/>
    <x v="0"/>
    <x v="0"/>
    <x v="0"/>
    <n v="2.12069302188107"/>
    <n v="2E+20"/>
    <n v="0"/>
    <n v="11"/>
    <n v="7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7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7"/>
    <x v="2"/>
    <x v="1"/>
    <x v="1"/>
    <n v="0.56797619107610997"/>
    <n v="2E+20"/>
    <n v="0"/>
    <n v="4"/>
    <n v="2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7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7"/>
    <x v="4"/>
    <x v="1"/>
    <x v="1"/>
    <n v="6.7623732649302007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7"/>
    <x v="5"/>
    <x v="1"/>
    <x v="1"/>
    <n v="8.3168711286836505E-2"/>
    <n v="2E+20"/>
    <n v="0"/>
    <n v="2"/>
    <n v="1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7"/>
    <x v="6"/>
    <x v="1"/>
    <x v="1"/>
    <n v="0.24908081524891301"/>
    <n v="2E+20"/>
    <n v="0"/>
    <n v="3"/>
    <n v="2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7"/>
    <x v="7"/>
    <x v="2"/>
    <x v="2"/>
    <n v="0.54750563151332998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7"/>
    <x v="7"/>
    <x v="3"/>
    <x v="2"/>
    <n v="0.54750563151332998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7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7"/>
    <x v="8"/>
    <x v="2"/>
    <x v="2"/>
    <n v="0.33967631542724103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7"/>
    <x v="8"/>
    <x v="3"/>
    <x v="2"/>
    <n v="0.33967631542724103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7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7"/>
    <x v="9"/>
    <x v="2"/>
    <x v="2"/>
    <n v="8.8553874893110798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7"/>
    <x v="9"/>
    <x v="3"/>
    <x v="2"/>
    <n v="8.8553874893110798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7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8"/>
    <x v="0"/>
    <x v="0"/>
    <x v="0"/>
    <n v="1.6900073393546"/>
    <n v="2E+20"/>
    <n v="0"/>
    <n v="7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8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8"/>
    <x v="2"/>
    <x v="1"/>
    <x v="1"/>
    <n v="0.44527174046685603"/>
    <n v="2E+20"/>
    <n v="0"/>
    <n v="2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8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8"/>
    <x v="4"/>
    <x v="1"/>
    <x v="1"/>
    <n v="2.7873816650230698E-2"/>
    <n v="2E+20"/>
    <n v="0"/>
    <n v="1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8"/>
    <x v="5"/>
    <x v="1"/>
    <x v="1"/>
    <n v="6.57865764397184E-2"/>
    <n v="2E+20"/>
    <n v="0"/>
    <n v="1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8"/>
    <x v="6"/>
    <x v="1"/>
    <x v="1"/>
    <n v="0.14030400554803901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8"/>
    <x v="7"/>
    <x v="2"/>
    <x v="2"/>
    <n v="0.49100856755102501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8"/>
    <x v="7"/>
    <x v="3"/>
    <x v="2"/>
    <n v="0.49100856755102501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8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8"/>
    <x v="8"/>
    <x v="2"/>
    <x v="2"/>
    <n v="0.28127629083132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8"/>
    <x v="8"/>
    <x v="3"/>
    <x v="2"/>
    <n v="0.28127629083132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8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8"/>
    <x v="9"/>
    <x v="2"/>
    <x v="2"/>
    <n v="7.9495447289137294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8"/>
    <x v="9"/>
    <x v="3"/>
    <x v="2"/>
    <n v="7.9495447289137294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8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29"/>
    <x v="0"/>
    <x v="0"/>
    <x v="0"/>
    <n v="2.3169176465280401"/>
    <n v="2E+20"/>
    <n v="0"/>
    <n v="8"/>
    <n v="2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29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29"/>
    <x v="2"/>
    <x v="1"/>
    <x v="1"/>
    <n v="0.66366237633365499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29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29"/>
    <x v="4"/>
    <x v="1"/>
    <x v="1"/>
    <n v="4.4120016353835501E-2"/>
    <n v="2E+20"/>
    <n v="0"/>
    <n v="2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29"/>
    <x v="5"/>
    <x v="1"/>
    <x v="1"/>
    <n v="6.1692054914252399E-2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29"/>
    <x v="6"/>
    <x v="1"/>
    <x v="1"/>
    <n v="0.290205874577117"/>
    <n v="2E+20"/>
    <n v="0"/>
    <n v="2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29"/>
    <x v="7"/>
    <x v="2"/>
    <x v="2"/>
    <n v="0.58995872822012696"/>
    <n v="2E+20"/>
    <n v="0"/>
    <n v="1"/>
    <n v="1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9"/>
    <x v="7"/>
    <x v="3"/>
    <x v="2"/>
    <n v="0.58995872822012696"/>
    <n v="2E+20"/>
    <n v="0"/>
    <n v="1"/>
    <n v="1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29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29"/>
    <x v="8"/>
    <x v="2"/>
    <x v="2"/>
    <n v="0.35775345817659199"/>
    <n v="2E+20"/>
    <n v="0"/>
    <n v="1"/>
    <n v="1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9"/>
    <x v="8"/>
    <x v="3"/>
    <x v="2"/>
    <n v="0.35775345817659199"/>
    <n v="2E+20"/>
    <n v="0"/>
    <n v="1"/>
    <n v="1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29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29"/>
    <x v="9"/>
    <x v="2"/>
    <x v="2"/>
    <n v="0.10317504598415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9"/>
    <x v="9"/>
    <x v="3"/>
    <x v="2"/>
    <n v="0.10317504598415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29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  <r>
    <x v="0"/>
    <s v="2025-05-21 19:18:09"/>
    <n v="30"/>
    <x v="0"/>
    <x v="0"/>
    <x v="0"/>
    <n v="1.5190746389571801"/>
    <n v="2E+20"/>
    <n v="0"/>
    <n v="9"/>
    <n v="0"/>
    <n v="0"/>
    <s v="Pedido CleintesClientesWIPEntity"/>
    <n v="30"/>
    <n v="1.7663501237199533"/>
    <n v="0.394857522779201"/>
    <n v="0.95"/>
    <n v="0.1474422221508549"/>
    <n v="1.02094278585578"/>
    <n v="2.4343835485437801"/>
    <n v="0.1474422221508549"/>
  </r>
  <r>
    <x v="0"/>
    <s v="2025-05-21 19:18:09"/>
    <n v="30"/>
    <x v="1"/>
    <x v="1"/>
    <x v="1"/>
    <n v="0"/>
    <n v="2E+20"/>
    <n v="0"/>
    <n v="0"/>
    <n v="0"/>
    <n v="0"/>
    <s v="Pedido CleintesEmpaque de pedidos.QueueNumber WaitingQueue"/>
    <n v="30"/>
    <n v="0"/>
    <n v="0"/>
    <n v="0.95"/>
    <n v="0"/>
    <n v="0"/>
    <n v="0"/>
    <n v="0"/>
  </r>
  <r>
    <x v="0"/>
    <s v="2025-05-21 19:18:09"/>
    <n v="30"/>
    <x v="2"/>
    <x v="1"/>
    <x v="1"/>
    <n v="0.41485581577166603"/>
    <n v="2E+20"/>
    <n v="0"/>
    <n v="3"/>
    <n v="0"/>
    <n v="0"/>
    <s v="Pedido CleintesEntrega Pedido.Queue1Number WaitingQueue"/>
    <n v="30"/>
    <n v="0.48138568380100144"/>
    <n v="0.11563109739745622"/>
    <n v="0.95"/>
    <n v="4.3177361368283713E-2"/>
    <n v="0.273073251721628"/>
    <n v="0.67472724368415504"/>
    <n v="4.3177361368283713E-2"/>
  </r>
  <r>
    <x v="0"/>
    <s v="2025-05-21 19:18:09"/>
    <n v="30"/>
    <x v="3"/>
    <x v="1"/>
    <x v="1"/>
    <n v="0"/>
    <n v="2E+20"/>
    <n v="0"/>
    <n v="1"/>
    <n v="0"/>
    <n v="0"/>
    <s v="Pedido CleintesEntrega Pedido.Queue2Number WaitingQueue"/>
    <n v="30"/>
    <n v="5.1685581984391664E-6"/>
    <n v="2.8309359150633942E-5"/>
    <n v="0.95"/>
    <n v="1.0570888434535787E-5"/>
    <n v="0"/>
    <n v="1.55056745953175E-4"/>
    <n v="1.0570888434535787E-5"/>
  </r>
  <r>
    <x v="0"/>
    <s v="2025-05-21 19:18:09"/>
    <n v="30"/>
    <x v="4"/>
    <x v="1"/>
    <x v="1"/>
    <n v="3.5515585807222402E-2"/>
    <n v="2E+20"/>
    <n v="0"/>
    <n v="3"/>
    <n v="0"/>
    <n v="0"/>
    <s v="Pedido CleintesOrdnes.QueueNumber WaitingQueue"/>
    <n v="30"/>
    <n v="3.3699692062373783E-2"/>
    <n v="2.0852091886937599E-2"/>
    <n v="0.95"/>
    <n v="7.7862990748262884E-3"/>
    <n v="0"/>
    <n v="7.8516062990880695E-2"/>
    <n v="7.7862990748262884E-3"/>
  </r>
  <r>
    <x v="0"/>
    <s v="2025-05-21 19:18:09"/>
    <n v="30"/>
    <x v="5"/>
    <x v="1"/>
    <x v="1"/>
    <n v="4.0947253934263801E-2"/>
    <n v="2E+20"/>
    <n v="0"/>
    <n v="2"/>
    <n v="0"/>
    <n v="0"/>
    <s v="Pedido CleintesPago.QueueNumber WaitingQueue"/>
    <n v="30"/>
    <n v="5.4630719944156803E-2"/>
    <n v="3.2715423284183552E-2"/>
    <n v="0.95"/>
    <n v="1.2216139820952973E-2"/>
    <n v="0"/>
    <n v="0.13654526635771"/>
    <n v="1.2216139820952973E-2"/>
  </r>
  <r>
    <x v="0"/>
    <s v="2025-05-21 19:18:09"/>
    <n v="30"/>
    <x v="6"/>
    <x v="1"/>
    <x v="1"/>
    <n v="0.12886450678826999"/>
    <n v="2E+20"/>
    <n v="0"/>
    <n v="3"/>
    <n v="0"/>
    <n v="0"/>
    <s v="Pedido CleintesPreparar orden.QueueNumber WaitingQueue"/>
    <n v="30"/>
    <n v="0.17018024099688309"/>
    <n v="9.5970873240174628E-2"/>
    <n v="0.95"/>
    <n v="3.5836113017914922E-2"/>
    <n v="9.0453284135870501E-3"/>
    <n v="0.39547622058287801"/>
    <n v="3.5836113017914922E-2"/>
  </r>
  <r>
    <x v="0"/>
    <s v="2025-05-21 19:18:09"/>
    <n v="30"/>
    <x v="7"/>
    <x v="2"/>
    <x v="2"/>
    <n v="0.43325312460847998"/>
    <n v="2E+20"/>
    <n v="0"/>
    <n v="1"/>
    <n v="0"/>
    <n v="0"/>
    <s v="Pedido CleintesrPreparadorInstantaneous Utilization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30"/>
    <x v="7"/>
    <x v="3"/>
    <x v="2"/>
    <n v="0.43325312460847998"/>
    <n v="2E+20"/>
    <n v="0"/>
    <n v="1"/>
    <n v="0"/>
    <n v="0"/>
    <s v="Pedido CleintesrPreparadorNumber BusyResource"/>
    <n v="30"/>
    <n v="0.48891840079317483"/>
    <n v="7.3627413122013347E-2"/>
    <n v="0.95"/>
    <n v="2.7492927893383642E-2"/>
    <n v="0.31277577999924699"/>
    <n v="0.60626731984831705"/>
    <n v="2.7492927893383642E-2"/>
  </r>
  <r>
    <x v="0"/>
    <s v="2025-05-21 19:18:09"/>
    <n v="30"/>
    <x v="7"/>
    <x v="4"/>
    <x v="2"/>
    <n v="1"/>
    <n v="2E+20"/>
    <n v="1"/>
    <n v="1"/>
    <n v="1"/>
    <n v="0"/>
    <s v="Pedido CleintesrPreparadorNumber ScheduledResource"/>
    <n v="30"/>
    <n v="1"/>
    <n v="0"/>
    <n v="0.95"/>
    <n v="0"/>
    <n v="1"/>
    <n v="1"/>
    <n v="0"/>
  </r>
  <r>
    <x v="0"/>
    <s v="2025-05-21 19:18:09"/>
    <n v="30"/>
    <x v="8"/>
    <x v="2"/>
    <x v="2"/>
    <n v="0.25425656625457099"/>
    <n v="2E+20"/>
    <n v="0"/>
    <n v="1"/>
    <n v="0"/>
    <n v="0"/>
    <s v="Pedido CleintesrPrimerTrabajadorInstantaneous Utilization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30"/>
    <x v="8"/>
    <x v="3"/>
    <x v="2"/>
    <n v="0.25425656625457099"/>
    <n v="2E+20"/>
    <n v="0"/>
    <n v="1"/>
    <n v="0"/>
    <n v="0"/>
    <s v="Pedido CleintesrPrimerTrabajadorNumber BusyResource"/>
    <n v="30"/>
    <n v="0.28976365927997022"/>
    <n v="4.4748273652133699E-2"/>
    <n v="0.95"/>
    <n v="1.6709279991037516E-2"/>
    <n v="0.194735973294278"/>
    <n v="0.35775345817659199"/>
    <n v="1.6709279991037516E-2"/>
  </r>
  <r>
    <x v="0"/>
    <s v="2025-05-21 19:18:09"/>
    <n v="30"/>
    <x v="8"/>
    <x v="4"/>
    <x v="2"/>
    <n v="1"/>
    <n v="2E+20"/>
    <n v="1"/>
    <n v="1"/>
    <n v="1"/>
    <n v="0"/>
    <s v="Pedido CleintesrPrimerTrabajadorNumber ScheduledResource"/>
    <n v="30"/>
    <n v="1"/>
    <n v="0"/>
    <n v="0.95"/>
    <n v="0"/>
    <n v="1"/>
    <n v="1"/>
    <n v="0"/>
  </r>
  <r>
    <x v="0"/>
    <s v="2025-05-21 19:18:09"/>
    <n v="30"/>
    <x v="9"/>
    <x v="2"/>
    <x v="2"/>
    <n v="7.0460595264235801E-2"/>
    <n v="2E+20"/>
    <n v="0"/>
    <n v="1"/>
    <n v="0"/>
    <n v="0"/>
    <s v="Pedido CleintesrSegundoTrabajadorInstantaneous Utilization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30"/>
    <x v="9"/>
    <x v="3"/>
    <x v="2"/>
    <n v="7.0460595264235801E-2"/>
    <n v="2E+20"/>
    <n v="0"/>
    <n v="1"/>
    <n v="0"/>
    <n v="0"/>
    <s v="Pedido CleintesrSegundoTrabajadorNumber BusyResource"/>
    <n v="30"/>
    <n v="8.2588852761398115E-2"/>
    <n v="1.3130964022328008E-2"/>
    <n v="0.95"/>
    <n v="4.9031825474871024E-3"/>
    <n v="5.3757894868807901E-2"/>
    <n v="0.103175045984152"/>
    <n v="4.9031825474871024E-3"/>
  </r>
  <r>
    <x v="0"/>
    <s v="2025-05-21 19:18:09"/>
    <n v="30"/>
    <x v="9"/>
    <x v="4"/>
    <x v="2"/>
    <n v="1"/>
    <n v="2E+20"/>
    <n v="1"/>
    <n v="1"/>
    <n v="1"/>
    <n v="0"/>
    <s v="Pedido CleintesrSegundoTrabajadorNumber ScheduledResource"/>
    <n v="30"/>
    <n v="1"/>
    <n v="0"/>
    <n v="0.95"/>
    <n v="0"/>
    <n v="1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7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1">
        <item m="1" x="22"/>
        <item m="1" x="45"/>
        <item m="1" x="17"/>
        <item m="1" x="97"/>
        <item m="1" x="80"/>
        <item m="1" x="50"/>
        <item m="1" x="106"/>
        <item m="1" x="38"/>
        <item m="1" x="42"/>
        <item m="1" x="109"/>
        <item m="1" x="75"/>
        <item m="1" x="87"/>
        <item m="1" x="92"/>
        <item m="1" x="16"/>
        <item m="1" x="44"/>
        <item m="1" x="34"/>
        <item m="1" x="110"/>
        <item m="1" x="104"/>
        <item m="1" x="32"/>
        <item m="1" x="26"/>
        <item m="1" x="98"/>
        <item m="1" x="18"/>
        <item m="1" x="51"/>
        <item m="1" x="37"/>
        <item m="1" x="62"/>
        <item m="1" x="89"/>
        <item m="1" x="53"/>
        <item m="1" x="23"/>
        <item m="1" x="47"/>
        <item m="1" x="76"/>
        <item m="1" x="66"/>
        <item m="1" x="24"/>
        <item m="1" x="83"/>
        <item m="1" x="15"/>
        <item m="1" x="103"/>
        <item m="1" x="71"/>
        <item m="1" x="91"/>
        <item m="1" x="46"/>
        <item m="1" x="105"/>
        <item m="1" x="74"/>
        <item m="1" x="28"/>
        <item m="1" x="65"/>
        <item m="1" x="79"/>
        <item m="1" x="90"/>
        <item m="1" x="96"/>
        <item m="1" x="14"/>
        <item m="1" x="27"/>
        <item m="1" x="36"/>
        <item m="1" x="29"/>
        <item m="1" x="13"/>
        <item m="1" x="88"/>
        <item m="1" x="100"/>
        <item m="1" x="40"/>
        <item m="1" x="70"/>
        <item m="1" x="31"/>
        <item m="1" x="48"/>
        <item m="1" x="35"/>
        <item m="1" x="56"/>
        <item m="1" x="43"/>
        <item m="1" x="63"/>
        <item m="1" x="49"/>
        <item m="1" x="72"/>
        <item m="1" x="57"/>
        <item m="1" x="77"/>
        <item m="1" x="64"/>
        <item m="1" x="85"/>
        <item m="1" x="78"/>
        <item m="1" x="93"/>
        <item m="1" x="101"/>
        <item m="1" x="81"/>
        <item m="1" x="60"/>
        <item m="1" x="41"/>
        <item m="1" x="54"/>
        <item m="1" x="25"/>
        <item m="1" x="30"/>
        <item m="1" x="39"/>
        <item m="1" x="67"/>
        <item m="1" x="102"/>
        <item m="1" x="95"/>
        <item m="1" x="82"/>
        <item m="1" x="55"/>
        <item m="1" x="68"/>
        <item m="1" x="59"/>
        <item m="1" x="84"/>
        <item m="1" x="69"/>
        <item m="1" x="52"/>
        <item m="1" x="58"/>
        <item m="1" x="21"/>
        <item m="1" x="61"/>
        <item m="1" x="73"/>
        <item m="1" x="86"/>
        <item m="1" x="94"/>
        <item m="1" x="99"/>
        <item m="1" x="108"/>
        <item m="1" x="19"/>
        <item m="1" x="33"/>
        <item m="1" x="107"/>
        <item m="1" x="20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9"/>
        <item x="6"/>
        <item x="7"/>
        <item x="8"/>
        <item m="1" x="11"/>
      </items>
    </pivotField>
    <pivotField axis="axisRow" compact="0" outline="0" showAll="0" defaultSubtotal="0">
      <items count="5">
        <item x="0"/>
        <item x="2"/>
        <item x="3"/>
        <item x="1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5">
    <i>
      <x v="4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8"/>
      <x v="3"/>
    </i>
    <i r="2">
      <x v="9"/>
      <x v="3"/>
    </i>
    <i r="2">
      <x v="10"/>
      <x v="3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8"/>
      <x v="3"/>
    </i>
    <i r="2">
      <x v="9"/>
      <x v="3"/>
    </i>
    <i r="2">
      <x v="10"/>
      <x v="3"/>
    </i>
    <i r="1">
      <x v="105"/>
      <x v="7"/>
      <x v="1"/>
    </i>
    <i r="1">
      <x v="106"/>
      <x v="8"/>
      <x v="3"/>
    </i>
    <i r="2">
      <x v="9"/>
      <x v="3"/>
    </i>
    <i r="2">
      <x v="10"/>
      <x v="3"/>
    </i>
    <i r="1">
      <x v="107"/>
      <x v="7"/>
      <x v="1"/>
    </i>
    <i r="1">
      <x v="108"/>
      <x v="8"/>
      <x v="3"/>
    </i>
    <i r="2">
      <x v="9"/>
      <x v="3"/>
    </i>
    <i r="2">
      <x v="10"/>
      <x v="3"/>
    </i>
    <i r="1">
      <x v="109"/>
      <x v="7"/>
      <x v="1"/>
    </i>
    <i r="1">
      <x v="110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7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50"/>
        <item m="1" x="26"/>
        <item m="1" x="51"/>
        <item m="1" x="27"/>
        <item m="1" x="52"/>
        <item m="1" x="28"/>
        <item m="1" x="53"/>
        <item m="1" x="29"/>
        <item m="1" x="85"/>
        <item m="1" x="40"/>
        <item x="18"/>
        <item m="1" x="84"/>
        <item m="1" x="71"/>
        <item m="1" x="88"/>
        <item m="1" x="73"/>
        <item m="1" x="89"/>
        <item m="1" x="96"/>
        <item m="1" x="65"/>
        <item m="1" x="33"/>
        <item m="1" x="82"/>
        <item m="1" x="72"/>
        <item m="1" x="70"/>
        <item m="1" x="36"/>
        <item m="1" x="80"/>
        <item m="1" x="45"/>
        <item m="1" x="81"/>
        <item m="1" x="46"/>
        <item m="1" x="79"/>
        <item m="1" x="99"/>
        <item m="1" x="39"/>
        <item m="1" x="102"/>
        <item m="1" x="67"/>
        <item m="1" x="34"/>
        <item m="1" x="97"/>
        <item m="1" x="92"/>
        <item m="1" x="68"/>
        <item m="1" x="35"/>
        <item m="1" x="98"/>
        <item m="1" x="93"/>
        <item m="1" x="30"/>
        <item m="1" x="64"/>
        <item m="1" x="48"/>
        <item m="1" x="38"/>
        <item m="1" x="90"/>
        <item m="1" x="60"/>
        <item m="1" x="91"/>
        <item m="1" x="61"/>
        <item m="1" x="47"/>
        <item m="1" x="42"/>
        <item m="1" x="69"/>
        <item m="1" x="44"/>
        <item m="1" x="101"/>
        <item m="1" x="94"/>
        <item m="1" x="43"/>
        <item m="1" x="41"/>
        <item m="1" x="86"/>
        <item m="1" x="95"/>
        <item m="1" x="31"/>
        <item m="1" x="49"/>
        <item m="1" x="62"/>
        <item m="1" x="83"/>
        <item m="1" x="100"/>
        <item m="1" x="32"/>
        <item m="1" x="59"/>
        <item m="1" x="63"/>
        <item m="1" x="87"/>
        <item m="1" x="66"/>
        <item m="1" x="37"/>
        <item m="1" x="54"/>
        <item m="1" x="74"/>
        <item m="1" x="55"/>
        <item m="1" x="75"/>
        <item m="1" x="56"/>
        <item m="1" x="76"/>
        <item m="1" x="57"/>
        <item m="1" x="77"/>
        <item m="1" x="58"/>
        <item m="1" x="78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20"/>
        <item x="21"/>
        <item x="22"/>
        <item x="23"/>
        <item x="24"/>
      </items>
    </pivotField>
    <pivotField axis="axisRow" compact="0" outline="0" showAll="0" defaultSubtotal="0">
      <items count="7">
        <item x="0"/>
        <item x="1"/>
        <item x="5"/>
        <item x="4"/>
        <item x="2"/>
        <item x="3"/>
        <item m="1" x="6"/>
      </items>
    </pivotField>
    <pivotField axis="axisRow" compact="0" outline="0" showAll="0" defaultSubtotal="0">
      <items count="5">
        <item x="0"/>
        <item x="3"/>
        <item x="2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5">
    <i>
      <x v="4"/>
      <x v="10"/>
      <x v="1"/>
      <x v="2"/>
    </i>
    <i r="1">
      <x v="79"/>
      <x/>
      <x/>
    </i>
    <i r="1">
      <x v="80"/>
      <x v="1"/>
      <x/>
    </i>
    <i r="1">
      <x v="81"/>
      <x v="4"/>
      <x v="3"/>
    </i>
    <i r="1">
      <x v="82"/>
      <x v="5"/>
      <x v="3"/>
    </i>
    <i r="1">
      <x v="83"/>
      <x/>
      <x v="3"/>
    </i>
    <i r="1">
      <x v="84"/>
      <x v="1"/>
      <x v="3"/>
    </i>
    <i r="1">
      <x v="85"/>
      <x v="4"/>
      <x v="3"/>
    </i>
    <i r="1">
      <x v="86"/>
      <x v="5"/>
      <x v="3"/>
    </i>
    <i r="1">
      <x v="87"/>
      <x/>
      <x v="3"/>
    </i>
    <i r="1">
      <x v="88"/>
      <x v="1"/>
      <x v="3"/>
    </i>
    <i r="1">
      <x v="89"/>
      <x v="4"/>
      <x v="3"/>
    </i>
    <i r="1">
      <x v="90"/>
      <x v="5"/>
      <x v="3"/>
    </i>
    <i r="1">
      <x v="91"/>
      <x/>
      <x v="3"/>
    </i>
    <i r="1">
      <x v="92"/>
      <x v="1"/>
      <x v="3"/>
    </i>
    <i r="1">
      <x v="93"/>
      <x v="4"/>
      <x v="3"/>
    </i>
    <i r="1">
      <x v="94"/>
      <x v="5"/>
      <x v="3"/>
    </i>
    <i r="1">
      <x v="95"/>
      <x/>
      <x v="3"/>
    </i>
    <i r="1">
      <x v="96"/>
      <x v="1"/>
      <x v="3"/>
    </i>
    <i r="1">
      <x v="97"/>
      <x v="3"/>
      <x v="1"/>
    </i>
    <i r="1">
      <x v="98"/>
      <x v="2"/>
      <x v="1"/>
    </i>
    <i r="1">
      <x v="99"/>
      <x v="3"/>
      <x v="1"/>
    </i>
    <i r="1">
      <x v="100"/>
      <x v="2"/>
      <x v="1"/>
    </i>
    <i r="1">
      <x v="101"/>
      <x v="3"/>
      <x v="1"/>
    </i>
    <i r="1">
      <x v="10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8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4">
        <item m="1" x="25"/>
        <item m="1" x="16"/>
        <item m="1" x="32"/>
        <item m="1" x="41"/>
        <item m="1" x="54"/>
        <item m="1" x="53"/>
        <item m="1" x="17"/>
        <item m="1" x="118"/>
        <item m="1" x="96"/>
        <item m="1" x="59"/>
        <item m="1" x="46"/>
        <item m="1" x="50"/>
        <item m="1" x="132"/>
        <item m="1" x="35"/>
        <item m="1" x="117"/>
        <item m="1" x="39"/>
        <item m="1" x="90"/>
        <item m="1" x="104"/>
        <item m="1" x="14"/>
        <item m="1" x="40"/>
        <item m="1" x="127"/>
        <item m="1" x="29"/>
        <item m="1" x="119"/>
        <item m="1" x="18"/>
        <item m="1" x="45"/>
        <item m="1" x="71"/>
        <item m="1" x="15"/>
        <item m="1" x="21"/>
        <item m="1" x="91"/>
        <item m="1" x="72"/>
        <item m="1" x="106"/>
        <item m="1" x="62"/>
        <item m="1" x="26"/>
        <item m="1" x="56"/>
        <item m="1" x="92"/>
        <item m="1" x="77"/>
        <item m="1" x="27"/>
        <item m="1" x="37"/>
        <item m="1" x="99"/>
        <item m="1" x="13"/>
        <item m="1" x="126"/>
        <item m="1" x="84"/>
        <item m="1" x="24"/>
        <item m="1" x="109"/>
        <item m="1" x="55"/>
        <item m="1" x="128"/>
        <item m="1" x="89"/>
        <item m="1" x="31"/>
        <item m="1" x="76"/>
        <item m="1" x="95"/>
        <item m="1" x="108"/>
        <item m="1" x="116"/>
        <item m="1" x="125"/>
        <item m="1" x="12"/>
        <item m="1" x="30"/>
        <item m="1" x="44"/>
        <item m="1" x="33"/>
        <item m="1" x="11"/>
        <item m="1" x="105"/>
        <item m="1" x="122"/>
        <item m="1" x="48"/>
        <item m="1" x="83"/>
        <item m="1" x="36"/>
        <item m="1" x="57"/>
        <item m="1" x="42"/>
        <item m="1" x="66"/>
        <item m="1" x="51"/>
        <item m="1" x="73"/>
        <item m="1" x="58"/>
        <item m="1" x="85"/>
        <item m="1" x="67"/>
        <item m="1" x="93"/>
        <item m="1" x="74"/>
        <item m="1" x="102"/>
        <item m="1" x="86"/>
        <item m="1" x="107"/>
        <item m="1" x="94"/>
        <item m="1" x="111"/>
        <item m="1" x="123"/>
        <item m="1" x="113"/>
        <item m="1" x="97"/>
        <item m="1" x="70"/>
        <item m="1" x="49"/>
        <item m="1" x="64"/>
        <item m="1" x="28"/>
        <item m="1" x="34"/>
        <item m="1" x="43"/>
        <item m="1" x="47"/>
        <item m="1" x="79"/>
        <item m="1" x="124"/>
        <item m="1" x="114"/>
        <item m="1" x="98"/>
        <item m="1" x="65"/>
        <item m="1" x="133"/>
        <item m="1" x="81"/>
        <item m="1" x="69"/>
        <item m="1" x="101"/>
        <item m="1" x="82"/>
        <item m="1" x="61"/>
        <item m="1" x="68"/>
        <item m="1" x="22"/>
        <item m="1" x="87"/>
        <item m="1" x="103"/>
        <item m="1" x="112"/>
        <item m="1" x="120"/>
        <item m="1" x="131"/>
        <item m="1" x="19"/>
        <item m="1" x="38"/>
        <item m="1" x="130"/>
        <item m="1" x="20"/>
        <item m="1" x="88"/>
        <item m="1" x="63"/>
        <item m="1" x="78"/>
        <item m="1" x="23"/>
        <item m="1" x="129"/>
        <item m="1" x="110"/>
        <item m="1" x="60"/>
        <item m="1" x="121"/>
        <item m="1" x="80"/>
        <item m="1" x="100"/>
        <item m="1" x="115"/>
        <item m="1" x="52"/>
        <item m="1" x="75"/>
        <item m="1"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6">
    <i>
      <x v="4"/>
      <x v="124"/>
      <x v="4"/>
      <x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751" tableType="queryTable" totalsRowShown="0">
  <autoFilter ref="A1:Y751" xr:uid="{C3D003CA-1AFF-426C-A03D-D3AF5760DF1A}"/>
  <sortState xmlns:xlrd2="http://schemas.microsoft.com/office/spreadsheetml/2017/richdata2" ref="A2:Y751">
    <sortCondition ref="D1:D75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81" tableType="queryTable" totalsRowShown="0">
  <autoFilter ref="A1:U48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751" tableType="queryTable" totalsRowShown="0">
  <autoFilter ref="A1:P7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5.1406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30</v>
      </c>
      <c r="F2">
        <v>240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9"/>
  <sheetViews>
    <sheetView tabSelected="1" topLeftCell="A19" workbookViewId="0">
      <selection activeCell="E29" sqref="E29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38.866666666666667</v>
      </c>
      <c r="O3" t="s">
        <v>68</v>
      </c>
      <c r="P3" t="s">
        <v>71</v>
      </c>
      <c r="Q3" t="s">
        <v>98</v>
      </c>
      <c r="R3" t="s">
        <v>73</v>
      </c>
      <c r="S3" s="5">
        <v>1.7663501237199533</v>
      </c>
      <c r="T3" s="5">
        <v>0.1474422221508549</v>
      </c>
      <c r="U3" s="5">
        <v>0.394857522779201</v>
      </c>
      <c r="V3" s="5">
        <v>1.02094278585578</v>
      </c>
      <c r="W3" s="5">
        <v>2.4343835485437801</v>
      </c>
      <c r="X3" s="5">
        <v>0</v>
      </c>
      <c r="Y3" s="5">
        <v>11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129</v>
      </c>
      <c r="AM3" t="s">
        <v>110</v>
      </c>
      <c r="AN3" t="s">
        <v>130</v>
      </c>
      <c r="AO3" s="5">
        <v>38.866666666666667</v>
      </c>
      <c r="AP3" s="5">
        <v>2.2718347267071408</v>
      </c>
      <c r="AQ3" s="5">
        <v>6.0840851369801694</v>
      </c>
      <c r="AR3" s="5">
        <v>24</v>
      </c>
      <c r="AS3" s="5">
        <v>49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74</v>
      </c>
      <c r="D4" t="s">
        <v>73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38.866666666666667</v>
      </c>
      <c r="P4" t="s">
        <v>84</v>
      </c>
      <c r="Q4" t="s">
        <v>99</v>
      </c>
      <c r="R4" t="s">
        <v>86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107</v>
      </c>
      <c r="AM4" t="s">
        <v>108</v>
      </c>
      <c r="AN4" t="s">
        <v>73</v>
      </c>
      <c r="AO4" s="5">
        <v>118.5</v>
      </c>
      <c r="AP4" s="5">
        <v>6.7247074559912132</v>
      </c>
      <c r="AQ4" s="5">
        <v>18.009097317936192</v>
      </c>
      <c r="AR4" s="5">
        <v>78</v>
      </c>
      <c r="AS4" s="5">
        <v>147</v>
      </c>
    </row>
    <row r="5" spans="1:52" x14ac:dyDescent="0.25">
      <c r="C5" t="s">
        <v>75</v>
      </c>
      <c r="D5" t="s">
        <v>73</v>
      </c>
      <c r="E5" s="5">
        <v>5.6791002251848095</v>
      </c>
      <c r="F5" s="5">
        <v>1</v>
      </c>
      <c r="G5" s="5">
        <v>0.21043887871942071</v>
      </c>
      <c r="H5" s="5">
        <v>0.56356566752342163</v>
      </c>
      <c r="I5" s="5">
        <v>4.5414842685188104</v>
      </c>
      <c r="J5" s="5">
        <v>7.0605631014237096</v>
      </c>
      <c r="K5" s="5">
        <v>3.6737230936318102</v>
      </c>
      <c r="L5" s="5">
        <v>17.694691938395401</v>
      </c>
      <c r="M5" s="5">
        <v>38.866666666666667</v>
      </c>
      <c r="P5" t="s">
        <v>87</v>
      </c>
      <c r="Q5" t="s">
        <v>99</v>
      </c>
      <c r="R5" t="s">
        <v>86</v>
      </c>
      <c r="S5" s="5">
        <v>0.48138568380100144</v>
      </c>
      <c r="T5" s="5">
        <v>4.3177361368283713E-2</v>
      </c>
      <c r="U5" s="5">
        <v>0.11563109739745622</v>
      </c>
      <c r="V5" s="5">
        <v>0.273073251721628</v>
      </c>
      <c r="W5" s="5">
        <v>0.67472724368415504</v>
      </c>
      <c r="X5" s="5">
        <v>0</v>
      </c>
      <c r="Y5" s="5">
        <v>4</v>
      </c>
      <c r="AL5" t="s">
        <v>109</v>
      </c>
      <c r="AM5" t="s">
        <v>110</v>
      </c>
      <c r="AN5" t="s">
        <v>73</v>
      </c>
      <c r="AO5" s="5">
        <v>116.6</v>
      </c>
      <c r="AP5" s="5">
        <v>6.8155041801214233</v>
      </c>
      <c r="AQ5" s="5">
        <v>18.252255410940514</v>
      </c>
      <c r="AR5" s="5">
        <v>72</v>
      </c>
      <c r="AS5" s="5">
        <v>147</v>
      </c>
    </row>
    <row r="6" spans="1:52" x14ac:dyDescent="0.25">
      <c r="C6" t="s">
        <v>76</v>
      </c>
      <c r="D6" t="s">
        <v>73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38.866666666666667</v>
      </c>
      <c r="P6" t="s">
        <v>88</v>
      </c>
      <c r="Q6" t="s">
        <v>99</v>
      </c>
      <c r="R6" t="s">
        <v>86</v>
      </c>
      <c r="S6" s="5">
        <v>5.1685581984391664E-6</v>
      </c>
      <c r="T6" s="5">
        <v>1.0570888434535787E-5</v>
      </c>
      <c r="U6" s="5">
        <v>2.8309359150633942E-5</v>
      </c>
      <c r="V6" s="5">
        <v>0</v>
      </c>
      <c r="W6" s="5">
        <v>1.55056745953175E-4</v>
      </c>
      <c r="X6" s="5">
        <v>0</v>
      </c>
      <c r="Y6" s="5">
        <v>1</v>
      </c>
      <c r="AL6" t="s">
        <v>111</v>
      </c>
      <c r="AM6" t="s">
        <v>112</v>
      </c>
      <c r="AN6" t="s">
        <v>81</v>
      </c>
      <c r="AO6" s="5">
        <v>19.806808580201274</v>
      </c>
      <c r="AP6" s="5">
        <v>1.180889243044158</v>
      </c>
      <c r="AQ6" s="5">
        <v>3.1624794742170024</v>
      </c>
      <c r="AR6" s="5">
        <v>12.812268330404599</v>
      </c>
      <c r="AS6" s="5">
        <v>24.762011036196501</v>
      </c>
    </row>
    <row r="7" spans="1:52" x14ac:dyDescent="0.25">
      <c r="C7" t="s">
        <v>77</v>
      </c>
      <c r="D7" t="s">
        <v>73</v>
      </c>
      <c r="E7" s="5">
        <v>5.2592876630189664</v>
      </c>
      <c r="F7" s="5">
        <v>1</v>
      </c>
      <c r="G7" s="5">
        <v>2.4239709944021991E-2</v>
      </c>
      <c r="H7" s="5">
        <v>6.4915135446006245E-2</v>
      </c>
      <c r="I7" s="5">
        <v>5.1503583657054</v>
      </c>
      <c r="J7" s="5">
        <v>5.4129072038716304</v>
      </c>
      <c r="K7" s="5">
        <v>4.2407242950458501</v>
      </c>
      <c r="L7" s="5">
        <v>6.6447887759692303</v>
      </c>
      <c r="M7" s="5">
        <v>38.866666666666667</v>
      </c>
      <c r="P7" t="s">
        <v>90</v>
      </c>
      <c r="Q7" t="s">
        <v>99</v>
      </c>
      <c r="R7" t="s">
        <v>86</v>
      </c>
      <c r="S7" s="5">
        <v>3.3699692062373783E-2</v>
      </c>
      <c r="T7" s="5">
        <v>7.7862990748262884E-3</v>
      </c>
      <c r="U7" s="5">
        <v>2.0852091886937599E-2</v>
      </c>
      <c r="V7" s="5">
        <v>0</v>
      </c>
      <c r="W7" s="5">
        <v>7.8516062990880695E-2</v>
      </c>
      <c r="X7" s="5">
        <v>0</v>
      </c>
      <c r="Y7" s="5">
        <v>3</v>
      </c>
      <c r="AL7" t="s">
        <v>113</v>
      </c>
      <c r="AM7" t="s">
        <v>114</v>
      </c>
      <c r="AN7" t="s">
        <v>81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25">
      <c r="C8" t="s">
        <v>78</v>
      </c>
      <c r="D8" t="s">
        <v>73</v>
      </c>
      <c r="E8" s="5">
        <v>4.3948990987917362</v>
      </c>
      <c r="F8" s="5">
        <v>1</v>
      </c>
      <c r="G8" s="5">
        <v>0.38605688528297838</v>
      </c>
      <c r="H8" s="5">
        <v>1.0338793267692701</v>
      </c>
      <c r="I8" s="5">
        <v>2.3996249564013099</v>
      </c>
      <c r="J8" s="5">
        <v>7.0027213080203197</v>
      </c>
      <c r="K8" s="5">
        <v>1.6212297132984801</v>
      </c>
      <c r="L8" s="5">
        <v>25.258727602665498</v>
      </c>
      <c r="M8" s="5">
        <v>38.866666666666667</v>
      </c>
      <c r="P8" t="s">
        <v>92</v>
      </c>
      <c r="Q8" t="s">
        <v>99</v>
      </c>
      <c r="R8" t="s">
        <v>86</v>
      </c>
      <c r="S8" s="5">
        <v>5.4630719944156803E-2</v>
      </c>
      <c r="T8" s="5">
        <v>1.2216139820952973E-2</v>
      </c>
      <c r="U8" s="5">
        <v>3.2715423284183552E-2</v>
      </c>
      <c r="V8" s="5">
        <v>0</v>
      </c>
      <c r="W8" s="5">
        <v>0.13654526635771</v>
      </c>
      <c r="X8" s="5">
        <v>0</v>
      </c>
      <c r="Y8" s="5">
        <v>2</v>
      </c>
      <c r="AL8" t="s">
        <v>115</v>
      </c>
      <c r="AM8" t="s">
        <v>108</v>
      </c>
      <c r="AN8" t="s">
        <v>81</v>
      </c>
      <c r="AO8" s="5">
        <v>38.93333333333333</v>
      </c>
      <c r="AP8" s="5">
        <v>2.231692640151488</v>
      </c>
      <c r="AQ8" s="5">
        <v>5.9765826548191505</v>
      </c>
      <c r="AR8" s="5">
        <v>25</v>
      </c>
      <c r="AS8" s="5">
        <v>49</v>
      </c>
    </row>
    <row r="9" spans="1:52" x14ac:dyDescent="0.25">
      <c r="B9" t="s">
        <v>79</v>
      </c>
      <c r="C9" t="s">
        <v>80</v>
      </c>
      <c r="D9" t="s">
        <v>81</v>
      </c>
      <c r="E9" s="5">
        <v>0.51062204735369909</v>
      </c>
      <c r="F9" s="5">
        <v>1</v>
      </c>
      <c r="G9" s="5">
        <v>1.348890019315159E-2</v>
      </c>
      <c r="H9" s="5">
        <v>3.6123938160903798E-2</v>
      </c>
      <c r="I9" s="5">
        <v>0.45048365558606801</v>
      </c>
      <c r="J9" s="5">
        <v>0.579636180667775</v>
      </c>
      <c r="K9" s="5">
        <v>0.15858779300546599</v>
      </c>
      <c r="L9" s="5">
        <v>1.42475765411467</v>
      </c>
      <c r="M9" s="5">
        <v>38.866666666666667</v>
      </c>
      <c r="P9" t="s">
        <v>94</v>
      </c>
      <c r="Q9" t="s">
        <v>99</v>
      </c>
      <c r="R9" t="s">
        <v>86</v>
      </c>
      <c r="S9" s="5">
        <v>0.17018024099688309</v>
      </c>
      <c r="T9" s="5">
        <v>3.5836113017914922E-2</v>
      </c>
      <c r="U9" s="5">
        <v>9.5970873240174628E-2</v>
      </c>
      <c r="V9" s="5">
        <v>9.0453284135870501E-3</v>
      </c>
      <c r="W9" s="5">
        <v>0.39547622058287801</v>
      </c>
      <c r="X9" s="5">
        <v>0</v>
      </c>
      <c r="Y9" s="5">
        <v>4</v>
      </c>
      <c r="AL9" t="s">
        <v>116</v>
      </c>
      <c r="AM9" t="s">
        <v>110</v>
      </c>
      <c r="AN9" t="s">
        <v>81</v>
      </c>
      <c r="AO9" s="5">
        <v>38.866666666666667</v>
      </c>
      <c r="AP9" s="5">
        <v>2.2718347267071408</v>
      </c>
      <c r="AQ9" s="5">
        <v>6.0840851369801694</v>
      </c>
      <c r="AR9" s="5">
        <v>24</v>
      </c>
      <c r="AS9" s="5">
        <v>49</v>
      </c>
    </row>
    <row r="10" spans="1:52" x14ac:dyDescent="0.25">
      <c r="C10" t="s">
        <v>82</v>
      </c>
      <c r="D10" t="s">
        <v>81</v>
      </c>
      <c r="E10" s="5">
        <v>0.51062204735369909</v>
      </c>
      <c r="F10" s="5">
        <v>1</v>
      </c>
      <c r="G10" s="5">
        <v>1.348890019315159E-2</v>
      </c>
      <c r="H10" s="5">
        <v>3.6123938160903798E-2</v>
      </c>
      <c r="I10" s="5">
        <v>0.45048365558606801</v>
      </c>
      <c r="J10" s="5">
        <v>0.579636180667775</v>
      </c>
      <c r="K10" s="5">
        <v>0.15858779300546599</v>
      </c>
      <c r="L10" s="5">
        <v>1.42475765411467</v>
      </c>
      <c r="M10" s="5">
        <v>38.866666666666667</v>
      </c>
      <c r="P10" t="s">
        <v>100</v>
      </c>
      <c r="Q10" t="s">
        <v>101</v>
      </c>
      <c r="R10" t="s">
        <v>102</v>
      </c>
      <c r="S10" s="5">
        <v>0.48891840079317483</v>
      </c>
      <c r="T10" s="5">
        <v>2.7492927893383642E-2</v>
      </c>
      <c r="U10" s="5">
        <v>7.3627413122013347E-2</v>
      </c>
      <c r="V10" s="5">
        <v>0.31277577999924699</v>
      </c>
      <c r="W10" s="5">
        <v>0.60626731984831705</v>
      </c>
      <c r="X10" s="5">
        <v>0</v>
      </c>
      <c r="Y10" s="5">
        <v>1</v>
      </c>
      <c r="AL10" t="s">
        <v>117</v>
      </c>
      <c r="AM10" t="s">
        <v>112</v>
      </c>
      <c r="AN10" t="s">
        <v>81</v>
      </c>
      <c r="AO10" s="5">
        <v>39.878126992056487</v>
      </c>
      <c r="AP10" s="5">
        <v>2.2803382654396627</v>
      </c>
      <c r="AQ10" s="5">
        <v>6.1068580319474277</v>
      </c>
      <c r="AR10" s="5">
        <v>26.106281767804099</v>
      </c>
      <c r="AS10" s="5">
        <v>48.706388790541098</v>
      </c>
    </row>
    <row r="11" spans="1:52" x14ac:dyDescent="0.25">
      <c r="C11" t="s">
        <v>83</v>
      </c>
      <c r="D11" t="s">
        <v>81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38.866666666666667</v>
      </c>
      <c r="Q11" t="s">
        <v>103</v>
      </c>
      <c r="R11" t="s">
        <v>102</v>
      </c>
      <c r="S11" s="5">
        <v>0.48891840079317483</v>
      </c>
      <c r="T11" s="5">
        <v>2.7492927893383642E-2</v>
      </c>
      <c r="U11" s="5">
        <v>7.3627413122013347E-2</v>
      </c>
      <c r="V11" s="5">
        <v>0.31277577999924699</v>
      </c>
      <c r="W11" s="5">
        <v>0.60626731984831705</v>
      </c>
      <c r="X11" s="5">
        <v>0</v>
      </c>
      <c r="Y11" s="5">
        <v>1</v>
      </c>
      <c r="AL11" t="s">
        <v>118</v>
      </c>
      <c r="AM11" t="s">
        <v>114</v>
      </c>
      <c r="AN11" t="s">
        <v>81</v>
      </c>
      <c r="AO11" s="5">
        <v>7.9804799821754404</v>
      </c>
      <c r="AP11" s="5">
        <v>1.8278373109445534</v>
      </c>
      <c r="AQ11" s="5">
        <v>4.8950382198155014</v>
      </c>
      <c r="AR11" s="5">
        <v>0</v>
      </c>
      <c r="AS11" s="5">
        <v>18.843855117811401</v>
      </c>
    </row>
    <row r="12" spans="1:52" x14ac:dyDescent="0.25">
      <c r="B12" t="s">
        <v>84</v>
      </c>
      <c r="C12" t="s">
        <v>85</v>
      </c>
      <c r="D12" t="s">
        <v>86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38.93333333333333</v>
      </c>
      <c r="Q12" t="s">
        <v>104</v>
      </c>
      <c r="R12" t="s">
        <v>102</v>
      </c>
      <c r="S12" s="5">
        <v>1</v>
      </c>
      <c r="T12" s="5">
        <v>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  <c r="AL12" t="s">
        <v>119</v>
      </c>
      <c r="AM12" t="s">
        <v>108</v>
      </c>
      <c r="AN12" t="s">
        <v>81</v>
      </c>
      <c r="AO12" s="5">
        <v>39.9</v>
      </c>
      <c r="AP12" s="5">
        <v>2.2646630784246509</v>
      </c>
      <c r="AQ12" s="5">
        <v>6.0648791101463475</v>
      </c>
      <c r="AR12" s="5">
        <v>27</v>
      </c>
      <c r="AS12" s="5">
        <v>49</v>
      </c>
    </row>
    <row r="13" spans="1:52" x14ac:dyDescent="0.25">
      <c r="B13" t="s">
        <v>87</v>
      </c>
      <c r="C13" t="s">
        <v>85</v>
      </c>
      <c r="D13" t="s">
        <v>86</v>
      </c>
      <c r="E13" s="5">
        <v>2.9173465758568971</v>
      </c>
      <c r="F13" s="5">
        <v>1</v>
      </c>
      <c r="G13" s="5">
        <v>0.12741806469788963</v>
      </c>
      <c r="H13" s="5">
        <v>0.34123184424372122</v>
      </c>
      <c r="I13" s="5">
        <v>2.3220935699991401</v>
      </c>
      <c r="J13" s="5">
        <v>3.6762693648511302</v>
      </c>
      <c r="K13" s="5">
        <v>0</v>
      </c>
      <c r="L13" s="5">
        <v>11.0435763581718</v>
      </c>
      <c r="M13" s="5">
        <v>38.93333333333333</v>
      </c>
      <c r="P13" t="s">
        <v>105</v>
      </c>
      <c r="Q13" t="s">
        <v>101</v>
      </c>
      <c r="R13" t="s">
        <v>102</v>
      </c>
      <c r="S13" s="5">
        <v>0.28976365927997022</v>
      </c>
      <c r="T13" s="5">
        <v>1.6709279991037516E-2</v>
      </c>
      <c r="U13" s="5">
        <v>4.4748273652133699E-2</v>
      </c>
      <c r="V13" s="5">
        <v>0.194735973294278</v>
      </c>
      <c r="W13" s="5">
        <v>0.35775345817659199</v>
      </c>
      <c r="X13" s="5">
        <v>0</v>
      </c>
      <c r="Y13" s="5">
        <v>1</v>
      </c>
      <c r="AL13" t="s">
        <v>120</v>
      </c>
      <c r="AM13" t="s">
        <v>110</v>
      </c>
      <c r="AN13" t="s">
        <v>81</v>
      </c>
      <c r="AO13" s="5">
        <v>39.666666666666664</v>
      </c>
      <c r="AP13" s="5">
        <v>2.2582494464449909</v>
      </c>
      <c r="AQ13" s="5">
        <v>6.0477030882540914</v>
      </c>
      <c r="AR13" s="5">
        <v>26</v>
      </c>
      <c r="AS13" s="5">
        <v>49</v>
      </c>
    </row>
    <row r="14" spans="1:52" x14ac:dyDescent="0.25">
      <c r="B14" t="s">
        <v>88</v>
      </c>
      <c r="C14" t="s">
        <v>85</v>
      </c>
      <c r="D14" t="s">
        <v>86</v>
      </c>
      <c r="E14" s="5">
        <v>2.8192135627849965E-5</v>
      </c>
      <c r="F14" s="5">
        <v>1</v>
      </c>
      <c r="G14" s="5">
        <v>5.7659391461104205E-5</v>
      </c>
      <c r="H14" s="5">
        <v>1.544146862761849E-4</v>
      </c>
      <c r="I14" s="5">
        <v>0</v>
      </c>
      <c r="J14" s="5">
        <v>8.4576406883549898E-4</v>
      </c>
      <c r="K14" s="5">
        <v>0</v>
      </c>
      <c r="L14" s="5">
        <v>3.7213619028762003E-2</v>
      </c>
      <c r="M14" s="5">
        <v>38.93333333333333</v>
      </c>
      <c r="Q14" t="s">
        <v>103</v>
      </c>
      <c r="R14" t="s">
        <v>102</v>
      </c>
      <c r="S14" s="5">
        <v>0.28976365927997022</v>
      </c>
      <c r="T14" s="5">
        <v>1.6709279991037516E-2</v>
      </c>
      <c r="U14" s="5">
        <v>4.4748273652133699E-2</v>
      </c>
      <c r="V14" s="5">
        <v>0.194735973294278</v>
      </c>
      <c r="W14" s="5">
        <v>0.35775345817659199</v>
      </c>
      <c r="X14" s="5">
        <v>0</v>
      </c>
      <c r="Y14" s="5">
        <v>1</v>
      </c>
      <c r="AL14" t="s">
        <v>121</v>
      </c>
      <c r="AM14" t="s">
        <v>112</v>
      </c>
      <c r="AN14" t="s">
        <v>81</v>
      </c>
      <c r="AO14" s="5">
        <v>29.486262713858675</v>
      </c>
      <c r="AP14" s="5">
        <v>1.7726248986165154</v>
      </c>
      <c r="AQ14" s="5">
        <v>4.747176664010901</v>
      </c>
      <c r="AR14" s="5">
        <v>19.573210250889101</v>
      </c>
      <c r="AS14" s="5">
        <v>37.056974462114901</v>
      </c>
    </row>
    <row r="15" spans="1:52" x14ac:dyDescent="0.25">
      <c r="B15" t="s">
        <v>89</v>
      </c>
      <c r="C15" t="s">
        <v>80</v>
      </c>
      <c r="D15" t="s">
        <v>81</v>
      </c>
      <c r="E15" s="5">
        <v>1.1973615988192337</v>
      </c>
      <c r="F15" s="5">
        <v>1</v>
      </c>
      <c r="G15" s="5">
        <v>3.8950849816067064E-2</v>
      </c>
      <c r="H15" s="5">
        <v>0.10431229158212847</v>
      </c>
      <c r="I15" s="5">
        <v>1.00105179769245</v>
      </c>
      <c r="J15" s="5">
        <v>1.3954364053061299</v>
      </c>
      <c r="K15" s="5">
        <v>0.66686181399057898</v>
      </c>
      <c r="L15" s="5">
        <v>4.1908575360205598</v>
      </c>
      <c r="M15" s="5">
        <v>39.666666666666664</v>
      </c>
      <c r="Q15" t="s">
        <v>104</v>
      </c>
      <c r="R15" t="s">
        <v>102</v>
      </c>
      <c r="S15" s="5">
        <v>1</v>
      </c>
      <c r="T15" s="5">
        <v>0</v>
      </c>
      <c r="U15" s="5">
        <v>0</v>
      </c>
      <c r="V15" s="5">
        <v>1</v>
      </c>
      <c r="W15" s="5">
        <v>1</v>
      </c>
      <c r="X15" s="5">
        <v>1</v>
      </c>
      <c r="Y15" s="5">
        <v>1</v>
      </c>
      <c r="AL15" t="s">
        <v>122</v>
      </c>
      <c r="AM15" t="s">
        <v>114</v>
      </c>
      <c r="AN15" t="s">
        <v>81</v>
      </c>
      <c r="AO15" s="5">
        <v>13.025761997568024</v>
      </c>
      <c r="AP15" s="5">
        <v>2.9300408693791589</v>
      </c>
      <c r="AQ15" s="5">
        <v>7.8467935605388783</v>
      </c>
      <c r="AR15" s="5">
        <v>0</v>
      </c>
      <c r="AS15" s="5">
        <v>32.770863925850499</v>
      </c>
    </row>
    <row r="16" spans="1:52" x14ac:dyDescent="0.25">
      <c r="C16" t="s">
        <v>82</v>
      </c>
      <c r="D16" t="s">
        <v>81</v>
      </c>
      <c r="E16" s="5">
        <v>1.0055528300668661</v>
      </c>
      <c r="F16" s="5">
        <v>1</v>
      </c>
      <c r="G16" s="5">
        <v>1.0240352006065174E-2</v>
      </c>
      <c r="H16" s="5">
        <v>2.742416633794929E-2</v>
      </c>
      <c r="I16" s="5">
        <v>0.93439199770167003</v>
      </c>
      <c r="J16" s="5">
        <v>1.07209969553912</v>
      </c>
      <c r="K16" s="5">
        <v>0.66686181399057898</v>
      </c>
      <c r="L16" s="5">
        <v>1.33298858408691</v>
      </c>
      <c r="M16" s="5">
        <v>39.666666666666664</v>
      </c>
      <c r="P16" t="s">
        <v>106</v>
      </c>
      <c r="Q16" t="s">
        <v>101</v>
      </c>
      <c r="R16" t="s">
        <v>102</v>
      </c>
      <c r="S16" s="5">
        <v>8.2588852761398115E-2</v>
      </c>
      <c r="T16" s="5">
        <v>4.9031825474871024E-3</v>
      </c>
      <c r="U16" s="5">
        <v>1.3130964022328008E-2</v>
      </c>
      <c r="V16" s="5">
        <v>5.3757894868807901E-2</v>
      </c>
      <c r="W16" s="5">
        <v>0.103175045984152</v>
      </c>
      <c r="X16" s="5">
        <v>0</v>
      </c>
      <c r="Y16" s="5">
        <v>1</v>
      </c>
      <c r="AL16" t="s">
        <v>123</v>
      </c>
      <c r="AM16" t="s">
        <v>108</v>
      </c>
      <c r="AN16" t="s">
        <v>81</v>
      </c>
      <c r="AO16" s="5">
        <v>39.666666666666664</v>
      </c>
      <c r="AP16" s="5">
        <v>2.2582494464449909</v>
      </c>
      <c r="AQ16" s="5">
        <v>6.0477030882540914</v>
      </c>
      <c r="AR16" s="5">
        <v>26</v>
      </c>
      <c r="AS16" s="5">
        <v>49</v>
      </c>
    </row>
    <row r="17" spans="2:45" x14ac:dyDescent="0.25">
      <c r="C17" t="s">
        <v>83</v>
      </c>
      <c r="D17" t="s">
        <v>81</v>
      </c>
      <c r="E17" s="5">
        <v>0.19180876875236769</v>
      </c>
      <c r="F17" s="5">
        <v>1</v>
      </c>
      <c r="G17" s="5">
        <v>3.854624699063957E-2</v>
      </c>
      <c r="H17" s="5">
        <v>0.103228745315481</v>
      </c>
      <c r="I17" s="5">
        <v>0</v>
      </c>
      <c r="J17" s="5">
        <v>0.423670795788058</v>
      </c>
      <c r="K17" s="5">
        <v>0</v>
      </c>
      <c r="L17" s="5">
        <v>3.4323212298415702</v>
      </c>
      <c r="M17" s="5">
        <v>39.666666666666664</v>
      </c>
      <c r="Q17" t="s">
        <v>103</v>
      </c>
      <c r="R17" t="s">
        <v>102</v>
      </c>
      <c r="S17" s="5">
        <v>8.2588852761398115E-2</v>
      </c>
      <c r="T17" s="5">
        <v>4.9031825474871024E-3</v>
      </c>
      <c r="U17" s="5">
        <v>1.3130964022328008E-2</v>
      </c>
      <c r="V17" s="5">
        <v>5.3757894868807901E-2</v>
      </c>
      <c r="W17" s="5">
        <v>0.103175045984152</v>
      </c>
      <c r="X17" s="5">
        <v>0</v>
      </c>
      <c r="Y17" s="5">
        <v>1</v>
      </c>
      <c r="AL17" t="s">
        <v>124</v>
      </c>
      <c r="AM17" t="s">
        <v>110</v>
      </c>
      <c r="AN17" t="s">
        <v>81</v>
      </c>
      <c r="AO17" s="5">
        <v>39.43333333333333</v>
      </c>
      <c r="AP17" s="5">
        <v>2.2094994770405134</v>
      </c>
      <c r="AQ17" s="5">
        <v>5.9171482724502509</v>
      </c>
      <c r="AR17" s="5">
        <v>26</v>
      </c>
      <c r="AS17" s="5">
        <v>49</v>
      </c>
    </row>
    <row r="18" spans="2:45" x14ac:dyDescent="0.25">
      <c r="B18" t="s">
        <v>90</v>
      </c>
      <c r="C18" t="s">
        <v>85</v>
      </c>
      <c r="D18" t="s">
        <v>86</v>
      </c>
      <c r="E18" s="5">
        <v>0.19325329445672476</v>
      </c>
      <c r="F18" s="5">
        <v>1</v>
      </c>
      <c r="G18" s="5">
        <v>3.9126129049758457E-2</v>
      </c>
      <c r="H18" s="5">
        <v>0.10478169799096031</v>
      </c>
      <c r="I18" s="5">
        <v>0</v>
      </c>
      <c r="J18" s="5">
        <v>0.423670795788058</v>
      </c>
      <c r="K18" s="5">
        <v>0</v>
      </c>
      <c r="L18" s="5">
        <v>3.4323212298415702</v>
      </c>
      <c r="M18" s="5">
        <v>39.9</v>
      </c>
      <c r="Q18" t="s">
        <v>104</v>
      </c>
      <c r="R18" t="s">
        <v>102</v>
      </c>
      <c r="S18" s="5">
        <v>1</v>
      </c>
      <c r="T18" s="5">
        <v>0</v>
      </c>
      <c r="U18" s="5">
        <v>0</v>
      </c>
      <c r="V18" s="5">
        <v>1</v>
      </c>
      <c r="W18" s="5">
        <v>1</v>
      </c>
      <c r="X18" s="5">
        <v>1</v>
      </c>
      <c r="Y18" s="5">
        <v>1</v>
      </c>
      <c r="AL18" t="s">
        <v>125</v>
      </c>
      <c r="AM18" t="s">
        <v>112</v>
      </c>
      <c r="AN18" t="s">
        <v>81</v>
      </c>
      <c r="AO18" s="5">
        <v>116.64263458387505</v>
      </c>
      <c r="AP18" s="5">
        <v>6.6561428559287226</v>
      </c>
      <c r="AQ18" s="5">
        <v>17.825477946659205</v>
      </c>
      <c r="AR18" s="5">
        <v>74.976560761710004</v>
      </c>
      <c r="AS18" s="5">
        <v>145.504156763596</v>
      </c>
    </row>
    <row r="19" spans="2:45" x14ac:dyDescent="0.25">
      <c r="B19" t="s">
        <v>91</v>
      </c>
      <c r="C19" t="s">
        <v>80</v>
      </c>
      <c r="D19" t="s">
        <v>81</v>
      </c>
      <c r="E19" s="5">
        <v>1.0631030288454759</v>
      </c>
      <c r="F19" s="5">
        <v>1</v>
      </c>
      <c r="G19" s="5">
        <v>6.6698957254218635E-2</v>
      </c>
      <c r="H19" s="5">
        <v>0.17862308807588656</v>
      </c>
      <c r="I19" s="5">
        <v>0.73683357844020803</v>
      </c>
      <c r="J19" s="5">
        <v>1.5108386331108501</v>
      </c>
      <c r="K19" s="5">
        <v>0.41857551264863002</v>
      </c>
      <c r="L19" s="5">
        <v>4.2424665512149602</v>
      </c>
      <c r="M19" s="5">
        <v>39.43333333333333</v>
      </c>
      <c r="AL19" t="s">
        <v>126</v>
      </c>
      <c r="AM19" t="s">
        <v>114</v>
      </c>
      <c r="AN19" t="s">
        <v>81</v>
      </c>
      <c r="AO19" s="5">
        <v>39.900972800228722</v>
      </c>
      <c r="AP19" s="5">
        <v>8.5595541371227313</v>
      </c>
      <c r="AQ19" s="5">
        <v>22.922906975864144</v>
      </c>
      <c r="AR19" s="5">
        <v>2.1708788192608899</v>
      </c>
      <c r="AS19" s="5">
        <v>94.9142929398908</v>
      </c>
    </row>
    <row r="20" spans="2:45" x14ac:dyDescent="0.25">
      <c r="C20" t="s">
        <v>82</v>
      </c>
      <c r="D20" t="s">
        <v>81</v>
      </c>
      <c r="E20" s="5">
        <v>0.74725125329628284</v>
      </c>
      <c r="F20" s="5">
        <v>1</v>
      </c>
      <c r="G20" s="5">
        <v>1.2271143454426573E-2</v>
      </c>
      <c r="H20" s="5">
        <v>3.2862725719947306E-2</v>
      </c>
      <c r="I20" s="5">
        <v>0.69500572513110004</v>
      </c>
      <c r="J20" s="5">
        <v>0.82348832138033201</v>
      </c>
      <c r="K20" s="5">
        <v>0.41711618986306598</v>
      </c>
      <c r="L20" s="5">
        <v>1.0828879284455699</v>
      </c>
      <c r="M20" s="5">
        <v>39.43333333333333</v>
      </c>
      <c r="AL20" t="s">
        <v>127</v>
      </c>
      <c r="AM20" t="s">
        <v>108</v>
      </c>
      <c r="AN20" t="s">
        <v>81</v>
      </c>
      <c r="AO20" s="5">
        <v>39.666666666666664</v>
      </c>
      <c r="AP20" s="5">
        <v>2.2582494464449909</v>
      </c>
      <c r="AQ20" s="5">
        <v>6.0477030882540914</v>
      </c>
      <c r="AR20" s="5">
        <v>26</v>
      </c>
      <c r="AS20" s="5">
        <v>49</v>
      </c>
    </row>
    <row r="21" spans="2:45" x14ac:dyDescent="0.25">
      <c r="C21" t="s">
        <v>83</v>
      </c>
      <c r="D21" t="s">
        <v>81</v>
      </c>
      <c r="E21" s="5">
        <v>0.31585177554919308</v>
      </c>
      <c r="F21" s="5">
        <v>1</v>
      </c>
      <c r="G21" s="5">
        <v>6.1700435859008876E-2</v>
      </c>
      <c r="H21" s="5">
        <v>0.16523680193017196</v>
      </c>
      <c r="I21" s="5">
        <v>0</v>
      </c>
      <c r="J21" s="5">
        <v>0.74479236195114795</v>
      </c>
      <c r="K21" s="5">
        <v>0</v>
      </c>
      <c r="L21" s="5">
        <v>3.63182180622454</v>
      </c>
      <c r="M21" s="5">
        <v>39.43333333333333</v>
      </c>
      <c r="AL21" t="s">
        <v>128</v>
      </c>
      <c r="AM21" t="s">
        <v>110</v>
      </c>
      <c r="AN21" t="s">
        <v>81</v>
      </c>
      <c r="AO21" s="5">
        <v>38.93333333333333</v>
      </c>
      <c r="AP21" s="5">
        <v>2.231692640151488</v>
      </c>
      <c r="AQ21" s="5">
        <v>5.9765826548191505</v>
      </c>
      <c r="AR21" s="5">
        <v>25</v>
      </c>
      <c r="AS21" s="5">
        <v>49</v>
      </c>
    </row>
    <row r="22" spans="2:45" x14ac:dyDescent="0.25">
      <c r="B22" t="s">
        <v>92</v>
      </c>
      <c r="C22" t="s">
        <v>85</v>
      </c>
      <c r="D22" t="s">
        <v>86</v>
      </c>
      <c r="E22" s="5">
        <v>0.3159249206582086</v>
      </c>
      <c r="F22" s="5">
        <v>1</v>
      </c>
      <c r="G22" s="5">
        <v>6.1312256674312914E-2</v>
      </c>
      <c r="H22" s="5">
        <v>0.16419723898119068</v>
      </c>
      <c r="I22" s="5">
        <v>0</v>
      </c>
      <c r="J22" s="5">
        <v>0.74479236195114795</v>
      </c>
      <c r="K22" s="5">
        <v>0</v>
      </c>
      <c r="L22" s="5">
        <v>3.63182180622454</v>
      </c>
      <c r="M22" s="5">
        <v>39.56666666666667</v>
      </c>
      <c r="AL22" t="s">
        <v>131</v>
      </c>
      <c r="AM22" t="s">
        <v>132</v>
      </c>
      <c r="AN22" t="s">
        <v>102</v>
      </c>
      <c r="AO22" s="5">
        <v>39.4</v>
      </c>
      <c r="AP22" s="5">
        <v>2.1940315713015526</v>
      </c>
      <c r="AQ22" s="5">
        <v>5.8757244601014422</v>
      </c>
      <c r="AR22" s="5">
        <v>26</v>
      </c>
      <c r="AS22" s="5">
        <v>49</v>
      </c>
    </row>
    <row r="23" spans="2:45" x14ac:dyDescent="0.25">
      <c r="B23" t="s">
        <v>93</v>
      </c>
      <c r="C23" t="s">
        <v>80</v>
      </c>
      <c r="D23" t="s">
        <v>81</v>
      </c>
      <c r="E23" s="5">
        <v>3.9737459717976331</v>
      </c>
      <c r="F23" s="5">
        <v>1</v>
      </c>
      <c r="G23" s="5">
        <v>0.17714043791041653</v>
      </c>
      <c r="H23" s="5">
        <v>0.47439080527262911</v>
      </c>
      <c r="I23" s="5">
        <v>3.0498211098558601</v>
      </c>
      <c r="J23" s="5">
        <v>5.1862622338931397</v>
      </c>
      <c r="K23" s="5">
        <v>2.66671895965567</v>
      </c>
      <c r="L23" s="5">
        <v>12.9499421430497</v>
      </c>
      <c r="M23" s="5">
        <v>38.93333333333333</v>
      </c>
      <c r="AL23" t="s">
        <v>133</v>
      </c>
      <c r="AM23" t="s">
        <v>134</v>
      </c>
      <c r="AN23" t="s">
        <v>102</v>
      </c>
      <c r="AO23" s="5">
        <v>0.48891840079317483</v>
      </c>
      <c r="AP23" s="5">
        <v>2.7492927893383642E-2</v>
      </c>
      <c r="AQ23" s="5">
        <v>7.3627413122013347E-2</v>
      </c>
      <c r="AR23" s="5">
        <v>0.31277577999924699</v>
      </c>
      <c r="AS23" s="5">
        <v>0.60626731984831705</v>
      </c>
    </row>
    <row r="24" spans="2:45" x14ac:dyDescent="0.25">
      <c r="C24" t="s">
        <v>82</v>
      </c>
      <c r="D24" t="s">
        <v>81</v>
      </c>
      <c r="E24" s="5">
        <v>2.9961935004991109</v>
      </c>
      <c r="F24" s="5">
        <v>1</v>
      </c>
      <c r="G24" s="5">
        <v>9.419271165822158E-3</v>
      </c>
      <c r="H24" s="5">
        <v>2.5225271463398983E-2</v>
      </c>
      <c r="I24" s="5">
        <v>2.9496744298211102</v>
      </c>
      <c r="J24" s="5">
        <v>3.0580272808287701</v>
      </c>
      <c r="K24" s="5">
        <v>2.66671895965567</v>
      </c>
      <c r="L24" s="5">
        <v>3.3331738103413899</v>
      </c>
      <c r="M24" s="5">
        <v>38.93333333333333</v>
      </c>
      <c r="AL24" t="s">
        <v>135</v>
      </c>
      <c r="AM24" t="s">
        <v>132</v>
      </c>
      <c r="AN24" t="s">
        <v>102</v>
      </c>
      <c r="AO24" s="5">
        <v>79.466666666666669</v>
      </c>
      <c r="AP24" s="5">
        <v>4.487021325706305</v>
      </c>
      <c r="AQ24" s="5">
        <v>12.016463801753446</v>
      </c>
      <c r="AR24" s="5">
        <v>53</v>
      </c>
      <c r="AS24" s="5">
        <v>98</v>
      </c>
    </row>
    <row r="25" spans="2:45" x14ac:dyDescent="0.25">
      <c r="C25" t="s">
        <v>83</v>
      </c>
      <c r="D25" t="s">
        <v>81</v>
      </c>
      <c r="E25" s="5">
        <v>0.97755247129852119</v>
      </c>
      <c r="F25" s="5">
        <v>1</v>
      </c>
      <c r="G25" s="5">
        <v>0.17600589459573387</v>
      </c>
      <c r="H25" s="5">
        <v>0.47135244247406149</v>
      </c>
      <c r="I25" s="5">
        <v>7.7531386402174704E-2</v>
      </c>
      <c r="J25" s="5">
        <v>2.1571430213611502</v>
      </c>
      <c r="K25" s="5">
        <v>0</v>
      </c>
      <c r="L25" s="5">
        <v>10.0970660655851</v>
      </c>
      <c r="M25" s="5">
        <v>38.93333333333333</v>
      </c>
      <c r="AL25" t="s">
        <v>136</v>
      </c>
      <c r="AM25" t="s">
        <v>134</v>
      </c>
      <c r="AN25" t="s">
        <v>102</v>
      </c>
      <c r="AO25" s="5">
        <v>0.28976365927997022</v>
      </c>
      <c r="AP25" s="5">
        <v>1.6709279991037516E-2</v>
      </c>
      <c r="AQ25" s="5">
        <v>4.4748273652133699E-2</v>
      </c>
      <c r="AR25" s="5">
        <v>0.194735973294278</v>
      </c>
      <c r="AS25" s="5">
        <v>0.35775345817659199</v>
      </c>
    </row>
    <row r="26" spans="2:45" x14ac:dyDescent="0.25">
      <c r="B26" t="s">
        <v>94</v>
      </c>
      <c r="C26" t="s">
        <v>85</v>
      </c>
      <c r="D26" t="s">
        <v>86</v>
      </c>
      <c r="E26" s="5">
        <v>0.97840681915438699</v>
      </c>
      <c r="F26" s="5">
        <v>1</v>
      </c>
      <c r="G26" s="5">
        <v>0.17398625601904402</v>
      </c>
      <c r="H26" s="5">
        <v>0.46594375103094737</v>
      </c>
      <c r="I26" s="5">
        <v>7.4857890319341105E-2</v>
      </c>
      <c r="J26" s="5">
        <v>2.1571430213611502</v>
      </c>
      <c r="K26" s="5">
        <v>0</v>
      </c>
      <c r="L26" s="5">
        <v>10.0970660655851</v>
      </c>
      <c r="M26" s="5">
        <v>39.4</v>
      </c>
      <c r="AL26" t="s">
        <v>137</v>
      </c>
      <c r="AM26" t="s">
        <v>132</v>
      </c>
      <c r="AN26" t="s">
        <v>102</v>
      </c>
      <c r="AO26" s="5">
        <v>38.93333333333333</v>
      </c>
      <c r="AP26" s="5">
        <v>2.231692640151488</v>
      </c>
      <c r="AQ26" s="5">
        <v>5.9765826548191505</v>
      </c>
      <c r="AR26" s="5">
        <v>25</v>
      </c>
      <c r="AS26" s="5">
        <v>49</v>
      </c>
    </row>
    <row r="27" spans="2:45" x14ac:dyDescent="0.25">
      <c r="B27" t="s">
        <v>95</v>
      </c>
      <c r="C27" t="s">
        <v>96</v>
      </c>
      <c r="D27" t="s">
        <v>97</v>
      </c>
      <c r="E27" s="5">
        <v>5.6791002251848095</v>
      </c>
      <c r="F27" s="5">
        <v>1</v>
      </c>
      <c r="G27" s="5">
        <v>0.21043887871942071</v>
      </c>
      <c r="H27" s="5">
        <v>0.56356566752342163</v>
      </c>
      <c r="I27" s="5">
        <v>4.5414842685188104</v>
      </c>
      <c r="J27" s="5">
        <v>7.0605631014237096</v>
      </c>
      <c r="K27" s="5">
        <v>3.6737230936318102</v>
      </c>
      <c r="L27" s="5">
        <v>17.694691938395401</v>
      </c>
      <c r="M27" s="5">
        <v>38.866666666666667</v>
      </c>
      <c r="AL27" t="s">
        <v>138</v>
      </c>
      <c r="AM27" t="s">
        <v>134</v>
      </c>
      <c r="AN27" t="s">
        <v>102</v>
      </c>
      <c r="AO27" s="5">
        <v>8.2588852761398115E-2</v>
      </c>
      <c r="AP27" s="5">
        <v>4.9031825474871024E-3</v>
      </c>
      <c r="AQ27" s="5">
        <v>1.3130964022328008E-2</v>
      </c>
      <c r="AR27" s="5">
        <v>5.3757894868807901E-2</v>
      </c>
      <c r="AS27" s="5">
        <v>0.103175045984152</v>
      </c>
    </row>
    <row r="29" spans="2:45" x14ac:dyDescent="0.25">
      <c r="E29" s="6">
        <f>GETPIVOTDATA("Average Of Replication Averages",$A$2,"Project Name","Pedido Cleintes","Name","TiempoSistema","Type","Interval","Source","User Specified")-GETPIVOTDATA("Half-Width",$A$2,"Project Name","Pedido Cleintes","Name","TiempoSistema","Type","Interval","Source","User Specified")</f>
        <v>5.4686613464653888</v>
      </c>
      <c r="F29" s="6">
        <f>GETPIVOTDATA("Average Of Replication Averages",$A$2,"Project Name","Pedido Cleintes","Name","TiempoSistema","Type","Interval","Source","User Specified")+GETPIVOTDATA("Half-Width",$A$2,"Project Name","Pedido Cleintes","Name","TiempoSistema","Type","Interval","Source","User Specified")</f>
        <v>5.8895391039042302</v>
      </c>
    </row>
  </sheetData>
  <dataConsolidate/>
  <conditionalFormatting pivot="1" sqref="G3:G27">
    <cfRule type="expression" dxfId="31" priority="14">
      <formula>G3=200000000000000000000</formula>
    </cfRule>
  </conditionalFormatting>
  <conditionalFormatting pivot="1" sqref="T3:T18">
    <cfRule type="expression" dxfId="30" priority="13">
      <formula>T3=200000000000000000000</formula>
    </cfRule>
  </conditionalFormatting>
  <conditionalFormatting pivot="1" sqref="T3:T18">
    <cfRule type="expression" dxfId="29" priority="12">
      <formula>T3=300000000000000000000</formula>
    </cfRule>
  </conditionalFormatting>
  <conditionalFormatting pivot="1" sqref="G3:G27">
    <cfRule type="expression" dxfId="28" priority="11">
      <formula>G3=300000000000000000000</formula>
    </cfRule>
  </conditionalFormatting>
  <conditionalFormatting pivot="1" sqref="F3:F27">
    <cfRule type="expression" dxfId="27" priority="10">
      <formula>F3=0</formula>
    </cfRule>
  </conditionalFormatting>
  <conditionalFormatting pivot="1" sqref="F3:F27">
    <cfRule type="expression" dxfId="26" priority="9">
      <formula>F3=1</formula>
    </cfRule>
  </conditionalFormatting>
  <conditionalFormatting pivot="1" sqref="T3:T18">
    <cfRule type="expression" dxfId="25" priority="8">
      <formula>T3=400000000000000000000</formula>
    </cfRule>
  </conditionalFormatting>
  <conditionalFormatting pivot="1" sqref="AP3:AP2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27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751"/>
  <sheetViews>
    <sheetView workbookViewId="0">
      <selection activeCell="A2" sqref="A2:K61"/>
    </sheetView>
  </sheetViews>
  <sheetFormatPr defaultRowHeight="15" x14ac:dyDescent="0.25"/>
  <cols>
    <col min="1" max="1" width="15.140625" bestFit="1" customWidth="1"/>
    <col min="2" max="2" width="22.28515625" bestFit="1" customWidth="1"/>
    <col min="3" max="3" width="13.28515625" bestFit="1" customWidth="1"/>
    <col min="4" max="4" width="26.7109375" bestFit="1" customWidth="1"/>
    <col min="5" max="5" width="19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60.285156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24</v>
      </c>
      <c r="L2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24</v>
      </c>
      <c r="L3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4.9901464291949802</v>
      </c>
      <c r="H4">
        <v>2E+20</v>
      </c>
      <c r="I4">
        <v>4.0254454244855804</v>
      </c>
      <c r="J4">
        <v>7.1048012359080603</v>
      </c>
      <c r="K4">
        <v>24</v>
      </c>
      <c r="L4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5.6791002251848095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4" cm="1">
        <f t="array" ref="R4">MIN(IF((DiscreteStatsTable[GroupByKey]=DiscreteStatsTable[[#This Row],[GroupByKey]]),(DiscreteStatsTable[GroupByKey]=DiscreteStatsTable[[#This Row],[GroupByKey]])*DiscreteStatsTable[Average]))</f>
        <v>4.5414842685188104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7.0605631014237096</v>
      </c>
      <c r="T4" cm="1">
        <f t="array" ref="T4">MIN(IF((DiscreteStatsTable[GroupByKey]=DiscreteStatsTable[[#This Row],[GroupByKey]]),(DiscreteStatsTable[GroupByKey]=DiscreteStatsTable[[#This Row],[GroupByKey]])*DiscreteStatsTable[Minimum]))</f>
        <v>3.6737230936318102</v>
      </c>
      <c r="U4" cm="1">
        <f t="array" ref="U4">MAX(IF((DiscreteStatsTable[GroupByKey]=DiscreteStatsTable[[#This Row],[GroupByKey]]),(DiscreteStatsTable[GroupByKey]=DiscreteStatsTable[[#This Row],[GroupByKey]])*DiscreteStatsTable[Maximum]))</f>
        <v>17.694691938395401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">
        <f>IF((DiscreteStatsTable[[#This Row],[RepsRequested]]&gt;1),DiscreteStatsTable[[#This Row],[HalfWidth]],DiscreteStatsTable[[#This Row],[BatchMeansHalfWidth]])</f>
        <v>0.21043887871942071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24</v>
      </c>
      <c r="L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5.2586510039234797</v>
      </c>
      <c r="H6">
        <v>2E+20</v>
      </c>
      <c r="I6">
        <v>4.62720848247801</v>
      </c>
      <c r="J6">
        <v>5.9861054927465602</v>
      </c>
      <c r="K6">
        <v>24</v>
      </c>
      <c r="L6" t="str">
        <f>DiscreteStatsTable[[#This Row],[ProjectName]]&amp;DiscreteStatsTable[[#This Row],[Name]]&amp;DiscreteStatsTable[[#This Row],[Type]]&amp;DiscreteStatsTable[[#This Row],[Source]]</f>
        <v>Pedido CleintesClientesVA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5.2592876630189664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6" cm="1">
        <f t="array" ref="R6">MIN(IF((DiscreteStatsTable[GroupByKey]=DiscreteStatsTable[[#This Row],[GroupByKey]]),(DiscreteStatsTable[GroupByKey]=DiscreteStatsTable[[#This Row],[GroupByKey]])*DiscreteStatsTable[Average]))</f>
        <v>5.1503583657054</v>
      </c>
      <c r="S6" cm="1">
        <f t="array" ref="S6">MAX(IF((DiscreteStatsTable[GroupByKey]=DiscreteStatsTable[[#This Row],[GroupByKey]]),(DiscreteStatsTable[GroupByKey]=DiscreteStatsTable[[#This Row],[GroupByKey]])*DiscreteStatsTable[Average]))</f>
        <v>5.4129072038716304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4.2407242950458501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6.6447887759692303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">
        <f>IF((DiscreteStatsTable[[#This Row],[RepsRequested]]&gt;1),DiscreteStatsTable[[#This Row],[HalfWidth]],DiscreteStatsTable[[#This Row],[BatchMeansHalfWidth]])</f>
        <v>2.4239709944021991E-2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3.16424476237338</v>
      </c>
      <c r="H7">
        <v>2E+20</v>
      </c>
      <c r="I7">
        <v>1.6405894057747299</v>
      </c>
      <c r="J7">
        <v>7.4175294560363696</v>
      </c>
      <c r="K7">
        <v>24</v>
      </c>
      <c r="L7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4.3948990987917362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1.0338793267692701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7" cm="1">
        <f t="array" ref="R7">MIN(IF((DiscreteStatsTable[GroupByKey]=DiscreteStatsTable[[#This Row],[GroupByKey]]),(DiscreteStatsTable[GroupByKey]=DiscreteStatsTable[[#This Row],[GroupByKey]])*DiscreteStatsTable[Average]))</f>
        <v>2.3996249564013099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7.0027213080203197</v>
      </c>
      <c r="T7" cm="1">
        <f t="array" ref="T7">MIN(IF((DiscreteStatsTable[GroupByKey]=DiscreteStatsTable[[#This Row],[GroupByKey]]),(DiscreteStatsTable[GroupByKey]=DiscreteStatsTable[[#This Row],[GroupByKey]])*DiscreteStatsTable[Minimum]))</f>
        <v>1.6212297132984801</v>
      </c>
      <c r="U7" cm="1">
        <f t="array" ref="U7">MAX(IF((DiscreteStatsTable[GroupByKey]=DiscreteStatsTable[[#This Row],[GroupByKey]]),(DiscreteStatsTable[GroupByKey]=DiscreteStatsTable[[#This Row],[GroupByKey]])*DiscreteStatsTable[Maximum]))</f>
        <v>25.258727602665498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">
        <f>IF((DiscreteStatsTable[[#This Row],[RepsRequested]]&gt;1),DiscreteStatsTable[[#This Row],[HalfWidth]],DiscreteStatsTable[[#This Row],[BatchMeansHalfWidth]])</f>
        <v>0.38605688528297838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41</v>
      </c>
      <c r="L8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0</v>
      </c>
      <c r="H9">
        <v>2E+20</v>
      </c>
      <c r="I9">
        <v>0</v>
      </c>
      <c r="J9">
        <v>0</v>
      </c>
      <c r="K9">
        <v>41</v>
      </c>
      <c r="L9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5.37317306554423</v>
      </c>
      <c r="H10">
        <v>2E+20</v>
      </c>
      <c r="I10">
        <v>3.9575986654000999</v>
      </c>
      <c r="J10">
        <v>9.1422098980663709</v>
      </c>
      <c r="K10">
        <v>41</v>
      </c>
      <c r="L10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5.6791002251848095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4.5414842685188104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7.0605631014237096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3.6737230936318102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17.694691938395401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">
        <f>IF((DiscreteStatsTable[[#This Row],[RepsRequested]]&gt;1),DiscreteStatsTable[[#This Row],[HalfWidth]],DiscreteStatsTable[[#This Row],[BatchMeansHalfWidth]])</f>
        <v>0.21043887871942071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41</v>
      </c>
      <c r="L11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5.2593989258363401</v>
      </c>
      <c r="H12">
        <v>2E+20</v>
      </c>
      <c r="I12">
        <v>4.7050089393844399</v>
      </c>
      <c r="J12">
        <v>5.9934723732307003</v>
      </c>
      <c r="K12">
        <v>41</v>
      </c>
      <c r="L12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5.2592876630189664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5.1503583657054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5.4129072038716304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4.2407242950458501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6.6447887759692303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">
        <f>IF((DiscreteStatsTable[[#This Row],[RepsRequested]]&gt;1),DiscreteStatsTable[[#This Row],[HalfWidth]],DiscreteStatsTable[[#This Row],[BatchMeansHalfWidth]])</f>
        <v>2.4239709944021991E-2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3.8248782129360999</v>
      </c>
      <c r="H13">
        <v>2E+20</v>
      </c>
      <c r="I13">
        <v>1.6998400687433799</v>
      </c>
      <c r="J13">
        <v>11.3500962595087</v>
      </c>
      <c r="K13">
        <v>41</v>
      </c>
      <c r="L13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4.3948990987917362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1.0338793267692701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2.3996249564013099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7.0027213080203197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1.6212297132984801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25.258727602665498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">
        <f>IF((DiscreteStatsTable[[#This Row],[RepsRequested]]&gt;1),DiscreteStatsTable[[#This Row],[HalfWidth]],DiscreteStatsTable[[#This Row],[BatchMeansHalfWidth]])</f>
        <v>0.38605688528297838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47</v>
      </c>
      <c r="L14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0</v>
      </c>
      <c r="H15">
        <v>2E+20</v>
      </c>
      <c r="I15">
        <v>0</v>
      </c>
      <c r="J15">
        <v>0</v>
      </c>
      <c r="K15">
        <v>47</v>
      </c>
      <c r="L1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6.5824737447319199</v>
      </c>
      <c r="H16">
        <v>2E+20</v>
      </c>
      <c r="I16">
        <v>3.7710601849318399</v>
      </c>
      <c r="J16">
        <v>17.694691938395401</v>
      </c>
      <c r="K16">
        <v>47</v>
      </c>
      <c r="L16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5.6791002251848095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4.5414842685188104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7.0605631014237096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3.6737230936318102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17.694691938395401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">
        <f>IF((DiscreteStatsTable[[#This Row],[RepsRequested]]&gt;1),DiscreteStatsTable[[#This Row],[HalfWidth]],DiscreteStatsTable[[#This Row],[BatchMeansHalfWidth]])</f>
        <v>0.21043887871942071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0</v>
      </c>
      <c r="H17">
        <v>2E+20</v>
      </c>
      <c r="I17">
        <v>0</v>
      </c>
      <c r="J17">
        <v>0</v>
      </c>
      <c r="K17">
        <v>47</v>
      </c>
      <c r="L17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5.2671562700378098</v>
      </c>
      <c r="H18">
        <v>2E+20</v>
      </c>
      <c r="I18">
        <v>4.3165344852243797</v>
      </c>
      <c r="J18">
        <v>6.30943396154737</v>
      </c>
      <c r="K18">
        <v>47</v>
      </c>
      <c r="L18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5.2592876630189664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5.1503583657054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5.4129072038716304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4.2407242950458501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6.6447887759692303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">
        <f>IF((DiscreteStatsTable[[#This Row],[RepsRequested]]&gt;1),DiscreteStatsTable[[#This Row],[HalfWidth]],DiscreteStatsTable[[#This Row],[BatchMeansHalfWidth]])</f>
        <v>2.4239709944021991E-2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5.9976539277776597</v>
      </c>
      <c r="H19">
        <v>2E+20</v>
      </c>
      <c r="I19">
        <v>1.85850381653538</v>
      </c>
      <c r="J19">
        <v>25.258727602665498</v>
      </c>
      <c r="K19">
        <v>47</v>
      </c>
      <c r="L19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4.3948990987917362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1.0338793267692701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2.3996249564013099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7.0027213080203197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1.6212297132984801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25.258727602665498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">
        <f>IF((DiscreteStatsTable[[#This Row],[RepsRequested]]&gt;1),DiscreteStatsTable[[#This Row],[HalfWidth]],DiscreteStatsTable[[#This Row],[BatchMeansHalfWidth]])</f>
        <v>0.38605688528297838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0</v>
      </c>
      <c r="H20">
        <v>2E+20</v>
      </c>
      <c r="I20">
        <v>0</v>
      </c>
      <c r="J20">
        <v>0</v>
      </c>
      <c r="K20">
        <v>33</v>
      </c>
      <c r="L20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0</v>
      </c>
      <c r="H21">
        <v>2E+20</v>
      </c>
      <c r="I21">
        <v>0</v>
      </c>
      <c r="J21">
        <v>0</v>
      </c>
      <c r="K21">
        <v>33</v>
      </c>
      <c r="L21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5.0599023904699596</v>
      </c>
      <c r="H22">
        <v>2E+20</v>
      </c>
      <c r="I22">
        <v>3.9162386779727401</v>
      </c>
      <c r="J22">
        <v>6.9525050170237703</v>
      </c>
      <c r="K22">
        <v>33</v>
      </c>
      <c r="L22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5.6791002251848095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4.5414842685188104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7.0605631014237096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3.6737230936318102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17.694691938395401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">
        <f>IF((DiscreteStatsTable[[#This Row],[RepsRequested]]&gt;1),DiscreteStatsTable[[#This Row],[HalfWidth]],DiscreteStatsTable[[#This Row],[BatchMeansHalfWidth]])</f>
        <v>0.21043887871942071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0</v>
      </c>
      <c r="H23">
        <v>2E+20</v>
      </c>
      <c r="I23">
        <v>0</v>
      </c>
      <c r="J23">
        <v>0</v>
      </c>
      <c r="K23">
        <v>33</v>
      </c>
      <c r="L23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5.2531484429622397</v>
      </c>
      <c r="H24">
        <v>2E+20</v>
      </c>
      <c r="I24">
        <v>4.6164442315029204</v>
      </c>
      <c r="J24">
        <v>5.8201655913658401</v>
      </c>
      <c r="K24">
        <v>33</v>
      </c>
      <c r="L24" t="str">
        <f>DiscreteStatsTable[[#This Row],[ProjectName]]&amp;DiscreteStatsTable[[#This Row],[Name]]&amp;DiscreteStatsTable[[#This Row],[Type]]&amp;DiscreteStatsTable[[#This Row],[Source]]</f>
        <v>Pedido CleintesClientesVA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5.2592876630189664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5.1503583657054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5.4129072038716304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4.2407242950458501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6.6447887759692303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">
        <f>IF((DiscreteStatsTable[[#This Row],[RepsRequested]]&gt;1),DiscreteStatsTable[[#This Row],[HalfWidth]],DiscreteStatsTable[[#This Row],[BatchMeansHalfWidth]])</f>
        <v>2.4239709944021991E-2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3.3008157945192602</v>
      </c>
      <c r="H25">
        <v>2E+20</v>
      </c>
      <c r="I25">
        <v>1.74306434394104</v>
      </c>
      <c r="J25">
        <v>6.8607468135405396</v>
      </c>
      <c r="K25">
        <v>33</v>
      </c>
      <c r="L2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4.3948990987917362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1.0338793267692701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2.3996249564013099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7.0027213080203197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1.6212297132984801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25.258727602665498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">
        <f>IF((DiscreteStatsTable[[#This Row],[RepsRequested]]&gt;1),DiscreteStatsTable[[#This Row],[HalfWidth]],DiscreteStatsTable[[#This Row],[BatchMeansHalfWidth]])</f>
        <v>0.38605688528297838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0</v>
      </c>
      <c r="H26">
        <v>2E+20</v>
      </c>
      <c r="I26">
        <v>0</v>
      </c>
      <c r="J26">
        <v>0</v>
      </c>
      <c r="K26">
        <v>45</v>
      </c>
      <c r="L26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0</v>
      </c>
      <c r="H27">
        <v>2E+20</v>
      </c>
      <c r="I27">
        <v>0</v>
      </c>
      <c r="J27">
        <v>0</v>
      </c>
      <c r="K27">
        <v>45</v>
      </c>
      <c r="L27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6.4564235040147402</v>
      </c>
      <c r="H28">
        <v>2E+20</v>
      </c>
      <c r="I28">
        <v>3.77373200780477</v>
      </c>
      <c r="J28">
        <v>13.9904048933167</v>
      </c>
      <c r="K28">
        <v>45</v>
      </c>
      <c r="L28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5.6791002251848095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4.5414842685188104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7.0605631014237096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3.6737230936318102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17.694691938395401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8">
        <f>IF((DiscreteStatsTable[[#This Row],[RepsRequested]]&gt;1),DiscreteStatsTable[[#This Row],[HalfWidth]],DiscreteStatsTable[[#This Row],[BatchMeansHalfWidth]])</f>
        <v>0.21043887871942071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0</v>
      </c>
      <c r="H29">
        <v>2E+20</v>
      </c>
      <c r="I29">
        <v>0</v>
      </c>
      <c r="J29">
        <v>0</v>
      </c>
      <c r="K29">
        <v>45</v>
      </c>
      <c r="L29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5.1503583657054</v>
      </c>
      <c r="H30">
        <v>2E+20</v>
      </c>
      <c r="I30">
        <v>4.2407242950458501</v>
      </c>
      <c r="J30">
        <v>5.8729064206666202</v>
      </c>
      <c r="K30">
        <v>45</v>
      </c>
      <c r="L30" t="str">
        <f>DiscreteStatsTable[[#This Row],[ProjectName]]&amp;DiscreteStatsTable[[#This Row],[Name]]&amp;DiscreteStatsTable[[#This Row],[Type]]&amp;DiscreteStatsTable[[#This Row],[Source]]</f>
        <v>Pedido CleintesClientesVA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5.2592876630189664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5.1503583657054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5.4129072038716304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4.2407242950458501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6.6447887759692303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0">
        <f>IF((DiscreteStatsTable[[#This Row],[RepsRequested]]&gt;1),DiscreteStatsTable[[#This Row],[HalfWidth]],DiscreteStatsTable[[#This Row],[BatchMeansHalfWidth]])</f>
        <v>2.4239709944021991E-2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6.0485309847011299</v>
      </c>
      <c r="H31">
        <v>2E+20</v>
      </c>
      <c r="I31">
        <v>1.83986214539374</v>
      </c>
      <c r="J31">
        <v>20.841714105099701</v>
      </c>
      <c r="K31">
        <v>45</v>
      </c>
      <c r="L31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4.3948990987917362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1.0338793267692701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2.3996249564013099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7.0027213080203197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1.6212297132984801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25.258727602665498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1">
        <f>IF((DiscreteStatsTable[[#This Row],[RepsRequested]]&gt;1),DiscreteStatsTable[[#This Row],[HalfWidth]],DiscreteStatsTable[[#This Row],[BatchMeansHalfWidth]])</f>
        <v>0.38605688528297838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0</v>
      </c>
      <c r="H32">
        <v>2E+20</v>
      </c>
      <c r="I32">
        <v>0</v>
      </c>
      <c r="J32">
        <v>0</v>
      </c>
      <c r="K32">
        <v>39</v>
      </c>
      <c r="L32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0</v>
      </c>
      <c r="H33">
        <v>2E+20</v>
      </c>
      <c r="I33">
        <v>0</v>
      </c>
      <c r="J33">
        <v>0</v>
      </c>
      <c r="K33">
        <v>39</v>
      </c>
      <c r="L33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5.7216303778570596</v>
      </c>
      <c r="H34">
        <v>2E+20</v>
      </c>
      <c r="I34">
        <v>3.9039523983078901</v>
      </c>
      <c r="J34">
        <v>12.3815572575869</v>
      </c>
      <c r="K34">
        <v>39</v>
      </c>
      <c r="L34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5.6791002251848095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4.5414842685188104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7.0605631014237096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3.6737230936318102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17.694691938395401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4">
        <f>IF((DiscreteStatsTable[[#This Row],[RepsRequested]]&gt;1),DiscreteStatsTable[[#This Row],[HalfWidth]],DiscreteStatsTable[[#This Row],[BatchMeansHalfWidth]])</f>
        <v>0.21043887871942071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0</v>
      </c>
      <c r="H35">
        <v>2E+20</v>
      </c>
      <c r="I35">
        <v>0</v>
      </c>
      <c r="J35">
        <v>0</v>
      </c>
      <c r="K35">
        <v>39</v>
      </c>
      <c r="L3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5.2901437654373202</v>
      </c>
      <c r="H36">
        <v>2E+20</v>
      </c>
      <c r="I36">
        <v>4.4134501376984501</v>
      </c>
      <c r="J36">
        <v>6.0518587687134602</v>
      </c>
      <c r="K36">
        <v>39</v>
      </c>
      <c r="L36" t="str">
        <f>DiscreteStatsTable[[#This Row],[ProjectName]]&amp;DiscreteStatsTable[[#This Row],[Name]]&amp;DiscreteStatsTable[[#This Row],[Type]]&amp;DiscreteStatsTable[[#This Row],[Source]]</f>
        <v>Pedido CleintesClientesVA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5.2592876630189664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5.1503583657054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5.4129072038716304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4.2407242950458501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6.6447887759692303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6">
        <f>IF((DiscreteStatsTable[[#This Row],[RepsRequested]]&gt;1),DiscreteStatsTable[[#This Row],[HalfWidth]],DiscreteStatsTable[[#This Row],[BatchMeansHalfWidth]])</f>
        <v>2.4239709944021991E-2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4.4549797931294304</v>
      </c>
      <c r="H37">
        <v>2E+20</v>
      </c>
      <c r="I37">
        <v>1.82083624158321</v>
      </c>
      <c r="J37">
        <v>16.4797361781512</v>
      </c>
      <c r="K37">
        <v>39</v>
      </c>
      <c r="L37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4.3948990987917362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1.0338793267692701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2.3996249564013099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7.0027213080203197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1.6212297132984801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25.258727602665498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7">
        <f>IF((DiscreteStatsTable[[#This Row],[RepsRequested]]&gt;1),DiscreteStatsTable[[#This Row],[HalfWidth]],DiscreteStatsTable[[#This Row],[BatchMeansHalfWidth]])</f>
        <v>0.38605688528297838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38</v>
      </c>
      <c r="L38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0</v>
      </c>
      <c r="H39">
        <v>2E+20</v>
      </c>
      <c r="I39">
        <v>0</v>
      </c>
      <c r="J39">
        <v>0</v>
      </c>
      <c r="K39">
        <v>38</v>
      </c>
      <c r="L39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5.7860017153237804</v>
      </c>
      <c r="H40">
        <v>2E+20</v>
      </c>
      <c r="I40">
        <v>3.9216516812408599</v>
      </c>
      <c r="J40">
        <v>10.9217463512029</v>
      </c>
      <c r="K40">
        <v>38</v>
      </c>
      <c r="L40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5.6791002251848095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4.5414842685188104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7.0605631014237096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3.6737230936318102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17.694691938395401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0">
        <f>IF((DiscreteStatsTable[[#This Row],[RepsRequested]]&gt;1),DiscreteStatsTable[[#This Row],[HalfWidth]],DiscreteStatsTable[[#This Row],[BatchMeansHalfWidth]])</f>
        <v>0.21043887871942071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0</v>
      </c>
      <c r="H41">
        <v>2E+20</v>
      </c>
      <c r="I41">
        <v>0</v>
      </c>
      <c r="J41">
        <v>0</v>
      </c>
      <c r="K41">
        <v>38</v>
      </c>
      <c r="L41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5.30915872698922</v>
      </c>
      <c r="H42">
        <v>2E+20</v>
      </c>
      <c r="I42">
        <v>4.5590273120235496</v>
      </c>
      <c r="J42">
        <v>6.4764210163886604</v>
      </c>
      <c r="K42">
        <v>38</v>
      </c>
      <c r="L42" t="str">
        <f>DiscreteStatsTable[[#This Row],[ProjectName]]&amp;DiscreteStatsTable[[#This Row],[Name]]&amp;DiscreteStatsTable[[#This Row],[Type]]&amp;DiscreteStatsTable[[#This Row],[Source]]</f>
        <v>Pedido CleintesClientesVA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5.2592876630189664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5.1503583657054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5.4129072038716304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4.2407242950458501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6.6447887759692303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2">
        <f>IF((DiscreteStatsTable[[#This Row],[RepsRequested]]&gt;1),DiscreteStatsTable[[#This Row],[HalfWidth]],DiscreteStatsTable[[#This Row],[BatchMeansHalfWidth]])</f>
        <v>2.4239709944021991E-2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4.5496006865804404</v>
      </c>
      <c r="H43">
        <v>2E+20</v>
      </c>
      <c r="I43">
        <v>1.7893562486997601</v>
      </c>
      <c r="J43">
        <v>14.5457321913836</v>
      </c>
      <c r="K43">
        <v>38</v>
      </c>
      <c r="L43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4.3948990987917362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1.0338793267692701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2.3996249564013099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7.0027213080203197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1.6212297132984801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25.258727602665498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3">
        <f>IF((DiscreteStatsTable[[#This Row],[RepsRequested]]&gt;1),DiscreteStatsTable[[#This Row],[HalfWidth]],DiscreteStatsTable[[#This Row],[BatchMeansHalfWidth]])</f>
        <v>0.38605688528297838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0</v>
      </c>
      <c r="H44">
        <v>2E+20</v>
      </c>
      <c r="I44">
        <v>0</v>
      </c>
      <c r="J44">
        <v>0</v>
      </c>
      <c r="K44">
        <v>34</v>
      </c>
      <c r="L44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0</v>
      </c>
      <c r="H45">
        <v>2E+20</v>
      </c>
      <c r="I45">
        <v>0</v>
      </c>
      <c r="J45">
        <v>0</v>
      </c>
      <c r="K45">
        <v>34</v>
      </c>
      <c r="L4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6.2370891620170301</v>
      </c>
      <c r="H46">
        <v>2E+20</v>
      </c>
      <c r="I46">
        <v>4.09411058137204</v>
      </c>
      <c r="J46">
        <v>11.060571969165499</v>
      </c>
      <c r="K46">
        <v>34</v>
      </c>
      <c r="L46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5.6791002251848095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4.5414842685188104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7.0605631014237096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3.6737230936318102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17.694691938395401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6">
        <f>IF((DiscreteStatsTable[[#This Row],[RepsRequested]]&gt;1),DiscreteStatsTable[[#This Row],[HalfWidth]],DiscreteStatsTable[[#This Row],[BatchMeansHalfWidth]])</f>
        <v>0.21043887871942071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0</v>
      </c>
      <c r="H47">
        <v>2E+20</v>
      </c>
      <c r="I47">
        <v>0</v>
      </c>
      <c r="J47">
        <v>0</v>
      </c>
      <c r="K47">
        <v>34</v>
      </c>
      <c r="L47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5.3833110799081201</v>
      </c>
      <c r="H48">
        <v>2E+20</v>
      </c>
      <c r="I48">
        <v>4.4436397318995597</v>
      </c>
      <c r="J48">
        <v>6.3810191449293301</v>
      </c>
      <c r="K48">
        <v>34</v>
      </c>
      <c r="L48" t="str">
        <f>DiscreteStatsTable[[#This Row],[ProjectName]]&amp;DiscreteStatsTable[[#This Row],[Name]]&amp;DiscreteStatsTable[[#This Row],[Type]]&amp;DiscreteStatsTable[[#This Row],[Source]]</f>
        <v>Pedido CleintesClientesVA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5.2592876630189664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5.1503583657054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5.4129072038716304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4.2407242950458501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6.6447887759692303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8">
        <f>IF((DiscreteStatsTable[[#This Row],[RepsRequested]]&gt;1),DiscreteStatsTable[[#This Row],[HalfWidth]],DiscreteStatsTable[[#This Row],[BatchMeansHalfWidth]])</f>
        <v>2.4239709944021991E-2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5.2265097263833198</v>
      </c>
      <c r="H49">
        <v>2E+20</v>
      </c>
      <c r="I49">
        <v>1.6704633009798899</v>
      </c>
      <c r="J49">
        <v>13.893226313539801</v>
      </c>
      <c r="K49">
        <v>34</v>
      </c>
      <c r="L49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4.3948990987917362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1.0338793267692701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2.3996249564013099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7.0027213080203197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1.6212297132984801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25.258727602665498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49">
        <f>IF((DiscreteStatsTable[[#This Row],[RepsRequested]]&gt;1),DiscreteStatsTable[[#This Row],[HalfWidth]],DiscreteStatsTable[[#This Row],[BatchMeansHalfWidth]])</f>
        <v>0.38605688528297838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0</v>
      </c>
      <c r="H50">
        <v>2E+20</v>
      </c>
      <c r="I50">
        <v>0</v>
      </c>
      <c r="J50">
        <v>0</v>
      </c>
      <c r="K50">
        <v>34</v>
      </c>
      <c r="L50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0</v>
      </c>
      <c r="H51">
        <v>2E+20</v>
      </c>
      <c r="I51">
        <v>0</v>
      </c>
      <c r="J51">
        <v>0</v>
      </c>
      <c r="K51">
        <v>34</v>
      </c>
      <c r="L51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5.0664534532326799</v>
      </c>
      <c r="H52">
        <v>2E+20</v>
      </c>
      <c r="I52">
        <v>3.7758741569295502</v>
      </c>
      <c r="J52">
        <v>7.7385654873742604</v>
      </c>
      <c r="K52">
        <v>34</v>
      </c>
      <c r="L52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5.6791002251848095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4.5414842685188104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7.0605631014237096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3.6737230936318102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17.694691938395401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2">
        <f>IF((DiscreteStatsTable[[#This Row],[RepsRequested]]&gt;1),DiscreteStatsTable[[#This Row],[HalfWidth]],DiscreteStatsTable[[#This Row],[BatchMeansHalfWidth]])</f>
        <v>0.21043887871942071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0</v>
      </c>
      <c r="H53">
        <v>2E+20</v>
      </c>
      <c r="I53">
        <v>0</v>
      </c>
      <c r="J53">
        <v>0</v>
      </c>
      <c r="K53">
        <v>34</v>
      </c>
      <c r="L53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5.1642783300267396</v>
      </c>
      <c r="H54">
        <v>2E+20</v>
      </c>
      <c r="I54">
        <v>4.4942661588472701</v>
      </c>
      <c r="J54">
        <v>5.7728733103349699</v>
      </c>
      <c r="K54">
        <v>34</v>
      </c>
      <c r="L54" t="str">
        <f>DiscreteStatsTable[[#This Row],[ProjectName]]&amp;DiscreteStatsTable[[#This Row],[Name]]&amp;DiscreteStatsTable[[#This Row],[Type]]&amp;DiscreteStatsTable[[#This Row],[Source]]</f>
        <v>Pedido CleintesClientesVA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5.2592876630189664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5.1503583657054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5.4129072038716304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4.2407242950458501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6.6447887759692303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4">
        <f>IF((DiscreteStatsTable[[#This Row],[RepsRequested]]&gt;1),DiscreteStatsTable[[#This Row],[HalfWidth]],DiscreteStatsTable[[#This Row],[BatchMeansHalfWidth]])</f>
        <v>2.4239709944021991E-2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3.3817632298823401</v>
      </c>
      <c r="H55">
        <v>2E+20</v>
      </c>
      <c r="I55">
        <v>1.66976785940696</v>
      </c>
      <c r="J55">
        <v>8.1179795685649196</v>
      </c>
      <c r="K55">
        <v>34</v>
      </c>
      <c r="L5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4.3948990987917362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1.0338793267692701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2.3996249564013099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7.0027213080203197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1.6212297132984801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25.258727602665498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5">
        <f>IF((DiscreteStatsTable[[#This Row],[RepsRequested]]&gt;1),DiscreteStatsTable[[#This Row],[HalfWidth]],DiscreteStatsTable[[#This Row],[BatchMeansHalfWidth]])</f>
        <v>0.38605688528297838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0</v>
      </c>
      <c r="H56">
        <v>2E+20</v>
      </c>
      <c r="I56">
        <v>0</v>
      </c>
      <c r="J56">
        <v>0</v>
      </c>
      <c r="K56">
        <v>41</v>
      </c>
      <c r="L56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0</v>
      </c>
      <c r="H57">
        <v>2E+20</v>
      </c>
      <c r="I57">
        <v>0</v>
      </c>
      <c r="J57">
        <v>0</v>
      </c>
      <c r="K57">
        <v>41</v>
      </c>
      <c r="L57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5.0609584404715404</v>
      </c>
      <c r="H58">
        <v>2E+20</v>
      </c>
      <c r="I58">
        <v>3.8186791056629699</v>
      </c>
      <c r="J58">
        <v>8.4922699045034999</v>
      </c>
      <c r="K58">
        <v>41</v>
      </c>
      <c r="L58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5.6791002251848095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4.5414842685188104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7.0605631014237096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3.6737230936318102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17.694691938395401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8">
        <f>IF((DiscreteStatsTable[[#This Row],[RepsRequested]]&gt;1),DiscreteStatsTable[[#This Row],[HalfWidth]],DiscreteStatsTable[[#This Row],[BatchMeansHalfWidth]])</f>
        <v>0.21043887871942071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0</v>
      </c>
      <c r="H59">
        <v>2E+20</v>
      </c>
      <c r="I59">
        <v>0</v>
      </c>
      <c r="J59">
        <v>0</v>
      </c>
      <c r="K59">
        <v>41</v>
      </c>
      <c r="L59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5.1781960792566704</v>
      </c>
      <c r="H60">
        <v>2E+20</v>
      </c>
      <c r="I60">
        <v>4.3099885437811398</v>
      </c>
      <c r="J60">
        <v>5.8738899899730397</v>
      </c>
      <c r="K60">
        <v>41</v>
      </c>
      <c r="L60" t="str">
        <f>DiscreteStatsTable[[#This Row],[ProjectName]]&amp;DiscreteStatsTable[[#This Row],[Name]]&amp;DiscreteStatsTable[[#This Row],[Type]]&amp;DiscreteStatsTable[[#This Row],[Source]]</f>
        <v>Pedido CleintesClientesVA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5.2592876630189664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5.1503583657054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5.4129072038716304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4.2407242950458501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6.6447887759692303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0">
        <f>IF((DiscreteStatsTable[[#This Row],[RepsRequested]]&gt;1),DiscreteStatsTable[[#This Row],[HalfWidth]],DiscreteStatsTable[[#This Row],[BatchMeansHalfWidth]])</f>
        <v>2.4239709944021991E-2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3.3778233617343898</v>
      </c>
      <c r="H61">
        <v>2E+20</v>
      </c>
      <c r="I61">
        <v>1.6580900971213</v>
      </c>
      <c r="J61">
        <v>10.276226009065599</v>
      </c>
      <c r="K61">
        <v>41</v>
      </c>
      <c r="L61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4.3948990987917362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1.0338793267692701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2.3996249564013099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7.0027213080203197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1.6212297132984801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25.258727602665498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1">
        <f>IF((DiscreteStatsTable[[#This Row],[RepsRequested]]&gt;1),DiscreteStatsTable[[#This Row],[HalfWidth]],DiscreteStatsTable[[#This Row],[BatchMeansHalfWidth]])</f>
        <v>0.38605688528297838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0</v>
      </c>
      <c r="H62">
        <v>2E+20</v>
      </c>
      <c r="I62">
        <v>0</v>
      </c>
      <c r="J62">
        <v>0</v>
      </c>
      <c r="K62">
        <v>44</v>
      </c>
      <c r="L62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0</v>
      </c>
      <c r="H63">
        <v>2E+20</v>
      </c>
      <c r="I63">
        <v>0</v>
      </c>
      <c r="J63">
        <v>0</v>
      </c>
      <c r="K63">
        <v>44</v>
      </c>
      <c r="L63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5.4779144439759397</v>
      </c>
      <c r="H64">
        <v>2E+20</v>
      </c>
      <c r="I64">
        <v>3.9162561901202699</v>
      </c>
      <c r="J64">
        <v>10.4133186108066</v>
      </c>
      <c r="K64">
        <v>44</v>
      </c>
      <c r="L64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5.6791002251848095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4.5414842685188104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7.0605631014237096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3.6737230936318102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17.694691938395401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4" s="5">
        <f>IF((DiscreteStatsTable[[#This Row],[RepsRequested]]&gt;1),DiscreteStatsTable[[#This Row],[HalfWidth]],DiscreteStatsTable[[#This Row],[BatchMeansHalfWidth]])</f>
        <v>0.21043887871942071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0</v>
      </c>
      <c r="H65">
        <v>2E+20</v>
      </c>
      <c r="I65">
        <v>0</v>
      </c>
      <c r="J65">
        <v>0</v>
      </c>
      <c r="K65">
        <v>44</v>
      </c>
      <c r="L65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5.1841870865356103</v>
      </c>
      <c r="H66">
        <v>2E+20</v>
      </c>
      <c r="I66">
        <v>4.4042666815768401</v>
      </c>
      <c r="J66">
        <v>5.8139399397979297</v>
      </c>
      <c r="K66">
        <v>44</v>
      </c>
      <c r="L66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5.2592876630189664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5.1503583657054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5.4129072038716304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4.2407242950458501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6.6447887759692303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6" s="5">
        <f>IF((DiscreteStatsTable[[#This Row],[RepsRequested]]&gt;1),DiscreteStatsTable[[#This Row],[HalfWidth]],DiscreteStatsTable[[#This Row],[BatchMeansHalfWidth]])</f>
        <v>2.4239709944021991E-2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4.0861726866881796</v>
      </c>
      <c r="H67">
        <v>2E+20</v>
      </c>
      <c r="I67">
        <v>1.7139085531134399</v>
      </c>
      <c r="J67">
        <v>13.132563747166</v>
      </c>
      <c r="K67">
        <v>44</v>
      </c>
      <c r="L67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4.3948990987917362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1.0338793267692701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2.3996249564013099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7.0027213080203197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1.6212297132984801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25.258727602665498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7" s="5">
        <f>IF((DiscreteStatsTable[[#This Row],[RepsRequested]]&gt;1),DiscreteStatsTable[[#This Row],[HalfWidth]],DiscreteStatsTable[[#This Row],[BatchMeansHalfWidth]])</f>
        <v>0.38605688528297838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0</v>
      </c>
      <c r="H68">
        <v>2E+20</v>
      </c>
      <c r="I68">
        <v>0</v>
      </c>
      <c r="J68">
        <v>0</v>
      </c>
      <c r="K68">
        <v>28</v>
      </c>
      <c r="L68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0</v>
      </c>
      <c r="H69">
        <v>2E+20</v>
      </c>
      <c r="I69">
        <v>0</v>
      </c>
      <c r="J69">
        <v>0</v>
      </c>
      <c r="K69">
        <v>28</v>
      </c>
      <c r="L69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4.5414842685188104</v>
      </c>
      <c r="H70">
        <v>2E+20</v>
      </c>
      <c r="I70">
        <v>3.8213819387362098</v>
      </c>
      <c r="J70">
        <v>5.3058785150574899</v>
      </c>
      <c r="K70">
        <v>28</v>
      </c>
      <c r="L70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5.6791002251848095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4.5414842685188104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7.0605631014237096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3.6737230936318102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17.694691938395401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0" s="5">
        <f>IF((DiscreteStatsTable[[#This Row],[RepsRequested]]&gt;1),DiscreteStatsTable[[#This Row],[HalfWidth]],DiscreteStatsTable[[#This Row],[BatchMeansHalfWidth]])</f>
        <v>0.21043887871942071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0</v>
      </c>
      <c r="H71">
        <v>2E+20</v>
      </c>
      <c r="I71">
        <v>0</v>
      </c>
      <c r="J71">
        <v>0</v>
      </c>
      <c r="K71">
        <v>28</v>
      </c>
      <c r="L71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5.1916804219733601</v>
      </c>
      <c r="H72">
        <v>2E+20</v>
      </c>
      <c r="I72">
        <v>4.3868284679077201</v>
      </c>
      <c r="J72">
        <v>5.8602223078023998</v>
      </c>
      <c r="K72">
        <v>28</v>
      </c>
      <c r="L72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5.2592876630189664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5.1503583657054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5.4129072038716304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4.2407242950458501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6.6447887759692303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" s="5">
        <f>IF((DiscreteStatsTable[[#This Row],[RepsRequested]]&gt;1),DiscreteStatsTable[[#This Row],[HalfWidth]],DiscreteStatsTable[[#This Row],[BatchMeansHalfWidth]])</f>
        <v>2.4239709944021991E-2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2.3996249564013099</v>
      </c>
      <c r="H73">
        <v>2E+20</v>
      </c>
      <c r="I73">
        <v>1.6520700544039599</v>
      </c>
      <c r="J73">
        <v>3.9673294645580901</v>
      </c>
      <c r="K73">
        <v>28</v>
      </c>
      <c r="L73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4.3948990987917362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1.0338793267692701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2.3996249564013099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7.0027213080203197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1.6212297132984801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25.258727602665498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" s="5">
        <f>IF((DiscreteStatsTable[[#This Row],[RepsRequested]]&gt;1),DiscreteStatsTable[[#This Row],[HalfWidth]],DiscreteStatsTable[[#This Row],[BatchMeansHalfWidth]])</f>
        <v>0.38605688528297838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13</v>
      </c>
      <c r="D74" t="s">
        <v>71</v>
      </c>
      <c r="E74" t="s">
        <v>72</v>
      </c>
      <c r="F74" t="s">
        <v>73</v>
      </c>
      <c r="G74">
        <v>0</v>
      </c>
      <c r="H74">
        <v>2E+20</v>
      </c>
      <c r="I74">
        <v>0</v>
      </c>
      <c r="J74">
        <v>0</v>
      </c>
      <c r="K74">
        <v>37</v>
      </c>
      <c r="L74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13</v>
      </c>
      <c r="D75" t="s">
        <v>71</v>
      </c>
      <c r="E75" t="s">
        <v>74</v>
      </c>
      <c r="F75" t="s">
        <v>73</v>
      </c>
      <c r="G75">
        <v>0</v>
      </c>
      <c r="H75">
        <v>2E+20</v>
      </c>
      <c r="I75">
        <v>0</v>
      </c>
      <c r="J75">
        <v>0</v>
      </c>
      <c r="K75">
        <v>37</v>
      </c>
      <c r="L75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13</v>
      </c>
      <c r="D76" t="s">
        <v>71</v>
      </c>
      <c r="E76" t="s">
        <v>75</v>
      </c>
      <c r="F76" t="s">
        <v>73</v>
      </c>
      <c r="G76">
        <v>5.1297077386662897</v>
      </c>
      <c r="H76">
        <v>2E+20</v>
      </c>
      <c r="I76">
        <v>3.9432756521734298</v>
      </c>
      <c r="J76">
        <v>7.7716694485821201</v>
      </c>
      <c r="K76">
        <v>37</v>
      </c>
      <c r="L76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5.6791002251848095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4.5414842685188104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7.0605631014237096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3.6737230936318102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17.694691938395401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6" s="5">
        <f>IF((DiscreteStatsTable[[#This Row],[RepsRequested]]&gt;1),DiscreteStatsTable[[#This Row],[HalfWidth]],DiscreteStatsTable[[#This Row],[BatchMeansHalfWidth]])</f>
        <v>0.21043887871942071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13</v>
      </c>
      <c r="D77" t="s">
        <v>71</v>
      </c>
      <c r="E77" t="s">
        <v>76</v>
      </c>
      <c r="F77" t="s">
        <v>73</v>
      </c>
      <c r="G77">
        <v>0</v>
      </c>
      <c r="H77">
        <v>2E+20</v>
      </c>
      <c r="I77">
        <v>0</v>
      </c>
      <c r="J77">
        <v>0</v>
      </c>
      <c r="K77">
        <v>37</v>
      </c>
      <c r="L77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13</v>
      </c>
      <c r="D78" t="s">
        <v>71</v>
      </c>
      <c r="E78" t="s">
        <v>77</v>
      </c>
      <c r="F78" t="s">
        <v>73</v>
      </c>
      <c r="G78">
        <v>5.23955136233704</v>
      </c>
      <c r="H78">
        <v>2E+20</v>
      </c>
      <c r="I78">
        <v>4.5174320101216097</v>
      </c>
      <c r="J78">
        <v>6.0606648689852198</v>
      </c>
      <c r="K78">
        <v>37</v>
      </c>
      <c r="L78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5.2592876630189664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5.1503583657054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5.4129072038716304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4.2407242950458501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6.6447887759692303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8" s="5">
        <f>IF((DiscreteStatsTable[[#This Row],[RepsRequested]]&gt;1),DiscreteStatsTable[[#This Row],[HalfWidth]],DiscreteStatsTable[[#This Row],[BatchMeansHalfWidth]])</f>
        <v>2.4239709944021991E-2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13</v>
      </c>
      <c r="D79" t="s">
        <v>71</v>
      </c>
      <c r="E79" t="s">
        <v>78</v>
      </c>
      <c r="F79" t="s">
        <v>73</v>
      </c>
      <c r="G79">
        <v>3.4148922355976401</v>
      </c>
      <c r="H79">
        <v>2E+20</v>
      </c>
      <c r="I79">
        <v>1.6319811642559701</v>
      </c>
      <c r="J79">
        <v>8.2337938721786408</v>
      </c>
      <c r="K79">
        <v>37</v>
      </c>
      <c r="L79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4.3948990987917362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1.0338793267692701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2.3996249564013099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7.0027213080203197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1.6212297132984801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25.258727602665498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9" s="5">
        <f>IF((DiscreteStatsTable[[#This Row],[RepsRequested]]&gt;1),DiscreteStatsTable[[#This Row],[HalfWidth]],DiscreteStatsTable[[#This Row],[BatchMeansHalfWidth]])</f>
        <v>0.38605688528297838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14</v>
      </c>
      <c r="D80" t="s">
        <v>71</v>
      </c>
      <c r="E80" t="s">
        <v>72</v>
      </c>
      <c r="F80" t="s">
        <v>73</v>
      </c>
      <c r="G80">
        <v>0</v>
      </c>
      <c r="H80">
        <v>2E+20</v>
      </c>
      <c r="I80">
        <v>0</v>
      </c>
      <c r="J80">
        <v>0</v>
      </c>
      <c r="K80">
        <v>44</v>
      </c>
      <c r="L80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14</v>
      </c>
      <c r="D81" t="s">
        <v>71</v>
      </c>
      <c r="E81" t="s">
        <v>74</v>
      </c>
      <c r="F81" t="s">
        <v>73</v>
      </c>
      <c r="G81">
        <v>0</v>
      </c>
      <c r="H81">
        <v>2E+20</v>
      </c>
      <c r="I81">
        <v>0</v>
      </c>
      <c r="J81">
        <v>0</v>
      </c>
      <c r="K81">
        <v>44</v>
      </c>
      <c r="L81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14</v>
      </c>
      <c r="D82" t="s">
        <v>71</v>
      </c>
      <c r="E82" t="s">
        <v>75</v>
      </c>
      <c r="F82" t="s">
        <v>73</v>
      </c>
      <c r="G82">
        <v>5.7451893964056397</v>
      </c>
      <c r="H82">
        <v>2E+20</v>
      </c>
      <c r="I82">
        <v>4.0303409931519001</v>
      </c>
      <c r="J82">
        <v>11.5590259560568</v>
      </c>
      <c r="K82">
        <v>44</v>
      </c>
      <c r="L82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5.6791002251848095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4.5414842685188104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7.0605631014237096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3.6737230936318102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17.694691938395401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2" s="5">
        <f>IF((DiscreteStatsTable[[#This Row],[RepsRequested]]&gt;1),DiscreteStatsTable[[#This Row],[HalfWidth]],DiscreteStatsTable[[#This Row],[BatchMeansHalfWidth]])</f>
        <v>0.21043887871942071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14</v>
      </c>
      <c r="D83" t="s">
        <v>71</v>
      </c>
      <c r="E83" t="s">
        <v>76</v>
      </c>
      <c r="F83" t="s">
        <v>73</v>
      </c>
      <c r="G83">
        <v>0</v>
      </c>
      <c r="H83">
        <v>2E+20</v>
      </c>
      <c r="I83">
        <v>0</v>
      </c>
      <c r="J83">
        <v>0</v>
      </c>
      <c r="K83">
        <v>44</v>
      </c>
      <c r="L83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14</v>
      </c>
      <c r="D84" t="s">
        <v>71</v>
      </c>
      <c r="E84" t="s">
        <v>77</v>
      </c>
      <c r="F84" t="s">
        <v>73</v>
      </c>
      <c r="G84">
        <v>5.2565121247740301</v>
      </c>
      <c r="H84">
        <v>2E+20</v>
      </c>
      <c r="I84">
        <v>4.5122012364888597</v>
      </c>
      <c r="J84">
        <v>5.8996403816374796</v>
      </c>
      <c r="K84">
        <v>44</v>
      </c>
      <c r="L84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5.2592876630189664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5.1503583657054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5.4129072038716304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4.2407242950458501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6.6447887759692303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4" s="5">
        <f>IF((DiscreteStatsTable[[#This Row],[RepsRequested]]&gt;1),DiscreteStatsTable[[#This Row],[HalfWidth]],DiscreteStatsTable[[#This Row],[BatchMeansHalfWidth]])</f>
        <v>2.4239709944021991E-2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14</v>
      </c>
      <c r="D85" t="s">
        <v>71</v>
      </c>
      <c r="E85" t="s">
        <v>78</v>
      </c>
      <c r="F85" t="s">
        <v>73</v>
      </c>
      <c r="G85">
        <v>4.5156941821617202</v>
      </c>
      <c r="H85">
        <v>2E+20</v>
      </c>
      <c r="I85">
        <v>1.75907602209216</v>
      </c>
      <c r="J85">
        <v>15.084805698832101</v>
      </c>
      <c r="K85">
        <v>44</v>
      </c>
      <c r="L85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4.3948990987917362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1.0338793267692701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2.3996249564013099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7.0027213080203197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1.6212297132984801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25.258727602665498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5" s="5">
        <f>IF((DiscreteStatsTable[[#This Row],[RepsRequested]]&gt;1),DiscreteStatsTable[[#This Row],[HalfWidth]],DiscreteStatsTable[[#This Row],[BatchMeansHalfWidth]])</f>
        <v>0.38605688528297838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15</v>
      </c>
      <c r="D86" t="s">
        <v>71</v>
      </c>
      <c r="E86" t="s">
        <v>72</v>
      </c>
      <c r="F86" t="s">
        <v>73</v>
      </c>
      <c r="G86">
        <v>0</v>
      </c>
      <c r="H86">
        <v>2E+20</v>
      </c>
      <c r="I86">
        <v>0</v>
      </c>
      <c r="J86">
        <v>0</v>
      </c>
      <c r="K86">
        <v>46</v>
      </c>
      <c r="L86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15</v>
      </c>
      <c r="D87" t="s">
        <v>71</v>
      </c>
      <c r="E87" t="s">
        <v>74</v>
      </c>
      <c r="F87" t="s">
        <v>73</v>
      </c>
      <c r="G87">
        <v>0</v>
      </c>
      <c r="H87">
        <v>2E+20</v>
      </c>
      <c r="I87">
        <v>0</v>
      </c>
      <c r="J87">
        <v>0</v>
      </c>
      <c r="K87">
        <v>46</v>
      </c>
      <c r="L87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15</v>
      </c>
      <c r="D88" t="s">
        <v>71</v>
      </c>
      <c r="E88" t="s">
        <v>75</v>
      </c>
      <c r="F88" t="s">
        <v>73</v>
      </c>
      <c r="G88">
        <v>5.9286923725667702</v>
      </c>
      <c r="H88">
        <v>2E+20</v>
      </c>
      <c r="I88">
        <v>4.1081519687558599</v>
      </c>
      <c r="J88">
        <v>10.712704223101801</v>
      </c>
      <c r="K88">
        <v>46</v>
      </c>
      <c r="L88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5.6791002251848095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4.5414842685188104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7.0605631014237096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3.6737230936318102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17.694691938395401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8" s="5">
        <f>IF((DiscreteStatsTable[[#This Row],[RepsRequested]]&gt;1),DiscreteStatsTable[[#This Row],[HalfWidth]],DiscreteStatsTable[[#This Row],[BatchMeansHalfWidth]])</f>
        <v>0.21043887871942071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15</v>
      </c>
      <c r="D89" t="s">
        <v>71</v>
      </c>
      <c r="E89" t="s">
        <v>76</v>
      </c>
      <c r="F89" t="s">
        <v>73</v>
      </c>
      <c r="G89">
        <v>0</v>
      </c>
      <c r="H89">
        <v>2E+20</v>
      </c>
      <c r="I89">
        <v>0</v>
      </c>
      <c r="J89">
        <v>0</v>
      </c>
      <c r="K89">
        <v>46</v>
      </c>
      <c r="L89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15</v>
      </c>
      <c r="D90" t="s">
        <v>71</v>
      </c>
      <c r="E90" t="s">
        <v>77</v>
      </c>
      <c r="F90" t="s">
        <v>73</v>
      </c>
      <c r="G90">
        <v>5.2745521934159898</v>
      </c>
      <c r="H90">
        <v>2E+20</v>
      </c>
      <c r="I90">
        <v>4.4535690994210597</v>
      </c>
      <c r="J90">
        <v>6.4723182642688899</v>
      </c>
      <c r="K90">
        <v>46</v>
      </c>
      <c r="L90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5.2592876630189664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5.1503583657054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5.4129072038716304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4.2407242950458501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6.6447887759692303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0" s="5">
        <f>IF((DiscreteStatsTable[[#This Row],[RepsRequested]]&gt;1),DiscreteStatsTable[[#This Row],[HalfWidth]],DiscreteStatsTable[[#This Row],[BatchMeansHalfWidth]])</f>
        <v>2.4239709944021991E-2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15</v>
      </c>
      <c r="D91" t="s">
        <v>71</v>
      </c>
      <c r="E91" t="s">
        <v>78</v>
      </c>
      <c r="F91" t="s">
        <v>73</v>
      </c>
      <c r="G91">
        <v>4.7857878547431403</v>
      </c>
      <c r="H91">
        <v>2E+20</v>
      </c>
      <c r="I91">
        <v>1.7319180121926601</v>
      </c>
      <c r="J91">
        <v>12.779826279306301</v>
      </c>
      <c r="K91">
        <v>46</v>
      </c>
      <c r="L91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4.3948990987917362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1.0338793267692701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2.3996249564013099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7.0027213080203197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1.6212297132984801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25.258727602665498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1" s="5">
        <f>IF((DiscreteStatsTable[[#This Row],[RepsRequested]]&gt;1),DiscreteStatsTable[[#This Row],[HalfWidth]],DiscreteStatsTable[[#This Row],[BatchMeansHalfWidth]])</f>
        <v>0.38605688528297838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16</v>
      </c>
      <c r="D92" t="s">
        <v>71</v>
      </c>
      <c r="E92" t="s">
        <v>72</v>
      </c>
      <c r="F92" t="s">
        <v>73</v>
      </c>
      <c r="G92">
        <v>0</v>
      </c>
      <c r="H92">
        <v>2E+20</v>
      </c>
      <c r="I92">
        <v>0</v>
      </c>
      <c r="J92">
        <v>0</v>
      </c>
      <c r="K92">
        <v>36</v>
      </c>
      <c r="L92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16</v>
      </c>
      <c r="D93" t="s">
        <v>71</v>
      </c>
      <c r="E93" t="s">
        <v>74</v>
      </c>
      <c r="F93" t="s">
        <v>73</v>
      </c>
      <c r="G93">
        <v>0</v>
      </c>
      <c r="H93">
        <v>2E+20</v>
      </c>
      <c r="I93">
        <v>0</v>
      </c>
      <c r="J93">
        <v>0</v>
      </c>
      <c r="K93">
        <v>36</v>
      </c>
      <c r="L93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16</v>
      </c>
      <c r="D94" t="s">
        <v>71</v>
      </c>
      <c r="E94" t="s">
        <v>75</v>
      </c>
      <c r="F94" t="s">
        <v>73</v>
      </c>
      <c r="G94">
        <v>5.2789868852581803</v>
      </c>
      <c r="H94">
        <v>2E+20</v>
      </c>
      <c r="I94">
        <v>3.7631500064803398</v>
      </c>
      <c r="J94">
        <v>8.3765423593206396</v>
      </c>
      <c r="K94">
        <v>36</v>
      </c>
      <c r="L94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5.6791002251848095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4.5414842685188104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7.0605631014237096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3.6737230936318102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17.694691938395401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4" s="5">
        <f>IF((DiscreteStatsTable[[#This Row],[RepsRequested]]&gt;1),DiscreteStatsTable[[#This Row],[HalfWidth]],DiscreteStatsTable[[#This Row],[BatchMeansHalfWidth]])</f>
        <v>0.21043887871942071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16</v>
      </c>
      <c r="D95" t="s">
        <v>71</v>
      </c>
      <c r="E95" t="s">
        <v>76</v>
      </c>
      <c r="F95" t="s">
        <v>73</v>
      </c>
      <c r="G95">
        <v>0</v>
      </c>
      <c r="H95">
        <v>2E+20</v>
      </c>
      <c r="I95">
        <v>0</v>
      </c>
      <c r="J95">
        <v>0</v>
      </c>
      <c r="K95">
        <v>36</v>
      </c>
      <c r="L95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16</v>
      </c>
      <c r="D96" t="s">
        <v>71</v>
      </c>
      <c r="E96" t="s">
        <v>77</v>
      </c>
      <c r="F96" t="s">
        <v>73</v>
      </c>
      <c r="G96">
        <v>5.3113567425900801</v>
      </c>
      <c r="H96">
        <v>2E+20</v>
      </c>
      <c r="I96">
        <v>4.2925229502525601</v>
      </c>
      <c r="J96">
        <v>6.0424232488465703</v>
      </c>
      <c r="K96">
        <v>36</v>
      </c>
      <c r="L96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5.2592876630189664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5.1503583657054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5.4129072038716304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4.2407242950458501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6.6447887759692303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6" s="5">
        <f>IF((DiscreteStatsTable[[#This Row],[RepsRequested]]&gt;1),DiscreteStatsTable[[#This Row],[HalfWidth]],DiscreteStatsTable[[#This Row],[BatchMeansHalfWidth]])</f>
        <v>2.4239709944021991E-2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16</v>
      </c>
      <c r="D97" t="s">
        <v>71</v>
      </c>
      <c r="E97" t="s">
        <v>78</v>
      </c>
      <c r="F97" t="s">
        <v>73</v>
      </c>
      <c r="G97">
        <v>3.55910364577676</v>
      </c>
      <c r="H97">
        <v>2E+20</v>
      </c>
      <c r="I97">
        <v>1.83551728462486</v>
      </c>
      <c r="J97">
        <v>10.187410399772601</v>
      </c>
      <c r="K97">
        <v>36</v>
      </c>
      <c r="L97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4.3948990987917362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1.0338793267692701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2.3996249564013099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7.0027213080203197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1.6212297132984801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25.258727602665498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7" s="5">
        <f>IF((DiscreteStatsTable[[#This Row],[RepsRequested]]&gt;1),DiscreteStatsTable[[#This Row],[HalfWidth]],DiscreteStatsTable[[#This Row],[BatchMeansHalfWidth]])</f>
        <v>0.38605688528297838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17</v>
      </c>
      <c r="D98" t="s">
        <v>71</v>
      </c>
      <c r="E98" t="s">
        <v>72</v>
      </c>
      <c r="F98" t="s">
        <v>73</v>
      </c>
      <c r="G98">
        <v>0</v>
      </c>
      <c r="H98">
        <v>2E+20</v>
      </c>
      <c r="I98">
        <v>0</v>
      </c>
      <c r="J98">
        <v>0</v>
      </c>
      <c r="K98">
        <v>31</v>
      </c>
      <c r="L98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17</v>
      </c>
      <c r="D99" t="s">
        <v>71</v>
      </c>
      <c r="E99" t="s">
        <v>74</v>
      </c>
      <c r="F99" t="s">
        <v>73</v>
      </c>
      <c r="G99">
        <v>0</v>
      </c>
      <c r="H99">
        <v>2E+20</v>
      </c>
      <c r="I99">
        <v>0</v>
      </c>
      <c r="J99">
        <v>0</v>
      </c>
      <c r="K99">
        <v>31</v>
      </c>
      <c r="L99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99" s="5">
        <f>IF((DiscreteStatsTable[[#This Row],[RepsRequested]]&gt;1),DiscreteStatsTable[[#This Row],[HalfWidth]],DiscreteStatsTable[[#This Row],[BatchMeansHalfWidth]])</f>
        <v>0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17</v>
      </c>
      <c r="D100" t="s">
        <v>71</v>
      </c>
      <c r="E100" t="s">
        <v>75</v>
      </c>
      <c r="F100" t="s">
        <v>73</v>
      </c>
      <c r="G100">
        <v>5.1578603614814797</v>
      </c>
      <c r="H100">
        <v>2E+20</v>
      </c>
      <c r="I100">
        <v>4.0370712054074698</v>
      </c>
      <c r="J100">
        <v>7.7781456312297301</v>
      </c>
      <c r="K100">
        <v>31</v>
      </c>
      <c r="L100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5.6791002251848095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4.5414842685188104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7.0605631014237096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3.6737230936318102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17.694691938395401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0" s="5">
        <f>IF((DiscreteStatsTable[[#This Row],[RepsRequested]]&gt;1),DiscreteStatsTable[[#This Row],[HalfWidth]],DiscreteStatsTable[[#This Row],[BatchMeansHalfWidth]])</f>
        <v>0.21043887871942071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17</v>
      </c>
      <c r="D101" t="s">
        <v>71</v>
      </c>
      <c r="E101" t="s">
        <v>76</v>
      </c>
      <c r="F101" t="s">
        <v>73</v>
      </c>
      <c r="G101">
        <v>0</v>
      </c>
      <c r="H101">
        <v>2E+20</v>
      </c>
      <c r="I101">
        <v>0</v>
      </c>
      <c r="J101">
        <v>0</v>
      </c>
      <c r="K101">
        <v>31</v>
      </c>
      <c r="L101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17</v>
      </c>
      <c r="D102" t="s">
        <v>71</v>
      </c>
      <c r="E102" t="s">
        <v>77</v>
      </c>
      <c r="F102" t="s">
        <v>73</v>
      </c>
      <c r="G102">
        <v>5.2925509933892601</v>
      </c>
      <c r="H102">
        <v>2E+20</v>
      </c>
      <c r="I102">
        <v>4.7619585709961401</v>
      </c>
      <c r="J102">
        <v>6.0832351397976696</v>
      </c>
      <c r="K102">
        <v>31</v>
      </c>
      <c r="L102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5.2592876630189664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5.1503583657054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5.4129072038716304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4.2407242950458501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6.6447887759692303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2" s="5">
        <f>IF((DiscreteStatsTable[[#This Row],[RepsRequested]]&gt;1),DiscreteStatsTable[[#This Row],[HalfWidth]],DiscreteStatsTable[[#This Row],[BatchMeansHalfWidth]])</f>
        <v>2.4239709944021991E-2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17</v>
      </c>
      <c r="D103" t="s">
        <v>71</v>
      </c>
      <c r="E103" t="s">
        <v>78</v>
      </c>
      <c r="F103" t="s">
        <v>73</v>
      </c>
      <c r="G103">
        <v>3.3712128135908199</v>
      </c>
      <c r="H103">
        <v>2E+20</v>
      </c>
      <c r="I103">
        <v>1.6212297132984801</v>
      </c>
      <c r="J103">
        <v>8.3876929900077393</v>
      </c>
      <c r="K103">
        <v>31</v>
      </c>
      <c r="L103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4.3948990987917362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1.0338793267692701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2.3996249564013099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7.0027213080203197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1.6212297132984801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25.258727602665498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3" s="5">
        <f>IF((DiscreteStatsTable[[#This Row],[RepsRequested]]&gt;1),DiscreteStatsTable[[#This Row],[HalfWidth]],DiscreteStatsTable[[#This Row],[BatchMeansHalfWidth]])</f>
        <v>0.38605688528297838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18</v>
      </c>
      <c r="D104" t="s">
        <v>71</v>
      </c>
      <c r="E104" t="s">
        <v>72</v>
      </c>
      <c r="F104" t="s">
        <v>73</v>
      </c>
      <c r="G104">
        <v>0</v>
      </c>
      <c r="H104">
        <v>2E+20</v>
      </c>
      <c r="I104">
        <v>0</v>
      </c>
      <c r="J104">
        <v>0</v>
      </c>
      <c r="K104">
        <v>44</v>
      </c>
      <c r="L104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18</v>
      </c>
      <c r="D105" t="s">
        <v>71</v>
      </c>
      <c r="E105" t="s">
        <v>74</v>
      </c>
      <c r="F105" t="s">
        <v>73</v>
      </c>
      <c r="G105">
        <v>0</v>
      </c>
      <c r="H105">
        <v>2E+20</v>
      </c>
      <c r="I105">
        <v>0</v>
      </c>
      <c r="J105">
        <v>0</v>
      </c>
      <c r="K105">
        <v>44</v>
      </c>
      <c r="L105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5" s="5">
        <f>IF((DiscreteStatsTable[[#This Row],[RepsRequested]]&gt;1),DiscreteStatsTable[[#This Row],[HalfWidth]],DiscreteStatsTable[[#This Row],[BatchMeansHalfWidth]])</f>
        <v>0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18</v>
      </c>
      <c r="D106" t="s">
        <v>71</v>
      </c>
      <c r="E106" t="s">
        <v>75</v>
      </c>
      <c r="F106" t="s">
        <v>73</v>
      </c>
      <c r="G106">
        <v>7.0605631014237096</v>
      </c>
      <c r="H106">
        <v>2E+20</v>
      </c>
      <c r="I106">
        <v>4.0502293774329798</v>
      </c>
      <c r="J106">
        <v>13.1971108310285</v>
      </c>
      <c r="K106">
        <v>44</v>
      </c>
      <c r="L106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5.6791002251848095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4.5414842685188104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7.0605631014237096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3.6737230936318102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17.694691938395401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6" s="5">
        <f>IF((DiscreteStatsTable[[#This Row],[RepsRequested]]&gt;1),DiscreteStatsTable[[#This Row],[HalfWidth]],DiscreteStatsTable[[#This Row],[BatchMeansHalfWidth]])</f>
        <v>0.21043887871942071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18</v>
      </c>
      <c r="D107" t="s">
        <v>71</v>
      </c>
      <c r="E107" t="s">
        <v>76</v>
      </c>
      <c r="F107" t="s">
        <v>73</v>
      </c>
      <c r="G107">
        <v>0</v>
      </c>
      <c r="H107">
        <v>2E+20</v>
      </c>
      <c r="I107">
        <v>0</v>
      </c>
      <c r="J107">
        <v>0</v>
      </c>
      <c r="K107">
        <v>44</v>
      </c>
      <c r="L107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18</v>
      </c>
      <c r="D108" t="s">
        <v>71</v>
      </c>
      <c r="E108" t="s">
        <v>77</v>
      </c>
      <c r="F108" t="s">
        <v>73</v>
      </c>
      <c r="G108">
        <v>5.24494979136536</v>
      </c>
      <c r="H108">
        <v>2E+20</v>
      </c>
      <c r="I108">
        <v>4.53221842149122</v>
      </c>
      <c r="J108">
        <v>5.8697776485695199</v>
      </c>
      <c r="K108">
        <v>44</v>
      </c>
      <c r="L108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5.2592876630189664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5.1503583657054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5.4129072038716304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4.2407242950458501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6.6447887759692303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8" s="5">
        <f>IF((DiscreteStatsTable[[#This Row],[RepsRequested]]&gt;1),DiscreteStatsTable[[#This Row],[HalfWidth]],DiscreteStatsTable[[#This Row],[BatchMeansHalfWidth]])</f>
        <v>2.4239709944021991E-2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18</v>
      </c>
      <c r="D109" t="s">
        <v>71</v>
      </c>
      <c r="E109" t="s">
        <v>78</v>
      </c>
      <c r="F109" t="s">
        <v>73</v>
      </c>
      <c r="G109">
        <v>7.0027213080203197</v>
      </c>
      <c r="H109">
        <v>2E+20</v>
      </c>
      <c r="I109">
        <v>1.95025969390313</v>
      </c>
      <c r="J109">
        <v>17.1520474559386</v>
      </c>
      <c r="K109">
        <v>44</v>
      </c>
      <c r="L109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4.3948990987917362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1.0338793267692701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2.3996249564013099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7.0027213080203197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1.6212297132984801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25.258727602665498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09" s="5">
        <f>IF((DiscreteStatsTable[[#This Row],[RepsRequested]]&gt;1),DiscreteStatsTable[[#This Row],[HalfWidth]],DiscreteStatsTable[[#This Row],[BatchMeansHalfWidth]])</f>
        <v>0.38605688528297838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19</v>
      </c>
      <c r="D110" t="s">
        <v>71</v>
      </c>
      <c r="E110" t="s">
        <v>72</v>
      </c>
      <c r="F110" t="s">
        <v>73</v>
      </c>
      <c r="G110">
        <v>0</v>
      </c>
      <c r="H110">
        <v>2E+20</v>
      </c>
      <c r="I110">
        <v>0</v>
      </c>
      <c r="J110">
        <v>0</v>
      </c>
      <c r="K110">
        <v>32</v>
      </c>
      <c r="L110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19</v>
      </c>
      <c r="D111" t="s">
        <v>71</v>
      </c>
      <c r="E111" t="s">
        <v>74</v>
      </c>
      <c r="F111" t="s">
        <v>73</v>
      </c>
      <c r="G111">
        <v>0</v>
      </c>
      <c r="H111">
        <v>2E+20</v>
      </c>
      <c r="I111">
        <v>0</v>
      </c>
      <c r="J111">
        <v>0</v>
      </c>
      <c r="K111">
        <v>32</v>
      </c>
      <c r="L111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1" s="5">
        <f>IF((DiscreteStatsTable[[#This Row],[RepsRequested]]&gt;1),DiscreteStatsTable[[#This Row],[HalfWidth]],DiscreteStatsTable[[#This Row],[BatchMeansHalfWidth]])</f>
        <v>0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19</v>
      </c>
      <c r="D112" t="s">
        <v>71</v>
      </c>
      <c r="E112" t="s">
        <v>75</v>
      </c>
      <c r="F112" t="s">
        <v>73</v>
      </c>
      <c r="G112">
        <v>5.8942133079372603</v>
      </c>
      <c r="H112">
        <v>2E+20</v>
      </c>
      <c r="I112">
        <v>4.0874960166305803</v>
      </c>
      <c r="J112">
        <v>9.0287947879010204</v>
      </c>
      <c r="K112">
        <v>32</v>
      </c>
      <c r="L112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5.6791002251848095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4.5414842685188104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7.0605631014237096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3.6737230936318102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17.694691938395401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2" s="5">
        <f>IF((DiscreteStatsTable[[#This Row],[RepsRequested]]&gt;1),DiscreteStatsTable[[#This Row],[HalfWidth]],DiscreteStatsTable[[#This Row],[BatchMeansHalfWidth]])</f>
        <v>0.21043887871942071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19</v>
      </c>
      <c r="D113" t="s">
        <v>71</v>
      </c>
      <c r="E113" t="s">
        <v>76</v>
      </c>
      <c r="F113" t="s">
        <v>73</v>
      </c>
      <c r="G113">
        <v>0</v>
      </c>
      <c r="H113">
        <v>2E+20</v>
      </c>
      <c r="I113">
        <v>0</v>
      </c>
      <c r="J113">
        <v>0</v>
      </c>
      <c r="K113">
        <v>32</v>
      </c>
      <c r="L113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19</v>
      </c>
      <c r="D114" t="s">
        <v>71</v>
      </c>
      <c r="E114" t="s">
        <v>77</v>
      </c>
      <c r="F114" t="s">
        <v>73</v>
      </c>
      <c r="G114">
        <v>5.2639785533219401</v>
      </c>
      <c r="H114">
        <v>2E+20</v>
      </c>
      <c r="I114">
        <v>4.5135637013994598</v>
      </c>
      <c r="J114">
        <v>6.2308636261074399</v>
      </c>
      <c r="K114">
        <v>32</v>
      </c>
      <c r="L114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5.2592876630189664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5.1503583657054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5.4129072038716304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4.2407242950458501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6.6447887759692303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4" s="5">
        <f>IF((DiscreteStatsTable[[#This Row],[RepsRequested]]&gt;1),DiscreteStatsTable[[#This Row],[HalfWidth]],DiscreteStatsTable[[#This Row],[BatchMeansHalfWidth]])</f>
        <v>2.4239709944021991E-2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19</v>
      </c>
      <c r="D115" t="s">
        <v>71</v>
      </c>
      <c r="E115" t="s">
        <v>78</v>
      </c>
      <c r="F115" t="s">
        <v>73</v>
      </c>
      <c r="G115">
        <v>4.7404486021855101</v>
      </c>
      <c r="H115">
        <v>2E+20</v>
      </c>
      <c r="I115">
        <v>1.8424749334406301</v>
      </c>
      <c r="J115">
        <v>9.9818511789581894</v>
      </c>
      <c r="K115">
        <v>32</v>
      </c>
      <c r="L115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4.3948990987917362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1.0338793267692701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2.3996249564013099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7.0027213080203197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1.6212297132984801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25.258727602665498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5" s="5">
        <f>IF((DiscreteStatsTable[[#This Row],[RepsRequested]]&gt;1),DiscreteStatsTable[[#This Row],[HalfWidth]],DiscreteStatsTable[[#This Row],[BatchMeansHalfWidth]])</f>
        <v>0.38605688528297838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20</v>
      </c>
      <c r="D116" t="s">
        <v>71</v>
      </c>
      <c r="E116" t="s">
        <v>72</v>
      </c>
      <c r="F116" t="s">
        <v>73</v>
      </c>
      <c r="G116">
        <v>0</v>
      </c>
      <c r="H116">
        <v>2E+20</v>
      </c>
      <c r="I116">
        <v>0</v>
      </c>
      <c r="J116">
        <v>0</v>
      </c>
      <c r="K116">
        <v>42</v>
      </c>
      <c r="L116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6" s="5">
        <f>IF((DiscreteStatsTable[[#This Row],[RepsRequested]]&gt;1),DiscreteStatsTable[[#This Row],[HalfWidth]],DiscreteStatsTable[[#This Row],[BatchMeansHalfWidth]])</f>
        <v>0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20</v>
      </c>
      <c r="D117" t="s">
        <v>71</v>
      </c>
      <c r="E117" t="s">
        <v>74</v>
      </c>
      <c r="F117" t="s">
        <v>73</v>
      </c>
      <c r="G117">
        <v>0</v>
      </c>
      <c r="H117">
        <v>2E+20</v>
      </c>
      <c r="I117">
        <v>0</v>
      </c>
      <c r="J117">
        <v>0</v>
      </c>
      <c r="K117">
        <v>42</v>
      </c>
      <c r="L117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7" s="5">
        <f>IF((DiscreteStatsTable[[#This Row],[RepsRequested]]&gt;1),DiscreteStatsTable[[#This Row],[HalfWidth]],DiscreteStatsTable[[#This Row],[BatchMeansHalfWidth]])</f>
        <v>0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20</v>
      </c>
      <c r="D118" t="s">
        <v>71</v>
      </c>
      <c r="E118" t="s">
        <v>75</v>
      </c>
      <c r="F118" t="s">
        <v>73</v>
      </c>
      <c r="G118">
        <v>5.8777488770038904</v>
      </c>
      <c r="H118">
        <v>2E+20</v>
      </c>
      <c r="I118">
        <v>3.8118710216141398</v>
      </c>
      <c r="J118">
        <v>9.5502200894016394</v>
      </c>
      <c r="K118">
        <v>42</v>
      </c>
      <c r="L118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5.6791002251848095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4.5414842685188104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7.0605631014237096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3.6737230936318102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17.694691938395401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8" s="5">
        <f>IF((DiscreteStatsTable[[#This Row],[RepsRequested]]&gt;1),DiscreteStatsTable[[#This Row],[HalfWidth]],DiscreteStatsTable[[#This Row],[BatchMeansHalfWidth]])</f>
        <v>0.21043887871942071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20</v>
      </c>
      <c r="D119" t="s">
        <v>71</v>
      </c>
      <c r="E119" t="s">
        <v>76</v>
      </c>
      <c r="F119" t="s">
        <v>73</v>
      </c>
      <c r="G119">
        <v>0</v>
      </c>
      <c r="H119">
        <v>2E+20</v>
      </c>
      <c r="I119">
        <v>0</v>
      </c>
      <c r="J119">
        <v>0</v>
      </c>
      <c r="K119">
        <v>42</v>
      </c>
      <c r="L119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20</v>
      </c>
      <c r="D120" t="s">
        <v>71</v>
      </c>
      <c r="E120" t="s">
        <v>77</v>
      </c>
      <c r="F120" t="s">
        <v>73</v>
      </c>
      <c r="G120">
        <v>5.2277456821760202</v>
      </c>
      <c r="H120">
        <v>2E+20</v>
      </c>
      <c r="I120">
        <v>4.6745993175121896</v>
      </c>
      <c r="J120">
        <v>6.0052853931861803</v>
      </c>
      <c r="K120">
        <v>42</v>
      </c>
      <c r="L120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5.2592876630189664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5.1503583657054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5.4129072038716304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4.2407242950458501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6.6447887759692303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0" s="5">
        <f>IF((DiscreteStatsTable[[#This Row],[RepsRequested]]&gt;1),DiscreteStatsTable[[#This Row],[HalfWidth]],DiscreteStatsTable[[#This Row],[BatchMeansHalfWidth]])</f>
        <v>2.4239709944021991E-2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20</v>
      </c>
      <c r="D121" t="s">
        <v>71</v>
      </c>
      <c r="E121" t="s">
        <v>78</v>
      </c>
      <c r="F121" t="s">
        <v>73</v>
      </c>
      <c r="G121">
        <v>4.8158563456958499</v>
      </c>
      <c r="H121">
        <v>2E+20</v>
      </c>
      <c r="I121">
        <v>1.7416267740578899</v>
      </c>
      <c r="J121">
        <v>11.8492864033558</v>
      </c>
      <c r="K121">
        <v>42</v>
      </c>
      <c r="L121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4.3948990987917362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1.0338793267692701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2.3996249564013099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7.0027213080203197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1.6212297132984801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25.258727602665498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1" s="5">
        <f>IF((DiscreteStatsTable[[#This Row],[RepsRequested]]&gt;1),DiscreteStatsTable[[#This Row],[HalfWidth]],DiscreteStatsTable[[#This Row],[BatchMeansHalfWidth]])</f>
        <v>0.38605688528297838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21</v>
      </c>
      <c r="D122" t="s">
        <v>71</v>
      </c>
      <c r="E122" t="s">
        <v>72</v>
      </c>
      <c r="F122" t="s">
        <v>73</v>
      </c>
      <c r="G122">
        <v>0</v>
      </c>
      <c r="H122">
        <v>2E+20</v>
      </c>
      <c r="I122">
        <v>0</v>
      </c>
      <c r="J122">
        <v>0</v>
      </c>
      <c r="K122">
        <v>49</v>
      </c>
      <c r="L122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21</v>
      </c>
      <c r="D123" t="s">
        <v>71</v>
      </c>
      <c r="E123" t="s">
        <v>74</v>
      </c>
      <c r="F123" t="s">
        <v>73</v>
      </c>
      <c r="G123">
        <v>0</v>
      </c>
      <c r="H123">
        <v>2E+20</v>
      </c>
      <c r="I123">
        <v>0</v>
      </c>
      <c r="J123">
        <v>0</v>
      </c>
      <c r="K123">
        <v>49</v>
      </c>
      <c r="L123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21</v>
      </c>
      <c r="D124" t="s">
        <v>71</v>
      </c>
      <c r="E124" t="s">
        <v>75</v>
      </c>
      <c r="F124" t="s">
        <v>73</v>
      </c>
      <c r="G124">
        <v>5.8677766038104604</v>
      </c>
      <c r="H124">
        <v>2E+20</v>
      </c>
      <c r="I124">
        <v>3.9257274289025199</v>
      </c>
      <c r="J124">
        <v>8.9947946623618495</v>
      </c>
      <c r="K124">
        <v>49</v>
      </c>
      <c r="L124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5.6791002251848095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4.5414842685188104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7.0605631014237096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3.6737230936318102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17.694691938395401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4" s="5">
        <f>IF((DiscreteStatsTable[[#This Row],[RepsRequested]]&gt;1),DiscreteStatsTable[[#This Row],[HalfWidth]],DiscreteStatsTable[[#This Row],[BatchMeansHalfWidth]])</f>
        <v>0.21043887871942071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21</v>
      </c>
      <c r="D125" t="s">
        <v>71</v>
      </c>
      <c r="E125" t="s">
        <v>76</v>
      </c>
      <c r="F125" t="s">
        <v>73</v>
      </c>
      <c r="G125">
        <v>0</v>
      </c>
      <c r="H125">
        <v>2E+20</v>
      </c>
      <c r="I125">
        <v>0</v>
      </c>
      <c r="J125">
        <v>0</v>
      </c>
      <c r="K125">
        <v>49</v>
      </c>
      <c r="L125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21</v>
      </c>
      <c r="D126" t="s">
        <v>71</v>
      </c>
      <c r="E126" t="s">
        <v>77</v>
      </c>
      <c r="F126" t="s">
        <v>73</v>
      </c>
      <c r="G126">
        <v>5.1660112965793896</v>
      </c>
      <c r="H126">
        <v>2E+20</v>
      </c>
      <c r="I126">
        <v>4.4274332628206396</v>
      </c>
      <c r="J126">
        <v>5.9304673241945496</v>
      </c>
      <c r="K126">
        <v>49</v>
      </c>
      <c r="L126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5.2592876630189664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5.1503583657054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5.4129072038716304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4.2407242950458501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6.6447887759692303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6" s="5">
        <f>IF((DiscreteStatsTable[[#This Row],[RepsRequested]]&gt;1),DiscreteStatsTable[[#This Row],[HalfWidth]],DiscreteStatsTable[[#This Row],[BatchMeansHalfWidth]])</f>
        <v>2.4239709944021991E-2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21</v>
      </c>
      <c r="D127" t="s">
        <v>71</v>
      </c>
      <c r="E127" t="s">
        <v>78</v>
      </c>
      <c r="F127" t="s">
        <v>73</v>
      </c>
      <c r="G127">
        <v>4.9189902836154502</v>
      </c>
      <c r="H127">
        <v>2E+20</v>
      </c>
      <c r="I127">
        <v>1.7637359555122001</v>
      </c>
      <c r="J127">
        <v>11.4865362355056</v>
      </c>
      <c r="K127">
        <v>49</v>
      </c>
      <c r="L127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4.3948990987917362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1.0338793267692701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2.3996249564013099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7.0027213080203197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1.6212297132984801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25.258727602665498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7" s="5">
        <f>IF((DiscreteStatsTable[[#This Row],[RepsRequested]]&gt;1),DiscreteStatsTable[[#This Row],[HalfWidth]],DiscreteStatsTable[[#This Row],[BatchMeansHalfWidth]])</f>
        <v>0.38605688528297838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22</v>
      </c>
      <c r="D128" t="s">
        <v>71</v>
      </c>
      <c r="E128" t="s">
        <v>72</v>
      </c>
      <c r="F128" t="s">
        <v>73</v>
      </c>
      <c r="G128">
        <v>0</v>
      </c>
      <c r="H128">
        <v>2E+20</v>
      </c>
      <c r="I128">
        <v>0</v>
      </c>
      <c r="J128">
        <v>0</v>
      </c>
      <c r="K128">
        <v>34</v>
      </c>
      <c r="L128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22</v>
      </c>
      <c r="D129" t="s">
        <v>71</v>
      </c>
      <c r="E129" t="s">
        <v>74</v>
      </c>
      <c r="F129" t="s">
        <v>73</v>
      </c>
      <c r="G129">
        <v>0</v>
      </c>
      <c r="H129">
        <v>2E+20</v>
      </c>
      <c r="I129">
        <v>0</v>
      </c>
      <c r="J129">
        <v>0</v>
      </c>
      <c r="K129">
        <v>34</v>
      </c>
      <c r="L129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22</v>
      </c>
      <c r="D130" t="s">
        <v>71</v>
      </c>
      <c r="E130" t="s">
        <v>75</v>
      </c>
      <c r="F130" t="s">
        <v>73</v>
      </c>
      <c r="G130">
        <v>5.3585831308550196</v>
      </c>
      <c r="H130">
        <v>2E+20</v>
      </c>
      <c r="I130">
        <v>3.8998443838482202</v>
      </c>
      <c r="J130">
        <v>10.208446951671201</v>
      </c>
      <c r="K130">
        <v>34</v>
      </c>
      <c r="L130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5.6791002251848095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4.5414842685188104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7.0605631014237096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3.6737230936318102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17.694691938395401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0" s="5">
        <f>IF((DiscreteStatsTable[[#This Row],[RepsRequested]]&gt;1),DiscreteStatsTable[[#This Row],[HalfWidth]],DiscreteStatsTable[[#This Row],[BatchMeansHalfWidth]])</f>
        <v>0.21043887871942071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22</v>
      </c>
      <c r="D131" t="s">
        <v>71</v>
      </c>
      <c r="E131" t="s">
        <v>76</v>
      </c>
      <c r="F131" t="s">
        <v>73</v>
      </c>
      <c r="G131">
        <v>0</v>
      </c>
      <c r="H131">
        <v>2E+20</v>
      </c>
      <c r="I131">
        <v>0</v>
      </c>
      <c r="J131">
        <v>0</v>
      </c>
      <c r="K131">
        <v>34</v>
      </c>
      <c r="L131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22</v>
      </c>
      <c r="D132" t="s">
        <v>71</v>
      </c>
      <c r="E132" t="s">
        <v>77</v>
      </c>
      <c r="F132" t="s">
        <v>73</v>
      </c>
      <c r="G132">
        <v>5.3604543978300896</v>
      </c>
      <c r="H132">
        <v>2E+20</v>
      </c>
      <c r="I132">
        <v>4.5197327616110403</v>
      </c>
      <c r="J132">
        <v>6.1943250255745896</v>
      </c>
      <c r="K132">
        <v>34</v>
      </c>
      <c r="L132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5.2592876630189664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5.1503583657054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5.4129072038716304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4.2407242950458501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6.6447887759692303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2" s="5">
        <f>IF((DiscreteStatsTable[[#This Row],[RepsRequested]]&gt;1),DiscreteStatsTable[[#This Row],[HalfWidth]],DiscreteStatsTable[[#This Row],[BatchMeansHalfWidth]])</f>
        <v>2.4239709944021991E-2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22</v>
      </c>
      <c r="D133" t="s">
        <v>71</v>
      </c>
      <c r="E133" t="s">
        <v>78</v>
      </c>
      <c r="F133" t="s">
        <v>73</v>
      </c>
      <c r="G133">
        <v>3.6158128682612101</v>
      </c>
      <c r="H133">
        <v>2E+20</v>
      </c>
      <c r="I133">
        <v>1.6753786752398101</v>
      </c>
      <c r="J133">
        <v>11.8464263407961</v>
      </c>
      <c r="K133">
        <v>34</v>
      </c>
      <c r="L133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4.3948990987917362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1.0338793267692701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2.3996249564013099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7.0027213080203197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1.6212297132984801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25.258727602665498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3" s="5">
        <f>IF((DiscreteStatsTable[[#This Row],[RepsRequested]]&gt;1),DiscreteStatsTable[[#This Row],[HalfWidth]],DiscreteStatsTable[[#This Row],[BatchMeansHalfWidth]])</f>
        <v>0.38605688528297838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23</v>
      </c>
      <c r="D134" t="s">
        <v>71</v>
      </c>
      <c r="E134" t="s">
        <v>72</v>
      </c>
      <c r="F134" t="s">
        <v>73</v>
      </c>
      <c r="G134">
        <v>0</v>
      </c>
      <c r="H134">
        <v>2E+20</v>
      </c>
      <c r="I134">
        <v>0</v>
      </c>
      <c r="J134">
        <v>0</v>
      </c>
      <c r="K134">
        <v>40</v>
      </c>
      <c r="L134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23</v>
      </c>
      <c r="D135" t="s">
        <v>71</v>
      </c>
      <c r="E135" t="s">
        <v>74</v>
      </c>
      <c r="F135" t="s">
        <v>73</v>
      </c>
      <c r="G135">
        <v>0</v>
      </c>
      <c r="H135">
        <v>2E+20</v>
      </c>
      <c r="I135">
        <v>0</v>
      </c>
      <c r="J135">
        <v>0</v>
      </c>
      <c r="K135">
        <v>40</v>
      </c>
      <c r="L135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23</v>
      </c>
      <c r="D136" t="s">
        <v>71</v>
      </c>
      <c r="E136" t="s">
        <v>75</v>
      </c>
      <c r="F136" t="s">
        <v>73</v>
      </c>
      <c r="G136">
        <v>5.5750073009557299</v>
      </c>
      <c r="H136">
        <v>2E+20</v>
      </c>
      <c r="I136">
        <v>3.9343613497721499</v>
      </c>
      <c r="J136">
        <v>14.7043954945631</v>
      </c>
      <c r="K136">
        <v>40</v>
      </c>
      <c r="L136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5.6791002251848095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4.5414842685188104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7.0605631014237096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3.6737230936318102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17.694691938395401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6" s="5">
        <f>IF((DiscreteStatsTable[[#This Row],[RepsRequested]]&gt;1),DiscreteStatsTable[[#This Row],[HalfWidth]],DiscreteStatsTable[[#This Row],[BatchMeansHalfWidth]])</f>
        <v>0.21043887871942071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23</v>
      </c>
      <c r="D137" t="s">
        <v>71</v>
      </c>
      <c r="E137" t="s">
        <v>76</v>
      </c>
      <c r="F137" t="s">
        <v>73</v>
      </c>
      <c r="G137">
        <v>0</v>
      </c>
      <c r="H137">
        <v>2E+20</v>
      </c>
      <c r="I137">
        <v>0</v>
      </c>
      <c r="J137">
        <v>0</v>
      </c>
      <c r="K137">
        <v>40</v>
      </c>
      <c r="L137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23</v>
      </c>
      <c r="D138" t="s">
        <v>71</v>
      </c>
      <c r="E138" t="s">
        <v>77</v>
      </c>
      <c r="F138" t="s">
        <v>73</v>
      </c>
      <c r="G138">
        <v>5.2657366373391303</v>
      </c>
      <c r="H138">
        <v>2E+20</v>
      </c>
      <c r="I138">
        <v>4.5332887494852399</v>
      </c>
      <c r="J138">
        <v>5.8968799094369597</v>
      </c>
      <c r="K138">
        <v>40</v>
      </c>
      <c r="L138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5.2592876630189664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5.1503583657054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5.4129072038716304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4.2407242950458501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6.6447887759692303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8" s="5">
        <f>IF((DiscreteStatsTable[[#This Row],[RepsRequested]]&gt;1),DiscreteStatsTable[[#This Row],[HalfWidth]],DiscreteStatsTable[[#This Row],[BatchMeansHalfWidth]])</f>
        <v>2.4239709944021991E-2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23</v>
      </c>
      <c r="D139" t="s">
        <v>71</v>
      </c>
      <c r="E139" t="s">
        <v>78</v>
      </c>
      <c r="F139" t="s">
        <v>73</v>
      </c>
      <c r="G139">
        <v>4.1963652488737404</v>
      </c>
      <c r="H139">
        <v>2E+20</v>
      </c>
      <c r="I139">
        <v>1.7064061569334501</v>
      </c>
      <c r="J139">
        <v>19.770060554509801</v>
      </c>
      <c r="K139">
        <v>40</v>
      </c>
      <c r="L139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4.3948990987917362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1.0338793267692701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2.3996249564013099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7.0027213080203197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1.6212297132984801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25.258727602665498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39" s="5">
        <f>IF((DiscreteStatsTable[[#This Row],[RepsRequested]]&gt;1),DiscreteStatsTable[[#This Row],[HalfWidth]],DiscreteStatsTable[[#This Row],[BatchMeansHalfWidth]])</f>
        <v>0.38605688528297838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24</v>
      </c>
      <c r="D140" t="s">
        <v>71</v>
      </c>
      <c r="E140" t="s">
        <v>72</v>
      </c>
      <c r="F140" t="s">
        <v>73</v>
      </c>
      <c r="G140">
        <v>0</v>
      </c>
      <c r="H140">
        <v>2E+20</v>
      </c>
      <c r="I140">
        <v>0</v>
      </c>
      <c r="J140">
        <v>0</v>
      </c>
      <c r="K140">
        <v>39</v>
      </c>
      <c r="L140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24</v>
      </c>
      <c r="D141" t="s">
        <v>71</v>
      </c>
      <c r="E141" t="s">
        <v>74</v>
      </c>
      <c r="F141" t="s">
        <v>73</v>
      </c>
      <c r="G141">
        <v>0</v>
      </c>
      <c r="H141">
        <v>2E+20</v>
      </c>
      <c r="I141">
        <v>0</v>
      </c>
      <c r="J141">
        <v>0</v>
      </c>
      <c r="K141">
        <v>39</v>
      </c>
      <c r="L141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24</v>
      </c>
      <c r="D142" t="s">
        <v>71</v>
      </c>
      <c r="E142" t="s">
        <v>75</v>
      </c>
      <c r="F142" t="s">
        <v>73</v>
      </c>
      <c r="G142">
        <v>5.2485468905854002</v>
      </c>
      <c r="H142">
        <v>2E+20</v>
      </c>
      <c r="I142">
        <v>4.0997643602738902</v>
      </c>
      <c r="J142">
        <v>8.0193183830500594</v>
      </c>
      <c r="K142">
        <v>39</v>
      </c>
      <c r="L142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5.6791002251848095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4.5414842685188104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7.0605631014237096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3.6737230936318102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17.694691938395401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2" s="5">
        <f>IF((DiscreteStatsTable[[#This Row],[RepsRequested]]&gt;1),DiscreteStatsTable[[#This Row],[HalfWidth]],DiscreteStatsTable[[#This Row],[BatchMeansHalfWidth]])</f>
        <v>0.21043887871942071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24</v>
      </c>
      <c r="D143" t="s">
        <v>71</v>
      </c>
      <c r="E143" t="s">
        <v>76</v>
      </c>
      <c r="F143" t="s">
        <v>73</v>
      </c>
      <c r="G143">
        <v>0</v>
      </c>
      <c r="H143">
        <v>2E+20</v>
      </c>
      <c r="I143">
        <v>0</v>
      </c>
      <c r="J143">
        <v>0</v>
      </c>
      <c r="K143">
        <v>39</v>
      </c>
      <c r="L143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24</v>
      </c>
      <c r="D144" t="s">
        <v>71</v>
      </c>
      <c r="E144" t="s">
        <v>77</v>
      </c>
      <c r="F144" t="s">
        <v>73</v>
      </c>
      <c r="G144">
        <v>5.4129072038716304</v>
      </c>
      <c r="H144">
        <v>2E+20</v>
      </c>
      <c r="I144">
        <v>4.6682282584665904</v>
      </c>
      <c r="J144">
        <v>6.6447887759692303</v>
      </c>
      <c r="K144">
        <v>39</v>
      </c>
      <c r="L144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5.2592876630189664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5.1503583657054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5.4129072038716304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4.2407242950458501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6.6447887759692303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4" s="5">
        <f>IF((DiscreteStatsTable[[#This Row],[RepsRequested]]&gt;1),DiscreteStatsTable[[#This Row],[HalfWidth]],DiscreteStatsTable[[#This Row],[BatchMeansHalfWidth]])</f>
        <v>2.4239709944021991E-2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24</v>
      </c>
      <c r="D145" t="s">
        <v>71</v>
      </c>
      <c r="E145" t="s">
        <v>78</v>
      </c>
      <c r="F145" t="s">
        <v>73</v>
      </c>
      <c r="G145">
        <v>3.4015610252598298</v>
      </c>
      <c r="H145">
        <v>2E+20</v>
      </c>
      <c r="I145">
        <v>1.8378696284562701</v>
      </c>
      <c r="J145">
        <v>8.1567568814366194</v>
      </c>
      <c r="K145">
        <v>39</v>
      </c>
      <c r="L145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4.3948990987917362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1.0338793267692701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2.3996249564013099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7.0027213080203197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1.6212297132984801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25.258727602665498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5" s="5">
        <f>IF((DiscreteStatsTable[[#This Row],[RepsRequested]]&gt;1),DiscreteStatsTable[[#This Row],[HalfWidth]],DiscreteStatsTable[[#This Row],[BatchMeansHalfWidth]])</f>
        <v>0.38605688528297838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25</v>
      </c>
      <c r="D146" t="s">
        <v>71</v>
      </c>
      <c r="E146" t="s">
        <v>72</v>
      </c>
      <c r="F146" t="s">
        <v>73</v>
      </c>
      <c r="G146">
        <v>0</v>
      </c>
      <c r="H146">
        <v>2E+20</v>
      </c>
      <c r="I146">
        <v>0</v>
      </c>
      <c r="J146">
        <v>0</v>
      </c>
      <c r="K146">
        <v>35</v>
      </c>
      <c r="L146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25</v>
      </c>
      <c r="D147" t="s">
        <v>71</v>
      </c>
      <c r="E147" t="s">
        <v>74</v>
      </c>
      <c r="F147" t="s">
        <v>73</v>
      </c>
      <c r="G147">
        <v>0</v>
      </c>
      <c r="H147">
        <v>2E+20</v>
      </c>
      <c r="I147">
        <v>0</v>
      </c>
      <c r="J147">
        <v>0</v>
      </c>
      <c r="K147">
        <v>35</v>
      </c>
      <c r="L147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25</v>
      </c>
      <c r="D148" t="s">
        <v>71</v>
      </c>
      <c r="E148" t="s">
        <v>75</v>
      </c>
      <c r="F148" t="s">
        <v>73</v>
      </c>
      <c r="G148">
        <v>5.8991462347782901</v>
      </c>
      <c r="H148">
        <v>2E+20</v>
      </c>
      <c r="I148">
        <v>4.14619432782745</v>
      </c>
      <c r="J148">
        <v>11.804276302883901</v>
      </c>
      <c r="K148">
        <v>35</v>
      </c>
      <c r="L148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5.6791002251848095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4.5414842685188104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7.0605631014237096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3.6737230936318102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17.694691938395401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8" s="5">
        <f>IF((DiscreteStatsTable[[#This Row],[RepsRequested]]&gt;1),DiscreteStatsTable[[#This Row],[HalfWidth]],DiscreteStatsTable[[#This Row],[BatchMeansHalfWidth]])</f>
        <v>0.21043887871942071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25</v>
      </c>
      <c r="D149" t="s">
        <v>71</v>
      </c>
      <c r="E149" t="s">
        <v>76</v>
      </c>
      <c r="F149" t="s">
        <v>73</v>
      </c>
      <c r="G149">
        <v>0</v>
      </c>
      <c r="H149">
        <v>2E+20</v>
      </c>
      <c r="I149">
        <v>0</v>
      </c>
      <c r="J149">
        <v>0</v>
      </c>
      <c r="K149">
        <v>35</v>
      </c>
      <c r="L149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25</v>
      </c>
      <c r="D150" t="s">
        <v>71</v>
      </c>
      <c r="E150" t="s">
        <v>77</v>
      </c>
      <c r="F150" t="s">
        <v>73</v>
      </c>
      <c r="G150">
        <v>5.2016367625786604</v>
      </c>
      <c r="H150">
        <v>2E+20</v>
      </c>
      <c r="I150">
        <v>4.5876688078828902</v>
      </c>
      <c r="J150">
        <v>5.78126324029191</v>
      </c>
      <c r="K150">
        <v>35</v>
      </c>
      <c r="L150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5.2592876630189664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5.1503583657054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5.4129072038716304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4.2407242950458501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6.6447887759692303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0" s="5">
        <f>IF((DiscreteStatsTable[[#This Row],[RepsRequested]]&gt;1),DiscreteStatsTable[[#This Row],[HalfWidth]],DiscreteStatsTable[[#This Row],[BatchMeansHalfWidth]])</f>
        <v>2.4239709944021991E-2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25</v>
      </c>
      <c r="D151" t="s">
        <v>71</v>
      </c>
      <c r="E151" t="s">
        <v>78</v>
      </c>
      <c r="F151" t="s">
        <v>73</v>
      </c>
      <c r="G151">
        <v>4.9352134044706597</v>
      </c>
      <c r="H151">
        <v>2E+20</v>
      </c>
      <c r="I151">
        <v>1.8355156954780201</v>
      </c>
      <c r="J151">
        <v>15.4935973867098</v>
      </c>
      <c r="K151">
        <v>35</v>
      </c>
      <c r="L151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4.3948990987917362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1.0338793267692701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2.3996249564013099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7.0027213080203197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1.6212297132984801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25.258727602665498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1" s="5">
        <f>IF((DiscreteStatsTable[[#This Row],[RepsRequested]]&gt;1),DiscreteStatsTable[[#This Row],[HalfWidth]],DiscreteStatsTable[[#This Row],[BatchMeansHalfWidth]])</f>
        <v>0.38605688528297838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26</v>
      </c>
      <c r="D152" t="s">
        <v>71</v>
      </c>
      <c r="E152" t="s">
        <v>72</v>
      </c>
      <c r="F152" t="s">
        <v>73</v>
      </c>
      <c r="G152">
        <v>0</v>
      </c>
      <c r="H152">
        <v>2E+20</v>
      </c>
      <c r="I152">
        <v>0</v>
      </c>
      <c r="J152">
        <v>0</v>
      </c>
      <c r="K152">
        <v>45</v>
      </c>
      <c r="L152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26</v>
      </c>
      <c r="D153" t="s">
        <v>71</v>
      </c>
      <c r="E153" t="s">
        <v>74</v>
      </c>
      <c r="F153" t="s">
        <v>73</v>
      </c>
      <c r="G153">
        <v>0</v>
      </c>
      <c r="H153">
        <v>2E+20</v>
      </c>
      <c r="I153">
        <v>0</v>
      </c>
      <c r="J153">
        <v>0</v>
      </c>
      <c r="K153">
        <v>45</v>
      </c>
      <c r="L153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26</v>
      </c>
      <c r="D154" t="s">
        <v>71</v>
      </c>
      <c r="E154" t="s">
        <v>75</v>
      </c>
      <c r="F154" t="s">
        <v>73</v>
      </c>
      <c r="G154">
        <v>6.5350297212214699</v>
      </c>
      <c r="H154">
        <v>2E+20</v>
      </c>
      <c r="I154">
        <v>3.8378643227556402</v>
      </c>
      <c r="J154">
        <v>11.7990397483852</v>
      </c>
      <c r="K154">
        <v>45</v>
      </c>
      <c r="L154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5.6791002251848095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4.5414842685188104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7.0605631014237096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3.6737230936318102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17.694691938395401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4" s="5">
        <f>IF((DiscreteStatsTable[[#This Row],[RepsRequested]]&gt;1),DiscreteStatsTable[[#This Row],[HalfWidth]],DiscreteStatsTable[[#This Row],[BatchMeansHalfWidth]])</f>
        <v>0.21043887871942071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26</v>
      </c>
      <c r="D155" t="s">
        <v>71</v>
      </c>
      <c r="E155" t="s">
        <v>76</v>
      </c>
      <c r="F155" t="s">
        <v>73</v>
      </c>
      <c r="G155">
        <v>0</v>
      </c>
      <c r="H155">
        <v>2E+20</v>
      </c>
      <c r="I155">
        <v>0</v>
      </c>
      <c r="J155">
        <v>0</v>
      </c>
      <c r="K155">
        <v>45</v>
      </c>
      <c r="L155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26</v>
      </c>
      <c r="D156" t="s">
        <v>71</v>
      </c>
      <c r="E156" t="s">
        <v>77</v>
      </c>
      <c r="F156" t="s">
        <v>73</v>
      </c>
      <c r="G156">
        <v>5.3417022337919704</v>
      </c>
      <c r="H156">
        <v>2E+20</v>
      </c>
      <c r="I156">
        <v>4.3829359183615404</v>
      </c>
      <c r="J156">
        <v>6.1177334432963697</v>
      </c>
      <c r="K156">
        <v>45</v>
      </c>
      <c r="L156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5.2592876630189664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5.1503583657054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5.4129072038716304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4.2407242950458501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6.6447887759692303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6" s="5">
        <f>IF((DiscreteStatsTable[[#This Row],[RepsRequested]]&gt;1),DiscreteStatsTable[[#This Row],[HalfWidth]],DiscreteStatsTable[[#This Row],[BatchMeansHalfWidth]])</f>
        <v>2.4239709944021991E-2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26</v>
      </c>
      <c r="D157" t="s">
        <v>71</v>
      </c>
      <c r="E157" t="s">
        <v>78</v>
      </c>
      <c r="F157" t="s">
        <v>73</v>
      </c>
      <c r="G157">
        <v>5.8252948259884603</v>
      </c>
      <c r="H157">
        <v>2E+20</v>
      </c>
      <c r="I157">
        <v>1.76047239010736</v>
      </c>
      <c r="J157">
        <v>15.3038414361852</v>
      </c>
      <c r="K157">
        <v>45</v>
      </c>
      <c r="L157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4.3948990987917362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1.0338793267692701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2.3996249564013099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7.0027213080203197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1.6212297132984801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25.258727602665498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7" s="5">
        <f>IF((DiscreteStatsTable[[#This Row],[RepsRequested]]&gt;1),DiscreteStatsTable[[#This Row],[HalfWidth]],DiscreteStatsTable[[#This Row],[BatchMeansHalfWidth]])</f>
        <v>0.38605688528297838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27</v>
      </c>
      <c r="D158" t="s">
        <v>71</v>
      </c>
      <c r="E158" t="s">
        <v>72</v>
      </c>
      <c r="F158" t="s">
        <v>73</v>
      </c>
      <c r="G158">
        <v>0</v>
      </c>
      <c r="H158">
        <v>2E+20</v>
      </c>
      <c r="I158">
        <v>0</v>
      </c>
      <c r="J158">
        <v>0</v>
      </c>
      <c r="K158">
        <v>43</v>
      </c>
      <c r="L158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27</v>
      </c>
      <c r="D159" t="s">
        <v>71</v>
      </c>
      <c r="E159" t="s">
        <v>74</v>
      </c>
      <c r="F159" t="s">
        <v>73</v>
      </c>
      <c r="G159">
        <v>0</v>
      </c>
      <c r="H159">
        <v>2E+20</v>
      </c>
      <c r="I159">
        <v>0</v>
      </c>
      <c r="J159">
        <v>0</v>
      </c>
      <c r="K159">
        <v>43</v>
      </c>
      <c r="L159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27</v>
      </c>
      <c r="D160" t="s">
        <v>71</v>
      </c>
      <c r="E160" t="s">
        <v>75</v>
      </c>
      <c r="F160" t="s">
        <v>73</v>
      </c>
      <c r="G160">
        <v>6.0860339742083296</v>
      </c>
      <c r="H160">
        <v>2E+20</v>
      </c>
      <c r="I160">
        <v>3.9947345185198602</v>
      </c>
      <c r="J160">
        <v>15.254931763080601</v>
      </c>
      <c r="K160">
        <v>43</v>
      </c>
      <c r="L160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5.6791002251848095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4.5414842685188104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7.0605631014237096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3.6737230936318102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17.694691938395401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0" s="5">
        <f>IF((DiscreteStatsTable[[#This Row],[RepsRequested]]&gt;1),DiscreteStatsTable[[#This Row],[HalfWidth]],DiscreteStatsTable[[#This Row],[BatchMeansHalfWidth]])</f>
        <v>0.21043887871942071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27</v>
      </c>
      <c r="D161" t="s">
        <v>71</v>
      </c>
      <c r="E161" t="s">
        <v>76</v>
      </c>
      <c r="F161" t="s">
        <v>73</v>
      </c>
      <c r="G161">
        <v>0</v>
      </c>
      <c r="H161">
        <v>2E+20</v>
      </c>
      <c r="I161">
        <v>0</v>
      </c>
      <c r="J161">
        <v>0</v>
      </c>
      <c r="K161">
        <v>43</v>
      </c>
      <c r="L161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27</v>
      </c>
      <c r="D162" t="s">
        <v>71</v>
      </c>
      <c r="E162" t="s">
        <v>77</v>
      </c>
      <c r="F162" t="s">
        <v>73</v>
      </c>
      <c r="G162">
        <v>5.2782771941857103</v>
      </c>
      <c r="H162">
        <v>2E+20</v>
      </c>
      <c r="I162">
        <v>4.6138056338330102</v>
      </c>
      <c r="J162">
        <v>5.8971848436178496</v>
      </c>
      <c r="K162">
        <v>43</v>
      </c>
      <c r="L162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5.2592876630189664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5.1503583657054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5.4129072038716304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4.2407242950458501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6.6447887759692303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2" s="5">
        <f>IF((DiscreteStatsTable[[#This Row],[RepsRequested]]&gt;1),DiscreteStatsTable[[#This Row],[HalfWidth]],DiscreteStatsTable[[#This Row],[BatchMeansHalfWidth]])</f>
        <v>2.4239709944021991E-2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27</v>
      </c>
      <c r="D163" t="s">
        <v>71</v>
      </c>
      <c r="E163" t="s">
        <v>78</v>
      </c>
      <c r="F163" t="s">
        <v>73</v>
      </c>
      <c r="G163">
        <v>5.0916873926626298</v>
      </c>
      <c r="H163">
        <v>2E+20</v>
      </c>
      <c r="I163">
        <v>1.6927575073677601</v>
      </c>
      <c r="J163">
        <v>20.791857327252998</v>
      </c>
      <c r="K163">
        <v>43</v>
      </c>
      <c r="L163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4.3948990987917362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1.0338793267692701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2.3996249564013099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7.0027213080203197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1.6212297132984801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25.258727602665498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3" s="5">
        <f>IF((DiscreteStatsTable[[#This Row],[RepsRequested]]&gt;1),DiscreteStatsTable[[#This Row],[HalfWidth]],DiscreteStatsTable[[#This Row],[BatchMeansHalfWidth]])</f>
        <v>0.38605688528297838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28</v>
      </c>
      <c r="D164" t="s">
        <v>71</v>
      </c>
      <c r="E164" t="s">
        <v>72</v>
      </c>
      <c r="F164" t="s">
        <v>73</v>
      </c>
      <c r="G164">
        <v>0</v>
      </c>
      <c r="H164">
        <v>2E+20</v>
      </c>
      <c r="I164">
        <v>0</v>
      </c>
      <c r="J164">
        <v>0</v>
      </c>
      <c r="K164">
        <v>39</v>
      </c>
      <c r="L164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28</v>
      </c>
      <c r="D165" t="s">
        <v>71</v>
      </c>
      <c r="E165" t="s">
        <v>74</v>
      </c>
      <c r="F165" t="s">
        <v>73</v>
      </c>
      <c r="G165">
        <v>0</v>
      </c>
      <c r="H165">
        <v>2E+20</v>
      </c>
      <c r="I165">
        <v>0</v>
      </c>
      <c r="J165">
        <v>0</v>
      </c>
      <c r="K165">
        <v>39</v>
      </c>
      <c r="L165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28</v>
      </c>
      <c r="D166" t="s">
        <v>71</v>
      </c>
      <c r="E166" t="s">
        <v>75</v>
      </c>
      <c r="F166" t="s">
        <v>73</v>
      </c>
      <c r="G166">
        <v>5.5366392103216198</v>
      </c>
      <c r="H166">
        <v>2E+20</v>
      </c>
      <c r="I166">
        <v>3.9470249147768799</v>
      </c>
      <c r="J166">
        <v>9.5178010041786791</v>
      </c>
      <c r="K166">
        <v>39</v>
      </c>
      <c r="L166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5.6791002251848095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4.5414842685188104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7.0605631014237096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3.6737230936318102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17.694691938395401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6" s="5">
        <f>IF((DiscreteStatsTable[[#This Row],[RepsRequested]]&gt;1),DiscreteStatsTable[[#This Row],[HalfWidth]],DiscreteStatsTable[[#This Row],[BatchMeansHalfWidth]])</f>
        <v>0.21043887871942071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28</v>
      </c>
      <c r="D167" t="s">
        <v>71</v>
      </c>
      <c r="E167" t="s">
        <v>76</v>
      </c>
      <c r="F167" t="s">
        <v>73</v>
      </c>
      <c r="G167">
        <v>0</v>
      </c>
      <c r="H167">
        <v>2E+20</v>
      </c>
      <c r="I167">
        <v>0</v>
      </c>
      <c r="J167">
        <v>0</v>
      </c>
      <c r="K167">
        <v>39</v>
      </c>
      <c r="L167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28</v>
      </c>
      <c r="D168" t="s">
        <v>71</v>
      </c>
      <c r="E168" t="s">
        <v>77</v>
      </c>
      <c r="F168" t="s">
        <v>73</v>
      </c>
      <c r="G168">
        <v>5.2417249579783496</v>
      </c>
      <c r="H168">
        <v>2E+20</v>
      </c>
      <c r="I168">
        <v>4.4269643655717097</v>
      </c>
      <c r="J168">
        <v>5.93066598370436</v>
      </c>
      <c r="K168">
        <v>39</v>
      </c>
      <c r="L168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5.2592876630189664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5.1503583657054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5.4129072038716304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4.2407242950458501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6.6447887759692303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8" s="5">
        <f>IF((DiscreteStatsTable[[#This Row],[RepsRequested]]&gt;1),DiscreteStatsTable[[#This Row],[HalfWidth]],DiscreteStatsTable[[#This Row],[BatchMeansHalfWidth]])</f>
        <v>2.4239709944021991E-2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28</v>
      </c>
      <c r="D169" t="s">
        <v>71</v>
      </c>
      <c r="E169" t="s">
        <v>78</v>
      </c>
      <c r="F169" t="s">
        <v>73</v>
      </c>
      <c r="G169">
        <v>4.17991470218365</v>
      </c>
      <c r="H169">
        <v>2E+20</v>
      </c>
      <c r="I169">
        <v>1.8367756224011</v>
      </c>
      <c r="J169">
        <v>11.507148677042901</v>
      </c>
      <c r="K169">
        <v>39</v>
      </c>
      <c r="L169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4.3948990987917362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1.0338793267692701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2.3996249564013099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7.0027213080203197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1.6212297132984801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25.258727602665498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69" s="5">
        <f>IF((DiscreteStatsTable[[#This Row],[RepsRequested]]&gt;1),DiscreteStatsTable[[#This Row],[HalfWidth]],DiscreteStatsTable[[#This Row],[BatchMeansHalfWidth]])</f>
        <v>0.38605688528297838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29</v>
      </c>
      <c r="D170" t="s">
        <v>71</v>
      </c>
      <c r="E170" t="s">
        <v>72</v>
      </c>
      <c r="F170" t="s">
        <v>73</v>
      </c>
      <c r="G170">
        <v>0</v>
      </c>
      <c r="H170">
        <v>2E+20</v>
      </c>
      <c r="I170">
        <v>0</v>
      </c>
      <c r="J170">
        <v>0</v>
      </c>
      <c r="K170">
        <v>47</v>
      </c>
      <c r="L170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29</v>
      </c>
      <c r="D171" t="s">
        <v>71</v>
      </c>
      <c r="E171" t="s">
        <v>74</v>
      </c>
      <c r="F171" t="s">
        <v>73</v>
      </c>
      <c r="G171">
        <v>0</v>
      </c>
      <c r="H171">
        <v>2E+20</v>
      </c>
      <c r="I171">
        <v>0</v>
      </c>
      <c r="J171">
        <v>0</v>
      </c>
      <c r="K171">
        <v>47</v>
      </c>
      <c r="L171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29</v>
      </c>
      <c r="D172" t="s">
        <v>71</v>
      </c>
      <c r="E172" t="s">
        <v>75</v>
      </c>
      <c r="F172" t="s">
        <v>73</v>
      </c>
      <c r="G172">
        <v>6.2439564787786397</v>
      </c>
      <c r="H172">
        <v>2E+20</v>
      </c>
      <c r="I172">
        <v>3.8142829116111399</v>
      </c>
      <c r="J172">
        <v>11.116060141194</v>
      </c>
      <c r="K172">
        <v>47</v>
      </c>
      <c r="L172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5.6791002251848095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4.5414842685188104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7.0605631014237096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3.6737230936318102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17.694691938395401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2" s="5">
        <f>IF((DiscreteStatsTable[[#This Row],[RepsRequested]]&gt;1),DiscreteStatsTable[[#This Row],[HalfWidth]],DiscreteStatsTable[[#This Row],[BatchMeansHalfWidth]])</f>
        <v>0.21043887871942071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29</v>
      </c>
      <c r="D173" t="s">
        <v>71</v>
      </c>
      <c r="E173" t="s">
        <v>76</v>
      </c>
      <c r="F173" t="s">
        <v>73</v>
      </c>
      <c r="G173">
        <v>0</v>
      </c>
      <c r="H173">
        <v>2E+20</v>
      </c>
      <c r="I173">
        <v>0</v>
      </c>
      <c r="J173">
        <v>0</v>
      </c>
      <c r="K173">
        <v>47</v>
      </c>
      <c r="L173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29</v>
      </c>
      <c r="D174" t="s">
        <v>71</v>
      </c>
      <c r="E174" t="s">
        <v>77</v>
      </c>
      <c r="F174" t="s">
        <v>73</v>
      </c>
      <c r="G174">
        <v>5.3118027310077798</v>
      </c>
      <c r="H174">
        <v>2E+20</v>
      </c>
      <c r="I174">
        <v>4.3339926022875197</v>
      </c>
      <c r="J174">
        <v>6.29680263180924</v>
      </c>
      <c r="K174">
        <v>47</v>
      </c>
      <c r="L174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5.2592876630189664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5.1503583657054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5.4129072038716304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4.2407242950458501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6.6447887759692303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4" s="5">
        <f>IF((DiscreteStatsTable[[#This Row],[RepsRequested]]&gt;1),DiscreteStatsTable[[#This Row],[HalfWidth]],DiscreteStatsTable[[#This Row],[BatchMeansHalfWidth]])</f>
        <v>2.4239709944021991E-2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29</v>
      </c>
      <c r="D175" t="s">
        <v>71</v>
      </c>
      <c r="E175" t="s">
        <v>78</v>
      </c>
      <c r="F175" t="s">
        <v>73</v>
      </c>
      <c r="G175">
        <v>5.4111335600622699</v>
      </c>
      <c r="H175">
        <v>2E+20</v>
      </c>
      <c r="I175">
        <v>1.84824120145424</v>
      </c>
      <c r="J175">
        <v>14.829413039137799</v>
      </c>
      <c r="K175">
        <v>47</v>
      </c>
      <c r="L175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4.3948990987917362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1.0338793267692701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2.3996249564013099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7.0027213080203197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1.6212297132984801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25.258727602665498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5" s="5">
        <f>IF((DiscreteStatsTable[[#This Row],[RepsRequested]]&gt;1),DiscreteStatsTable[[#This Row],[HalfWidth]],DiscreteStatsTable[[#This Row],[BatchMeansHalfWidth]])</f>
        <v>0.38605688528297838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30</v>
      </c>
      <c r="D176" t="s">
        <v>71</v>
      </c>
      <c r="E176" t="s">
        <v>72</v>
      </c>
      <c r="F176" t="s">
        <v>73</v>
      </c>
      <c r="G176">
        <v>0</v>
      </c>
      <c r="H176">
        <v>2E+20</v>
      </c>
      <c r="I176">
        <v>0</v>
      </c>
      <c r="J176">
        <v>0</v>
      </c>
      <c r="K176">
        <v>35</v>
      </c>
      <c r="L176" s="5" t="str">
        <f>DiscreteStatsTable[[#This Row],[ProjectName]]&amp;DiscreteStatsTable[[#This Row],[Name]]&amp;DiscreteStatsTable[[#This Row],[Type]]&amp;DiscreteStatsTable[[#This Row],[Source]]</f>
        <v>Pedido CleintesClientesNVA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30</v>
      </c>
      <c r="D177" t="s">
        <v>71</v>
      </c>
      <c r="E177" t="s">
        <v>74</v>
      </c>
      <c r="F177" t="s">
        <v>73</v>
      </c>
      <c r="G177">
        <v>0</v>
      </c>
      <c r="H177">
        <v>2E+20</v>
      </c>
      <c r="I177">
        <v>0</v>
      </c>
      <c r="J177">
        <v>0</v>
      </c>
      <c r="K177">
        <v>35</v>
      </c>
      <c r="L177" s="5" t="str">
        <f>DiscreteStatsTable[[#This Row],[ProjectName]]&amp;DiscreteStatsTable[[#This Row],[Name]]&amp;DiscreteStatsTable[[#This Row],[Type]]&amp;DiscreteStatsTable[[#This Row],[Source]]</f>
        <v>Pedido CleintesClientesOther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30</v>
      </c>
      <c r="D178" t="s">
        <v>71</v>
      </c>
      <c r="E178" t="s">
        <v>75</v>
      </c>
      <c r="F178" t="s">
        <v>73</v>
      </c>
      <c r="G178">
        <v>5.5956741739334301</v>
      </c>
      <c r="H178">
        <v>2E+20</v>
      </c>
      <c r="I178">
        <v>3.6737230936318102</v>
      </c>
      <c r="J178">
        <v>13.054040763509001</v>
      </c>
      <c r="K178">
        <v>35</v>
      </c>
      <c r="L178" s="5" t="str">
        <f>DiscreteStatsTable[[#This Row],[ProjectName]]&amp;DiscreteStatsTable[[#This Row],[Name]]&amp;DiscreteStatsTable[[#This Row],[Type]]&amp;DiscreteStatsTable[[#This Row],[Source]]</f>
        <v>Pedido CleintesClientesTotal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5.6791002251848095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4.5414842685188104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7.0605631014237096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3.6737230936318102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17.694691938395401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8" s="5">
        <f>IF((DiscreteStatsTable[[#This Row],[RepsRequested]]&gt;1),DiscreteStatsTable[[#This Row],[HalfWidth]],DiscreteStatsTable[[#This Row],[BatchMeansHalfWidth]])</f>
        <v>0.21043887871942071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30</v>
      </c>
      <c r="D179" t="s">
        <v>71</v>
      </c>
      <c r="E179" t="s">
        <v>76</v>
      </c>
      <c r="F179" t="s">
        <v>73</v>
      </c>
      <c r="G179">
        <v>0</v>
      </c>
      <c r="H179">
        <v>2E+20</v>
      </c>
      <c r="I179">
        <v>0</v>
      </c>
      <c r="J179">
        <v>0</v>
      </c>
      <c r="K179">
        <v>35</v>
      </c>
      <c r="L179" s="5" t="str">
        <f>DiscreteStatsTable[[#This Row],[ProjectName]]&amp;DiscreteStatsTable[[#This Row],[Name]]&amp;DiscreteStatsTable[[#This Row],[Type]]&amp;DiscreteStatsTable[[#This Row],[Source]]</f>
        <v>Pedido CleintesClientesTransfer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30</v>
      </c>
      <c r="D180" t="s">
        <v>71</v>
      </c>
      <c r="E180" t="s">
        <v>77</v>
      </c>
      <c r="F180" t="s">
        <v>73</v>
      </c>
      <c r="G180">
        <v>5.19751053344425</v>
      </c>
      <c r="H180">
        <v>2E+20</v>
      </c>
      <c r="I180">
        <v>4.5459492458485897</v>
      </c>
      <c r="J180">
        <v>6.1218085781186202</v>
      </c>
      <c r="K180">
        <v>35</v>
      </c>
      <c r="L180" s="5" t="str">
        <f>DiscreteStatsTable[[#This Row],[ProjectName]]&amp;DiscreteStatsTable[[#This Row],[Name]]&amp;DiscreteStatsTable[[#This Row],[Type]]&amp;DiscreteStatsTable[[#This Row],[Source]]</f>
        <v>Pedido CleintesClientesVA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5.2592876630189664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6.4915135446006245E-2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2.4239709944021991E-2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5.1503583657054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5.4129072038716304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4.2407242950458501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6.6447887759692303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0" s="5">
        <f>IF((DiscreteStatsTable[[#This Row],[RepsRequested]]&gt;1),DiscreteStatsTable[[#This Row],[HalfWidth]],DiscreteStatsTable[[#This Row],[BatchMeansHalfWidth]])</f>
        <v>2.4239709944021991E-2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30</v>
      </c>
      <c r="D181" t="s">
        <v>71</v>
      </c>
      <c r="E181" t="s">
        <v>78</v>
      </c>
      <c r="F181" t="s">
        <v>73</v>
      </c>
      <c r="G181">
        <v>4.2526845414954604</v>
      </c>
      <c r="H181">
        <v>2E+20</v>
      </c>
      <c r="I181">
        <v>1.6733230629022799</v>
      </c>
      <c r="J181">
        <v>16.910598253034799</v>
      </c>
      <c r="K181">
        <v>35</v>
      </c>
      <c r="L181" s="5" t="str">
        <f>DiscreteStatsTable[[#This Row],[ProjectName]]&amp;DiscreteStatsTable[[#This Row],[Name]]&amp;DiscreteStatsTable[[#This Row],[Type]]&amp;DiscreteStatsTable[[#This Row],[Source]]</f>
        <v>Pedido CleintesClientesWait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4.3948990987917362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1.0338793267692701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0.38605688528297838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2.3996249564013099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7.0027213080203197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1.6212297132984801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25.258727602665498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1" s="5">
        <f>IF((DiscreteStatsTable[[#This Row],[RepsRequested]]&gt;1),DiscreteStatsTable[[#This Row],[HalfWidth]],DiscreteStatsTable[[#This Row],[BatchMeansHalfWidth]])</f>
        <v>0.38605688528297838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1</v>
      </c>
      <c r="D182" t="s">
        <v>79</v>
      </c>
      <c r="E182" t="s">
        <v>80</v>
      </c>
      <c r="F182" t="s">
        <v>81</v>
      </c>
      <c r="G182">
        <v>0.53384451376685804</v>
      </c>
      <c r="H182">
        <v>2E+20</v>
      </c>
      <c r="I182">
        <v>0.22317135359688201</v>
      </c>
      <c r="J182">
        <v>1.17308225990853</v>
      </c>
      <c r="K182">
        <v>24</v>
      </c>
      <c r="L182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0.51062204735369909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0.45048365558606801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0.579636180667775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0.15858779300546599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1.42475765411467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2" s="5">
        <f>IF((DiscreteStatsTable[[#This Row],[RepsRequested]]&gt;1),DiscreteStatsTable[[#This Row],[HalfWidth]],DiscreteStatsTable[[#This Row],[BatchMeansHalfWidth]])</f>
        <v>1.348890019315159E-2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1</v>
      </c>
      <c r="D183" t="s">
        <v>79</v>
      </c>
      <c r="E183" t="s">
        <v>82</v>
      </c>
      <c r="F183" t="s">
        <v>81</v>
      </c>
      <c r="G183">
        <v>0.53384451376685804</v>
      </c>
      <c r="H183">
        <v>2E+20</v>
      </c>
      <c r="I183">
        <v>0.22317135359688201</v>
      </c>
      <c r="J183">
        <v>1.17308225990853</v>
      </c>
      <c r="K183">
        <v>24</v>
      </c>
      <c r="L183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0.51062204735369909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0.45048365558606801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0.579636180667775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0.15858779300546599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1.42475765411467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3" s="5">
        <f>IF((DiscreteStatsTable[[#This Row],[RepsRequested]]&gt;1),DiscreteStatsTable[[#This Row],[HalfWidth]],DiscreteStatsTable[[#This Row],[BatchMeansHalfWidth]])</f>
        <v>1.348890019315159E-2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1</v>
      </c>
      <c r="D184" t="s">
        <v>79</v>
      </c>
      <c r="E184" t="s">
        <v>83</v>
      </c>
      <c r="F184" t="s">
        <v>81</v>
      </c>
      <c r="G184">
        <v>0</v>
      </c>
      <c r="H184">
        <v>2E+20</v>
      </c>
      <c r="I184">
        <v>0</v>
      </c>
      <c r="J184">
        <v>0</v>
      </c>
      <c r="K184">
        <v>24</v>
      </c>
      <c r="L184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2</v>
      </c>
      <c r="D185" t="s">
        <v>79</v>
      </c>
      <c r="E185" t="s">
        <v>80</v>
      </c>
      <c r="F185" t="s">
        <v>81</v>
      </c>
      <c r="G185">
        <v>0.50810891252276502</v>
      </c>
      <c r="H185">
        <v>2E+20</v>
      </c>
      <c r="I185">
        <v>0.25012866618268997</v>
      </c>
      <c r="J185">
        <v>0.92475838052879999</v>
      </c>
      <c r="K185">
        <v>41</v>
      </c>
      <c r="L185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0.51062204735369909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0.45048365558606801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0.579636180667775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0.15858779300546599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1.42475765411467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5" s="5">
        <f>IF((DiscreteStatsTable[[#This Row],[RepsRequested]]&gt;1),DiscreteStatsTable[[#This Row],[HalfWidth]],DiscreteStatsTable[[#This Row],[BatchMeansHalfWidth]])</f>
        <v>1.348890019315159E-2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2</v>
      </c>
      <c r="D186" t="s">
        <v>79</v>
      </c>
      <c r="E186" t="s">
        <v>82</v>
      </c>
      <c r="F186" t="s">
        <v>81</v>
      </c>
      <c r="G186">
        <v>0.50810891252276502</v>
      </c>
      <c r="H186">
        <v>2E+20</v>
      </c>
      <c r="I186">
        <v>0.25012866618268997</v>
      </c>
      <c r="J186">
        <v>0.92475838052879999</v>
      </c>
      <c r="K186">
        <v>41</v>
      </c>
      <c r="L186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0.51062204735369909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0.45048365558606801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0.579636180667775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0.15858779300546599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1.42475765411467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6" s="5">
        <f>IF((DiscreteStatsTable[[#This Row],[RepsRequested]]&gt;1),DiscreteStatsTable[[#This Row],[HalfWidth]],DiscreteStatsTable[[#This Row],[BatchMeansHalfWidth]])</f>
        <v>1.348890019315159E-2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2</v>
      </c>
      <c r="D187" t="s">
        <v>79</v>
      </c>
      <c r="E187" t="s">
        <v>83</v>
      </c>
      <c r="F187" t="s">
        <v>81</v>
      </c>
      <c r="G187">
        <v>0</v>
      </c>
      <c r="H187">
        <v>2E+20</v>
      </c>
      <c r="I187">
        <v>0</v>
      </c>
      <c r="J187">
        <v>0</v>
      </c>
      <c r="K187">
        <v>41</v>
      </c>
      <c r="L187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3</v>
      </c>
      <c r="D188" t="s">
        <v>79</v>
      </c>
      <c r="E188" t="s">
        <v>80</v>
      </c>
      <c r="F188" t="s">
        <v>81</v>
      </c>
      <c r="G188">
        <v>0.50470088634225196</v>
      </c>
      <c r="H188">
        <v>2E+20</v>
      </c>
      <c r="I188">
        <v>0.28848080303778501</v>
      </c>
      <c r="J188">
        <v>1.2894694141643901</v>
      </c>
      <c r="K188">
        <v>47</v>
      </c>
      <c r="L188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0.51062204735369909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0.45048365558606801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0.579636180667775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0.15858779300546599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1.42475765411467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8" s="5">
        <f>IF((DiscreteStatsTable[[#This Row],[RepsRequested]]&gt;1),DiscreteStatsTable[[#This Row],[HalfWidth]],DiscreteStatsTable[[#This Row],[BatchMeansHalfWidth]])</f>
        <v>1.348890019315159E-2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3</v>
      </c>
      <c r="D189" t="s">
        <v>79</v>
      </c>
      <c r="E189" t="s">
        <v>82</v>
      </c>
      <c r="F189" t="s">
        <v>81</v>
      </c>
      <c r="G189">
        <v>0.50470088634225196</v>
      </c>
      <c r="H189">
        <v>2E+20</v>
      </c>
      <c r="I189">
        <v>0.28848080303778501</v>
      </c>
      <c r="J189">
        <v>1.2894694141643901</v>
      </c>
      <c r="K189">
        <v>47</v>
      </c>
      <c r="L189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0.51062204735369909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0.45048365558606801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0.579636180667775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0.15858779300546599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1.42475765411467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89" s="5">
        <f>IF((DiscreteStatsTable[[#This Row],[RepsRequested]]&gt;1),DiscreteStatsTable[[#This Row],[HalfWidth]],DiscreteStatsTable[[#This Row],[BatchMeansHalfWidth]])</f>
        <v>1.348890019315159E-2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3</v>
      </c>
      <c r="D190" t="s">
        <v>79</v>
      </c>
      <c r="E190" t="s">
        <v>83</v>
      </c>
      <c r="F190" t="s">
        <v>81</v>
      </c>
      <c r="G190">
        <v>0</v>
      </c>
      <c r="H190">
        <v>2E+20</v>
      </c>
      <c r="I190">
        <v>0</v>
      </c>
      <c r="J190">
        <v>0</v>
      </c>
      <c r="K190">
        <v>47</v>
      </c>
      <c r="L190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4</v>
      </c>
      <c r="D191" t="s">
        <v>79</v>
      </c>
      <c r="E191" t="s">
        <v>80</v>
      </c>
      <c r="F191" t="s">
        <v>81</v>
      </c>
      <c r="G191">
        <v>0.51908342312318101</v>
      </c>
      <c r="H191">
        <v>2E+20</v>
      </c>
      <c r="I191">
        <v>0.15858779300546599</v>
      </c>
      <c r="J191">
        <v>0.98735649077681797</v>
      </c>
      <c r="K191">
        <v>33</v>
      </c>
      <c r="L191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0.51062204735369909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0.45048365558606801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0.579636180667775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0.15858779300546599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1.42475765411467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1" s="5">
        <f>IF((DiscreteStatsTable[[#This Row],[RepsRequested]]&gt;1),DiscreteStatsTable[[#This Row],[HalfWidth]],DiscreteStatsTable[[#This Row],[BatchMeansHalfWidth]])</f>
        <v>1.348890019315159E-2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4</v>
      </c>
      <c r="D192" t="s">
        <v>79</v>
      </c>
      <c r="E192" t="s">
        <v>82</v>
      </c>
      <c r="F192" t="s">
        <v>81</v>
      </c>
      <c r="G192">
        <v>0.51908342312318101</v>
      </c>
      <c r="H192">
        <v>2E+20</v>
      </c>
      <c r="I192">
        <v>0.15858779300546599</v>
      </c>
      <c r="J192">
        <v>0.98735649077681797</v>
      </c>
      <c r="K192">
        <v>33</v>
      </c>
      <c r="L192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0.51062204735369909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0.45048365558606801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0.579636180667775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0.15858779300546599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1.42475765411467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2" s="5">
        <f>IF((DiscreteStatsTable[[#This Row],[RepsRequested]]&gt;1),DiscreteStatsTable[[#This Row],[HalfWidth]],DiscreteStatsTable[[#This Row],[BatchMeansHalfWidth]])</f>
        <v>1.348890019315159E-2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4</v>
      </c>
      <c r="D193" t="s">
        <v>79</v>
      </c>
      <c r="E193" t="s">
        <v>83</v>
      </c>
      <c r="F193" t="s">
        <v>81</v>
      </c>
      <c r="G193">
        <v>0</v>
      </c>
      <c r="H193">
        <v>2E+20</v>
      </c>
      <c r="I193">
        <v>0</v>
      </c>
      <c r="J193">
        <v>0</v>
      </c>
      <c r="K193">
        <v>33</v>
      </c>
      <c r="L193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5</v>
      </c>
      <c r="D194" t="s">
        <v>79</v>
      </c>
      <c r="E194" t="s">
        <v>80</v>
      </c>
      <c r="F194" t="s">
        <v>81</v>
      </c>
      <c r="G194">
        <v>0.49678567466607298</v>
      </c>
      <c r="H194">
        <v>2E+20</v>
      </c>
      <c r="I194">
        <v>0.21460418662047701</v>
      </c>
      <c r="J194">
        <v>0.89149707193263295</v>
      </c>
      <c r="K194">
        <v>45</v>
      </c>
      <c r="L194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0.51062204735369909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0.45048365558606801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0.579636180667775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0.15858779300546599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1.42475765411467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4" s="5">
        <f>IF((DiscreteStatsTable[[#This Row],[RepsRequested]]&gt;1),DiscreteStatsTable[[#This Row],[HalfWidth]],DiscreteStatsTable[[#This Row],[BatchMeansHalfWidth]])</f>
        <v>1.348890019315159E-2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5</v>
      </c>
      <c r="D195" t="s">
        <v>79</v>
      </c>
      <c r="E195" t="s">
        <v>82</v>
      </c>
      <c r="F195" t="s">
        <v>81</v>
      </c>
      <c r="G195">
        <v>0.49678567466607298</v>
      </c>
      <c r="H195">
        <v>2E+20</v>
      </c>
      <c r="I195">
        <v>0.21460418662047701</v>
      </c>
      <c r="J195">
        <v>0.89149707193263295</v>
      </c>
      <c r="K195">
        <v>45</v>
      </c>
      <c r="L195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0.51062204735369909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0.45048365558606801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0.579636180667775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0.15858779300546599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1.42475765411467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5" s="5">
        <f>IF((DiscreteStatsTable[[#This Row],[RepsRequested]]&gt;1),DiscreteStatsTable[[#This Row],[HalfWidth]],DiscreteStatsTable[[#This Row],[BatchMeansHalfWidth]])</f>
        <v>1.348890019315159E-2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5</v>
      </c>
      <c r="D196" t="s">
        <v>79</v>
      </c>
      <c r="E196" t="s">
        <v>83</v>
      </c>
      <c r="F196" t="s">
        <v>81</v>
      </c>
      <c r="G196">
        <v>0</v>
      </c>
      <c r="H196">
        <v>2E+20</v>
      </c>
      <c r="I196">
        <v>0</v>
      </c>
      <c r="J196">
        <v>0</v>
      </c>
      <c r="K196">
        <v>45</v>
      </c>
      <c r="L196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6</v>
      </c>
      <c r="D197" t="s">
        <v>79</v>
      </c>
      <c r="E197" t="s">
        <v>80</v>
      </c>
      <c r="F197" t="s">
        <v>81</v>
      </c>
      <c r="G197">
        <v>0.52677648727448301</v>
      </c>
      <c r="H197">
        <v>2E+20</v>
      </c>
      <c r="I197">
        <v>0.222699451140699</v>
      </c>
      <c r="J197">
        <v>1.0743161800966401</v>
      </c>
      <c r="K197">
        <v>39</v>
      </c>
      <c r="L197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0.51062204735369909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0.45048365558606801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0.579636180667775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0.15858779300546599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1.42475765411467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7" s="5">
        <f>IF((DiscreteStatsTable[[#This Row],[RepsRequested]]&gt;1),DiscreteStatsTable[[#This Row],[HalfWidth]],DiscreteStatsTable[[#This Row],[BatchMeansHalfWidth]])</f>
        <v>1.348890019315159E-2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6</v>
      </c>
      <c r="D198" t="s">
        <v>79</v>
      </c>
      <c r="E198" t="s">
        <v>82</v>
      </c>
      <c r="F198" t="s">
        <v>81</v>
      </c>
      <c r="G198">
        <v>0.52677648727448301</v>
      </c>
      <c r="H198">
        <v>2E+20</v>
      </c>
      <c r="I198">
        <v>0.222699451140699</v>
      </c>
      <c r="J198">
        <v>1.0743161800966401</v>
      </c>
      <c r="K198">
        <v>39</v>
      </c>
      <c r="L198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0.51062204735369909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0.45048365558606801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0.579636180667775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0.15858779300546599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1.42475765411467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8" s="5">
        <f>IF((DiscreteStatsTable[[#This Row],[RepsRequested]]&gt;1),DiscreteStatsTable[[#This Row],[HalfWidth]],DiscreteStatsTable[[#This Row],[BatchMeansHalfWidth]])</f>
        <v>1.348890019315159E-2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6</v>
      </c>
      <c r="D199" t="s">
        <v>79</v>
      </c>
      <c r="E199" t="s">
        <v>83</v>
      </c>
      <c r="F199" t="s">
        <v>81</v>
      </c>
      <c r="G199">
        <v>0</v>
      </c>
      <c r="H199">
        <v>2E+20</v>
      </c>
      <c r="I199">
        <v>0</v>
      </c>
      <c r="J199">
        <v>0</v>
      </c>
      <c r="K199">
        <v>39</v>
      </c>
      <c r="L199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7</v>
      </c>
      <c r="D200" t="s">
        <v>79</v>
      </c>
      <c r="E200" t="s">
        <v>80</v>
      </c>
      <c r="F200" t="s">
        <v>81</v>
      </c>
      <c r="G200">
        <v>0.54874490679130095</v>
      </c>
      <c r="H200">
        <v>2E+20</v>
      </c>
      <c r="I200">
        <v>0.31769682637872199</v>
      </c>
      <c r="J200">
        <v>1.0004643645272899</v>
      </c>
      <c r="K200">
        <v>38</v>
      </c>
      <c r="L200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0.51062204735369909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0.45048365558606801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0.579636180667775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0.15858779300546599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1.42475765411467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0" s="5">
        <f>IF((DiscreteStatsTable[[#This Row],[RepsRequested]]&gt;1),DiscreteStatsTable[[#This Row],[HalfWidth]],DiscreteStatsTable[[#This Row],[BatchMeansHalfWidth]])</f>
        <v>1.348890019315159E-2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7</v>
      </c>
      <c r="D201" t="s">
        <v>79</v>
      </c>
      <c r="E201" t="s">
        <v>82</v>
      </c>
      <c r="F201" t="s">
        <v>81</v>
      </c>
      <c r="G201">
        <v>0.54874490679130095</v>
      </c>
      <c r="H201">
        <v>2E+20</v>
      </c>
      <c r="I201">
        <v>0.31769682637872199</v>
      </c>
      <c r="J201">
        <v>1.0004643645272899</v>
      </c>
      <c r="K201">
        <v>38</v>
      </c>
      <c r="L201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0.51062204735369909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0.45048365558606801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0.579636180667775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0.15858779300546599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1.42475765411467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1" s="5">
        <f>IF((DiscreteStatsTable[[#This Row],[RepsRequested]]&gt;1),DiscreteStatsTable[[#This Row],[HalfWidth]],DiscreteStatsTable[[#This Row],[BatchMeansHalfWidth]])</f>
        <v>1.348890019315159E-2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7</v>
      </c>
      <c r="D202" t="s">
        <v>79</v>
      </c>
      <c r="E202" t="s">
        <v>83</v>
      </c>
      <c r="F202" t="s">
        <v>81</v>
      </c>
      <c r="G202">
        <v>0</v>
      </c>
      <c r="H202">
        <v>2E+20</v>
      </c>
      <c r="I202">
        <v>0</v>
      </c>
      <c r="J202">
        <v>0</v>
      </c>
      <c r="K202">
        <v>38</v>
      </c>
      <c r="L202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8</v>
      </c>
      <c r="D203" t="s">
        <v>79</v>
      </c>
      <c r="E203" t="s">
        <v>80</v>
      </c>
      <c r="F203" t="s">
        <v>81</v>
      </c>
      <c r="G203">
        <v>0.54468964982455803</v>
      </c>
      <c r="H203">
        <v>2E+20</v>
      </c>
      <c r="I203">
        <v>0.28147151586456698</v>
      </c>
      <c r="J203">
        <v>1.1450272520460301</v>
      </c>
      <c r="K203">
        <v>34</v>
      </c>
      <c r="L203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0.51062204735369909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0.45048365558606801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0.579636180667775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0.15858779300546599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1.42475765411467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3" s="5">
        <f>IF((DiscreteStatsTable[[#This Row],[RepsRequested]]&gt;1),DiscreteStatsTable[[#This Row],[HalfWidth]],DiscreteStatsTable[[#This Row],[BatchMeansHalfWidth]])</f>
        <v>1.348890019315159E-2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8</v>
      </c>
      <c r="D204" t="s">
        <v>79</v>
      </c>
      <c r="E204" t="s">
        <v>82</v>
      </c>
      <c r="F204" t="s">
        <v>81</v>
      </c>
      <c r="G204">
        <v>0.54468964982455803</v>
      </c>
      <c r="H204">
        <v>2E+20</v>
      </c>
      <c r="I204">
        <v>0.28147151586456698</v>
      </c>
      <c r="J204">
        <v>1.1450272520460301</v>
      </c>
      <c r="K204">
        <v>34</v>
      </c>
      <c r="L204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0.51062204735369909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0.45048365558606801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0.579636180667775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0.15858779300546599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1.42475765411467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4" s="5">
        <f>IF((DiscreteStatsTable[[#This Row],[RepsRequested]]&gt;1),DiscreteStatsTable[[#This Row],[HalfWidth]],DiscreteStatsTable[[#This Row],[BatchMeansHalfWidth]])</f>
        <v>1.348890019315159E-2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8</v>
      </c>
      <c r="D205" t="s">
        <v>79</v>
      </c>
      <c r="E205" t="s">
        <v>83</v>
      </c>
      <c r="F205" t="s">
        <v>81</v>
      </c>
      <c r="G205">
        <v>0</v>
      </c>
      <c r="H205">
        <v>2E+20</v>
      </c>
      <c r="I205">
        <v>0</v>
      </c>
      <c r="J205">
        <v>0</v>
      </c>
      <c r="K205">
        <v>34</v>
      </c>
      <c r="L205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9</v>
      </c>
      <c r="D206" t="s">
        <v>79</v>
      </c>
      <c r="E206" t="s">
        <v>80</v>
      </c>
      <c r="F206" t="s">
        <v>81</v>
      </c>
      <c r="G206">
        <v>0.54065364511691605</v>
      </c>
      <c r="H206">
        <v>2E+20</v>
      </c>
      <c r="I206">
        <v>0.257979244801191</v>
      </c>
      <c r="J206">
        <v>0.98515695032096995</v>
      </c>
      <c r="K206">
        <v>34</v>
      </c>
      <c r="L206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0.51062204735369909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0.45048365558606801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0.579636180667775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0.15858779300546599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1.42475765411467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6" s="5">
        <f>IF((DiscreteStatsTable[[#This Row],[RepsRequested]]&gt;1),DiscreteStatsTable[[#This Row],[HalfWidth]],DiscreteStatsTable[[#This Row],[BatchMeansHalfWidth]])</f>
        <v>1.348890019315159E-2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9</v>
      </c>
      <c r="D207" t="s">
        <v>79</v>
      </c>
      <c r="E207" t="s">
        <v>82</v>
      </c>
      <c r="F207" t="s">
        <v>81</v>
      </c>
      <c r="G207">
        <v>0.54065364511691605</v>
      </c>
      <c r="H207">
        <v>2E+20</v>
      </c>
      <c r="I207">
        <v>0.257979244801191</v>
      </c>
      <c r="J207">
        <v>0.98515695032096995</v>
      </c>
      <c r="K207">
        <v>34</v>
      </c>
      <c r="L207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0.51062204735369909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0.45048365558606801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0.579636180667775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0.15858779300546599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1.42475765411467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7" s="5">
        <f>IF((DiscreteStatsTable[[#This Row],[RepsRequested]]&gt;1),DiscreteStatsTable[[#This Row],[HalfWidth]],DiscreteStatsTable[[#This Row],[BatchMeansHalfWidth]])</f>
        <v>1.348890019315159E-2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9</v>
      </c>
      <c r="D208" t="s">
        <v>79</v>
      </c>
      <c r="E208" t="s">
        <v>83</v>
      </c>
      <c r="F208" t="s">
        <v>81</v>
      </c>
      <c r="G208">
        <v>0</v>
      </c>
      <c r="H208">
        <v>2E+20</v>
      </c>
      <c r="I208">
        <v>0</v>
      </c>
      <c r="J208">
        <v>0</v>
      </c>
      <c r="K208">
        <v>34</v>
      </c>
      <c r="L208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10</v>
      </c>
      <c r="D209" t="s">
        <v>79</v>
      </c>
      <c r="E209" t="s">
        <v>80</v>
      </c>
      <c r="F209" t="s">
        <v>81</v>
      </c>
      <c r="G209">
        <v>0.46557136595482601</v>
      </c>
      <c r="H209">
        <v>2E+20</v>
      </c>
      <c r="I209">
        <v>0.24321537350928299</v>
      </c>
      <c r="J209">
        <v>0.84816327335281005</v>
      </c>
      <c r="K209">
        <v>41</v>
      </c>
      <c r="L209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0.51062204735369909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0.45048365558606801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0.579636180667775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0.15858779300546599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1.42475765411467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09" s="5">
        <f>IF((DiscreteStatsTable[[#This Row],[RepsRequested]]&gt;1),DiscreteStatsTable[[#This Row],[HalfWidth]],DiscreteStatsTable[[#This Row],[BatchMeansHalfWidth]])</f>
        <v>1.348890019315159E-2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10</v>
      </c>
      <c r="D210" t="s">
        <v>79</v>
      </c>
      <c r="E210" t="s">
        <v>82</v>
      </c>
      <c r="F210" t="s">
        <v>81</v>
      </c>
      <c r="G210">
        <v>0.46557136595482601</v>
      </c>
      <c r="H210">
        <v>2E+20</v>
      </c>
      <c r="I210">
        <v>0.24321537350928299</v>
      </c>
      <c r="J210">
        <v>0.84816327335281005</v>
      </c>
      <c r="K210">
        <v>41</v>
      </c>
      <c r="L210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0.51062204735369909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0.45048365558606801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0.579636180667775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0.15858779300546599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1.42475765411467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0" s="5">
        <f>IF((DiscreteStatsTable[[#This Row],[RepsRequested]]&gt;1),DiscreteStatsTable[[#This Row],[HalfWidth]],DiscreteStatsTable[[#This Row],[BatchMeansHalfWidth]])</f>
        <v>1.348890019315159E-2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10</v>
      </c>
      <c r="D211" t="s">
        <v>79</v>
      </c>
      <c r="E211" t="s">
        <v>83</v>
      </c>
      <c r="F211" t="s">
        <v>81</v>
      </c>
      <c r="G211">
        <v>0</v>
      </c>
      <c r="H211">
        <v>2E+20</v>
      </c>
      <c r="I211">
        <v>0</v>
      </c>
      <c r="J211">
        <v>0</v>
      </c>
      <c r="K211">
        <v>41</v>
      </c>
      <c r="L211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11</v>
      </c>
      <c r="D212" t="s">
        <v>79</v>
      </c>
      <c r="E212" t="s">
        <v>80</v>
      </c>
      <c r="F212" t="s">
        <v>81</v>
      </c>
      <c r="G212">
        <v>0.492135434906734</v>
      </c>
      <c r="H212">
        <v>2E+20</v>
      </c>
      <c r="I212">
        <v>0.205998440900444</v>
      </c>
      <c r="J212">
        <v>0.93208266521079997</v>
      </c>
      <c r="K212">
        <v>44</v>
      </c>
      <c r="L212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30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0.51062204735369909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0.45048365558606801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0.579636180667775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0.15858779300546599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1.42475765411467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2" s="5">
        <f>IF((DiscreteStatsTable[[#This Row],[RepsRequested]]&gt;1),DiscreteStatsTable[[#This Row],[HalfWidth]],DiscreteStatsTable[[#This Row],[BatchMeansHalfWidth]])</f>
        <v>1.348890019315159E-2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30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11</v>
      </c>
      <c r="D213" t="s">
        <v>79</v>
      </c>
      <c r="E213" t="s">
        <v>82</v>
      </c>
      <c r="F213" t="s">
        <v>81</v>
      </c>
      <c r="G213">
        <v>0.492135434906734</v>
      </c>
      <c r="H213">
        <v>2E+20</v>
      </c>
      <c r="I213">
        <v>0.205998440900444</v>
      </c>
      <c r="J213">
        <v>0.93208266521079997</v>
      </c>
      <c r="K213">
        <v>44</v>
      </c>
      <c r="L213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30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0.51062204735369909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0.45048365558606801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0.579636180667775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0.15858779300546599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1.42475765411467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3" s="5">
        <f>IF((DiscreteStatsTable[[#This Row],[RepsRequested]]&gt;1),DiscreteStatsTable[[#This Row],[HalfWidth]],DiscreteStatsTable[[#This Row],[BatchMeansHalfWidth]])</f>
        <v>1.348890019315159E-2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30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11</v>
      </c>
      <c r="D214" t="s">
        <v>79</v>
      </c>
      <c r="E214" t="s">
        <v>83</v>
      </c>
      <c r="F214" t="s">
        <v>81</v>
      </c>
      <c r="G214">
        <v>0</v>
      </c>
      <c r="H214">
        <v>2E+20</v>
      </c>
      <c r="I214">
        <v>0</v>
      </c>
      <c r="J214">
        <v>0</v>
      </c>
      <c r="K214">
        <v>44</v>
      </c>
      <c r="L214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30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30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12</v>
      </c>
      <c r="D215" t="s">
        <v>79</v>
      </c>
      <c r="E215" t="s">
        <v>80</v>
      </c>
      <c r="F215" t="s">
        <v>81</v>
      </c>
      <c r="G215">
        <v>0.486691688784962</v>
      </c>
      <c r="H215">
        <v>2E+20</v>
      </c>
      <c r="I215">
        <v>0.26837576589548501</v>
      </c>
      <c r="J215">
        <v>0.776496283574858</v>
      </c>
      <c r="K215">
        <v>28</v>
      </c>
      <c r="L215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30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0.51062204735369909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0.45048365558606801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0.579636180667775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0.15858779300546599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1.42475765411467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5" s="5">
        <f>IF((DiscreteStatsTable[[#This Row],[RepsRequested]]&gt;1),DiscreteStatsTable[[#This Row],[HalfWidth]],DiscreteStatsTable[[#This Row],[BatchMeansHalfWidth]])</f>
        <v>1.348890019315159E-2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30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12</v>
      </c>
      <c r="D216" t="s">
        <v>79</v>
      </c>
      <c r="E216" t="s">
        <v>82</v>
      </c>
      <c r="F216" t="s">
        <v>81</v>
      </c>
      <c r="G216">
        <v>0.486691688784962</v>
      </c>
      <c r="H216">
        <v>2E+20</v>
      </c>
      <c r="I216">
        <v>0.26837576589548501</v>
      </c>
      <c r="J216">
        <v>0.776496283574858</v>
      </c>
      <c r="K216">
        <v>28</v>
      </c>
      <c r="L216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30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0.51062204735369909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0.45048365558606801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0.579636180667775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0.15858779300546599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1.42475765411467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6" s="5">
        <f>IF((DiscreteStatsTable[[#This Row],[RepsRequested]]&gt;1),DiscreteStatsTable[[#This Row],[HalfWidth]],DiscreteStatsTable[[#This Row],[BatchMeansHalfWidth]])</f>
        <v>1.348890019315159E-2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30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12</v>
      </c>
      <c r="D217" t="s">
        <v>79</v>
      </c>
      <c r="E217" t="s">
        <v>83</v>
      </c>
      <c r="F217" t="s">
        <v>81</v>
      </c>
      <c r="G217">
        <v>0</v>
      </c>
      <c r="H217">
        <v>2E+20</v>
      </c>
      <c r="I217">
        <v>0</v>
      </c>
      <c r="J217">
        <v>0</v>
      </c>
      <c r="K217">
        <v>28</v>
      </c>
      <c r="L217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30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30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13</v>
      </c>
      <c r="D218" t="s">
        <v>79</v>
      </c>
      <c r="E218" t="s">
        <v>80</v>
      </c>
      <c r="F218" t="s">
        <v>81</v>
      </c>
      <c r="G218">
        <v>0.47654060849642299</v>
      </c>
      <c r="H218">
        <v>2E+20</v>
      </c>
      <c r="I218">
        <v>0.219101986547074</v>
      </c>
      <c r="J218">
        <v>0.82083704155191795</v>
      </c>
      <c r="K218">
        <v>37</v>
      </c>
      <c r="L218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30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0.51062204735369909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0.45048365558606801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0.579636180667775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0.15858779300546599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1.42475765411467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8" s="5">
        <f>IF((DiscreteStatsTable[[#This Row],[RepsRequested]]&gt;1),DiscreteStatsTable[[#This Row],[HalfWidth]],DiscreteStatsTable[[#This Row],[BatchMeansHalfWidth]])</f>
        <v>1.348890019315159E-2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30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13</v>
      </c>
      <c r="D219" t="s">
        <v>79</v>
      </c>
      <c r="E219" t="s">
        <v>82</v>
      </c>
      <c r="F219" t="s">
        <v>81</v>
      </c>
      <c r="G219">
        <v>0.47654060849642299</v>
      </c>
      <c r="H219">
        <v>2E+20</v>
      </c>
      <c r="I219">
        <v>0.219101986547074</v>
      </c>
      <c r="J219">
        <v>0.82083704155191795</v>
      </c>
      <c r="K219">
        <v>37</v>
      </c>
      <c r="L219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30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0.51062204735369909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0.45048365558606801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0.579636180667775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0.15858779300546599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1.42475765411467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19" s="5">
        <f>IF((DiscreteStatsTable[[#This Row],[RepsRequested]]&gt;1),DiscreteStatsTable[[#This Row],[HalfWidth]],DiscreteStatsTable[[#This Row],[BatchMeansHalfWidth]])</f>
        <v>1.348890019315159E-2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30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13</v>
      </c>
      <c r="D220" t="s">
        <v>79</v>
      </c>
      <c r="E220" t="s">
        <v>83</v>
      </c>
      <c r="F220" t="s">
        <v>81</v>
      </c>
      <c r="G220">
        <v>0</v>
      </c>
      <c r="H220">
        <v>2E+20</v>
      </c>
      <c r="I220">
        <v>0</v>
      </c>
      <c r="J220">
        <v>0</v>
      </c>
      <c r="K220">
        <v>37</v>
      </c>
      <c r="L220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30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30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14</v>
      </c>
      <c r="D221" t="s">
        <v>79</v>
      </c>
      <c r="E221" t="s">
        <v>80</v>
      </c>
      <c r="F221" t="s">
        <v>81</v>
      </c>
      <c r="G221">
        <v>0.466016170952958</v>
      </c>
      <c r="H221">
        <v>2E+20</v>
      </c>
      <c r="I221">
        <v>0.28966312897544799</v>
      </c>
      <c r="J221">
        <v>0.95524075029456401</v>
      </c>
      <c r="K221">
        <v>44</v>
      </c>
      <c r="L221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30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0.51062204735369909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0.45048365558606801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0.579636180667775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0.15858779300546599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1.42475765411467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1" s="5">
        <f>IF((DiscreteStatsTable[[#This Row],[RepsRequested]]&gt;1),DiscreteStatsTable[[#This Row],[HalfWidth]],DiscreteStatsTable[[#This Row],[BatchMeansHalfWidth]])</f>
        <v>1.348890019315159E-2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30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14</v>
      </c>
      <c r="D222" t="s">
        <v>79</v>
      </c>
      <c r="E222" t="s">
        <v>82</v>
      </c>
      <c r="F222" t="s">
        <v>81</v>
      </c>
      <c r="G222">
        <v>0.466016170952958</v>
      </c>
      <c r="H222">
        <v>2E+20</v>
      </c>
      <c r="I222">
        <v>0.28966312897544799</v>
      </c>
      <c r="J222">
        <v>0.95524075029456401</v>
      </c>
      <c r="K222">
        <v>44</v>
      </c>
      <c r="L222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30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0.51062204735369909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0.45048365558606801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0.579636180667775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0.15858779300546599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1.42475765411467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2" s="5">
        <f>IF((DiscreteStatsTable[[#This Row],[RepsRequested]]&gt;1),DiscreteStatsTable[[#This Row],[HalfWidth]],DiscreteStatsTable[[#This Row],[BatchMeansHalfWidth]])</f>
        <v>1.348890019315159E-2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30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14</v>
      </c>
      <c r="D223" t="s">
        <v>79</v>
      </c>
      <c r="E223" t="s">
        <v>83</v>
      </c>
      <c r="F223" t="s">
        <v>81</v>
      </c>
      <c r="G223">
        <v>0</v>
      </c>
      <c r="H223">
        <v>2E+20</v>
      </c>
      <c r="I223">
        <v>0</v>
      </c>
      <c r="J223">
        <v>0</v>
      </c>
      <c r="K223">
        <v>44</v>
      </c>
      <c r="L223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30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30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15</v>
      </c>
      <c r="D224" t="s">
        <v>79</v>
      </c>
      <c r="E224" t="s">
        <v>80</v>
      </c>
      <c r="F224" t="s">
        <v>81</v>
      </c>
      <c r="G224">
        <v>0.53795832109825203</v>
      </c>
      <c r="H224">
        <v>2E+20</v>
      </c>
      <c r="I224">
        <v>0.202348782047238</v>
      </c>
      <c r="J224">
        <v>1.42475765411467</v>
      </c>
      <c r="K224">
        <v>46</v>
      </c>
      <c r="L224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30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0.51062204735369909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0.45048365558606801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0.579636180667775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0.15858779300546599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1.42475765411467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4" s="5">
        <f>IF((DiscreteStatsTable[[#This Row],[RepsRequested]]&gt;1),DiscreteStatsTable[[#This Row],[HalfWidth]],DiscreteStatsTable[[#This Row],[BatchMeansHalfWidth]])</f>
        <v>1.348890019315159E-2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30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15</v>
      </c>
      <c r="D225" t="s">
        <v>79</v>
      </c>
      <c r="E225" t="s">
        <v>82</v>
      </c>
      <c r="F225" t="s">
        <v>81</v>
      </c>
      <c r="G225">
        <v>0.53795832109825203</v>
      </c>
      <c r="H225">
        <v>2E+20</v>
      </c>
      <c r="I225">
        <v>0.202348782047238</v>
      </c>
      <c r="J225">
        <v>1.42475765411467</v>
      </c>
      <c r="K225">
        <v>46</v>
      </c>
      <c r="L225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30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0.51062204735369909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0.45048365558606801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0.579636180667775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0.15858779300546599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1.42475765411467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5" s="5">
        <f>IF((DiscreteStatsTable[[#This Row],[RepsRequested]]&gt;1),DiscreteStatsTable[[#This Row],[HalfWidth]],DiscreteStatsTable[[#This Row],[BatchMeansHalfWidth]])</f>
        <v>1.348890019315159E-2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30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15</v>
      </c>
      <c r="D226" t="s">
        <v>79</v>
      </c>
      <c r="E226" t="s">
        <v>83</v>
      </c>
      <c r="F226" t="s">
        <v>81</v>
      </c>
      <c r="G226">
        <v>0</v>
      </c>
      <c r="H226">
        <v>2E+20</v>
      </c>
      <c r="I226">
        <v>0</v>
      </c>
      <c r="J226">
        <v>0</v>
      </c>
      <c r="K226">
        <v>46</v>
      </c>
      <c r="L226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30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30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16</v>
      </c>
      <c r="D227" t="s">
        <v>79</v>
      </c>
      <c r="E227" t="s">
        <v>80</v>
      </c>
      <c r="F227" t="s">
        <v>81</v>
      </c>
      <c r="G227">
        <v>0.57276714050204303</v>
      </c>
      <c r="H227">
        <v>2E+20</v>
      </c>
      <c r="I227">
        <v>0.25657502412045102</v>
      </c>
      <c r="J227">
        <v>1.16741874944682</v>
      </c>
      <c r="K227">
        <v>36</v>
      </c>
      <c r="L227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30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0.51062204735369909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0.45048365558606801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0.579636180667775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0.15858779300546599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1.42475765411467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7" s="5">
        <f>IF((DiscreteStatsTable[[#This Row],[RepsRequested]]&gt;1),DiscreteStatsTable[[#This Row],[HalfWidth]],DiscreteStatsTable[[#This Row],[BatchMeansHalfWidth]])</f>
        <v>1.348890019315159E-2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30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16</v>
      </c>
      <c r="D228" t="s">
        <v>79</v>
      </c>
      <c r="E228" t="s">
        <v>82</v>
      </c>
      <c r="F228" t="s">
        <v>81</v>
      </c>
      <c r="G228">
        <v>0.57276714050204303</v>
      </c>
      <c r="H228">
        <v>2E+20</v>
      </c>
      <c r="I228">
        <v>0.25657502412045102</v>
      </c>
      <c r="J228">
        <v>1.16741874944682</v>
      </c>
      <c r="K228">
        <v>36</v>
      </c>
      <c r="L228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30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0.51062204735369909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0.45048365558606801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0.579636180667775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0.15858779300546599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1.42475765411467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8" s="5">
        <f>IF((DiscreteStatsTable[[#This Row],[RepsRequested]]&gt;1),DiscreteStatsTable[[#This Row],[HalfWidth]],DiscreteStatsTable[[#This Row],[BatchMeansHalfWidth]])</f>
        <v>1.348890019315159E-2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30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16</v>
      </c>
      <c r="D229" t="s">
        <v>79</v>
      </c>
      <c r="E229" t="s">
        <v>83</v>
      </c>
      <c r="F229" t="s">
        <v>81</v>
      </c>
      <c r="G229">
        <v>0</v>
      </c>
      <c r="H229">
        <v>2E+20</v>
      </c>
      <c r="I229">
        <v>0</v>
      </c>
      <c r="J229">
        <v>0</v>
      </c>
      <c r="K229">
        <v>36</v>
      </c>
      <c r="L229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30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30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17</v>
      </c>
      <c r="D230" t="s">
        <v>79</v>
      </c>
      <c r="E230" t="s">
        <v>80</v>
      </c>
      <c r="F230" t="s">
        <v>81</v>
      </c>
      <c r="G230">
        <v>0.56981041219232398</v>
      </c>
      <c r="H230">
        <v>2E+20</v>
      </c>
      <c r="I230">
        <v>0.22390147388040299</v>
      </c>
      <c r="J230">
        <v>0.98511331186459505</v>
      </c>
      <c r="K230">
        <v>31</v>
      </c>
      <c r="L230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30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0.51062204735369909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0.45048365558606801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0.579636180667775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0.15858779300546599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1.42475765411467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0" s="5">
        <f>IF((DiscreteStatsTable[[#This Row],[RepsRequested]]&gt;1),DiscreteStatsTable[[#This Row],[HalfWidth]],DiscreteStatsTable[[#This Row],[BatchMeansHalfWidth]])</f>
        <v>1.348890019315159E-2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30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17</v>
      </c>
      <c r="D231" t="s">
        <v>79</v>
      </c>
      <c r="E231" t="s">
        <v>82</v>
      </c>
      <c r="F231" t="s">
        <v>81</v>
      </c>
      <c r="G231">
        <v>0.56981041219232398</v>
      </c>
      <c r="H231">
        <v>2E+20</v>
      </c>
      <c r="I231">
        <v>0.22390147388040299</v>
      </c>
      <c r="J231">
        <v>0.98511331186459505</v>
      </c>
      <c r="K231">
        <v>31</v>
      </c>
      <c r="L231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30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0.51062204735369909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0.45048365558606801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0.579636180667775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0.15858779300546599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1.42475765411467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1" s="5">
        <f>IF((DiscreteStatsTable[[#This Row],[RepsRequested]]&gt;1),DiscreteStatsTable[[#This Row],[HalfWidth]],DiscreteStatsTable[[#This Row],[BatchMeansHalfWidth]])</f>
        <v>1.348890019315159E-2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30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17</v>
      </c>
      <c r="D232" t="s">
        <v>79</v>
      </c>
      <c r="E232" t="s">
        <v>83</v>
      </c>
      <c r="F232" t="s">
        <v>81</v>
      </c>
      <c r="G232">
        <v>0</v>
      </c>
      <c r="H232">
        <v>2E+20</v>
      </c>
      <c r="I232">
        <v>0</v>
      </c>
      <c r="J232">
        <v>0</v>
      </c>
      <c r="K232">
        <v>31</v>
      </c>
      <c r="L232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30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30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18</v>
      </c>
      <c r="D233" t="s">
        <v>79</v>
      </c>
      <c r="E233" t="s">
        <v>80</v>
      </c>
      <c r="F233" t="s">
        <v>81</v>
      </c>
      <c r="G233">
        <v>0.51539230997200502</v>
      </c>
      <c r="H233">
        <v>2E+20</v>
      </c>
      <c r="I233">
        <v>0.197197275406126</v>
      </c>
      <c r="J233">
        <v>1.0548917214392799</v>
      </c>
      <c r="K233">
        <v>44</v>
      </c>
      <c r="L233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30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0.51062204735369909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0.45048365558606801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0.579636180667775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0.15858779300546599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1.42475765411467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3" s="5">
        <f>IF((DiscreteStatsTable[[#This Row],[RepsRequested]]&gt;1),DiscreteStatsTable[[#This Row],[HalfWidth]],DiscreteStatsTable[[#This Row],[BatchMeansHalfWidth]])</f>
        <v>1.348890019315159E-2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30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18</v>
      </c>
      <c r="D234" t="s">
        <v>79</v>
      </c>
      <c r="E234" t="s">
        <v>82</v>
      </c>
      <c r="F234" t="s">
        <v>81</v>
      </c>
      <c r="G234">
        <v>0.51539230997200502</v>
      </c>
      <c r="H234">
        <v>2E+20</v>
      </c>
      <c r="I234">
        <v>0.197197275406126</v>
      </c>
      <c r="J234">
        <v>1.0548917214392799</v>
      </c>
      <c r="K234">
        <v>44</v>
      </c>
      <c r="L234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30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0.51062204735369909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0.45048365558606801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0.579636180667775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0.15858779300546599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1.42475765411467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4" s="5">
        <f>IF((DiscreteStatsTable[[#This Row],[RepsRequested]]&gt;1),DiscreteStatsTable[[#This Row],[HalfWidth]],DiscreteStatsTable[[#This Row],[BatchMeansHalfWidth]])</f>
        <v>1.348890019315159E-2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30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18</v>
      </c>
      <c r="D235" t="s">
        <v>79</v>
      </c>
      <c r="E235" t="s">
        <v>83</v>
      </c>
      <c r="F235" t="s">
        <v>81</v>
      </c>
      <c r="G235">
        <v>0</v>
      </c>
      <c r="H235">
        <v>2E+20</v>
      </c>
      <c r="I235">
        <v>0</v>
      </c>
      <c r="J235">
        <v>0</v>
      </c>
      <c r="K235">
        <v>44</v>
      </c>
      <c r="L235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30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30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19</v>
      </c>
      <c r="D236" t="s">
        <v>79</v>
      </c>
      <c r="E236" t="s">
        <v>80</v>
      </c>
      <c r="F236" t="s">
        <v>81</v>
      </c>
      <c r="G236">
        <v>0.46678271101438801</v>
      </c>
      <c r="H236">
        <v>2E+20</v>
      </c>
      <c r="I236">
        <v>0.17030648482017299</v>
      </c>
      <c r="J236">
        <v>0.84070884244432198</v>
      </c>
      <c r="K236">
        <v>32</v>
      </c>
      <c r="L236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30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0.51062204735369909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0.45048365558606801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0.579636180667775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0.15858779300546599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1.42475765411467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6" s="5">
        <f>IF((DiscreteStatsTable[[#This Row],[RepsRequested]]&gt;1),DiscreteStatsTable[[#This Row],[HalfWidth]],DiscreteStatsTable[[#This Row],[BatchMeansHalfWidth]])</f>
        <v>1.348890019315159E-2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30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19</v>
      </c>
      <c r="D237" t="s">
        <v>79</v>
      </c>
      <c r="E237" t="s">
        <v>82</v>
      </c>
      <c r="F237" t="s">
        <v>81</v>
      </c>
      <c r="G237">
        <v>0.46678271101438801</v>
      </c>
      <c r="H237">
        <v>2E+20</v>
      </c>
      <c r="I237">
        <v>0.17030648482017299</v>
      </c>
      <c r="J237">
        <v>0.84070884244432198</v>
      </c>
      <c r="K237">
        <v>32</v>
      </c>
      <c r="L237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30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0.51062204735369909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0.45048365558606801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0.579636180667775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0.15858779300546599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1.42475765411467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7" s="5">
        <f>IF((DiscreteStatsTable[[#This Row],[RepsRequested]]&gt;1),DiscreteStatsTable[[#This Row],[HalfWidth]],DiscreteStatsTable[[#This Row],[BatchMeansHalfWidth]])</f>
        <v>1.348890019315159E-2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30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19</v>
      </c>
      <c r="D238" t="s">
        <v>79</v>
      </c>
      <c r="E238" t="s">
        <v>83</v>
      </c>
      <c r="F238" t="s">
        <v>81</v>
      </c>
      <c r="G238">
        <v>0</v>
      </c>
      <c r="H238">
        <v>2E+20</v>
      </c>
      <c r="I238">
        <v>0</v>
      </c>
      <c r="J238">
        <v>0</v>
      </c>
      <c r="K238">
        <v>32</v>
      </c>
      <c r="L238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30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30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20</v>
      </c>
      <c r="D239" t="s">
        <v>79</v>
      </c>
      <c r="E239" t="s">
        <v>80</v>
      </c>
      <c r="F239" t="s">
        <v>81</v>
      </c>
      <c r="G239">
        <v>0.47380702960891202</v>
      </c>
      <c r="H239">
        <v>2E+20</v>
      </c>
      <c r="I239">
        <v>0.30948989870823601</v>
      </c>
      <c r="J239">
        <v>0.70491097614299703</v>
      </c>
      <c r="K239">
        <v>42</v>
      </c>
      <c r="L239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30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0.51062204735369909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0.45048365558606801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0.579636180667775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0.15858779300546599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1.42475765411467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39" s="5">
        <f>IF((DiscreteStatsTable[[#This Row],[RepsRequested]]&gt;1),DiscreteStatsTable[[#This Row],[HalfWidth]],DiscreteStatsTable[[#This Row],[BatchMeansHalfWidth]])</f>
        <v>1.348890019315159E-2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30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20</v>
      </c>
      <c r="D240" t="s">
        <v>79</v>
      </c>
      <c r="E240" t="s">
        <v>82</v>
      </c>
      <c r="F240" t="s">
        <v>81</v>
      </c>
      <c r="G240">
        <v>0.47380702960891202</v>
      </c>
      <c r="H240">
        <v>2E+20</v>
      </c>
      <c r="I240">
        <v>0.30948989870823601</v>
      </c>
      <c r="J240">
        <v>0.70491097614299703</v>
      </c>
      <c r="K240">
        <v>42</v>
      </c>
      <c r="L240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30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0.51062204735369909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0.45048365558606801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0.579636180667775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0.15858779300546599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1.42475765411467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0" s="5">
        <f>IF((DiscreteStatsTable[[#This Row],[RepsRequested]]&gt;1),DiscreteStatsTable[[#This Row],[HalfWidth]],DiscreteStatsTable[[#This Row],[BatchMeansHalfWidth]])</f>
        <v>1.348890019315159E-2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30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20</v>
      </c>
      <c r="D241" t="s">
        <v>79</v>
      </c>
      <c r="E241" t="s">
        <v>83</v>
      </c>
      <c r="F241" t="s">
        <v>81</v>
      </c>
      <c r="G241">
        <v>0</v>
      </c>
      <c r="H241">
        <v>2E+20</v>
      </c>
      <c r="I241">
        <v>0</v>
      </c>
      <c r="J241">
        <v>0</v>
      </c>
      <c r="K241">
        <v>42</v>
      </c>
      <c r="L241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30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30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21</v>
      </c>
      <c r="D242" t="s">
        <v>79</v>
      </c>
      <c r="E242" t="s">
        <v>80</v>
      </c>
      <c r="F242" t="s">
        <v>81</v>
      </c>
      <c r="G242">
        <v>0.504916224568428</v>
      </c>
      <c r="H242">
        <v>2E+20</v>
      </c>
      <c r="I242">
        <v>0.18271213063049899</v>
      </c>
      <c r="J242">
        <v>0.962986920225404</v>
      </c>
      <c r="K242">
        <v>49</v>
      </c>
      <c r="L242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30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0.51062204735369909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0.45048365558606801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0.579636180667775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0.15858779300546599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1.42475765411467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2" s="5">
        <f>IF((DiscreteStatsTable[[#This Row],[RepsRequested]]&gt;1),DiscreteStatsTable[[#This Row],[HalfWidth]],DiscreteStatsTable[[#This Row],[BatchMeansHalfWidth]])</f>
        <v>1.348890019315159E-2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30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21</v>
      </c>
      <c r="D243" t="s">
        <v>79</v>
      </c>
      <c r="E243" t="s">
        <v>82</v>
      </c>
      <c r="F243" t="s">
        <v>81</v>
      </c>
      <c r="G243">
        <v>0.504916224568428</v>
      </c>
      <c r="H243">
        <v>2E+20</v>
      </c>
      <c r="I243">
        <v>0.18271213063049899</v>
      </c>
      <c r="J243">
        <v>0.962986920225404</v>
      </c>
      <c r="K243">
        <v>49</v>
      </c>
      <c r="L243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30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0.51062204735369909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0.45048365558606801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0.579636180667775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0.15858779300546599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1.42475765411467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3" s="5">
        <f>IF((DiscreteStatsTable[[#This Row],[RepsRequested]]&gt;1),DiscreteStatsTable[[#This Row],[HalfWidth]],DiscreteStatsTable[[#This Row],[BatchMeansHalfWidth]])</f>
        <v>1.348890019315159E-2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30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21</v>
      </c>
      <c r="D244" t="s">
        <v>79</v>
      </c>
      <c r="E244" t="s">
        <v>83</v>
      </c>
      <c r="F244" t="s">
        <v>81</v>
      </c>
      <c r="G244">
        <v>0</v>
      </c>
      <c r="H244">
        <v>2E+20</v>
      </c>
      <c r="I244">
        <v>0</v>
      </c>
      <c r="J244">
        <v>0</v>
      </c>
      <c r="K244">
        <v>49</v>
      </c>
      <c r="L244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30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4" s="5">
        <f>IF((DiscreteStatsTable[[#This Row],[RepsRequested]]&gt;1),DiscreteStatsTable[[#This Row],[HalfWidth]],DiscreteStatsTable[[#This Row],[BatchMeansHalfWidth]])</f>
        <v>0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30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22</v>
      </c>
      <c r="D245" t="s">
        <v>79</v>
      </c>
      <c r="E245" t="s">
        <v>80</v>
      </c>
      <c r="F245" t="s">
        <v>81</v>
      </c>
      <c r="G245">
        <v>0.579636180667775</v>
      </c>
      <c r="H245">
        <v>2E+20</v>
      </c>
      <c r="I245">
        <v>0.27271861843205197</v>
      </c>
      <c r="J245">
        <v>0.86648509642097304</v>
      </c>
      <c r="K245">
        <v>34</v>
      </c>
      <c r="L245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30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0.51062204735369909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0.45048365558606801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0.579636180667775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0.15858779300546599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1.42475765411467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5" s="5">
        <f>IF((DiscreteStatsTable[[#This Row],[RepsRequested]]&gt;1),DiscreteStatsTable[[#This Row],[HalfWidth]],DiscreteStatsTable[[#This Row],[BatchMeansHalfWidth]])</f>
        <v>1.348890019315159E-2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30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22</v>
      </c>
      <c r="D246" t="s">
        <v>79</v>
      </c>
      <c r="E246" t="s">
        <v>82</v>
      </c>
      <c r="F246" t="s">
        <v>81</v>
      </c>
      <c r="G246">
        <v>0.579636180667775</v>
      </c>
      <c r="H246">
        <v>2E+20</v>
      </c>
      <c r="I246">
        <v>0.27271861843205197</v>
      </c>
      <c r="J246">
        <v>0.86648509642097304</v>
      </c>
      <c r="K246">
        <v>34</v>
      </c>
      <c r="L246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30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0.51062204735369909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0.45048365558606801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0.579636180667775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0.15858779300546599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1.42475765411467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6" s="5">
        <f>IF((DiscreteStatsTable[[#This Row],[RepsRequested]]&gt;1),DiscreteStatsTable[[#This Row],[HalfWidth]],DiscreteStatsTable[[#This Row],[BatchMeansHalfWidth]])</f>
        <v>1.348890019315159E-2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30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22</v>
      </c>
      <c r="D247" t="s">
        <v>79</v>
      </c>
      <c r="E247" t="s">
        <v>83</v>
      </c>
      <c r="F247" t="s">
        <v>81</v>
      </c>
      <c r="G247">
        <v>0</v>
      </c>
      <c r="H247">
        <v>2E+20</v>
      </c>
      <c r="I247">
        <v>0</v>
      </c>
      <c r="J247">
        <v>0</v>
      </c>
      <c r="K247">
        <v>34</v>
      </c>
      <c r="L247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30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30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23</v>
      </c>
      <c r="D248" t="s">
        <v>79</v>
      </c>
      <c r="E248" t="s">
        <v>80</v>
      </c>
      <c r="F248" t="s">
        <v>81</v>
      </c>
      <c r="G248">
        <v>0.45815656639628</v>
      </c>
      <c r="H248">
        <v>2E+20</v>
      </c>
      <c r="I248">
        <v>0.25069947044033802</v>
      </c>
      <c r="J248">
        <v>0.957271557125836</v>
      </c>
      <c r="K248">
        <v>40</v>
      </c>
      <c r="L248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30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0.51062204735369909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0.45048365558606801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0.579636180667775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0.15858779300546599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1.42475765411467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8" s="5">
        <f>IF((DiscreteStatsTable[[#This Row],[RepsRequested]]&gt;1),DiscreteStatsTable[[#This Row],[HalfWidth]],DiscreteStatsTable[[#This Row],[BatchMeansHalfWidth]])</f>
        <v>1.348890019315159E-2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30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23</v>
      </c>
      <c r="D249" t="s">
        <v>79</v>
      </c>
      <c r="E249" t="s">
        <v>82</v>
      </c>
      <c r="F249" t="s">
        <v>81</v>
      </c>
      <c r="G249">
        <v>0.45815656639628</v>
      </c>
      <c r="H249">
        <v>2E+20</v>
      </c>
      <c r="I249">
        <v>0.25069947044033802</v>
      </c>
      <c r="J249">
        <v>0.957271557125836</v>
      </c>
      <c r="K249">
        <v>40</v>
      </c>
      <c r="L249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30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0.51062204735369909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0.45048365558606801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0.579636180667775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0.15858779300546599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1.42475765411467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49" s="5">
        <f>IF((DiscreteStatsTable[[#This Row],[RepsRequested]]&gt;1),DiscreteStatsTable[[#This Row],[HalfWidth]],DiscreteStatsTable[[#This Row],[BatchMeansHalfWidth]])</f>
        <v>1.348890019315159E-2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30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23</v>
      </c>
      <c r="D250" t="s">
        <v>79</v>
      </c>
      <c r="E250" t="s">
        <v>83</v>
      </c>
      <c r="F250" t="s">
        <v>81</v>
      </c>
      <c r="G250">
        <v>0</v>
      </c>
      <c r="H250">
        <v>2E+20</v>
      </c>
      <c r="I250">
        <v>0</v>
      </c>
      <c r="J250">
        <v>0</v>
      </c>
      <c r="K250">
        <v>40</v>
      </c>
      <c r="L250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30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30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24</v>
      </c>
      <c r="D251" t="s">
        <v>79</v>
      </c>
      <c r="E251" t="s">
        <v>80</v>
      </c>
      <c r="F251" t="s">
        <v>81</v>
      </c>
      <c r="G251">
        <v>0.56212130295829499</v>
      </c>
      <c r="H251">
        <v>2E+20</v>
      </c>
      <c r="I251">
        <v>0.25996718697068399</v>
      </c>
      <c r="J251">
        <v>1.3976139603421101</v>
      </c>
      <c r="K251">
        <v>39</v>
      </c>
      <c r="L251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30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0.51062204735369909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0.45048365558606801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0.579636180667775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0.15858779300546599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1.42475765411467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1" s="5">
        <f>IF((DiscreteStatsTable[[#This Row],[RepsRequested]]&gt;1),DiscreteStatsTable[[#This Row],[HalfWidth]],DiscreteStatsTable[[#This Row],[BatchMeansHalfWidth]])</f>
        <v>1.348890019315159E-2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30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24</v>
      </c>
      <c r="D252" t="s">
        <v>79</v>
      </c>
      <c r="E252" t="s">
        <v>82</v>
      </c>
      <c r="F252" t="s">
        <v>81</v>
      </c>
      <c r="G252">
        <v>0.56212130295829499</v>
      </c>
      <c r="H252">
        <v>2E+20</v>
      </c>
      <c r="I252">
        <v>0.25996718697068399</v>
      </c>
      <c r="J252">
        <v>1.3976139603421101</v>
      </c>
      <c r="K252">
        <v>39</v>
      </c>
      <c r="L252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30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0.51062204735369909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0.45048365558606801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0.579636180667775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0.15858779300546599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1.42475765411467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2" s="5">
        <f>IF((DiscreteStatsTable[[#This Row],[RepsRequested]]&gt;1),DiscreteStatsTable[[#This Row],[HalfWidth]],DiscreteStatsTable[[#This Row],[BatchMeansHalfWidth]])</f>
        <v>1.348890019315159E-2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30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24</v>
      </c>
      <c r="D253" t="s">
        <v>79</v>
      </c>
      <c r="E253" t="s">
        <v>83</v>
      </c>
      <c r="F253" t="s">
        <v>81</v>
      </c>
      <c r="G253">
        <v>0</v>
      </c>
      <c r="H253">
        <v>2E+20</v>
      </c>
      <c r="I253">
        <v>0</v>
      </c>
      <c r="J253">
        <v>0</v>
      </c>
      <c r="K253">
        <v>39</v>
      </c>
      <c r="L253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30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30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25</v>
      </c>
      <c r="D254" t="s">
        <v>79</v>
      </c>
      <c r="E254" t="s">
        <v>80</v>
      </c>
      <c r="F254" t="s">
        <v>81</v>
      </c>
      <c r="G254">
        <v>0.45048365558606801</v>
      </c>
      <c r="H254">
        <v>2E+20</v>
      </c>
      <c r="I254">
        <v>0.17600445953164001</v>
      </c>
      <c r="J254">
        <v>0.76932855382438003</v>
      </c>
      <c r="K254">
        <v>35</v>
      </c>
      <c r="L254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30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0.51062204735369909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0.45048365558606801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0.579636180667775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0.15858779300546599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1.42475765411467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4" s="5">
        <f>IF((DiscreteStatsTable[[#This Row],[RepsRequested]]&gt;1),DiscreteStatsTable[[#This Row],[HalfWidth]],DiscreteStatsTable[[#This Row],[BatchMeansHalfWidth]])</f>
        <v>1.348890019315159E-2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30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25</v>
      </c>
      <c r="D255" t="s">
        <v>79</v>
      </c>
      <c r="E255" t="s">
        <v>82</v>
      </c>
      <c r="F255" t="s">
        <v>81</v>
      </c>
      <c r="G255">
        <v>0.45048365558606801</v>
      </c>
      <c r="H255">
        <v>2E+20</v>
      </c>
      <c r="I255">
        <v>0.17600445953164001</v>
      </c>
      <c r="J255">
        <v>0.76932855382438003</v>
      </c>
      <c r="K255">
        <v>35</v>
      </c>
      <c r="L255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30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0.51062204735369909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0.45048365558606801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0.579636180667775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0.15858779300546599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1.42475765411467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5" s="5">
        <f>IF((DiscreteStatsTable[[#This Row],[RepsRequested]]&gt;1),DiscreteStatsTable[[#This Row],[HalfWidth]],DiscreteStatsTable[[#This Row],[BatchMeansHalfWidth]])</f>
        <v>1.348890019315159E-2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30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25</v>
      </c>
      <c r="D256" t="s">
        <v>79</v>
      </c>
      <c r="E256" t="s">
        <v>83</v>
      </c>
      <c r="F256" t="s">
        <v>81</v>
      </c>
      <c r="G256">
        <v>0</v>
      </c>
      <c r="H256">
        <v>2E+20</v>
      </c>
      <c r="I256">
        <v>0</v>
      </c>
      <c r="J256">
        <v>0</v>
      </c>
      <c r="K256">
        <v>35</v>
      </c>
      <c r="L256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30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30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26</v>
      </c>
      <c r="D257" t="s">
        <v>79</v>
      </c>
      <c r="E257" t="s">
        <v>80</v>
      </c>
      <c r="F257" t="s">
        <v>81</v>
      </c>
      <c r="G257">
        <v>0.52301959335479098</v>
      </c>
      <c r="H257">
        <v>2E+20</v>
      </c>
      <c r="I257">
        <v>0.299982710592332</v>
      </c>
      <c r="J257">
        <v>1.04085222221421</v>
      </c>
      <c r="K257">
        <v>45</v>
      </c>
      <c r="L257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30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0.51062204735369909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0.45048365558606801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0.579636180667775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0.15858779300546599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1.42475765411467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7" s="5">
        <f>IF((DiscreteStatsTable[[#This Row],[RepsRequested]]&gt;1),DiscreteStatsTable[[#This Row],[HalfWidth]],DiscreteStatsTable[[#This Row],[BatchMeansHalfWidth]])</f>
        <v>1.348890019315159E-2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30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26</v>
      </c>
      <c r="D258" t="s">
        <v>79</v>
      </c>
      <c r="E258" t="s">
        <v>82</v>
      </c>
      <c r="F258" t="s">
        <v>81</v>
      </c>
      <c r="G258">
        <v>0.52301959335479098</v>
      </c>
      <c r="H258">
        <v>2E+20</v>
      </c>
      <c r="I258">
        <v>0.299982710592332</v>
      </c>
      <c r="J258">
        <v>1.04085222221421</v>
      </c>
      <c r="K258">
        <v>45</v>
      </c>
      <c r="L258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30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0.51062204735369909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0.45048365558606801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0.579636180667775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0.15858779300546599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1.42475765411467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8" s="5">
        <f>IF((DiscreteStatsTable[[#This Row],[RepsRequested]]&gt;1),DiscreteStatsTable[[#This Row],[HalfWidth]],DiscreteStatsTable[[#This Row],[BatchMeansHalfWidth]])</f>
        <v>1.348890019315159E-2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30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26</v>
      </c>
      <c r="D259" t="s">
        <v>79</v>
      </c>
      <c r="E259" t="s">
        <v>83</v>
      </c>
      <c r="F259" t="s">
        <v>81</v>
      </c>
      <c r="G259">
        <v>0</v>
      </c>
      <c r="H259">
        <v>2E+20</v>
      </c>
      <c r="I259">
        <v>0</v>
      </c>
      <c r="J259">
        <v>0</v>
      </c>
      <c r="K259">
        <v>45</v>
      </c>
      <c r="L259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30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30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27</v>
      </c>
      <c r="D260" t="s">
        <v>79</v>
      </c>
      <c r="E260" t="s">
        <v>80</v>
      </c>
      <c r="F260" t="s">
        <v>81</v>
      </c>
      <c r="G260">
        <v>0.494254185449921</v>
      </c>
      <c r="H260">
        <v>2E+20</v>
      </c>
      <c r="I260">
        <v>0.26407621494536199</v>
      </c>
      <c r="J260">
        <v>1.10284859632101</v>
      </c>
      <c r="K260">
        <v>43</v>
      </c>
      <c r="L260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30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0.51062204735369909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0.45048365558606801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0.579636180667775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0.15858779300546599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1.42475765411467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0" s="5">
        <f>IF((DiscreteStatsTable[[#This Row],[RepsRequested]]&gt;1),DiscreteStatsTable[[#This Row],[HalfWidth]],DiscreteStatsTable[[#This Row],[BatchMeansHalfWidth]])</f>
        <v>1.348890019315159E-2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30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27</v>
      </c>
      <c r="D261" t="s">
        <v>79</v>
      </c>
      <c r="E261" t="s">
        <v>82</v>
      </c>
      <c r="F261" t="s">
        <v>81</v>
      </c>
      <c r="G261">
        <v>0.494254185449921</v>
      </c>
      <c r="H261">
        <v>2E+20</v>
      </c>
      <c r="I261">
        <v>0.26407621494536199</v>
      </c>
      <c r="J261">
        <v>1.10284859632101</v>
      </c>
      <c r="K261">
        <v>43</v>
      </c>
      <c r="L261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30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0.51062204735369909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0.45048365558606801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0.579636180667775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0.15858779300546599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1.42475765411467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1" s="5">
        <f>IF((DiscreteStatsTable[[#This Row],[RepsRequested]]&gt;1),DiscreteStatsTable[[#This Row],[HalfWidth]],DiscreteStatsTable[[#This Row],[BatchMeansHalfWidth]])</f>
        <v>1.348890019315159E-2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30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27</v>
      </c>
      <c r="D262" t="s">
        <v>79</v>
      </c>
      <c r="E262" t="s">
        <v>83</v>
      </c>
      <c r="F262" t="s">
        <v>81</v>
      </c>
      <c r="G262">
        <v>0</v>
      </c>
      <c r="H262">
        <v>2E+20</v>
      </c>
      <c r="I262">
        <v>0</v>
      </c>
      <c r="J262">
        <v>0</v>
      </c>
      <c r="K262">
        <v>43</v>
      </c>
      <c r="L262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30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2" s="5">
        <f>IF((DiscreteStatsTable[[#This Row],[RepsRequested]]&gt;1),DiscreteStatsTable[[#This Row],[HalfWidth]],DiscreteStatsTable[[#This Row],[BatchMeansHalfWidth]])</f>
        <v>0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30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28</v>
      </c>
      <c r="D263" t="s">
        <v>79</v>
      </c>
      <c r="E263" t="s">
        <v>80</v>
      </c>
      <c r="F263" t="s">
        <v>81</v>
      </c>
      <c r="G263">
        <v>0.48920275254853801</v>
      </c>
      <c r="H263">
        <v>2E+20</v>
      </c>
      <c r="I263">
        <v>0.206908543913087</v>
      </c>
      <c r="J263">
        <v>0.863336481036306</v>
      </c>
      <c r="K263">
        <v>39</v>
      </c>
      <c r="L263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30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0.51062204735369909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0.45048365558606801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0.579636180667775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0.15858779300546599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1.42475765411467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3" s="5">
        <f>IF((DiscreteStatsTable[[#This Row],[RepsRequested]]&gt;1),DiscreteStatsTable[[#This Row],[HalfWidth]],DiscreteStatsTable[[#This Row],[BatchMeansHalfWidth]])</f>
        <v>1.348890019315159E-2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30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28</v>
      </c>
      <c r="D264" t="s">
        <v>79</v>
      </c>
      <c r="E264" t="s">
        <v>82</v>
      </c>
      <c r="F264" t="s">
        <v>81</v>
      </c>
      <c r="G264">
        <v>0.48920275254853801</v>
      </c>
      <c r="H264">
        <v>2E+20</v>
      </c>
      <c r="I264">
        <v>0.206908543913087</v>
      </c>
      <c r="J264">
        <v>0.863336481036306</v>
      </c>
      <c r="K264">
        <v>39</v>
      </c>
      <c r="L264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30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0.51062204735369909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0.45048365558606801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0.579636180667775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0.15858779300546599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1.42475765411467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4" s="5">
        <f>IF((DiscreteStatsTable[[#This Row],[RepsRequested]]&gt;1),DiscreteStatsTable[[#This Row],[HalfWidth]],DiscreteStatsTable[[#This Row],[BatchMeansHalfWidth]])</f>
        <v>1.348890019315159E-2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30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28</v>
      </c>
      <c r="D265" t="s">
        <v>79</v>
      </c>
      <c r="E265" t="s">
        <v>83</v>
      </c>
      <c r="F265" t="s">
        <v>81</v>
      </c>
      <c r="G265">
        <v>0</v>
      </c>
      <c r="H265">
        <v>2E+20</v>
      </c>
      <c r="I265">
        <v>0</v>
      </c>
      <c r="J265">
        <v>0</v>
      </c>
      <c r="K265">
        <v>39</v>
      </c>
      <c r="L265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30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30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29</v>
      </c>
      <c r="D266" t="s">
        <v>79</v>
      </c>
      <c r="E266" t="s">
        <v>80</v>
      </c>
      <c r="F266" t="s">
        <v>81</v>
      </c>
      <c r="G266">
        <v>0.52685129864247804</v>
      </c>
      <c r="H266">
        <v>2E+20</v>
      </c>
      <c r="I266">
        <v>0.19890761841700999</v>
      </c>
      <c r="J266">
        <v>1.1165132167260801</v>
      </c>
      <c r="K266">
        <v>47</v>
      </c>
      <c r="L266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30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0.51062204735369909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0.45048365558606801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0.579636180667775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0.15858779300546599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1.42475765411467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6" s="5">
        <f>IF((DiscreteStatsTable[[#This Row],[RepsRequested]]&gt;1),DiscreteStatsTable[[#This Row],[HalfWidth]],DiscreteStatsTable[[#This Row],[BatchMeansHalfWidth]])</f>
        <v>1.348890019315159E-2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30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29</v>
      </c>
      <c r="D267" t="s">
        <v>79</v>
      </c>
      <c r="E267" t="s">
        <v>82</v>
      </c>
      <c r="F267" t="s">
        <v>81</v>
      </c>
      <c r="G267">
        <v>0.52685129864247804</v>
      </c>
      <c r="H267">
        <v>2E+20</v>
      </c>
      <c r="I267">
        <v>0.19890761841700999</v>
      </c>
      <c r="J267">
        <v>1.1165132167260801</v>
      </c>
      <c r="K267">
        <v>47</v>
      </c>
      <c r="L267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30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0.51062204735369909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0.45048365558606801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0.579636180667775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0.15858779300546599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1.42475765411467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7" s="5">
        <f>IF((DiscreteStatsTable[[#This Row],[RepsRequested]]&gt;1),DiscreteStatsTable[[#This Row],[HalfWidth]],DiscreteStatsTable[[#This Row],[BatchMeansHalfWidth]])</f>
        <v>1.348890019315159E-2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30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29</v>
      </c>
      <c r="D268" t="s">
        <v>79</v>
      </c>
      <c r="E268" t="s">
        <v>83</v>
      </c>
      <c r="F268" t="s">
        <v>81</v>
      </c>
      <c r="G268">
        <v>0</v>
      </c>
      <c r="H268">
        <v>2E+20</v>
      </c>
      <c r="I268">
        <v>0</v>
      </c>
      <c r="J268">
        <v>0</v>
      </c>
      <c r="K268">
        <v>47</v>
      </c>
      <c r="L268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30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8" s="5">
        <f>IF((DiscreteStatsTable[[#This Row],[RepsRequested]]&gt;1),DiscreteStatsTable[[#This Row],[HalfWidth]],DiscreteStatsTable[[#This Row],[BatchMeansHalfWidth]])</f>
        <v>0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30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30</v>
      </c>
      <c r="D269" t="s">
        <v>79</v>
      </c>
      <c r="E269" t="s">
        <v>80</v>
      </c>
      <c r="F269" t="s">
        <v>81</v>
      </c>
      <c r="G269">
        <v>0.48315836752618802</v>
      </c>
      <c r="H269">
        <v>2E+20</v>
      </c>
      <c r="I269">
        <v>0.20787236124452599</v>
      </c>
      <c r="J269">
        <v>1.0531372480224901</v>
      </c>
      <c r="K269">
        <v>35</v>
      </c>
      <c r="L269" s="5" t="str">
        <f>DiscreteStatsTable[[#This Row],[ProjectName]]&amp;DiscreteStatsTable[[#This Row],[Name]]&amp;DiscreteStatsTable[[#This Row],[Type]]&amp;DiscreteStatsTable[[#This Row],[Source]]</f>
        <v>Pedido CleintesEmpaque de pedidosTotal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30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0.51062204735369909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0.45048365558606801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0.579636180667775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0.15858779300546599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1.42475765411467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69" s="5">
        <f>IF((DiscreteStatsTable[[#This Row],[RepsRequested]]&gt;1),DiscreteStatsTable[[#This Row],[HalfWidth]],DiscreteStatsTable[[#This Row],[BatchMeansHalfWidth]])</f>
        <v>1.348890019315159E-2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30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30</v>
      </c>
      <c r="D270" t="s">
        <v>79</v>
      </c>
      <c r="E270" t="s">
        <v>82</v>
      </c>
      <c r="F270" t="s">
        <v>81</v>
      </c>
      <c r="G270">
        <v>0.48315836752618802</v>
      </c>
      <c r="H270">
        <v>2E+20</v>
      </c>
      <c r="I270">
        <v>0.20787236124452599</v>
      </c>
      <c r="J270">
        <v>1.0531372480224901</v>
      </c>
      <c r="K270">
        <v>35</v>
      </c>
      <c r="L270" s="5" t="str">
        <f>DiscreteStatsTable[[#This Row],[ProjectName]]&amp;DiscreteStatsTable[[#This Row],[Name]]&amp;DiscreteStatsTable[[#This Row],[Type]]&amp;DiscreteStatsTable[[#This Row],[Source]]</f>
        <v>Pedido CleintesEmpaque de pedidosVA Time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30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0.51062204735369909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3.6123938160903798E-2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1.348890019315159E-2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0.45048365558606801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0.579636180667775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0.15858779300546599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1.42475765411467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70" s="5">
        <f>IF((DiscreteStatsTable[[#This Row],[RepsRequested]]&gt;1),DiscreteStatsTable[[#This Row],[HalfWidth]],DiscreteStatsTable[[#This Row],[BatchMeansHalfWidth]])</f>
        <v>1.348890019315159E-2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30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30</v>
      </c>
      <c r="D271" t="s">
        <v>79</v>
      </c>
      <c r="E271" t="s">
        <v>83</v>
      </c>
      <c r="F271" t="s">
        <v>81</v>
      </c>
      <c r="G271">
        <v>0</v>
      </c>
      <c r="H271">
        <v>2E+20</v>
      </c>
      <c r="I271">
        <v>0</v>
      </c>
      <c r="J271">
        <v>0</v>
      </c>
      <c r="K271">
        <v>35</v>
      </c>
      <c r="L271" s="5" t="str">
        <f>DiscreteStatsTable[[#This Row],[ProjectName]]&amp;DiscreteStatsTable[[#This Row],[Name]]&amp;DiscreteStatsTable[[#This Row],[Type]]&amp;DiscreteStatsTable[[#This Row],[Source]]</f>
        <v>Pedido CleintesEmpaque de pedidosWait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30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30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1</v>
      </c>
      <c r="D272" t="s">
        <v>84</v>
      </c>
      <c r="E272" t="s">
        <v>85</v>
      </c>
      <c r="F272" t="s">
        <v>86</v>
      </c>
      <c r="G272">
        <v>0</v>
      </c>
      <c r="H272">
        <v>2E+20</v>
      </c>
      <c r="I272">
        <v>0</v>
      </c>
      <c r="J272">
        <v>0</v>
      </c>
      <c r="K272">
        <v>25</v>
      </c>
      <c r="L272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30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0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2" s="5">
        <f>IF((DiscreteStatsTable[[#This Row],[RepsRequested]]&gt;1),DiscreteStatsTable[[#This Row],[HalfWidth]],DiscreteStatsTable[[#This Row],[BatchMeansHalfWidth]])</f>
        <v>0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30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2</v>
      </c>
      <c r="D273" t="s">
        <v>84</v>
      </c>
      <c r="E273" t="s">
        <v>85</v>
      </c>
      <c r="F273" t="s">
        <v>86</v>
      </c>
      <c r="G273">
        <v>0</v>
      </c>
      <c r="H273">
        <v>2E+20</v>
      </c>
      <c r="I273">
        <v>0</v>
      </c>
      <c r="J273">
        <v>0</v>
      </c>
      <c r="K273">
        <v>41</v>
      </c>
      <c r="L273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30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3" s="5">
        <f>IF((DiscreteStatsTable[[#This Row],[RepsRequested]]&gt;1),DiscreteStatsTable[[#This Row],[HalfWidth]],DiscreteStatsTable[[#This Row],[BatchMeansHalfWidth]])</f>
        <v>0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30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3</v>
      </c>
      <c r="D274" t="s">
        <v>84</v>
      </c>
      <c r="E274" t="s">
        <v>85</v>
      </c>
      <c r="F274" t="s">
        <v>86</v>
      </c>
      <c r="G274">
        <v>0</v>
      </c>
      <c r="H274">
        <v>2E+20</v>
      </c>
      <c r="I274">
        <v>0</v>
      </c>
      <c r="J274">
        <v>0</v>
      </c>
      <c r="K274">
        <v>47</v>
      </c>
      <c r="L274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30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4" s="5">
        <f>IF((DiscreteStatsTable[[#This Row],[RepsRequested]]&gt;1),DiscreteStatsTable[[#This Row],[HalfWidth]],DiscreteStatsTable[[#This Row],[BatchMeansHalfWidth]])</f>
        <v>0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30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4</v>
      </c>
      <c r="D275" t="s">
        <v>84</v>
      </c>
      <c r="E275" t="s">
        <v>85</v>
      </c>
      <c r="F275" t="s">
        <v>86</v>
      </c>
      <c r="G275">
        <v>0</v>
      </c>
      <c r="H275">
        <v>2E+20</v>
      </c>
      <c r="I275">
        <v>0</v>
      </c>
      <c r="J275">
        <v>0</v>
      </c>
      <c r="K275">
        <v>33</v>
      </c>
      <c r="L275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30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5" s="5">
        <f>IF((DiscreteStatsTable[[#This Row],[RepsRequested]]&gt;1),DiscreteStatsTable[[#This Row],[HalfWidth]],DiscreteStatsTable[[#This Row],[BatchMeansHalfWidth]])</f>
        <v>0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30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5</v>
      </c>
      <c r="D276" t="s">
        <v>84</v>
      </c>
      <c r="E276" t="s">
        <v>85</v>
      </c>
      <c r="F276" t="s">
        <v>86</v>
      </c>
      <c r="G276">
        <v>0</v>
      </c>
      <c r="H276">
        <v>2E+20</v>
      </c>
      <c r="I276">
        <v>0</v>
      </c>
      <c r="J276">
        <v>0</v>
      </c>
      <c r="K276">
        <v>45</v>
      </c>
      <c r="L276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30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30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6</v>
      </c>
      <c r="D277" t="s">
        <v>84</v>
      </c>
      <c r="E277" t="s">
        <v>85</v>
      </c>
      <c r="F277" t="s">
        <v>86</v>
      </c>
      <c r="G277">
        <v>0</v>
      </c>
      <c r="H277">
        <v>2E+20</v>
      </c>
      <c r="I277">
        <v>0</v>
      </c>
      <c r="J277">
        <v>0</v>
      </c>
      <c r="K277">
        <v>39</v>
      </c>
      <c r="L277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30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30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7</v>
      </c>
      <c r="D278" t="s">
        <v>84</v>
      </c>
      <c r="E278" t="s">
        <v>85</v>
      </c>
      <c r="F278" t="s">
        <v>86</v>
      </c>
      <c r="G278">
        <v>0</v>
      </c>
      <c r="H278">
        <v>2E+20</v>
      </c>
      <c r="I278">
        <v>0</v>
      </c>
      <c r="J278">
        <v>0</v>
      </c>
      <c r="K278">
        <v>38</v>
      </c>
      <c r="L278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30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0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8" s="5">
        <f>IF((DiscreteStatsTable[[#This Row],[RepsRequested]]&gt;1),DiscreteStatsTable[[#This Row],[HalfWidth]],DiscreteStatsTable[[#This Row],[BatchMeansHalfWidth]])</f>
        <v>0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30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8</v>
      </c>
      <c r="D279" t="s">
        <v>84</v>
      </c>
      <c r="E279" t="s">
        <v>85</v>
      </c>
      <c r="F279" t="s">
        <v>86</v>
      </c>
      <c r="G279">
        <v>0</v>
      </c>
      <c r="H279">
        <v>2E+20</v>
      </c>
      <c r="I279">
        <v>0</v>
      </c>
      <c r="J279">
        <v>0</v>
      </c>
      <c r="K279">
        <v>35</v>
      </c>
      <c r="L279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30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79" s="5">
        <f>IF((DiscreteStatsTable[[#This Row],[RepsRequested]]&gt;1),DiscreteStatsTable[[#This Row],[HalfWidth]],DiscreteStatsTable[[#This Row],[BatchMeansHalfWidth]])</f>
        <v>0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30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9</v>
      </c>
      <c r="D280" t="s">
        <v>84</v>
      </c>
      <c r="E280" t="s">
        <v>85</v>
      </c>
      <c r="F280" t="s">
        <v>86</v>
      </c>
      <c r="G280">
        <v>0</v>
      </c>
      <c r="H280">
        <v>2E+20</v>
      </c>
      <c r="I280">
        <v>0</v>
      </c>
      <c r="J280">
        <v>0</v>
      </c>
      <c r="K280">
        <v>34</v>
      </c>
      <c r="L280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30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0" s="5">
        <f>IF((DiscreteStatsTable[[#This Row],[RepsRequested]]&gt;1),DiscreteStatsTable[[#This Row],[HalfWidth]],DiscreteStatsTable[[#This Row],[BatchMeansHalfWidth]])</f>
        <v>0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30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10</v>
      </c>
      <c r="D281" t="s">
        <v>84</v>
      </c>
      <c r="E281" t="s">
        <v>85</v>
      </c>
      <c r="F281" t="s">
        <v>86</v>
      </c>
      <c r="G281">
        <v>0</v>
      </c>
      <c r="H281">
        <v>2E+20</v>
      </c>
      <c r="I281">
        <v>0</v>
      </c>
      <c r="J281">
        <v>0</v>
      </c>
      <c r="K281">
        <v>41</v>
      </c>
      <c r="L281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30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1" s="5">
        <f>IF((DiscreteStatsTable[[#This Row],[RepsRequested]]&gt;1),DiscreteStatsTable[[#This Row],[HalfWidth]],DiscreteStatsTable[[#This Row],[BatchMeansHalfWidth]])</f>
        <v>0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30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11</v>
      </c>
      <c r="D282" t="s">
        <v>84</v>
      </c>
      <c r="E282" t="s">
        <v>85</v>
      </c>
      <c r="F282" t="s">
        <v>86</v>
      </c>
      <c r="G282">
        <v>0</v>
      </c>
      <c r="H282">
        <v>2E+20</v>
      </c>
      <c r="I282">
        <v>0</v>
      </c>
      <c r="J282">
        <v>0</v>
      </c>
      <c r="K282">
        <v>44</v>
      </c>
      <c r="L282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30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30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12</v>
      </c>
      <c r="D283" t="s">
        <v>84</v>
      </c>
      <c r="E283" t="s">
        <v>85</v>
      </c>
      <c r="F283" t="s">
        <v>86</v>
      </c>
      <c r="G283">
        <v>0</v>
      </c>
      <c r="H283">
        <v>2E+20</v>
      </c>
      <c r="I283">
        <v>0</v>
      </c>
      <c r="J283">
        <v>0</v>
      </c>
      <c r="K283">
        <v>28</v>
      </c>
      <c r="L283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30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30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13</v>
      </c>
      <c r="D284" t="s">
        <v>84</v>
      </c>
      <c r="E284" t="s">
        <v>85</v>
      </c>
      <c r="F284" t="s">
        <v>86</v>
      </c>
      <c r="G284">
        <v>0</v>
      </c>
      <c r="H284">
        <v>2E+20</v>
      </c>
      <c r="I284">
        <v>0</v>
      </c>
      <c r="J284">
        <v>0</v>
      </c>
      <c r="K284">
        <v>37</v>
      </c>
      <c r="L284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30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4" s="5">
        <f>IF((DiscreteStatsTable[[#This Row],[RepsRequested]]&gt;1),DiscreteStatsTable[[#This Row],[HalfWidth]],DiscreteStatsTable[[#This Row],[BatchMeansHalfWidth]])</f>
        <v>0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30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14</v>
      </c>
      <c r="D285" t="s">
        <v>84</v>
      </c>
      <c r="E285" t="s">
        <v>85</v>
      </c>
      <c r="F285" t="s">
        <v>86</v>
      </c>
      <c r="G285">
        <v>0</v>
      </c>
      <c r="H285">
        <v>2E+20</v>
      </c>
      <c r="I285">
        <v>0</v>
      </c>
      <c r="J285">
        <v>0</v>
      </c>
      <c r="K285">
        <v>44</v>
      </c>
      <c r="L285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30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5" s="5">
        <f>IF((DiscreteStatsTable[[#This Row],[RepsRequested]]&gt;1),DiscreteStatsTable[[#This Row],[HalfWidth]],DiscreteStatsTable[[#This Row],[BatchMeansHalfWidth]])</f>
        <v>0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30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15</v>
      </c>
      <c r="D286" t="s">
        <v>84</v>
      </c>
      <c r="E286" t="s">
        <v>85</v>
      </c>
      <c r="F286" t="s">
        <v>86</v>
      </c>
      <c r="G286">
        <v>0</v>
      </c>
      <c r="H286">
        <v>2E+20</v>
      </c>
      <c r="I286">
        <v>0</v>
      </c>
      <c r="J286">
        <v>0</v>
      </c>
      <c r="K286">
        <v>46</v>
      </c>
      <c r="L286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30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30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16</v>
      </c>
      <c r="D287" t="s">
        <v>84</v>
      </c>
      <c r="E287" t="s">
        <v>85</v>
      </c>
      <c r="F287" t="s">
        <v>86</v>
      </c>
      <c r="G287">
        <v>0</v>
      </c>
      <c r="H287">
        <v>2E+20</v>
      </c>
      <c r="I287">
        <v>0</v>
      </c>
      <c r="J287">
        <v>0</v>
      </c>
      <c r="K287">
        <v>36</v>
      </c>
      <c r="L287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30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30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17</v>
      </c>
      <c r="D288" t="s">
        <v>84</v>
      </c>
      <c r="E288" t="s">
        <v>85</v>
      </c>
      <c r="F288" t="s">
        <v>86</v>
      </c>
      <c r="G288">
        <v>0</v>
      </c>
      <c r="H288">
        <v>2E+20</v>
      </c>
      <c r="I288">
        <v>0</v>
      </c>
      <c r="J288">
        <v>0</v>
      </c>
      <c r="K288">
        <v>31</v>
      </c>
      <c r="L288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30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30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18</v>
      </c>
      <c r="D289" t="s">
        <v>84</v>
      </c>
      <c r="E289" t="s">
        <v>85</v>
      </c>
      <c r="F289" t="s">
        <v>86</v>
      </c>
      <c r="G289">
        <v>0</v>
      </c>
      <c r="H289">
        <v>2E+20</v>
      </c>
      <c r="I289">
        <v>0</v>
      </c>
      <c r="J289">
        <v>0</v>
      </c>
      <c r="K289">
        <v>44</v>
      </c>
      <c r="L289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30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30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19</v>
      </c>
      <c r="D290" t="s">
        <v>84</v>
      </c>
      <c r="E290" t="s">
        <v>85</v>
      </c>
      <c r="F290" t="s">
        <v>86</v>
      </c>
      <c r="G290">
        <v>0</v>
      </c>
      <c r="H290">
        <v>2E+20</v>
      </c>
      <c r="I290">
        <v>0</v>
      </c>
      <c r="J290">
        <v>0</v>
      </c>
      <c r="K290">
        <v>32</v>
      </c>
      <c r="L290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30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0" s="5">
        <f>IF((DiscreteStatsTable[[#This Row],[RepsRequested]]&gt;1),DiscreteStatsTable[[#This Row],[HalfWidth]],DiscreteStatsTable[[#This Row],[BatchMeansHalfWidth]])</f>
        <v>0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30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20</v>
      </c>
      <c r="D291" t="s">
        <v>84</v>
      </c>
      <c r="E291" t="s">
        <v>85</v>
      </c>
      <c r="F291" t="s">
        <v>86</v>
      </c>
      <c r="G291">
        <v>0</v>
      </c>
      <c r="H291">
        <v>2E+20</v>
      </c>
      <c r="I291">
        <v>0</v>
      </c>
      <c r="J291">
        <v>0</v>
      </c>
      <c r="K291">
        <v>42</v>
      </c>
      <c r="L291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30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1" s="5">
        <f>IF((DiscreteStatsTable[[#This Row],[RepsRequested]]&gt;1),DiscreteStatsTable[[#This Row],[HalfWidth]],DiscreteStatsTable[[#This Row],[BatchMeansHalfWidth]])</f>
        <v>0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30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21</v>
      </c>
      <c r="D292" t="s">
        <v>84</v>
      </c>
      <c r="E292" t="s">
        <v>85</v>
      </c>
      <c r="F292" t="s">
        <v>86</v>
      </c>
      <c r="G292">
        <v>0</v>
      </c>
      <c r="H292">
        <v>2E+20</v>
      </c>
      <c r="I292">
        <v>0</v>
      </c>
      <c r="J292">
        <v>0</v>
      </c>
      <c r="K292">
        <v>49</v>
      </c>
      <c r="L292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30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30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22</v>
      </c>
      <c r="D293" t="s">
        <v>84</v>
      </c>
      <c r="E293" t="s">
        <v>85</v>
      </c>
      <c r="F293" t="s">
        <v>86</v>
      </c>
      <c r="G293">
        <v>0</v>
      </c>
      <c r="H293">
        <v>2E+20</v>
      </c>
      <c r="I293">
        <v>0</v>
      </c>
      <c r="J293">
        <v>0</v>
      </c>
      <c r="K293">
        <v>34</v>
      </c>
      <c r="L293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30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30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23</v>
      </c>
      <c r="D294" t="s">
        <v>84</v>
      </c>
      <c r="E294" t="s">
        <v>85</v>
      </c>
      <c r="F294" t="s">
        <v>86</v>
      </c>
      <c r="G294">
        <v>0</v>
      </c>
      <c r="H294">
        <v>2E+20</v>
      </c>
      <c r="I294">
        <v>0</v>
      </c>
      <c r="J294">
        <v>0</v>
      </c>
      <c r="K294">
        <v>40</v>
      </c>
      <c r="L294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30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30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24</v>
      </c>
      <c r="D295" t="s">
        <v>84</v>
      </c>
      <c r="E295" t="s">
        <v>85</v>
      </c>
      <c r="F295" t="s">
        <v>86</v>
      </c>
      <c r="G295">
        <v>0</v>
      </c>
      <c r="H295">
        <v>2E+20</v>
      </c>
      <c r="I295">
        <v>0</v>
      </c>
      <c r="J295">
        <v>0</v>
      </c>
      <c r="K295">
        <v>39</v>
      </c>
      <c r="L295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30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30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25</v>
      </c>
      <c r="D296" t="s">
        <v>84</v>
      </c>
      <c r="E296" t="s">
        <v>85</v>
      </c>
      <c r="F296" t="s">
        <v>86</v>
      </c>
      <c r="G296">
        <v>0</v>
      </c>
      <c r="H296">
        <v>2E+20</v>
      </c>
      <c r="I296">
        <v>0</v>
      </c>
      <c r="J296">
        <v>0</v>
      </c>
      <c r="K296">
        <v>35</v>
      </c>
      <c r="L296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30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6" s="5">
        <f>IF((DiscreteStatsTable[[#This Row],[RepsRequested]]&gt;1),DiscreteStatsTable[[#This Row],[HalfWidth]],DiscreteStatsTable[[#This Row],[BatchMeansHalfWidth]])</f>
        <v>0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30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26</v>
      </c>
      <c r="D297" t="s">
        <v>84</v>
      </c>
      <c r="E297" t="s">
        <v>85</v>
      </c>
      <c r="F297" t="s">
        <v>86</v>
      </c>
      <c r="G297">
        <v>0</v>
      </c>
      <c r="H297">
        <v>2E+20</v>
      </c>
      <c r="I297">
        <v>0</v>
      </c>
      <c r="J297">
        <v>0</v>
      </c>
      <c r="K297">
        <v>45</v>
      </c>
      <c r="L297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30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7" s="5">
        <f>IF((DiscreteStatsTable[[#This Row],[RepsRequested]]&gt;1),DiscreteStatsTable[[#This Row],[HalfWidth]],DiscreteStatsTable[[#This Row],[BatchMeansHalfWidth]])</f>
        <v>0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30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27</v>
      </c>
      <c r="D298" t="s">
        <v>84</v>
      </c>
      <c r="E298" t="s">
        <v>85</v>
      </c>
      <c r="F298" t="s">
        <v>86</v>
      </c>
      <c r="G298">
        <v>0</v>
      </c>
      <c r="H298">
        <v>2E+20</v>
      </c>
      <c r="I298">
        <v>0</v>
      </c>
      <c r="J298">
        <v>0</v>
      </c>
      <c r="K298">
        <v>43</v>
      </c>
      <c r="L298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30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30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28</v>
      </c>
      <c r="D299" t="s">
        <v>84</v>
      </c>
      <c r="E299" t="s">
        <v>85</v>
      </c>
      <c r="F299" t="s">
        <v>86</v>
      </c>
      <c r="G299">
        <v>0</v>
      </c>
      <c r="H299">
        <v>2E+20</v>
      </c>
      <c r="I299">
        <v>0</v>
      </c>
      <c r="J299">
        <v>0</v>
      </c>
      <c r="K299">
        <v>39</v>
      </c>
      <c r="L299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30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30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29</v>
      </c>
      <c r="D300" t="s">
        <v>84</v>
      </c>
      <c r="E300" t="s">
        <v>85</v>
      </c>
      <c r="F300" t="s">
        <v>86</v>
      </c>
      <c r="G300">
        <v>0</v>
      </c>
      <c r="H300">
        <v>2E+20</v>
      </c>
      <c r="I300">
        <v>0</v>
      </c>
      <c r="J300">
        <v>0</v>
      </c>
      <c r="K300">
        <v>47</v>
      </c>
      <c r="L300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30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30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30</v>
      </c>
      <c r="D301" t="s">
        <v>84</v>
      </c>
      <c r="E301" t="s">
        <v>85</v>
      </c>
      <c r="F301" t="s">
        <v>86</v>
      </c>
      <c r="G301">
        <v>0</v>
      </c>
      <c r="H301">
        <v>2E+20</v>
      </c>
      <c r="I301">
        <v>0</v>
      </c>
      <c r="J301">
        <v>0</v>
      </c>
      <c r="K301">
        <v>35</v>
      </c>
      <c r="L301" s="5" t="str">
        <f>DiscreteStatsTable[[#This Row],[ProjectName]]&amp;DiscreteStatsTable[[#This Row],[Name]]&amp;DiscreteStatsTable[[#This Row],[Type]]&amp;DiscreteStatsTable[[#This Row],[Source]]</f>
        <v>Pedido CleintesEmpaque de pedidos.QueueWaiting TimeQueue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30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30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</v>
      </c>
      <c r="D302" t="s">
        <v>87</v>
      </c>
      <c r="E302" t="s">
        <v>85</v>
      </c>
      <c r="F302" t="s">
        <v>86</v>
      </c>
      <c r="G302">
        <v>2.5792175536502899</v>
      </c>
      <c r="H302">
        <v>2E+20</v>
      </c>
      <c r="I302">
        <v>1.5097767760263201</v>
      </c>
      <c r="J302">
        <v>3.9105334732157999</v>
      </c>
      <c r="K302">
        <v>25</v>
      </c>
      <c r="L302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30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2.9173465758568971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2.3220935699991401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3.6762693648511302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11.0435763581718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2" s="5">
        <f>IF((DiscreteStatsTable[[#This Row],[RepsRequested]]&gt;1),DiscreteStatsTable[[#This Row],[HalfWidth]],DiscreteStatsTable[[#This Row],[BatchMeansHalfWidth]])</f>
        <v>0.12741806469788963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30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2</v>
      </c>
      <c r="D303" t="s">
        <v>87</v>
      </c>
      <c r="E303" t="s">
        <v>85</v>
      </c>
      <c r="F303" t="s">
        <v>86</v>
      </c>
      <c r="G303">
        <v>2.7381637096768099</v>
      </c>
      <c r="H303">
        <v>2E+20</v>
      </c>
      <c r="I303">
        <v>1.2928356188239201</v>
      </c>
      <c r="J303">
        <v>5.3439931566600496</v>
      </c>
      <c r="K303">
        <v>41</v>
      </c>
      <c r="L303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30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2.9173465758568971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2.3220935699991401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3.6762693648511302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11.0435763581718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3" s="5">
        <f>IF((DiscreteStatsTable[[#This Row],[RepsRequested]]&gt;1),DiscreteStatsTable[[#This Row],[HalfWidth]],DiscreteStatsTable[[#This Row],[BatchMeansHalfWidth]])</f>
        <v>0.12741806469788963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30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3</v>
      </c>
      <c r="D304" t="s">
        <v>87</v>
      </c>
      <c r="E304" t="s">
        <v>85</v>
      </c>
      <c r="F304" t="s">
        <v>86</v>
      </c>
      <c r="G304">
        <v>3.2606295455889902</v>
      </c>
      <c r="H304">
        <v>2E+20</v>
      </c>
      <c r="I304">
        <v>4.98474293469542E-2</v>
      </c>
      <c r="J304">
        <v>11.0435763581718</v>
      </c>
      <c r="K304">
        <v>47</v>
      </c>
      <c r="L304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30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2.9173465758568971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2.3220935699991401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3.6762693648511302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11.0435763581718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4" s="5">
        <f>IF((DiscreteStatsTable[[#This Row],[RepsRequested]]&gt;1),DiscreteStatsTable[[#This Row],[HalfWidth]],DiscreteStatsTable[[#This Row],[BatchMeansHalfWidth]])</f>
        <v>0.12741806469788963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30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4</v>
      </c>
      <c r="D305" t="s">
        <v>87</v>
      </c>
      <c r="E305" t="s">
        <v>85</v>
      </c>
      <c r="F305" t="s">
        <v>86</v>
      </c>
      <c r="G305">
        <v>2.64480755238153</v>
      </c>
      <c r="H305">
        <v>2E+20</v>
      </c>
      <c r="I305">
        <v>0.61209523282275302</v>
      </c>
      <c r="J305">
        <v>4.1789407853266898</v>
      </c>
      <c r="K305">
        <v>33</v>
      </c>
      <c r="L305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30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2.9173465758568971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2.3220935699991401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3.6762693648511302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11.0435763581718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5" s="5">
        <f>IF((DiscreteStatsTable[[#This Row],[RepsRequested]]&gt;1),DiscreteStatsTable[[#This Row],[HalfWidth]],DiscreteStatsTable[[#This Row],[BatchMeansHalfWidth]])</f>
        <v>0.12741806469788963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30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5</v>
      </c>
      <c r="D306" t="s">
        <v>87</v>
      </c>
      <c r="E306" t="s">
        <v>85</v>
      </c>
      <c r="F306" t="s">
        <v>86</v>
      </c>
      <c r="G306">
        <v>3.59840113473913</v>
      </c>
      <c r="H306">
        <v>2E+20</v>
      </c>
      <c r="I306">
        <v>1.14297395617815</v>
      </c>
      <c r="J306">
        <v>9.8715937618972305</v>
      </c>
      <c r="K306">
        <v>45</v>
      </c>
      <c r="L306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30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2.9173465758568971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2.3220935699991401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3.6762693648511302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11.0435763581718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6" s="5">
        <f>IF((DiscreteStatsTable[[#This Row],[RepsRequested]]&gt;1),DiscreteStatsTable[[#This Row],[HalfWidth]],DiscreteStatsTable[[#This Row],[BatchMeansHalfWidth]])</f>
        <v>0.12741806469788963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30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6</v>
      </c>
      <c r="D307" t="s">
        <v>87</v>
      </c>
      <c r="E307" t="s">
        <v>85</v>
      </c>
      <c r="F307" t="s">
        <v>86</v>
      </c>
      <c r="G307">
        <v>3.1207306051644998</v>
      </c>
      <c r="H307">
        <v>2E+20</v>
      </c>
      <c r="I307">
        <v>1.52993617955906</v>
      </c>
      <c r="J307">
        <v>6.9753770976142304</v>
      </c>
      <c r="K307">
        <v>39</v>
      </c>
      <c r="L307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30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2.9173465758568971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2.3220935699991401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3.6762693648511302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11.0435763581718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7" s="5">
        <f>IF((DiscreteStatsTable[[#This Row],[RepsRequested]]&gt;1),DiscreteStatsTable[[#This Row],[HalfWidth]],DiscreteStatsTable[[#This Row],[BatchMeansHalfWidth]])</f>
        <v>0.12741806469788963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30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7</v>
      </c>
      <c r="D308" t="s">
        <v>87</v>
      </c>
      <c r="E308" t="s">
        <v>85</v>
      </c>
      <c r="F308" t="s">
        <v>86</v>
      </c>
      <c r="G308">
        <v>3.1742160649827298</v>
      </c>
      <c r="H308">
        <v>2E+20</v>
      </c>
      <c r="I308">
        <v>1.66995156682947</v>
      </c>
      <c r="J308">
        <v>7.9945684614645103</v>
      </c>
      <c r="K308">
        <v>38</v>
      </c>
      <c r="L308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30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2.9173465758568971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2.3220935699991401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3.6762693648511302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11.0435763581718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8" s="5">
        <f>IF((DiscreteStatsTable[[#This Row],[RepsRequested]]&gt;1),DiscreteStatsTable[[#This Row],[HalfWidth]],DiscreteStatsTable[[#This Row],[BatchMeansHalfWidth]])</f>
        <v>0.12741806469788963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30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8</v>
      </c>
      <c r="D309" t="s">
        <v>87</v>
      </c>
      <c r="E309" t="s">
        <v>85</v>
      </c>
      <c r="F309" t="s">
        <v>86</v>
      </c>
      <c r="G309">
        <v>3.0305591959205902</v>
      </c>
      <c r="H309">
        <v>2E+20</v>
      </c>
      <c r="I309">
        <v>0.62514958276250399</v>
      </c>
      <c r="J309">
        <v>6.5638807980811897</v>
      </c>
      <c r="K309">
        <v>35</v>
      </c>
      <c r="L309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30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2.9173465758568971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2.3220935699991401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3.6762693648511302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11.0435763581718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09" s="5">
        <f>IF((DiscreteStatsTable[[#This Row],[RepsRequested]]&gt;1),DiscreteStatsTable[[#This Row],[HalfWidth]],DiscreteStatsTable[[#This Row],[BatchMeansHalfWidth]])</f>
        <v>0.12741806469788963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30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9</v>
      </c>
      <c r="D310" t="s">
        <v>87</v>
      </c>
      <c r="E310" t="s">
        <v>85</v>
      </c>
      <c r="F310" t="s">
        <v>86</v>
      </c>
      <c r="G310">
        <v>2.52193948823651</v>
      </c>
      <c r="H310">
        <v>2E+20</v>
      </c>
      <c r="I310">
        <v>0.85701230064319101</v>
      </c>
      <c r="J310">
        <v>4.4885074662773503</v>
      </c>
      <c r="K310">
        <v>34</v>
      </c>
      <c r="L310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30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2.9173465758568971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2.3220935699991401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3.6762693648511302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11.0435763581718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0" s="5">
        <f>IF((DiscreteStatsTable[[#This Row],[RepsRequested]]&gt;1),DiscreteStatsTable[[#This Row],[HalfWidth]],DiscreteStatsTable[[#This Row],[BatchMeansHalfWidth]])</f>
        <v>0.12741806469788963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30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10</v>
      </c>
      <c r="D311" t="s">
        <v>87</v>
      </c>
      <c r="E311" t="s">
        <v>85</v>
      </c>
      <c r="F311" t="s">
        <v>86</v>
      </c>
      <c r="G311">
        <v>2.5043110087826701</v>
      </c>
      <c r="H311">
        <v>2E+20</v>
      </c>
      <c r="I311">
        <v>0.594815154109682</v>
      </c>
      <c r="J311">
        <v>6.2366741456623096</v>
      </c>
      <c r="K311">
        <v>41</v>
      </c>
      <c r="L311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30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2.9173465758568971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2.3220935699991401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3.6762693648511302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11.0435763581718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1" s="5">
        <f>IF((DiscreteStatsTable[[#This Row],[RepsRequested]]&gt;1),DiscreteStatsTable[[#This Row],[HalfWidth]],DiscreteStatsTable[[#This Row],[BatchMeansHalfWidth]])</f>
        <v>0.12741806469788963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30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11</v>
      </c>
      <c r="D312" t="s">
        <v>87</v>
      </c>
      <c r="E312" t="s">
        <v>85</v>
      </c>
      <c r="F312" t="s">
        <v>86</v>
      </c>
      <c r="G312">
        <v>2.7480942963188402</v>
      </c>
      <c r="H312">
        <v>2E+20</v>
      </c>
      <c r="I312">
        <v>0.81550916630264703</v>
      </c>
      <c r="J312">
        <v>6.2008449272974397</v>
      </c>
      <c r="K312">
        <v>44</v>
      </c>
      <c r="L312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30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2.9173465758568971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2.3220935699991401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3.6762693648511302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11.0435763581718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2" s="5">
        <f>IF((DiscreteStatsTable[[#This Row],[RepsRequested]]&gt;1),DiscreteStatsTable[[#This Row],[HalfWidth]],DiscreteStatsTable[[#This Row],[BatchMeansHalfWidth]])</f>
        <v>0.12741806469788963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30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12</v>
      </c>
      <c r="D313" t="s">
        <v>87</v>
      </c>
      <c r="E313" t="s">
        <v>85</v>
      </c>
      <c r="F313" t="s">
        <v>86</v>
      </c>
      <c r="G313">
        <v>2.3220935699991401</v>
      </c>
      <c r="H313">
        <v>2E+20</v>
      </c>
      <c r="I313">
        <v>1.6520700544039599</v>
      </c>
      <c r="J313">
        <v>3.1003589346767102</v>
      </c>
      <c r="K313">
        <v>28</v>
      </c>
      <c r="L313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30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2.9173465758568971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2.3220935699991401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3.6762693648511302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11.0435763581718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3" s="5">
        <f>IF((DiscreteStatsTable[[#This Row],[RepsRequested]]&gt;1),DiscreteStatsTable[[#This Row],[HalfWidth]],DiscreteStatsTable[[#This Row],[BatchMeansHalfWidth]])</f>
        <v>0.12741806469788963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30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13</v>
      </c>
      <c r="D314" t="s">
        <v>87</v>
      </c>
      <c r="E314" t="s">
        <v>85</v>
      </c>
      <c r="F314" t="s">
        <v>86</v>
      </c>
      <c r="G314">
        <v>2.5656311380373999</v>
      </c>
      <c r="H314">
        <v>2E+20</v>
      </c>
      <c r="I314">
        <v>0.70987986434442996</v>
      </c>
      <c r="J314">
        <v>5.3469718732250699</v>
      </c>
      <c r="K314">
        <v>37</v>
      </c>
      <c r="L314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30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2.9173465758568971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2.3220935699991401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3.6762693648511302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11.0435763581718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4" s="5">
        <f>IF((DiscreteStatsTable[[#This Row],[RepsRequested]]&gt;1),DiscreteStatsTable[[#This Row],[HalfWidth]],DiscreteStatsTable[[#This Row],[BatchMeansHalfWidth]])</f>
        <v>0.12741806469788963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30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14</v>
      </c>
      <c r="D315" t="s">
        <v>87</v>
      </c>
      <c r="E315" t="s">
        <v>85</v>
      </c>
      <c r="F315" t="s">
        <v>86</v>
      </c>
      <c r="G315">
        <v>2.9183818039721698</v>
      </c>
      <c r="H315">
        <v>2E+20</v>
      </c>
      <c r="I315">
        <v>1.07273328039281</v>
      </c>
      <c r="J315">
        <v>6.7349763791412904</v>
      </c>
      <c r="K315">
        <v>44</v>
      </c>
      <c r="L315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30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2.9173465758568971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2.3220935699991401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3.6762693648511302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11.0435763581718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5" s="5">
        <f>IF((DiscreteStatsTable[[#This Row],[RepsRequested]]&gt;1),DiscreteStatsTable[[#This Row],[HalfWidth]],DiscreteStatsTable[[#This Row],[BatchMeansHalfWidth]])</f>
        <v>0.12741806469788963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30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15</v>
      </c>
      <c r="D316" t="s">
        <v>87</v>
      </c>
      <c r="E316" t="s">
        <v>85</v>
      </c>
      <c r="F316" t="s">
        <v>86</v>
      </c>
      <c r="G316">
        <v>2.9954748452251798</v>
      </c>
      <c r="H316">
        <v>2E+20</v>
      </c>
      <c r="I316">
        <v>0.44789527807387203</v>
      </c>
      <c r="J316">
        <v>5.9765819175763699</v>
      </c>
      <c r="K316">
        <v>46</v>
      </c>
      <c r="L316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30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2.9173465758568971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2.3220935699991401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3.6762693648511302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11.0435763581718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6" s="5">
        <f>IF((DiscreteStatsTable[[#This Row],[RepsRequested]]&gt;1),DiscreteStatsTable[[#This Row],[HalfWidth]],DiscreteStatsTable[[#This Row],[BatchMeansHalfWidth]])</f>
        <v>0.12741806469788963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30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16</v>
      </c>
      <c r="D317" t="s">
        <v>87</v>
      </c>
      <c r="E317" t="s">
        <v>85</v>
      </c>
      <c r="F317" t="s">
        <v>86</v>
      </c>
      <c r="G317">
        <v>2.6084020215612602</v>
      </c>
      <c r="H317">
        <v>2E+20</v>
      </c>
      <c r="I317">
        <v>0.88005422647583498</v>
      </c>
      <c r="J317">
        <v>5.78067344308357</v>
      </c>
      <c r="K317">
        <v>36</v>
      </c>
      <c r="L317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30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2.9173465758568971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2.3220935699991401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3.6762693648511302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11.0435763581718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7" s="5">
        <f>IF((DiscreteStatsTable[[#This Row],[RepsRequested]]&gt;1),DiscreteStatsTable[[#This Row],[HalfWidth]],DiscreteStatsTable[[#This Row],[BatchMeansHalfWidth]])</f>
        <v>0.12741806469788963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30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17</v>
      </c>
      <c r="D318" t="s">
        <v>87</v>
      </c>
      <c r="E318" t="s">
        <v>85</v>
      </c>
      <c r="F318" t="s">
        <v>86</v>
      </c>
      <c r="G318">
        <v>2.6201114986254201</v>
      </c>
      <c r="H318">
        <v>2E+20</v>
      </c>
      <c r="I318">
        <v>1.1665879861064099</v>
      </c>
      <c r="J318">
        <v>4.8238654016669802</v>
      </c>
      <c r="K318">
        <v>31</v>
      </c>
      <c r="L318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30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2.9173465758568971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2.3220935699991401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3.6762693648511302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11.0435763581718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8" s="5">
        <f>IF((DiscreteStatsTable[[#This Row],[RepsRequested]]&gt;1),DiscreteStatsTable[[#This Row],[HalfWidth]],DiscreteStatsTable[[#This Row],[BatchMeansHalfWidth]])</f>
        <v>0.12741806469788963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30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18</v>
      </c>
      <c r="D319" t="s">
        <v>87</v>
      </c>
      <c r="E319" t="s">
        <v>85</v>
      </c>
      <c r="F319" t="s">
        <v>86</v>
      </c>
      <c r="G319">
        <v>3.6762693648511302</v>
      </c>
      <c r="H319">
        <v>2E+20</v>
      </c>
      <c r="I319">
        <v>0</v>
      </c>
      <c r="J319">
        <v>8.5494543720663607</v>
      </c>
      <c r="K319">
        <v>44</v>
      </c>
      <c r="L319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30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2.9173465758568971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2.3220935699991401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3.6762693648511302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11.0435763581718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19" s="5">
        <f>IF((DiscreteStatsTable[[#This Row],[RepsRequested]]&gt;1),DiscreteStatsTable[[#This Row],[HalfWidth]],DiscreteStatsTable[[#This Row],[BatchMeansHalfWidth]])</f>
        <v>0.12741806469788963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30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19</v>
      </c>
      <c r="D320" t="s">
        <v>87</v>
      </c>
      <c r="E320" t="s">
        <v>85</v>
      </c>
      <c r="F320" t="s">
        <v>86</v>
      </c>
      <c r="G320">
        <v>2.998014453823</v>
      </c>
      <c r="H320">
        <v>2E+20</v>
      </c>
      <c r="I320">
        <v>1.07317254429444</v>
      </c>
      <c r="J320">
        <v>5.9373705403008401</v>
      </c>
      <c r="K320">
        <v>32</v>
      </c>
      <c r="L320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30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2.9173465758568971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2.3220935699991401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3.6762693648511302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11.0435763581718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0" s="5">
        <f>IF((DiscreteStatsTable[[#This Row],[RepsRequested]]&gt;1),DiscreteStatsTable[[#This Row],[HalfWidth]],DiscreteStatsTable[[#This Row],[BatchMeansHalfWidth]])</f>
        <v>0.12741806469788963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30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20</v>
      </c>
      <c r="D321" t="s">
        <v>87</v>
      </c>
      <c r="E321" t="s">
        <v>85</v>
      </c>
      <c r="F321" t="s">
        <v>86</v>
      </c>
      <c r="G321">
        <v>3.08397864456323</v>
      </c>
      <c r="H321">
        <v>2E+20</v>
      </c>
      <c r="I321">
        <v>0.602865380176553</v>
      </c>
      <c r="J321">
        <v>6.8850950997047704</v>
      </c>
      <c r="K321">
        <v>42</v>
      </c>
      <c r="L321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30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2.9173465758568971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2.3220935699991401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3.6762693648511302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11.0435763581718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1" s="5">
        <f>IF((DiscreteStatsTable[[#This Row],[RepsRequested]]&gt;1),DiscreteStatsTable[[#This Row],[HalfWidth]],DiscreteStatsTable[[#This Row],[BatchMeansHalfWidth]])</f>
        <v>0.12741806469788963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30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21</v>
      </c>
      <c r="D322" t="s">
        <v>87</v>
      </c>
      <c r="E322" t="s">
        <v>85</v>
      </c>
      <c r="F322" t="s">
        <v>86</v>
      </c>
      <c r="G322">
        <v>3.24936939814951</v>
      </c>
      <c r="H322">
        <v>2E+20</v>
      </c>
      <c r="I322">
        <v>1.2765819450271501</v>
      </c>
      <c r="J322">
        <v>6.9527416572043101</v>
      </c>
      <c r="K322">
        <v>49</v>
      </c>
      <c r="L322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30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2.9173465758568971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2.3220935699991401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3.6762693648511302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11.0435763581718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2" s="5">
        <f>IF((DiscreteStatsTable[[#This Row],[RepsRequested]]&gt;1),DiscreteStatsTable[[#This Row],[HalfWidth]],DiscreteStatsTable[[#This Row],[BatchMeansHalfWidth]])</f>
        <v>0.12741806469788963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30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22</v>
      </c>
      <c r="D323" t="s">
        <v>87</v>
      </c>
      <c r="E323" t="s">
        <v>85</v>
      </c>
      <c r="F323" t="s">
        <v>86</v>
      </c>
      <c r="G323">
        <v>2.56378769848954</v>
      </c>
      <c r="H323">
        <v>2E+20</v>
      </c>
      <c r="I323">
        <v>0.91402969543097601</v>
      </c>
      <c r="J323">
        <v>5.5120542600557796</v>
      </c>
      <c r="K323">
        <v>34</v>
      </c>
      <c r="L323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30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2.9173465758568971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2.3220935699991401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3.6762693648511302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11.0435763581718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3" s="5">
        <f>IF((DiscreteStatsTable[[#This Row],[RepsRequested]]&gt;1),DiscreteStatsTable[[#This Row],[HalfWidth]],DiscreteStatsTable[[#This Row],[BatchMeansHalfWidth]])</f>
        <v>0.12741806469788963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30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23</v>
      </c>
      <c r="D324" t="s">
        <v>87</v>
      </c>
      <c r="E324" t="s">
        <v>85</v>
      </c>
      <c r="F324" t="s">
        <v>86</v>
      </c>
      <c r="G324">
        <v>2.75212927620866</v>
      </c>
      <c r="H324">
        <v>2E+20</v>
      </c>
      <c r="I324">
        <v>0.89178443796302498</v>
      </c>
      <c r="J324">
        <v>8.3041784526601798</v>
      </c>
      <c r="K324">
        <v>40</v>
      </c>
      <c r="L324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30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2.9173465758568971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2.3220935699991401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3.6762693648511302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11.0435763581718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4" s="5">
        <f>IF((DiscreteStatsTable[[#This Row],[RepsRequested]]&gt;1),DiscreteStatsTable[[#This Row],[HalfWidth]],DiscreteStatsTable[[#This Row],[BatchMeansHalfWidth]])</f>
        <v>0.12741806469788963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30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24</v>
      </c>
      <c r="D325" t="s">
        <v>87</v>
      </c>
      <c r="E325" t="s">
        <v>85</v>
      </c>
      <c r="F325" t="s">
        <v>86</v>
      </c>
      <c r="G325">
        <v>2.6893878120593602</v>
      </c>
      <c r="H325">
        <v>2E+20</v>
      </c>
      <c r="I325">
        <v>1.1491718479073101</v>
      </c>
      <c r="J325">
        <v>4.39896017494425</v>
      </c>
      <c r="K325">
        <v>39</v>
      </c>
      <c r="L325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30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2.9173465758568971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2.3220935699991401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3.6762693648511302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11.0435763581718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5" s="5">
        <f>IF((DiscreteStatsTable[[#This Row],[RepsRequested]]&gt;1),DiscreteStatsTable[[#This Row],[HalfWidth]],DiscreteStatsTable[[#This Row],[BatchMeansHalfWidth]])</f>
        <v>0.12741806469788963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30</v>
      </c>
      <c r="Y325" s="5">
        <f>IF(DiscreteStatsTable[[#This Row],[RepsRequested]]=DiscreteStatsTable[[#This Row],[RepsWithStatObserved]],1,0)</f>
        <v>1</v>
      </c>
    </row>
    <row r="326" spans="1:25" x14ac:dyDescent="0.25">
      <c r="A326" t="s">
        <v>68</v>
      </c>
      <c r="B326" t="s">
        <v>70</v>
      </c>
      <c r="C326">
        <v>25</v>
      </c>
      <c r="D326" t="s">
        <v>87</v>
      </c>
      <c r="E326" t="s">
        <v>85</v>
      </c>
      <c r="F326" t="s">
        <v>86</v>
      </c>
      <c r="G326">
        <v>3.2669644693151301</v>
      </c>
      <c r="H326">
        <v>2E+20</v>
      </c>
      <c r="I326">
        <v>0.91507331801898295</v>
      </c>
      <c r="J326">
        <v>7.8655665454267902</v>
      </c>
      <c r="K326">
        <v>35</v>
      </c>
      <c r="L326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30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2.9173465758568971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2.3220935699991401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3.6762693648511302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11.0435763581718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6" s="5">
        <f>IF((DiscreteStatsTable[[#This Row],[RepsRequested]]&gt;1),DiscreteStatsTable[[#This Row],[HalfWidth]],DiscreteStatsTable[[#This Row],[BatchMeansHalfWidth]])</f>
        <v>0.12741806469788963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30</v>
      </c>
      <c r="Y326" s="5">
        <f>IF(DiscreteStatsTable[[#This Row],[RepsRequested]]=DiscreteStatsTable[[#This Row],[RepsWithStatObserved]],1,0)</f>
        <v>1</v>
      </c>
    </row>
    <row r="327" spans="1:25" x14ac:dyDescent="0.25">
      <c r="A327" t="s">
        <v>68</v>
      </c>
      <c r="B327" t="s">
        <v>70</v>
      </c>
      <c r="C327">
        <v>26</v>
      </c>
      <c r="D327" t="s">
        <v>87</v>
      </c>
      <c r="E327" t="s">
        <v>85</v>
      </c>
      <c r="F327" t="s">
        <v>86</v>
      </c>
      <c r="G327">
        <v>3.2249043425227502</v>
      </c>
      <c r="H327">
        <v>2E+20</v>
      </c>
      <c r="I327">
        <v>6.42749072324591E-2</v>
      </c>
      <c r="J327">
        <v>7.4046686941093602</v>
      </c>
      <c r="K327">
        <v>45</v>
      </c>
      <c r="L327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30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2.9173465758568971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2.3220935699991401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3.6762693648511302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11.0435763581718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7" s="5">
        <f>IF((DiscreteStatsTable[[#This Row],[RepsRequested]]&gt;1),DiscreteStatsTable[[#This Row],[HalfWidth]],DiscreteStatsTable[[#This Row],[BatchMeansHalfWidth]])</f>
        <v>0.12741806469788963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30</v>
      </c>
      <c r="Y327" s="5">
        <f>IF(DiscreteStatsTable[[#This Row],[RepsRequested]]=DiscreteStatsTable[[#This Row],[RepsWithStatObserved]],1,0)</f>
        <v>1</v>
      </c>
    </row>
    <row r="328" spans="1:25" x14ac:dyDescent="0.25">
      <c r="A328" t="s">
        <v>68</v>
      </c>
      <c r="B328" t="s">
        <v>70</v>
      </c>
      <c r="C328">
        <v>27</v>
      </c>
      <c r="D328" t="s">
        <v>87</v>
      </c>
      <c r="E328" t="s">
        <v>85</v>
      </c>
      <c r="F328" t="s">
        <v>86</v>
      </c>
      <c r="G328">
        <v>3.09065313938095</v>
      </c>
      <c r="H328">
        <v>2E+20</v>
      </c>
      <c r="I328">
        <v>0.83804779629423398</v>
      </c>
      <c r="J328">
        <v>9.8472072492780907</v>
      </c>
      <c r="K328">
        <v>43</v>
      </c>
      <c r="L328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30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2.9173465758568971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2.3220935699991401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3.6762693648511302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11.0435763581718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8" s="5">
        <f>IF((DiscreteStatsTable[[#This Row],[RepsRequested]]&gt;1),DiscreteStatsTable[[#This Row],[HalfWidth]],DiscreteStatsTable[[#This Row],[BatchMeansHalfWidth]])</f>
        <v>0.12741806469788963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30</v>
      </c>
      <c r="Y328" s="5">
        <f>IF(DiscreteStatsTable[[#This Row],[RepsRequested]]=DiscreteStatsTable[[#This Row],[RepsWithStatObserved]],1,0)</f>
        <v>1</v>
      </c>
    </row>
    <row r="329" spans="1:25" x14ac:dyDescent="0.25">
      <c r="A329" t="s">
        <v>68</v>
      </c>
      <c r="B329" t="s">
        <v>70</v>
      </c>
      <c r="C329">
        <v>28</v>
      </c>
      <c r="D329" t="s">
        <v>87</v>
      </c>
      <c r="E329" t="s">
        <v>85</v>
      </c>
      <c r="F329" t="s">
        <v>86</v>
      </c>
      <c r="G329">
        <v>2.7401337874883498</v>
      </c>
      <c r="H329">
        <v>2E+20</v>
      </c>
      <c r="I329">
        <v>0.60115721419574797</v>
      </c>
      <c r="J329">
        <v>5.8887423899940599</v>
      </c>
      <c r="K329">
        <v>39</v>
      </c>
      <c r="L329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30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2.9173465758568971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2.3220935699991401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3.6762693648511302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11.0435763581718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29" s="5">
        <f>IF((DiscreteStatsTable[[#This Row],[RepsRequested]]&gt;1),DiscreteStatsTable[[#This Row],[HalfWidth]],DiscreteStatsTable[[#This Row],[BatchMeansHalfWidth]])</f>
        <v>0.12741806469788963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30</v>
      </c>
      <c r="Y329" s="5">
        <f>IF(DiscreteStatsTable[[#This Row],[RepsRequested]]=DiscreteStatsTable[[#This Row],[RepsWithStatObserved]],1,0)</f>
        <v>1</v>
      </c>
    </row>
    <row r="330" spans="1:25" x14ac:dyDescent="0.25">
      <c r="A330" t="s">
        <v>68</v>
      </c>
      <c r="B330" t="s">
        <v>70</v>
      </c>
      <c r="C330">
        <v>29</v>
      </c>
      <c r="D330" t="s">
        <v>87</v>
      </c>
      <c r="E330" t="s">
        <v>85</v>
      </c>
      <c r="F330" t="s">
        <v>86</v>
      </c>
      <c r="G330">
        <v>3.3889142621292998</v>
      </c>
      <c r="H330">
        <v>2E+20</v>
      </c>
      <c r="I330">
        <v>9.7367227721605304E-2</v>
      </c>
      <c r="J330">
        <v>7.5503030181769804</v>
      </c>
      <c r="K330">
        <v>47</v>
      </c>
      <c r="L330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30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2.9173465758568971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2.3220935699991401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3.6762693648511302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11.0435763581718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0" s="5">
        <f>IF((DiscreteStatsTable[[#This Row],[RepsRequested]]&gt;1),DiscreteStatsTable[[#This Row],[HalfWidth]],DiscreteStatsTable[[#This Row],[BatchMeansHalfWidth]])</f>
        <v>0.12741806469788963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30</v>
      </c>
      <c r="Y330" s="5">
        <f>IF(DiscreteStatsTable[[#This Row],[RepsRequested]]=DiscreteStatsTable[[#This Row],[RepsWithStatObserved]],1,0)</f>
        <v>1</v>
      </c>
    </row>
    <row r="331" spans="1:25" x14ac:dyDescent="0.25">
      <c r="A331" t="s">
        <v>68</v>
      </c>
      <c r="B331" t="s">
        <v>70</v>
      </c>
      <c r="C331">
        <v>30</v>
      </c>
      <c r="D331" t="s">
        <v>87</v>
      </c>
      <c r="E331" t="s">
        <v>85</v>
      </c>
      <c r="F331" t="s">
        <v>86</v>
      </c>
      <c r="G331">
        <v>2.84472559386285</v>
      </c>
      <c r="H331">
        <v>2E+20</v>
      </c>
      <c r="I331">
        <v>0.84230716801066796</v>
      </c>
      <c r="J331">
        <v>6.2629956990440299</v>
      </c>
      <c r="K331">
        <v>35</v>
      </c>
      <c r="L331" s="5" t="str">
        <f>DiscreteStatsTable[[#This Row],[ProjectName]]&amp;DiscreteStatsTable[[#This Row],[Name]]&amp;DiscreteStatsTable[[#This Row],[Type]]&amp;DiscreteStatsTable[[#This Row],[Source]]</f>
        <v>Pedido CleintesEntrega Pedido.Queue1Waiting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30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2.9173465758568971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0.34123184424372122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0.12741806469788963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2.3220935699991401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3.6762693648511302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11.0435763581718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1" s="5">
        <f>IF((DiscreteStatsTable[[#This Row],[RepsRequested]]&gt;1),DiscreteStatsTable[[#This Row],[HalfWidth]],DiscreteStatsTable[[#This Row],[BatchMeansHalfWidth]])</f>
        <v>0.12741806469788963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30</v>
      </c>
      <c r="Y331" s="5">
        <f>IF(DiscreteStatsTable[[#This Row],[RepsRequested]]=DiscreteStatsTable[[#This Row],[RepsWithStatObserved]],1,0)</f>
        <v>1</v>
      </c>
    </row>
    <row r="332" spans="1:25" x14ac:dyDescent="0.25">
      <c r="A332" t="s">
        <v>68</v>
      </c>
      <c r="B332" t="s">
        <v>70</v>
      </c>
      <c r="C332">
        <v>1</v>
      </c>
      <c r="D332" t="s">
        <v>88</v>
      </c>
      <c r="E332" t="s">
        <v>85</v>
      </c>
      <c r="F332" t="s">
        <v>86</v>
      </c>
      <c r="G332">
        <v>0</v>
      </c>
      <c r="H332">
        <v>2E+20</v>
      </c>
      <c r="I332">
        <v>0</v>
      </c>
      <c r="J332">
        <v>0</v>
      </c>
      <c r="K332">
        <v>25</v>
      </c>
      <c r="L332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30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2.8192135627849965E-5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8.4576406883549898E-4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3.7213619028762003E-2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2" s="5">
        <f>IF((DiscreteStatsTable[[#This Row],[RepsRequested]]&gt;1),DiscreteStatsTable[[#This Row],[HalfWidth]],DiscreteStatsTable[[#This Row],[BatchMeansHalfWidth]])</f>
        <v>5.7659391461104205E-5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30</v>
      </c>
      <c r="Y332" s="5">
        <f>IF(DiscreteStatsTable[[#This Row],[RepsRequested]]=DiscreteStatsTable[[#This Row],[RepsWithStatObserved]],1,0)</f>
        <v>1</v>
      </c>
    </row>
    <row r="333" spans="1:25" x14ac:dyDescent="0.25">
      <c r="A333" t="s">
        <v>68</v>
      </c>
      <c r="B333" t="s">
        <v>70</v>
      </c>
      <c r="C333">
        <v>2</v>
      </c>
      <c r="D333" t="s">
        <v>88</v>
      </c>
      <c r="E333" t="s">
        <v>85</v>
      </c>
      <c r="F333" t="s">
        <v>86</v>
      </c>
      <c r="G333">
        <v>0</v>
      </c>
      <c r="H333">
        <v>2E+20</v>
      </c>
      <c r="I333">
        <v>0</v>
      </c>
      <c r="J333">
        <v>0</v>
      </c>
      <c r="K333">
        <v>41</v>
      </c>
      <c r="L333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30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2.8192135627849965E-5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8.4576406883549898E-4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3.7213619028762003E-2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3" s="5">
        <f>IF((DiscreteStatsTable[[#This Row],[RepsRequested]]&gt;1),DiscreteStatsTable[[#This Row],[HalfWidth]],DiscreteStatsTable[[#This Row],[BatchMeansHalfWidth]])</f>
        <v>5.7659391461104205E-5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30</v>
      </c>
      <c r="Y333" s="5">
        <f>IF(DiscreteStatsTable[[#This Row],[RepsRequested]]=DiscreteStatsTable[[#This Row],[RepsWithStatObserved]],1,0)</f>
        <v>1</v>
      </c>
    </row>
    <row r="334" spans="1:25" x14ac:dyDescent="0.25">
      <c r="A334" t="s">
        <v>68</v>
      </c>
      <c r="B334" t="s">
        <v>70</v>
      </c>
      <c r="C334">
        <v>3</v>
      </c>
      <c r="D334" t="s">
        <v>88</v>
      </c>
      <c r="E334" t="s">
        <v>85</v>
      </c>
      <c r="F334" t="s">
        <v>86</v>
      </c>
      <c r="G334">
        <v>0</v>
      </c>
      <c r="H334">
        <v>2E+20</v>
      </c>
      <c r="I334">
        <v>0</v>
      </c>
      <c r="J334">
        <v>0</v>
      </c>
      <c r="K334">
        <v>47</v>
      </c>
      <c r="L334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30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2.8192135627849965E-5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8.4576406883549898E-4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3.7213619028762003E-2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4" s="5">
        <f>IF((DiscreteStatsTable[[#This Row],[RepsRequested]]&gt;1),DiscreteStatsTable[[#This Row],[HalfWidth]],DiscreteStatsTable[[#This Row],[BatchMeansHalfWidth]])</f>
        <v>5.7659391461104205E-5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30</v>
      </c>
      <c r="Y334" s="5">
        <f>IF(DiscreteStatsTable[[#This Row],[RepsRequested]]=DiscreteStatsTable[[#This Row],[RepsWithStatObserved]],1,0)</f>
        <v>1</v>
      </c>
    </row>
    <row r="335" spans="1:25" x14ac:dyDescent="0.25">
      <c r="A335" t="s">
        <v>68</v>
      </c>
      <c r="B335" t="s">
        <v>70</v>
      </c>
      <c r="C335">
        <v>4</v>
      </c>
      <c r="D335" t="s">
        <v>88</v>
      </c>
      <c r="E335" t="s">
        <v>85</v>
      </c>
      <c r="F335" t="s">
        <v>86</v>
      </c>
      <c r="G335">
        <v>0</v>
      </c>
      <c r="H335">
        <v>2E+20</v>
      </c>
      <c r="I335">
        <v>0</v>
      </c>
      <c r="J335">
        <v>0</v>
      </c>
      <c r="K335">
        <v>33</v>
      </c>
      <c r="L335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30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2.8192135627849965E-5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8.4576406883549898E-4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3.7213619028762003E-2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5" s="5">
        <f>IF((DiscreteStatsTable[[#This Row],[RepsRequested]]&gt;1),DiscreteStatsTable[[#This Row],[HalfWidth]],DiscreteStatsTable[[#This Row],[BatchMeansHalfWidth]])</f>
        <v>5.7659391461104205E-5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30</v>
      </c>
      <c r="Y335" s="5">
        <f>IF(DiscreteStatsTable[[#This Row],[RepsRequested]]=DiscreteStatsTable[[#This Row],[RepsWithStatObserved]],1,0)</f>
        <v>1</v>
      </c>
    </row>
    <row r="336" spans="1:25" x14ac:dyDescent="0.25">
      <c r="A336" t="s">
        <v>68</v>
      </c>
      <c r="B336" t="s">
        <v>70</v>
      </c>
      <c r="C336">
        <v>5</v>
      </c>
      <c r="D336" t="s">
        <v>88</v>
      </c>
      <c r="E336" t="s">
        <v>85</v>
      </c>
      <c r="F336" t="s">
        <v>86</v>
      </c>
      <c r="G336">
        <v>0</v>
      </c>
      <c r="H336">
        <v>2E+20</v>
      </c>
      <c r="I336">
        <v>0</v>
      </c>
      <c r="J336">
        <v>0</v>
      </c>
      <c r="K336">
        <v>45</v>
      </c>
      <c r="L336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30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2.8192135627849965E-5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8.4576406883549898E-4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3.7213619028762003E-2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6" s="5">
        <f>IF((DiscreteStatsTable[[#This Row],[RepsRequested]]&gt;1),DiscreteStatsTable[[#This Row],[HalfWidth]],DiscreteStatsTable[[#This Row],[BatchMeansHalfWidth]])</f>
        <v>5.7659391461104205E-5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30</v>
      </c>
      <c r="Y336" s="5">
        <f>IF(DiscreteStatsTable[[#This Row],[RepsRequested]]=DiscreteStatsTable[[#This Row],[RepsWithStatObserved]],1,0)</f>
        <v>1</v>
      </c>
    </row>
    <row r="337" spans="1:25" x14ac:dyDescent="0.25">
      <c r="A337" t="s">
        <v>68</v>
      </c>
      <c r="B337" t="s">
        <v>70</v>
      </c>
      <c r="C337">
        <v>6</v>
      </c>
      <c r="D337" t="s">
        <v>88</v>
      </c>
      <c r="E337" t="s">
        <v>85</v>
      </c>
      <c r="F337" t="s">
        <v>86</v>
      </c>
      <c r="G337">
        <v>0</v>
      </c>
      <c r="H337">
        <v>2E+20</v>
      </c>
      <c r="I337">
        <v>0</v>
      </c>
      <c r="J337">
        <v>0</v>
      </c>
      <c r="K337">
        <v>39</v>
      </c>
      <c r="L337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30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2.8192135627849965E-5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8.4576406883549898E-4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3.7213619028762003E-2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7" s="5">
        <f>IF((DiscreteStatsTable[[#This Row],[RepsRequested]]&gt;1),DiscreteStatsTable[[#This Row],[HalfWidth]],DiscreteStatsTable[[#This Row],[BatchMeansHalfWidth]])</f>
        <v>5.7659391461104205E-5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30</v>
      </c>
      <c r="Y337" s="5">
        <f>IF(DiscreteStatsTable[[#This Row],[RepsRequested]]=DiscreteStatsTable[[#This Row],[RepsWithStatObserved]],1,0)</f>
        <v>1</v>
      </c>
    </row>
    <row r="338" spans="1:25" x14ac:dyDescent="0.25">
      <c r="A338" t="s">
        <v>68</v>
      </c>
      <c r="B338" t="s">
        <v>70</v>
      </c>
      <c r="C338">
        <v>7</v>
      </c>
      <c r="D338" t="s">
        <v>88</v>
      </c>
      <c r="E338" t="s">
        <v>85</v>
      </c>
      <c r="F338" t="s">
        <v>86</v>
      </c>
      <c r="G338">
        <v>0</v>
      </c>
      <c r="H338">
        <v>2E+20</v>
      </c>
      <c r="I338">
        <v>0</v>
      </c>
      <c r="J338">
        <v>0</v>
      </c>
      <c r="K338">
        <v>38</v>
      </c>
      <c r="L338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30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2.8192135627849965E-5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8.4576406883549898E-4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3.7213619028762003E-2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8" s="5">
        <f>IF((DiscreteStatsTable[[#This Row],[RepsRequested]]&gt;1),DiscreteStatsTable[[#This Row],[HalfWidth]],DiscreteStatsTable[[#This Row],[BatchMeansHalfWidth]])</f>
        <v>5.7659391461104205E-5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30</v>
      </c>
      <c r="Y338" s="5">
        <f>IF(DiscreteStatsTable[[#This Row],[RepsRequested]]=DiscreteStatsTable[[#This Row],[RepsWithStatObserved]],1,0)</f>
        <v>1</v>
      </c>
    </row>
    <row r="339" spans="1:25" x14ac:dyDescent="0.25">
      <c r="A339" t="s">
        <v>68</v>
      </c>
      <c r="B339" t="s">
        <v>70</v>
      </c>
      <c r="C339">
        <v>8</v>
      </c>
      <c r="D339" t="s">
        <v>88</v>
      </c>
      <c r="E339" t="s">
        <v>85</v>
      </c>
      <c r="F339" t="s">
        <v>86</v>
      </c>
      <c r="G339">
        <v>0</v>
      </c>
      <c r="H339">
        <v>2E+20</v>
      </c>
      <c r="I339">
        <v>0</v>
      </c>
      <c r="J339">
        <v>0</v>
      </c>
      <c r="K339">
        <v>35</v>
      </c>
      <c r="L339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30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2.8192135627849965E-5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8.4576406883549898E-4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3.7213619028762003E-2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39" s="5">
        <f>IF((DiscreteStatsTable[[#This Row],[RepsRequested]]&gt;1),DiscreteStatsTable[[#This Row],[HalfWidth]],DiscreteStatsTable[[#This Row],[BatchMeansHalfWidth]])</f>
        <v>5.7659391461104205E-5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30</v>
      </c>
      <c r="Y339" s="5">
        <f>IF(DiscreteStatsTable[[#This Row],[RepsRequested]]=DiscreteStatsTable[[#This Row],[RepsWithStatObserved]],1,0)</f>
        <v>1</v>
      </c>
    </row>
    <row r="340" spans="1:25" x14ac:dyDescent="0.25">
      <c r="A340" t="s">
        <v>68</v>
      </c>
      <c r="B340" t="s">
        <v>70</v>
      </c>
      <c r="C340">
        <v>9</v>
      </c>
      <c r="D340" t="s">
        <v>88</v>
      </c>
      <c r="E340" t="s">
        <v>85</v>
      </c>
      <c r="F340" t="s">
        <v>86</v>
      </c>
      <c r="G340">
        <v>0</v>
      </c>
      <c r="H340">
        <v>2E+20</v>
      </c>
      <c r="I340">
        <v>0</v>
      </c>
      <c r="J340">
        <v>0</v>
      </c>
      <c r="K340">
        <v>34</v>
      </c>
      <c r="L340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30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2.8192135627849965E-5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8.4576406883549898E-4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3.7213619028762003E-2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0" s="5">
        <f>IF((DiscreteStatsTable[[#This Row],[RepsRequested]]&gt;1),DiscreteStatsTable[[#This Row],[HalfWidth]],DiscreteStatsTable[[#This Row],[BatchMeansHalfWidth]])</f>
        <v>5.7659391461104205E-5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30</v>
      </c>
      <c r="Y340" s="5">
        <f>IF(DiscreteStatsTable[[#This Row],[RepsRequested]]=DiscreteStatsTable[[#This Row],[RepsWithStatObserved]],1,0)</f>
        <v>1</v>
      </c>
    </row>
    <row r="341" spans="1:25" x14ac:dyDescent="0.25">
      <c r="A341" t="s">
        <v>68</v>
      </c>
      <c r="B341" t="s">
        <v>70</v>
      </c>
      <c r="C341">
        <v>10</v>
      </c>
      <c r="D341" t="s">
        <v>88</v>
      </c>
      <c r="E341" t="s">
        <v>85</v>
      </c>
      <c r="F341" t="s">
        <v>86</v>
      </c>
      <c r="G341">
        <v>0</v>
      </c>
      <c r="H341">
        <v>2E+20</v>
      </c>
      <c r="I341">
        <v>0</v>
      </c>
      <c r="J341">
        <v>0</v>
      </c>
      <c r="K341">
        <v>41</v>
      </c>
      <c r="L341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30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2.8192135627849965E-5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8.4576406883549898E-4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3.7213619028762003E-2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1" s="5">
        <f>IF((DiscreteStatsTable[[#This Row],[RepsRequested]]&gt;1),DiscreteStatsTable[[#This Row],[HalfWidth]],DiscreteStatsTable[[#This Row],[BatchMeansHalfWidth]])</f>
        <v>5.7659391461104205E-5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30</v>
      </c>
      <c r="Y341" s="5">
        <f>IF(DiscreteStatsTable[[#This Row],[RepsRequested]]=DiscreteStatsTable[[#This Row],[RepsWithStatObserved]],1,0)</f>
        <v>1</v>
      </c>
    </row>
    <row r="342" spans="1:25" x14ac:dyDescent="0.25">
      <c r="A342" t="s">
        <v>68</v>
      </c>
      <c r="B342" t="s">
        <v>70</v>
      </c>
      <c r="C342">
        <v>11</v>
      </c>
      <c r="D342" t="s">
        <v>88</v>
      </c>
      <c r="E342" t="s">
        <v>85</v>
      </c>
      <c r="F342" t="s">
        <v>86</v>
      </c>
      <c r="G342">
        <v>0</v>
      </c>
      <c r="H342">
        <v>2E+20</v>
      </c>
      <c r="I342">
        <v>0</v>
      </c>
      <c r="J342">
        <v>0</v>
      </c>
      <c r="K342">
        <v>44</v>
      </c>
      <c r="L342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30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2.8192135627849965E-5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8.4576406883549898E-4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3.7213619028762003E-2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2" s="5">
        <f>IF((DiscreteStatsTable[[#This Row],[RepsRequested]]&gt;1),DiscreteStatsTable[[#This Row],[HalfWidth]],DiscreteStatsTable[[#This Row],[BatchMeansHalfWidth]])</f>
        <v>5.7659391461104205E-5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30</v>
      </c>
      <c r="Y342" s="5">
        <f>IF(DiscreteStatsTable[[#This Row],[RepsRequested]]=DiscreteStatsTable[[#This Row],[RepsWithStatObserved]],1,0)</f>
        <v>1</v>
      </c>
    </row>
    <row r="343" spans="1:25" x14ac:dyDescent="0.25">
      <c r="A343" t="s">
        <v>68</v>
      </c>
      <c r="B343" t="s">
        <v>70</v>
      </c>
      <c r="C343">
        <v>12</v>
      </c>
      <c r="D343" t="s">
        <v>88</v>
      </c>
      <c r="E343" t="s">
        <v>85</v>
      </c>
      <c r="F343" t="s">
        <v>86</v>
      </c>
      <c r="G343">
        <v>0</v>
      </c>
      <c r="H343">
        <v>2E+20</v>
      </c>
      <c r="I343">
        <v>0</v>
      </c>
      <c r="J343">
        <v>0</v>
      </c>
      <c r="K343">
        <v>28</v>
      </c>
      <c r="L343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30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2.8192135627849965E-5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8.4576406883549898E-4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3.7213619028762003E-2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3" s="5">
        <f>IF((DiscreteStatsTable[[#This Row],[RepsRequested]]&gt;1),DiscreteStatsTable[[#This Row],[HalfWidth]],DiscreteStatsTable[[#This Row],[BatchMeansHalfWidth]])</f>
        <v>5.7659391461104205E-5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30</v>
      </c>
      <c r="Y343" s="5">
        <f>IF(DiscreteStatsTable[[#This Row],[RepsRequested]]=DiscreteStatsTable[[#This Row],[RepsWithStatObserved]],1,0)</f>
        <v>1</v>
      </c>
    </row>
    <row r="344" spans="1:25" x14ac:dyDescent="0.25">
      <c r="A344" t="s">
        <v>68</v>
      </c>
      <c r="B344" t="s">
        <v>70</v>
      </c>
      <c r="C344">
        <v>13</v>
      </c>
      <c r="D344" t="s">
        <v>88</v>
      </c>
      <c r="E344" t="s">
        <v>85</v>
      </c>
      <c r="F344" t="s">
        <v>86</v>
      </c>
      <c r="G344">
        <v>0</v>
      </c>
      <c r="H344">
        <v>2E+20</v>
      </c>
      <c r="I344">
        <v>0</v>
      </c>
      <c r="J344">
        <v>0</v>
      </c>
      <c r="K344">
        <v>37</v>
      </c>
      <c r="L344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30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2.8192135627849965E-5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8.4576406883549898E-4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3.7213619028762003E-2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4" s="5">
        <f>IF((DiscreteStatsTable[[#This Row],[RepsRequested]]&gt;1),DiscreteStatsTable[[#This Row],[HalfWidth]],DiscreteStatsTable[[#This Row],[BatchMeansHalfWidth]])</f>
        <v>5.7659391461104205E-5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30</v>
      </c>
      <c r="Y344" s="5">
        <f>IF(DiscreteStatsTable[[#This Row],[RepsRequested]]=DiscreteStatsTable[[#This Row],[RepsWithStatObserved]],1,0)</f>
        <v>1</v>
      </c>
    </row>
    <row r="345" spans="1:25" x14ac:dyDescent="0.25">
      <c r="A345" t="s">
        <v>68</v>
      </c>
      <c r="B345" t="s">
        <v>70</v>
      </c>
      <c r="C345">
        <v>14</v>
      </c>
      <c r="D345" t="s">
        <v>88</v>
      </c>
      <c r="E345" t="s">
        <v>85</v>
      </c>
      <c r="F345" t="s">
        <v>86</v>
      </c>
      <c r="G345">
        <v>0</v>
      </c>
      <c r="H345">
        <v>2E+20</v>
      </c>
      <c r="I345">
        <v>0</v>
      </c>
      <c r="J345">
        <v>0</v>
      </c>
      <c r="K345">
        <v>44</v>
      </c>
      <c r="L345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30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2.8192135627849965E-5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8.4576406883549898E-4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3.7213619028762003E-2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5" s="5">
        <f>IF((DiscreteStatsTable[[#This Row],[RepsRequested]]&gt;1),DiscreteStatsTable[[#This Row],[HalfWidth]],DiscreteStatsTable[[#This Row],[BatchMeansHalfWidth]])</f>
        <v>5.7659391461104205E-5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30</v>
      </c>
      <c r="Y345" s="5">
        <f>IF(DiscreteStatsTable[[#This Row],[RepsRequested]]=DiscreteStatsTable[[#This Row],[RepsWithStatObserved]],1,0)</f>
        <v>1</v>
      </c>
    </row>
    <row r="346" spans="1:25" x14ac:dyDescent="0.25">
      <c r="A346" t="s">
        <v>68</v>
      </c>
      <c r="B346" t="s">
        <v>70</v>
      </c>
      <c r="C346">
        <v>15</v>
      </c>
      <c r="D346" t="s">
        <v>88</v>
      </c>
      <c r="E346" t="s">
        <v>85</v>
      </c>
      <c r="F346" t="s">
        <v>86</v>
      </c>
      <c r="G346">
        <v>0</v>
      </c>
      <c r="H346">
        <v>2E+20</v>
      </c>
      <c r="I346">
        <v>0</v>
      </c>
      <c r="J346">
        <v>0</v>
      </c>
      <c r="K346">
        <v>46</v>
      </c>
      <c r="L346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30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2.8192135627849965E-5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8.4576406883549898E-4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3.7213619028762003E-2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6" s="5">
        <f>IF((DiscreteStatsTable[[#This Row],[RepsRequested]]&gt;1),DiscreteStatsTable[[#This Row],[HalfWidth]],DiscreteStatsTable[[#This Row],[BatchMeansHalfWidth]])</f>
        <v>5.7659391461104205E-5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30</v>
      </c>
      <c r="Y346" s="5">
        <f>IF(DiscreteStatsTable[[#This Row],[RepsRequested]]=DiscreteStatsTable[[#This Row],[RepsWithStatObserved]],1,0)</f>
        <v>1</v>
      </c>
    </row>
    <row r="347" spans="1:25" x14ac:dyDescent="0.25">
      <c r="A347" t="s">
        <v>68</v>
      </c>
      <c r="B347" t="s">
        <v>70</v>
      </c>
      <c r="C347">
        <v>16</v>
      </c>
      <c r="D347" t="s">
        <v>88</v>
      </c>
      <c r="E347" t="s">
        <v>85</v>
      </c>
      <c r="F347" t="s">
        <v>86</v>
      </c>
      <c r="G347">
        <v>0</v>
      </c>
      <c r="H347">
        <v>2E+20</v>
      </c>
      <c r="I347">
        <v>0</v>
      </c>
      <c r="J347">
        <v>0</v>
      </c>
      <c r="K347">
        <v>36</v>
      </c>
      <c r="L347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30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2.8192135627849965E-5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8.4576406883549898E-4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3.7213619028762003E-2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7" s="5">
        <f>IF((DiscreteStatsTable[[#This Row],[RepsRequested]]&gt;1),DiscreteStatsTable[[#This Row],[HalfWidth]],DiscreteStatsTable[[#This Row],[BatchMeansHalfWidth]])</f>
        <v>5.7659391461104205E-5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30</v>
      </c>
      <c r="Y347" s="5">
        <f>IF(DiscreteStatsTable[[#This Row],[RepsRequested]]=DiscreteStatsTable[[#This Row],[RepsWithStatObserved]],1,0)</f>
        <v>1</v>
      </c>
    </row>
    <row r="348" spans="1:25" x14ac:dyDescent="0.25">
      <c r="A348" t="s">
        <v>68</v>
      </c>
      <c r="B348" t="s">
        <v>70</v>
      </c>
      <c r="C348">
        <v>17</v>
      </c>
      <c r="D348" t="s">
        <v>88</v>
      </c>
      <c r="E348" t="s">
        <v>85</v>
      </c>
      <c r="F348" t="s">
        <v>86</v>
      </c>
      <c r="G348">
        <v>0</v>
      </c>
      <c r="H348">
        <v>2E+20</v>
      </c>
      <c r="I348">
        <v>0</v>
      </c>
      <c r="J348">
        <v>0</v>
      </c>
      <c r="K348">
        <v>31</v>
      </c>
      <c r="L348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30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2.8192135627849965E-5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8.4576406883549898E-4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3.7213619028762003E-2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8" s="5">
        <f>IF((DiscreteStatsTable[[#This Row],[RepsRequested]]&gt;1),DiscreteStatsTable[[#This Row],[HalfWidth]],DiscreteStatsTable[[#This Row],[BatchMeansHalfWidth]])</f>
        <v>5.7659391461104205E-5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30</v>
      </c>
      <c r="Y348" s="5">
        <f>IF(DiscreteStatsTable[[#This Row],[RepsRequested]]=DiscreteStatsTable[[#This Row],[RepsWithStatObserved]],1,0)</f>
        <v>1</v>
      </c>
    </row>
    <row r="349" spans="1:25" x14ac:dyDescent="0.25">
      <c r="A349" t="s">
        <v>68</v>
      </c>
      <c r="B349" t="s">
        <v>70</v>
      </c>
      <c r="C349">
        <v>18</v>
      </c>
      <c r="D349" t="s">
        <v>88</v>
      </c>
      <c r="E349" t="s">
        <v>85</v>
      </c>
      <c r="F349" t="s">
        <v>86</v>
      </c>
      <c r="G349">
        <v>8.4576406883549898E-4</v>
      </c>
      <c r="H349">
        <v>2E+20</v>
      </c>
      <c r="I349">
        <v>0</v>
      </c>
      <c r="J349">
        <v>3.7213619028762003E-2</v>
      </c>
      <c r="K349">
        <v>44</v>
      </c>
      <c r="L349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30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2.8192135627849965E-5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8.4576406883549898E-4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3.7213619028762003E-2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49" s="5">
        <f>IF((DiscreteStatsTable[[#This Row],[RepsRequested]]&gt;1),DiscreteStatsTable[[#This Row],[HalfWidth]],DiscreteStatsTable[[#This Row],[BatchMeansHalfWidth]])</f>
        <v>5.7659391461104205E-5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30</v>
      </c>
      <c r="Y349" s="5">
        <f>IF(DiscreteStatsTable[[#This Row],[RepsRequested]]=DiscreteStatsTable[[#This Row],[RepsWithStatObserved]],1,0)</f>
        <v>1</v>
      </c>
    </row>
    <row r="350" spans="1:25" x14ac:dyDescent="0.25">
      <c r="A350" t="s">
        <v>68</v>
      </c>
      <c r="B350" t="s">
        <v>70</v>
      </c>
      <c r="C350">
        <v>19</v>
      </c>
      <c r="D350" t="s">
        <v>88</v>
      </c>
      <c r="E350" t="s">
        <v>85</v>
      </c>
      <c r="F350" t="s">
        <v>86</v>
      </c>
      <c r="G350">
        <v>0</v>
      </c>
      <c r="H350">
        <v>2E+20</v>
      </c>
      <c r="I350">
        <v>0</v>
      </c>
      <c r="J350">
        <v>0</v>
      </c>
      <c r="K350">
        <v>32</v>
      </c>
      <c r="L350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30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2.8192135627849965E-5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8.4576406883549898E-4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3.7213619028762003E-2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0" s="5">
        <f>IF((DiscreteStatsTable[[#This Row],[RepsRequested]]&gt;1),DiscreteStatsTable[[#This Row],[HalfWidth]],DiscreteStatsTable[[#This Row],[BatchMeansHalfWidth]])</f>
        <v>5.7659391461104205E-5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30</v>
      </c>
      <c r="Y350" s="5">
        <f>IF(DiscreteStatsTable[[#This Row],[RepsRequested]]=DiscreteStatsTable[[#This Row],[RepsWithStatObserved]],1,0)</f>
        <v>1</v>
      </c>
    </row>
    <row r="351" spans="1:25" x14ac:dyDescent="0.25">
      <c r="A351" t="s">
        <v>68</v>
      </c>
      <c r="B351" t="s">
        <v>70</v>
      </c>
      <c r="C351">
        <v>20</v>
      </c>
      <c r="D351" t="s">
        <v>88</v>
      </c>
      <c r="E351" t="s">
        <v>85</v>
      </c>
      <c r="F351" t="s">
        <v>86</v>
      </c>
      <c r="G351">
        <v>0</v>
      </c>
      <c r="H351">
        <v>2E+20</v>
      </c>
      <c r="I351">
        <v>0</v>
      </c>
      <c r="J351">
        <v>0</v>
      </c>
      <c r="K351">
        <v>42</v>
      </c>
      <c r="L351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30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2.8192135627849965E-5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8.4576406883549898E-4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3.7213619028762003E-2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1" s="5">
        <f>IF((DiscreteStatsTable[[#This Row],[RepsRequested]]&gt;1),DiscreteStatsTable[[#This Row],[HalfWidth]],DiscreteStatsTable[[#This Row],[BatchMeansHalfWidth]])</f>
        <v>5.7659391461104205E-5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30</v>
      </c>
      <c r="Y351" s="5">
        <f>IF(DiscreteStatsTable[[#This Row],[RepsRequested]]=DiscreteStatsTable[[#This Row],[RepsWithStatObserved]],1,0)</f>
        <v>1</v>
      </c>
    </row>
    <row r="352" spans="1:25" x14ac:dyDescent="0.25">
      <c r="A352" t="s">
        <v>68</v>
      </c>
      <c r="B352" t="s">
        <v>70</v>
      </c>
      <c r="C352">
        <v>21</v>
      </c>
      <c r="D352" t="s">
        <v>88</v>
      </c>
      <c r="E352" t="s">
        <v>85</v>
      </c>
      <c r="F352" t="s">
        <v>86</v>
      </c>
      <c r="G352">
        <v>0</v>
      </c>
      <c r="H352">
        <v>2E+20</v>
      </c>
      <c r="I352">
        <v>0</v>
      </c>
      <c r="J352">
        <v>0</v>
      </c>
      <c r="K352">
        <v>49</v>
      </c>
      <c r="L352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30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2.8192135627849965E-5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0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8.4576406883549898E-4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3.7213619028762003E-2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2" s="5">
        <f>IF((DiscreteStatsTable[[#This Row],[RepsRequested]]&gt;1),DiscreteStatsTable[[#This Row],[HalfWidth]],DiscreteStatsTable[[#This Row],[BatchMeansHalfWidth]])</f>
        <v>5.7659391461104205E-5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30</v>
      </c>
      <c r="Y352" s="5">
        <f>IF(DiscreteStatsTable[[#This Row],[RepsRequested]]=DiscreteStatsTable[[#This Row],[RepsWithStatObserved]],1,0)</f>
        <v>1</v>
      </c>
    </row>
    <row r="353" spans="1:25" x14ac:dyDescent="0.25">
      <c r="A353" t="s">
        <v>68</v>
      </c>
      <c r="B353" t="s">
        <v>70</v>
      </c>
      <c r="C353">
        <v>22</v>
      </c>
      <c r="D353" t="s">
        <v>88</v>
      </c>
      <c r="E353" t="s">
        <v>85</v>
      </c>
      <c r="F353" t="s">
        <v>86</v>
      </c>
      <c r="G353">
        <v>0</v>
      </c>
      <c r="H353">
        <v>2E+20</v>
      </c>
      <c r="I353">
        <v>0</v>
      </c>
      <c r="J353">
        <v>0</v>
      </c>
      <c r="K353">
        <v>34</v>
      </c>
      <c r="L353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30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2.8192135627849965E-5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0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8.4576406883549898E-4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3.7213619028762003E-2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3" s="5">
        <f>IF((DiscreteStatsTable[[#This Row],[RepsRequested]]&gt;1),DiscreteStatsTable[[#This Row],[HalfWidth]],DiscreteStatsTable[[#This Row],[BatchMeansHalfWidth]])</f>
        <v>5.7659391461104205E-5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30</v>
      </c>
      <c r="Y353" s="5">
        <f>IF(DiscreteStatsTable[[#This Row],[RepsRequested]]=DiscreteStatsTable[[#This Row],[RepsWithStatObserved]],1,0)</f>
        <v>1</v>
      </c>
    </row>
    <row r="354" spans="1:25" x14ac:dyDescent="0.25">
      <c r="A354" t="s">
        <v>68</v>
      </c>
      <c r="B354" t="s">
        <v>70</v>
      </c>
      <c r="C354">
        <v>23</v>
      </c>
      <c r="D354" t="s">
        <v>88</v>
      </c>
      <c r="E354" t="s">
        <v>85</v>
      </c>
      <c r="F354" t="s">
        <v>86</v>
      </c>
      <c r="G354">
        <v>0</v>
      </c>
      <c r="H354">
        <v>2E+20</v>
      </c>
      <c r="I354">
        <v>0</v>
      </c>
      <c r="J354">
        <v>0</v>
      </c>
      <c r="K354">
        <v>40</v>
      </c>
      <c r="L354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30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2.8192135627849965E-5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0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8.4576406883549898E-4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3.7213619028762003E-2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4" s="5">
        <f>IF((DiscreteStatsTable[[#This Row],[RepsRequested]]&gt;1),DiscreteStatsTable[[#This Row],[HalfWidth]],DiscreteStatsTable[[#This Row],[BatchMeansHalfWidth]])</f>
        <v>5.7659391461104205E-5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30</v>
      </c>
      <c r="Y354" s="5">
        <f>IF(DiscreteStatsTable[[#This Row],[RepsRequested]]=DiscreteStatsTable[[#This Row],[RepsWithStatObserved]],1,0)</f>
        <v>1</v>
      </c>
    </row>
    <row r="355" spans="1:25" x14ac:dyDescent="0.25">
      <c r="A355" t="s">
        <v>68</v>
      </c>
      <c r="B355" t="s">
        <v>70</v>
      </c>
      <c r="C355">
        <v>24</v>
      </c>
      <c r="D355" t="s">
        <v>88</v>
      </c>
      <c r="E355" t="s">
        <v>85</v>
      </c>
      <c r="F355" t="s">
        <v>86</v>
      </c>
      <c r="G355">
        <v>0</v>
      </c>
      <c r="H355">
        <v>2E+20</v>
      </c>
      <c r="I355">
        <v>0</v>
      </c>
      <c r="J355">
        <v>0</v>
      </c>
      <c r="K355">
        <v>39</v>
      </c>
      <c r="L355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30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2.8192135627849965E-5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0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8.4576406883549898E-4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3.7213619028762003E-2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5" s="5">
        <f>IF((DiscreteStatsTable[[#This Row],[RepsRequested]]&gt;1),DiscreteStatsTable[[#This Row],[HalfWidth]],DiscreteStatsTable[[#This Row],[BatchMeansHalfWidth]])</f>
        <v>5.7659391461104205E-5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30</v>
      </c>
      <c r="Y355" s="5">
        <f>IF(DiscreteStatsTable[[#This Row],[RepsRequested]]=DiscreteStatsTable[[#This Row],[RepsWithStatObserved]],1,0)</f>
        <v>1</v>
      </c>
    </row>
    <row r="356" spans="1:25" x14ac:dyDescent="0.25">
      <c r="A356" t="s">
        <v>68</v>
      </c>
      <c r="B356" t="s">
        <v>70</v>
      </c>
      <c r="C356">
        <v>25</v>
      </c>
      <c r="D356" t="s">
        <v>88</v>
      </c>
      <c r="E356" t="s">
        <v>85</v>
      </c>
      <c r="F356" t="s">
        <v>86</v>
      </c>
      <c r="G356">
        <v>0</v>
      </c>
      <c r="H356">
        <v>2E+20</v>
      </c>
      <c r="I356">
        <v>0</v>
      </c>
      <c r="J356">
        <v>0</v>
      </c>
      <c r="K356">
        <v>35</v>
      </c>
      <c r="L356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30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2.8192135627849965E-5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0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8.4576406883549898E-4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3.7213619028762003E-2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6" s="5">
        <f>IF((DiscreteStatsTable[[#This Row],[RepsRequested]]&gt;1),DiscreteStatsTable[[#This Row],[HalfWidth]],DiscreteStatsTable[[#This Row],[BatchMeansHalfWidth]])</f>
        <v>5.7659391461104205E-5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30</v>
      </c>
      <c r="Y356" s="5">
        <f>IF(DiscreteStatsTable[[#This Row],[RepsRequested]]=DiscreteStatsTable[[#This Row],[RepsWithStatObserved]],1,0)</f>
        <v>1</v>
      </c>
    </row>
    <row r="357" spans="1:25" x14ac:dyDescent="0.25">
      <c r="A357" t="s">
        <v>68</v>
      </c>
      <c r="B357" t="s">
        <v>70</v>
      </c>
      <c r="C357">
        <v>26</v>
      </c>
      <c r="D357" t="s">
        <v>88</v>
      </c>
      <c r="E357" t="s">
        <v>85</v>
      </c>
      <c r="F357" t="s">
        <v>86</v>
      </c>
      <c r="G357">
        <v>0</v>
      </c>
      <c r="H357">
        <v>2E+20</v>
      </c>
      <c r="I357">
        <v>0</v>
      </c>
      <c r="J357">
        <v>0</v>
      </c>
      <c r="K357">
        <v>45</v>
      </c>
      <c r="L357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30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2.8192135627849965E-5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0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8.4576406883549898E-4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3.7213619028762003E-2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7" s="5">
        <f>IF((DiscreteStatsTable[[#This Row],[RepsRequested]]&gt;1),DiscreteStatsTable[[#This Row],[HalfWidth]],DiscreteStatsTable[[#This Row],[BatchMeansHalfWidth]])</f>
        <v>5.7659391461104205E-5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30</v>
      </c>
      <c r="Y357" s="5">
        <f>IF(DiscreteStatsTable[[#This Row],[RepsRequested]]=DiscreteStatsTable[[#This Row],[RepsWithStatObserved]],1,0)</f>
        <v>1</v>
      </c>
    </row>
    <row r="358" spans="1:25" x14ac:dyDescent="0.25">
      <c r="A358" t="s">
        <v>68</v>
      </c>
      <c r="B358" t="s">
        <v>70</v>
      </c>
      <c r="C358">
        <v>27</v>
      </c>
      <c r="D358" t="s">
        <v>88</v>
      </c>
      <c r="E358" t="s">
        <v>85</v>
      </c>
      <c r="F358" t="s">
        <v>86</v>
      </c>
      <c r="G358">
        <v>0</v>
      </c>
      <c r="H358">
        <v>2E+20</v>
      </c>
      <c r="I358">
        <v>0</v>
      </c>
      <c r="J358">
        <v>0</v>
      </c>
      <c r="K358">
        <v>43</v>
      </c>
      <c r="L358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30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2.8192135627849965E-5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0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8.4576406883549898E-4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3.7213619028762003E-2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8" s="5">
        <f>IF((DiscreteStatsTable[[#This Row],[RepsRequested]]&gt;1),DiscreteStatsTable[[#This Row],[HalfWidth]],DiscreteStatsTable[[#This Row],[BatchMeansHalfWidth]])</f>
        <v>5.7659391461104205E-5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30</v>
      </c>
      <c r="Y358" s="5">
        <f>IF(DiscreteStatsTable[[#This Row],[RepsRequested]]=DiscreteStatsTable[[#This Row],[RepsWithStatObserved]],1,0)</f>
        <v>1</v>
      </c>
    </row>
    <row r="359" spans="1:25" x14ac:dyDescent="0.25">
      <c r="A359" t="s">
        <v>68</v>
      </c>
      <c r="B359" t="s">
        <v>70</v>
      </c>
      <c r="C359">
        <v>28</v>
      </c>
      <c r="D359" t="s">
        <v>88</v>
      </c>
      <c r="E359" t="s">
        <v>85</v>
      </c>
      <c r="F359" t="s">
        <v>86</v>
      </c>
      <c r="G359">
        <v>0</v>
      </c>
      <c r="H359">
        <v>2E+20</v>
      </c>
      <c r="I359">
        <v>0</v>
      </c>
      <c r="J359">
        <v>0</v>
      </c>
      <c r="K359">
        <v>39</v>
      </c>
      <c r="L359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30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2.8192135627849965E-5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0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8.4576406883549898E-4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3.7213619028762003E-2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59" s="5">
        <f>IF((DiscreteStatsTable[[#This Row],[RepsRequested]]&gt;1),DiscreteStatsTable[[#This Row],[HalfWidth]],DiscreteStatsTable[[#This Row],[BatchMeansHalfWidth]])</f>
        <v>5.7659391461104205E-5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30</v>
      </c>
      <c r="Y359" s="5">
        <f>IF(DiscreteStatsTable[[#This Row],[RepsRequested]]=DiscreteStatsTable[[#This Row],[RepsWithStatObserved]],1,0)</f>
        <v>1</v>
      </c>
    </row>
    <row r="360" spans="1:25" x14ac:dyDescent="0.25">
      <c r="A360" t="s">
        <v>68</v>
      </c>
      <c r="B360" t="s">
        <v>70</v>
      </c>
      <c r="C360">
        <v>29</v>
      </c>
      <c r="D360" t="s">
        <v>88</v>
      </c>
      <c r="E360" t="s">
        <v>85</v>
      </c>
      <c r="F360" t="s">
        <v>86</v>
      </c>
      <c r="G360">
        <v>0</v>
      </c>
      <c r="H360">
        <v>2E+20</v>
      </c>
      <c r="I360">
        <v>0</v>
      </c>
      <c r="J360">
        <v>0</v>
      </c>
      <c r="K360">
        <v>47</v>
      </c>
      <c r="L360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30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2.8192135627849965E-5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0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8.4576406883549898E-4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3.7213619028762003E-2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60" s="5">
        <f>IF((DiscreteStatsTable[[#This Row],[RepsRequested]]&gt;1),DiscreteStatsTable[[#This Row],[HalfWidth]],DiscreteStatsTable[[#This Row],[BatchMeansHalfWidth]])</f>
        <v>5.7659391461104205E-5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30</v>
      </c>
      <c r="Y360" s="5">
        <f>IF(DiscreteStatsTable[[#This Row],[RepsRequested]]=DiscreteStatsTable[[#This Row],[RepsWithStatObserved]],1,0)</f>
        <v>1</v>
      </c>
    </row>
    <row r="361" spans="1:25" x14ac:dyDescent="0.25">
      <c r="A361" t="s">
        <v>68</v>
      </c>
      <c r="B361" t="s">
        <v>70</v>
      </c>
      <c r="C361">
        <v>30</v>
      </c>
      <c r="D361" t="s">
        <v>88</v>
      </c>
      <c r="E361" t="s">
        <v>85</v>
      </c>
      <c r="F361" t="s">
        <v>86</v>
      </c>
      <c r="G361">
        <v>0</v>
      </c>
      <c r="H361">
        <v>2E+20</v>
      </c>
      <c r="I361">
        <v>0</v>
      </c>
      <c r="J361">
        <v>0</v>
      </c>
      <c r="K361">
        <v>35</v>
      </c>
      <c r="L361" s="5" t="str">
        <f>DiscreteStatsTable[[#This Row],[ProjectName]]&amp;DiscreteStatsTable[[#This Row],[Name]]&amp;DiscreteStatsTable[[#This Row],[Type]]&amp;DiscreteStatsTable[[#This Row],[Source]]</f>
        <v>Pedido CleintesEntrega Pedido.Queue2Waiting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30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2.8192135627849965E-5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1.544146862761849E-4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5.7659391461104205E-5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0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8.4576406883549898E-4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3.7213619028762003E-2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361" s="5">
        <f>IF((DiscreteStatsTable[[#This Row],[RepsRequested]]&gt;1),DiscreteStatsTable[[#This Row],[HalfWidth]],DiscreteStatsTable[[#This Row],[BatchMeansHalfWidth]])</f>
        <v>5.7659391461104205E-5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30</v>
      </c>
      <c r="Y361" s="5">
        <f>IF(DiscreteStatsTable[[#This Row],[RepsRequested]]=DiscreteStatsTable[[#This Row],[RepsWithStatObserved]],1,0)</f>
        <v>1</v>
      </c>
    </row>
    <row r="362" spans="1:25" x14ac:dyDescent="0.25">
      <c r="A362" t="s">
        <v>68</v>
      </c>
      <c r="B362" t="s">
        <v>70</v>
      </c>
      <c r="C362">
        <v>1</v>
      </c>
      <c r="D362" t="s">
        <v>89</v>
      </c>
      <c r="E362" t="s">
        <v>80</v>
      </c>
      <c r="F362" t="s">
        <v>81</v>
      </c>
      <c r="G362">
        <v>1.05364323748338</v>
      </c>
      <c r="H362">
        <v>2E+20</v>
      </c>
      <c r="I362">
        <v>0.66873080619410497</v>
      </c>
      <c r="J362">
        <v>1.5029775905256899</v>
      </c>
      <c r="K362">
        <v>26</v>
      </c>
      <c r="L362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30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1.1973615988192337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1.00105179769245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1.3954364053061299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0.66686181399057898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4.1908575360205598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2" s="5">
        <f>IF((DiscreteStatsTable[[#This Row],[RepsRequested]]&gt;1),DiscreteStatsTable[[#This Row],[HalfWidth]],DiscreteStatsTable[[#This Row],[BatchMeansHalfWidth]])</f>
        <v>3.8950849816067064E-2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30</v>
      </c>
      <c r="Y362" s="5">
        <f>IF(DiscreteStatsTable[[#This Row],[RepsRequested]]=DiscreteStatsTable[[#This Row],[RepsWithStatObserved]],1,0)</f>
        <v>1</v>
      </c>
    </row>
    <row r="363" spans="1:25" x14ac:dyDescent="0.25">
      <c r="A363" t="s">
        <v>68</v>
      </c>
      <c r="B363" t="s">
        <v>70</v>
      </c>
      <c r="C363">
        <v>1</v>
      </c>
      <c r="D363" t="s">
        <v>89</v>
      </c>
      <c r="E363" t="s">
        <v>82</v>
      </c>
      <c r="F363" t="s">
        <v>81</v>
      </c>
      <c r="G363">
        <v>1.0040877603001599</v>
      </c>
      <c r="H363">
        <v>2E+20</v>
      </c>
      <c r="I363">
        <v>0.66873080619410497</v>
      </c>
      <c r="J363">
        <v>1.3264847042121299</v>
      </c>
      <c r="K363">
        <v>26</v>
      </c>
      <c r="L363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30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1.0055528300668661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0.93439199770167003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1.07209969553912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0.66686181399057898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1.33298858408691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3" s="5">
        <f>IF((DiscreteStatsTable[[#This Row],[RepsRequested]]&gt;1),DiscreteStatsTable[[#This Row],[HalfWidth]],DiscreteStatsTable[[#This Row],[BatchMeansHalfWidth]])</f>
        <v>1.0240352006065174E-2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30</v>
      </c>
      <c r="Y363" s="5">
        <f>IF(DiscreteStatsTable[[#This Row],[RepsRequested]]=DiscreteStatsTable[[#This Row],[RepsWithStatObserved]],1,0)</f>
        <v>1</v>
      </c>
    </row>
    <row r="364" spans="1:25" x14ac:dyDescent="0.25">
      <c r="A364" t="s">
        <v>68</v>
      </c>
      <c r="B364" t="s">
        <v>70</v>
      </c>
      <c r="C364">
        <v>1</v>
      </c>
      <c r="D364" t="s">
        <v>89</v>
      </c>
      <c r="E364" t="s">
        <v>83</v>
      </c>
      <c r="F364" t="s">
        <v>81</v>
      </c>
      <c r="G364">
        <v>4.9555477183221001E-2</v>
      </c>
      <c r="H364">
        <v>2E+20</v>
      </c>
      <c r="I364">
        <v>0</v>
      </c>
      <c r="J364">
        <v>0.54562112350964298</v>
      </c>
      <c r="K364">
        <v>26</v>
      </c>
      <c r="L364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30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0.19180876875236769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0.103228745315481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0.423670795788058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3.4323212298415702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4" s="5">
        <f>IF((DiscreteStatsTable[[#This Row],[RepsRequested]]&gt;1),DiscreteStatsTable[[#This Row],[HalfWidth]],DiscreteStatsTable[[#This Row],[BatchMeansHalfWidth]])</f>
        <v>3.854624699063957E-2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30</v>
      </c>
      <c r="Y364" s="5">
        <f>IF(DiscreteStatsTable[[#This Row],[RepsRequested]]=DiscreteStatsTable[[#This Row],[RepsWithStatObserved]],1,0)</f>
        <v>1</v>
      </c>
    </row>
    <row r="365" spans="1:25" x14ac:dyDescent="0.25">
      <c r="A365" t="s">
        <v>68</v>
      </c>
      <c r="B365" t="s">
        <v>70</v>
      </c>
      <c r="C365">
        <v>2</v>
      </c>
      <c r="D365" t="s">
        <v>89</v>
      </c>
      <c r="E365" t="s">
        <v>80</v>
      </c>
      <c r="F365" t="s">
        <v>81</v>
      </c>
      <c r="G365">
        <v>1.1539600797932501</v>
      </c>
      <c r="H365">
        <v>2E+20</v>
      </c>
      <c r="I365">
        <v>0.68321886816823996</v>
      </c>
      <c r="J365">
        <v>2.0406175266893598</v>
      </c>
      <c r="K365">
        <v>41</v>
      </c>
      <c r="L365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30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1.1973615988192337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1.00105179769245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1.3954364053061299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0.66686181399057898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4.1908575360205598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5" s="5">
        <f>IF((DiscreteStatsTable[[#This Row],[RepsRequested]]&gt;1),DiscreteStatsTable[[#This Row],[HalfWidth]],DiscreteStatsTable[[#This Row],[BatchMeansHalfWidth]])</f>
        <v>3.8950849816067064E-2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30</v>
      </c>
      <c r="Y365" s="5">
        <f>IF(DiscreteStatsTable[[#This Row],[RepsRequested]]=DiscreteStatsTable[[#This Row],[RepsWithStatObserved]],1,0)</f>
        <v>1</v>
      </c>
    </row>
    <row r="366" spans="1:25" x14ac:dyDescent="0.25">
      <c r="A366" t="s">
        <v>68</v>
      </c>
      <c r="B366" t="s">
        <v>70</v>
      </c>
      <c r="C366">
        <v>2</v>
      </c>
      <c r="D366" t="s">
        <v>89</v>
      </c>
      <c r="E366" t="s">
        <v>82</v>
      </c>
      <c r="F366" t="s">
        <v>81</v>
      </c>
      <c r="G366">
        <v>1.03829988466526</v>
      </c>
      <c r="H366">
        <v>2E+20</v>
      </c>
      <c r="I366">
        <v>0.68321886816823996</v>
      </c>
      <c r="J366">
        <v>1.32205929071108</v>
      </c>
      <c r="K366">
        <v>41</v>
      </c>
      <c r="L366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30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1.0055528300668661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0.93439199770167003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1.07209969553912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0.66686181399057898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1.33298858408691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6" s="5">
        <f>IF((DiscreteStatsTable[[#This Row],[RepsRequested]]&gt;1),DiscreteStatsTable[[#This Row],[HalfWidth]],DiscreteStatsTable[[#This Row],[BatchMeansHalfWidth]])</f>
        <v>1.0240352006065174E-2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30</v>
      </c>
      <c r="Y366" s="5">
        <f>IF(DiscreteStatsTable[[#This Row],[RepsRequested]]=DiscreteStatsTable[[#This Row],[RepsWithStatObserved]],1,0)</f>
        <v>1</v>
      </c>
    </row>
    <row r="367" spans="1:25" x14ac:dyDescent="0.25">
      <c r="A367" t="s">
        <v>68</v>
      </c>
      <c r="B367" t="s">
        <v>70</v>
      </c>
      <c r="C367">
        <v>2</v>
      </c>
      <c r="D367" t="s">
        <v>89</v>
      </c>
      <c r="E367" t="s">
        <v>83</v>
      </c>
      <c r="F367" t="s">
        <v>81</v>
      </c>
      <c r="G367">
        <v>0.115660195127994</v>
      </c>
      <c r="H367">
        <v>2E+20</v>
      </c>
      <c r="I367">
        <v>0</v>
      </c>
      <c r="J367">
        <v>0.81936615306581495</v>
      </c>
      <c r="K367">
        <v>41</v>
      </c>
      <c r="L367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30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0.19180876875236769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0.103228745315481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0.423670795788058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3.4323212298415702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7" s="5">
        <f>IF((DiscreteStatsTable[[#This Row],[RepsRequested]]&gt;1),DiscreteStatsTable[[#This Row],[HalfWidth]],DiscreteStatsTable[[#This Row],[BatchMeansHalfWidth]])</f>
        <v>3.854624699063957E-2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30</v>
      </c>
      <c r="Y367" s="5">
        <f>IF(DiscreteStatsTable[[#This Row],[RepsRequested]]=DiscreteStatsTable[[#This Row],[RepsWithStatObserved]],1,0)</f>
        <v>1</v>
      </c>
    </row>
    <row r="368" spans="1:25" x14ac:dyDescent="0.25">
      <c r="A368" t="s">
        <v>68</v>
      </c>
      <c r="B368" t="s">
        <v>70</v>
      </c>
      <c r="C368">
        <v>3</v>
      </c>
      <c r="D368" t="s">
        <v>89</v>
      </c>
      <c r="E368" t="s">
        <v>80</v>
      </c>
      <c r="F368" t="s">
        <v>81</v>
      </c>
      <c r="G368">
        <v>1.3954364053061299</v>
      </c>
      <c r="H368">
        <v>2E+20</v>
      </c>
      <c r="I368">
        <v>0.67777694132847399</v>
      </c>
      <c r="J368">
        <v>4.1506309379140403</v>
      </c>
      <c r="K368">
        <v>47</v>
      </c>
      <c r="L368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30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1.1973615988192337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1.00105179769245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1.3954364053061299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0.66686181399057898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4.1908575360205598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8" s="5">
        <f>IF((DiscreteStatsTable[[#This Row],[RepsRequested]]&gt;1),DiscreteStatsTable[[#This Row],[HalfWidth]],DiscreteStatsTable[[#This Row],[BatchMeansHalfWidth]])</f>
        <v>3.8950849816067064E-2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30</v>
      </c>
      <c r="Y368" s="5">
        <f>IF(DiscreteStatsTable[[#This Row],[RepsRequested]]=DiscreteStatsTable[[#This Row],[RepsWithStatObserved]],1,0)</f>
        <v>1</v>
      </c>
    </row>
    <row r="369" spans="1:25" x14ac:dyDescent="0.25">
      <c r="A369" t="s">
        <v>68</v>
      </c>
      <c r="B369" t="s">
        <v>70</v>
      </c>
      <c r="C369">
        <v>3</v>
      </c>
      <c r="D369" t="s">
        <v>89</v>
      </c>
      <c r="E369" t="s">
        <v>82</v>
      </c>
      <c r="F369" t="s">
        <v>81</v>
      </c>
      <c r="G369">
        <v>0.99450331769312095</v>
      </c>
      <c r="H369">
        <v>2E+20</v>
      </c>
      <c r="I369">
        <v>0.67777694132847399</v>
      </c>
      <c r="J369">
        <v>1.31601869587661</v>
      </c>
      <c r="K369">
        <v>47</v>
      </c>
      <c r="L369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30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1.0055528300668661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0.93439199770167003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1.07209969553912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0.66686181399057898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1.33298858408691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69" s="5">
        <f>IF((DiscreteStatsTable[[#This Row],[RepsRequested]]&gt;1),DiscreteStatsTable[[#This Row],[HalfWidth]],DiscreteStatsTable[[#This Row],[BatchMeansHalfWidth]])</f>
        <v>1.0240352006065174E-2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30</v>
      </c>
      <c r="Y369" s="5">
        <f>IF(DiscreteStatsTable[[#This Row],[RepsRequested]]=DiscreteStatsTable[[#This Row],[RepsWithStatObserved]],1,0)</f>
        <v>1</v>
      </c>
    </row>
    <row r="370" spans="1:25" x14ac:dyDescent="0.25">
      <c r="A370" t="s">
        <v>68</v>
      </c>
      <c r="B370" t="s">
        <v>70</v>
      </c>
      <c r="C370">
        <v>3</v>
      </c>
      <c r="D370" t="s">
        <v>89</v>
      </c>
      <c r="E370" t="s">
        <v>83</v>
      </c>
      <c r="F370" t="s">
        <v>81</v>
      </c>
      <c r="G370">
        <v>0.400933087613008</v>
      </c>
      <c r="H370">
        <v>2E+20</v>
      </c>
      <c r="I370">
        <v>0</v>
      </c>
      <c r="J370">
        <v>3.19299741817977</v>
      </c>
      <c r="K370">
        <v>47</v>
      </c>
      <c r="L370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30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0.19180876875236769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0.103228745315481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0.423670795788058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3.4323212298415702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0" s="5">
        <f>IF((DiscreteStatsTable[[#This Row],[RepsRequested]]&gt;1),DiscreteStatsTable[[#This Row],[HalfWidth]],DiscreteStatsTable[[#This Row],[BatchMeansHalfWidth]])</f>
        <v>3.854624699063957E-2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30</v>
      </c>
      <c r="Y370" s="5">
        <f>IF(DiscreteStatsTable[[#This Row],[RepsRequested]]=DiscreteStatsTable[[#This Row],[RepsWithStatObserved]],1,0)</f>
        <v>1</v>
      </c>
    </row>
    <row r="371" spans="1:25" x14ac:dyDescent="0.25">
      <c r="A371" t="s">
        <v>68</v>
      </c>
      <c r="B371" t="s">
        <v>70</v>
      </c>
      <c r="C371">
        <v>4</v>
      </c>
      <c r="D371" t="s">
        <v>89</v>
      </c>
      <c r="E371" t="s">
        <v>80</v>
      </c>
      <c r="F371" t="s">
        <v>81</v>
      </c>
      <c r="G371">
        <v>1.0467571203352399</v>
      </c>
      <c r="H371">
        <v>2E+20</v>
      </c>
      <c r="I371">
        <v>0.68472970287359702</v>
      </c>
      <c r="J371">
        <v>1.90485669799656</v>
      </c>
      <c r="K371">
        <v>33</v>
      </c>
      <c r="L371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30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1.1973615988192337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1.00105179769245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1.3954364053061299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0.66686181399057898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4.1908575360205598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1" s="5">
        <f>IF((DiscreteStatsTable[[#This Row],[RepsRequested]]&gt;1),DiscreteStatsTable[[#This Row],[HalfWidth]],DiscreteStatsTable[[#This Row],[BatchMeansHalfWidth]])</f>
        <v>3.8950849816067064E-2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30</v>
      </c>
      <c r="Y371" s="5">
        <f>IF(DiscreteStatsTable[[#This Row],[RepsRequested]]=DiscreteStatsTable[[#This Row],[RepsWithStatObserved]],1,0)</f>
        <v>1</v>
      </c>
    </row>
    <row r="372" spans="1:25" x14ac:dyDescent="0.25">
      <c r="A372" t="s">
        <v>68</v>
      </c>
      <c r="B372" t="s">
        <v>70</v>
      </c>
      <c r="C372">
        <v>4</v>
      </c>
      <c r="D372" t="s">
        <v>89</v>
      </c>
      <c r="E372" t="s">
        <v>82</v>
      </c>
      <c r="F372" t="s">
        <v>81</v>
      </c>
      <c r="G372">
        <v>0.99937055572259803</v>
      </c>
      <c r="H372">
        <v>2E+20</v>
      </c>
      <c r="I372">
        <v>0.68472970287359702</v>
      </c>
      <c r="J372">
        <v>1.32338309984664</v>
      </c>
      <c r="K372">
        <v>33</v>
      </c>
      <c r="L372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30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1.0055528300668661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0.93439199770167003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1.07209969553912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0.66686181399057898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1.33298858408691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2" s="5">
        <f>IF((DiscreteStatsTable[[#This Row],[RepsRequested]]&gt;1),DiscreteStatsTable[[#This Row],[HalfWidth]],DiscreteStatsTable[[#This Row],[BatchMeansHalfWidth]])</f>
        <v>1.0240352006065174E-2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30</v>
      </c>
      <c r="Y372" s="5">
        <f>IF(DiscreteStatsTable[[#This Row],[RepsRequested]]=DiscreteStatsTable[[#This Row],[RepsWithStatObserved]],1,0)</f>
        <v>1</v>
      </c>
    </row>
    <row r="373" spans="1:25" x14ac:dyDescent="0.25">
      <c r="A373" t="s">
        <v>68</v>
      </c>
      <c r="B373" t="s">
        <v>70</v>
      </c>
      <c r="C373">
        <v>4</v>
      </c>
      <c r="D373" t="s">
        <v>89</v>
      </c>
      <c r="E373" t="s">
        <v>83</v>
      </c>
      <c r="F373" t="s">
        <v>81</v>
      </c>
      <c r="G373">
        <v>4.7386564612643102E-2</v>
      </c>
      <c r="H373">
        <v>2E+20</v>
      </c>
      <c r="I373">
        <v>0</v>
      </c>
      <c r="J373">
        <v>0.99174815399776195</v>
      </c>
      <c r="K373">
        <v>33</v>
      </c>
      <c r="L373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30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0.19180876875236769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0.103228745315481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0.423670795788058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3.4323212298415702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3" s="5">
        <f>IF((DiscreteStatsTable[[#This Row],[RepsRequested]]&gt;1),DiscreteStatsTable[[#This Row],[HalfWidth]],DiscreteStatsTable[[#This Row],[BatchMeansHalfWidth]])</f>
        <v>3.854624699063957E-2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30</v>
      </c>
      <c r="Y373" s="5">
        <f>IF(DiscreteStatsTable[[#This Row],[RepsRequested]]=DiscreteStatsTable[[#This Row],[RepsWithStatObserved]],1,0)</f>
        <v>1</v>
      </c>
    </row>
    <row r="374" spans="1:25" x14ac:dyDescent="0.25">
      <c r="A374" t="s">
        <v>68</v>
      </c>
      <c r="B374" t="s">
        <v>70</v>
      </c>
      <c r="C374">
        <v>5</v>
      </c>
      <c r="D374" t="s">
        <v>89</v>
      </c>
      <c r="E374" t="s">
        <v>80</v>
      </c>
      <c r="F374" t="s">
        <v>81</v>
      </c>
      <c r="G374">
        <v>1.2102582285706101</v>
      </c>
      <c r="H374">
        <v>2E+20</v>
      </c>
      <c r="I374">
        <v>0.66998926628406297</v>
      </c>
      <c r="J374">
        <v>3.01715846298214</v>
      </c>
      <c r="K374">
        <v>46</v>
      </c>
      <c r="L374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30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1.1973615988192337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1.00105179769245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1.3954364053061299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0.66686181399057898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4.1908575360205598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4" s="5">
        <f>IF((DiscreteStatsTable[[#This Row],[RepsRequested]]&gt;1),DiscreteStatsTable[[#This Row],[HalfWidth]],DiscreteStatsTable[[#This Row],[BatchMeansHalfWidth]])</f>
        <v>3.8950849816067064E-2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30</v>
      </c>
      <c r="Y374" s="5">
        <f>IF(DiscreteStatsTable[[#This Row],[RepsRequested]]=DiscreteStatsTable[[#This Row],[RepsWithStatObserved]],1,0)</f>
        <v>1</v>
      </c>
    </row>
    <row r="375" spans="1:25" x14ac:dyDescent="0.25">
      <c r="A375" t="s">
        <v>68</v>
      </c>
      <c r="B375" t="s">
        <v>70</v>
      </c>
      <c r="C375">
        <v>5</v>
      </c>
      <c r="D375" t="s">
        <v>89</v>
      </c>
      <c r="E375" t="s">
        <v>82</v>
      </c>
      <c r="F375" t="s">
        <v>81</v>
      </c>
      <c r="G375">
        <v>0.96864790155887004</v>
      </c>
      <c r="H375">
        <v>2E+20</v>
      </c>
      <c r="I375">
        <v>0.66998926628406297</v>
      </c>
      <c r="J375">
        <v>1.32578727069534</v>
      </c>
      <c r="K375">
        <v>46</v>
      </c>
      <c r="L375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30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1.0055528300668661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0.93439199770167003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1.07209969553912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0.66686181399057898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1.33298858408691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5" s="5">
        <f>IF((DiscreteStatsTable[[#This Row],[RepsRequested]]&gt;1),DiscreteStatsTable[[#This Row],[HalfWidth]],DiscreteStatsTable[[#This Row],[BatchMeansHalfWidth]])</f>
        <v>1.0240352006065174E-2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30</v>
      </c>
      <c r="Y375" s="5">
        <f>IF(DiscreteStatsTable[[#This Row],[RepsRequested]]=DiscreteStatsTable[[#This Row],[RepsWithStatObserved]],1,0)</f>
        <v>1</v>
      </c>
    </row>
    <row r="376" spans="1:25" x14ac:dyDescent="0.25">
      <c r="A376" t="s">
        <v>68</v>
      </c>
      <c r="B376" t="s">
        <v>70</v>
      </c>
      <c r="C376">
        <v>5</v>
      </c>
      <c r="D376" t="s">
        <v>89</v>
      </c>
      <c r="E376" t="s">
        <v>83</v>
      </c>
      <c r="F376" t="s">
        <v>81</v>
      </c>
      <c r="G376">
        <v>0.24161032701174501</v>
      </c>
      <c r="H376">
        <v>2E+20</v>
      </c>
      <c r="I376">
        <v>0</v>
      </c>
      <c r="J376">
        <v>1.91154478279672</v>
      </c>
      <c r="K376">
        <v>46</v>
      </c>
      <c r="L376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30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0.19180876875236769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0.103228745315481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0.423670795788058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3.4323212298415702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6" s="5">
        <f>IF((DiscreteStatsTable[[#This Row],[RepsRequested]]&gt;1),DiscreteStatsTable[[#This Row],[HalfWidth]],DiscreteStatsTable[[#This Row],[BatchMeansHalfWidth]])</f>
        <v>3.854624699063957E-2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30</v>
      </c>
      <c r="Y376" s="5">
        <f>IF(DiscreteStatsTable[[#This Row],[RepsRequested]]=DiscreteStatsTable[[#This Row],[RepsWithStatObserved]],1,0)</f>
        <v>1</v>
      </c>
    </row>
    <row r="377" spans="1:25" x14ac:dyDescent="0.25">
      <c r="A377" t="s">
        <v>68</v>
      </c>
      <c r="B377" t="s">
        <v>70</v>
      </c>
      <c r="C377">
        <v>6</v>
      </c>
      <c r="D377" t="s">
        <v>89</v>
      </c>
      <c r="E377" t="s">
        <v>80</v>
      </c>
      <c r="F377" t="s">
        <v>81</v>
      </c>
      <c r="G377">
        <v>1.17136070987291</v>
      </c>
      <c r="H377">
        <v>2E+20</v>
      </c>
      <c r="I377">
        <v>0.66833348207836696</v>
      </c>
      <c r="J377">
        <v>3.1251970433750702</v>
      </c>
      <c r="K377">
        <v>39</v>
      </c>
      <c r="L377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30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1.1973615988192337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1.00105179769245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1.3954364053061299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0.66686181399057898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4.1908575360205598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7" s="5">
        <f>IF((DiscreteStatsTable[[#This Row],[RepsRequested]]&gt;1),DiscreteStatsTable[[#This Row],[HalfWidth]],DiscreteStatsTable[[#This Row],[BatchMeansHalfWidth]])</f>
        <v>3.8950849816067064E-2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30</v>
      </c>
      <c r="Y377" s="5">
        <f>IF(DiscreteStatsTable[[#This Row],[RepsRequested]]=DiscreteStatsTable[[#This Row],[RepsWithStatObserved]],1,0)</f>
        <v>1</v>
      </c>
    </row>
    <row r="378" spans="1:25" x14ac:dyDescent="0.25">
      <c r="A378" t="s">
        <v>68</v>
      </c>
      <c r="B378" t="s">
        <v>70</v>
      </c>
      <c r="C378">
        <v>6</v>
      </c>
      <c r="D378" t="s">
        <v>89</v>
      </c>
      <c r="E378" t="s">
        <v>82</v>
      </c>
      <c r="F378" t="s">
        <v>81</v>
      </c>
      <c r="G378">
        <v>1.0016696282666999</v>
      </c>
      <c r="H378">
        <v>2E+20</v>
      </c>
      <c r="I378">
        <v>0.66833348207836696</v>
      </c>
      <c r="J378">
        <v>1.31001941575531</v>
      </c>
      <c r="K378">
        <v>39</v>
      </c>
      <c r="L378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30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1.0055528300668661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0.93439199770167003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1.07209969553912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0.66686181399057898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1.33298858408691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8" s="5">
        <f>IF((DiscreteStatsTable[[#This Row],[RepsRequested]]&gt;1),DiscreteStatsTable[[#This Row],[HalfWidth]],DiscreteStatsTable[[#This Row],[BatchMeansHalfWidth]])</f>
        <v>1.0240352006065174E-2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30</v>
      </c>
      <c r="Y378" s="5">
        <f>IF(DiscreteStatsTable[[#This Row],[RepsRequested]]=DiscreteStatsTable[[#This Row],[RepsWithStatObserved]],1,0)</f>
        <v>1</v>
      </c>
    </row>
    <row r="379" spans="1:25" x14ac:dyDescent="0.25">
      <c r="A379" t="s">
        <v>68</v>
      </c>
      <c r="B379" t="s">
        <v>70</v>
      </c>
      <c r="C379">
        <v>6</v>
      </c>
      <c r="D379" t="s">
        <v>89</v>
      </c>
      <c r="E379" t="s">
        <v>83</v>
      </c>
      <c r="F379" t="s">
        <v>81</v>
      </c>
      <c r="G379">
        <v>0.169691081606206</v>
      </c>
      <c r="H379">
        <v>2E+20</v>
      </c>
      <c r="I379">
        <v>0</v>
      </c>
      <c r="J379">
        <v>2.2926430280432202</v>
      </c>
      <c r="K379">
        <v>39</v>
      </c>
      <c r="L379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30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0.19180876875236769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0.103228745315481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0.423670795788058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3.4323212298415702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79" s="5">
        <f>IF((DiscreteStatsTable[[#This Row],[RepsRequested]]&gt;1),DiscreteStatsTable[[#This Row],[HalfWidth]],DiscreteStatsTable[[#This Row],[BatchMeansHalfWidth]])</f>
        <v>3.854624699063957E-2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30</v>
      </c>
      <c r="Y379" s="5">
        <f>IF(DiscreteStatsTable[[#This Row],[RepsRequested]]=DiscreteStatsTable[[#This Row],[RepsWithStatObserved]],1,0)</f>
        <v>1</v>
      </c>
    </row>
    <row r="380" spans="1:25" x14ac:dyDescent="0.25">
      <c r="A380" t="s">
        <v>68</v>
      </c>
      <c r="B380" t="s">
        <v>70</v>
      </c>
      <c r="C380">
        <v>7</v>
      </c>
      <c r="D380" t="s">
        <v>89</v>
      </c>
      <c r="E380" t="s">
        <v>80</v>
      </c>
      <c r="F380" t="s">
        <v>81</v>
      </c>
      <c r="G380">
        <v>1.16449911028659</v>
      </c>
      <c r="H380">
        <v>2E+20</v>
      </c>
      <c r="I380">
        <v>0.67838189807918103</v>
      </c>
      <c r="J380">
        <v>2.8098061866412101</v>
      </c>
      <c r="K380">
        <v>38</v>
      </c>
      <c r="L380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30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1.1973615988192337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1.00105179769245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1.3954364053061299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0.66686181399057898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4.1908575360205598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0" s="5">
        <f>IF((DiscreteStatsTable[[#This Row],[RepsRequested]]&gt;1),DiscreteStatsTable[[#This Row],[HalfWidth]],DiscreteStatsTable[[#This Row],[BatchMeansHalfWidth]])</f>
        <v>3.8950849816067064E-2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30</v>
      </c>
      <c r="Y380" s="5">
        <f>IF(DiscreteStatsTable[[#This Row],[RepsRequested]]=DiscreteStatsTable[[#This Row],[RepsWithStatObserved]],1,0)</f>
        <v>1</v>
      </c>
    </row>
    <row r="381" spans="1:25" x14ac:dyDescent="0.25">
      <c r="A381" t="s">
        <v>68</v>
      </c>
      <c r="B381" t="s">
        <v>70</v>
      </c>
      <c r="C381">
        <v>7</v>
      </c>
      <c r="D381" t="s">
        <v>89</v>
      </c>
      <c r="E381" t="s">
        <v>82</v>
      </c>
      <c r="F381" t="s">
        <v>81</v>
      </c>
      <c r="G381">
        <v>0.97578740057255897</v>
      </c>
      <c r="H381">
        <v>2E+20</v>
      </c>
      <c r="I381">
        <v>0.67838189807918103</v>
      </c>
      <c r="J381">
        <v>1.3054344536509499</v>
      </c>
      <c r="K381">
        <v>38</v>
      </c>
      <c r="L381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30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1.0055528300668661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0.93439199770167003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1.07209969553912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0.66686181399057898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1.33298858408691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1" s="5">
        <f>IF((DiscreteStatsTable[[#This Row],[RepsRequested]]&gt;1),DiscreteStatsTable[[#This Row],[HalfWidth]],DiscreteStatsTable[[#This Row],[BatchMeansHalfWidth]])</f>
        <v>1.0240352006065174E-2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30</v>
      </c>
      <c r="Y381" s="5">
        <f>IF(DiscreteStatsTable[[#This Row],[RepsRequested]]=DiscreteStatsTable[[#This Row],[RepsWithStatObserved]],1,0)</f>
        <v>1</v>
      </c>
    </row>
    <row r="382" spans="1:25" x14ac:dyDescent="0.25">
      <c r="A382" t="s">
        <v>68</v>
      </c>
      <c r="B382" t="s">
        <v>70</v>
      </c>
      <c r="C382">
        <v>7</v>
      </c>
      <c r="D382" t="s">
        <v>89</v>
      </c>
      <c r="E382" t="s">
        <v>83</v>
      </c>
      <c r="F382" t="s">
        <v>81</v>
      </c>
      <c r="G382">
        <v>0.188711709714035</v>
      </c>
      <c r="H382">
        <v>2E+20</v>
      </c>
      <c r="I382">
        <v>0</v>
      </c>
      <c r="J382">
        <v>1.7707802369025001</v>
      </c>
      <c r="K382">
        <v>38</v>
      </c>
      <c r="L382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30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0.19180876875236769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0.103228745315481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0.423670795788058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3.4323212298415702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2" s="5">
        <f>IF((DiscreteStatsTable[[#This Row],[RepsRequested]]&gt;1),DiscreteStatsTable[[#This Row],[HalfWidth]],DiscreteStatsTable[[#This Row],[BatchMeansHalfWidth]])</f>
        <v>3.854624699063957E-2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30</v>
      </c>
      <c r="Y382" s="5">
        <f>IF(DiscreteStatsTable[[#This Row],[RepsRequested]]=DiscreteStatsTable[[#This Row],[RepsWithStatObserved]],1,0)</f>
        <v>1</v>
      </c>
    </row>
    <row r="383" spans="1:25" x14ac:dyDescent="0.25">
      <c r="A383" t="s">
        <v>68</v>
      </c>
      <c r="B383" t="s">
        <v>70</v>
      </c>
      <c r="C383">
        <v>8</v>
      </c>
      <c r="D383" t="s">
        <v>89</v>
      </c>
      <c r="E383" t="s">
        <v>80</v>
      </c>
      <c r="F383" t="s">
        <v>81</v>
      </c>
      <c r="G383">
        <v>1.3045079347339199</v>
      </c>
      <c r="H383">
        <v>2E+20</v>
      </c>
      <c r="I383">
        <v>0.67538129611747899</v>
      </c>
      <c r="J383">
        <v>2.3630373750943199</v>
      </c>
      <c r="K383">
        <v>36</v>
      </c>
      <c r="L383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30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1.1973615988192337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1.00105179769245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1.3954364053061299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0.66686181399057898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4.1908575360205598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3" s="5">
        <f>IF((DiscreteStatsTable[[#This Row],[RepsRequested]]&gt;1),DiscreteStatsTable[[#This Row],[HalfWidth]],DiscreteStatsTable[[#This Row],[BatchMeansHalfWidth]])</f>
        <v>3.8950849816067064E-2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30</v>
      </c>
      <c r="Y383" s="5">
        <f>IF(DiscreteStatsTable[[#This Row],[RepsRequested]]=DiscreteStatsTable[[#This Row],[RepsWithStatObserved]],1,0)</f>
        <v>1</v>
      </c>
    </row>
    <row r="384" spans="1:25" x14ac:dyDescent="0.25">
      <c r="A384" t="s">
        <v>68</v>
      </c>
      <c r="B384" t="s">
        <v>70</v>
      </c>
      <c r="C384">
        <v>8</v>
      </c>
      <c r="D384" t="s">
        <v>89</v>
      </c>
      <c r="E384" t="s">
        <v>82</v>
      </c>
      <c r="F384" t="s">
        <v>81</v>
      </c>
      <c r="G384">
        <v>1.00829421585964</v>
      </c>
      <c r="H384">
        <v>2E+20</v>
      </c>
      <c r="I384">
        <v>0.67538129611747899</v>
      </c>
      <c r="J384">
        <v>1.30115138023952</v>
      </c>
      <c r="K384">
        <v>36</v>
      </c>
      <c r="L384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30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1.0055528300668661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0.93439199770167003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1.07209969553912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0.66686181399057898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1.33298858408691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4" s="5">
        <f>IF((DiscreteStatsTable[[#This Row],[RepsRequested]]&gt;1),DiscreteStatsTable[[#This Row],[HalfWidth]],DiscreteStatsTable[[#This Row],[BatchMeansHalfWidth]])</f>
        <v>1.0240352006065174E-2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30</v>
      </c>
      <c r="Y384" s="5">
        <f>IF(DiscreteStatsTable[[#This Row],[RepsRequested]]=DiscreteStatsTable[[#This Row],[RepsWithStatObserved]],1,0)</f>
        <v>1</v>
      </c>
    </row>
    <row r="385" spans="1:25" x14ac:dyDescent="0.25">
      <c r="A385" t="s">
        <v>68</v>
      </c>
      <c r="B385" t="s">
        <v>70</v>
      </c>
      <c r="C385">
        <v>8</v>
      </c>
      <c r="D385" t="s">
        <v>89</v>
      </c>
      <c r="E385" t="s">
        <v>83</v>
      </c>
      <c r="F385" t="s">
        <v>81</v>
      </c>
      <c r="G385">
        <v>0.296213718874276</v>
      </c>
      <c r="H385">
        <v>2E+20</v>
      </c>
      <c r="I385">
        <v>0</v>
      </c>
      <c r="J385">
        <v>1.2815772132147201</v>
      </c>
      <c r="K385">
        <v>36</v>
      </c>
      <c r="L385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30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0.19180876875236769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0.103228745315481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0.423670795788058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3.4323212298415702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5" s="5">
        <f>IF((DiscreteStatsTable[[#This Row],[RepsRequested]]&gt;1),DiscreteStatsTable[[#This Row],[HalfWidth]],DiscreteStatsTable[[#This Row],[BatchMeansHalfWidth]])</f>
        <v>3.854624699063957E-2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30</v>
      </c>
      <c r="Y385" s="5">
        <f>IF(DiscreteStatsTable[[#This Row],[RepsRequested]]=DiscreteStatsTable[[#This Row],[RepsWithStatObserved]],1,0)</f>
        <v>1</v>
      </c>
    </row>
    <row r="386" spans="1:25" x14ac:dyDescent="0.25">
      <c r="A386" t="s">
        <v>68</v>
      </c>
      <c r="B386" t="s">
        <v>70</v>
      </c>
      <c r="C386">
        <v>9</v>
      </c>
      <c r="D386" t="s">
        <v>89</v>
      </c>
      <c r="E386" t="s">
        <v>80</v>
      </c>
      <c r="F386" t="s">
        <v>81</v>
      </c>
      <c r="G386">
        <v>1.0514883232169501</v>
      </c>
      <c r="H386">
        <v>2E+20</v>
      </c>
      <c r="I386">
        <v>0.67607267464026699</v>
      </c>
      <c r="J386">
        <v>2.12214050847555</v>
      </c>
      <c r="K386">
        <v>35</v>
      </c>
      <c r="L386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30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1.1973615988192337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1.00105179769245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1.3954364053061299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0.66686181399057898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4.1908575360205598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6" s="5">
        <f>IF((DiscreteStatsTable[[#This Row],[RepsRequested]]&gt;1),DiscreteStatsTable[[#This Row],[HalfWidth]],DiscreteStatsTable[[#This Row],[BatchMeansHalfWidth]])</f>
        <v>3.8950849816067064E-2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30</v>
      </c>
      <c r="Y386" s="5">
        <f>IF(DiscreteStatsTable[[#This Row],[RepsRequested]]=DiscreteStatsTable[[#This Row],[RepsWithStatObserved]],1,0)</f>
        <v>1</v>
      </c>
    </row>
    <row r="387" spans="1:25" x14ac:dyDescent="0.25">
      <c r="A387" t="s">
        <v>68</v>
      </c>
      <c r="B387" t="s">
        <v>70</v>
      </c>
      <c r="C387">
        <v>9</v>
      </c>
      <c r="D387" t="s">
        <v>89</v>
      </c>
      <c r="E387" t="s">
        <v>82</v>
      </c>
      <c r="F387" t="s">
        <v>81</v>
      </c>
      <c r="G387">
        <v>0.94670553782035205</v>
      </c>
      <c r="H387">
        <v>2E+20</v>
      </c>
      <c r="I387">
        <v>0.67607267464026699</v>
      </c>
      <c r="J387">
        <v>1.2895986296995801</v>
      </c>
      <c r="K387">
        <v>35</v>
      </c>
      <c r="L387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30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1.0055528300668661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0.93439199770167003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1.07209969553912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0.66686181399057898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1.33298858408691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7" s="5">
        <f>IF((DiscreteStatsTable[[#This Row],[RepsRequested]]&gt;1),DiscreteStatsTable[[#This Row],[HalfWidth]],DiscreteStatsTable[[#This Row],[BatchMeansHalfWidth]])</f>
        <v>1.0240352006065174E-2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30</v>
      </c>
      <c r="Y387" s="5">
        <f>IF(DiscreteStatsTable[[#This Row],[RepsRequested]]=DiscreteStatsTable[[#This Row],[RepsWithStatObserved]],1,0)</f>
        <v>1</v>
      </c>
    </row>
    <row r="388" spans="1:25" x14ac:dyDescent="0.25">
      <c r="A388" t="s">
        <v>68</v>
      </c>
      <c r="B388" t="s">
        <v>70</v>
      </c>
      <c r="C388">
        <v>9</v>
      </c>
      <c r="D388" t="s">
        <v>89</v>
      </c>
      <c r="E388" t="s">
        <v>83</v>
      </c>
      <c r="F388" t="s">
        <v>81</v>
      </c>
      <c r="G388">
        <v>0.10478278539659799</v>
      </c>
      <c r="H388">
        <v>2E+20</v>
      </c>
      <c r="I388">
        <v>0</v>
      </c>
      <c r="J388">
        <v>1.2312310406051701</v>
      </c>
      <c r="K388">
        <v>35</v>
      </c>
      <c r="L388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30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0.19180876875236769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0.103228745315481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0.423670795788058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3.4323212298415702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8" s="5">
        <f>IF((DiscreteStatsTable[[#This Row],[RepsRequested]]&gt;1),DiscreteStatsTable[[#This Row],[HalfWidth]],DiscreteStatsTable[[#This Row],[BatchMeansHalfWidth]])</f>
        <v>3.854624699063957E-2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30</v>
      </c>
      <c r="Y388" s="5">
        <f>IF(DiscreteStatsTable[[#This Row],[RepsRequested]]=DiscreteStatsTable[[#This Row],[RepsWithStatObserved]],1,0)</f>
        <v>1</v>
      </c>
    </row>
    <row r="389" spans="1:25" x14ac:dyDescent="0.25">
      <c r="A389" t="s">
        <v>68</v>
      </c>
      <c r="B389" t="s">
        <v>70</v>
      </c>
      <c r="C389">
        <v>10</v>
      </c>
      <c r="D389" t="s">
        <v>89</v>
      </c>
      <c r="E389" t="s">
        <v>80</v>
      </c>
      <c r="F389" t="s">
        <v>81</v>
      </c>
      <c r="G389">
        <v>1.1003260739971901</v>
      </c>
      <c r="H389">
        <v>2E+20</v>
      </c>
      <c r="I389">
        <v>0.67346969978461901</v>
      </c>
      <c r="J389">
        <v>2.08659460954394</v>
      </c>
      <c r="K389">
        <v>41</v>
      </c>
      <c r="L389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30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1.1973615988192337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1.00105179769245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1.3954364053061299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0.66686181399057898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4.1908575360205598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89" s="5">
        <f>IF((DiscreteStatsTable[[#This Row],[RepsRequested]]&gt;1),DiscreteStatsTable[[#This Row],[HalfWidth]],DiscreteStatsTable[[#This Row],[BatchMeansHalfWidth]])</f>
        <v>3.8950849816067064E-2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30</v>
      </c>
      <c r="Y389" s="5">
        <f>IF(DiscreteStatsTable[[#This Row],[RepsRequested]]=DiscreteStatsTable[[#This Row],[RepsWithStatObserved]],1,0)</f>
        <v>1</v>
      </c>
    </row>
    <row r="390" spans="1:25" x14ac:dyDescent="0.25">
      <c r="A390" t="s">
        <v>68</v>
      </c>
      <c r="B390" t="s">
        <v>70</v>
      </c>
      <c r="C390">
        <v>10</v>
      </c>
      <c r="D390" t="s">
        <v>89</v>
      </c>
      <c r="E390" t="s">
        <v>82</v>
      </c>
      <c r="F390" t="s">
        <v>81</v>
      </c>
      <c r="G390">
        <v>1.0147126660046599</v>
      </c>
      <c r="H390">
        <v>2E+20</v>
      </c>
      <c r="I390">
        <v>0.67346969978461901</v>
      </c>
      <c r="J390">
        <v>1.3292309251790799</v>
      </c>
      <c r="K390">
        <v>41</v>
      </c>
      <c r="L390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30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1.0055528300668661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0.93439199770167003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1.07209969553912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0.66686181399057898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1.33298858408691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0" s="5">
        <f>IF((DiscreteStatsTable[[#This Row],[RepsRequested]]&gt;1),DiscreteStatsTable[[#This Row],[HalfWidth]],DiscreteStatsTable[[#This Row],[BatchMeansHalfWidth]])</f>
        <v>1.0240352006065174E-2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30</v>
      </c>
      <c r="Y390" s="5">
        <f>IF(DiscreteStatsTable[[#This Row],[RepsRequested]]=DiscreteStatsTable[[#This Row],[RepsWithStatObserved]],1,0)</f>
        <v>1</v>
      </c>
    </row>
    <row r="391" spans="1:25" x14ac:dyDescent="0.25">
      <c r="A391" t="s">
        <v>68</v>
      </c>
      <c r="B391" t="s">
        <v>70</v>
      </c>
      <c r="C391">
        <v>10</v>
      </c>
      <c r="D391" t="s">
        <v>89</v>
      </c>
      <c r="E391" t="s">
        <v>83</v>
      </c>
      <c r="F391" t="s">
        <v>81</v>
      </c>
      <c r="G391">
        <v>8.5613407992534502E-2</v>
      </c>
      <c r="H391">
        <v>2E+20</v>
      </c>
      <c r="I391">
        <v>0</v>
      </c>
      <c r="J391">
        <v>0.75736368436486101</v>
      </c>
      <c r="K391">
        <v>41</v>
      </c>
      <c r="L391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30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0.19180876875236769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0.103228745315481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0.423670795788058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3.4323212298415702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1" s="5">
        <f>IF((DiscreteStatsTable[[#This Row],[RepsRequested]]&gt;1),DiscreteStatsTable[[#This Row],[HalfWidth]],DiscreteStatsTable[[#This Row],[BatchMeansHalfWidth]])</f>
        <v>3.854624699063957E-2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30</v>
      </c>
      <c r="Y391" s="5">
        <f>IF(DiscreteStatsTable[[#This Row],[RepsRequested]]=DiscreteStatsTable[[#This Row],[RepsWithStatObserved]],1,0)</f>
        <v>1</v>
      </c>
    </row>
    <row r="392" spans="1:25" x14ac:dyDescent="0.25">
      <c r="A392" t="s">
        <v>68</v>
      </c>
      <c r="B392" t="s">
        <v>70</v>
      </c>
      <c r="C392">
        <v>11</v>
      </c>
      <c r="D392" t="s">
        <v>89</v>
      </c>
      <c r="E392" t="s">
        <v>80</v>
      </c>
      <c r="F392" t="s">
        <v>81</v>
      </c>
      <c r="G392">
        <v>1.18394233399104</v>
      </c>
      <c r="H392">
        <v>2E+20</v>
      </c>
      <c r="I392">
        <v>0.67012360522581105</v>
      </c>
      <c r="J392">
        <v>2.8254592273287602</v>
      </c>
      <c r="K392">
        <v>45</v>
      </c>
      <c r="L392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30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1.1973615988192337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1.00105179769245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1.3954364053061299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0.66686181399057898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4.1908575360205598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2" s="5">
        <f>IF((DiscreteStatsTable[[#This Row],[RepsRequested]]&gt;1),DiscreteStatsTable[[#This Row],[HalfWidth]],DiscreteStatsTable[[#This Row],[BatchMeansHalfWidth]])</f>
        <v>3.8950849816067064E-2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30</v>
      </c>
      <c r="Y392" s="5">
        <f>IF(DiscreteStatsTable[[#This Row],[RepsRequested]]=DiscreteStatsTable[[#This Row],[RepsWithStatObserved]],1,0)</f>
        <v>1</v>
      </c>
    </row>
    <row r="393" spans="1:25" x14ac:dyDescent="0.25">
      <c r="A393" t="s">
        <v>68</v>
      </c>
      <c r="B393" t="s">
        <v>70</v>
      </c>
      <c r="C393">
        <v>11</v>
      </c>
      <c r="D393" t="s">
        <v>89</v>
      </c>
      <c r="E393" t="s">
        <v>82</v>
      </c>
      <c r="F393" t="s">
        <v>81</v>
      </c>
      <c r="G393">
        <v>1.0024079436176501</v>
      </c>
      <c r="H393">
        <v>2E+20</v>
      </c>
      <c r="I393">
        <v>0.67012360522581105</v>
      </c>
      <c r="J393">
        <v>1.3249230965915</v>
      </c>
      <c r="K393">
        <v>45</v>
      </c>
      <c r="L393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30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1.0055528300668661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0.93439199770167003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1.07209969553912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0.66686181399057898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1.33298858408691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3" s="5">
        <f>IF((DiscreteStatsTable[[#This Row],[RepsRequested]]&gt;1),DiscreteStatsTable[[#This Row],[HalfWidth]],DiscreteStatsTable[[#This Row],[BatchMeansHalfWidth]])</f>
        <v>1.0240352006065174E-2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30</v>
      </c>
      <c r="Y393" s="5">
        <f>IF(DiscreteStatsTable[[#This Row],[RepsRequested]]=DiscreteStatsTable[[#This Row],[RepsWithStatObserved]],1,0)</f>
        <v>1</v>
      </c>
    </row>
    <row r="394" spans="1:25" x14ac:dyDescent="0.25">
      <c r="A394" t="s">
        <v>68</v>
      </c>
      <c r="B394" t="s">
        <v>70</v>
      </c>
      <c r="C394">
        <v>11</v>
      </c>
      <c r="D394" t="s">
        <v>89</v>
      </c>
      <c r="E394" t="s">
        <v>83</v>
      </c>
      <c r="F394" t="s">
        <v>81</v>
      </c>
      <c r="G394">
        <v>0.18153439037338301</v>
      </c>
      <c r="H394">
        <v>2E+20</v>
      </c>
      <c r="I394">
        <v>0</v>
      </c>
      <c r="J394">
        <v>1.5140255971397201</v>
      </c>
      <c r="K394">
        <v>45</v>
      </c>
      <c r="L394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30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0.19180876875236769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0.103228745315481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0.423670795788058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3.4323212298415702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4" s="5">
        <f>IF((DiscreteStatsTable[[#This Row],[RepsRequested]]&gt;1),DiscreteStatsTable[[#This Row],[HalfWidth]],DiscreteStatsTable[[#This Row],[BatchMeansHalfWidth]])</f>
        <v>3.854624699063957E-2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30</v>
      </c>
      <c r="Y394" s="5">
        <f>IF(DiscreteStatsTable[[#This Row],[RepsRequested]]=DiscreteStatsTable[[#This Row],[RepsWithStatObserved]],1,0)</f>
        <v>1</v>
      </c>
    </row>
    <row r="395" spans="1:25" x14ac:dyDescent="0.25">
      <c r="A395" t="s">
        <v>68</v>
      </c>
      <c r="B395" t="s">
        <v>70</v>
      </c>
      <c r="C395">
        <v>12</v>
      </c>
      <c r="D395" t="s">
        <v>89</v>
      </c>
      <c r="E395" t="s">
        <v>80</v>
      </c>
      <c r="F395" t="s">
        <v>81</v>
      </c>
      <c r="G395">
        <v>1.00105179769245</v>
      </c>
      <c r="H395">
        <v>2E+20</v>
      </c>
      <c r="I395">
        <v>0.67819980060303897</v>
      </c>
      <c r="J395">
        <v>1.3046888994704899</v>
      </c>
      <c r="K395">
        <v>29</v>
      </c>
      <c r="L395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30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1.1973615988192337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1.00105179769245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1.3954364053061299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0.66686181399057898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4.1908575360205598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5" s="5">
        <f>IF((DiscreteStatsTable[[#This Row],[RepsRequested]]&gt;1),DiscreteStatsTable[[#This Row],[HalfWidth]],DiscreteStatsTable[[#This Row],[BatchMeansHalfWidth]])</f>
        <v>3.8950849816067064E-2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30</v>
      </c>
      <c r="Y395" s="5">
        <f>IF(DiscreteStatsTable[[#This Row],[RepsRequested]]=DiscreteStatsTable[[#This Row],[RepsWithStatObserved]],1,0)</f>
        <v>1</v>
      </c>
    </row>
    <row r="396" spans="1:25" x14ac:dyDescent="0.25">
      <c r="A396" t="s">
        <v>68</v>
      </c>
      <c r="B396" t="s">
        <v>70</v>
      </c>
      <c r="C396">
        <v>12</v>
      </c>
      <c r="D396" t="s">
        <v>89</v>
      </c>
      <c r="E396" t="s">
        <v>82</v>
      </c>
      <c r="F396" t="s">
        <v>81</v>
      </c>
      <c r="G396">
        <v>1.00105179769245</v>
      </c>
      <c r="H396">
        <v>2E+20</v>
      </c>
      <c r="I396">
        <v>0.67819980060303897</v>
      </c>
      <c r="J396">
        <v>1.3046888994704899</v>
      </c>
      <c r="K396">
        <v>29</v>
      </c>
      <c r="L396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30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1.0055528300668661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0.93439199770167003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1.07209969553912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0.66686181399057898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1.33298858408691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6" s="5">
        <f>IF((DiscreteStatsTable[[#This Row],[RepsRequested]]&gt;1),DiscreteStatsTable[[#This Row],[HalfWidth]],DiscreteStatsTable[[#This Row],[BatchMeansHalfWidth]])</f>
        <v>1.0240352006065174E-2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30</v>
      </c>
      <c r="Y396" s="5">
        <f>IF(DiscreteStatsTable[[#This Row],[RepsRequested]]=DiscreteStatsTable[[#This Row],[RepsWithStatObserved]],1,0)</f>
        <v>1</v>
      </c>
    </row>
    <row r="397" spans="1:25" x14ac:dyDescent="0.25">
      <c r="A397" t="s">
        <v>68</v>
      </c>
      <c r="B397" t="s">
        <v>70</v>
      </c>
      <c r="C397">
        <v>12</v>
      </c>
      <c r="D397" t="s">
        <v>89</v>
      </c>
      <c r="E397" t="s">
        <v>83</v>
      </c>
      <c r="F397" t="s">
        <v>81</v>
      </c>
      <c r="G397">
        <v>0</v>
      </c>
      <c r="H397">
        <v>2E+20</v>
      </c>
      <c r="I397">
        <v>0</v>
      </c>
      <c r="J397">
        <v>0</v>
      </c>
      <c r="K397">
        <v>29</v>
      </c>
      <c r="L397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30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0.19180876875236769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0.103228745315481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0.423670795788058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3.4323212298415702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7" s="5">
        <f>IF((DiscreteStatsTable[[#This Row],[RepsRequested]]&gt;1),DiscreteStatsTable[[#This Row],[HalfWidth]],DiscreteStatsTable[[#This Row],[BatchMeansHalfWidth]])</f>
        <v>3.854624699063957E-2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30</v>
      </c>
      <c r="Y397" s="5">
        <f>IF(DiscreteStatsTable[[#This Row],[RepsRequested]]=DiscreteStatsTable[[#This Row],[RepsWithStatObserved]],1,0)</f>
        <v>1</v>
      </c>
    </row>
    <row r="398" spans="1:25" x14ac:dyDescent="0.25">
      <c r="A398" t="s">
        <v>68</v>
      </c>
      <c r="B398" t="s">
        <v>70</v>
      </c>
      <c r="C398">
        <v>13</v>
      </c>
      <c r="D398" t="s">
        <v>89</v>
      </c>
      <c r="E398" t="s">
        <v>80</v>
      </c>
      <c r="F398" t="s">
        <v>81</v>
      </c>
      <c r="G398">
        <v>1.1501049809095301</v>
      </c>
      <c r="H398">
        <v>2E+20</v>
      </c>
      <c r="I398">
        <v>0.71136690459113805</v>
      </c>
      <c r="J398">
        <v>1.99568080325029</v>
      </c>
      <c r="K398">
        <v>38</v>
      </c>
      <c r="L398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30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1.1973615988192337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0.10431229158212847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1.00105179769245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1.3954364053061299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0.66686181399057898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4.1908575360205598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8" s="5">
        <f>IF((DiscreteStatsTable[[#This Row],[RepsRequested]]&gt;1),DiscreteStatsTable[[#This Row],[HalfWidth]],DiscreteStatsTable[[#This Row],[BatchMeansHalfWidth]])</f>
        <v>3.8950849816067064E-2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30</v>
      </c>
      <c r="Y398" s="5">
        <f>IF(DiscreteStatsTable[[#This Row],[RepsRequested]]=DiscreteStatsTable[[#This Row],[RepsWithStatObserved]],1,0)</f>
        <v>1</v>
      </c>
    </row>
    <row r="399" spans="1:25" x14ac:dyDescent="0.25">
      <c r="A399" t="s">
        <v>68</v>
      </c>
      <c r="B399" t="s">
        <v>70</v>
      </c>
      <c r="C399">
        <v>13</v>
      </c>
      <c r="D399" t="s">
        <v>89</v>
      </c>
      <c r="E399" t="s">
        <v>82</v>
      </c>
      <c r="F399" t="s">
        <v>81</v>
      </c>
      <c r="G399">
        <v>1.00280765369881</v>
      </c>
      <c r="H399">
        <v>2E+20</v>
      </c>
      <c r="I399">
        <v>0.71136690459113805</v>
      </c>
      <c r="J399">
        <v>1.32221464292988</v>
      </c>
      <c r="K399">
        <v>38</v>
      </c>
      <c r="L399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30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1.0055528300668661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0.93439199770167003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1.07209969553912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0.66686181399057898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1.33298858408691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399" s="5">
        <f>IF((DiscreteStatsTable[[#This Row],[RepsRequested]]&gt;1),DiscreteStatsTable[[#This Row],[HalfWidth]],DiscreteStatsTable[[#This Row],[BatchMeansHalfWidth]])</f>
        <v>1.0240352006065174E-2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30</v>
      </c>
      <c r="Y399" s="5">
        <f>IF(DiscreteStatsTable[[#This Row],[RepsRequested]]=DiscreteStatsTable[[#This Row],[RepsWithStatObserved]],1,0)</f>
        <v>1</v>
      </c>
    </row>
    <row r="400" spans="1:25" x14ac:dyDescent="0.25">
      <c r="A400" t="s">
        <v>68</v>
      </c>
      <c r="B400" t="s">
        <v>70</v>
      </c>
      <c r="C400">
        <v>13</v>
      </c>
      <c r="D400" t="s">
        <v>89</v>
      </c>
      <c r="E400" t="s">
        <v>83</v>
      </c>
      <c r="F400" t="s">
        <v>81</v>
      </c>
      <c r="G400">
        <v>0.147297327210718</v>
      </c>
      <c r="H400">
        <v>2E+20</v>
      </c>
      <c r="I400">
        <v>0</v>
      </c>
      <c r="J400">
        <v>1.0966276193490201</v>
      </c>
      <c r="K400">
        <v>38</v>
      </c>
      <c r="L400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30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0.19180876875236769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0.103228745315481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0.423670795788058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3.4323212298415702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0" s="5">
        <f>IF((DiscreteStatsTable[[#This Row],[RepsRequested]]&gt;1),DiscreteStatsTable[[#This Row],[HalfWidth]],DiscreteStatsTable[[#This Row],[BatchMeansHalfWidth]])</f>
        <v>3.854624699063957E-2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30</v>
      </c>
      <c r="Y400" s="5">
        <f>IF(DiscreteStatsTable[[#This Row],[RepsRequested]]=DiscreteStatsTable[[#This Row],[RepsWithStatObserved]],1,0)</f>
        <v>1</v>
      </c>
    </row>
    <row r="401" spans="1:25" x14ac:dyDescent="0.25">
      <c r="A401" t="s">
        <v>68</v>
      </c>
      <c r="B401" t="s">
        <v>70</v>
      </c>
      <c r="C401">
        <v>14</v>
      </c>
      <c r="D401" t="s">
        <v>89</v>
      </c>
      <c r="E401" t="s">
        <v>80</v>
      </c>
      <c r="F401" t="s">
        <v>81</v>
      </c>
      <c r="G401">
        <v>1.2948566029134401</v>
      </c>
      <c r="H401">
        <v>2E+20</v>
      </c>
      <c r="I401">
        <v>0.698365402243041</v>
      </c>
      <c r="J401">
        <v>3.2211867269644499</v>
      </c>
      <c r="K401">
        <v>48</v>
      </c>
      <c r="L401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30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1.1973615988192337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1.00105179769245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1.3954364053061299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0.66686181399057898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4.1908575360205598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1" s="5">
        <f>IF((DiscreteStatsTable[[#This Row],[RepsRequested]]&gt;1),DiscreteStatsTable[[#This Row],[HalfWidth]],DiscreteStatsTable[[#This Row],[BatchMeansHalfWidth]])</f>
        <v>3.8950849816067064E-2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30</v>
      </c>
      <c r="Y401" s="5">
        <f>IF(DiscreteStatsTable[[#This Row],[RepsRequested]]=DiscreteStatsTable[[#This Row],[RepsWithStatObserved]],1,0)</f>
        <v>1</v>
      </c>
    </row>
    <row r="402" spans="1:25" x14ac:dyDescent="0.25">
      <c r="A402" t="s">
        <v>68</v>
      </c>
      <c r="B402" t="s">
        <v>70</v>
      </c>
      <c r="C402">
        <v>14</v>
      </c>
      <c r="D402" t="s">
        <v>89</v>
      </c>
      <c r="E402" t="s">
        <v>82</v>
      </c>
      <c r="F402" t="s">
        <v>81</v>
      </c>
      <c r="G402">
        <v>1.0110613696725099</v>
      </c>
      <c r="H402">
        <v>2E+20</v>
      </c>
      <c r="I402">
        <v>0.698365402243041</v>
      </c>
      <c r="J402">
        <v>1.31333900735586</v>
      </c>
      <c r="K402">
        <v>48</v>
      </c>
      <c r="L402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30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1.0055528300668661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0.93439199770167003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1.07209969553912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0.66686181399057898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1.33298858408691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2" s="5">
        <f>IF((DiscreteStatsTable[[#This Row],[RepsRequested]]&gt;1),DiscreteStatsTable[[#This Row],[HalfWidth]],DiscreteStatsTable[[#This Row],[BatchMeansHalfWidth]])</f>
        <v>1.0240352006065174E-2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30</v>
      </c>
      <c r="Y402" s="5">
        <f>IF(DiscreteStatsTable[[#This Row],[RepsRequested]]=DiscreteStatsTable[[#This Row],[RepsWithStatObserved]],1,0)</f>
        <v>1</v>
      </c>
    </row>
    <row r="403" spans="1:25" x14ac:dyDescent="0.25">
      <c r="A403" t="s">
        <v>68</v>
      </c>
      <c r="B403" t="s">
        <v>70</v>
      </c>
      <c r="C403">
        <v>14</v>
      </c>
      <c r="D403" t="s">
        <v>89</v>
      </c>
      <c r="E403" t="s">
        <v>83</v>
      </c>
      <c r="F403" t="s">
        <v>81</v>
      </c>
      <c r="G403">
        <v>0.28379523324093497</v>
      </c>
      <c r="H403">
        <v>2E+20</v>
      </c>
      <c r="I403">
        <v>0</v>
      </c>
      <c r="J403">
        <v>2.1095684939747099</v>
      </c>
      <c r="K403">
        <v>48</v>
      </c>
      <c r="L403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30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0.19180876875236769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0.103228745315481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0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0.423670795788058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3.4323212298415702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3" s="5">
        <f>IF((DiscreteStatsTable[[#This Row],[RepsRequested]]&gt;1),DiscreteStatsTable[[#This Row],[HalfWidth]],DiscreteStatsTable[[#This Row],[BatchMeansHalfWidth]])</f>
        <v>3.854624699063957E-2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30</v>
      </c>
      <c r="Y403" s="5">
        <f>IF(DiscreteStatsTable[[#This Row],[RepsRequested]]=DiscreteStatsTable[[#This Row],[RepsWithStatObserved]],1,0)</f>
        <v>1</v>
      </c>
    </row>
    <row r="404" spans="1:25" x14ac:dyDescent="0.25">
      <c r="A404" t="s">
        <v>68</v>
      </c>
      <c r="B404" t="s">
        <v>70</v>
      </c>
      <c r="C404">
        <v>15</v>
      </c>
      <c r="D404" t="s">
        <v>89</v>
      </c>
      <c r="E404" t="s">
        <v>80</v>
      </c>
      <c r="F404" t="s">
        <v>81</v>
      </c>
      <c r="G404">
        <v>1.2590863758761699</v>
      </c>
      <c r="H404">
        <v>2E+20</v>
      </c>
      <c r="I404">
        <v>0.66778756668036698</v>
      </c>
      <c r="J404">
        <v>3.4694708729501502</v>
      </c>
      <c r="K404">
        <v>46</v>
      </c>
      <c r="L404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30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1.1973615988192337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1.00105179769245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1.3954364053061299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0.66686181399057898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4.1908575360205598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4" s="5">
        <f>IF((DiscreteStatsTable[[#This Row],[RepsRequested]]&gt;1),DiscreteStatsTable[[#This Row],[HalfWidth]],DiscreteStatsTable[[#This Row],[BatchMeansHalfWidth]])</f>
        <v>3.8950849816067064E-2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30</v>
      </c>
      <c r="Y404" s="5">
        <f>IF(DiscreteStatsTable[[#This Row],[RepsRequested]]=DiscreteStatsTable[[#This Row],[RepsWithStatObserved]],1,0)</f>
        <v>1</v>
      </c>
    </row>
    <row r="405" spans="1:25" x14ac:dyDescent="0.25">
      <c r="A405" t="s">
        <v>68</v>
      </c>
      <c r="B405" t="s">
        <v>70</v>
      </c>
      <c r="C405">
        <v>15</v>
      </c>
      <c r="D405" t="s">
        <v>89</v>
      </c>
      <c r="E405" t="s">
        <v>82</v>
      </c>
      <c r="F405" t="s">
        <v>81</v>
      </c>
      <c r="G405">
        <v>1.02204305116399</v>
      </c>
      <c r="H405">
        <v>2E+20</v>
      </c>
      <c r="I405">
        <v>0.66778756668036698</v>
      </c>
      <c r="J405">
        <v>1.3316418608448299</v>
      </c>
      <c r="K405">
        <v>46</v>
      </c>
      <c r="L405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30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1.0055528300668661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0.93439199770167003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1.07209969553912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0.66686181399057898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1.33298858408691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5" s="5">
        <f>IF((DiscreteStatsTable[[#This Row],[RepsRequested]]&gt;1),DiscreteStatsTable[[#This Row],[HalfWidth]],DiscreteStatsTable[[#This Row],[BatchMeansHalfWidth]])</f>
        <v>1.0240352006065174E-2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30</v>
      </c>
      <c r="Y405" s="5">
        <f>IF(DiscreteStatsTable[[#This Row],[RepsRequested]]=DiscreteStatsTable[[#This Row],[RepsWithStatObserved]],1,0)</f>
        <v>1</v>
      </c>
    </row>
    <row r="406" spans="1:25" x14ac:dyDescent="0.25">
      <c r="A406" t="s">
        <v>68</v>
      </c>
      <c r="B406" t="s">
        <v>70</v>
      </c>
      <c r="C406">
        <v>15</v>
      </c>
      <c r="D406" t="s">
        <v>89</v>
      </c>
      <c r="E406" t="s">
        <v>83</v>
      </c>
      <c r="F406" t="s">
        <v>81</v>
      </c>
      <c r="G406">
        <v>0.23704332471218201</v>
      </c>
      <c r="H406">
        <v>2E+20</v>
      </c>
      <c r="I406">
        <v>0</v>
      </c>
      <c r="J406">
        <v>2.24424714214953</v>
      </c>
      <c r="K406">
        <v>46</v>
      </c>
      <c r="L406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30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0.19180876875236769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0.103228745315481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0.423670795788058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3.4323212298415702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6" s="5">
        <f>IF((DiscreteStatsTable[[#This Row],[RepsRequested]]&gt;1),DiscreteStatsTable[[#This Row],[HalfWidth]],DiscreteStatsTable[[#This Row],[BatchMeansHalfWidth]])</f>
        <v>3.854624699063957E-2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30</v>
      </c>
      <c r="Y406" s="5">
        <f>IF(DiscreteStatsTable[[#This Row],[RepsRequested]]=DiscreteStatsTable[[#This Row],[RepsWithStatObserved]],1,0)</f>
        <v>1</v>
      </c>
    </row>
    <row r="407" spans="1:25" x14ac:dyDescent="0.25">
      <c r="A407" t="s">
        <v>68</v>
      </c>
      <c r="B407" t="s">
        <v>70</v>
      </c>
      <c r="C407">
        <v>16</v>
      </c>
      <c r="D407" t="s">
        <v>89</v>
      </c>
      <c r="E407" t="s">
        <v>80</v>
      </c>
      <c r="F407" t="s">
        <v>81</v>
      </c>
      <c r="G407">
        <v>1.11474624164749</v>
      </c>
      <c r="H407">
        <v>2E+20</v>
      </c>
      <c r="I407">
        <v>0.68053161808393303</v>
      </c>
      <c r="J407">
        <v>1.9871373113492601</v>
      </c>
      <c r="K407">
        <v>36</v>
      </c>
      <c r="L407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30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1.1973615988192337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1.00105179769245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1.3954364053061299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0.66686181399057898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4.1908575360205598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7" s="5">
        <f>IF((DiscreteStatsTable[[#This Row],[RepsRequested]]&gt;1),DiscreteStatsTable[[#This Row],[HalfWidth]],DiscreteStatsTable[[#This Row],[BatchMeansHalfWidth]])</f>
        <v>3.8950849816067064E-2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30</v>
      </c>
      <c r="Y407" s="5">
        <f>IF(DiscreteStatsTable[[#This Row],[RepsRequested]]=DiscreteStatsTable[[#This Row],[RepsWithStatObserved]],1,0)</f>
        <v>1</v>
      </c>
    </row>
    <row r="408" spans="1:25" x14ac:dyDescent="0.25">
      <c r="A408" t="s">
        <v>68</v>
      </c>
      <c r="B408" t="s">
        <v>70</v>
      </c>
      <c r="C408">
        <v>16</v>
      </c>
      <c r="D408" t="s">
        <v>89</v>
      </c>
      <c r="E408" t="s">
        <v>82</v>
      </c>
      <c r="F408" t="s">
        <v>81</v>
      </c>
      <c r="G408">
        <v>1.0149035756959199</v>
      </c>
      <c r="H408">
        <v>2E+20</v>
      </c>
      <c r="I408">
        <v>0.68053161808393303</v>
      </c>
      <c r="J408">
        <v>1.32434713563926</v>
      </c>
      <c r="K408">
        <v>36</v>
      </c>
      <c r="L408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30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1.0055528300668661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0.93439199770167003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1.07209969553912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0.66686181399057898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1.33298858408691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8" s="5">
        <f>IF((DiscreteStatsTable[[#This Row],[RepsRequested]]&gt;1),DiscreteStatsTable[[#This Row],[HalfWidth]],DiscreteStatsTable[[#This Row],[BatchMeansHalfWidth]])</f>
        <v>1.0240352006065174E-2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30</v>
      </c>
      <c r="Y408" s="5">
        <f>IF(DiscreteStatsTable[[#This Row],[RepsRequested]]=DiscreteStatsTable[[#This Row],[RepsWithStatObserved]],1,0)</f>
        <v>1</v>
      </c>
    </row>
    <row r="409" spans="1:25" x14ac:dyDescent="0.25">
      <c r="A409" t="s">
        <v>68</v>
      </c>
      <c r="B409" t="s">
        <v>70</v>
      </c>
      <c r="C409">
        <v>16</v>
      </c>
      <c r="D409" t="s">
        <v>89</v>
      </c>
      <c r="E409" t="s">
        <v>83</v>
      </c>
      <c r="F409" t="s">
        <v>81</v>
      </c>
      <c r="G409">
        <v>9.9842665951570098E-2</v>
      </c>
      <c r="H409">
        <v>2E+20</v>
      </c>
      <c r="I409">
        <v>0</v>
      </c>
      <c r="J409">
        <v>0.88359831546645795</v>
      </c>
      <c r="K409">
        <v>36</v>
      </c>
      <c r="L409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30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0.19180876875236769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0.103228745315481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0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0.423670795788058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3.4323212298415702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09" s="5">
        <f>IF((DiscreteStatsTable[[#This Row],[RepsRequested]]&gt;1),DiscreteStatsTable[[#This Row],[HalfWidth]],DiscreteStatsTable[[#This Row],[BatchMeansHalfWidth]])</f>
        <v>3.854624699063957E-2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30</v>
      </c>
      <c r="Y409" s="5">
        <f>IF(DiscreteStatsTable[[#This Row],[RepsRequested]]=DiscreteStatsTable[[#This Row],[RepsWithStatObserved]],1,0)</f>
        <v>1</v>
      </c>
    </row>
    <row r="410" spans="1:25" x14ac:dyDescent="0.25">
      <c r="A410" t="s">
        <v>68</v>
      </c>
      <c r="B410" t="s">
        <v>70</v>
      </c>
      <c r="C410">
        <v>17</v>
      </c>
      <c r="D410" t="s">
        <v>89</v>
      </c>
      <c r="E410" t="s">
        <v>80</v>
      </c>
      <c r="F410" t="s">
        <v>81</v>
      </c>
      <c r="G410">
        <v>1.0921014273560701</v>
      </c>
      <c r="H410">
        <v>2E+20</v>
      </c>
      <c r="I410">
        <v>0.67382252126984099</v>
      </c>
      <c r="J410">
        <v>1.7913168738585299</v>
      </c>
      <c r="K410">
        <v>33</v>
      </c>
      <c r="L410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30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1.1973615988192337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1.00105179769245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1.3954364053061299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0.66686181399057898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4.1908575360205598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0" s="5">
        <f>IF((DiscreteStatsTable[[#This Row],[RepsRequested]]&gt;1),DiscreteStatsTable[[#This Row],[HalfWidth]],DiscreteStatsTable[[#This Row],[BatchMeansHalfWidth]])</f>
        <v>3.8950849816067064E-2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30</v>
      </c>
      <c r="Y410" s="5">
        <f>IF(DiscreteStatsTable[[#This Row],[RepsRequested]]=DiscreteStatsTable[[#This Row],[RepsWithStatObserved]],1,0)</f>
        <v>1</v>
      </c>
    </row>
    <row r="411" spans="1:25" x14ac:dyDescent="0.25">
      <c r="A411" t="s">
        <v>68</v>
      </c>
      <c r="B411" t="s">
        <v>70</v>
      </c>
      <c r="C411">
        <v>17</v>
      </c>
      <c r="D411" t="s">
        <v>89</v>
      </c>
      <c r="E411" t="s">
        <v>82</v>
      </c>
      <c r="F411" t="s">
        <v>81</v>
      </c>
      <c r="G411">
        <v>0.98369691727342601</v>
      </c>
      <c r="H411">
        <v>2E+20</v>
      </c>
      <c r="I411">
        <v>0.67382252126984099</v>
      </c>
      <c r="J411">
        <v>1.320539161406</v>
      </c>
      <c r="K411">
        <v>33</v>
      </c>
      <c r="L411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30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1.0055528300668661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0.93439199770167003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1.07209969553912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0.66686181399057898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1.33298858408691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1" s="5">
        <f>IF((DiscreteStatsTable[[#This Row],[RepsRequested]]&gt;1),DiscreteStatsTable[[#This Row],[HalfWidth]],DiscreteStatsTable[[#This Row],[BatchMeansHalfWidth]])</f>
        <v>1.0240352006065174E-2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30</v>
      </c>
      <c r="Y411" s="5">
        <f>IF(DiscreteStatsTable[[#This Row],[RepsRequested]]=DiscreteStatsTable[[#This Row],[RepsWithStatObserved]],1,0)</f>
        <v>1</v>
      </c>
    </row>
    <row r="412" spans="1:25" x14ac:dyDescent="0.25">
      <c r="A412" t="s">
        <v>68</v>
      </c>
      <c r="B412" t="s">
        <v>70</v>
      </c>
      <c r="C412">
        <v>17</v>
      </c>
      <c r="D412" t="s">
        <v>89</v>
      </c>
      <c r="E412" t="s">
        <v>83</v>
      </c>
      <c r="F412" t="s">
        <v>81</v>
      </c>
      <c r="G412">
        <v>0.10840451008264</v>
      </c>
      <c r="H412">
        <v>2E+20</v>
      </c>
      <c r="I412">
        <v>0</v>
      </c>
      <c r="J412">
        <v>0.80449345903841196</v>
      </c>
      <c r="K412">
        <v>33</v>
      </c>
      <c r="L412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30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0.19180876875236769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0.103228745315481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0.423670795788058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3.4323212298415702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2" s="5">
        <f>IF((DiscreteStatsTable[[#This Row],[RepsRequested]]&gt;1),DiscreteStatsTable[[#This Row],[HalfWidth]],DiscreteStatsTable[[#This Row],[BatchMeansHalfWidth]])</f>
        <v>3.854624699063957E-2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30</v>
      </c>
      <c r="Y412" s="5">
        <f>IF(DiscreteStatsTable[[#This Row],[RepsRequested]]=DiscreteStatsTable[[#This Row],[RepsWithStatObserved]],1,0)</f>
        <v>1</v>
      </c>
    </row>
    <row r="413" spans="1:25" x14ac:dyDescent="0.25">
      <c r="A413" t="s">
        <v>68</v>
      </c>
      <c r="B413" t="s">
        <v>70</v>
      </c>
      <c r="C413">
        <v>18</v>
      </c>
      <c r="D413" t="s">
        <v>89</v>
      </c>
      <c r="E413" t="s">
        <v>80</v>
      </c>
      <c r="F413" t="s">
        <v>81</v>
      </c>
      <c r="G413">
        <v>1.35806279348973</v>
      </c>
      <c r="H413">
        <v>2E+20</v>
      </c>
      <c r="I413">
        <v>0.66686181399057898</v>
      </c>
      <c r="J413">
        <v>4.0023700276815104</v>
      </c>
      <c r="K413">
        <v>44</v>
      </c>
      <c r="L413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30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1.1973615988192337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1.00105179769245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1.3954364053061299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0.66686181399057898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4.1908575360205598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3" s="5">
        <f>IF((DiscreteStatsTable[[#This Row],[RepsRequested]]&gt;1),DiscreteStatsTable[[#This Row],[HalfWidth]],DiscreteStatsTable[[#This Row],[BatchMeansHalfWidth]])</f>
        <v>3.8950849816067064E-2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30</v>
      </c>
      <c r="Y413" s="5">
        <f>IF(DiscreteStatsTable[[#This Row],[RepsRequested]]=DiscreteStatsTable[[#This Row],[RepsWithStatObserved]],1,0)</f>
        <v>1</v>
      </c>
    </row>
    <row r="414" spans="1:25" x14ac:dyDescent="0.25">
      <c r="A414" t="s">
        <v>68</v>
      </c>
      <c r="B414" t="s">
        <v>70</v>
      </c>
      <c r="C414">
        <v>18</v>
      </c>
      <c r="D414" t="s">
        <v>89</v>
      </c>
      <c r="E414" t="s">
        <v>82</v>
      </c>
      <c r="F414" t="s">
        <v>81</v>
      </c>
      <c r="G414">
        <v>0.93439199770167003</v>
      </c>
      <c r="H414">
        <v>2E+20</v>
      </c>
      <c r="I414">
        <v>0.66686181399057898</v>
      </c>
      <c r="J414">
        <v>1.3301564394502601</v>
      </c>
      <c r="K414">
        <v>44</v>
      </c>
      <c r="L414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30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1.0055528300668661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0.93439199770167003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1.07209969553912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0.66686181399057898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1.33298858408691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4" s="5">
        <f>IF((DiscreteStatsTable[[#This Row],[RepsRequested]]&gt;1),DiscreteStatsTable[[#This Row],[HalfWidth]],DiscreteStatsTable[[#This Row],[BatchMeansHalfWidth]])</f>
        <v>1.0240352006065174E-2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30</v>
      </c>
      <c r="Y414" s="5">
        <f>IF(DiscreteStatsTable[[#This Row],[RepsRequested]]=DiscreteStatsTable[[#This Row],[RepsWithStatObserved]],1,0)</f>
        <v>1</v>
      </c>
    </row>
    <row r="415" spans="1:25" x14ac:dyDescent="0.25">
      <c r="A415" t="s">
        <v>68</v>
      </c>
      <c r="B415" t="s">
        <v>70</v>
      </c>
      <c r="C415">
        <v>18</v>
      </c>
      <c r="D415" t="s">
        <v>89</v>
      </c>
      <c r="E415" t="s">
        <v>83</v>
      </c>
      <c r="F415" t="s">
        <v>81</v>
      </c>
      <c r="G415">
        <v>0.423670795788058</v>
      </c>
      <c r="H415">
        <v>2E+20</v>
      </c>
      <c r="I415">
        <v>0</v>
      </c>
      <c r="J415">
        <v>2.9513852267355798</v>
      </c>
      <c r="K415">
        <v>44</v>
      </c>
      <c r="L415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30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0.19180876875236769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0.103228745315481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0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0.423670795788058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3.4323212298415702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5" s="5">
        <f>IF((DiscreteStatsTable[[#This Row],[RepsRequested]]&gt;1),DiscreteStatsTable[[#This Row],[HalfWidth]],DiscreteStatsTable[[#This Row],[BatchMeansHalfWidth]])</f>
        <v>3.854624699063957E-2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30</v>
      </c>
      <c r="Y415" s="5">
        <f>IF(DiscreteStatsTable[[#This Row],[RepsRequested]]=DiscreteStatsTable[[#This Row],[RepsWithStatObserved]],1,0)</f>
        <v>1</v>
      </c>
    </row>
    <row r="416" spans="1:25" x14ac:dyDescent="0.25">
      <c r="A416" t="s">
        <v>68</v>
      </c>
      <c r="B416" t="s">
        <v>70</v>
      </c>
      <c r="C416">
        <v>19</v>
      </c>
      <c r="D416" t="s">
        <v>89</v>
      </c>
      <c r="E416" t="s">
        <v>80</v>
      </c>
      <c r="F416" t="s">
        <v>81</v>
      </c>
      <c r="G416">
        <v>1.2990721755946399</v>
      </c>
      <c r="H416">
        <v>2E+20</v>
      </c>
      <c r="I416">
        <v>0.71844581533733298</v>
      </c>
      <c r="J416">
        <v>2.9337623401419202</v>
      </c>
      <c r="K416">
        <v>33</v>
      </c>
      <c r="L416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30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1.1973615988192337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1.00105179769245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1.3954364053061299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0.66686181399057898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4.1908575360205598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6" s="5">
        <f>IF((DiscreteStatsTable[[#This Row],[RepsRequested]]&gt;1),DiscreteStatsTable[[#This Row],[HalfWidth]],DiscreteStatsTable[[#This Row],[BatchMeansHalfWidth]])</f>
        <v>3.8950849816067064E-2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30</v>
      </c>
      <c r="Y416" s="5">
        <f>IF(DiscreteStatsTable[[#This Row],[RepsRequested]]=DiscreteStatsTable[[#This Row],[RepsWithStatObserved]],1,0)</f>
        <v>1</v>
      </c>
    </row>
    <row r="417" spans="1:25" x14ac:dyDescent="0.25">
      <c r="A417" t="s">
        <v>68</v>
      </c>
      <c r="B417" t="s">
        <v>70</v>
      </c>
      <c r="C417">
        <v>19</v>
      </c>
      <c r="D417" t="s">
        <v>89</v>
      </c>
      <c r="E417" t="s">
        <v>82</v>
      </c>
      <c r="F417" t="s">
        <v>81</v>
      </c>
      <c r="G417">
        <v>1.07209969553912</v>
      </c>
      <c r="H417">
        <v>2E+20</v>
      </c>
      <c r="I417">
        <v>0.69883602470858397</v>
      </c>
      <c r="J417">
        <v>1.32735611407182</v>
      </c>
      <c r="K417">
        <v>33</v>
      </c>
      <c r="L417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30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1.0055528300668661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0.93439199770167003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1.07209969553912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0.66686181399057898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1.33298858408691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7" s="5">
        <f>IF((DiscreteStatsTable[[#This Row],[RepsRequested]]&gt;1),DiscreteStatsTable[[#This Row],[HalfWidth]],DiscreteStatsTable[[#This Row],[BatchMeansHalfWidth]])</f>
        <v>1.0240352006065174E-2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30</v>
      </c>
      <c r="Y417" s="5">
        <f>IF(DiscreteStatsTable[[#This Row],[RepsRequested]]=DiscreteStatsTable[[#This Row],[RepsWithStatObserved]],1,0)</f>
        <v>1</v>
      </c>
    </row>
    <row r="418" spans="1:25" x14ac:dyDescent="0.25">
      <c r="A418" t="s">
        <v>68</v>
      </c>
      <c r="B418" t="s">
        <v>70</v>
      </c>
      <c r="C418">
        <v>19</v>
      </c>
      <c r="D418" t="s">
        <v>89</v>
      </c>
      <c r="E418" t="s">
        <v>83</v>
      </c>
      <c r="F418" t="s">
        <v>81</v>
      </c>
      <c r="G418">
        <v>0.22697248005552001</v>
      </c>
      <c r="H418">
        <v>2E+20</v>
      </c>
      <c r="I418">
        <v>0</v>
      </c>
      <c r="J418">
        <v>1.71074320892841</v>
      </c>
      <c r="K418">
        <v>33</v>
      </c>
      <c r="L418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30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0.19180876875236769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0.103228745315481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0.423670795788058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3.4323212298415702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8" s="5">
        <f>IF((DiscreteStatsTable[[#This Row],[RepsRequested]]&gt;1),DiscreteStatsTable[[#This Row],[HalfWidth]],DiscreteStatsTable[[#This Row],[BatchMeansHalfWidth]])</f>
        <v>3.854624699063957E-2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30</v>
      </c>
      <c r="Y418" s="5">
        <f>IF(DiscreteStatsTable[[#This Row],[RepsRequested]]=DiscreteStatsTable[[#This Row],[RepsWithStatObserved]],1,0)</f>
        <v>1</v>
      </c>
    </row>
    <row r="419" spans="1:25" x14ac:dyDescent="0.25">
      <c r="A419" t="s">
        <v>68</v>
      </c>
      <c r="B419" t="s">
        <v>70</v>
      </c>
      <c r="C419">
        <v>20</v>
      </c>
      <c r="D419" t="s">
        <v>89</v>
      </c>
      <c r="E419" t="s">
        <v>80</v>
      </c>
      <c r="F419" t="s">
        <v>81</v>
      </c>
      <c r="G419">
        <v>1.2380886965270099</v>
      </c>
      <c r="H419">
        <v>2E+20</v>
      </c>
      <c r="I419">
        <v>0.68376786360536801</v>
      </c>
      <c r="J419">
        <v>2.1650138412401101</v>
      </c>
      <c r="K419">
        <v>42</v>
      </c>
      <c r="L419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30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1.1973615988192337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1.00105179769245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1.3954364053061299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0.66686181399057898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4.1908575360205598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19" s="5">
        <f>IF((DiscreteStatsTable[[#This Row],[RepsRequested]]&gt;1),DiscreteStatsTable[[#This Row],[HalfWidth]],DiscreteStatsTable[[#This Row],[BatchMeansHalfWidth]])</f>
        <v>3.8950849816067064E-2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30</v>
      </c>
      <c r="Y419" s="5">
        <f>IF(DiscreteStatsTable[[#This Row],[RepsRequested]]=DiscreteStatsTable[[#This Row],[RepsWithStatObserved]],1,0)</f>
        <v>1</v>
      </c>
    </row>
    <row r="420" spans="1:25" x14ac:dyDescent="0.25">
      <c r="A420" t="s">
        <v>68</v>
      </c>
      <c r="B420" t="s">
        <v>70</v>
      </c>
      <c r="C420">
        <v>20</v>
      </c>
      <c r="D420" t="s">
        <v>89</v>
      </c>
      <c r="E420" t="s">
        <v>82</v>
      </c>
      <c r="F420" t="s">
        <v>81</v>
      </c>
      <c r="G420">
        <v>1.0358703581790201</v>
      </c>
      <c r="H420">
        <v>2E+20</v>
      </c>
      <c r="I420">
        <v>0.68376786360536801</v>
      </c>
      <c r="J420">
        <v>1.3250680297937301</v>
      </c>
      <c r="K420">
        <v>42</v>
      </c>
      <c r="L420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30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1.0055528300668661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0.93439199770167003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1.07209969553912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0.66686181399057898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1.33298858408691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0" s="5">
        <f>IF((DiscreteStatsTable[[#This Row],[RepsRequested]]&gt;1),DiscreteStatsTable[[#This Row],[HalfWidth]],DiscreteStatsTable[[#This Row],[BatchMeansHalfWidth]])</f>
        <v>1.0240352006065174E-2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30</v>
      </c>
      <c r="Y420" s="5">
        <f>IF(DiscreteStatsTable[[#This Row],[RepsRequested]]=DiscreteStatsTable[[#This Row],[RepsWithStatObserved]],1,0)</f>
        <v>1</v>
      </c>
    </row>
    <row r="421" spans="1:25" x14ac:dyDescent="0.25">
      <c r="A421" t="s">
        <v>68</v>
      </c>
      <c r="B421" t="s">
        <v>70</v>
      </c>
      <c r="C421">
        <v>20</v>
      </c>
      <c r="D421" t="s">
        <v>89</v>
      </c>
      <c r="E421" t="s">
        <v>83</v>
      </c>
      <c r="F421" t="s">
        <v>81</v>
      </c>
      <c r="G421">
        <v>0.20221833834799099</v>
      </c>
      <c r="H421">
        <v>2E+20</v>
      </c>
      <c r="I421">
        <v>0</v>
      </c>
      <c r="J421">
        <v>1.1325382542042799</v>
      </c>
      <c r="K421">
        <v>42</v>
      </c>
      <c r="L421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30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0.19180876875236769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0.103228745315481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0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0.423670795788058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3.4323212298415702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1" s="5">
        <f>IF((DiscreteStatsTable[[#This Row],[RepsRequested]]&gt;1),DiscreteStatsTable[[#This Row],[HalfWidth]],DiscreteStatsTable[[#This Row],[BatchMeansHalfWidth]])</f>
        <v>3.854624699063957E-2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30</v>
      </c>
      <c r="Y421" s="5">
        <f>IF(DiscreteStatsTable[[#This Row],[RepsRequested]]=DiscreteStatsTable[[#This Row],[RepsWithStatObserved]],1,0)</f>
        <v>1</v>
      </c>
    </row>
    <row r="422" spans="1:25" x14ac:dyDescent="0.25">
      <c r="A422" t="s">
        <v>68</v>
      </c>
      <c r="B422" t="s">
        <v>70</v>
      </c>
      <c r="C422">
        <v>21</v>
      </c>
      <c r="D422" t="s">
        <v>89</v>
      </c>
      <c r="E422" t="s">
        <v>80</v>
      </c>
      <c r="F422" t="s">
        <v>81</v>
      </c>
      <c r="G422">
        <v>1.1456354028576601</v>
      </c>
      <c r="H422">
        <v>2E+20</v>
      </c>
      <c r="I422">
        <v>0.67603111809364003</v>
      </c>
      <c r="J422">
        <v>2.2736403953258599</v>
      </c>
      <c r="K422">
        <v>49</v>
      </c>
      <c r="L422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30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1.1973615988192337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1.00105179769245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1.3954364053061299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0.66686181399057898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4.1908575360205598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2" s="5">
        <f>IF((DiscreteStatsTable[[#This Row],[RepsRequested]]&gt;1),DiscreteStatsTable[[#This Row],[HalfWidth]],DiscreteStatsTable[[#This Row],[BatchMeansHalfWidth]])</f>
        <v>3.8950849816067064E-2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30</v>
      </c>
      <c r="Y422" s="5">
        <f>IF(DiscreteStatsTable[[#This Row],[RepsRequested]]=DiscreteStatsTable[[#This Row],[RepsWithStatObserved]],1,0)</f>
        <v>1</v>
      </c>
    </row>
    <row r="423" spans="1:25" x14ac:dyDescent="0.25">
      <c r="A423" t="s">
        <v>68</v>
      </c>
      <c r="B423" t="s">
        <v>70</v>
      </c>
      <c r="C423">
        <v>21</v>
      </c>
      <c r="D423" t="s">
        <v>89</v>
      </c>
      <c r="E423" t="s">
        <v>82</v>
      </c>
      <c r="F423" t="s">
        <v>81</v>
      </c>
      <c r="G423">
        <v>0.98688792801316005</v>
      </c>
      <c r="H423">
        <v>2E+20</v>
      </c>
      <c r="I423">
        <v>0.67603111809364003</v>
      </c>
      <c r="J423">
        <v>1.32855421498755</v>
      </c>
      <c r="K423">
        <v>49</v>
      </c>
      <c r="L423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30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1.0055528300668661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0.93439199770167003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1.07209969553912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0.66686181399057898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1.33298858408691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3" s="5">
        <f>IF((DiscreteStatsTable[[#This Row],[RepsRequested]]&gt;1),DiscreteStatsTable[[#This Row],[HalfWidth]],DiscreteStatsTable[[#This Row],[BatchMeansHalfWidth]])</f>
        <v>1.0240352006065174E-2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30</v>
      </c>
      <c r="Y423" s="5">
        <f>IF(DiscreteStatsTable[[#This Row],[RepsRequested]]=DiscreteStatsTable[[#This Row],[RepsWithStatObserved]],1,0)</f>
        <v>1</v>
      </c>
    </row>
    <row r="424" spans="1:25" x14ac:dyDescent="0.25">
      <c r="A424" t="s">
        <v>68</v>
      </c>
      <c r="B424" t="s">
        <v>70</v>
      </c>
      <c r="C424">
        <v>21</v>
      </c>
      <c r="D424" t="s">
        <v>89</v>
      </c>
      <c r="E424" t="s">
        <v>83</v>
      </c>
      <c r="F424" t="s">
        <v>81</v>
      </c>
      <c r="G424">
        <v>0.1587474748445</v>
      </c>
      <c r="H424">
        <v>2E+20</v>
      </c>
      <c r="I424">
        <v>0</v>
      </c>
      <c r="J424">
        <v>1.4369105193560301</v>
      </c>
      <c r="K424">
        <v>49</v>
      </c>
      <c r="L424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30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0.19180876875236769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0.103228745315481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0.423670795788058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3.4323212298415702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4" s="5">
        <f>IF((DiscreteStatsTable[[#This Row],[RepsRequested]]&gt;1),DiscreteStatsTable[[#This Row],[HalfWidth]],DiscreteStatsTable[[#This Row],[BatchMeansHalfWidth]])</f>
        <v>3.854624699063957E-2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30</v>
      </c>
      <c r="Y424" s="5">
        <f>IF(DiscreteStatsTable[[#This Row],[RepsRequested]]=DiscreteStatsTable[[#This Row],[RepsWithStatObserved]],1,0)</f>
        <v>1</v>
      </c>
    </row>
    <row r="425" spans="1:25" x14ac:dyDescent="0.25">
      <c r="A425" t="s">
        <v>68</v>
      </c>
      <c r="B425" t="s">
        <v>70</v>
      </c>
      <c r="C425">
        <v>22</v>
      </c>
      <c r="D425" t="s">
        <v>89</v>
      </c>
      <c r="E425" t="s">
        <v>80</v>
      </c>
      <c r="F425" t="s">
        <v>81</v>
      </c>
      <c r="G425">
        <v>1.1612628149509701</v>
      </c>
      <c r="H425">
        <v>2E+20</v>
      </c>
      <c r="I425">
        <v>0.67021125230800704</v>
      </c>
      <c r="J425">
        <v>2.6370445440118102</v>
      </c>
      <c r="K425">
        <v>34</v>
      </c>
      <c r="L425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30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1.1973615988192337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1.00105179769245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1.3954364053061299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0.66686181399057898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4.1908575360205598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5" s="5">
        <f>IF((DiscreteStatsTable[[#This Row],[RepsRequested]]&gt;1),DiscreteStatsTable[[#This Row],[HalfWidth]],DiscreteStatsTable[[#This Row],[BatchMeansHalfWidth]])</f>
        <v>3.8950849816067064E-2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30</v>
      </c>
      <c r="Y425" s="5">
        <f>IF(DiscreteStatsTable[[#This Row],[RepsRequested]]=DiscreteStatsTable[[#This Row],[RepsWithStatObserved]],1,0)</f>
        <v>1</v>
      </c>
    </row>
    <row r="426" spans="1:25" x14ac:dyDescent="0.25">
      <c r="A426" t="s">
        <v>68</v>
      </c>
      <c r="B426" t="s">
        <v>70</v>
      </c>
      <c r="C426">
        <v>22</v>
      </c>
      <c r="D426" t="s">
        <v>89</v>
      </c>
      <c r="E426" t="s">
        <v>82</v>
      </c>
      <c r="F426" t="s">
        <v>81</v>
      </c>
      <c r="G426">
        <v>0.99572697447765102</v>
      </c>
      <c r="H426">
        <v>2E+20</v>
      </c>
      <c r="I426">
        <v>0.67021125230800704</v>
      </c>
      <c r="J426">
        <v>1.32148181511781</v>
      </c>
      <c r="K426">
        <v>34</v>
      </c>
      <c r="L426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30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1.0055528300668661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0.93439199770167003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1.07209969553912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0.66686181399057898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1.33298858408691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6" s="5">
        <f>IF((DiscreteStatsTable[[#This Row],[RepsRequested]]&gt;1),DiscreteStatsTable[[#This Row],[HalfWidth]],DiscreteStatsTable[[#This Row],[BatchMeansHalfWidth]])</f>
        <v>1.0240352006065174E-2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30</v>
      </c>
      <c r="Y426" s="5">
        <f>IF(DiscreteStatsTable[[#This Row],[RepsRequested]]=DiscreteStatsTable[[#This Row],[RepsWithStatObserved]],1,0)</f>
        <v>1</v>
      </c>
    </row>
    <row r="427" spans="1:25" x14ac:dyDescent="0.25">
      <c r="A427" t="s">
        <v>68</v>
      </c>
      <c r="B427" t="s">
        <v>70</v>
      </c>
      <c r="C427">
        <v>22</v>
      </c>
      <c r="D427" t="s">
        <v>89</v>
      </c>
      <c r="E427" t="s">
        <v>83</v>
      </c>
      <c r="F427" t="s">
        <v>81</v>
      </c>
      <c r="G427">
        <v>0.16553584047332001</v>
      </c>
      <c r="H427">
        <v>2E+20</v>
      </c>
      <c r="I427">
        <v>0</v>
      </c>
      <c r="J427">
        <v>1.75557526412083</v>
      </c>
      <c r="K427">
        <v>34</v>
      </c>
      <c r="L427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30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0.19180876875236769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0.103228745315481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0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0.423670795788058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3.4323212298415702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7" s="5">
        <f>IF((DiscreteStatsTable[[#This Row],[RepsRequested]]&gt;1),DiscreteStatsTable[[#This Row],[HalfWidth]],DiscreteStatsTable[[#This Row],[BatchMeansHalfWidth]])</f>
        <v>3.854624699063957E-2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30</v>
      </c>
      <c r="Y427" s="5">
        <f>IF(DiscreteStatsTable[[#This Row],[RepsRequested]]=DiscreteStatsTable[[#This Row],[RepsWithStatObserved]],1,0)</f>
        <v>1</v>
      </c>
    </row>
    <row r="428" spans="1:25" x14ac:dyDescent="0.25">
      <c r="A428" t="s">
        <v>68</v>
      </c>
      <c r="B428" t="s">
        <v>70</v>
      </c>
      <c r="C428">
        <v>23</v>
      </c>
      <c r="D428" t="s">
        <v>89</v>
      </c>
      <c r="E428" t="s">
        <v>80</v>
      </c>
      <c r="F428" t="s">
        <v>81</v>
      </c>
      <c r="G428">
        <v>1.2801701140717401</v>
      </c>
      <c r="H428">
        <v>2E+20</v>
      </c>
      <c r="I428">
        <v>0.69797478333970298</v>
      </c>
      <c r="J428">
        <v>4.0245986799727396</v>
      </c>
      <c r="K428">
        <v>43</v>
      </c>
      <c r="L428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30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1.1973615988192337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1.00105179769245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1.3954364053061299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0.66686181399057898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4.1908575360205598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8" s="5">
        <f>IF((DiscreteStatsTable[[#This Row],[RepsRequested]]&gt;1),DiscreteStatsTable[[#This Row],[HalfWidth]],DiscreteStatsTable[[#This Row],[BatchMeansHalfWidth]])</f>
        <v>3.8950849816067064E-2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30</v>
      </c>
      <c r="Y428" s="5">
        <f>IF(DiscreteStatsTable[[#This Row],[RepsRequested]]=DiscreteStatsTable[[#This Row],[RepsWithStatObserved]],1,0)</f>
        <v>1</v>
      </c>
    </row>
    <row r="429" spans="1:25" x14ac:dyDescent="0.25">
      <c r="A429" t="s">
        <v>68</v>
      </c>
      <c r="B429" t="s">
        <v>70</v>
      </c>
      <c r="C429">
        <v>23</v>
      </c>
      <c r="D429" t="s">
        <v>89</v>
      </c>
      <c r="E429" t="s">
        <v>82</v>
      </c>
      <c r="F429" t="s">
        <v>81</v>
      </c>
      <c r="G429">
        <v>1.02786722816153</v>
      </c>
      <c r="H429">
        <v>2E+20</v>
      </c>
      <c r="I429">
        <v>0.69797478333970298</v>
      </c>
      <c r="J429">
        <v>1.32637120330355</v>
      </c>
      <c r="K429">
        <v>43</v>
      </c>
      <c r="L429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30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1.0055528300668661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0.93439199770167003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1.07209969553912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0.66686181399057898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1.33298858408691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29" s="5">
        <f>IF((DiscreteStatsTable[[#This Row],[RepsRequested]]&gt;1),DiscreteStatsTable[[#This Row],[HalfWidth]],DiscreteStatsTable[[#This Row],[BatchMeansHalfWidth]])</f>
        <v>1.0240352006065174E-2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30</v>
      </c>
      <c r="Y429" s="5">
        <f>IF(DiscreteStatsTable[[#This Row],[RepsRequested]]=DiscreteStatsTable[[#This Row],[RepsWithStatObserved]],1,0)</f>
        <v>1</v>
      </c>
    </row>
    <row r="430" spans="1:25" x14ac:dyDescent="0.25">
      <c r="A430" t="s">
        <v>68</v>
      </c>
      <c r="B430" t="s">
        <v>70</v>
      </c>
      <c r="C430">
        <v>23</v>
      </c>
      <c r="D430" t="s">
        <v>89</v>
      </c>
      <c r="E430" t="s">
        <v>83</v>
      </c>
      <c r="F430" t="s">
        <v>81</v>
      </c>
      <c r="G430">
        <v>0.25230288591021099</v>
      </c>
      <c r="H430">
        <v>2E+20</v>
      </c>
      <c r="I430">
        <v>0</v>
      </c>
      <c r="J430">
        <v>3.18582228215026</v>
      </c>
      <c r="K430">
        <v>43</v>
      </c>
      <c r="L430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30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0.19180876875236769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0.103228745315481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0.423670795788058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3.4323212298415702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0" s="5">
        <f>IF((DiscreteStatsTable[[#This Row],[RepsRequested]]&gt;1),DiscreteStatsTable[[#This Row],[HalfWidth]],DiscreteStatsTable[[#This Row],[BatchMeansHalfWidth]])</f>
        <v>3.854624699063957E-2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30</v>
      </c>
      <c r="Y430" s="5">
        <f>IF(DiscreteStatsTable[[#This Row],[RepsRequested]]=DiscreteStatsTable[[#This Row],[RepsWithStatObserved]],1,0)</f>
        <v>1</v>
      </c>
    </row>
    <row r="431" spans="1:25" x14ac:dyDescent="0.25">
      <c r="A431" t="s">
        <v>68</v>
      </c>
      <c r="B431" t="s">
        <v>70</v>
      </c>
      <c r="C431">
        <v>24</v>
      </c>
      <c r="D431" t="s">
        <v>89</v>
      </c>
      <c r="E431" t="s">
        <v>80</v>
      </c>
      <c r="F431" t="s">
        <v>81</v>
      </c>
      <c r="G431">
        <v>1.1098781240044899</v>
      </c>
      <c r="H431">
        <v>2E+20</v>
      </c>
      <c r="I431">
        <v>0.67605625433593297</v>
      </c>
      <c r="J431">
        <v>2.1710465303897601</v>
      </c>
      <c r="K431">
        <v>40</v>
      </c>
      <c r="L431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30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1.1973615988192337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1.00105179769245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1.3954364053061299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0.66686181399057898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4.1908575360205598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1" s="5">
        <f>IF((DiscreteStatsTable[[#This Row],[RepsRequested]]&gt;1),DiscreteStatsTable[[#This Row],[HalfWidth]],DiscreteStatsTable[[#This Row],[BatchMeansHalfWidth]])</f>
        <v>3.8950849816067064E-2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30</v>
      </c>
      <c r="Y431" s="5">
        <f>IF(DiscreteStatsTable[[#This Row],[RepsRequested]]=DiscreteStatsTable[[#This Row],[RepsWithStatObserved]],1,0)</f>
        <v>1</v>
      </c>
    </row>
    <row r="432" spans="1:25" x14ac:dyDescent="0.25">
      <c r="A432" t="s">
        <v>68</v>
      </c>
      <c r="B432" t="s">
        <v>70</v>
      </c>
      <c r="C432">
        <v>24</v>
      </c>
      <c r="D432" t="s">
        <v>89</v>
      </c>
      <c r="E432" t="s">
        <v>82</v>
      </c>
      <c r="F432" t="s">
        <v>81</v>
      </c>
      <c r="G432">
        <v>1.0303695742694099</v>
      </c>
      <c r="H432">
        <v>2E+20</v>
      </c>
      <c r="I432">
        <v>0.67605625433593297</v>
      </c>
      <c r="J432">
        <v>1.3228091145401</v>
      </c>
      <c r="K432">
        <v>40</v>
      </c>
      <c r="L432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30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1.0055528300668661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0.93439199770167003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1.07209969553912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0.66686181399057898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1.33298858408691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2" s="5">
        <f>IF((DiscreteStatsTable[[#This Row],[RepsRequested]]&gt;1),DiscreteStatsTable[[#This Row],[HalfWidth]],DiscreteStatsTable[[#This Row],[BatchMeansHalfWidth]])</f>
        <v>1.0240352006065174E-2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30</v>
      </c>
      <c r="Y432" s="5">
        <f>IF(DiscreteStatsTable[[#This Row],[RepsRequested]]=DiscreteStatsTable[[#This Row],[RepsWithStatObserved]],1,0)</f>
        <v>1</v>
      </c>
    </row>
    <row r="433" spans="1:25" x14ac:dyDescent="0.25">
      <c r="A433" t="s">
        <v>68</v>
      </c>
      <c r="B433" t="s">
        <v>70</v>
      </c>
      <c r="C433">
        <v>24</v>
      </c>
      <c r="D433" t="s">
        <v>89</v>
      </c>
      <c r="E433" t="s">
        <v>83</v>
      </c>
      <c r="F433" t="s">
        <v>81</v>
      </c>
      <c r="G433">
        <v>7.9508549735074402E-2</v>
      </c>
      <c r="H433">
        <v>2E+20</v>
      </c>
      <c r="I433">
        <v>0</v>
      </c>
      <c r="J433">
        <v>1.2257929851467999</v>
      </c>
      <c r="K433">
        <v>40</v>
      </c>
      <c r="L433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30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0.19180876875236769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0.103228745315481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0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0.423670795788058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3.4323212298415702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3" s="5">
        <f>IF((DiscreteStatsTable[[#This Row],[RepsRequested]]&gt;1),DiscreteStatsTable[[#This Row],[HalfWidth]],DiscreteStatsTable[[#This Row],[BatchMeansHalfWidth]])</f>
        <v>3.854624699063957E-2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30</v>
      </c>
      <c r="Y433" s="5">
        <f>IF(DiscreteStatsTable[[#This Row],[RepsRequested]]=DiscreteStatsTable[[#This Row],[RepsWithStatObserved]],1,0)</f>
        <v>1</v>
      </c>
    </row>
    <row r="434" spans="1:25" x14ac:dyDescent="0.25">
      <c r="A434" t="s">
        <v>68</v>
      </c>
      <c r="B434" t="s">
        <v>70</v>
      </c>
      <c r="C434">
        <v>25</v>
      </c>
      <c r="D434" t="s">
        <v>89</v>
      </c>
      <c r="E434" t="s">
        <v>80</v>
      </c>
      <c r="F434" t="s">
        <v>81</v>
      </c>
      <c r="G434">
        <v>1.2109586469211999</v>
      </c>
      <c r="H434">
        <v>2E+20</v>
      </c>
      <c r="I434">
        <v>0.68872210816704205</v>
      </c>
      <c r="J434">
        <v>2.3470401377050401</v>
      </c>
      <c r="K434">
        <v>35</v>
      </c>
      <c r="L434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30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1.1973615988192337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1.00105179769245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1.3954364053061299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0.66686181399057898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4.1908575360205598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4" s="5">
        <f>IF((DiscreteStatsTable[[#This Row],[RepsRequested]]&gt;1),DiscreteStatsTable[[#This Row],[HalfWidth]],DiscreteStatsTable[[#This Row],[BatchMeansHalfWidth]])</f>
        <v>3.8950849816067064E-2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30</v>
      </c>
      <c r="Y434" s="5">
        <f>IF(DiscreteStatsTable[[#This Row],[RepsRequested]]=DiscreteStatsTable[[#This Row],[RepsWithStatObserved]],1,0)</f>
        <v>1</v>
      </c>
    </row>
    <row r="435" spans="1:25" x14ac:dyDescent="0.25">
      <c r="A435" t="s">
        <v>68</v>
      </c>
      <c r="B435" t="s">
        <v>70</v>
      </c>
      <c r="C435">
        <v>25</v>
      </c>
      <c r="D435" t="s">
        <v>89</v>
      </c>
      <c r="E435" t="s">
        <v>82</v>
      </c>
      <c r="F435" t="s">
        <v>81</v>
      </c>
      <c r="G435">
        <v>1.0367942647574999</v>
      </c>
      <c r="H435">
        <v>2E+20</v>
      </c>
      <c r="I435">
        <v>0.68872210816704205</v>
      </c>
      <c r="J435">
        <v>1.3265131727267501</v>
      </c>
      <c r="K435">
        <v>35</v>
      </c>
      <c r="L435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30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1.0055528300668661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0.93439199770167003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1.07209969553912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0.66686181399057898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1.33298858408691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5" s="5">
        <f>IF((DiscreteStatsTable[[#This Row],[RepsRequested]]&gt;1),DiscreteStatsTable[[#This Row],[HalfWidth]],DiscreteStatsTable[[#This Row],[BatchMeansHalfWidth]])</f>
        <v>1.0240352006065174E-2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30</v>
      </c>
      <c r="Y435" s="5">
        <f>IF(DiscreteStatsTable[[#This Row],[RepsRequested]]=DiscreteStatsTable[[#This Row],[RepsWithStatObserved]],1,0)</f>
        <v>1</v>
      </c>
    </row>
    <row r="436" spans="1:25" x14ac:dyDescent="0.25">
      <c r="A436" t="s">
        <v>68</v>
      </c>
      <c r="B436" t="s">
        <v>70</v>
      </c>
      <c r="C436">
        <v>25</v>
      </c>
      <c r="D436" t="s">
        <v>89</v>
      </c>
      <c r="E436" t="s">
        <v>83</v>
      </c>
      <c r="F436" t="s">
        <v>81</v>
      </c>
      <c r="G436">
        <v>0.174164382163707</v>
      </c>
      <c r="H436">
        <v>2E+20</v>
      </c>
      <c r="I436">
        <v>0</v>
      </c>
      <c r="J436">
        <v>1.21901637317741</v>
      </c>
      <c r="K436">
        <v>35</v>
      </c>
      <c r="L436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30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0.19180876875236769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0.103228745315481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0.423670795788058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3.4323212298415702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6" s="5">
        <f>IF((DiscreteStatsTable[[#This Row],[RepsRequested]]&gt;1),DiscreteStatsTable[[#This Row],[HalfWidth]],DiscreteStatsTable[[#This Row],[BatchMeansHalfWidth]])</f>
        <v>3.854624699063957E-2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30</v>
      </c>
      <c r="Y436" s="5">
        <f>IF(DiscreteStatsTable[[#This Row],[RepsRequested]]=DiscreteStatsTable[[#This Row],[RepsWithStatObserved]],1,0)</f>
        <v>1</v>
      </c>
    </row>
    <row r="437" spans="1:25" x14ac:dyDescent="0.25">
      <c r="A437" t="s">
        <v>68</v>
      </c>
      <c r="B437" t="s">
        <v>70</v>
      </c>
      <c r="C437">
        <v>26</v>
      </c>
      <c r="D437" t="s">
        <v>89</v>
      </c>
      <c r="E437" t="s">
        <v>80</v>
      </c>
      <c r="F437" t="s">
        <v>81</v>
      </c>
      <c r="G437">
        <v>1.3800427893077201</v>
      </c>
      <c r="H437">
        <v>2E+20</v>
      </c>
      <c r="I437">
        <v>0.68750958059825995</v>
      </c>
      <c r="J437">
        <v>2.9973537017810901</v>
      </c>
      <c r="K437">
        <v>45</v>
      </c>
      <c r="L437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30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1.1973615988192337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1.00105179769245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1.3954364053061299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0.66686181399057898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4.1908575360205598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7" s="5">
        <f>IF((DiscreteStatsTable[[#This Row],[RepsRequested]]&gt;1),DiscreteStatsTable[[#This Row],[HalfWidth]],DiscreteStatsTable[[#This Row],[BatchMeansHalfWidth]])</f>
        <v>3.8950849816067064E-2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30</v>
      </c>
      <c r="Y437" s="5">
        <f>IF(DiscreteStatsTable[[#This Row],[RepsRequested]]=DiscreteStatsTable[[#This Row],[RepsWithStatObserved]],1,0)</f>
        <v>1</v>
      </c>
    </row>
    <row r="438" spans="1:25" x14ac:dyDescent="0.25">
      <c r="A438" t="s">
        <v>68</v>
      </c>
      <c r="B438" t="s">
        <v>70</v>
      </c>
      <c r="C438">
        <v>26</v>
      </c>
      <c r="D438" t="s">
        <v>89</v>
      </c>
      <c r="E438" t="s">
        <v>82</v>
      </c>
      <c r="F438" t="s">
        <v>81</v>
      </c>
      <c r="G438">
        <v>1.02841909697977</v>
      </c>
      <c r="H438">
        <v>2E+20</v>
      </c>
      <c r="I438">
        <v>0.68750958059825995</v>
      </c>
      <c r="J438">
        <v>1.32748181049487</v>
      </c>
      <c r="K438">
        <v>45</v>
      </c>
      <c r="L438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30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1.0055528300668661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0.93439199770167003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1.07209969553912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0.66686181399057898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1.33298858408691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8" s="5">
        <f>IF((DiscreteStatsTable[[#This Row],[RepsRequested]]&gt;1),DiscreteStatsTable[[#This Row],[HalfWidth]],DiscreteStatsTable[[#This Row],[BatchMeansHalfWidth]])</f>
        <v>1.0240352006065174E-2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30</v>
      </c>
      <c r="Y438" s="5">
        <f>IF(DiscreteStatsTable[[#This Row],[RepsRequested]]=DiscreteStatsTable[[#This Row],[RepsWithStatObserved]],1,0)</f>
        <v>1</v>
      </c>
    </row>
    <row r="439" spans="1:25" x14ac:dyDescent="0.25">
      <c r="A439" t="s">
        <v>68</v>
      </c>
      <c r="B439" t="s">
        <v>70</v>
      </c>
      <c r="C439">
        <v>26</v>
      </c>
      <c r="D439" t="s">
        <v>89</v>
      </c>
      <c r="E439" t="s">
        <v>83</v>
      </c>
      <c r="F439" t="s">
        <v>81</v>
      </c>
      <c r="G439">
        <v>0.35162369232795398</v>
      </c>
      <c r="H439">
        <v>2E+20</v>
      </c>
      <c r="I439">
        <v>0</v>
      </c>
      <c r="J439">
        <v>1.8197121460958099</v>
      </c>
      <c r="K439">
        <v>45</v>
      </c>
      <c r="L439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30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0.19180876875236769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0.103228745315481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0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0.423670795788058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3.4323212298415702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39" s="5">
        <f>IF((DiscreteStatsTable[[#This Row],[RepsRequested]]&gt;1),DiscreteStatsTable[[#This Row],[HalfWidth]],DiscreteStatsTable[[#This Row],[BatchMeansHalfWidth]])</f>
        <v>3.854624699063957E-2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30</v>
      </c>
      <c r="Y439" s="5">
        <f>IF(DiscreteStatsTable[[#This Row],[RepsRequested]]=DiscreteStatsTable[[#This Row],[RepsWithStatObserved]],1,0)</f>
        <v>1</v>
      </c>
    </row>
    <row r="440" spans="1:25" x14ac:dyDescent="0.25">
      <c r="A440" t="s">
        <v>68</v>
      </c>
      <c r="B440" t="s">
        <v>70</v>
      </c>
      <c r="C440">
        <v>27</v>
      </c>
      <c r="D440" t="s">
        <v>89</v>
      </c>
      <c r="E440" t="s">
        <v>80</v>
      </c>
      <c r="F440" t="s">
        <v>81</v>
      </c>
      <c r="G440">
        <v>1.3338019946303901</v>
      </c>
      <c r="H440">
        <v>2E+20</v>
      </c>
      <c r="I440">
        <v>0.68166103147292001</v>
      </c>
      <c r="J440">
        <v>3.6707749448985099</v>
      </c>
      <c r="K440">
        <v>46</v>
      </c>
      <c r="L440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30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1.1973615988192337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1.00105179769245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1.3954364053061299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0.66686181399057898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4.1908575360205598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0" s="5">
        <f>IF((DiscreteStatsTable[[#This Row],[RepsRequested]]&gt;1),DiscreteStatsTable[[#This Row],[HalfWidth]],DiscreteStatsTable[[#This Row],[BatchMeansHalfWidth]])</f>
        <v>3.8950849816067064E-2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30</v>
      </c>
      <c r="Y440" s="5">
        <f>IF(DiscreteStatsTable[[#This Row],[RepsRequested]]=DiscreteStatsTable[[#This Row],[RepsWithStatObserved]],1,0)</f>
        <v>1</v>
      </c>
    </row>
    <row r="441" spans="1:25" x14ac:dyDescent="0.25">
      <c r="A441" t="s">
        <v>68</v>
      </c>
      <c r="B441" t="s">
        <v>70</v>
      </c>
      <c r="C441">
        <v>27</v>
      </c>
      <c r="D441" t="s">
        <v>89</v>
      </c>
      <c r="E441" t="s">
        <v>82</v>
      </c>
      <c r="F441" t="s">
        <v>81</v>
      </c>
      <c r="G441">
        <v>1.00802588509983</v>
      </c>
      <c r="H441">
        <v>2E+20</v>
      </c>
      <c r="I441">
        <v>0.68166103147292001</v>
      </c>
      <c r="J441">
        <v>1.33298858408691</v>
      </c>
      <c r="K441">
        <v>46</v>
      </c>
      <c r="L441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30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1.0055528300668661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0.93439199770167003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1.07209969553912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0.66686181399057898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1.33298858408691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1" s="5">
        <f>IF((DiscreteStatsTable[[#This Row],[RepsRequested]]&gt;1),DiscreteStatsTable[[#This Row],[HalfWidth]],DiscreteStatsTable[[#This Row],[BatchMeansHalfWidth]])</f>
        <v>1.0240352006065174E-2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30</v>
      </c>
      <c r="Y441" s="5">
        <f>IF(DiscreteStatsTable[[#This Row],[RepsRequested]]=DiscreteStatsTable[[#This Row],[RepsWithStatObserved]],1,0)</f>
        <v>1</v>
      </c>
    </row>
    <row r="442" spans="1:25" x14ac:dyDescent="0.25">
      <c r="A442" t="s">
        <v>68</v>
      </c>
      <c r="B442" t="s">
        <v>70</v>
      </c>
      <c r="C442">
        <v>27</v>
      </c>
      <c r="D442" t="s">
        <v>89</v>
      </c>
      <c r="E442" t="s">
        <v>83</v>
      </c>
      <c r="F442" t="s">
        <v>81</v>
      </c>
      <c r="G442">
        <v>0.32577610953055502</v>
      </c>
      <c r="H442">
        <v>2E+20</v>
      </c>
      <c r="I442">
        <v>0</v>
      </c>
      <c r="J442">
        <v>2.72390413286303</v>
      </c>
      <c r="K442">
        <v>46</v>
      </c>
      <c r="L442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30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0.19180876875236769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0.103228745315481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0.423670795788058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3.4323212298415702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2" s="5">
        <f>IF((DiscreteStatsTable[[#This Row],[RepsRequested]]&gt;1),DiscreteStatsTable[[#This Row],[HalfWidth]],DiscreteStatsTable[[#This Row],[BatchMeansHalfWidth]])</f>
        <v>3.854624699063957E-2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30</v>
      </c>
      <c r="Y442" s="5">
        <f>IF(DiscreteStatsTable[[#This Row],[RepsRequested]]=DiscreteStatsTable[[#This Row],[RepsWithStatObserved]],1,0)</f>
        <v>1</v>
      </c>
    </row>
    <row r="443" spans="1:25" x14ac:dyDescent="0.25">
      <c r="A443" t="s">
        <v>68</v>
      </c>
      <c r="B443" t="s">
        <v>70</v>
      </c>
      <c r="C443">
        <v>28</v>
      </c>
      <c r="D443" t="s">
        <v>89</v>
      </c>
      <c r="E443" t="s">
        <v>80</v>
      </c>
      <c r="F443" t="s">
        <v>81</v>
      </c>
      <c r="G443">
        <v>1.1624360079326901</v>
      </c>
      <c r="H443">
        <v>2E+20</v>
      </c>
      <c r="I443">
        <v>0.72145081143435197</v>
      </c>
      <c r="J443">
        <v>2.3414589774518801</v>
      </c>
      <c r="K443">
        <v>39</v>
      </c>
      <c r="L443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30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1.1973615988192337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1.00105179769245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1.3954364053061299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0.66686181399057898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4.1908575360205598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3" s="5">
        <f>IF((DiscreteStatsTable[[#This Row],[RepsRequested]]&gt;1),DiscreteStatsTable[[#This Row],[HalfWidth]],DiscreteStatsTable[[#This Row],[BatchMeansHalfWidth]])</f>
        <v>3.8950849816067064E-2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30</v>
      </c>
      <c r="Y443" s="5">
        <f>IF(DiscreteStatsTable[[#This Row],[RepsRequested]]=DiscreteStatsTable[[#This Row],[RepsWithStatObserved]],1,0)</f>
        <v>1</v>
      </c>
    </row>
    <row r="444" spans="1:25" x14ac:dyDescent="0.25">
      <c r="A444" t="s">
        <v>68</v>
      </c>
      <c r="B444" t="s">
        <v>70</v>
      </c>
      <c r="C444">
        <v>28</v>
      </c>
      <c r="D444" t="s">
        <v>89</v>
      </c>
      <c r="E444" t="s">
        <v>82</v>
      </c>
      <c r="F444" t="s">
        <v>81</v>
      </c>
      <c r="G444">
        <v>0.99090482854665596</v>
      </c>
      <c r="H444">
        <v>2E+20</v>
      </c>
      <c r="I444">
        <v>0.681130358566577</v>
      </c>
      <c r="J444">
        <v>1.31726969483061</v>
      </c>
      <c r="K444">
        <v>39</v>
      </c>
      <c r="L444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30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1.0055528300668661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0.93439199770167003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1.07209969553912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0.66686181399057898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1.33298858408691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4" s="5">
        <f>IF((DiscreteStatsTable[[#This Row],[RepsRequested]]&gt;1),DiscreteStatsTable[[#This Row],[HalfWidth]],DiscreteStatsTable[[#This Row],[BatchMeansHalfWidth]])</f>
        <v>1.0240352006065174E-2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30</v>
      </c>
      <c r="Y444" s="5">
        <f>IF(DiscreteStatsTable[[#This Row],[RepsRequested]]=DiscreteStatsTable[[#This Row],[RepsWithStatObserved]],1,0)</f>
        <v>1</v>
      </c>
    </row>
    <row r="445" spans="1:25" x14ac:dyDescent="0.25">
      <c r="A445" t="s">
        <v>68</v>
      </c>
      <c r="B445" t="s">
        <v>70</v>
      </c>
      <c r="C445">
        <v>28</v>
      </c>
      <c r="D445" t="s">
        <v>89</v>
      </c>
      <c r="E445" t="s">
        <v>83</v>
      </c>
      <c r="F445" t="s">
        <v>81</v>
      </c>
      <c r="G445">
        <v>0.17153117938603499</v>
      </c>
      <c r="H445">
        <v>2E+20</v>
      </c>
      <c r="I445">
        <v>0</v>
      </c>
      <c r="J445">
        <v>1.3386129386459</v>
      </c>
      <c r="K445">
        <v>39</v>
      </c>
      <c r="L445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30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0.19180876875236769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0.103228745315481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0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0.423670795788058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3.4323212298415702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5" s="5">
        <f>IF((DiscreteStatsTable[[#This Row],[RepsRequested]]&gt;1),DiscreteStatsTable[[#This Row],[HalfWidth]],DiscreteStatsTable[[#This Row],[BatchMeansHalfWidth]])</f>
        <v>3.854624699063957E-2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30</v>
      </c>
      <c r="Y445" s="5">
        <f>IF(DiscreteStatsTable[[#This Row],[RepsRequested]]=DiscreteStatsTable[[#This Row],[RepsWithStatObserved]],1,0)</f>
        <v>1</v>
      </c>
    </row>
    <row r="446" spans="1:25" x14ac:dyDescent="0.25">
      <c r="A446" t="s">
        <v>68</v>
      </c>
      <c r="B446" t="s">
        <v>70</v>
      </c>
      <c r="C446">
        <v>29</v>
      </c>
      <c r="D446" t="s">
        <v>89</v>
      </c>
      <c r="E446" t="s">
        <v>80</v>
      </c>
      <c r="F446" t="s">
        <v>81</v>
      </c>
      <c r="G446">
        <v>1.2353165149054499</v>
      </c>
      <c r="H446">
        <v>2E+20</v>
      </c>
      <c r="I446">
        <v>0.66878478161742505</v>
      </c>
      <c r="J446">
        <v>2.83863658701513</v>
      </c>
      <c r="K446">
        <v>48</v>
      </c>
      <c r="L446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30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1.1973615988192337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1.00105179769245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1.3954364053061299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0.66686181399057898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4.1908575360205598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6" s="5">
        <f>IF((DiscreteStatsTable[[#This Row],[RepsRequested]]&gt;1),DiscreteStatsTable[[#This Row],[HalfWidth]],DiscreteStatsTable[[#This Row],[BatchMeansHalfWidth]])</f>
        <v>3.8950849816067064E-2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30</v>
      </c>
      <c r="Y446" s="5">
        <f>IF(DiscreteStatsTable[[#This Row],[RepsRequested]]=DiscreteStatsTable[[#This Row],[RepsWithStatObserved]],1,0)</f>
        <v>1</v>
      </c>
    </row>
    <row r="447" spans="1:25" x14ac:dyDescent="0.25">
      <c r="A447" t="s">
        <v>68</v>
      </c>
      <c r="B447" t="s">
        <v>70</v>
      </c>
      <c r="C447">
        <v>29</v>
      </c>
      <c r="D447" t="s">
        <v>89</v>
      </c>
      <c r="E447" t="s">
        <v>82</v>
      </c>
      <c r="F447" t="s">
        <v>81</v>
      </c>
      <c r="G447">
        <v>1.0147164331362699</v>
      </c>
      <c r="H447">
        <v>2E+20</v>
      </c>
      <c r="I447">
        <v>0.66878478161742505</v>
      </c>
      <c r="J447">
        <v>1.3326590315421101</v>
      </c>
      <c r="K447">
        <v>48</v>
      </c>
      <c r="L447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30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1.0055528300668661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0.93439199770167003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1.07209969553912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0.66686181399057898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1.33298858408691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7" s="5">
        <f>IF((DiscreteStatsTable[[#This Row],[RepsRequested]]&gt;1),DiscreteStatsTable[[#This Row],[HalfWidth]],DiscreteStatsTable[[#This Row],[BatchMeansHalfWidth]])</f>
        <v>1.0240352006065174E-2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30</v>
      </c>
      <c r="Y447" s="5">
        <f>IF(DiscreteStatsTable[[#This Row],[RepsRequested]]=DiscreteStatsTable[[#This Row],[RepsWithStatObserved]],1,0)</f>
        <v>1</v>
      </c>
    </row>
    <row r="448" spans="1:25" x14ac:dyDescent="0.25">
      <c r="A448" t="s">
        <v>68</v>
      </c>
      <c r="B448" t="s">
        <v>70</v>
      </c>
      <c r="C448">
        <v>29</v>
      </c>
      <c r="D448" t="s">
        <v>89</v>
      </c>
      <c r="E448" t="s">
        <v>83</v>
      </c>
      <c r="F448" t="s">
        <v>81</v>
      </c>
      <c r="G448">
        <v>0.220600081769177</v>
      </c>
      <c r="H448">
        <v>2E+20</v>
      </c>
      <c r="I448">
        <v>0</v>
      </c>
      <c r="J448">
        <v>1.74933888766196</v>
      </c>
      <c r="K448">
        <v>48</v>
      </c>
      <c r="L448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30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0.19180876875236769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0.103228745315481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0.423670795788058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3.4323212298415702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8" s="5">
        <f>IF((DiscreteStatsTable[[#This Row],[RepsRequested]]&gt;1),DiscreteStatsTable[[#This Row],[HalfWidth]],DiscreteStatsTable[[#This Row],[BatchMeansHalfWidth]])</f>
        <v>3.854624699063957E-2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30</v>
      </c>
      <c r="Y448" s="5">
        <f>IF(DiscreteStatsTable[[#This Row],[RepsRequested]]=DiscreteStatsTable[[#This Row],[RepsWithStatObserved]],1,0)</f>
        <v>1</v>
      </c>
    </row>
    <row r="449" spans="1:25" x14ac:dyDescent="0.25">
      <c r="A449" t="s">
        <v>68</v>
      </c>
      <c r="B449" t="s">
        <v>70</v>
      </c>
      <c r="C449">
        <v>30</v>
      </c>
      <c r="D449" t="s">
        <v>89</v>
      </c>
      <c r="E449" t="s">
        <v>80</v>
      </c>
      <c r="F449" t="s">
        <v>81</v>
      </c>
      <c r="G449">
        <v>1.25799490540096</v>
      </c>
      <c r="H449">
        <v>2E+20</v>
      </c>
      <c r="I449">
        <v>0.68446110477339095</v>
      </c>
      <c r="J449">
        <v>4.1908575360205598</v>
      </c>
      <c r="K449">
        <v>35</v>
      </c>
      <c r="L449" s="5" t="str">
        <f>DiscreteStatsTable[[#This Row],[ProjectName]]&amp;DiscreteStatsTable[[#This Row],[Name]]&amp;DiscreteStatsTable[[#This Row],[Type]]&amp;DiscreteStatsTable[[#This Row],[Source]]</f>
        <v>Pedido CleintesOrdnesTotal Time Per EntityProcess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30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1.1973615988192337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0.10431229158212847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3.8950849816067064E-2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1.00105179769245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1.3954364053061299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0.66686181399057898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4.1908575360205598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49" s="5">
        <f>IF((DiscreteStatsTable[[#This Row],[RepsRequested]]&gt;1),DiscreteStatsTable[[#This Row],[HalfWidth]],DiscreteStatsTable[[#This Row],[BatchMeansHalfWidth]])</f>
        <v>3.8950849816067064E-2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30</v>
      </c>
      <c r="Y449" s="5">
        <f>IF(DiscreteStatsTable[[#This Row],[RepsRequested]]=DiscreteStatsTable[[#This Row],[RepsWithStatObserved]],1,0)</f>
        <v>1</v>
      </c>
    </row>
    <row r="450" spans="1:25" x14ac:dyDescent="0.25">
      <c r="A450" t="s">
        <v>68</v>
      </c>
      <c r="B450" t="s">
        <v>70</v>
      </c>
      <c r="C450">
        <v>30</v>
      </c>
      <c r="D450" t="s">
        <v>89</v>
      </c>
      <c r="E450" t="s">
        <v>82</v>
      </c>
      <c r="F450" t="s">
        <v>81</v>
      </c>
      <c r="G450">
        <v>1.0144594598657199</v>
      </c>
      <c r="H450">
        <v>2E+20</v>
      </c>
      <c r="I450">
        <v>0.68446110477339095</v>
      </c>
      <c r="J450">
        <v>1.3216765087323801</v>
      </c>
      <c r="K450">
        <v>35</v>
      </c>
      <c r="L450" s="5" t="str">
        <f>DiscreteStatsTable[[#This Row],[ProjectName]]&amp;DiscreteStatsTable[[#This Row],[Name]]&amp;DiscreteStatsTable[[#This Row],[Type]]&amp;DiscreteStatsTable[[#This Row],[Source]]</f>
        <v>Pedido CleintesOrdnesVA Time Per EntityProcess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30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1.0055528300668661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2.742416633794929E-2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1.0240352006065174E-2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0.93439199770167003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1.07209969553912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0.66686181399057898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1.33298858408691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50" s="5">
        <f>IF((DiscreteStatsTable[[#This Row],[RepsRequested]]&gt;1),DiscreteStatsTable[[#This Row],[HalfWidth]],DiscreteStatsTable[[#This Row],[BatchMeansHalfWidth]])</f>
        <v>1.0240352006065174E-2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30</v>
      </c>
      <c r="Y450" s="5">
        <f>IF(DiscreteStatsTable[[#This Row],[RepsRequested]]=DiscreteStatsTable[[#This Row],[RepsWithStatObserved]],1,0)</f>
        <v>1</v>
      </c>
    </row>
    <row r="451" spans="1:25" x14ac:dyDescent="0.25">
      <c r="A451" t="s">
        <v>68</v>
      </c>
      <c r="B451" t="s">
        <v>70</v>
      </c>
      <c r="C451">
        <v>30</v>
      </c>
      <c r="D451" t="s">
        <v>89</v>
      </c>
      <c r="E451" t="s">
        <v>83</v>
      </c>
      <c r="F451" t="s">
        <v>81</v>
      </c>
      <c r="G451">
        <v>0.24353544553523901</v>
      </c>
      <c r="H451">
        <v>2E+20</v>
      </c>
      <c r="I451">
        <v>0</v>
      </c>
      <c r="J451">
        <v>3.4323212298415702</v>
      </c>
      <c r="K451">
        <v>35</v>
      </c>
      <c r="L451" s="5" t="str">
        <f>DiscreteStatsTable[[#This Row],[ProjectName]]&amp;DiscreteStatsTable[[#This Row],[Name]]&amp;DiscreteStatsTable[[#This Row],[Type]]&amp;DiscreteStatsTable[[#This Row],[Source]]</f>
        <v>Pedido CleintesOrdnesWait Time Per EntityProcess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30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0.19180876875236769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0.103228745315481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3.854624699063957E-2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0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0.423670795788058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3.4323212298415702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39.666666666666664</v>
      </c>
      <c r="W451" s="5">
        <f>IF((DiscreteStatsTable[[#This Row],[RepsRequested]]&gt;1),DiscreteStatsTable[[#This Row],[HalfWidth]],DiscreteStatsTable[[#This Row],[BatchMeansHalfWidth]])</f>
        <v>3.854624699063957E-2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30</v>
      </c>
      <c r="Y451" s="5">
        <f>IF(DiscreteStatsTable[[#This Row],[RepsRequested]]=DiscreteStatsTable[[#This Row],[RepsWithStatObserved]],1,0)</f>
        <v>1</v>
      </c>
    </row>
    <row r="452" spans="1:25" x14ac:dyDescent="0.25">
      <c r="A452" t="s">
        <v>68</v>
      </c>
      <c r="B452" t="s">
        <v>70</v>
      </c>
      <c r="C452">
        <v>1</v>
      </c>
      <c r="D452" t="s">
        <v>90</v>
      </c>
      <c r="E452" t="s">
        <v>85</v>
      </c>
      <c r="F452" t="s">
        <v>86</v>
      </c>
      <c r="G452">
        <v>5.5640609447438802E-2</v>
      </c>
      <c r="H452">
        <v>2E+20</v>
      </c>
      <c r="I452">
        <v>0</v>
      </c>
      <c r="J452">
        <v>0.54562112350964298</v>
      </c>
      <c r="K452">
        <v>27</v>
      </c>
      <c r="L452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30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0.19325329445672476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0.423670795788058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3.4323212298415702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39.9</v>
      </c>
      <c r="W452" s="5">
        <f>IF((DiscreteStatsTable[[#This Row],[RepsRequested]]&gt;1),DiscreteStatsTable[[#This Row],[HalfWidth]],DiscreteStatsTable[[#This Row],[BatchMeansHalfWidth]])</f>
        <v>3.9126129049758457E-2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30</v>
      </c>
      <c r="Y452" s="5">
        <f>IF(DiscreteStatsTable[[#This Row],[RepsRequested]]=DiscreteStatsTable[[#This Row],[RepsWithStatObserved]],1,0)</f>
        <v>1</v>
      </c>
    </row>
    <row r="453" spans="1:25" x14ac:dyDescent="0.25">
      <c r="A453" t="s">
        <v>68</v>
      </c>
      <c r="B453" t="s">
        <v>70</v>
      </c>
      <c r="C453">
        <v>2</v>
      </c>
      <c r="D453" t="s">
        <v>90</v>
      </c>
      <c r="E453" t="s">
        <v>85</v>
      </c>
      <c r="F453" t="s">
        <v>86</v>
      </c>
      <c r="G453">
        <v>0.115660195127994</v>
      </c>
      <c r="H453">
        <v>2E+20</v>
      </c>
      <c r="I453">
        <v>0</v>
      </c>
      <c r="J453">
        <v>0.81936615306581495</v>
      </c>
      <c r="K453">
        <v>41</v>
      </c>
      <c r="L453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30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0.19325329445672476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0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0.423670795788058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3.4323212298415702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39.9</v>
      </c>
      <c r="W453" s="5">
        <f>IF((DiscreteStatsTable[[#This Row],[RepsRequested]]&gt;1),DiscreteStatsTable[[#This Row],[HalfWidth]],DiscreteStatsTable[[#This Row],[BatchMeansHalfWidth]])</f>
        <v>3.9126129049758457E-2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30</v>
      </c>
      <c r="Y453" s="5">
        <f>IF(DiscreteStatsTable[[#This Row],[RepsRequested]]=DiscreteStatsTable[[#This Row],[RepsWithStatObserved]],1,0)</f>
        <v>1</v>
      </c>
    </row>
    <row r="454" spans="1:25" x14ac:dyDescent="0.25">
      <c r="A454" t="s">
        <v>68</v>
      </c>
      <c r="B454" t="s">
        <v>70</v>
      </c>
      <c r="C454">
        <v>3</v>
      </c>
      <c r="D454" t="s">
        <v>90</v>
      </c>
      <c r="E454" t="s">
        <v>85</v>
      </c>
      <c r="F454" t="s">
        <v>86</v>
      </c>
      <c r="G454">
        <v>0.400933087613008</v>
      </c>
      <c r="H454">
        <v>2E+20</v>
      </c>
      <c r="I454">
        <v>0</v>
      </c>
      <c r="J454">
        <v>3.19299741817977</v>
      </c>
      <c r="K454">
        <v>47</v>
      </c>
      <c r="L454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30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0.19325329445672476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0.423670795788058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3.4323212298415702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39.9</v>
      </c>
      <c r="W454" s="5">
        <f>IF((DiscreteStatsTable[[#This Row],[RepsRequested]]&gt;1),DiscreteStatsTable[[#This Row],[HalfWidth]],DiscreteStatsTable[[#This Row],[BatchMeansHalfWidth]])</f>
        <v>3.9126129049758457E-2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30</v>
      </c>
      <c r="Y454" s="5">
        <f>IF(DiscreteStatsTable[[#This Row],[RepsRequested]]=DiscreteStatsTable[[#This Row],[RepsWithStatObserved]],1,0)</f>
        <v>1</v>
      </c>
    </row>
    <row r="455" spans="1:25" x14ac:dyDescent="0.25">
      <c r="A455" t="s">
        <v>68</v>
      </c>
      <c r="B455" t="s">
        <v>70</v>
      </c>
      <c r="C455">
        <v>4</v>
      </c>
      <c r="D455" t="s">
        <v>90</v>
      </c>
      <c r="E455" t="s">
        <v>85</v>
      </c>
      <c r="F455" t="s">
        <v>86</v>
      </c>
      <c r="G455">
        <v>4.7386564612643102E-2</v>
      </c>
      <c r="H455">
        <v>2E+20</v>
      </c>
      <c r="I455">
        <v>0</v>
      </c>
      <c r="J455">
        <v>0.99174815399776195</v>
      </c>
      <c r="K455">
        <v>33</v>
      </c>
      <c r="L455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30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0.19325329445672476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0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0.423670795788058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3.4323212298415702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39.9</v>
      </c>
      <c r="W455" s="5">
        <f>IF((DiscreteStatsTable[[#This Row],[RepsRequested]]&gt;1),DiscreteStatsTable[[#This Row],[HalfWidth]],DiscreteStatsTable[[#This Row],[BatchMeansHalfWidth]])</f>
        <v>3.9126129049758457E-2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30</v>
      </c>
      <c r="Y455" s="5">
        <f>IF(DiscreteStatsTable[[#This Row],[RepsRequested]]=DiscreteStatsTable[[#This Row],[RepsWithStatObserved]],1,0)</f>
        <v>1</v>
      </c>
    </row>
    <row r="456" spans="1:25" x14ac:dyDescent="0.25">
      <c r="A456" t="s">
        <v>68</v>
      </c>
      <c r="B456" t="s">
        <v>70</v>
      </c>
      <c r="C456">
        <v>5</v>
      </c>
      <c r="D456" t="s">
        <v>90</v>
      </c>
      <c r="E456" t="s">
        <v>85</v>
      </c>
      <c r="F456" t="s">
        <v>86</v>
      </c>
      <c r="G456">
        <v>0.24161032701174501</v>
      </c>
      <c r="H456">
        <v>2E+20</v>
      </c>
      <c r="I456">
        <v>0</v>
      </c>
      <c r="J456">
        <v>1.91154478279672</v>
      </c>
      <c r="K456">
        <v>46</v>
      </c>
      <c r="L456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30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0.19325329445672476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0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0.423670795788058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0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3.4323212298415702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39.9</v>
      </c>
      <c r="W456" s="5">
        <f>IF((DiscreteStatsTable[[#This Row],[RepsRequested]]&gt;1),DiscreteStatsTable[[#This Row],[HalfWidth]],DiscreteStatsTable[[#This Row],[BatchMeansHalfWidth]])</f>
        <v>3.9126129049758457E-2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30</v>
      </c>
      <c r="Y456" s="5">
        <f>IF(DiscreteStatsTable[[#This Row],[RepsRequested]]=DiscreteStatsTable[[#This Row],[RepsWithStatObserved]],1,0)</f>
        <v>1</v>
      </c>
    </row>
    <row r="457" spans="1:25" x14ac:dyDescent="0.25">
      <c r="A457" t="s">
        <v>68</v>
      </c>
      <c r="B457" t="s">
        <v>70</v>
      </c>
      <c r="C457">
        <v>6</v>
      </c>
      <c r="D457" t="s">
        <v>90</v>
      </c>
      <c r="E457" t="s">
        <v>85</v>
      </c>
      <c r="F457" t="s">
        <v>86</v>
      </c>
      <c r="G457">
        <v>0.169691081606206</v>
      </c>
      <c r="H457">
        <v>2E+20</v>
      </c>
      <c r="I457">
        <v>0</v>
      </c>
      <c r="J457">
        <v>2.2926430280432202</v>
      </c>
      <c r="K457">
        <v>39</v>
      </c>
      <c r="L457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30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0.19325329445672476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0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0.423670795788058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3.4323212298415702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39.9</v>
      </c>
      <c r="W457" s="5">
        <f>IF((DiscreteStatsTable[[#This Row],[RepsRequested]]&gt;1),DiscreteStatsTable[[#This Row],[HalfWidth]],DiscreteStatsTable[[#This Row],[BatchMeansHalfWidth]])</f>
        <v>3.9126129049758457E-2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30</v>
      </c>
      <c r="Y457" s="5">
        <f>IF(DiscreteStatsTable[[#This Row],[RepsRequested]]=DiscreteStatsTable[[#This Row],[RepsWithStatObserved]],1,0)</f>
        <v>1</v>
      </c>
    </row>
    <row r="458" spans="1:25" x14ac:dyDescent="0.25">
      <c r="A458" t="s">
        <v>68</v>
      </c>
      <c r="B458" t="s">
        <v>70</v>
      </c>
      <c r="C458">
        <v>7</v>
      </c>
      <c r="D458" t="s">
        <v>90</v>
      </c>
      <c r="E458" t="s">
        <v>85</v>
      </c>
      <c r="F458" t="s">
        <v>86</v>
      </c>
      <c r="G458">
        <v>0.188711709714035</v>
      </c>
      <c r="H458">
        <v>2E+20</v>
      </c>
      <c r="I458">
        <v>0</v>
      </c>
      <c r="J458">
        <v>1.7707802369025001</v>
      </c>
      <c r="K458">
        <v>38</v>
      </c>
      <c r="L458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30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0.19325329445672476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0.423670795788058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3.4323212298415702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39.9</v>
      </c>
      <c r="W458" s="5">
        <f>IF((DiscreteStatsTable[[#This Row],[RepsRequested]]&gt;1),DiscreteStatsTable[[#This Row],[HalfWidth]],DiscreteStatsTable[[#This Row],[BatchMeansHalfWidth]])</f>
        <v>3.9126129049758457E-2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30</v>
      </c>
      <c r="Y458" s="5">
        <f>IF(DiscreteStatsTable[[#This Row],[RepsRequested]]=DiscreteStatsTable[[#This Row],[RepsWithStatObserved]],1,0)</f>
        <v>1</v>
      </c>
    </row>
    <row r="459" spans="1:25" x14ac:dyDescent="0.25">
      <c r="A459" t="s">
        <v>68</v>
      </c>
      <c r="B459" t="s">
        <v>70</v>
      </c>
      <c r="C459">
        <v>8</v>
      </c>
      <c r="D459" t="s">
        <v>90</v>
      </c>
      <c r="E459" t="s">
        <v>85</v>
      </c>
      <c r="F459" t="s">
        <v>86</v>
      </c>
      <c r="G459">
        <v>0.30818958509302302</v>
      </c>
      <c r="H459">
        <v>2E+20</v>
      </c>
      <c r="I459">
        <v>0</v>
      </c>
      <c r="J459">
        <v>1.2815772132147201</v>
      </c>
      <c r="K459">
        <v>37</v>
      </c>
      <c r="L459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30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0.19325329445672476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0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0.423670795788058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3.4323212298415702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39.9</v>
      </c>
      <c r="W459" s="5">
        <f>IF((DiscreteStatsTable[[#This Row],[RepsRequested]]&gt;1),DiscreteStatsTable[[#This Row],[HalfWidth]],DiscreteStatsTable[[#This Row],[BatchMeansHalfWidth]])</f>
        <v>3.9126129049758457E-2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30</v>
      </c>
      <c r="Y459" s="5">
        <f>IF(DiscreteStatsTable[[#This Row],[RepsRequested]]=DiscreteStatsTable[[#This Row],[RepsWithStatObserved]],1,0)</f>
        <v>1</v>
      </c>
    </row>
    <row r="460" spans="1:25" x14ac:dyDescent="0.25">
      <c r="A460" t="s">
        <v>68</v>
      </c>
      <c r="B460" t="s">
        <v>70</v>
      </c>
      <c r="C460">
        <v>9</v>
      </c>
      <c r="D460" t="s">
        <v>90</v>
      </c>
      <c r="E460" t="s">
        <v>85</v>
      </c>
      <c r="F460" t="s">
        <v>86</v>
      </c>
      <c r="G460">
        <v>0.10478278539659799</v>
      </c>
      <c r="H460">
        <v>2E+20</v>
      </c>
      <c r="I460">
        <v>0</v>
      </c>
      <c r="J460">
        <v>1.2312310406051701</v>
      </c>
      <c r="K460">
        <v>35</v>
      </c>
      <c r="L460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30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0.19325329445672476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0.423670795788058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3.4323212298415702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39.9</v>
      </c>
      <c r="W460" s="5">
        <f>IF((DiscreteStatsTable[[#This Row],[RepsRequested]]&gt;1),DiscreteStatsTable[[#This Row],[HalfWidth]],DiscreteStatsTable[[#This Row],[BatchMeansHalfWidth]])</f>
        <v>3.9126129049758457E-2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30</v>
      </c>
      <c r="Y460" s="5">
        <f>IF(DiscreteStatsTable[[#This Row],[RepsRequested]]=DiscreteStatsTable[[#This Row],[RepsWithStatObserved]],1,0)</f>
        <v>1</v>
      </c>
    </row>
    <row r="461" spans="1:25" x14ac:dyDescent="0.25">
      <c r="A461" t="s">
        <v>68</v>
      </c>
      <c r="B461" t="s">
        <v>70</v>
      </c>
      <c r="C461">
        <v>10</v>
      </c>
      <c r="D461" t="s">
        <v>90</v>
      </c>
      <c r="E461" t="s">
        <v>85</v>
      </c>
      <c r="F461" t="s">
        <v>86</v>
      </c>
      <c r="G461">
        <v>8.5613407992534502E-2</v>
      </c>
      <c r="H461">
        <v>2E+20</v>
      </c>
      <c r="I461">
        <v>0</v>
      </c>
      <c r="J461">
        <v>0.75736368436486101</v>
      </c>
      <c r="K461">
        <v>41</v>
      </c>
      <c r="L461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30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0.19325329445672476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0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0.423670795788058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3.4323212298415702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39.9</v>
      </c>
      <c r="W461" s="5">
        <f>IF((DiscreteStatsTable[[#This Row],[RepsRequested]]&gt;1),DiscreteStatsTable[[#This Row],[HalfWidth]],DiscreteStatsTable[[#This Row],[BatchMeansHalfWidth]])</f>
        <v>3.9126129049758457E-2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30</v>
      </c>
      <c r="Y461" s="5">
        <f>IF(DiscreteStatsTable[[#This Row],[RepsRequested]]=DiscreteStatsTable[[#This Row],[RepsWithStatObserved]],1,0)</f>
        <v>1</v>
      </c>
    </row>
    <row r="462" spans="1:25" x14ac:dyDescent="0.25">
      <c r="A462" t="s">
        <v>68</v>
      </c>
      <c r="B462" t="s">
        <v>70</v>
      </c>
      <c r="C462">
        <v>11</v>
      </c>
      <c r="D462" t="s">
        <v>90</v>
      </c>
      <c r="E462" t="s">
        <v>85</v>
      </c>
      <c r="F462" t="s">
        <v>86</v>
      </c>
      <c r="G462">
        <v>0.18153439037338301</v>
      </c>
      <c r="H462">
        <v>2E+20</v>
      </c>
      <c r="I462">
        <v>0</v>
      </c>
      <c r="J462">
        <v>1.5140255971397201</v>
      </c>
      <c r="K462">
        <v>45</v>
      </c>
      <c r="L462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30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0.19325329445672476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0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0.423670795788058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0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3.4323212298415702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39.9</v>
      </c>
      <c r="W462" s="5">
        <f>IF((DiscreteStatsTable[[#This Row],[RepsRequested]]&gt;1),DiscreteStatsTable[[#This Row],[HalfWidth]],DiscreteStatsTable[[#This Row],[BatchMeansHalfWidth]])</f>
        <v>3.9126129049758457E-2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30</v>
      </c>
      <c r="Y462" s="5">
        <f>IF(DiscreteStatsTable[[#This Row],[RepsRequested]]=DiscreteStatsTable[[#This Row],[RepsWithStatObserved]],1,0)</f>
        <v>1</v>
      </c>
    </row>
    <row r="463" spans="1:25" x14ac:dyDescent="0.25">
      <c r="A463" t="s">
        <v>68</v>
      </c>
      <c r="B463" t="s">
        <v>70</v>
      </c>
      <c r="C463">
        <v>12</v>
      </c>
      <c r="D463" t="s">
        <v>90</v>
      </c>
      <c r="E463" t="s">
        <v>85</v>
      </c>
      <c r="F463" t="s">
        <v>86</v>
      </c>
      <c r="G463">
        <v>0</v>
      </c>
      <c r="H463">
        <v>2E+20</v>
      </c>
      <c r="I463">
        <v>0</v>
      </c>
      <c r="J463">
        <v>0</v>
      </c>
      <c r="K463">
        <v>29</v>
      </c>
      <c r="L463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30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0.19325329445672476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0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0.423670795788058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3.4323212298415702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39.9</v>
      </c>
      <c r="W463" s="5">
        <f>IF((DiscreteStatsTable[[#This Row],[RepsRequested]]&gt;1),DiscreteStatsTable[[#This Row],[HalfWidth]],DiscreteStatsTable[[#This Row],[BatchMeansHalfWidth]])</f>
        <v>3.9126129049758457E-2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30</v>
      </c>
      <c r="Y463" s="5">
        <f>IF(DiscreteStatsTable[[#This Row],[RepsRequested]]=DiscreteStatsTable[[#This Row],[RepsWithStatObserved]],1,0)</f>
        <v>1</v>
      </c>
    </row>
    <row r="464" spans="1:25" x14ac:dyDescent="0.25">
      <c r="A464" t="s">
        <v>68</v>
      </c>
      <c r="B464" t="s">
        <v>70</v>
      </c>
      <c r="C464">
        <v>13</v>
      </c>
      <c r="D464" t="s">
        <v>90</v>
      </c>
      <c r="E464" t="s">
        <v>85</v>
      </c>
      <c r="F464" t="s">
        <v>86</v>
      </c>
      <c r="G464">
        <v>0.147297327210718</v>
      </c>
      <c r="H464">
        <v>2E+20</v>
      </c>
      <c r="I464">
        <v>0</v>
      </c>
      <c r="J464">
        <v>1.0966276193490201</v>
      </c>
      <c r="K464">
        <v>38</v>
      </c>
      <c r="L464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30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0.19325329445672476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0.423670795788058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3.4323212298415702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39.9</v>
      </c>
      <c r="W464" s="5">
        <f>IF((DiscreteStatsTable[[#This Row],[RepsRequested]]&gt;1),DiscreteStatsTable[[#This Row],[HalfWidth]],DiscreteStatsTable[[#This Row],[BatchMeansHalfWidth]])</f>
        <v>3.9126129049758457E-2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30</v>
      </c>
      <c r="Y464" s="5">
        <f>IF(DiscreteStatsTable[[#This Row],[RepsRequested]]=DiscreteStatsTable[[#This Row],[RepsWithStatObserved]],1,0)</f>
        <v>1</v>
      </c>
    </row>
    <row r="465" spans="1:25" x14ac:dyDescent="0.25">
      <c r="A465" t="s">
        <v>68</v>
      </c>
      <c r="B465" t="s">
        <v>70</v>
      </c>
      <c r="C465">
        <v>14</v>
      </c>
      <c r="D465" t="s">
        <v>90</v>
      </c>
      <c r="E465" t="s">
        <v>85</v>
      </c>
      <c r="F465" t="s">
        <v>86</v>
      </c>
      <c r="G465">
        <v>0.297573314001982</v>
      </c>
      <c r="H465">
        <v>2E+20</v>
      </c>
      <c r="I465">
        <v>0</v>
      </c>
      <c r="J465">
        <v>2.1095684939747099</v>
      </c>
      <c r="K465">
        <v>49</v>
      </c>
      <c r="L465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30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0.19325329445672476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0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0.423670795788058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3.4323212298415702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39.9</v>
      </c>
      <c r="W465" s="5">
        <f>IF((DiscreteStatsTable[[#This Row],[RepsRequested]]&gt;1),DiscreteStatsTable[[#This Row],[HalfWidth]],DiscreteStatsTable[[#This Row],[BatchMeansHalfWidth]])</f>
        <v>3.9126129049758457E-2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30</v>
      </c>
      <c r="Y465" s="5">
        <f>IF(DiscreteStatsTable[[#This Row],[RepsRequested]]=DiscreteStatsTable[[#This Row],[RepsWithStatObserved]],1,0)</f>
        <v>1</v>
      </c>
    </row>
    <row r="466" spans="1:25" x14ac:dyDescent="0.25">
      <c r="A466" t="s">
        <v>68</v>
      </c>
      <c r="B466" t="s">
        <v>70</v>
      </c>
      <c r="C466">
        <v>15</v>
      </c>
      <c r="D466" t="s">
        <v>90</v>
      </c>
      <c r="E466" t="s">
        <v>85</v>
      </c>
      <c r="F466" t="s">
        <v>86</v>
      </c>
      <c r="G466">
        <v>0.23199984971830601</v>
      </c>
      <c r="H466">
        <v>2E+20</v>
      </c>
      <c r="I466">
        <v>0</v>
      </c>
      <c r="J466">
        <v>2.24424714214953</v>
      </c>
      <c r="K466">
        <v>47</v>
      </c>
      <c r="L466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30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0.19325329445672476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0.423670795788058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3.4323212298415702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39.9</v>
      </c>
      <c r="W466" s="5">
        <f>IF((DiscreteStatsTable[[#This Row],[RepsRequested]]&gt;1),DiscreteStatsTable[[#This Row],[HalfWidth]],DiscreteStatsTable[[#This Row],[BatchMeansHalfWidth]])</f>
        <v>3.9126129049758457E-2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30</v>
      </c>
      <c r="Y466" s="5">
        <f>IF(DiscreteStatsTable[[#This Row],[RepsRequested]]=DiscreteStatsTable[[#This Row],[RepsWithStatObserved]],1,0)</f>
        <v>1</v>
      </c>
    </row>
    <row r="467" spans="1:25" x14ac:dyDescent="0.25">
      <c r="A467" t="s">
        <v>68</v>
      </c>
      <c r="B467" t="s">
        <v>70</v>
      </c>
      <c r="C467">
        <v>16</v>
      </c>
      <c r="D467" t="s">
        <v>90</v>
      </c>
      <c r="E467" t="s">
        <v>85</v>
      </c>
      <c r="F467" t="s">
        <v>86</v>
      </c>
      <c r="G467">
        <v>9.7144215520446497E-2</v>
      </c>
      <c r="H467">
        <v>2E+20</v>
      </c>
      <c r="I467">
        <v>0</v>
      </c>
      <c r="J467">
        <v>0.88359831546645795</v>
      </c>
      <c r="K467">
        <v>37</v>
      </c>
      <c r="L467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30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0.19325329445672476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0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0.423670795788058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3.4323212298415702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39.9</v>
      </c>
      <c r="W467" s="5">
        <f>IF((DiscreteStatsTable[[#This Row],[RepsRequested]]&gt;1),DiscreteStatsTable[[#This Row],[HalfWidth]],DiscreteStatsTable[[#This Row],[BatchMeansHalfWidth]])</f>
        <v>3.9126129049758457E-2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30</v>
      </c>
      <c r="Y467" s="5">
        <f>IF(DiscreteStatsTable[[#This Row],[RepsRequested]]=DiscreteStatsTable[[#This Row],[RepsWithStatObserved]],1,0)</f>
        <v>1</v>
      </c>
    </row>
    <row r="468" spans="1:25" x14ac:dyDescent="0.25">
      <c r="A468" t="s">
        <v>68</v>
      </c>
      <c r="B468" t="s">
        <v>70</v>
      </c>
      <c r="C468">
        <v>17</v>
      </c>
      <c r="D468" t="s">
        <v>90</v>
      </c>
      <c r="E468" t="s">
        <v>85</v>
      </c>
      <c r="F468" t="s">
        <v>86</v>
      </c>
      <c r="G468">
        <v>0.10840451008264</v>
      </c>
      <c r="H468">
        <v>2E+20</v>
      </c>
      <c r="I468">
        <v>0</v>
      </c>
      <c r="J468">
        <v>0.80449345903841196</v>
      </c>
      <c r="K468">
        <v>33</v>
      </c>
      <c r="L468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30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0.19325329445672476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0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0.423670795788058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0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3.4323212298415702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39.9</v>
      </c>
      <c r="W468" s="5">
        <f>IF((DiscreteStatsTable[[#This Row],[RepsRequested]]&gt;1),DiscreteStatsTable[[#This Row],[HalfWidth]],DiscreteStatsTable[[#This Row],[BatchMeansHalfWidth]])</f>
        <v>3.9126129049758457E-2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30</v>
      </c>
      <c r="Y468" s="5">
        <f>IF(DiscreteStatsTable[[#This Row],[RepsRequested]]=DiscreteStatsTable[[#This Row],[RepsWithStatObserved]],1,0)</f>
        <v>1</v>
      </c>
    </row>
    <row r="469" spans="1:25" x14ac:dyDescent="0.25">
      <c r="A469" t="s">
        <v>68</v>
      </c>
      <c r="B469" t="s">
        <v>70</v>
      </c>
      <c r="C469">
        <v>18</v>
      </c>
      <c r="D469" t="s">
        <v>90</v>
      </c>
      <c r="E469" t="s">
        <v>85</v>
      </c>
      <c r="F469" t="s">
        <v>86</v>
      </c>
      <c r="G469">
        <v>0.423670795788058</v>
      </c>
      <c r="H469">
        <v>2E+20</v>
      </c>
      <c r="I469">
        <v>0</v>
      </c>
      <c r="J469">
        <v>2.9513852267355798</v>
      </c>
      <c r="K469">
        <v>44</v>
      </c>
      <c r="L469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30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0.19325329445672476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0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0.423670795788058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3.4323212298415702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39.9</v>
      </c>
      <c r="W469" s="5">
        <f>IF((DiscreteStatsTable[[#This Row],[RepsRequested]]&gt;1),DiscreteStatsTable[[#This Row],[HalfWidth]],DiscreteStatsTable[[#This Row],[BatchMeansHalfWidth]])</f>
        <v>3.9126129049758457E-2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30</v>
      </c>
      <c r="Y469" s="5">
        <f>IF(DiscreteStatsTable[[#This Row],[RepsRequested]]=DiscreteStatsTable[[#This Row],[RepsWithStatObserved]],1,0)</f>
        <v>1</v>
      </c>
    </row>
    <row r="470" spans="1:25" x14ac:dyDescent="0.25">
      <c r="A470" t="s">
        <v>68</v>
      </c>
      <c r="B470" t="s">
        <v>70</v>
      </c>
      <c r="C470">
        <v>19</v>
      </c>
      <c r="D470" t="s">
        <v>90</v>
      </c>
      <c r="E470" t="s">
        <v>85</v>
      </c>
      <c r="F470" t="s">
        <v>86</v>
      </c>
      <c r="G470">
        <v>0.22697248005552001</v>
      </c>
      <c r="H470">
        <v>2E+20</v>
      </c>
      <c r="I470">
        <v>0</v>
      </c>
      <c r="J470">
        <v>1.71074320892841</v>
      </c>
      <c r="K470">
        <v>33</v>
      </c>
      <c r="L470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30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0.19325329445672476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0.423670795788058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3.4323212298415702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39.9</v>
      </c>
      <c r="W470" s="5">
        <f>IF((DiscreteStatsTable[[#This Row],[RepsRequested]]&gt;1),DiscreteStatsTable[[#This Row],[HalfWidth]],DiscreteStatsTable[[#This Row],[BatchMeansHalfWidth]])</f>
        <v>3.9126129049758457E-2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30</v>
      </c>
      <c r="Y470" s="5">
        <f>IF(DiscreteStatsTable[[#This Row],[RepsRequested]]=DiscreteStatsTable[[#This Row],[RepsWithStatObserved]],1,0)</f>
        <v>1</v>
      </c>
    </row>
    <row r="471" spans="1:25" x14ac:dyDescent="0.25">
      <c r="A471" t="s">
        <v>68</v>
      </c>
      <c r="B471" t="s">
        <v>70</v>
      </c>
      <c r="C471">
        <v>20</v>
      </c>
      <c r="D471" t="s">
        <v>90</v>
      </c>
      <c r="E471" t="s">
        <v>85</v>
      </c>
      <c r="F471" t="s">
        <v>86</v>
      </c>
      <c r="G471">
        <v>0.20221833834799099</v>
      </c>
      <c r="H471">
        <v>2E+20</v>
      </c>
      <c r="I471">
        <v>0</v>
      </c>
      <c r="J471">
        <v>1.1325382542042799</v>
      </c>
      <c r="K471">
        <v>42</v>
      </c>
      <c r="L471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30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0.19325329445672476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0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0.423670795788058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3.4323212298415702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39.9</v>
      </c>
      <c r="W471" s="5">
        <f>IF((DiscreteStatsTable[[#This Row],[RepsRequested]]&gt;1),DiscreteStatsTable[[#This Row],[HalfWidth]],DiscreteStatsTable[[#This Row],[BatchMeansHalfWidth]])</f>
        <v>3.9126129049758457E-2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30</v>
      </c>
      <c r="Y471" s="5">
        <f>IF(DiscreteStatsTable[[#This Row],[RepsRequested]]=DiscreteStatsTable[[#This Row],[RepsWithStatObserved]],1,0)</f>
        <v>1</v>
      </c>
    </row>
    <row r="472" spans="1:25" x14ac:dyDescent="0.25">
      <c r="A472" t="s">
        <v>68</v>
      </c>
      <c r="B472" t="s">
        <v>70</v>
      </c>
      <c r="C472">
        <v>21</v>
      </c>
      <c r="D472" t="s">
        <v>90</v>
      </c>
      <c r="E472" t="s">
        <v>85</v>
      </c>
      <c r="F472" t="s">
        <v>86</v>
      </c>
      <c r="G472">
        <v>0.1587474748445</v>
      </c>
      <c r="H472">
        <v>2E+20</v>
      </c>
      <c r="I472">
        <v>0</v>
      </c>
      <c r="J472">
        <v>1.4369105193560301</v>
      </c>
      <c r="K472">
        <v>49</v>
      </c>
      <c r="L472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30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0.19325329445672476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0.423670795788058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3.4323212298415702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39.9</v>
      </c>
      <c r="W472" s="5">
        <f>IF((DiscreteStatsTable[[#This Row],[RepsRequested]]&gt;1),DiscreteStatsTable[[#This Row],[HalfWidth]],DiscreteStatsTable[[#This Row],[BatchMeansHalfWidth]])</f>
        <v>3.9126129049758457E-2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30</v>
      </c>
      <c r="Y472" s="5">
        <f>IF(DiscreteStatsTable[[#This Row],[RepsRequested]]=DiscreteStatsTable[[#This Row],[RepsWithStatObserved]],1,0)</f>
        <v>1</v>
      </c>
    </row>
    <row r="473" spans="1:25" x14ac:dyDescent="0.25">
      <c r="A473" t="s">
        <v>68</v>
      </c>
      <c r="B473" t="s">
        <v>70</v>
      </c>
      <c r="C473">
        <v>22</v>
      </c>
      <c r="D473" t="s">
        <v>90</v>
      </c>
      <c r="E473" t="s">
        <v>85</v>
      </c>
      <c r="F473" t="s">
        <v>86</v>
      </c>
      <c r="G473">
        <v>0.16553584047332001</v>
      </c>
      <c r="H473">
        <v>2E+20</v>
      </c>
      <c r="I473">
        <v>0</v>
      </c>
      <c r="J473">
        <v>1.75557526412083</v>
      </c>
      <c r="K473">
        <v>34</v>
      </c>
      <c r="L473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30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0.19325329445672476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0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0.423670795788058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3.4323212298415702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39.9</v>
      </c>
      <c r="W473" s="5">
        <f>IF((DiscreteStatsTable[[#This Row],[RepsRequested]]&gt;1),DiscreteStatsTable[[#This Row],[HalfWidth]],DiscreteStatsTable[[#This Row],[BatchMeansHalfWidth]])</f>
        <v>3.9126129049758457E-2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30</v>
      </c>
      <c r="Y473" s="5">
        <f>IF(DiscreteStatsTable[[#This Row],[RepsRequested]]=DiscreteStatsTable[[#This Row],[RepsWithStatObserved]],1,0)</f>
        <v>1</v>
      </c>
    </row>
    <row r="474" spans="1:25" x14ac:dyDescent="0.25">
      <c r="A474" t="s">
        <v>68</v>
      </c>
      <c r="B474" t="s">
        <v>70</v>
      </c>
      <c r="C474">
        <v>23</v>
      </c>
      <c r="D474" t="s">
        <v>90</v>
      </c>
      <c r="E474" t="s">
        <v>85</v>
      </c>
      <c r="F474" t="s">
        <v>86</v>
      </c>
      <c r="G474">
        <v>0.25230288591021099</v>
      </c>
      <c r="H474">
        <v>2E+20</v>
      </c>
      <c r="I474">
        <v>0</v>
      </c>
      <c r="J474">
        <v>3.18582228215026</v>
      </c>
      <c r="K474">
        <v>43</v>
      </c>
      <c r="L474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30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0.19325329445672476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0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0.423670795788058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0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3.4323212298415702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39.9</v>
      </c>
      <c r="W474" s="5">
        <f>IF((DiscreteStatsTable[[#This Row],[RepsRequested]]&gt;1),DiscreteStatsTable[[#This Row],[HalfWidth]],DiscreteStatsTable[[#This Row],[BatchMeansHalfWidth]])</f>
        <v>3.9126129049758457E-2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30</v>
      </c>
      <c r="Y474" s="5">
        <f>IF(DiscreteStatsTable[[#This Row],[RepsRequested]]=DiscreteStatsTable[[#This Row],[RepsWithStatObserved]],1,0)</f>
        <v>1</v>
      </c>
    </row>
    <row r="475" spans="1:25" x14ac:dyDescent="0.25">
      <c r="A475" t="s">
        <v>68</v>
      </c>
      <c r="B475" t="s">
        <v>70</v>
      </c>
      <c r="C475">
        <v>24</v>
      </c>
      <c r="D475" t="s">
        <v>90</v>
      </c>
      <c r="E475" t="s">
        <v>85</v>
      </c>
      <c r="F475" t="s">
        <v>86</v>
      </c>
      <c r="G475">
        <v>7.9210599219190797E-2</v>
      </c>
      <c r="H475">
        <v>2E+20</v>
      </c>
      <c r="I475">
        <v>0</v>
      </c>
      <c r="J475">
        <v>1.2257929851467999</v>
      </c>
      <c r="K475">
        <v>41</v>
      </c>
      <c r="L475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30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0.19325329445672476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0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0.423670795788058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3.4323212298415702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39.9</v>
      </c>
      <c r="W475" s="5">
        <f>IF((DiscreteStatsTable[[#This Row],[RepsRequested]]&gt;1),DiscreteStatsTable[[#This Row],[HalfWidth]],DiscreteStatsTable[[#This Row],[BatchMeansHalfWidth]])</f>
        <v>3.9126129049758457E-2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30</v>
      </c>
      <c r="Y475" s="5">
        <f>IF(DiscreteStatsTable[[#This Row],[RepsRequested]]=DiscreteStatsTable[[#This Row],[RepsWithStatObserved]],1,0)</f>
        <v>1</v>
      </c>
    </row>
    <row r="476" spans="1:25" x14ac:dyDescent="0.25">
      <c r="A476" t="s">
        <v>68</v>
      </c>
      <c r="B476" t="s">
        <v>70</v>
      </c>
      <c r="C476">
        <v>25</v>
      </c>
      <c r="D476" t="s">
        <v>90</v>
      </c>
      <c r="E476" t="s">
        <v>85</v>
      </c>
      <c r="F476" t="s">
        <v>86</v>
      </c>
      <c r="G476">
        <v>0.174164382163707</v>
      </c>
      <c r="H476">
        <v>2E+20</v>
      </c>
      <c r="I476">
        <v>0</v>
      </c>
      <c r="J476">
        <v>1.21901637317741</v>
      </c>
      <c r="K476">
        <v>35</v>
      </c>
      <c r="L476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30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0.19325329445672476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0.423670795788058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3.4323212298415702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39.9</v>
      </c>
      <c r="W476" s="5">
        <f>IF((DiscreteStatsTable[[#This Row],[RepsRequested]]&gt;1),DiscreteStatsTable[[#This Row],[HalfWidth]],DiscreteStatsTable[[#This Row],[BatchMeansHalfWidth]])</f>
        <v>3.9126129049758457E-2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30</v>
      </c>
      <c r="Y476" s="5">
        <f>IF(DiscreteStatsTable[[#This Row],[RepsRequested]]=DiscreteStatsTable[[#This Row],[RepsWithStatObserved]],1,0)</f>
        <v>1</v>
      </c>
    </row>
    <row r="477" spans="1:25" x14ac:dyDescent="0.25">
      <c r="A477" t="s">
        <v>68</v>
      </c>
      <c r="B477" t="s">
        <v>70</v>
      </c>
      <c r="C477">
        <v>26</v>
      </c>
      <c r="D477" t="s">
        <v>90</v>
      </c>
      <c r="E477" t="s">
        <v>85</v>
      </c>
      <c r="F477" t="s">
        <v>86</v>
      </c>
      <c r="G477">
        <v>0.35162369232795398</v>
      </c>
      <c r="H477">
        <v>2E+20</v>
      </c>
      <c r="I477">
        <v>0</v>
      </c>
      <c r="J477">
        <v>1.8197121460958099</v>
      </c>
      <c r="K477">
        <v>45</v>
      </c>
      <c r="L477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30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0.19325329445672476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0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0.423670795788058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3.4323212298415702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39.9</v>
      </c>
      <c r="W477" s="5">
        <f>IF((DiscreteStatsTable[[#This Row],[RepsRequested]]&gt;1),DiscreteStatsTable[[#This Row],[HalfWidth]],DiscreteStatsTable[[#This Row],[BatchMeansHalfWidth]])</f>
        <v>3.9126129049758457E-2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30</v>
      </c>
      <c r="Y477" s="5">
        <f>IF(DiscreteStatsTable[[#This Row],[RepsRequested]]=DiscreteStatsTable[[#This Row],[RepsWithStatObserved]],1,0)</f>
        <v>1</v>
      </c>
    </row>
    <row r="478" spans="1:25" x14ac:dyDescent="0.25">
      <c r="A478" t="s">
        <v>68</v>
      </c>
      <c r="B478" t="s">
        <v>70</v>
      </c>
      <c r="C478">
        <v>27</v>
      </c>
      <c r="D478" t="s">
        <v>90</v>
      </c>
      <c r="E478" t="s">
        <v>85</v>
      </c>
      <c r="F478" t="s">
        <v>86</v>
      </c>
      <c r="G478">
        <v>0.34531267735813798</v>
      </c>
      <c r="H478">
        <v>2E+20</v>
      </c>
      <c r="I478">
        <v>0</v>
      </c>
      <c r="J478">
        <v>2.72390413286303</v>
      </c>
      <c r="K478">
        <v>47</v>
      </c>
      <c r="L478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30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0.19325329445672476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0.423670795788058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3.4323212298415702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39.9</v>
      </c>
      <c r="W478" s="5">
        <f>IF((DiscreteStatsTable[[#This Row],[RepsRequested]]&gt;1),DiscreteStatsTable[[#This Row],[HalfWidth]],DiscreteStatsTable[[#This Row],[BatchMeansHalfWidth]])</f>
        <v>3.9126129049758457E-2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30</v>
      </c>
      <c r="Y478" s="5">
        <f>IF(DiscreteStatsTable[[#This Row],[RepsRequested]]=DiscreteStatsTable[[#This Row],[RepsWithStatObserved]],1,0)</f>
        <v>1</v>
      </c>
    </row>
    <row r="479" spans="1:25" x14ac:dyDescent="0.25">
      <c r="A479" t="s">
        <v>68</v>
      </c>
      <c r="B479" t="s">
        <v>70</v>
      </c>
      <c r="C479">
        <v>28</v>
      </c>
      <c r="D479" t="s">
        <v>90</v>
      </c>
      <c r="E479" t="s">
        <v>85</v>
      </c>
      <c r="F479" t="s">
        <v>86</v>
      </c>
      <c r="G479">
        <v>0.17153117938603499</v>
      </c>
      <c r="H479">
        <v>2E+20</v>
      </c>
      <c r="I479">
        <v>0</v>
      </c>
      <c r="J479">
        <v>1.3386129386459</v>
      </c>
      <c r="K479">
        <v>39</v>
      </c>
      <c r="L479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30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0.19325329445672476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0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0.423670795788058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3.4323212298415702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39.9</v>
      </c>
      <c r="W479" s="5">
        <f>IF((DiscreteStatsTable[[#This Row],[RepsRequested]]&gt;1),DiscreteStatsTable[[#This Row],[HalfWidth]],DiscreteStatsTable[[#This Row],[BatchMeansHalfWidth]])</f>
        <v>3.9126129049758457E-2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30</v>
      </c>
      <c r="Y479" s="5">
        <f>IF(DiscreteStatsTable[[#This Row],[RepsRequested]]=DiscreteStatsTable[[#This Row],[RepsWithStatObserved]],1,0)</f>
        <v>1</v>
      </c>
    </row>
    <row r="480" spans="1:25" x14ac:dyDescent="0.25">
      <c r="A480" t="s">
        <v>68</v>
      </c>
      <c r="B480" t="s">
        <v>70</v>
      </c>
      <c r="C480">
        <v>29</v>
      </c>
      <c r="D480" t="s">
        <v>90</v>
      </c>
      <c r="E480" t="s">
        <v>85</v>
      </c>
      <c r="F480" t="s">
        <v>86</v>
      </c>
      <c r="G480">
        <v>0.220600081769177</v>
      </c>
      <c r="H480">
        <v>2E+20</v>
      </c>
      <c r="I480">
        <v>0</v>
      </c>
      <c r="J480">
        <v>1.74933888766196</v>
      </c>
      <c r="K480">
        <v>48</v>
      </c>
      <c r="L480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30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0.19325329445672476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0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0.423670795788058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0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3.4323212298415702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39.9</v>
      </c>
      <c r="W480" s="5">
        <f>IF((DiscreteStatsTable[[#This Row],[RepsRequested]]&gt;1),DiscreteStatsTable[[#This Row],[HalfWidth]],DiscreteStatsTable[[#This Row],[BatchMeansHalfWidth]])</f>
        <v>3.9126129049758457E-2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30</v>
      </c>
      <c r="Y480" s="5">
        <f>IF(DiscreteStatsTable[[#This Row],[RepsRequested]]=DiscreteStatsTable[[#This Row],[RepsWithStatObserved]],1,0)</f>
        <v>1</v>
      </c>
    </row>
    <row r="481" spans="1:25" x14ac:dyDescent="0.25">
      <c r="A481" t="s">
        <v>68</v>
      </c>
      <c r="B481" t="s">
        <v>70</v>
      </c>
      <c r="C481">
        <v>30</v>
      </c>
      <c r="D481" t="s">
        <v>90</v>
      </c>
      <c r="E481" t="s">
        <v>85</v>
      </c>
      <c r="F481" t="s">
        <v>86</v>
      </c>
      <c r="G481">
        <v>0.24353544553523901</v>
      </c>
      <c r="H481">
        <v>2E+20</v>
      </c>
      <c r="I481">
        <v>0</v>
      </c>
      <c r="J481">
        <v>3.4323212298415702</v>
      </c>
      <c r="K481">
        <v>35</v>
      </c>
      <c r="L481" s="5" t="str">
        <f>DiscreteStatsTable[[#This Row],[ProjectName]]&amp;DiscreteStatsTable[[#This Row],[Name]]&amp;DiscreteStatsTable[[#This Row],[Type]]&amp;DiscreteStatsTable[[#This Row],[Source]]</f>
        <v>Pedido CleintesOrdnes.QueueWaiting TimeQueue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30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0.19325329445672476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0.10478169799096031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3.9126129049758457E-2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0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0.423670795788058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3.4323212298415702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39.9</v>
      </c>
      <c r="W481" s="5">
        <f>IF((DiscreteStatsTable[[#This Row],[RepsRequested]]&gt;1),DiscreteStatsTable[[#This Row],[HalfWidth]],DiscreteStatsTable[[#This Row],[BatchMeansHalfWidth]])</f>
        <v>3.9126129049758457E-2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30</v>
      </c>
      <c r="Y481" s="5">
        <f>IF(DiscreteStatsTable[[#This Row],[RepsRequested]]=DiscreteStatsTable[[#This Row],[RepsWithStatObserved]],1,0)</f>
        <v>1</v>
      </c>
    </row>
    <row r="482" spans="1:25" x14ac:dyDescent="0.25">
      <c r="A482" t="s">
        <v>68</v>
      </c>
      <c r="B482" t="s">
        <v>70</v>
      </c>
      <c r="C482">
        <v>1</v>
      </c>
      <c r="D482" t="s">
        <v>91</v>
      </c>
      <c r="E482" t="s">
        <v>80</v>
      </c>
      <c r="F482" t="s">
        <v>81</v>
      </c>
      <c r="G482">
        <v>0.89576353228166405</v>
      </c>
      <c r="H482">
        <v>2E+20</v>
      </c>
      <c r="I482">
        <v>0.428617818086515</v>
      </c>
      <c r="J482">
        <v>2.0169480983265999</v>
      </c>
      <c r="K482">
        <v>26</v>
      </c>
      <c r="L482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30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1.0631030288454759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0.17862308807588656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0.73683357844020803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1.5108386331108501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0.41857551264863002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4.2424665512149602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2" s="5">
        <f>IF((DiscreteStatsTable[[#This Row],[RepsRequested]]&gt;1),DiscreteStatsTable[[#This Row],[HalfWidth]],DiscreteStatsTable[[#This Row],[BatchMeansHalfWidth]])</f>
        <v>6.6698957254218635E-2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30</v>
      </c>
      <c r="Y482" s="5">
        <f>IF(DiscreteStatsTable[[#This Row],[RepsRequested]]=DiscreteStatsTable[[#This Row],[RepsWithStatObserved]],1,0)</f>
        <v>1</v>
      </c>
    </row>
    <row r="483" spans="1:25" x14ac:dyDescent="0.25">
      <c r="A483" t="s">
        <v>68</v>
      </c>
      <c r="B483" t="s">
        <v>70</v>
      </c>
      <c r="C483">
        <v>1</v>
      </c>
      <c r="D483" t="s">
        <v>91</v>
      </c>
      <c r="E483" t="s">
        <v>82</v>
      </c>
      <c r="F483" t="s">
        <v>81</v>
      </c>
      <c r="G483">
        <v>0.75281577888035101</v>
      </c>
      <c r="H483">
        <v>2E+20</v>
      </c>
      <c r="I483">
        <v>0.428617818086515</v>
      </c>
      <c r="J483">
        <v>1.0665882435860801</v>
      </c>
      <c r="K483">
        <v>26</v>
      </c>
      <c r="L483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30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0.74725125329628284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0.69500572513110004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0.82348832138033201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0.41711618986306598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1.0828879284455699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3" s="5">
        <f>IF((DiscreteStatsTable[[#This Row],[RepsRequested]]&gt;1),DiscreteStatsTable[[#This Row],[HalfWidth]],DiscreteStatsTable[[#This Row],[BatchMeansHalfWidth]])</f>
        <v>1.2271143454426573E-2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30</v>
      </c>
      <c r="Y483" s="5">
        <f>IF(DiscreteStatsTable[[#This Row],[RepsRequested]]=DiscreteStatsTable[[#This Row],[RepsWithStatObserved]],1,0)</f>
        <v>1</v>
      </c>
    </row>
    <row r="484" spans="1:25" x14ac:dyDescent="0.25">
      <c r="A484" t="s">
        <v>68</v>
      </c>
      <c r="B484" t="s">
        <v>70</v>
      </c>
      <c r="C484">
        <v>1</v>
      </c>
      <c r="D484" t="s">
        <v>91</v>
      </c>
      <c r="E484" t="s">
        <v>83</v>
      </c>
      <c r="F484" t="s">
        <v>81</v>
      </c>
      <c r="G484">
        <v>0.14294775340131299</v>
      </c>
      <c r="H484">
        <v>2E+20</v>
      </c>
      <c r="I484">
        <v>0</v>
      </c>
      <c r="J484">
        <v>1.02581914731135</v>
      </c>
      <c r="K484">
        <v>26</v>
      </c>
      <c r="L484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30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0.31585177554919308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0.16523680193017196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0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0.74479236195114795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0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3.63182180622454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4" s="5">
        <f>IF((DiscreteStatsTable[[#This Row],[RepsRequested]]&gt;1),DiscreteStatsTable[[#This Row],[HalfWidth]],DiscreteStatsTable[[#This Row],[BatchMeansHalfWidth]])</f>
        <v>6.1700435859008876E-2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30</v>
      </c>
      <c r="Y484" s="5">
        <f>IF(DiscreteStatsTable[[#This Row],[RepsRequested]]=DiscreteStatsTable[[#This Row],[RepsWithStatObserved]],1,0)</f>
        <v>1</v>
      </c>
    </row>
    <row r="485" spans="1:25" x14ac:dyDescent="0.25">
      <c r="A485" t="s">
        <v>68</v>
      </c>
      <c r="B485" t="s">
        <v>70</v>
      </c>
      <c r="C485">
        <v>2</v>
      </c>
      <c r="D485" t="s">
        <v>91</v>
      </c>
      <c r="E485" t="s">
        <v>80</v>
      </c>
      <c r="F485" t="s">
        <v>81</v>
      </c>
      <c r="G485">
        <v>0.97294036355139901</v>
      </c>
      <c r="H485">
        <v>2E+20</v>
      </c>
      <c r="I485">
        <v>0.48332694264408399</v>
      </c>
      <c r="J485">
        <v>1.9760591945369601</v>
      </c>
      <c r="K485">
        <v>41</v>
      </c>
      <c r="L485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30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1.0631030288454759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0.17862308807588656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0.73683357844020803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1.5108386331108501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0.41857551264863002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4.2424665512149602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5" s="5">
        <f>IF((DiscreteStatsTable[[#This Row],[RepsRequested]]&gt;1),DiscreteStatsTable[[#This Row],[HalfWidth]],DiscreteStatsTable[[#This Row],[BatchMeansHalfWidth]])</f>
        <v>6.6698957254218635E-2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30</v>
      </c>
      <c r="Y485" s="5">
        <f>IF(DiscreteStatsTable[[#This Row],[RepsRequested]]=DiscreteStatsTable[[#This Row],[RepsWithStatObserved]],1,0)</f>
        <v>1</v>
      </c>
    </row>
    <row r="486" spans="1:25" x14ac:dyDescent="0.25">
      <c r="A486" t="s">
        <v>68</v>
      </c>
      <c r="B486" t="s">
        <v>70</v>
      </c>
      <c r="C486">
        <v>2</v>
      </c>
      <c r="D486" t="s">
        <v>91</v>
      </c>
      <c r="E486" t="s">
        <v>82</v>
      </c>
      <c r="F486" t="s">
        <v>81</v>
      </c>
      <c r="G486">
        <v>0.73955114505032504</v>
      </c>
      <c r="H486">
        <v>2E+20</v>
      </c>
      <c r="I486">
        <v>0.468763276210098</v>
      </c>
      <c r="J486">
        <v>1.0439431461895501</v>
      </c>
      <c r="K486">
        <v>41</v>
      </c>
      <c r="L486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30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0.74725125329628284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0.69500572513110004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0.82348832138033201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0.41711618986306598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1.0828879284455699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6" s="5">
        <f>IF((DiscreteStatsTable[[#This Row],[RepsRequested]]&gt;1),DiscreteStatsTable[[#This Row],[HalfWidth]],DiscreteStatsTable[[#This Row],[BatchMeansHalfWidth]])</f>
        <v>1.2271143454426573E-2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30</v>
      </c>
      <c r="Y486" s="5">
        <f>IF(DiscreteStatsTable[[#This Row],[RepsRequested]]=DiscreteStatsTable[[#This Row],[RepsWithStatObserved]],1,0)</f>
        <v>1</v>
      </c>
    </row>
    <row r="487" spans="1:25" x14ac:dyDescent="0.25">
      <c r="A487" t="s">
        <v>68</v>
      </c>
      <c r="B487" t="s">
        <v>70</v>
      </c>
      <c r="C487">
        <v>2</v>
      </c>
      <c r="D487" t="s">
        <v>91</v>
      </c>
      <c r="E487" t="s">
        <v>83</v>
      </c>
      <c r="F487" t="s">
        <v>81</v>
      </c>
      <c r="G487">
        <v>0.233389218501074</v>
      </c>
      <c r="H487">
        <v>2E+20</v>
      </c>
      <c r="I487">
        <v>0</v>
      </c>
      <c r="J487">
        <v>1.22125137362355</v>
      </c>
      <c r="K487">
        <v>41</v>
      </c>
      <c r="L487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30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0.31585177554919308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0.16523680193017196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0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0.74479236195114795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3.63182180622454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7" s="5">
        <f>IF((DiscreteStatsTable[[#This Row],[RepsRequested]]&gt;1),DiscreteStatsTable[[#This Row],[HalfWidth]],DiscreteStatsTable[[#This Row],[BatchMeansHalfWidth]])</f>
        <v>6.1700435859008876E-2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30</v>
      </c>
      <c r="Y487" s="5">
        <f>IF(DiscreteStatsTable[[#This Row],[RepsRequested]]=DiscreteStatsTable[[#This Row],[RepsWithStatObserved]],1,0)</f>
        <v>1</v>
      </c>
    </row>
    <row r="488" spans="1:25" x14ac:dyDescent="0.25">
      <c r="A488" t="s">
        <v>68</v>
      </c>
      <c r="B488" t="s">
        <v>70</v>
      </c>
      <c r="C488">
        <v>3</v>
      </c>
      <c r="D488" t="s">
        <v>91</v>
      </c>
      <c r="E488" t="s">
        <v>80</v>
      </c>
      <c r="F488" t="s">
        <v>81</v>
      </c>
      <c r="G488">
        <v>1.4217069074945501</v>
      </c>
      <c r="H488">
        <v>2E+20</v>
      </c>
      <c r="I488">
        <v>0.44115502910023002</v>
      </c>
      <c r="J488">
        <v>3.4884455562185401</v>
      </c>
      <c r="K488">
        <v>47</v>
      </c>
      <c r="L488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30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1.0631030288454759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0.17862308807588656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0.73683357844020803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1.5108386331108501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0.41857551264863002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4.2424665512149602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8" s="5">
        <f>IF((DiscreteStatsTable[[#This Row],[RepsRequested]]&gt;1),DiscreteStatsTable[[#This Row],[HalfWidth]],DiscreteStatsTable[[#This Row],[BatchMeansHalfWidth]])</f>
        <v>6.6698957254218635E-2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30</v>
      </c>
      <c r="Y488" s="5">
        <f>IF(DiscreteStatsTable[[#This Row],[RepsRequested]]=DiscreteStatsTable[[#This Row],[RepsWithStatObserved]],1,0)</f>
        <v>1</v>
      </c>
    </row>
    <row r="489" spans="1:25" x14ac:dyDescent="0.25">
      <c r="A489" t="s">
        <v>68</v>
      </c>
      <c r="B489" t="s">
        <v>70</v>
      </c>
      <c r="C489">
        <v>3</v>
      </c>
      <c r="D489" t="s">
        <v>91</v>
      </c>
      <c r="E489" t="s">
        <v>82</v>
      </c>
      <c r="F489" t="s">
        <v>81</v>
      </c>
      <c r="G489">
        <v>0.78009542275253596</v>
      </c>
      <c r="H489">
        <v>2E+20</v>
      </c>
      <c r="I489">
        <v>0.44115502910023002</v>
      </c>
      <c r="J489">
        <v>1.07310198663306</v>
      </c>
      <c r="K489">
        <v>47</v>
      </c>
      <c r="L489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30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0.74725125329628284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0.69500572513110004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0.82348832138033201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0.41711618986306598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1.0828879284455699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89" s="5">
        <f>IF((DiscreteStatsTable[[#This Row],[RepsRequested]]&gt;1),DiscreteStatsTable[[#This Row],[HalfWidth]],DiscreteStatsTable[[#This Row],[BatchMeansHalfWidth]])</f>
        <v>1.2271143454426573E-2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30</v>
      </c>
      <c r="Y489" s="5">
        <f>IF(DiscreteStatsTable[[#This Row],[RepsRequested]]=DiscreteStatsTable[[#This Row],[RepsWithStatObserved]],1,0)</f>
        <v>1</v>
      </c>
    </row>
    <row r="490" spans="1:25" x14ac:dyDescent="0.25">
      <c r="A490" t="s">
        <v>68</v>
      </c>
      <c r="B490" t="s">
        <v>70</v>
      </c>
      <c r="C490">
        <v>3</v>
      </c>
      <c r="D490" t="s">
        <v>91</v>
      </c>
      <c r="E490" t="s">
        <v>83</v>
      </c>
      <c r="F490" t="s">
        <v>81</v>
      </c>
      <c r="G490">
        <v>0.64161148474201402</v>
      </c>
      <c r="H490">
        <v>2E+20</v>
      </c>
      <c r="I490">
        <v>0</v>
      </c>
      <c r="J490">
        <v>2.7921282585527498</v>
      </c>
      <c r="K490">
        <v>47</v>
      </c>
      <c r="L490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30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0.31585177554919308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0.16523680193017196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0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0.74479236195114795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0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3.63182180622454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0" s="5">
        <f>IF((DiscreteStatsTable[[#This Row],[RepsRequested]]&gt;1),DiscreteStatsTable[[#This Row],[HalfWidth]],DiscreteStatsTable[[#This Row],[BatchMeansHalfWidth]])</f>
        <v>6.1700435859008876E-2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30</v>
      </c>
      <c r="Y490" s="5">
        <f>IF(DiscreteStatsTable[[#This Row],[RepsRequested]]=DiscreteStatsTable[[#This Row],[RepsWithStatObserved]],1,0)</f>
        <v>1</v>
      </c>
    </row>
    <row r="491" spans="1:25" x14ac:dyDescent="0.25">
      <c r="A491" t="s">
        <v>68</v>
      </c>
      <c r="B491" t="s">
        <v>70</v>
      </c>
      <c r="C491">
        <v>4</v>
      </c>
      <c r="D491" t="s">
        <v>91</v>
      </c>
      <c r="E491" t="s">
        <v>80</v>
      </c>
      <c r="F491" t="s">
        <v>81</v>
      </c>
      <c r="G491">
        <v>0.84925429463000901</v>
      </c>
      <c r="H491">
        <v>2E+20</v>
      </c>
      <c r="I491">
        <v>0.41857551264863002</v>
      </c>
      <c r="J491">
        <v>2.1041180235358601</v>
      </c>
      <c r="K491">
        <v>33</v>
      </c>
      <c r="L491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30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1.0631030288454759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0.17862308807588656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0.73683357844020803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1.5108386331108501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0.41857551264863002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4.2424665512149602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1" s="5">
        <f>IF((DiscreteStatsTable[[#This Row],[RepsRequested]]&gt;1),DiscreteStatsTable[[#This Row],[HalfWidth]],DiscreteStatsTable[[#This Row],[BatchMeansHalfWidth]])</f>
        <v>6.6698957254218635E-2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30</v>
      </c>
      <c r="Y491" s="5">
        <f>IF(DiscreteStatsTable[[#This Row],[RepsRequested]]=DiscreteStatsTable[[#This Row],[RepsWithStatObserved]],1,0)</f>
        <v>1</v>
      </c>
    </row>
    <row r="492" spans="1:25" x14ac:dyDescent="0.25">
      <c r="A492" t="s">
        <v>68</v>
      </c>
      <c r="B492" t="s">
        <v>70</v>
      </c>
      <c r="C492">
        <v>4</v>
      </c>
      <c r="D492" t="s">
        <v>91</v>
      </c>
      <c r="E492" t="s">
        <v>82</v>
      </c>
      <c r="F492" t="s">
        <v>81</v>
      </c>
      <c r="G492">
        <v>0.69500572513110004</v>
      </c>
      <c r="H492">
        <v>2E+20</v>
      </c>
      <c r="I492">
        <v>0.41857551264863002</v>
      </c>
      <c r="J492">
        <v>1.07901258109222</v>
      </c>
      <c r="K492">
        <v>33</v>
      </c>
      <c r="L492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30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0.74725125329628284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0.69500572513110004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0.82348832138033201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0.41711618986306598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1.0828879284455699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2" s="5">
        <f>IF((DiscreteStatsTable[[#This Row],[RepsRequested]]&gt;1),DiscreteStatsTable[[#This Row],[HalfWidth]],DiscreteStatsTable[[#This Row],[BatchMeansHalfWidth]])</f>
        <v>1.2271143454426573E-2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30</v>
      </c>
      <c r="Y492" s="5">
        <f>IF(DiscreteStatsTable[[#This Row],[RepsRequested]]=DiscreteStatsTable[[#This Row],[RepsWithStatObserved]],1,0)</f>
        <v>1</v>
      </c>
    </row>
    <row r="493" spans="1:25" x14ac:dyDescent="0.25">
      <c r="A493" t="s">
        <v>68</v>
      </c>
      <c r="B493" t="s">
        <v>70</v>
      </c>
      <c r="C493">
        <v>4</v>
      </c>
      <c r="D493" t="s">
        <v>91</v>
      </c>
      <c r="E493" t="s">
        <v>83</v>
      </c>
      <c r="F493" t="s">
        <v>81</v>
      </c>
      <c r="G493">
        <v>0.154248569498909</v>
      </c>
      <c r="H493">
        <v>2E+20</v>
      </c>
      <c r="I493">
        <v>0</v>
      </c>
      <c r="J493">
        <v>1.2183593939921</v>
      </c>
      <c r="K493">
        <v>33</v>
      </c>
      <c r="L493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30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0.31585177554919308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0.16523680193017196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0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0.74479236195114795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3.63182180622454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3" s="5">
        <f>IF((DiscreteStatsTable[[#This Row],[RepsRequested]]&gt;1),DiscreteStatsTable[[#This Row],[HalfWidth]],DiscreteStatsTable[[#This Row],[BatchMeansHalfWidth]])</f>
        <v>6.1700435859008876E-2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30</v>
      </c>
      <c r="Y493" s="5">
        <f>IF(DiscreteStatsTable[[#This Row],[RepsRequested]]=DiscreteStatsTable[[#This Row],[RepsWithStatObserved]],1,0)</f>
        <v>1</v>
      </c>
    </row>
    <row r="494" spans="1:25" x14ac:dyDescent="0.25">
      <c r="A494" t="s">
        <v>68</v>
      </c>
      <c r="B494" t="s">
        <v>70</v>
      </c>
      <c r="C494">
        <v>5</v>
      </c>
      <c r="D494" t="s">
        <v>91</v>
      </c>
      <c r="E494" t="s">
        <v>80</v>
      </c>
      <c r="F494" t="s">
        <v>81</v>
      </c>
      <c r="G494">
        <v>1.1421125344971099</v>
      </c>
      <c r="H494">
        <v>2E+20</v>
      </c>
      <c r="I494">
        <v>0.42686316932809398</v>
      </c>
      <c r="J494">
        <v>3.2899173740513401</v>
      </c>
      <c r="K494">
        <v>46</v>
      </c>
      <c r="L494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30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1.0631030288454759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0.17862308807588656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0.73683357844020803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1.5108386331108501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0.41857551264863002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4.2424665512149602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4" s="5">
        <f>IF((DiscreteStatsTable[[#This Row],[RepsRequested]]&gt;1),DiscreteStatsTable[[#This Row],[HalfWidth]],DiscreteStatsTable[[#This Row],[BatchMeansHalfWidth]])</f>
        <v>6.6698957254218635E-2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30</v>
      </c>
      <c r="Y494" s="5">
        <f>IF(DiscreteStatsTable[[#This Row],[RepsRequested]]=DiscreteStatsTable[[#This Row],[RepsWithStatObserved]],1,0)</f>
        <v>1</v>
      </c>
    </row>
    <row r="495" spans="1:25" x14ac:dyDescent="0.25">
      <c r="A495" t="s">
        <v>68</v>
      </c>
      <c r="B495" t="s">
        <v>70</v>
      </c>
      <c r="C495">
        <v>5</v>
      </c>
      <c r="D495" t="s">
        <v>91</v>
      </c>
      <c r="E495" t="s">
        <v>82</v>
      </c>
      <c r="F495" t="s">
        <v>81</v>
      </c>
      <c r="G495">
        <v>0.70431775109834605</v>
      </c>
      <c r="H495">
        <v>2E+20</v>
      </c>
      <c r="I495">
        <v>0.42686316932809398</v>
      </c>
      <c r="J495">
        <v>1.0748637437113899</v>
      </c>
      <c r="K495">
        <v>46</v>
      </c>
      <c r="L495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30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0.74725125329628284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0.69500572513110004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0.82348832138033201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0.41711618986306598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1.0828879284455699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5" s="5">
        <f>IF((DiscreteStatsTable[[#This Row],[RepsRequested]]&gt;1),DiscreteStatsTable[[#This Row],[HalfWidth]],DiscreteStatsTable[[#This Row],[BatchMeansHalfWidth]])</f>
        <v>1.2271143454426573E-2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30</v>
      </c>
      <c r="Y495" s="5">
        <f>IF(DiscreteStatsTable[[#This Row],[RepsRequested]]=DiscreteStatsTable[[#This Row],[RepsWithStatObserved]],1,0)</f>
        <v>1</v>
      </c>
    </row>
    <row r="496" spans="1:25" x14ac:dyDescent="0.25">
      <c r="A496" t="s">
        <v>68</v>
      </c>
      <c r="B496" t="s">
        <v>70</v>
      </c>
      <c r="C496">
        <v>5</v>
      </c>
      <c r="D496" t="s">
        <v>91</v>
      </c>
      <c r="E496" t="s">
        <v>83</v>
      </c>
      <c r="F496" t="s">
        <v>81</v>
      </c>
      <c r="G496">
        <v>0.43779478339876099</v>
      </c>
      <c r="H496">
        <v>2E+20</v>
      </c>
      <c r="I496">
        <v>0</v>
      </c>
      <c r="J496">
        <v>2.8278524290315099</v>
      </c>
      <c r="K496">
        <v>46</v>
      </c>
      <c r="L496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30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0.31585177554919308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0.16523680193017196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0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0.74479236195114795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0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3.63182180622454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6" s="5">
        <f>IF((DiscreteStatsTable[[#This Row],[RepsRequested]]&gt;1),DiscreteStatsTable[[#This Row],[HalfWidth]],DiscreteStatsTable[[#This Row],[BatchMeansHalfWidth]])</f>
        <v>6.1700435859008876E-2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30</v>
      </c>
      <c r="Y496" s="5">
        <f>IF(DiscreteStatsTable[[#This Row],[RepsRequested]]=DiscreteStatsTable[[#This Row],[RepsWithStatObserved]],1,0)</f>
        <v>1</v>
      </c>
    </row>
    <row r="497" spans="1:25" x14ac:dyDescent="0.25">
      <c r="A497" t="s">
        <v>68</v>
      </c>
      <c r="B497" t="s">
        <v>70</v>
      </c>
      <c r="C497">
        <v>6</v>
      </c>
      <c r="D497" t="s">
        <v>91</v>
      </c>
      <c r="E497" t="s">
        <v>80</v>
      </c>
      <c r="F497" t="s">
        <v>81</v>
      </c>
      <c r="G497">
        <v>0.90276257554517503</v>
      </c>
      <c r="H497">
        <v>2E+20</v>
      </c>
      <c r="I497">
        <v>0.44410974293379202</v>
      </c>
      <c r="J497">
        <v>3.0854967685188499</v>
      </c>
      <c r="K497">
        <v>39</v>
      </c>
      <c r="L497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30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1.0631030288454759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0.17862308807588656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0.73683357844020803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1.5108386331108501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0.41857551264863002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4.2424665512149602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7" s="5">
        <f>IF((DiscreteStatsTable[[#This Row],[RepsRequested]]&gt;1),DiscreteStatsTable[[#This Row],[HalfWidth]],DiscreteStatsTable[[#This Row],[BatchMeansHalfWidth]])</f>
        <v>6.6698957254218635E-2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30</v>
      </c>
      <c r="Y497" s="5">
        <f>IF(DiscreteStatsTable[[#This Row],[RepsRequested]]=DiscreteStatsTable[[#This Row],[RepsWithStatObserved]],1,0)</f>
        <v>1</v>
      </c>
    </row>
    <row r="498" spans="1:25" x14ac:dyDescent="0.25">
      <c r="A498" t="s">
        <v>68</v>
      </c>
      <c r="B498" t="s">
        <v>70</v>
      </c>
      <c r="C498">
        <v>6</v>
      </c>
      <c r="D498" t="s">
        <v>91</v>
      </c>
      <c r="E498" t="s">
        <v>82</v>
      </c>
      <c r="F498" t="s">
        <v>81</v>
      </c>
      <c r="G498">
        <v>0.70367036906735903</v>
      </c>
      <c r="H498">
        <v>2E+20</v>
      </c>
      <c r="I498">
        <v>0.44410974293379202</v>
      </c>
      <c r="J498">
        <v>1.073416574686</v>
      </c>
      <c r="K498">
        <v>39</v>
      </c>
      <c r="L498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30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0.74725125329628284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0.69500572513110004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0.82348832138033201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0.41711618986306598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1.0828879284455699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8" s="5">
        <f>IF((DiscreteStatsTable[[#This Row],[RepsRequested]]&gt;1),DiscreteStatsTable[[#This Row],[HalfWidth]],DiscreteStatsTable[[#This Row],[BatchMeansHalfWidth]])</f>
        <v>1.2271143454426573E-2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30</v>
      </c>
      <c r="Y498" s="5">
        <f>IF(DiscreteStatsTable[[#This Row],[RepsRequested]]=DiscreteStatsTable[[#This Row],[RepsWithStatObserved]],1,0)</f>
        <v>1</v>
      </c>
    </row>
    <row r="499" spans="1:25" x14ac:dyDescent="0.25">
      <c r="A499" t="s">
        <v>68</v>
      </c>
      <c r="B499" t="s">
        <v>70</v>
      </c>
      <c r="C499">
        <v>6</v>
      </c>
      <c r="D499" t="s">
        <v>91</v>
      </c>
      <c r="E499" t="s">
        <v>83</v>
      </c>
      <c r="F499" t="s">
        <v>81</v>
      </c>
      <c r="G499">
        <v>0.199092206477816</v>
      </c>
      <c r="H499">
        <v>2E+20</v>
      </c>
      <c r="I499">
        <v>0</v>
      </c>
      <c r="J499">
        <v>2.6193087530210999</v>
      </c>
      <c r="K499">
        <v>39</v>
      </c>
      <c r="L499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30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0.31585177554919308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0.16523680193017196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0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0.74479236195114795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3.63182180622454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499" s="5">
        <f>IF((DiscreteStatsTable[[#This Row],[RepsRequested]]&gt;1),DiscreteStatsTable[[#This Row],[HalfWidth]],DiscreteStatsTable[[#This Row],[BatchMeansHalfWidth]])</f>
        <v>6.1700435859008876E-2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30</v>
      </c>
      <c r="Y499" s="5">
        <f>IF(DiscreteStatsTable[[#This Row],[RepsRequested]]=DiscreteStatsTable[[#This Row],[RepsWithStatObserved]],1,0)</f>
        <v>1</v>
      </c>
    </row>
    <row r="500" spans="1:25" x14ac:dyDescent="0.25">
      <c r="A500" t="s">
        <v>68</v>
      </c>
      <c r="B500" t="s">
        <v>70</v>
      </c>
      <c r="C500">
        <v>7</v>
      </c>
      <c r="D500" t="s">
        <v>91</v>
      </c>
      <c r="E500" t="s">
        <v>80</v>
      </c>
      <c r="F500" t="s">
        <v>81</v>
      </c>
      <c r="G500">
        <v>0.89854163326315695</v>
      </c>
      <c r="H500">
        <v>2E+20</v>
      </c>
      <c r="I500">
        <v>0.478963204897013</v>
      </c>
      <c r="J500">
        <v>2.2946588577276699</v>
      </c>
      <c r="K500">
        <v>38</v>
      </c>
      <c r="L500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30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1.0631030288454759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0.73683357844020803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1.5108386331108501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0.41857551264863002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4.2424665512149602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0" s="5">
        <f>IF((DiscreteStatsTable[[#This Row],[RepsRequested]]&gt;1),DiscreteStatsTable[[#This Row],[HalfWidth]],DiscreteStatsTable[[#This Row],[BatchMeansHalfWidth]])</f>
        <v>6.6698957254218635E-2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30</v>
      </c>
      <c r="Y500" s="5">
        <f>IF(DiscreteStatsTable[[#This Row],[RepsRequested]]=DiscreteStatsTable[[#This Row],[RepsWithStatObserved]],1,0)</f>
        <v>1</v>
      </c>
    </row>
    <row r="501" spans="1:25" x14ac:dyDescent="0.25">
      <c r="A501" t="s">
        <v>68</v>
      </c>
      <c r="B501" t="s">
        <v>70</v>
      </c>
      <c r="C501">
        <v>7</v>
      </c>
      <c r="D501" t="s">
        <v>91</v>
      </c>
      <c r="E501" t="s">
        <v>82</v>
      </c>
      <c r="F501" t="s">
        <v>81</v>
      </c>
      <c r="G501">
        <v>0.77273144369879598</v>
      </c>
      <c r="H501">
        <v>2E+20</v>
      </c>
      <c r="I501">
        <v>0.478963204897013</v>
      </c>
      <c r="J501">
        <v>1.07645708847858</v>
      </c>
      <c r="K501">
        <v>38</v>
      </c>
      <c r="L501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30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0.74725125329628284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0.69500572513110004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0.82348832138033201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0.41711618986306598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1.0828879284455699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1" s="5">
        <f>IF((DiscreteStatsTable[[#This Row],[RepsRequested]]&gt;1),DiscreteStatsTable[[#This Row],[HalfWidth]],DiscreteStatsTable[[#This Row],[BatchMeansHalfWidth]])</f>
        <v>1.2271143454426573E-2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30</v>
      </c>
      <c r="Y501" s="5">
        <f>IF(DiscreteStatsTable[[#This Row],[RepsRequested]]=DiscreteStatsTable[[#This Row],[RepsWithStatObserved]],1,0)</f>
        <v>1</v>
      </c>
    </row>
    <row r="502" spans="1:25" x14ac:dyDescent="0.25">
      <c r="A502" t="s">
        <v>68</v>
      </c>
      <c r="B502" t="s">
        <v>70</v>
      </c>
      <c r="C502">
        <v>7</v>
      </c>
      <c r="D502" t="s">
        <v>91</v>
      </c>
      <c r="E502" t="s">
        <v>83</v>
      </c>
      <c r="F502" t="s">
        <v>81</v>
      </c>
      <c r="G502">
        <v>0.12581018956436099</v>
      </c>
      <c r="H502">
        <v>2E+20</v>
      </c>
      <c r="I502">
        <v>0</v>
      </c>
      <c r="J502">
        <v>1.6778654099730499</v>
      </c>
      <c r="K502">
        <v>38</v>
      </c>
      <c r="L502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30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0.31585177554919308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0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0.74479236195114795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0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3.63182180622454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2" s="5">
        <f>IF((DiscreteStatsTable[[#This Row],[RepsRequested]]&gt;1),DiscreteStatsTable[[#This Row],[HalfWidth]],DiscreteStatsTable[[#This Row],[BatchMeansHalfWidth]])</f>
        <v>6.1700435859008876E-2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30</v>
      </c>
      <c r="Y502" s="5">
        <f>IF(DiscreteStatsTable[[#This Row],[RepsRequested]]=DiscreteStatsTable[[#This Row],[RepsWithStatObserved]],1,0)</f>
        <v>1</v>
      </c>
    </row>
    <row r="503" spans="1:25" x14ac:dyDescent="0.25">
      <c r="A503" t="s">
        <v>68</v>
      </c>
      <c r="B503" t="s">
        <v>70</v>
      </c>
      <c r="C503">
        <v>8</v>
      </c>
      <c r="D503" t="s">
        <v>91</v>
      </c>
      <c r="E503" t="s">
        <v>80</v>
      </c>
      <c r="F503" t="s">
        <v>81</v>
      </c>
      <c r="G503">
        <v>1.30244162909924</v>
      </c>
      <c r="H503">
        <v>2E+20</v>
      </c>
      <c r="I503">
        <v>0.45245001018327002</v>
      </c>
      <c r="J503">
        <v>3.0653485340278599</v>
      </c>
      <c r="K503">
        <v>36</v>
      </c>
      <c r="L503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30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1.0631030288454759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0.73683357844020803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1.5108386331108501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0.41857551264863002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4.2424665512149602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3" s="5">
        <f>IF((DiscreteStatsTable[[#This Row],[RepsRequested]]&gt;1),DiscreteStatsTable[[#This Row],[HalfWidth]],DiscreteStatsTable[[#This Row],[BatchMeansHalfWidth]])</f>
        <v>6.6698957254218635E-2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30</v>
      </c>
      <c r="Y503" s="5">
        <f>IF(DiscreteStatsTable[[#This Row],[RepsRequested]]=DiscreteStatsTable[[#This Row],[RepsWithStatObserved]],1,0)</f>
        <v>1</v>
      </c>
    </row>
    <row r="504" spans="1:25" x14ac:dyDescent="0.25">
      <c r="A504" t="s">
        <v>68</v>
      </c>
      <c r="B504" t="s">
        <v>70</v>
      </c>
      <c r="C504">
        <v>8</v>
      </c>
      <c r="D504" t="s">
        <v>91</v>
      </c>
      <c r="E504" t="s">
        <v>82</v>
      </c>
      <c r="F504" t="s">
        <v>81</v>
      </c>
      <c r="G504">
        <v>0.80880755359712897</v>
      </c>
      <c r="H504">
        <v>2E+20</v>
      </c>
      <c r="I504">
        <v>0.43035953651690301</v>
      </c>
      <c r="J504">
        <v>1.0828879284455699</v>
      </c>
      <c r="K504">
        <v>36</v>
      </c>
      <c r="L504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30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0.74725125329628284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0.69500572513110004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0.82348832138033201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0.41711618986306598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1.0828879284455699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4" s="5">
        <f>IF((DiscreteStatsTable[[#This Row],[RepsRequested]]&gt;1),DiscreteStatsTable[[#This Row],[HalfWidth]],DiscreteStatsTable[[#This Row],[BatchMeansHalfWidth]])</f>
        <v>1.2271143454426573E-2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30</v>
      </c>
      <c r="Y504" s="5">
        <f>IF(DiscreteStatsTable[[#This Row],[RepsRequested]]=DiscreteStatsTable[[#This Row],[RepsWithStatObserved]],1,0)</f>
        <v>1</v>
      </c>
    </row>
    <row r="505" spans="1:25" x14ac:dyDescent="0.25">
      <c r="A505" t="s">
        <v>68</v>
      </c>
      <c r="B505" t="s">
        <v>70</v>
      </c>
      <c r="C505">
        <v>8</v>
      </c>
      <c r="D505" t="s">
        <v>91</v>
      </c>
      <c r="E505" t="s">
        <v>83</v>
      </c>
      <c r="F505" t="s">
        <v>81</v>
      </c>
      <c r="G505">
        <v>0.49363407550211003</v>
      </c>
      <c r="H505">
        <v>2E+20</v>
      </c>
      <c r="I505">
        <v>0</v>
      </c>
      <c r="J505">
        <v>2.1156431861267002</v>
      </c>
      <c r="K505">
        <v>36</v>
      </c>
      <c r="L505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30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0.31585177554919308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0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0.74479236195114795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3.63182180622454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5" s="5">
        <f>IF((DiscreteStatsTable[[#This Row],[RepsRequested]]&gt;1),DiscreteStatsTable[[#This Row],[HalfWidth]],DiscreteStatsTable[[#This Row],[BatchMeansHalfWidth]])</f>
        <v>6.1700435859008876E-2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30</v>
      </c>
      <c r="Y505" s="5">
        <f>IF(DiscreteStatsTable[[#This Row],[RepsRequested]]=DiscreteStatsTable[[#This Row],[RepsWithStatObserved]],1,0)</f>
        <v>1</v>
      </c>
    </row>
    <row r="506" spans="1:25" x14ac:dyDescent="0.25">
      <c r="A506" t="s">
        <v>68</v>
      </c>
      <c r="B506" t="s">
        <v>70</v>
      </c>
      <c r="C506">
        <v>9</v>
      </c>
      <c r="D506" t="s">
        <v>91</v>
      </c>
      <c r="E506" t="s">
        <v>80</v>
      </c>
      <c r="F506" t="s">
        <v>81</v>
      </c>
      <c r="G506">
        <v>0.95596517090875499</v>
      </c>
      <c r="H506">
        <v>2E+20</v>
      </c>
      <c r="I506">
        <v>0.43154339068008302</v>
      </c>
      <c r="J506">
        <v>2.0879024815602101</v>
      </c>
      <c r="K506">
        <v>35</v>
      </c>
      <c r="L506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30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1.0631030288454759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0.73683357844020803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1.5108386331108501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0.41857551264863002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4.2424665512149602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6" s="5">
        <f>IF((DiscreteStatsTable[[#This Row],[RepsRequested]]&gt;1),DiscreteStatsTable[[#This Row],[HalfWidth]],DiscreteStatsTable[[#This Row],[BatchMeansHalfWidth]])</f>
        <v>6.6698957254218635E-2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30</v>
      </c>
      <c r="Y506" s="5">
        <f>IF(DiscreteStatsTable[[#This Row],[RepsRequested]]=DiscreteStatsTable[[#This Row],[RepsWithStatObserved]],1,0)</f>
        <v>1</v>
      </c>
    </row>
    <row r="507" spans="1:25" x14ac:dyDescent="0.25">
      <c r="A507" t="s">
        <v>68</v>
      </c>
      <c r="B507" t="s">
        <v>70</v>
      </c>
      <c r="C507">
        <v>9</v>
      </c>
      <c r="D507" t="s">
        <v>91</v>
      </c>
      <c r="E507" t="s">
        <v>82</v>
      </c>
      <c r="F507" t="s">
        <v>81</v>
      </c>
      <c r="G507">
        <v>0.71998879304688801</v>
      </c>
      <c r="H507">
        <v>2E+20</v>
      </c>
      <c r="I507">
        <v>0.43154339068008302</v>
      </c>
      <c r="J507">
        <v>1.0725137089391701</v>
      </c>
      <c r="K507">
        <v>35</v>
      </c>
      <c r="L507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30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0.74725125329628284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0.69500572513110004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0.82348832138033201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0.41711618986306598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1.0828879284455699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7" s="5">
        <f>IF((DiscreteStatsTable[[#This Row],[RepsRequested]]&gt;1),DiscreteStatsTable[[#This Row],[HalfWidth]],DiscreteStatsTable[[#This Row],[BatchMeansHalfWidth]])</f>
        <v>1.2271143454426573E-2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30</v>
      </c>
      <c r="Y507" s="5">
        <f>IF(DiscreteStatsTable[[#This Row],[RepsRequested]]=DiscreteStatsTable[[#This Row],[RepsWithStatObserved]],1,0)</f>
        <v>1</v>
      </c>
    </row>
    <row r="508" spans="1:25" x14ac:dyDescent="0.25">
      <c r="A508" t="s">
        <v>68</v>
      </c>
      <c r="B508" t="s">
        <v>70</v>
      </c>
      <c r="C508">
        <v>9</v>
      </c>
      <c r="D508" t="s">
        <v>91</v>
      </c>
      <c r="E508" t="s">
        <v>83</v>
      </c>
      <c r="F508" t="s">
        <v>81</v>
      </c>
      <c r="G508">
        <v>0.23597637786186701</v>
      </c>
      <c r="H508">
        <v>2E+20</v>
      </c>
      <c r="I508">
        <v>0</v>
      </c>
      <c r="J508">
        <v>1.1632963437111199</v>
      </c>
      <c r="K508">
        <v>35</v>
      </c>
      <c r="L508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30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0.31585177554919308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0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0.74479236195114795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0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3.63182180622454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8" s="5">
        <f>IF((DiscreteStatsTable[[#This Row],[RepsRequested]]&gt;1),DiscreteStatsTable[[#This Row],[HalfWidth]],DiscreteStatsTable[[#This Row],[BatchMeansHalfWidth]])</f>
        <v>6.1700435859008876E-2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30</v>
      </c>
      <c r="Y508" s="5">
        <f>IF(DiscreteStatsTable[[#This Row],[RepsRequested]]=DiscreteStatsTable[[#This Row],[RepsWithStatObserved]],1,0)</f>
        <v>1</v>
      </c>
    </row>
    <row r="509" spans="1:25" x14ac:dyDescent="0.25">
      <c r="A509" t="s">
        <v>68</v>
      </c>
      <c r="B509" t="s">
        <v>70</v>
      </c>
      <c r="C509">
        <v>10</v>
      </c>
      <c r="D509" t="s">
        <v>91</v>
      </c>
      <c r="E509" t="s">
        <v>80</v>
      </c>
      <c r="F509" t="s">
        <v>81</v>
      </c>
      <c r="G509">
        <v>0.99074999173684697</v>
      </c>
      <c r="H509">
        <v>2E+20</v>
      </c>
      <c r="I509">
        <v>0.42065101803731902</v>
      </c>
      <c r="J509">
        <v>2.35502882777971</v>
      </c>
      <c r="K509">
        <v>41</v>
      </c>
      <c r="L509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30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1.0631030288454759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0.73683357844020803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1.5108386331108501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0.41857551264863002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4.2424665512149602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09" s="5">
        <f>IF((DiscreteStatsTable[[#This Row],[RepsRequested]]&gt;1),DiscreteStatsTable[[#This Row],[HalfWidth]],DiscreteStatsTable[[#This Row],[BatchMeansHalfWidth]])</f>
        <v>6.6698957254218635E-2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30</v>
      </c>
      <c r="Y509" s="5">
        <f>IF(DiscreteStatsTable[[#This Row],[RepsRequested]]=DiscreteStatsTable[[#This Row],[RepsWithStatObserved]],1,0)</f>
        <v>1</v>
      </c>
    </row>
    <row r="510" spans="1:25" x14ac:dyDescent="0.25">
      <c r="A510" t="s">
        <v>68</v>
      </c>
      <c r="B510" t="s">
        <v>70</v>
      </c>
      <c r="C510">
        <v>10</v>
      </c>
      <c r="D510" t="s">
        <v>91</v>
      </c>
      <c r="E510" t="s">
        <v>82</v>
      </c>
      <c r="F510" t="s">
        <v>81</v>
      </c>
      <c r="G510">
        <v>0.74823761747607398</v>
      </c>
      <c r="H510">
        <v>2E+20</v>
      </c>
      <c r="I510">
        <v>0.42065101803731902</v>
      </c>
      <c r="J510">
        <v>1.0804635672985801</v>
      </c>
      <c r="K510">
        <v>41</v>
      </c>
      <c r="L510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30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0.74725125329628284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0.69500572513110004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0.82348832138033201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0.41711618986306598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1.0828879284455699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0" s="5">
        <f>IF((DiscreteStatsTable[[#This Row],[RepsRequested]]&gt;1),DiscreteStatsTable[[#This Row],[HalfWidth]],DiscreteStatsTable[[#This Row],[BatchMeansHalfWidth]])</f>
        <v>1.2271143454426573E-2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30</v>
      </c>
      <c r="Y510" s="5">
        <f>IF(DiscreteStatsTable[[#This Row],[RepsRequested]]=DiscreteStatsTable[[#This Row],[RepsWithStatObserved]],1,0)</f>
        <v>1</v>
      </c>
    </row>
    <row r="511" spans="1:25" x14ac:dyDescent="0.25">
      <c r="A511" t="s">
        <v>68</v>
      </c>
      <c r="B511" t="s">
        <v>70</v>
      </c>
      <c r="C511">
        <v>10</v>
      </c>
      <c r="D511" t="s">
        <v>91</v>
      </c>
      <c r="E511" t="s">
        <v>83</v>
      </c>
      <c r="F511" t="s">
        <v>81</v>
      </c>
      <c r="G511">
        <v>0.24251237426077299</v>
      </c>
      <c r="H511">
        <v>2E+20</v>
      </c>
      <c r="I511">
        <v>0</v>
      </c>
      <c r="J511">
        <v>1.3292309251790799</v>
      </c>
      <c r="K511">
        <v>41</v>
      </c>
      <c r="L511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30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0.31585177554919308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0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0.74479236195114795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3.63182180622454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1" s="5">
        <f>IF((DiscreteStatsTable[[#This Row],[RepsRequested]]&gt;1),DiscreteStatsTable[[#This Row],[HalfWidth]],DiscreteStatsTable[[#This Row],[BatchMeansHalfWidth]])</f>
        <v>6.1700435859008876E-2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30</v>
      </c>
      <c r="Y511" s="5">
        <f>IF(DiscreteStatsTable[[#This Row],[RepsRequested]]=DiscreteStatsTable[[#This Row],[RepsWithStatObserved]],1,0)</f>
        <v>1</v>
      </c>
    </row>
    <row r="512" spans="1:25" x14ac:dyDescent="0.25">
      <c r="A512" t="s">
        <v>68</v>
      </c>
      <c r="B512" t="s">
        <v>70</v>
      </c>
      <c r="C512">
        <v>11</v>
      </c>
      <c r="D512" t="s">
        <v>91</v>
      </c>
      <c r="E512" t="s">
        <v>80</v>
      </c>
      <c r="F512" t="s">
        <v>81</v>
      </c>
      <c r="G512">
        <v>1.04435103292901</v>
      </c>
      <c r="H512">
        <v>2E+20</v>
      </c>
      <c r="I512">
        <v>0.44402248762796898</v>
      </c>
      <c r="J512">
        <v>2.8869538368983299</v>
      </c>
      <c r="K512">
        <v>44</v>
      </c>
      <c r="L512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30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1.0631030288454759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0.73683357844020803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1.5108386331108501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0.41857551264863002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4.2424665512149602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2" s="5">
        <f>IF((DiscreteStatsTable[[#This Row],[RepsRequested]]&gt;1),DiscreteStatsTable[[#This Row],[HalfWidth]],DiscreteStatsTable[[#This Row],[BatchMeansHalfWidth]])</f>
        <v>6.6698957254218635E-2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30</v>
      </c>
      <c r="Y512" s="5">
        <f>IF(DiscreteStatsTable[[#This Row],[RepsRequested]]=DiscreteStatsTable[[#This Row],[RepsWithStatObserved]],1,0)</f>
        <v>1</v>
      </c>
    </row>
    <row r="513" spans="1:25" x14ac:dyDescent="0.25">
      <c r="A513" t="s">
        <v>68</v>
      </c>
      <c r="B513" t="s">
        <v>70</v>
      </c>
      <c r="C513">
        <v>11</v>
      </c>
      <c r="D513" t="s">
        <v>91</v>
      </c>
      <c r="E513" t="s">
        <v>82</v>
      </c>
      <c r="F513" t="s">
        <v>81</v>
      </c>
      <c r="G513">
        <v>0.72494611947122201</v>
      </c>
      <c r="H513">
        <v>2E+20</v>
      </c>
      <c r="I513">
        <v>0.44402248762796898</v>
      </c>
      <c r="J513">
        <v>1.03711728930338</v>
      </c>
      <c r="K513">
        <v>44</v>
      </c>
      <c r="L513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30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0.74725125329628284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0.69500572513110004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0.82348832138033201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0.41711618986306598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1.0828879284455699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3" s="5">
        <f>IF((DiscreteStatsTable[[#This Row],[RepsRequested]]&gt;1),DiscreteStatsTable[[#This Row],[HalfWidth]],DiscreteStatsTable[[#This Row],[BatchMeansHalfWidth]])</f>
        <v>1.2271143454426573E-2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30</v>
      </c>
      <c r="Y513" s="5">
        <f>IF(DiscreteStatsTable[[#This Row],[RepsRequested]]=DiscreteStatsTable[[#This Row],[RepsWithStatObserved]],1,0)</f>
        <v>1</v>
      </c>
    </row>
    <row r="514" spans="1:25" x14ac:dyDescent="0.25">
      <c r="A514" t="s">
        <v>68</v>
      </c>
      <c r="B514" t="s">
        <v>70</v>
      </c>
      <c r="C514">
        <v>11</v>
      </c>
      <c r="D514" t="s">
        <v>91</v>
      </c>
      <c r="E514" t="s">
        <v>83</v>
      </c>
      <c r="F514" t="s">
        <v>81</v>
      </c>
      <c r="G514">
        <v>0.31940491345778599</v>
      </c>
      <c r="H514">
        <v>2E+20</v>
      </c>
      <c r="I514">
        <v>0</v>
      </c>
      <c r="J514">
        <v>2.3620403858948902</v>
      </c>
      <c r="K514">
        <v>44</v>
      </c>
      <c r="L514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30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0.31585177554919308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0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0.74479236195114795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0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3.63182180622454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4" s="5">
        <f>IF((DiscreteStatsTable[[#This Row],[RepsRequested]]&gt;1),DiscreteStatsTable[[#This Row],[HalfWidth]],DiscreteStatsTable[[#This Row],[BatchMeansHalfWidth]])</f>
        <v>6.1700435859008876E-2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30</v>
      </c>
      <c r="Y514" s="5">
        <f>IF(DiscreteStatsTable[[#This Row],[RepsRequested]]=DiscreteStatsTable[[#This Row],[RepsWithStatObserved]],1,0)</f>
        <v>1</v>
      </c>
    </row>
    <row r="515" spans="1:25" x14ac:dyDescent="0.25">
      <c r="A515" t="s">
        <v>68</v>
      </c>
      <c r="B515" t="s">
        <v>70</v>
      </c>
      <c r="C515">
        <v>12</v>
      </c>
      <c r="D515" t="s">
        <v>91</v>
      </c>
      <c r="E515" t="s">
        <v>80</v>
      </c>
      <c r="F515" t="s">
        <v>81</v>
      </c>
      <c r="G515">
        <v>0.73683357844020803</v>
      </c>
      <c r="H515">
        <v>2E+20</v>
      </c>
      <c r="I515">
        <v>0.43204414950386599</v>
      </c>
      <c r="J515">
        <v>1.0815709915396401</v>
      </c>
      <c r="K515">
        <v>29</v>
      </c>
      <c r="L515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30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1.0631030288454759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0.73683357844020803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1.5108386331108501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0.41857551264863002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4.2424665512149602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5" s="5">
        <f>IF((DiscreteStatsTable[[#This Row],[RepsRequested]]&gt;1),DiscreteStatsTable[[#This Row],[HalfWidth]],DiscreteStatsTable[[#This Row],[BatchMeansHalfWidth]])</f>
        <v>6.6698957254218635E-2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30</v>
      </c>
      <c r="Y515" s="5">
        <f>IF(DiscreteStatsTable[[#This Row],[RepsRequested]]=DiscreteStatsTable[[#This Row],[RepsWithStatObserved]],1,0)</f>
        <v>1</v>
      </c>
    </row>
    <row r="516" spans="1:25" x14ac:dyDescent="0.25">
      <c r="A516" t="s">
        <v>68</v>
      </c>
      <c r="B516" t="s">
        <v>70</v>
      </c>
      <c r="C516">
        <v>12</v>
      </c>
      <c r="D516" t="s">
        <v>91</v>
      </c>
      <c r="E516" t="s">
        <v>82</v>
      </c>
      <c r="F516" t="s">
        <v>81</v>
      </c>
      <c r="G516">
        <v>0.73683357844020803</v>
      </c>
      <c r="H516">
        <v>2E+20</v>
      </c>
      <c r="I516">
        <v>0.43204414950386599</v>
      </c>
      <c r="J516">
        <v>1.0815709915396401</v>
      </c>
      <c r="K516">
        <v>29</v>
      </c>
      <c r="L516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30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0.74725125329628284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0.69500572513110004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0.82348832138033201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0.41711618986306598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1.0828879284455699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6" s="5">
        <f>IF((DiscreteStatsTable[[#This Row],[RepsRequested]]&gt;1),DiscreteStatsTable[[#This Row],[HalfWidth]],DiscreteStatsTable[[#This Row],[BatchMeansHalfWidth]])</f>
        <v>1.2271143454426573E-2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30</v>
      </c>
      <c r="Y516" s="5">
        <f>IF(DiscreteStatsTable[[#This Row],[RepsRequested]]=DiscreteStatsTable[[#This Row],[RepsWithStatObserved]],1,0)</f>
        <v>1</v>
      </c>
    </row>
    <row r="517" spans="1:25" x14ac:dyDescent="0.25">
      <c r="A517" t="s">
        <v>68</v>
      </c>
      <c r="B517" t="s">
        <v>70</v>
      </c>
      <c r="C517">
        <v>12</v>
      </c>
      <c r="D517" t="s">
        <v>91</v>
      </c>
      <c r="E517" t="s">
        <v>83</v>
      </c>
      <c r="F517" t="s">
        <v>81</v>
      </c>
      <c r="G517">
        <v>0</v>
      </c>
      <c r="H517">
        <v>2E+20</v>
      </c>
      <c r="I517">
        <v>0</v>
      </c>
      <c r="J517">
        <v>0</v>
      </c>
      <c r="K517">
        <v>29</v>
      </c>
      <c r="L517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30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0.31585177554919308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0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0.74479236195114795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3.63182180622454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7" s="5">
        <f>IF((DiscreteStatsTable[[#This Row],[RepsRequested]]&gt;1),DiscreteStatsTable[[#This Row],[HalfWidth]],DiscreteStatsTable[[#This Row],[BatchMeansHalfWidth]])</f>
        <v>6.1700435859008876E-2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30</v>
      </c>
      <c r="Y517" s="5">
        <f>IF(DiscreteStatsTable[[#This Row],[RepsRequested]]=DiscreteStatsTable[[#This Row],[RepsWithStatObserved]],1,0)</f>
        <v>1</v>
      </c>
    </row>
    <row r="518" spans="1:25" x14ac:dyDescent="0.25">
      <c r="A518" t="s">
        <v>68</v>
      </c>
      <c r="B518" t="s">
        <v>70</v>
      </c>
      <c r="C518">
        <v>13</v>
      </c>
      <c r="D518" t="s">
        <v>91</v>
      </c>
      <c r="E518" t="s">
        <v>80</v>
      </c>
      <c r="F518" t="s">
        <v>81</v>
      </c>
      <c r="G518">
        <v>0.97130399697423198</v>
      </c>
      <c r="H518">
        <v>2E+20</v>
      </c>
      <c r="I518">
        <v>0.42237485134810998</v>
      </c>
      <c r="J518">
        <v>2.0999578373680099</v>
      </c>
      <c r="K518">
        <v>38</v>
      </c>
      <c r="L518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30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1.0631030288454759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0.73683357844020803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1.5108386331108501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0.41857551264863002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4.2424665512149602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8" s="5">
        <f>IF((DiscreteStatsTable[[#This Row],[RepsRequested]]&gt;1),DiscreteStatsTable[[#This Row],[HalfWidth]],DiscreteStatsTable[[#This Row],[BatchMeansHalfWidth]])</f>
        <v>6.6698957254218635E-2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30</v>
      </c>
      <c r="Y518" s="5">
        <f>IF(DiscreteStatsTable[[#This Row],[RepsRequested]]=DiscreteStatsTable[[#This Row],[RepsWithStatObserved]],1,0)</f>
        <v>1</v>
      </c>
    </row>
    <row r="519" spans="1:25" x14ac:dyDescent="0.25">
      <c r="A519" t="s">
        <v>68</v>
      </c>
      <c r="B519" t="s">
        <v>70</v>
      </c>
      <c r="C519">
        <v>13</v>
      </c>
      <c r="D519" t="s">
        <v>91</v>
      </c>
      <c r="E519" t="s">
        <v>82</v>
      </c>
      <c r="F519" t="s">
        <v>81</v>
      </c>
      <c r="G519">
        <v>0.74190139217237405</v>
      </c>
      <c r="H519">
        <v>2E+20</v>
      </c>
      <c r="I519">
        <v>0.42237485134810998</v>
      </c>
      <c r="J519">
        <v>1.05703910157035</v>
      </c>
      <c r="K519">
        <v>38</v>
      </c>
      <c r="L519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30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0.74725125329628284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0.69500572513110004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0.82348832138033201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0.41711618986306598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1.0828879284455699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19" s="5">
        <f>IF((DiscreteStatsTable[[#This Row],[RepsRequested]]&gt;1),DiscreteStatsTable[[#This Row],[HalfWidth]],DiscreteStatsTable[[#This Row],[BatchMeansHalfWidth]])</f>
        <v>1.2271143454426573E-2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30</v>
      </c>
      <c r="Y519" s="5">
        <f>IF(DiscreteStatsTable[[#This Row],[RepsRequested]]=DiscreteStatsTable[[#This Row],[RepsWithStatObserved]],1,0)</f>
        <v>1</v>
      </c>
    </row>
    <row r="520" spans="1:25" x14ac:dyDescent="0.25">
      <c r="A520" t="s">
        <v>68</v>
      </c>
      <c r="B520" t="s">
        <v>70</v>
      </c>
      <c r="C520">
        <v>13</v>
      </c>
      <c r="D520" t="s">
        <v>91</v>
      </c>
      <c r="E520" t="s">
        <v>83</v>
      </c>
      <c r="F520" t="s">
        <v>81</v>
      </c>
      <c r="G520">
        <v>0.22940260480185801</v>
      </c>
      <c r="H520">
        <v>2E+20</v>
      </c>
      <c r="I520">
        <v>0</v>
      </c>
      <c r="J520">
        <v>1.12079811241637</v>
      </c>
      <c r="K520">
        <v>38</v>
      </c>
      <c r="L520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30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0.31585177554919308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0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0.74479236195114795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0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3.63182180622454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0" s="5">
        <f>IF((DiscreteStatsTable[[#This Row],[RepsRequested]]&gt;1),DiscreteStatsTable[[#This Row],[HalfWidth]],DiscreteStatsTable[[#This Row],[BatchMeansHalfWidth]])</f>
        <v>6.1700435859008876E-2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30</v>
      </c>
      <c r="Y520" s="5">
        <f>IF(DiscreteStatsTable[[#This Row],[RepsRequested]]=DiscreteStatsTable[[#This Row],[RepsWithStatObserved]],1,0)</f>
        <v>1</v>
      </c>
    </row>
    <row r="521" spans="1:25" x14ac:dyDescent="0.25">
      <c r="A521" t="s">
        <v>68</v>
      </c>
      <c r="B521" t="s">
        <v>70</v>
      </c>
      <c r="C521">
        <v>14</v>
      </c>
      <c r="D521" t="s">
        <v>91</v>
      </c>
      <c r="E521" t="s">
        <v>80</v>
      </c>
      <c r="F521" t="s">
        <v>81</v>
      </c>
      <c r="G521">
        <v>1.1845856654373601</v>
      </c>
      <c r="H521">
        <v>2E+20</v>
      </c>
      <c r="I521">
        <v>0.44966271540526698</v>
      </c>
      <c r="J521">
        <v>3.1790087354981398</v>
      </c>
      <c r="K521">
        <v>47</v>
      </c>
      <c r="L521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30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1.0631030288454759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0.73683357844020803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1.5108386331108501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0.41857551264863002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4.2424665512149602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1" s="5">
        <f>IF((DiscreteStatsTable[[#This Row],[RepsRequested]]&gt;1),DiscreteStatsTable[[#This Row],[HalfWidth]],DiscreteStatsTable[[#This Row],[BatchMeansHalfWidth]])</f>
        <v>6.6698957254218635E-2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30</v>
      </c>
      <c r="Y521" s="5">
        <f>IF(DiscreteStatsTable[[#This Row],[RepsRequested]]=DiscreteStatsTable[[#This Row],[RepsWithStatObserved]],1,0)</f>
        <v>1</v>
      </c>
    </row>
    <row r="522" spans="1:25" x14ac:dyDescent="0.25">
      <c r="A522" t="s">
        <v>68</v>
      </c>
      <c r="B522" t="s">
        <v>70</v>
      </c>
      <c r="C522">
        <v>14</v>
      </c>
      <c r="D522" t="s">
        <v>91</v>
      </c>
      <c r="E522" t="s">
        <v>82</v>
      </c>
      <c r="F522" t="s">
        <v>81</v>
      </c>
      <c r="G522">
        <v>0.77526221732710099</v>
      </c>
      <c r="H522">
        <v>2E+20</v>
      </c>
      <c r="I522">
        <v>0.42913452487884002</v>
      </c>
      <c r="J522">
        <v>1.0768769998066099</v>
      </c>
      <c r="K522">
        <v>47</v>
      </c>
      <c r="L522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30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0.74725125329628284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0.69500572513110004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0.82348832138033201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0.41711618986306598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1.0828879284455699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2" s="5">
        <f>IF((DiscreteStatsTable[[#This Row],[RepsRequested]]&gt;1),DiscreteStatsTable[[#This Row],[HalfWidth]],DiscreteStatsTable[[#This Row],[BatchMeansHalfWidth]])</f>
        <v>1.2271143454426573E-2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30</v>
      </c>
      <c r="Y522" s="5">
        <f>IF(DiscreteStatsTable[[#This Row],[RepsRequested]]=DiscreteStatsTable[[#This Row],[RepsWithStatObserved]],1,0)</f>
        <v>1</v>
      </c>
    </row>
    <row r="523" spans="1:25" x14ac:dyDescent="0.25">
      <c r="A523" t="s">
        <v>68</v>
      </c>
      <c r="B523" t="s">
        <v>70</v>
      </c>
      <c r="C523">
        <v>14</v>
      </c>
      <c r="D523" t="s">
        <v>91</v>
      </c>
      <c r="E523" t="s">
        <v>83</v>
      </c>
      <c r="F523" t="s">
        <v>81</v>
      </c>
      <c r="G523">
        <v>0.409323448110261</v>
      </c>
      <c r="H523">
        <v>2E+20</v>
      </c>
      <c r="I523">
        <v>0</v>
      </c>
      <c r="J523">
        <v>2.5369350358112901</v>
      </c>
      <c r="K523">
        <v>47</v>
      </c>
      <c r="L523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30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0.31585177554919308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0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0.74479236195114795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3.63182180622454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3" s="5">
        <f>IF((DiscreteStatsTable[[#This Row],[RepsRequested]]&gt;1),DiscreteStatsTable[[#This Row],[HalfWidth]],DiscreteStatsTable[[#This Row],[BatchMeansHalfWidth]])</f>
        <v>6.1700435859008876E-2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30</v>
      </c>
      <c r="Y523" s="5">
        <f>IF(DiscreteStatsTable[[#This Row],[RepsRequested]]=DiscreteStatsTable[[#This Row],[RepsWithStatObserved]],1,0)</f>
        <v>1</v>
      </c>
    </row>
    <row r="524" spans="1:25" x14ac:dyDescent="0.25">
      <c r="A524" t="s">
        <v>68</v>
      </c>
      <c r="B524" t="s">
        <v>70</v>
      </c>
      <c r="C524">
        <v>15</v>
      </c>
      <c r="D524" t="s">
        <v>91</v>
      </c>
      <c r="E524" t="s">
        <v>80</v>
      </c>
      <c r="F524" t="s">
        <v>81</v>
      </c>
      <c r="G524">
        <v>1.1361728303671701</v>
      </c>
      <c r="H524">
        <v>2E+20</v>
      </c>
      <c r="I524">
        <v>0.45440512768784902</v>
      </c>
      <c r="J524">
        <v>2.8189618754347499</v>
      </c>
      <c r="K524">
        <v>46</v>
      </c>
      <c r="L524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30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1.0631030288454759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0.73683357844020803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1.5108386331108501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0.41857551264863002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4.2424665512149602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4" s="5">
        <f>IF((DiscreteStatsTable[[#This Row],[RepsRequested]]&gt;1),DiscreteStatsTable[[#This Row],[HalfWidth]],DiscreteStatsTable[[#This Row],[BatchMeansHalfWidth]])</f>
        <v>6.6698957254218635E-2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30</v>
      </c>
      <c r="Y524" s="5">
        <f>IF(DiscreteStatsTable[[#This Row],[RepsRequested]]=DiscreteStatsTable[[#This Row],[RepsWithStatObserved]],1,0)</f>
        <v>1</v>
      </c>
    </row>
    <row r="525" spans="1:25" x14ac:dyDescent="0.25">
      <c r="A525" t="s">
        <v>68</v>
      </c>
      <c r="B525" t="s">
        <v>70</v>
      </c>
      <c r="C525">
        <v>15</v>
      </c>
      <c r="D525" t="s">
        <v>91</v>
      </c>
      <c r="E525" t="s">
        <v>82</v>
      </c>
      <c r="F525" t="s">
        <v>81</v>
      </c>
      <c r="G525">
        <v>0.71407393586413603</v>
      </c>
      <c r="H525">
        <v>2E+20</v>
      </c>
      <c r="I525">
        <v>0.41711618986306598</v>
      </c>
      <c r="J525">
        <v>1.07296184136044</v>
      </c>
      <c r="K525">
        <v>46</v>
      </c>
      <c r="L525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30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0.74725125329628284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0.69500572513110004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0.82348832138033201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0.41711618986306598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1.0828879284455699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5" s="5">
        <f>IF((DiscreteStatsTable[[#This Row],[RepsRequested]]&gt;1),DiscreteStatsTable[[#This Row],[HalfWidth]],DiscreteStatsTable[[#This Row],[BatchMeansHalfWidth]])</f>
        <v>1.2271143454426573E-2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30</v>
      </c>
      <c r="Y525" s="5">
        <f>IF(DiscreteStatsTable[[#This Row],[RepsRequested]]=DiscreteStatsTable[[#This Row],[RepsWithStatObserved]],1,0)</f>
        <v>1</v>
      </c>
    </row>
    <row r="526" spans="1:25" x14ac:dyDescent="0.25">
      <c r="A526" t="s">
        <v>68</v>
      </c>
      <c r="B526" t="s">
        <v>70</v>
      </c>
      <c r="C526">
        <v>15</v>
      </c>
      <c r="D526" t="s">
        <v>91</v>
      </c>
      <c r="E526" t="s">
        <v>83</v>
      </c>
      <c r="F526" t="s">
        <v>81</v>
      </c>
      <c r="G526">
        <v>0.422098894503039</v>
      </c>
      <c r="H526">
        <v>2E+20</v>
      </c>
      <c r="I526">
        <v>0</v>
      </c>
      <c r="J526">
        <v>2.29818557216106</v>
      </c>
      <c r="K526">
        <v>46</v>
      </c>
      <c r="L526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30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0.31585177554919308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0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0.74479236195114795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0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3.63182180622454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6" s="5">
        <f>IF((DiscreteStatsTable[[#This Row],[RepsRequested]]&gt;1),DiscreteStatsTable[[#This Row],[HalfWidth]],DiscreteStatsTable[[#This Row],[BatchMeansHalfWidth]])</f>
        <v>6.1700435859008876E-2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30</v>
      </c>
      <c r="Y526" s="5">
        <f>IF(DiscreteStatsTable[[#This Row],[RepsRequested]]=DiscreteStatsTable[[#This Row],[RepsWithStatObserved]],1,0)</f>
        <v>1</v>
      </c>
    </row>
    <row r="527" spans="1:25" x14ac:dyDescent="0.25">
      <c r="A527" t="s">
        <v>68</v>
      </c>
      <c r="B527" t="s">
        <v>70</v>
      </c>
      <c r="C527">
        <v>16</v>
      </c>
      <c r="D527" t="s">
        <v>91</v>
      </c>
      <c r="E527" t="s">
        <v>80</v>
      </c>
      <c r="F527" t="s">
        <v>81</v>
      </c>
      <c r="G527">
        <v>0.98307148154738699</v>
      </c>
      <c r="H527">
        <v>2E+20</v>
      </c>
      <c r="I527">
        <v>0.42357130739288401</v>
      </c>
      <c r="J527">
        <v>2.04855850456874</v>
      </c>
      <c r="K527">
        <v>36</v>
      </c>
      <c r="L527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30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1.0631030288454759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0.73683357844020803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1.5108386331108501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0.41857551264863002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4.2424665512149602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7" s="5">
        <f>IF((DiscreteStatsTable[[#This Row],[RepsRequested]]&gt;1),DiscreteStatsTable[[#This Row],[HalfWidth]],DiscreteStatsTable[[#This Row],[BatchMeansHalfWidth]])</f>
        <v>6.6698957254218635E-2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30</v>
      </c>
      <c r="Y527" s="5">
        <f>IF(DiscreteStatsTable[[#This Row],[RepsRequested]]=DiscreteStatsTable[[#This Row],[RepsWithStatObserved]],1,0)</f>
        <v>1</v>
      </c>
    </row>
    <row r="528" spans="1:25" x14ac:dyDescent="0.25">
      <c r="A528" t="s">
        <v>68</v>
      </c>
      <c r="B528" t="s">
        <v>70</v>
      </c>
      <c r="C528">
        <v>16</v>
      </c>
      <c r="D528" t="s">
        <v>91</v>
      </c>
      <c r="E528" t="s">
        <v>82</v>
      </c>
      <c r="F528" t="s">
        <v>81</v>
      </c>
      <c r="G528">
        <v>0.72874989760337505</v>
      </c>
      <c r="H528">
        <v>2E+20</v>
      </c>
      <c r="I528">
        <v>0.42357130739288401</v>
      </c>
      <c r="J528">
        <v>1.08231028599032</v>
      </c>
      <c r="K528">
        <v>36</v>
      </c>
      <c r="L528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30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0.74725125329628284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0.69500572513110004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0.82348832138033201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0.41711618986306598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1.0828879284455699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8" s="5">
        <f>IF((DiscreteStatsTable[[#This Row],[RepsRequested]]&gt;1),DiscreteStatsTable[[#This Row],[HalfWidth]],DiscreteStatsTable[[#This Row],[BatchMeansHalfWidth]])</f>
        <v>1.2271143454426573E-2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30</v>
      </c>
      <c r="Y528" s="5">
        <f>IF(DiscreteStatsTable[[#This Row],[RepsRequested]]=DiscreteStatsTable[[#This Row],[RepsWithStatObserved]],1,0)</f>
        <v>1</v>
      </c>
    </row>
    <row r="529" spans="1:25" x14ac:dyDescent="0.25">
      <c r="A529" t="s">
        <v>68</v>
      </c>
      <c r="B529" t="s">
        <v>70</v>
      </c>
      <c r="C529">
        <v>16</v>
      </c>
      <c r="D529" t="s">
        <v>91</v>
      </c>
      <c r="E529" t="s">
        <v>83</v>
      </c>
      <c r="F529" t="s">
        <v>81</v>
      </c>
      <c r="G529">
        <v>0.254321583944012</v>
      </c>
      <c r="H529">
        <v>2E+20</v>
      </c>
      <c r="I529">
        <v>0</v>
      </c>
      <c r="J529">
        <v>1.26778760171362</v>
      </c>
      <c r="K529">
        <v>36</v>
      </c>
      <c r="L529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30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0.31585177554919308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0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0.74479236195114795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3.63182180622454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29" s="5">
        <f>IF((DiscreteStatsTable[[#This Row],[RepsRequested]]&gt;1),DiscreteStatsTable[[#This Row],[HalfWidth]],DiscreteStatsTable[[#This Row],[BatchMeansHalfWidth]])</f>
        <v>6.1700435859008876E-2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30</v>
      </c>
      <c r="Y529" s="5">
        <f>IF(DiscreteStatsTable[[#This Row],[RepsRequested]]=DiscreteStatsTable[[#This Row],[RepsWithStatObserved]],1,0)</f>
        <v>1</v>
      </c>
    </row>
    <row r="530" spans="1:25" x14ac:dyDescent="0.25">
      <c r="A530" t="s">
        <v>68</v>
      </c>
      <c r="B530" t="s">
        <v>70</v>
      </c>
      <c r="C530">
        <v>17</v>
      </c>
      <c r="D530" t="s">
        <v>91</v>
      </c>
      <c r="E530" t="s">
        <v>80</v>
      </c>
      <c r="F530" t="s">
        <v>81</v>
      </c>
      <c r="G530">
        <v>0.90958256713775498</v>
      </c>
      <c r="H530">
        <v>2E+20</v>
      </c>
      <c r="I530">
        <v>0.44857767845258001</v>
      </c>
      <c r="J530">
        <v>1.8411509816187099</v>
      </c>
      <c r="K530">
        <v>32</v>
      </c>
      <c r="L530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30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1.0631030288454759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0.73683357844020803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1.5108386331108501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0.41857551264863002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4.2424665512149602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0" s="5">
        <f>IF((DiscreteStatsTable[[#This Row],[RepsRequested]]&gt;1),DiscreteStatsTable[[#This Row],[HalfWidth]],DiscreteStatsTable[[#This Row],[BatchMeansHalfWidth]])</f>
        <v>6.6698957254218635E-2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30</v>
      </c>
      <c r="Y530" s="5">
        <f>IF(DiscreteStatsTable[[#This Row],[RepsRequested]]=DiscreteStatsTable[[#This Row],[RepsWithStatObserved]],1,0)</f>
        <v>1</v>
      </c>
    </row>
    <row r="531" spans="1:25" x14ac:dyDescent="0.25">
      <c r="A531" t="s">
        <v>68</v>
      </c>
      <c r="B531" t="s">
        <v>70</v>
      </c>
      <c r="C531">
        <v>17</v>
      </c>
      <c r="D531" t="s">
        <v>91</v>
      </c>
      <c r="E531" t="s">
        <v>82</v>
      </c>
      <c r="F531" t="s">
        <v>81</v>
      </c>
      <c r="G531">
        <v>0.77388293159598498</v>
      </c>
      <c r="H531">
        <v>2E+20</v>
      </c>
      <c r="I531">
        <v>0.44857767845258001</v>
      </c>
      <c r="J531">
        <v>1.08155779268023</v>
      </c>
      <c r="K531">
        <v>32</v>
      </c>
      <c r="L531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30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0.74725125329628284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0.69500572513110004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0.82348832138033201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0.41711618986306598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1.0828879284455699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1" s="5">
        <f>IF((DiscreteStatsTable[[#This Row],[RepsRequested]]&gt;1),DiscreteStatsTable[[#This Row],[HalfWidth]],DiscreteStatsTable[[#This Row],[BatchMeansHalfWidth]])</f>
        <v>1.2271143454426573E-2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30</v>
      </c>
      <c r="Y531" s="5">
        <f>IF(DiscreteStatsTable[[#This Row],[RepsRequested]]=DiscreteStatsTable[[#This Row],[RepsWithStatObserved]],1,0)</f>
        <v>1</v>
      </c>
    </row>
    <row r="532" spans="1:25" x14ac:dyDescent="0.25">
      <c r="A532" t="s">
        <v>68</v>
      </c>
      <c r="B532" t="s">
        <v>70</v>
      </c>
      <c r="C532">
        <v>17</v>
      </c>
      <c r="D532" t="s">
        <v>91</v>
      </c>
      <c r="E532" t="s">
        <v>83</v>
      </c>
      <c r="F532" t="s">
        <v>81</v>
      </c>
      <c r="G532">
        <v>0.13569963554177</v>
      </c>
      <c r="H532">
        <v>2E+20</v>
      </c>
      <c r="I532">
        <v>0</v>
      </c>
      <c r="J532">
        <v>1.00060913769079</v>
      </c>
      <c r="K532">
        <v>32</v>
      </c>
      <c r="L532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30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0.31585177554919308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0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0.74479236195114795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0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3.63182180622454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2" s="5">
        <f>IF((DiscreteStatsTable[[#This Row],[RepsRequested]]&gt;1),DiscreteStatsTable[[#This Row],[HalfWidth]],DiscreteStatsTable[[#This Row],[BatchMeansHalfWidth]])</f>
        <v>6.1700435859008876E-2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30</v>
      </c>
      <c r="Y532" s="5">
        <f>IF(DiscreteStatsTable[[#This Row],[RepsRequested]]=DiscreteStatsTable[[#This Row],[RepsWithStatObserved]],1,0)</f>
        <v>1</v>
      </c>
    </row>
    <row r="533" spans="1:25" x14ac:dyDescent="0.25">
      <c r="A533" t="s">
        <v>68</v>
      </c>
      <c r="B533" t="s">
        <v>70</v>
      </c>
      <c r="C533">
        <v>18</v>
      </c>
      <c r="D533" t="s">
        <v>91</v>
      </c>
      <c r="E533" t="s">
        <v>80</v>
      </c>
      <c r="F533" t="s">
        <v>81</v>
      </c>
      <c r="G533">
        <v>1.5108386331108501</v>
      </c>
      <c r="H533">
        <v>2E+20</v>
      </c>
      <c r="I533">
        <v>0.45249980877986901</v>
      </c>
      <c r="J533">
        <v>4.2424665512149602</v>
      </c>
      <c r="K533">
        <v>44</v>
      </c>
      <c r="L533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30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1.0631030288454759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0.73683357844020803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1.5108386331108501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0.41857551264863002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4.2424665512149602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3" s="5">
        <f>IF((DiscreteStatsTable[[#This Row],[RepsRequested]]&gt;1),DiscreteStatsTable[[#This Row],[HalfWidth]],DiscreteStatsTable[[#This Row],[BatchMeansHalfWidth]])</f>
        <v>6.6698957254218635E-2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30</v>
      </c>
      <c r="Y533" s="5">
        <f>IF(DiscreteStatsTable[[#This Row],[RepsRequested]]=DiscreteStatsTable[[#This Row],[RepsWithStatObserved]],1,0)</f>
        <v>1</v>
      </c>
    </row>
    <row r="534" spans="1:25" x14ac:dyDescent="0.25">
      <c r="A534" t="s">
        <v>68</v>
      </c>
      <c r="B534" t="s">
        <v>70</v>
      </c>
      <c r="C534">
        <v>18</v>
      </c>
      <c r="D534" t="s">
        <v>91</v>
      </c>
      <c r="E534" t="s">
        <v>82</v>
      </c>
      <c r="F534" t="s">
        <v>81</v>
      </c>
      <c r="G534">
        <v>0.76604627115970203</v>
      </c>
      <c r="H534">
        <v>2E+20</v>
      </c>
      <c r="I534">
        <v>0.432505912762991</v>
      </c>
      <c r="J534">
        <v>1.0780045438758801</v>
      </c>
      <c r="K534">
        <v>44</v>
      </c>
      <c r="L534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30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0.74725125329628284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0.69500572513110004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0.82348832138033201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0.41711618986306598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1.0828879284455699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4" s="5">
        <f>IF((DiscreteStatsTable[[#This Row],[RepsRequested]]&gt;1),DiscreteStatsTable[[#This Row],[HalfWidth]],DiscreteStatsTable[[#This Row],[BatchMeansHalfWidth]])</f>
        <v>1.2271143454426573E-2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30</v>
      </c>
      <c r="Y534" s="5">
        <f>IF(DiscreteStatsTable[[#This Row],[RepsRequested]]=DiscreteStatsTable[[#This Row],[RepsWithStatObserved]],1,0)</f>
        <v>1</v>
      </c>
    </row>
    <row r="535" spans="1:25" x14ac:dyDescent="0.25">
      <c r="A535" t="s">
        <v>68</v>
      </c>
      <c r="B535" t="s">
        <v>70</v>
      </c>
      <c r="C535">
        <v>18</v>
      </c>
      <c r="D535" t="s">
        <v>91</v>
      </c>
      <c r="E535" t="s">
        <v>83</v>
      </c>
      <c r="F535" t="s">
        <v>81</v>
      </c>
      <c r="G535">
        <v>0.74479236195114795</v>
      </c>
      <c r="H535">
        <v>2E+20</v>
      </c>
      <c r="I535">
        <v>0</v>
      </c>
      <c r="J535">
        <v>3.63182180622454</v>
      </c>
      <c r="K535">
        <v>44</v>
      </c>
      <c r="L535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30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0.31585177554919308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0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0.74479236195114795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3.63182180622454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5" s="5">
        <f>IF((DiscreteStatsTable[[#This Row],[RepsRequested]]&gt;1),DiscreteStatsTable[[#This Row],[HalfWidth]],DiscreteStatsTable[[#This Row],[BatchMeansHalfWidth]])</f>
        <v>6.1700435859008876E-2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30</v>
      </c>
      <c r="Y535" s="5">
        <f>IF(DiscreteStatsTable[[#This Row],[RepsRequested]]=DiscreteStatsTable[[#This Row],[RepsWithStatObserved]],1,0)</f>
        <v>1</v>
      </c>
    </row>
    <row r="536" spans="1:25" x14ac:dyDescent="0.25">
      <c r="A536" t="s">
        <v>68</v>
      </c>
      <c r="B536" t="s">
        <v>70</v>
      </c>
      <c r="C536">
        <v>19</v>
      </c>
      <c r="D536" t="s">
        <v>91</v>
      </c>
      <c r="E536" t="s">
        <v>80</v>
      </c>
      <c r="F536" t="s">
        <v>81</v>
      </c>
      <c r="G536">
        <v>1.1029303674650399</v>
      </c>
      <c r="H536">
        <v>2E+20</v>
      </c>
      <c r="I536">
        <v>0.45284211454617901</v>
      </c>
      <c r="J536">
        <v>2.94659638769738</v>
      </c>
      <c r="K536">
        <v>33</v>
      </c>
      <c r="L536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30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1.0631030288454759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0.73683357844020803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1.5108386331108501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0.41857551264863002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4.2424665512149602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6" s="5">
        <f>IF((DiscreteStatsTable[[#This Row],[RepsRequested]]&gt;1),DiscreteStatsTable[[#This Row],[HalfWidth]],DiscreteStatsTable[[#This Row],[BatchMeansHalfWidth]])</f>
        <v>6.6698957254218635E-2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30</v>
      </c>
      <c r="Y536" s="5">
        <f>IF(DiscreteStatsTable[[#This Row],[RepsRequested]]=DiscreteStatsTable[[#This Row],[RepsWithStatObserved]],1,0)</f>
        <v>1</v>
      </c>
    </row>
    <row r="537" spans="1:25" x14ac:dyDescent="0.25">
      <c r="A537" t="s">
        <v>68</v>
      </c>
      <c r="B537" t="s">
        <v>70</v>
      </c>
      <c r="C537">
        <v>19</v>
      </c>
      <c r="D537" t="s">
        <v>91</v>
      </c>
      <c r="E537" t="s">
        <v>82</v>
      </c>
      <c r="F537" t="s">
        <v>81</v>
      </c>
      <c r="G537">
        <v>0.72699356901999002</v>
      </c>
      <c r="H537">
        <v>2E+20</v>
      </c>
      <c r="I537">
        <v>0.42606768476888102</v>
      </c>
      <c r="J537">
        <v>1.0729326473455001</v>
      </c>
      <c r="K537">
        <v>33</v>
      </c>
      <c r="L537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30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0.74725125329628284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0.69500572513110004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0.82348832138033201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0.41711618986306598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1.0828879284455699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7" s="5">
        <f>IF((DiscreteStatsTable[[#This Row],[RepsRequested]]&gt;1),DiscreteStatsTable[[#This Row],[HalfWidth]],DiscreteStatsTable[[#This Row],[BatchMeansHalfWidth]])</f>
        <v>1.2271143454426573E-2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30</v>
      </c>
      <c r="Y537" s="5">
        <f>IF(DiscreteStatsTable[[#This Row],[RepsRequested]]=DiscreteStatsTable[[#This Row],[RepsWithStatObserved]],1,0)</f>
        <v>1</v>
      </c>
    </row>
    <row r="538" spans="1:25" x14ac:dyDescent="0.25">
      <c r="A538" t="s">
        <v>68</v>
      </c>
      <c r="B538" t="s">
        <v>70</v>
      </c>
      <c r="C538">
        <v>19</v>
      </c>
      <c r="D538" t="s">
        <v>91</v>
      </c>
      <c r="E538" t="s">
        <v>83</v>
      </c>
      <c r="F538" t="s">
        <v>81</v>
      </c>
      <c r="G538">
        <v>0.37593679844504901</v>
      </c>
      <c r="H538">
        <v>2E+20</v>
      </c>
      <c r="I538">
        <v>0</v>
      </c>
      <c r="J538">
        <v>2.1064487585094298</v>
      </c>
      <c r="K538">
        <v>33</v>
      </c>
      <c r="L538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30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0.31585177554919308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0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0.74479236195114795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0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3.63182180622454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8" s="5">
        <f>IF((DiscreteStatsTable[[#This Row],[RepsRequested]]&gt;1),DiscreteStatsTable[[#This Row],[HalfWidth]],DiscreteStatsTable[[#This Row],[BatchMeansHalfWidth]])</f>
        <v>6.1700435859008876E-2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30</v>
      </c>
      <c r="Y538" s="5">
        <f>IF(DiscreteStatsTable[[#This Row],[RepsRequested]]=DiscreteStatsTable[[#This Row],[RepsWithStatObserved]],1,0)</f>
        <v>1</v>
      </c>
    </row>
    <row r="539" spans="1:25" x14ac:dyDescent="0.25">
      <c r="A539" t="s">
        <v>68</v>
      </c>
      <c r="B539" t="s">
        <v>70</v>
      </c>
      <c r="C539">
        <v>20</v>
      </c>
      <c r="D539" t="s">
        <v>91</v>
      </c>
      <c r="E539" t="s">
        <v>80</v>
      </c>
      <c r="F539" t="s">
        <v>81</v>
      </c>
      <c r="G539">
        <v>1.0818745063047499</v>
      </c>
      <c r="H539">
        <v>2E+20</v>
      </c>
      <c r="I539">
        <v>0.42863516459119899</v>
      </c>
      <c r="J539">
        <v>2.3651570530649799</v>
      </c>
      <c r="K539">
        <v>42</v>
      </c>
      <c r="L539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30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1.0631030288454759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0.73683357844020803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1.5108386331108501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0.41857551264863002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4.2424665512149602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39" s="5">
        <f>IF((DiscreteStatsTable[[#This Row],[RepsRequested]]&gt;1),DiscreteStatsTable[[#This Row],[HalfWidth]],DiscreteStatsTable[[#This Row],[BatchMeansHalfWidth]])</f>
        <v>6.6698957254218635E-2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30</v>
      </c>
      <c r="Y539" s="5">
        <f>IF(DiscreteStatsTable[[#This Row],[RepsRequested]]=DiscreteStatsTable[[#This Row],[RepsWithStatObserved]],1,0)</f>
        <v>1</v>
      </c>
    </row>
    <row r="540" spans="1:25" x14ac:dyDescent="0.25">
      <c r="A540" t="s">
        <v>68</v>
      </c>
      <c r="B540" t="s">
        <v>70</v>
      </c>
      <c r="C540">
        <v>20</v>
      </c>
      <c r="D540" t="s">
        <v>91</v>
      </c>
      <c r="E540" t="s">
        <v>82</v>
      </c>
      <c r="F540" t="s">
        <v>81</v>
      </c>
      <c r="G540">
        <v>0.71629990137371002</v>
      </c>
      <c r="H540">
        <v>2E+20</v>
      </c>
      <c r="I540">
        <v>0.427072622388323</v>
      </c>
      <c r="J540">
        <v>1.08050452096903</v>
      </c>
      <c r="K540">
        <v>42</v>
      </c>
      <c r="L540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30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0.74725125329628284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0.69500572513110004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0.82348832138033201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0.41711618986306598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1.0828879284455699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0" s="5">
        <f>IF((DiscreteStatsTable[[#This Row],[RepsRequested]]&gt;1),DiscreteStatsTable[[#This Row],[HalfWidth]],DiscreteStatsTable[[#This Row],[BatchMeansHalfWidth]])</f>
        <v>1.2271143454426573E-2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30</v>
      </c>
      <c r="Y540" s="5">
        <f>IF(DiscreteStatsTable[[#This Row],[RepsRequested]]=DiscreteStatsTable[[#This Row],[RepsWithStatObserved]],1,0)</f>
        <v>1</v>
      </c>
    </row>
    <row r="541" spans="1:25" x14ac:dyDescent="0.25">
      <c r="A541" t="s">
        <v>68</v>
      </c>
      <c r="B541" t="s">
        <v>70</v>
      </c>
      <c r="C541">
        <v>20</v>
      </c>
      <c r="D541" t="s">
        <v>91</v>
      </c>
      <c r="E541" t="s">
        <v>83</v>
      </c>
      <c r="F541" t="s">
        <v>81</v>
      </c>
      <c r="G541">
        <v>0.365574604931035</v>
      </c>
      <c r="H541">
        <v>2E+20</v>
      </c>
      <c r="I541">
        <v>0</v>
      </c>
      <c r="J541">
        <v>1.70798141429001</v>
      </c>
      <c r="K541">
        <v>42</v>
      </c>
      <c r="L541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30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0.31585177554919308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0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0.74479236195114795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3.63182180622454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1" s="5">
        <f>IF((DiscreteStatsTable[[#This Row],[RepsRequested]]&gt;1),DiscreteStatsTable[[#This Row],[HalfWidth]],DiscreteStatsTable[[#This Row],[BatchMeansHalfWidth]])</f>
        <v>6.1700435859008876E-2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30</v>
      </c>
      <c r="Y541" s="5">
        <f>IF(DiscreteStatsTable[[#This Row],[RepsRequested]]=DiscreteStatsTable[[#This Row],[RepsWithStatObserved]],1,0)</f>
        <v>1</v>
      </c>
    </row>
    <row r="542" spans="1:25" x14ac:dyDescent="0.25">
      <c r="A542" t="s">
        <v>68</v>
      </c>
      <c r="B542" t="s">
        <v>70</v>
      </c>
      <c r="C542">
        <v>21</v>
      </c>
      <c r="D542" t="s">
        <v>91</v>
      </c>
      <c r="E542" t="s">
        <v>80</v>
      </c>
      <c r="F542" t="s">
        <v>81</v>
      </c>
      <c r="G542">
        <v>0.96785557823486301</v>
      </c>
      <c r="H542">
        <v>2E+20</v>
      </c>
      <c r="I542">
        <v>0.42290869199311498</v>
      </c>
      <c r="J542">
        <v>1.96972760121722</v>
      </c>
      <c r="K542">
        <v>49</v>
      </c>
      <c r="L542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30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1.0631030288454759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0.73683357844020803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1.5108386331108501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0.41857551264863002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4.2424665512149602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2" s="5">
        <f>IF((DiscreteStatsTable[[#This Row],[RepsRequested]]&gt;1),DiscreteStatsTable[[#This Row],[HalfWidth]],DiscreteStatsTable[[#This Row],[BatchMeansHalfWidth]])</f>
        <v>6.6698957254218635E-2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30</v>
      </c>
      <c r="Y542" s="5">
        <f>IF(DiscreteStatsTable[[#This Row],[RepsRequested]]=DiscreteStatsTable[[#This Row],[RepsWithStatObserved]],1,0)</f>
        <v>1</v>
      </c>
    </row>
    <row r="543" spans="1:25" x14ac:dyDescent="0.25">
      <c r="A543" t="s">
        <v>68</v>
      </c>
      <c r="B543" t="s">
        <v>70</v>
      </c>
      <c r="C543">
        <v>21</v>
      </c>
      <c r="D543" t="s">
        <v>91</v>
      </c>
      <c r="E543" t="s">
        <v>82</v>
      </c>
      <c r="F543" t="s">
        <v>81</v>
      </c>
      <c r="G543">
        <v>0.70473455698563403</v>
      </c>
      <c r="H543">
        <v>2E+20</v>
      </c>
      <c r="I543">
        <v>0.42290869199311498</v>
      </c>
      <c r="J543">
        <v>1.0639934271165701</v>
      </c>
      <c r="K543">
        <v>49</v>
      </c>
      <c r="L543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30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0.74725125329628284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0.69500572513110004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0.82348832138033201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0.41711618986306598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1.0828879284455699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3" s="5">
        <f>IF((DiscreteStatsTable[[#This Row],[RepsRequested]]&gt;1),DiscreteStatsTable[[#This Row],[HalfWidth]],DiscreteStatsTable[[#This Row],[BatchMeansHalfWidth]])</f>
        <v>1.2271143454426573E-2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30</v>
      </c>
      <c r="Y543" s="5">
        <f>IF(DiscreteStatsTable[[#This Row],[RepsRequested]]=DiscreteStatsTable[[#This Row],[RepsWithStatObserved]],1,0)</f>
        <v>1</v>
      </c>
    </row>
    <row r="544" spans="1:25" x14ac:dyDescent="0.25">
      <c r="A544" t="s">
        <v>68</v>
      </c>
      <c r="B544" t="s">
        <v>70</v>
      </c>
      <c r="C544">
        <v>21</v>
      </c>
      <c r="D544" t="s">
        <v>91</v>
      </c>
      <c r="E544" t="s">
        <v>83</v>
      </c>
      <c r="F544" t="s">
        <v>81</v>
      </c>
      <c r="G544">
        <v>0.26312102124922898</v>
      </c>
      <c r="H544">
        <v>2E+20</v>
      </c>
      <c r="I544">
        <v>0</v>
      </c>
      <c r="J544">
        <v>1.20889964715113</v>
      </c>
      <c r="K544">
        <v>49</v>
      </c>
      <c r="L544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30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0.31585177554919308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0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0.74479236195114795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0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3.63182180622454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4" s="5">
        <f>IF((DiscreteStatsTable[[#This Row],[RepsRequested]]&gt;1),DiscreteStatsTable[[#This Row],[HalfWidth]],DiscreteStatsTable[[#This Row],[BatchMeansHalfWidth]])</f>
        <v>6.1700435859008876E-2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30</v>
      </c>
      <c r="Y544" s="5">
        <f>IF(DiscreteStatsTable[[#This Row],[RepsRequested]]=DiscreteStatsTable[[#This Row],[RepsWithStatObserved]],1,0)</f>
        <v>1</v>
      </c>
    </row>
    <row r="545" spans="1:25" x14ac:dyDescent="0.25">
      <c r="A545" t="s">
        <v>68</v>
      </c>
      <c r="B545" t="s">
        <v>70</v>
      </c>
      <c r="C545">
        <v>22</v>
      </c>
      <c r="D545" t="s">
        <v>91</v>
      </c>
      <c r="E545" t="s">
        <v>80</v>
      </c>
      <c r="F545" t="s">
        <v>81</v>
      </c>
      <c r="G545">
        <v>1.0538964367467401</v>
      </c>
      <c r="H545">
        <v>2E+20</v>
      </c>
      <c r="I545">
        <v>0.43088362481708498</v>
      </c>
      <c r="J545">
        <v>2.9202698674448002</v>
      </c>
      <c r="K545">
        <v>34</v>
      </c>
      <c r="L545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30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1.0631030288454759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0.73683357844020803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1.5108386331108501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0.41857551264863002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4.2424665512149602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5" s="5">
        <f>IF((DiscreteStatsTable[[#This Row],[RepsRequested]]&gt;1),DiscreteStatsTable[[#This Row],[HalfWidth]],DiscreteStatsTable[[#This Row],[BatchMeansHalfWidth]])</f>
        <v>6.6698957254218635E-2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30</v>
      </c>
      <c r="Y545" s="5">
        <f>IF(DiscreteStatsTable[[#This Row],[RepsRequested]]=DiscreteStatsTable[[#This Row],[RepsWithStatObserved]],1,0)</f>
        <v>1</v>
      </c>
    </row>
    <row r="546" spans="1:25" x14ac:dyDescent="0.25">
      <c r="A546" t="s">
        <v>68</v>
      </c>
      <c r="B546" t="s">
        <v>70</v>
      </c>
      <c r="C546">
        <v>22</v>
      </c>
      <c r="D546" t="s">
        <v>91</v>
      </c>
      <c r="E546" t="s">
        <v>82</v>
      </c>
      <c r="F546" t="s">
        <v>81</v>
      </c>
      <c r="G546">
        <v>0.77807122758941705</v>
      </c>
      <c r="H546">
        <v>2E+20</v>
      </c>
      <c r="I546">
        <v>0.43088362481708498</v>
      </c>
      <c r="J546">
        <v>1.0692126602823999</v>
      </c>
      <c r="K546">
        <v>34</v>
      </c>
      <c r="L546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30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0.74725125329628284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0.69500572513110004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0.82348832138033201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0.41711618986306598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1.0828879284455699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6" s="5">
        <f>IF((DiscreteStatsTable[[#This Row],[RepsRequested]]&gt;1),DiscreteStatsTable[[#This Row],[HalfWidth]],DiscreteStatsTable[[#This Row],[BatchMeansHalfWidth]])</f>
        <v>1.2271143454426573E-2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30</v>
      </c>
      <c r="Y546" s="5">
        <f>IF(DiscreteStatsTable[[#This Row],[RepsRequested]]=DiscreteStatsTable[[#This Row],[RepsWithStatObserved]],1,0)</f>
        <v>1</v>
      </c>
    </row>
    <row r="547" spans="1:25" x14ac:dyDescent="0.25">
      <c r="A547" t="s">
        <v>68</v>
      </c>
      <c r="B547" t="s">
        <v>70</v>
      </c>
      <c r="C547">
        <v>22</v>
      </c>
      <c r="D547" t="s">
        <v>91</v>
      </c>
      <c r="E547" t="s">
        <v>83</v>
      </c>
      <c r="F547" t="s">
        <v>81</v>
      </c>
      <c r="G547">
        <v>0.27582520915732101</v>
      </c>
      <c r="H547">
        <v>2E+20</v>
      </c>
      <c r="I547">
        <v>0</v>
      </c>
      <c r="J547">
        <v>2.0140863617868101</v>
      </c>
      <c r="K547">
        <v>34</v>
      </c>
      <c r="L547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30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0.31585177554919308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0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0.74479236195114795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3.63182180622454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7" s="5">
        <f>IF((DiscreteStatsTable[[#This Row],[RepsRequested]]&gt;1),DiscreteStatsTable[[#This Row],[HalfWidth]],DiscreteStatsTable[[#This Row],[BatchMeansHalfWidth]])</f>
        <v>6.1700435859008876E-2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30</v>
      </c>
      <c r="Y547" s="5">
        <f>IF(DiscreteStatsTable[[#This Row],[RepsRequested]]=DiscreteStatsTable[[#This Row],[RepsWithStatObserved]],1,0)</f>
        <v>1</v>
      </c>
    </row>
    <row r="548" spans="1:25" x14ac:dyDescent="0.25">
      <c r="A548" t="s">
        <v>68</v>
      </c>
      <c r="B548" t="s">
        <v>70</v>
      </c>
      <c r="C548">
        <v>23</v>
      </c>
      <c r="D548" t="s">
        <v>91</v>
      </c>
      <c r="E548" t="s">
        <v>80</v>
      </c>
      <c r="F548" t="s">
        <v>81</v>
      </c>
      <c r="G548">
        <v>1.1647296740233499</v>
      </c>
      <c r="H548">
        <v>2E+20</v>
      </c>
      <c r="I548">
        <v>0.50298822641090601</v>
      </c>
      <c r="J548">
        <v>4.0123181738870102</v>
      </c>
      <c r="K548">
        <v>42</v>
      </c>
      <c r="L548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30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1.0631030288454759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0.73683357844020803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1.5108386331108501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0.41857551264863002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4.2424665512149602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8" s="5">
        <f>IF((DiscreteStatsTable[[#This Row],[RepsRequested]]&gt;1),DiscreteStatsTable[[#This Row],[HalfWidth]],DiscreteStatsTable[[#This Row],[BatchMeansHalfWidth]])</f>
        <v>6.6698957254218635E-2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30</v>
      </c>
      <c r="Y548" s="5">
        <f>IF(DiscreteStatsTable[[#This Row],[RepsRequested]]=DiscreteStatsTable[[#This Row],[RepsWithStatObserved]],1,0)</f>
        <v>1</v>
      </c>
    </row>
    <row r="549" spans="1:25" x14ac:dyDescent="0.25">
      <c r="A549" t="s">
        <v>68</v>
      </c>
      <c r="B549" t="s">
        <v>70</v>
      </c>
      <c r="C549">
        <v>23</v>
      </c>
      <c r="D549" t="s">
        <v>91</v>
      </c>
      <c r="E549" t="s">
        <v>82</v>
      </c>
      <c r="F549" t="s">
        <v>81</v>
      </c>
      <c r="G549">
        <v>0.76218645408224495</v>
      </c>
      <c r="H549">
        <v>2E+20</v>
      </c>
      <c r="I549">
        <v>0.43620012997396901</v>
      </c>
      <c r="J549">
        <v>1.0414166973374701</v>
      </c>
      <c r="K549">
        <v>42</v>
      </c>
      <c r="L549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30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0.74725125329628284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0.69500572513110004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0.82348832138033201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0.41711618986306598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1.0828879284455699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49" s="5">
        <f>IF((DiscreteStatsTable[[#This Row],[RepsRequested]]&gt;1),DiscreteStatsTable[[#This Row],[HalfWidth]],DiscreteStatsTable[[#This Row],[BatchMeansHalfWidth]])</f>
        <v>1.2271143454426573E-2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30</v>
      </c>
      <c r="Y549" s="5">
        <f>IF(DiscreteStatsTable[[#This Row],[RepsRequested]]=DiscreteStatsTable[[#This Row],[RepsWithStatObserved]],1,0)</f>
        <v>1</v>
      </c>
    </row>
    <row r="550" spans="1:25" x14ac:dyDescent="0.25">
      <c r="A550" t="s">
        <v>68</v>
      </c>
      <c r="B550" t="s">
        <v>70</v>
      </c>
      <c r="C550">
        <v>23</v>
      </c>
      <c r="D550" t="s">
        <v>91</v>
      </c>
      <c r="E550" t="s">
        <v>83</v>
      </c>
      <c r="F550" t="s">
        <v>81</v>
      </c>
      <c r="G550">
        <v>0.40254321994110898</v>
      </c>
      <c r="H550">
        <v>2E+20</v>
      </c>
      <c r="I550">
        <v>0</v>
      </c>
      <c r="J550">
        <v>3.57611804391304</v>
      </c>
      <c r="K550">
        <v>42</v>
      </c>
      <c r="L550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30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0.31585177554919308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0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0.74479236195114795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0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3.63182180622454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0" s="5">
        <f>IF((DiscreteStatsTable[[#This Row],[RepsRequested]]&gt;1),DiscreteStatsTable[[#This Row],[HalfWidth]],DiscreteStatsTable[[#This Row],[BatchMeansHalfWidth]])</f>
        <v>6.1700435859008876E-2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30</v>
      </c>
      <c r="Y550" s="5">
        <f>IF(DiscreteStatsTable[[#This Row],[RepsRequested]]=DiscreteStatsTable[[#This Row],[RepsWithStatObserved]],1,0)</f>
        <v>1</v>
      </c>
    </row>
    <row r="551" spans="1:25" x14ac:dyDescent="0.25">
      <c r="A551" t="s">
        <v>68</v>
      </c>
      <c r="B551" t="s">
        <v>70</v>
      </c>
      <c r="C551">
        <v>24</v>
      </c>
      <c r="D551" t="s">
        <v>91</v>
      </c>
      <c r="E551" t="s">
        <v>80</v>
      </c>
      <c r="F551" t="s">
        <v>81</v>
      </c>
      <c r="G551">
        <v>0.87653352648669502</v>
      </c>
      <c r="H551">
        <v>2E+20</v>
      </c>
      <c r="I551">
        <v>0.479096492996405</v>
      </c>
      <c r="J551">
        <v>2.1532905249905401</v>
      </c>
      <c r="K551">
        <v>39</v>
      </c>
      <c r="L551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30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1.0631030288454759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0.73683357844020803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1.5108386331108501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0.41857551264863002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4.2424665512149602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1" s="5">
        <f>IF((DiscreteStatsTable[[#This Row],[RepsRequested]]&gt;1),DiscreteStatsTable[[#This Row],[HalfWidth]],DiscreteStatsTable[[#This Row],[BatchMeansHalfWidth]])</f>
        <v>6.6698957254218635E-2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30</v>
      </c>
      <c r="Y551" s="5">
        <f>IF(DiscreteStatsTable[[#This Row],[RepsRequested]]=DiscreteStatsTable[[#This Row],[RepsWithStatObserved]],1,0)</f>
        <v>1</v>
      </c>
    </row>
    <row r="552" spans="1:25" x14ac:dyDescent="0.25">
      <c r="A552" t="s">
        <v>68</v>
      </c>
      <c r="B552" t="s">
        <v>70</v>
      </c>
      <c r="C552">
        <v>24</v>
      </c>
      <c r="D552" t="s">
        <v>91</v>
      </c>
      <c r="E552" t="s">
        <v>82</v>
      </c>
      <c r="F552" t="s">
        <v>81</v>
      </c>
      <c r="G552">
        <v>0.784414913641728</v>
      </c>
      <c r="H552">
        <v>2E+20</v>
      </c>
      <c r="I552">
        <v>0.41920304140001002</v>
      </c>
      <c r="J552">
        <v>1.06723795457962</v>
      </c>
      <c r="K552">
        <v>39</v>
      </c>
      <c r="L552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30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0.74725125329628284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0.69500572513110004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0.82348832138033201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0.41711618986306598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1.0828879284455699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2" s="5">
        <f>IF((DiscreteStatsTable[[#This Row],[RepsRequested]]&gt;1),DiscreteStatsTable[[#This Row],[HalfWidth]],DiscreteStatsTable[[#This Row],[BatchMeansHalfWidth]])</f>
        <v>1.2271143454426573E-2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30</v>
      </c>
      <c r="Y552" s="5">
        <f>IF(DiscreteStatsTable[[#This Row],[RepsRequested]]=DiscreteStatsTable[[#This Row],[RepsWithStatObserved]],1,0)</f>
        <v>1</v>
      </c>
    </row>
    <row r="553" spans="1:25" x14ac:dyDescent="0.25">
      <c r="A553" t="s">
        <v>68</v>
      </c>
      <c r="B553" t="s">
        <v>70</v>
      </c>
      <c r="C553">
        <v>24</v>
      </c>
      <c r="D553" t="s">
        <v>91</v>
      </c>
      <c r="E553" t="s">
        <v>83</v>
      </c>
      <c r="F553" t="s">
        <v>81</v>
      </c>
      <c r="G553">
        <v>9.2118612844967598E-2</v>
      </c>
      <c r="H553">
        <v>2E+20</v>
      </c>
      <c r="I553">
        <v>0</v>
      </c>
      <c r="J553">
        <v>1.18330099339983</v>
      </c>
      <c r="K553">
        <v>39</v>
      </c>
      <c r="L553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30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0.31585177554919308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0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0.74479236195114795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3.63182180622454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3" s="5">
        <f>IF((DiscreteStatsTable[[#This Row],[RepsRequested]]&gt;1),DiscreteStatsTable[[#This Row],[HalfWidth]],DiscreteStatsTable[[#This Row],[BatchMeansHalfWidth]])</f>
        <v>6.1700435859008876E-2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30</v>
      </c>
      <c r="Y553" s="5">
        <f>IF(DiscreteStatsTable[[#This Row],[RepsRequested]]=DiscreteStatsTable[[#This Row],[RepsWithStatObserved]],1,0)</f>
        <v>1</v>
      </c>
    </row>
    <row r="554" spans="1:25" x14ac:dyDescent="0.25">
      <c r="A554" t="s">
        <v>68</v>
      </c>
      <c r="B554" t="s">
        <v>70</v>
      </c>
      <c r="C554">
        <v>25</v>
      </c>
      <c r="D554" t="s">
        <v>91</v>
      </c>
      <c r="E554" t="s">
        <v>80</v>
      </c>
      <c r="F554" t="s">
        <v>81</v>
      </c>
      <c r="G554">
        <v>0.97073946295589397</v>
      </c>
      <c r="H554">
        <v>2E+20</v>
      </c>
      <c r="I554">
        <v>0.43167535133430601</v>
      </c>
      <c r="J554">
        <v>2.4530936825391598</v>
      </c>
      <c r="K554">
        <v>35</v>
      </c>
      <c r="L554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30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1.0631030288454759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0.73683357844020803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1.5108386331108501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0.41857551264863002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4.2424665512149602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4" s="5">
        <f>IF((DiscreteStatsTable[[#This Row],[RepsRequested]]&gt;1),DiscreteStatsTable[[#This Row],[HalfWidth]],DiscreteStatsTable[[#This Row],[BatchMeansHalfWidth]])</f>
        <v>6.6698957254218635E-2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30</v>
      </c>
      <c r="Y554" s="5">
        <f>IF(DiscreteStatsTable[[#This Row],[RepsRequested]]=DiscreteStatsTable[[#This Row],[RepsWithStatObserved]],1,0)</f>
        <v>1</v>
      </c>
    </row>
    <row r="555" spans="1:25" x14ac:dyDescent="0.25">
      <c r="A555" t="s">
        <v>68</v>
      </c>
      <c r="B555" t="s">
        <v>70</v>
      </c>
      <c r="C555">
        <v>25</v>
      </c>
      <c r="D555" t="s">
        <v>91</v>
      </c>
      <c r="E555" t="s">
        <v>82</v>
      </c>
      <c r="F555" t="s">
        <v>81</v>
      </c>
      <c r="G555">
        <v>0.71465985429841405</v>
      </c>
      <c r="H555">
        <v>2E+20</v>
      </c>
      <c r="I555">
        <v>0.43167535133430601</v>
      </c>
      <c r="J555">
        <v>1.05717225804281</v>
      </c>
      <c r="K555">
        <v>35</v>
      </c>
      <c r="L555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30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0.74725125329628284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0.69500572513110004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0.82348832138033201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0.41711618986306598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1.0828879284455699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5" s="5">
        <f>IF((DiscreteStatsTable[[#This Row],[RepsRequested]]&gt;1),DiscreteStatsTable[[#This Row],[HalfWidth]],DiscreteStatsTable[[#This Row],[BatchMeansHalfWidth]])</f>
        <v>1.2271143454426573E-2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30</v>
      </c>
      <c r="Y555" s="5">
        <f>IF(DiscreteStatsTable[[#This Row],[RepsRequested]]=DiscreteStatsTable[[#This Row],[RepsWithStatObserved]],1,0)</f>
        <v>1</v>
      </c>
    </row>
    <row r="556" spans="1:25" x14ac:dyDescent="0.25">
      <c r="A556" t="s">
        <v>68</v>
      </c>
      <c r="B556" t="s">
        <v>70</v>
      </c>
      <c r="C556">
        <v>25</v>
      </c>
      <c r="D556" t="s">
        <v>91</v>
      </c>
      <c r="E556" t="s">
        <v>83</v>
      </c>
      <c r="F556" t="s">
        <v>81</v>
      </c>
      <c r="G556">
        <v>0.25607960865747897</v>
      </c>
      <c r="H556">
        <v>2E+20</v>
      </c>
      <c r="I556">
        <v>0</v>
      </c>
      <c r="J556">
        <v>1.7882092160449901</v>
      </c>
      <c r="K556">
        <v>35</v>
      </c>
      <c r="L556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30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0.31585177554919308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0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0.74479236195114795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0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3.63182180622454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6" s="5">
        <f>IF((DiscreteStatsTable[[#This Row],[RepsRequested]]&gt;1),DiscreteStatsTable[[#This Row],[HalfWidth]],DiscreteStatsTable[[#This Row],[BatchMeansHalfWidth]])</f>
        <v>6.1700435859008876E-2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30</v>
      </c>
      <c r="Y556" s="5">
        <f>IF(DiscreteStatsTable[[#This Row],[RepsRequested]]=DiscreteStatsTable[[#This Row],[RepsWithStatObserved]],1,0)</f>
        <v>1</v>
      </c>
    </row>
    <row r="557" spans="1:25" x14ac:dyDescent="0.25">
      <c r="A557" t="s">
        <v>68</v>
      </c>
      <c r="B557" t="s">
        <v>70</v>
      </c>
      <c r="C557">
        <v>26</v>
      </c>
      <c r="D557" t="s">
        <v>91</v>
      </c>
      <c r="E557" t="s">
        <v>80</v>
      </c>
      <c r="F557" t="s">
        <v>81</v>
      </c>
      <c r="G557">
        <v>1.4070629960362</v>
      </c>
      <c r="H557">
        <v>2E+20</v>
      </c>
      <c r="I557">
        <v>0.43138585125010598</v>
      </c>
      <c r="J557">
        <v>3.14736562999494</v>
      </c>
      <c r="K557">
        <v>45</v>
      </c>
      <c r="L557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30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1.0631030288454759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0.73683357844020803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1.5108386331108501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0.41857551264863002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4.2424665512149602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7" s="5">
        <f>IF((DiscreteStatsTable[[#This Row],[RepsRequested]]&gt;1),DiscreteStatsTable[[#This Row],[HalfWidth]],DiscreteStatsTable[[#This Row],[BatchMeansHalfWidth]])</f>
        <v>6.6698957254218635E-2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30</v>
      </c>
      <c r="Y557" s="5">
        <f>IF(DiscreteStatsTable[[#This Row],[RepsRequested]]=DiscreteStatsTable[[#This Row],[RepsWithStatObserved]],1,0)</f>
        <v>1</v>
      </c>
    </row>
    <row r="558" spans="1:25" x14ac:dyDescent="0.25">
      <c r="A558" t="s">
        <v>68</v>
      </c>
      <c r="B558" t="s">
        <v>70</v>
      </c>
      <c r="C558">
        <v>26</v>
      </c>
      <c r="D558" t="s">
        <v>91</v>
      </c>
      <c r="E558" t="s">
        <v>82</v>
      </c>
      <c r="F558" t="s">
        <v>81</v>
      </c>
      <c r="G558">
        <v>0.82348832138033201</v>
      </c>
      <c r="H558">
        <v>2E+20</v>
      </c>
      <c r="I558">
        <v>0.43138585125010598</v>
      </c>
      <c r="J558">
        <v>1.06428679281052</v>
      </c>
      <c r="K558">
        <v>45</v>
      </c>
      <c r="L558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30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0.74725125329628284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0.69500572513110004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0.82348832138033201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0.41711618986306598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1.0828879284455699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8" s="5">
        <f>IF((DiscreteStatsTable[[#This Row],[RepsRequested]]&gt;1),DiscreteStatsTable[[#This Row],[HalfWidth]],DiscreteStatsTable[[#This Row],[BatchMeansHalfWidth]])</f>
        <v>1.2271143454426573E-2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30</v>
      </c>
      <c r="Y558" s="5">
        <f>IF(DiscreteStatsTable[[#This Row],[RepsRequested]]=DiscreteStatsTable[[#This Row],[RepsWithStatObserved]],1,0)</f>
        <v>1</v>
      </c>
    </row>
    <row r="559" spans="1:25" x14ac:dyDescent="0.25">
      <c r="A559" t="s">
        <v>68</v>
      </c>
      <c r="B559" t="s">
        <v>70</v>
      </c>
      <c r="C559">
        <v>26</v>
      </c>
      <c r="D559" t="s">
        <v>91</v>
      </c>
      <c r="E559" t="s">
        <v>83</v>
      </c>
      <c r="F559" t="s">
        <v>81</v>
      </c>
      <c r="G559">
        <v>0.58357467465587098</v>
      </c>
      <c r="H559">
        <v>2E+20</v>
      </c>
      <c r="I559">
        <v>0</v>
      </c>
      <c r="J559">
        <v>2.5447109921783801</v>
      </c>
      <c r="K559">
        <v>45</v>
      </c>
      <c r="L559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30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0.31585177554919308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0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0.74479236195114795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3.63182180622454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59" s="5">
        <f>IF((DiscreteStatsTable[[#This Row],[RepsRequested]]&gt;1),DiscreteStatsTable[[#This Row],[HalfWidth]],DiscreteStatsTable[[#This Row],[BatchMeansHalfWidth]])</f>
        <v>6.1700435859008876E-2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30</v>
      </c>
      <c r="Y559" s="5">
        <f>IF(DiscreteStatsTable[[#This Row],[RepsRequested]]=DiscreteStatsTable[[#This Row],[RepsWithStatObserved]],1,0)</f>
        <v>1</v>
      </c>
    </row>
    <row r="560" spans="1:25" x14ac:dyDescent="0.25">
      <c r="A560" t="s">
        <v>68</v>
      </c>
      <c r="B560" t="s">
        <v>70</v>
      </c>
      <c r="C560">
        <v>27</v>
      </c>
      <c r="D560" t="s">
        <v>91</v>
      </c>
      <c r="E560" t="s">
        <v>80</v>
      </c>
      <c r="F560" t="s">
        <v>81</v>
      </c>
      <c r="G560">
        <v>1.2137623785012901</v>
      </c>
      <c r="H560">
        <v>2E+20</v>
      </c>
      <c r="I560">
        <v>0.42065092925122399</v>
      </c>
      <c r="J560">
        <v>3.31084421613869</v>
      </c>
      <c r="K560">
        <v>45</v>
      </c>
      <c r="L560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30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1.0631030288454759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0.73683357844020803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1.5108386331108501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0.41857551264863002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4.2424665512149602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0" s="5">
        <f>IF((DiscreteStatsTable[[#This Row],[RepsRequested]]&gt;1),DiscreteStatsTable[[#This Row],[HalfWidth]],DiscreteStatsTable[[#This Row],[BatchMeansHalfWidth]])</f>
        <v>6.6698957254218635E-2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30</v>
      </c>
      <c r="Y560" s="5">
        <f>IF(DiscreteStatsTable[[#This Row],[RepsRequested]]=DiscreteStatsTable[[#This Row],[RepsWithStatObserved]],1,0)</f>
        <v>1</v>
      </c>
    </row>
    <row r="561" spans="1:25" x14ac:dyDescent="0.25">
      <c r="A561" t="s">
        <v>68</v>
      </c>
      <c r="B561" t="s">
        <v>70</v>
      </c>
      <c r="C561">
        <v>27</v>
      </c>
      <c r="D561" t="s">
        <v>91</v>
      </c>
      <c r="E561" t="s">
        <v>82</v>
      </c>
      <c r="F561" t="s">
        <v>81</v>
      </c>
      <c r="G561">
        <v>0.77568823679625198</v>
      </c>
      <c r="H561">
        <v>2E+20</v>
      </c>
      <c r="I561">
        <v>0.42065092925122399</v>
      </c>
      <c r="J561">
        <v>1.07908609876853</v>
      </c>
      <c r="K561">
        <v>45</v>
      </c>
      <c r="L561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30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0.74725125329628284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0.69500572513110004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0.82348832138033201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0.41711618986306598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1.0828879284455699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1" s="5">
        <f>IF((DiscreteStatsTable[[#This Row],[RepsRequested]]&gt;1),DiscreteStatsTable[[#This Row],[HalfWidth]],DiscreteStatsTable[[#This Row],[BatchMeansHalfWidth]])</f>
        <v>1.2271143454426573E-2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30</v>
      </c>
      <c r="Y561" s="5">
        <f>IF(DiscreteStatsTable[[#This Row],[RepsRequested]]=DiscreteStatsTable[[#This Row],[RepsWithStatObserved]],1,0)</f>
        <v>1</v>
      </c>
    </row>
    <row r="562" spans="1:25" x14ac:dyDescent="0.25">
      <c r="A562" t="s">
        <v>68</v>
      </c>
      <c r="B562" t="s">
        <v>70</v>
      </c>
      <c r="C562">
        <v>27</v>
      </c>
      <c r="D562" t="s">
        <v>91</v>
      </c>
      <c r="E562" t="s">
        <v>83</v>
      </c>
      <c r="F562" t="s">
        <v>81</v>
      </c>
      <c r="G562">
        <v>0.438074141705034</v>
      </c>
      <c r="H562">
        <v>2E+20</v>
      </c>
      <c r="I562">
        <v>0</v>
      </c>
      <c r="J562">
        <v>2.87631127301893</v>
      </c>
      <c r="K562">
        <v>45</v>
      </c>
      <c r="L562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30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0.31585177554919308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0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0.74479236195114795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0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3.63182180622454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2" s="5">
        <f>IF((DiscreteStatsTable[[#This Row],[RepsRequested]]&gt;1),DiscreteStatsTable[[#This Row],[HalfWidth]],DiscreteStatsTable[[#This Row],[BatchMeansHalfWidth]])</f>
        <v>6.1700435859008876E-2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30</v>
      </c>
      <c r="Y562" s="5">
        <f>IF(DiscreteStatsTable[[#This Row],[RepsRequested]]=DiscreteStatsTable[[#This Row],[RepsWithStatObserved]],1,0)</f>
        <v>1</v>
      </c>
    </row>
    <row r="563" spans="1:25" x14ac:dyDescent="0.25">
      <c r="A563" t="s">
        <v>68</v>
      </c>
      <c r="B563" t="s">
        <v>70</v>
      </c>
      <c r="C563">
        <v>28</v>
      </c>
      <c r="D563" t="s">
        <v>91</v>
      </c>
      <c r="E563" t="s">
        <v>80</v>
      </c>
      <c r="F563" t="s">
        <v>81</v>
      </c>
      <c r="G563">
        <v>1.14486666235204</v>
      </c>
      <c r="H563">
        <v>2E+20</v>
      </c>
      <c r="I563">
        <v>0.43293963048321199</v>
      </c>
      <c r="J563">
        <v>3.0107734688600298</v>
      </c>
      <c r="K563">
        <v>39</v>
      </c>
      <c r="L563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30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1.0631030288454759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0.73683357844020803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1.5108386331108501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0.41857551264863002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4.2424665512149602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3" s="5">
        <f>IF((DiscreteStatsTable[[#This Row],[RepsRequested]]&gt;1),DiscreteStatsTable[[#This Row],[HalfWidth]],DiscreteStatsTable[[#This Row],[BatchMeansHalfWidth]])</f>
        <v>6.6698957254218635E-2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30</v>
      </c>
      <c r="Y563" s="5">
        <f>IF(DiscreteStatsTable[[#This Row],[RepsRequested]]=DiscreteStatsTable[[#This Row],[RepsWithStatObserved]],1,0)</f>
        <v>1</v>
      </c>
    </row>
    <row r="564" spans="1:25" x14ac:dyDescent="0.25">
      <c r="A564" t="s">
        <v>68</v>
      </c>
      <c r="B564" t="s">
        <v>70</v>
      </c>
      <c r="C564">
        <v>28</v>
      </c>
      <c r="D564" t="s">
        <v>91</v>
      </c>
      <c r="E564" t="s">
        <v>82</v>
      </c>
      <c r="F564" t="s">
        <v>81</v>
      </c>
      <c r="G564">
        <v>0.74002619195377495</v>
      </c>
      <c r="H564">
        <v>2E+20</v>
      </c>
      <c r="I564">
        <v>0.43293963048321199</v>
      </c>
      <c r="J564">
        <v>1.0445362440988799</v>
      </c>
      <c r="K564">
        <v>39</v>
      </c>
      <c r="L564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30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0.74725125329628284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0.69500572513110004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0.82348832138033201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0.41711618986306598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1.0828879284455699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4" s="5">
        <f>IF((DiscreteStatsTable[[#This Row],[RepsRequested]]&gt;1),DiscreteStatsTable[[#This Row],[HalfWidth]],DiscreteStatsTable[[#This Row],[BatchMeansHalfWidth]])</f>
        <v>1.2271143454426573E-2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30</v>
      </c>
      <c r="Y564" s="5">
        <f>IF(DiscreteStatsTable[[#This Row],[RepsRequested]]=DiscreteStatsTable[[#This Row],[RepsWithStatObserved]],1,0)</f>
        <v>1</v>
      </c>
    </row>
    <row r="565" spans="1:25" x14ac:dyDescent="0.25">
      <c r="A565" t="s">
        <v>68</v>
      </c>
      <c r="B565" t="s">
        <v>70</v>
      </c>
      <c r="C565">
        <v>28</v>
      </c>
      <c r="D565" t="s">
        <v>91</v>
      </c>
      <c r="E565" t="s">
        <v>83</v>
      </c>
      <c r="F565" t="s">
        <v>81</v>
      </c>
      <c r="G565">
        <v>0.40484047039826698</v>
      </c>
      <c r="H565">
        <v>2E+20</v>
      </c>
      <c r="I565">
        <v>0</v>
      </c>
      <c r="J565">
        <v>2.0464245301250799</v>
      </c>
      <c r="K565">
        <v>39</v>
      </c>
      <c r="L565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30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0.31585177554919308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0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0.74479236195114795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3.63182180622454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5" s="5">
        <f>IF((DiscreteStatsTable[[#This Row],[RepsRequested]]&gt;1),DiscreteStatsTable[[#This Row],[HalfWidth]],DiscreteStatsTable[[#This Row],[BatchMeansHalfWidth]])</f>
        <v>6.1700435859008876E-2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30</v>
      </c>
      <c r="Y565" s="5">
        <f>IF(DiscreteStatsTable[[#This Row],[RepsRequested]]=DiscreteStatsTable[[#This Row],[RepsWithStatObserved]],1,0)</f>
        <v>1</v>
      </c>
    </row>
    <row r="566" spans="1:25" x14ac:dyDescent="0.25">
      <c r="A566" t="s">
        <v>68</v>
      </c>
      <c r="B566" t="s">
        <v>70</v>
      </c>
      <c r="C566">
        <v>29</v>
      </c>
      <c r="D566" t="s">
        <v>91</v>
      </c>
      <c r="E566" t="s">
        <v>80</v>
      </c>
      <c r="F566" t="s">
        <v>81</v>
      </c>
      <c r="G566">
        <v>1.0900655501621099</v>
      </c>
      <c r="H566">
        <v>2E+20</v>
      </c>
      <c r="I566">
        <v>0.42496781355427499</v>
      </c>
      <c r="J566">
        <v>2.8768019311832198</v>
      </c>
      <c r="K566">
        <v>47</v>
      </c>
      <c r="L566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30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1.0631030288454759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0.73683357844020803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1.5108386331108501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0.41857551264863002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4.2424665512149602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6" s="5">
        <f>IF((DiscreteStatsTable[[#This Row],[RepsRequested]]&gt;1),DiscreteStatsTable[[#This Row],[HalfWidth]],DiscreteStatsTable[[#This Row],[BatchMeansHalfWidth]])</f>
        <v>6.6698957254218635E-2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30</v>
      </c>
      <c r="Y566" s="5">
        <f>IF(DiscreteStatsTable[[#This Row],[RepsRequested]]=DiscreteStatsTable[[#This Row],[RepsWithStatObserved]],1,0)</f>
        <v>1</v>
      </c>
    </row>
    <row r="567" spans="1:25" x14ac:dyDescent="0.25">
      <c r="A567" t="s">
        <v>68</v>
      </c>
      <c r="B567" t="s">
        <v>70</v>
      </c>
      <c r="C567">
        <v>29</v>
      </c>
      <c r="D567" t="s">
        <v>91</v>
      </c>
      <c r="E567" t="s">
        <v>82</v>
      </c>
      <c r="F567" t="s">
        <v>81</v>
      </c>
      <c r="G567">
        <v>0.77504229102549804</v>
      </c>
      <c r="H567">
        <v>2E+20</v>
      </c>
      <c r="I567">
        <v>0.42338181381816797</v>
      </c>
      <c r="J567">
        <v>1.06783821110028</v>
      </c>
      <c r="K567">
        <v>47</v>
      </c>
      <c r="L567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30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0.74725125329628284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0.69500572513110004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0.82348832138033201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0.41711618986306598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1.0828879284455699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7" s="5">
        <f>IF((DiscreteStatsTable[[#This Row],[RepsRequested]]&gt;1),DiscreteStatsTable[[#This Row],[HalfWidth]],DiscreteStatsTable[[#This Row],[BatchMeansHalfWidth]])</f>
        <v>1.2271143454426573E-2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30</v>
      </c>
      <c r="Y567" s="5">
        <f>IF(DiscreteStatsTable[[#This Row],[RepsRequested]]=DiscreteStatsTable[[#This Row],[RepsWithStatObserved]],1,0)</f>
        <v>1</v>
      </c>
    </row>
    <row r="568" spans="1:25" x14ac:dyDescent="0.25">
      <c r="A568" t="s">
        <v>68</v>
      </c>
      <c r="B568" t="s">
        <v>70</v>
      </c>
      <c r="C568">
        <v>29</v>
      </c>
      <c r="D568" t="s">
        <v>91</v>
      </c>
      <c r="E568" t="s">
        <v>83</v>
      </c>
      <c r="F568" t="s">
        <v>81</v>
      </c>
      <c r="G568">
        <v>0.315023259136608</v>
      </c>
      <c r="H568">
        <v>2E+20</v>
      </c>
      <c r="I568">
        <v>0</v>
      </c>
      <c r="J568">
        <v>2.3512538794300899</v>
      </c>
      <c r="K568">
        <v>47</v>
      </c>
      <c r="L568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30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0.31585177554919308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0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0.74479236195114795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0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3.63182180622454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8" s="5">
        <f>IF((DiscreteStatsTable[[#This Row],[RepsRequested]]&gt;1),DiscreteStatsTable[[#This Row],[HalfWidth]],DiscreteStatsTable[[#This Row],[BatchMeansHalfWidth]])</f>
        <v>6.1700435859008876E-2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30</v>
      </c>
      <c r="Y568" s="5">
        <f>IF(DiscreteStatsTable[[#This Row],[RepsRequested]]=DiscreteStatsTable[[#This Row],[RepsWithStatObserved]],1,0)</f>
        <v>1</v>
      </c>
    </row>
    <row r="569" spans="1:25" x14ac:dyDescent="0.25">
      <c r="A569" t="s">
        <v>68</v>
      </c>
      <c r="B569" t="s">
        <v>70</v>
      </c>
      <c r="C569">
        <v>30</v>
      </c>
      <c r="D569" t="s">
        <v>91</v>
      </c>
      <c r="E569" t="s">
        <v>80</v>
      </c>
      <c r="F569" t="s">
        <v>81</v>
      </c>
      <c r="G569">
        <v>1.00979530714343</v>
      </c>
      <c r="H569">
        <v>2E+20</v>
      </c>
      <c r="I569">
        <v>0.43134993277540401</v>
      </c>
      <c r="J569">
        <v>3.6956405773655399</v>
      </c>
      <c r="K569">
        <v>35</v>
      </c>
      <c r="L569" s="5" t="str">
        <f>DiscreteStatsTable[[#This Row],[ProjectName]]&amp;DiscreteStatsTable[[#This Row],[Name]]&amp;DiscreteStatsTable[[#This Row],[Type]]&amp;DiscreteStatsTable[[#This Row],[Source]]</f>
        <v>Pedido CleintesPagoTotal Time Per EntityProcess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30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1.0631030288454759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0.17862308807588656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6.6698957254218635E-2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0.73683357844020803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1.5108386331108501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0.41857551264863002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4.2424665512149602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69" s="5">
        <f>IF((DiscreteStatsTable[[#This Row],[RepsRequested]]&gt;1),DiscreteStatsTable[[#This Row],[HalfWidth]],DiscreteStatsTable[[#This Row],[BatchMeansHalfWidth]])</f>
        <v>6.6698957254218635E-2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30</v>
      </c>
      <c r="Y569" s="5">
        <f>IF(DiscreteStatsTable[[#This Row],[RepsRequested]]=DiscreteStatsTable[[#This Row],[RepsWithStatObserved]],1,0)</f>
        <v>1</v>
      </c>
    </row>
    <row r="570" spans="1:25" x14ac:dyDescent="0.25">
      <c r="A570" t="s">
        <v>68</v>
      </c>
      <c r="B570" t="s">
        <v>70</v>
      </c>
      <c r="C570">
        <v>30</v>
      </c>
      <c r="D570" t="s">
        <v>91</v>
      </c>
      <c r="E570" t="s">
        <v>82</v>
      </c>
      <c r="F570" t="s">
        <v>81</v>
      </c>
      <c r="G570">
        <v>0.72901413730848097</v>
      </c>
      <c r="H570">
        <v>2E+20</v>
      </c>
      <c r="I570">
        <v>0.43134993277540401</v>
      </c>
      <c r="J570">
        <v>1.07194924531987</v>
      </c>
      <c r="K570">
        <v>35</v>
      </c>
      <c r="L570" s="5" t="str">
        <f>DiscreteStatsTable[[#This Row],[ProjectName]]&amp;DiscreteStatsTable[[#This Row],[Name]]&amp;DiscreteStatsTable[[#This Row],[Type]]&amp;DiscreteStatsTable[[#This Row],[Source]]</f>
        <v>Pedido CleintesPagoVA Time Per EntityProcess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30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0.74725125329628284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3.2862725719947306E-2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1.2271143454426573E-2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0.69500572513110004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0.82348832138033201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0.41711618986306598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1.0828879284455699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70" s="5">
        <f>IF((DiscreteStatsTable[[#This Row],[RepsRequested]]&gt;1),DiscreteStatsTable[[#This Row],[HalfWidth]],DiscreteStatsTable[[#This Row],[BatchMeansHalfWidth]])</f>
        <v>1.2271143454426573E-2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30</v>
      </c>
      <c r="Y570" s="5">
        <f>IF(DiscreteStatsTable[[#This Row],[RepsRequested]]=DiscreteStatsTable[[#This Row],[RepsWithStatObserved]],1,0)</f>
        <v>1</v>
      </c>
    </row>
    <row r="571" spans="1:25" x14ac:dyDescent="0.25">
      <c r="A571" t="s">
        <v>68</v>
      </c>
      <c r="B571" t="s">
        <v>70</v>
      </c>
      <c r="C571">
        <v>30</v>
      </c>
      <c r="D571" t="s">
        <v>91</v>
      </c>
      <c r="E571" t="s">
        <v>83</v>
      </c>
      <c r="F571" t="s">
        <v>81</v>
      </c>
      <c r="G571">
        <v>0.28078116983495199</v>
      </c>
      <c r="H571">
        <v>2E+20</v>
      </c>
      <c r="I571">
        <v>0</v>
      </c>
      <c r="J571">
        <v>2.93828800002863</v>
      </c>
      <c r="K571">
        <v>35</v>
      </c>
      <c r="L571" s="5" t="str">
        <f>DiscreteStatsTable[[#This Row],[ProjectName]]&amp;DiscreteStatsTable[[#This Row],[Name]]&amp;DiscreteStatsTable[[#This Row],[Type]]&amp;DiscreteStatsTable[[#This Row],[Source]]</f>
        <v>Pedido CleintesPagoWait Time Per EntityProcess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30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0.31585177554919308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0.16523680193017196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6.1700435859008876E-2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0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0.74479236195114795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3.63182180622454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39.43333333333333</v>
      </c>
      <c r="W571" s="5">
        <f>IF((DiscreteStatsTable[[#This Row],[RepsRequested]]&gt;1),DiscreteStatsTable[[#This Row],[HalfWidth]],DiscreteStatsTable[[#This Row],[BatchMeansHalfWidth]])</f>
        <v>6.1700435859008876E-2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30</v>
      </c>
      <c r="Y571" s="5">
        <f>IF(DiscreteStatsTable[[#This Row],[RepsRequested]]=DiscreteStatsTable[[#This Row],[RepsWithStatObserved]],1,0)</f>
        <v>1</v>
      </c>
    </row>
    <row r="572" spans="1:25" x14ac:dyDescent="0.25">
      <c r="A572" t="s">
        <v>68</v>
      </c>
      <c r="B572" t="s">
        <v>70</v>
      </c>
      <c r="C572">
        <v>1</v>
      </c>
      <c r="D572" t="s">
        <v>92</v>
      </c>
      <c r="E572" t="s">
        <v>85</v>
      </c>
      <c r="F572" t="s">
        <v>86</v>
      </c>
      <c r="G572">
        <v>0.14294775340131299</v>
      </c>
      <c r="H572">
        <v>2E+20</v>
      </c>
      <c r="I572">
        <v>0</v>
      </c>
      <c r="J572">
        <v>1.02581914731135</v>
      </c>
      <c r="K572">
        <v>26</v>
      </c>
      <c r="L572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30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0.3159249206582086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0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0.74479236195114795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0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3.63182180622454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2" s="5">
        <f>IF((DiscreteStatsTable[[#This Row],[RepsRequested]]&gt;1),DiscreteStatsTable[[#This Row],[HalfWidth]],DiscreteStatsTable[[#This Row],[BatchMeansHalfWidth]])</f>
        <v>6.1312256674312914E-2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30</v>
      </c>
      <c r="Y572" s="5">
        <f>IF(DiscreteStatsTable[[#This Row],[RepsRequested]]=DiscreteStatsTable[[#This Row],[RepsWithStatObserved]],1,0)</f>
        <v>1</v>
      </c>
    </row>
    <row r="573" spans="1:25" x14ac:dyDescent="0.25">
      <c r="A573" t="s">
        <v>68</v>
      </c>
      <c r="B573" t="s">
        <v>70</v>
      </c>
      <c r="C573">
        <v>2</v>
      </c>
      <c r="D573" t="s">
        <v>92</v>
      </c>
      <c r="E573" t="s">
        <v>85</v>
      </c>
      <c r="F573" t="s">
        <v>86</v>
      </c>
      <c r="G573">
        <v>0.233389218501074</v>
      </c>
      <c r="H573">
        <v>2E+20</v>
      </c>
      <c r="I573">
        <v>0</v>
      </c>
      <c r="J573">
        <v>1.22125137362355</v>
      </c>
      <c r="K573">
        <v>41</v>
      </c>
      <c r="L573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30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0.3159249206582086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0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0.74479236195114795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3.63182180622454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3" s="5">
        <f>IF((DiscreteStatsTable[[#This Row],[RepsRequested]]&gt;1),DiscreteStatsTable[[#This Row],[HalfWidth]],DiscreteStatsTable[[#This Row],[BatchMeansHalfWidth]])</f>
        <v>6.1312256674312914E-2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30</v>
      </c>
      <c r="Y573" s="5">
        <f>IF(DiscreteStatsTable[[#This Row],[RepsRequested]]=DiscreteStatsTable[[#This Row],[RepsWithStatObserved]],1,0)</f>
        <v>1</v>
      </c>
    </row>
    <row r="574" spans="1:25" x14ac:dyDescent="0.25">
      <c r="A574" t="s">
        <v>68</v>
      </c>
      <c r="B574" t="s">
        <v>70</v>
      </c>
      <c r="C574">
        <v>3</v>
      </c>
      <c r="D574" t="s">
        <v>92</v>
      </c>
      <c r="E574" t="s">
        <v>85</v>
      </c>
      <c r="F574" t="s">
        <v>86</v>
      </c>
      <c r="G574">
        <v>0.64161148474201402</v>
      </c>
      <c r="H574">
        <v>2E+20</v>
      </c>
      <c r="I574">
        <v>0</v>
      </c>
      <c r="J574">
        <v>2.7921282585527498</v>
      </c>
      <c r="K574">
        <v>47</v>
      </c>
      <c r="L574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30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0.3159249206582086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0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0.74479236195114795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0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3.63182180622454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4" s="5">
        <f>IF((DiscreteStatsTable[[#This Row],[RepsRequested]]&gt;1),DiscreteStatsTable[[#This Row],[HalfWidth]],DiscreteStatsTable[[#This Row],[BatchMeansHalfWidth]])</f>
        <v>6.1312256674312914E-2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30</v>
      </c>
      <c r="Y574" s="5">
        <f>IF(DiscreteStatsTable[[#This Row],[RepsRequested]]=DiscreteStatsTable[[#This Row],[RepsWithStatObserved]],1,0)</f>
        <v>1</v>
      </c>
    </row>
    <row r="575" spans="1:25" x14ac:dyDescent="0.25">
      <c r="A575" t="s">
        <v>68</v>
      </c>
      <c r="B575" t="s">
        <v>70</v>
      </c>
      <c r="C575">
        <v>4</v>
      </c>
      <c r="D575" t="s">
        <v>92</v>
      </c>
      <c r="E575" t="s">
        <v>85</v>
      </c>
      <c r="F575" t="s">
        <v>86</v>
      </c>
      <c r="G575">
        <v>0.154248569498909</v>
      </c>
      <c r="H575">
        <v>2E+20</v>
      </c>
      <c r="I575">
        <v>0</v>
      </c>
      <c r="J575">
        <v>1.2183593939921</v>
      </c>
      <c r="K575">
        <v>33</v>
      </c>
      <c r="L575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30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0.3159249206582086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0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0.74479236195114795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3.63182180622454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5" s="5">
        <f>IF((DiscreteStatsTable[[#This Row],[RepsRequested]]&gt;1),DiscreteStatsTable[[#This Row],[HalfWidth]],DiscreteStatsTable[[#This Row],[BatchMeansHalfWidth]])</f>
        <v>6.1312256674312914E-2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30</v>
      </c>
      <c r="Y575" s="5">
        <f>IF(DiscreteStatsTable[[#This Row],[RepsRequested]]=DiscreteStatsTable[[#This Row],[RepsWithStatObserved]],1,0)</f>
        <v>1</v>
      </c>
    </row>
    <row r="576" spans="1:25" x14ac:dyDescent="0.25">
      <c r="A576" t="s">
        <v>68</v>
      </c>
      <c r="B576" t="s">
        <v>70</v>
      </c>
      <c r="C576">
        <v>5</v>
      </c>
      <c r="D576" t="s">
        <v>92</v>
      </c>
      <c r="E576" t="s">
        <v>85</v>
      </c>
      <c r="F576" t="s">
        <v>86</v>
      </c>
      <c r="G576">
        <v>0.43779478339876099</v>
      </c>
      <c r="H576">
        <v>2E+20</v>
      </c>
      <c r="I576">
        <v>0</v>
      </c>
      <c r="J576">
        <v>2.8278524290315099</v>
      </c>
      <c r="K576">
        <v>46</v>
      </c>
      <c r="L576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30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0.3159249206582086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0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0.74479236195114795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0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3.63182180622454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6" s="5">
        <f>IF((DiscreteStatsTable[[#This Row],[RepsRequested]]&gt;1),DiscreteStatsTable[[#This Row],[HalfWidth]],DiscreteStatsTable[[#This Row],[BatchMeansHalfWidth]])</f>
        <v>6.1312256674312914E-2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30</v>
      </c>
      <c r="Y576" s="5">
        <f>IF(DiscreteStatsTable[[#This Row],[RepsRequested]]=DiscreteStatsTable[[#This Row],[RepsWithStatObserved]],1,0)</f>
        <v>1</v>
      </c>
    </row>
    <row r="577" spans="1:25" x14ac:dyDescent="0.25">
      <c r="A577" t="s">
        <v>68</v>
      </c>
      <c r="B577" t="s">
        <v>70</v>
      </c>
      <c r="C577">
        <v>6</v>
      </c>
      <c r="D577" t="s">
        <v>92</v>
      </c>
      <c r="E577" t="s">
        <v>85</v>
      </c>
      <c r="F577" t="s">
        <v>86</v>
      </c>
      <c r="G577">
        <v>0.199092206477816</v>
      </c>
      <c r="H577">
        <v>2E+20</v>
      </c>
      <c r="I577">
        <v>0</v>
      </c>
      <c r="J577">
        <v>2.6193087530210999</v>
      </c>
      <c r="K577">
        <v>39</v>
      </c>
      <c r="L577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30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0.3159249206582086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0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0.74479236195114795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3.63182180622454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7" s="5">
        <f>IF((DiscreteStatsTable[[#This Row],[RepsRequested]]&gt;1),DiscreteStatsTable[[#This Row],[HalfWidth]],DiscreteStatsTable[[#This Row],[BatchMeansHalfWidth]])</f>
        <v>6.1312256674312914E-2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30</v>
      </c>
      <c r="Y577" s="5">
        <f>IF(DiscreteStatsTable[[#This Row],[RepsRequested]]=DiscreteStatsTable[[#This Row],[RepsWithStatObserved]],1,0)</f>
        <v>1</v>
      </c>
    </row>
    <row r="578" spans="1:25" x14ac:dyDescent="0.25">
      <c r="A578" t="s">
        <v>68</v>
      </c>
      <c r="B578" t="s">
        <v>70</v>
      </c>
      <c r="C578">
        <v>7</v>
      </c>
      <c r="D578" t="s">
        <v>92</v>
      </c>
      <c r="E578" t="s">
        <v>85</v>
      </c>
      <c r="F578" t="s">
        <v>86</v>
      </c>
      <c r="G578">
        <v>0.12581018956436099</v>
      </c>
      <c r="H578">
        <v>2E+20</v>
      </c>
      <c r="I578">
        <v>0</v>
      </c>
      <c r="J578">
        <v>1.6778654099730499</v>
      </c>
      <c r="K578">
        <v>38</v>
      </c>
      <c r="L578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30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0.3159249206582086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0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0.74479236195114795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0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3.63182180622454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8" s="5">
        <f>IF((DiscreteStatsTable[[#This Row],[RepsRequested]]&gt;1),DiscreteStatsTable[[#This Row],[HalfWidth]],DiscreteStatsTable[[#This Row],[BatchMeansHalfWidth]])</f>
        <v>6.1312256674312914E-2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30</v>
      </c>
      <c r="Y578" s="5">
        <f>IF(DiscreteStatsTable[[#This Row],[RepsRequested]]=DiscreteStatsTable[[#This Row],[RepsWithStatObserved]],1,0)</f>
        <v>1</v>
      </c>
    </row>
    <row r="579" spans="1:25" x14ac:dyDescent="0.25">
      <c r="A579" t="s">
        <v>68</v>
      </c>
      <c r="B579" t="s">
        <v>70</v>
      </c>
      <c r="C579">
        <v>8</v>
      </c>
      <c r="D579" t="s">
        <v>92</v>
      </c>
      <c r="E579" t="s">
        <v>85</v>
      </c>
      <c r="F579" t="s">
        <v>86</v>
      </c>
      <c r="G579">
        <v>0.49363407550211003</v>
      </c>
      <c r="H579">
        <v>2E+20</v>
      </c>
      <c r="I579">
        <v>0</v>
      </c>
      <c r="J579">
        <v>2.1156431861267002</v>
      </c>
      <c r="K579">
        <v>36</v>
      </c>
      <c r="L579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30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0.3159249206582086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0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0.74479236195114795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3.63182180622454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79" s="5">
        <f>IF((DiscreteStatsTable[[#This Row],[RepsRequested]]&gt;1),DiscreteStatsTable[[#This Row],[HalfWidth]],DiscreteStatsTable[[#This Row],[BatchMeansHalfWidth]])</f>
        <v>6.1312256674312914E-2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30</v>
      </c>
      <c r="Y579" s="5">
        <f>IF(DiscreteStatsTable[[#This Row],[RepsRequested]]=DiscreteStatsTable[[#This Row],[RepsWithStatObserved]],1,0)</f>
        <v>1</v>
      </c>
    </row>
    <row r="580" spans="1:25" x14ac:dyDescent="0.25">
      <c r="A580" t="s">
        <v>68</v>
      </c>
      <c r="B580" t="s">
        <v>70</v>
      </c>
      <c r="C580">
        <v>9</v>
      </c>
      <c r="D580" t="s">
        <v>92</v>
      </c>
      <c r="E580" t="s">
        <v>85</v>
      </c>
      <c r="F580" t="s">
        <v>86</v>
      </c>
      <c r="G580">
        <v>0.23597637786186701</v>
      </c>
      <c r="H580">
        <v>2E+20</v>
      </c>
      <c r="I580">
        <v>0</v>
      </c>
      <c r="J580">
        <v>1.1632963437111199</v>
      </c>
      <c r="K580">
        <v>35</v>
      </c>
      <c r="L580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30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0.3159249206582086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0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0.74479236195114795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0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3.63182180622454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0" s="5">
        <f>IF((DiscreteStatsTable[[#This Row],[RepsRequested]]&gt;1),DiscreteStatsTable[[#This Row],[HalfWidth]],DiscreteStatsTable[[#This Row],[BatchMeansHalfWidth]])</f>
        <v>6.1312256674312914E-2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30</v>
      </c>
      <c r="Y580" s="5">
        <f>IF(DiscreteStatsTable[[#This Row],[RepsRequested]]=DiscreteStatsTable[[#This Row],[RepsWithStatObserved]],1,0)</f>
        <v>1</v>
      </c>
    </row>
    <row r="581" spans="1:25" x14ac:dyDescent="0.25">
      <c r="A581" t="s">
        <v>68</v>
      </c>
      <c r="B581" t="s">
        <v>70</v>
      </c>
      <c r="C581">
        <v>10</v>
      </c>
      <c r="D581" t="s">
        <v>92</v>
      </c>
      <c r="E581" t="s">
        <v>85</v>
      </c>
      <c r="F581" t="s">
        <v>86</v>
      </c>
      <c r="G581">
        <v>0.24251237426077299</v>
      </c>
      <c r="H581">
        <v>2E+20</v>
      </c>
      <c r="I581">
        <v>0</v>
      </c>
      <c r="J581">
        <v>1.3292309251790799</v>
      </c>
      <c r="K581">
        <v>41</v>
      </c>
      <c r="L581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30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0.3159249206582086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0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0.74479236195114795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3.63182180622454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1" s="5">
        <f>IF((DiscreteStatsTable[[#This Row],[RepsRequested]]&gt;1),DiscreteStatsTable[[#This Row],[HalfWidth]],DiscreteStatsTable[[#This Row],[BatchMeansHalfWidth]])</f>
        <v>6.1312256674312914E-2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30</v>
      </c>
      <c r="Y581" s="5">
        <f>IF(DiscreteStatsTable[[#This Row],[RepsRequested]]=DiscreteStatsTable[[#This Row],[RepsWithStatObserved]],1,0)</f>
        <v>1</v>
      </c>
    </row>
    <row r="582" spans="1:25" x14ac:dyDescent="0.25">
      <c r="A582" t="s">
        <v>68</v>
      </c>
      <c r="B582" t="s">
        <v>70</v>
      </c>
      <c r="C582">
        <v>11</v>
      </c>
      <c r="D582" t="s">
        <v>92</v>
      </c>
      <c r="E582" t="s">
        <v>85</v>
      </c>
      <c r="F582" t="s">
        <v>86</v>
      </c>
      <c r="G582">
        <v>0.31230702649205699</v>
      </c>
      <c r="H582">
        <v>2E+20</v>
      </c>
      <c r="I582">
        <v>0</v>
      </c>
      <c r="J582">
        <v>2.3620403858948902</v>
      </c>
      <c r="K582">
        <v>45</v>
      </c>
      <c r="L582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30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0.3159249206582086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0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0.74479236195114795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0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3.63182180622454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2" s="5">
        <f>IF((DiscreteStatsTable[[#This Row],[RepsRequested]]&gt;1),DiscreteStatsTable[[#This Row],[HalfWidth]],DiscreteStatsTable[[#This Row],[BatchMeansHalfWidth]])</f>
        <v>6.1312256674312914E-2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30</v>
      </c>
      <c r="Y582" s="5">
        <f>IF(DiscreteStatsTable[[#This Row],[RepsRequested]]=DiscreteStatsTable[[#This Row],[RepsWithStatObserved]],1,0)</f>
        <v>1</v>
      </c>
    </row>
    <row r="583" spans="1:25" x14ac:dyDescent="0.25">
      <c r="A583" t="s">
        <v>68</v>
      </c>
      <c r="B583" t="s">
        <v>70</v>
      </c>
      <c r="C583">
        <v>12</v>
      </c>
      <c r="D583" t="s">
        <v>92</v>
      </c>
      <c r="E583" t="s">
        <v>85</v>
      </c>
      <c r="F583" t="s">
        <v>86</v>
      </c>
      <c r="G583">
        <v>0</v>
      </c>
      <c r="H583">
        <v>2E+20</v>
      </c>
      <c r="I583">
        <v>0</v>
      </c>
      <c r="J583">
        <v>0</v>
      </c>
      <c r="K583">
        <v>29</v>
      </c>
      <c r="L583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30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0.3159249206582086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0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0.74479236195114795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3.63182180622454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3" s="5">
        <f>IF((DiscreteStatsTable[[#This Row],[RepsRequested]]&gt;1),DiscreteStatsTable[[#This Row],[HalfWidth]],DiscreteStatsTable[[#This Row],[BatchMeansHalfWidth]])</f>
        <v>6.1312256674312914E-2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30</v>
      </c>
      <c r="Y583" s="5">
        <f>IF(DiscreteStatsTable[[#This Row],[RepsRequested]]=DiscreteStatsTable[[#This Row],[RepsWithStatObserved]],1,0)</f>
        <v>1</v>
      </c>
    </row>
    <row r="584" spans="1:25" x14ac:dyDescent="0.25">
      <c r="A584" t="s">
        <v>68</v>
      </c>
      <c r="B584" t="s">
        <v>70</v>
      </c>
      <c r="C584">
        <v>13</v>
      </c>
      <c r="D584" t="s">
        <v>92</v>
      </c>
      <c r="E584" t="s">
        <v>85</v>
      </c>
      <c r="F584" t="s">
        <v>86</v>
      </c>
      <c r="G584">
        <v>0.22940260480185801</v>
      </c>
      <c r="H584">
        <v>2E+20</v>
      </c>
      <c r="I584">
        <v>0</v>
      </c>
      <c r="J584">
        <v>1.12079811241637</v>
      </c>
      <c r="K584">
        <v>38</v>
      </c>
      <c r="L584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30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0.3159249206582086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0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0.74479236195114795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0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3.63182180622454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4" s="5">
        <f>IF((DiscreteStatsTable[[#This Row],[RepsRequested]]&gt;1),DiscreteStatsTable[[#This Row],[HalfWidth]],DiscreteStatsTable[[#This Row],[BatchMeansHalfWidth]])</f>
        <v>6.1312256674312914E-2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30</v>
      </c>
      <c r="Y584" s="5">
        <f>IF(DiscreteStatsTable[[#This Row],[RepsRequested]]=DiscreteStatsTable[[#This Row],[RepsWithStatObserved]],1,0)</f>
        <v>1</v>
      </c>
    </row>
    <row r="585" spans="1:25" x14ac:dyDescent="0.25">
      <c r="A585" t="s">
        <v>68</v>
      </c>
      <c r="B585" t="s">
        <v>70</v>
      </c>
      <c r="C585">
        <v>14</v>
      </c>
      <c r="D585" t="s">
        <v>92</v>
      </c>
      <c r="E585" t="s">
        <v>85</v>
      </c>
      <c r="F585" t="s">
        <v>86</v>
      </c>
      <c r="G585">
        <v>0.409323448110261</v>
      </c>
      <c r="H585">
        <v>2E+20</v>
      </c>
      <c r="I585">
        <v>0</v>
      </c>
      <c r="J585">
        <v>2.5369350358112901</v>
      </c>
      <c r="K585">
        <v>47</v>
      </c>
      <c r="L585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30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0.3159249206582086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0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0.74479236195114795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3.63182180622454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5" s="5">
        <f>IF((DiscreteStatsTable[[#This Row],[RepsRequested]]&gt;1),DiscreteStatsTable[[#This Row],[HalfWidth]],DiscreteStatsTable[[#This Row],[BatchMeansHalfWidth]])</f>
        <v>6.1312256674312914E-2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30</v>
      </c>
      <c r="Y585" s="5">
        <f>IF(DiscreteStatsTable[[#This Row],[RepsRequested]]=DiscreteStatsTable[[#This Row],[RepsWithStatObserved]],1,0)</f>
        <v>1</v>
      </c>
    </row>
    <row r="586" spans="1:25" x14ac:dyDescent="0.25">
      <c r="A586" t="s">
        <v>68</v>
      </c>
      <c r="B586" t="s">
        <v>70</v>
      </c>
      <c r="C586">
        <v>15</v>
      </c>
      <c r="D586" t="s">
        <v>92</v>
      </c>
      <c r="E586" t="s">
        <v>85</v>
      </c>
      <c r="F586" t="s">
        <v>86</v>
      </c>
      <c r="G586">
        <v>0.422098894503039</v>
      </c>
      <c r="H586">
        <v>2E+20</v>
      </c>
      <c r="I586">
        <v>0</v>
      </c>
      <c r="J586">
        <v>2.29818557216106</v>
      </c>
      <c r="K586">
        <v>46</v>
      </c>
      <c r="L586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30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0.3159249206582086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0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0.74479236195114795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0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3.63182180622454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6" s="5">
        <f>IF((DiscreteStatsTable[[#This Row],[RepsRequested]]&gt;1),DiscreteStatsTable[[#This Row],[HalfWidth]],DiscreteStatsTable[[#This Row],[BatchMeansHalfWidth]])</f>
        <v>6.1312256674312914E-2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30</v>
      </c>
      <c r="Y586" s="5">
        <f>IF(DiscreteStatsTable[[#This Row],[RepsRequested]]=DiscreteStatsTable[[#This Row],[RepsWithStatObserved]],1,0)</f>
        <v>1</v>
      </c>
    </row>
    <row r="587" spans="1:25" x14ac:dyDescent="0.25">
      <c r="A587" t="s">
        <v>68</v>
      </c>
      <c r="B587" t="s">
        <v>70</v>
      </c>
      <c r="C587">
        <v>16</v>
      </c>
      <c r="D587" t="s">
        <v>92</v>
      </c>
      <c r="E587" t="s">
        <v>85</v>
      </c>
      <c r="F587" t="s">
        <v>86</v>
      </c>
      <c r="G587">
        <v>0.254321583944012</v>
      </c>
      <c r="H587">
        <v>2E+20</v>
      </c>
      <c r="I587">
        <v>0</v>
      </c>
      <c r="J587">
        <v>1.26778760171362</v>
      </c>
      <c r="K587">
        <v>36</v>
      </c>
      <c r="L587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30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0.3159249206582086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0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0.74479236195114795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3.63182180622454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7" s="5">
        <f>IF((DiscreteStatsTable[[#This Row],[RepsRequested]]&gt;1),DiscreteStatsTable[[#This Row],[HalfWidth]],DiscreteStatsTable[[#This Row],[BatchMeansHalfWidth]])</f>
        <v>6.1312256674312914E-2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30</v>
      </c>
      <c r="Y587" s="5">
        <f>IF(DiscreteStatsTable[[#This Row],[RepsRequested]]=DiscreteStatsTable[[#This Row],[RepsWithStatObserved]],1,0)</f>
        <v>1</v>
      </c>
    </row>
    <row r="588" spans="1:25" x14ac:dyDescent="0.25">
      <c r="A588" t="s">
        <v>68</v>
      </c>
      <c r="B588" t="s">
        <v>70</v>
      </c>
      <c r="C588">
        <v>17</v>
      </c>
      <c r="D588" t="s">
        <v>92</v>
      </c>
      <c r="E588" t="s">
        <v>85</v>
      </c>
      <c r="F588" t="s">
        <v>86</v>
      </c>
      <c r="G588">
        <v>0.1609163305745</v>
      </c>
      <c r="H588">
        <v>2E+20</v>
      </c>
      <c r="I588">
        <v>0</v>
      </c>
      <c r="J588">
        <v>1.00060913769079</v>
      </c>
      <c r="K588">
        <v>33</v>
      </c>
      <c r="L588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30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0.3159249206582086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0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0.74479236195114795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0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3.63182180622454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8" s="5">
        <f>IF((DiscreteStatsTable[[#This Row],[RepsRequested]]&gt;1),DiscreteStatsTable[[#This Row],[HalfWidth]],DiscreteStatsTable[[#This Row],[BatchMeansHalfWidth]])</f>
        <v>6.1312256674312914E-2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30</v>
      </c>
      <c r="Y588" s="5">
        <f>IF(DiscreteStatsTable[[#This Row],[RepsRequested]]=DiscreteStatsTable[[#This Row],[RepsWithStatObserved]],1,0)</f>
        <v>1</v>
      </c>
    </row>
    <row r="589" spans="1:25" x14ac:dyDescent="0.25">
      <c r="A589" t="s">
        <v>68</v>
      </c>
      <c r="B589" t="s">
        <v>70</v>
      </c>
      <c r="C589">
        <v>18</v>
      </c>
      <c r="D589" t="s">
        <v>92</v>
      </c>
      <c r="E589" t="s">
        <v>85</v>
      </c>
      <c r="F589" t="s">
        <v>86</v>
      </c>
      <c r="G589">
        <v>0.74479236195114795</v>
      </c>
      <c r="H589">
        <v>2E+20</v>
      </c>
      <c r="I589">
        <v>0</v>
      </c>
      <c r="J589">
        <v>3.63182180622454</v>
      </c>
      <c r="K589">
        <v>44</v>
      </c>
      <c r="L589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30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0.3159249206582086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0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0.74479236195114795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3.63182180622454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89" s="5">
        <f>IF((DiscreteStatsTable[[#This Row],[RepsRequested]]&gt;1),DiscreteStatsTable[[#This Row],[HalfWidth]],DiscreteStatsTable[[#This Row],[BatchMeansHalfWidth]])</f>
        <v>6.1312256674312914E-2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30</v>
      </c>
      <c r="Y589" s="5">
        <f>IF(DiscreteStatsTable[[#This Row],[RepsRequested]]=DiscreteStatsTable[[#This Row],[RepsWithStatObserved]],1,0)</f>
        <v>1</v>
      </c>
    </row>
    <row r="590" spans="1:25" x14ac:dyDescent="0.25">
      <c r="A590" t="s">
        <v>68</v>
      </c>
      <c r="B590" t="s">
        <v>70</v>
      </c>
      <c r="C590">
        <v>19</v>
      </c>
      <c r="D590" t="s">
        <v>92</v>
      </c>
      <c r="E590" t="s">
        <v>85</v>
      </c>
      <c r="F590" t="s">
        <v>86</v>
      </c>
      <c r="G590">
        <v>0.37593679844504901</v>
      </c>
      <c r="H590">
        <v>2E+20</v>
      </c>
      <c r="I590">
        <v>0</v>
      </c>
      <c r="J590">
        <v>2.1064487585094298</v>
      </c>
      <c r="K590">
        <v>33</v>
      </c>
      <c r="L590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30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0.3159249206582086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0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0.74479236195114795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0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3.63182180622454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0" s="5">
        <f>IF((DiscreteStatsTable[[#This Row],[RepsRequested]]&gt;1),DiscreteStatsTable[[#This Row],[HalfWidth]],DiscreteStatsTable[[#This Row],[BatchMeansHalfWidth]])</f>
        <v>6.1312256674312914E-2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30</v>
      </c>
      <c r="Y590" s="5">
        <f>IF(DiscreteStatsTable[[#This Row],[RepsRequested]]=DiscreteStatsTable[[#This Row],[RepsWithStatObserved]],1,0)</f>
        <v>1</v>
      </c>
    </row>
    <row r="591" spans="1:25" x14ac:dyDescent="0.25">
      <c r="A591" t="s">
        <v>68</v>
      </c>
      <c r="B591" t="s">
        <v>70</v>
      </c>
      <c r="C591">
        <v>20</v>
      </c>
      <c r="D591" t="s">
        <v>92</v>
      </c>
      <c r="E591" t="s">
        <v>85</v>
      </c>
      <c r="F591" t="s">
        <v>86</v>
      </c>
      <c r="G591">
        <v>0.365574604931035</v>
      </c>
      <c r="H591">
        <v>2E+20</v>
      </c>
      <c r="I591">
        <v>0</v>
      </c>
      <c r="J591">
        <v>1.70798141429001</v>
      </c>
      <c r="K591">
        <v>42</v>
      </c>
      <c r="L591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30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0.3159249206582086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0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0.74479236195114795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3.63182180622454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1" s="5">
        <f>IF((DiscreteStatsTable[[#This Row],[RepsRequested]]&gt;1),DiscreteStatsTable[[#This Row],[HalfWidth]],DiscreteStatsTable[[#This Row],[BatchMeansHalfWidth]])</f>
        <v>6.1312256674312914E-2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30</v>
      </c>
      <c r="Y591" s="5">
        <f>IF(DiscreteStatsTable[[#This Row],[RepsRequested]]=DiscreteStatsTable[[#This Row],[RepsWithStatObserved]],1,0)</f>
        <v>1</v>
      </c>
    </row>
    <row r="592" spans="1:25" x14ac:dyDescent="0.25">
      <c r="A592" t="s">
        <v>68</v>
      </c>
      <c r="B592" t="s">
        <v>70</v>
      </c>
      <c r="C592">
        <v>21</v>
      </c>
      <c r="D592" t="s">
        <v>92</v>
      </c>
      <c r="E592" t="s">
        <v>85</v>
      </c>
      <c r="F592" t="s">
        <v>86</v>
      </c>
      <c r="G592">
        <v>0.26312102124922898</v>
      </c>
      <c r="H592">
        <v>2E+20</v>
      </c>
      <c r="I592">
        <v>0</v>
      </c>
      <c r="J592">
        <v>1.20889964715113</v>
      </c>
      <c r="K592">
        <v>49</v>
      </c>
      <c r="L592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30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0.3159249206582086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0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0.74479236195114795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0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3.63182180622454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2" s="5">
        <f>IF((DiscreteStatsTable[[#This Row],[RepsRequested]]&gt;1),DiscreteStatsTable[[#This Row],[HalfWidth]],DiscreteStatsTable[[#This Row],[BatchMeansHalfWidth]])</f>
        <v>6.1312256674312914E-2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30</v>
      </c>
      <c r="Y592" s="5">
        <f>IF(DiscreteStatsTable[[#This Row],[RepsRequested]]=DiscreteStatsTable[[#This Row],[RepsWithStatObserved]],1,0)</f>
        <v>1</v>
      </c>
    </row>
    <row r="593" spans="1:25" x14ac:dyDescent="0.25">
      <c r="A593" t="s">
        <v>68</v>
      </c>
      <c r="B593" t="s">
        <v>70</v>
      </c>
      <c r="C593">
        <v>22</v>
      </c>
      <c r="D593" t="s">
        <v>92</v>
      </c>
      <c r="E593" t="s">
        <v>85</v>
      </c>
      <c r="F593" t="s">
        <v>86</v>
      </c>
      <c r="G593">
        <v>0.27582520915732101</v>
      </c>
      <c r="H593">
        <v>2E+20</v>
      </c>
      <c r="I593">
        <v>0</v>
      </c>
      <c r="J593">
        <v>2.0140863617868101</v>
      </c>
      <c r="K593">
        <v>34</v>
      </c>
      <c r="L593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30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0.3159249206582086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0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0.74479236195114795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3.63182180622454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3" s="5">
        <f>IF((DiscreteStatsTable[[#This Row],[RepsRequested]]&gt;1),DiscreteStatsTable[[#This Row],[HalfWidth]],DiscreteStatsTable[[#This Row],[BatchMeansHalfWidth]])</f>
        <v>6.1312256674312914E-2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30</v>
      </c>
      <c r="Y593" s="5">
        <f>IF(DiscreteStatsTable[[#This Row],[RepsRequested]]=DiscreteStatsTable[[#This Row],[RepsWithStatObserved]],1,0)</f>
        <v>1</v>
      </c>
    </row>
    <row r="594" spans="1:25" x14ac:dyDescent="0.25">
      <c r="A594" t="s">
        <v>68</v>
      </c>
      <c r="B594" t="s">
        <v>70</v>
      </c>
      <c r="C594">
        <v>23</v>
      </c>
      <c r="D594" t="s">
        <v>92</v>
      </c>
      <c r="E594" t="s">
        <v>85</v>
      </c>
      <c r="F594" t="s">
        <v>86</v>
      </c>
      <c r="G594">
        <v>0.39318174970991998</v>
      </c>
      <c r="H594">
        <v>2E+20</v>
      </c>
      <c r="I594">
        <v>0</v>
      </c>
      <c r="J594">
        <v>3.57611804391304</v>
      </c>
      <c r="K594">
        <v>43</v>
      </c>
      <c r="L594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30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0.3159249206582086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0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0.74479236195114795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0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3.63182180622454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4" s="5">
        <f>IF((DiscreteStatsTable[[#This Row],[RepsRequested]]&gt;1),DiscreteStatsTable[[#This Row],[HalfWidth]],DiscreteStatsTable[[#This Row],[BatchMeansHalfWidth]])</f>
        <v>6.1312256674312914E-2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30</v>
      </c>
      <c r="Y594" s="5">
        <f>IF(DiscreteStatsTable[[#This Row],[RepsRequested]]=DiscreteStatsTable[[#This Row],[RepsWithStatObserved]],1,0)</f>
        <v>1</v>
      </c>
    </row>
    <row r="595" spans="1:25" x14ac:dyDescent="0.25">
      <c r="A595" t="s">
        <v>68</v>
      </c>
      <c r="B595" t="s">
        <v>70</v>
      </c>
      <c r="C595">
        <v>24</v>
      </c>
      <c r="D595" t="s">
        <v>92</v>
      </c>
      <c r="E595" t="s">
        <v>85</v>
      </c>
      <c r="F595" t="s">
        <v>86</v>
      </c>
      <c r="G595">
        <v>9.2118612844967598E-2</v>
      </c>
      <c r="H595">
        <v>2E+20</v>
      </c>
      <c r="I595">
        <v>0</v>
      </c>
      <c r="J595">
        <v>1.18330099339983</v>
      </c>
      <c r="K595">
        <v>39</v>
      </c>
      <c r="L595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30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0.3159249206582086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0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0.74479236195114795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3.63182180622454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5" s="5">
        <f>IF((DiscreteStatsTable[[#This Row],[RepsRequested]]&gt;1),DiscreteStatsTable[[#This Row],[HalfWidth]],DiscreteStatsTable[[#This Row],[BatchMeansHalfWidth]])</f>
        <v>6.1312256674312914E-2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30</v>
      </c>
      <c r="Y595" s="5">
        <f>IF(DiscreteStatsTable[[#This Row],[RepsRequested]]=DiscreteStatsTable[[#This Row],[RepsWithStatObserved]],1,0)</f>
        <v>1</v>
      </c>
    </row>
    <row r="596" spans="1:25" x14ac:dyDescent="0.25">
      <c r="A596" t="s">
        <v>68</v>
      </c>
      <c r="B596" t="s">
        <v>70</v>
      </c>
      <c r="C596">
        <v>25</v>
      </c>
      <c r="D596" t="s">
        <v>92</v>
      </c>
      <c r="E596" t="s">
        <v>85</v>
      </c>
      <c r="F596" t="s">
        <v>86</v>
      </c>
      <c r="G596">
        <v>0.25607960865747897</v>
      </c>
      <c r="H596">
        <v>2E+20</v>
      </c>
      <c r="I596">
        <v>0</v>
      </c>
      <c r="J596">
        <v>1.7882092160449901</v>
      </c>
      <c r="K596">
        <v>35</v>
      </c>
      <c r="L596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30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0.3159249206582086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0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0.74479236195114795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0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3.63182180622454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6" s="5">
        <f>IF((DiscreteStatsTable[[#This Row],[RepsRequested]]&gt;1),DiscreteStatsTable[[#This Row],[HalfWidth]],DiscreteStatsTable[[#This Row],[BatchMeansHalfWidth]])</f>
        <v>6.1312256674312914E-2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30</v>
      </c>
      <c r="Y596" s="5">
        <f>IF(DiscreteStatsTable[[#This Row],[RepsRequested]]=DiscreteStatsTable[[#This Row],[RepsWithStatObserved]],1,0)</f>
        <v>1</v>
      </c>
    </row>
    <row r="597" spans="1:25" x14ac:dyDescent="0.25">
      <c r="A597" t="s">
        <v>68</v>
      </c>
      <c r="B597" t="s">
        <v>70</v>
      </c>
      <c r="C597">
        <v>26</v>
      </c>
      <c r="D597" t="s">
        <v>92</v>
      </c>
      <c r="E597" t="s">
        <v>85</v>
      </c>
      <c r="F597" t="s">
        <v>86</v>
      </c>
      <c r="G597">
        <v>0.58357467465587098</v>
      </c>
      <c r="H597">
        <v>2E+20</v>
      </c>
      <c r="I597">
        <v>0</v>
      </c>
      <c r="J597">
        <v>2.5447109921783801</v>
      </c>
      <c r="K597">
        <v>45</v>
      </c>
      <c r="L597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30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0.3159249206582086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0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0.74479236195114795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3.63182180622454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7" s="5">
        <f>IF((DiscreteStatsTable[[#This Row],[RepsRequested]]&gt;1),DiscreteStatsTable[[#This Row],[HalfWidth]],DiscreteStatsTable[[#This Row],[BatchMeansHalfWidth]])</f>
        <v>6.1312256674312914E-2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30</v>
      </c>
      <c r="Y597" s="5">
        <f>IF(DiscreteStatsTable[[#This Row],[RepsRequested]]=DiscreteStatsTable[[#This Row],[RepsWithStatObserved]],1,0)</f>
        <v>1</v>
      </c>
    </row>
    <row r="598" spans="1:25" x14ac:dyDescent="0.25">
      <c r="A598" t="s">
        <v>68</v>
      </c>
      <c r="B598" t="s">
        <v>70</v>
      </c>
      <c r="C598">
        <v>27</v>
      </c>
      <c r="D598" t="s">
        <v>92</v>
      </c>
      <c r="E598" t="s">
        <v>85</v>
      </c>
      <c r="F598" t="s">
        <v>86</v>
      </c>
      <c r="G598">
        <v>0.438074141705034</v>
      </c>
      <c r="H598">
        <v>2E+20</v>
      </c>
      <c r="I598">
        <v>0</v>
      </c>
      <c r="J598">
        <v>2.87631127301893</v>
      </c>
      <c r="K598">
        <v>45</v>
      </c>
      <c r="L598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30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0.3159249206582086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0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0.74479236195114795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0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3.63182180622454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8" s="5">
        <f>IF((DiscreteStatsTable[[#This Row],[RepsRequested]]&gt;1),DiscreteStatsTable[[#This Row],[HalfWidth]],DiscreteStatsTable[[#This Row],[BatchMeansHalfWidth]])</f>
        <v>6.1312256674312914E-2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30</v>
      </c>
      <c r="Y598" s="5">
        <f>IF(DiscreteStatsTable[[#This Row],[RepsRequested]]=DiscreteStatsTable[[#This Row],[RepsWithStatObserved]],1,0)</f>
        <v>1</v>
      </c>
    </row>
    <row r="599" spans="1:25" x14ac:dyDescent="0.25">
      <c r="A599" t="s">
        <v>68</v>
      </c>
      <c r="B599" t="s">
        <v>70</v>
      </c>
      <c r="C599">
        <v>28</v>
      </c>
      <c r="D599" t="s">
        <v>92</v>
      </c>
      <c r="E599" t="s">
        <v>85</v>
      </c>
      <c r="F599" t="s">
        <v>86</v>
      </c>
      <c r="G599">
        <v>0.40484047039826698</v>
      </c>
      <c r="H599">
        <v>2E+20</v>
      </c>
      <c r="I599">
        <v>0</v>
      </c>
      <c r="J599">
        <v>2.0464245301250799</v>
      </c>
      <c r="K599">
        <v>39</v>
      </c>
      <c r="L599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30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0.3159249206582086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0.16419723898119068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0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0.74479236195114795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3.63182180622454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599" s="5">
        <f>IF((DiscreteStatsTable[[#This Row],[RepsRequested]]&gt;1),DiscreteStatsTable[[#This Row],[HalfWidth]],DiscreteStatsTable[[#This Row],[BatchMeansHalfWidth]])</f>
        <v>6.1312256674312914E-2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30</v>
      </c>
      <c r="Y599" s="5">
        <f>IF(DiscreteStatsTable[[#This Row],[RepsRequested]]=DiscreteStatsTable[[#This Row],[RepsWithStatObserved]],1,0)</f>
        <v>1</v>
      </c>
    </row>
    <row r="600" spans="1:25" x14ac:dyDescent="0.25">
      <c r="A600" t="s">
        <v>68</v>
      </c>
      <c r="B600" t="s">
        <v>70</v>
      </c>
      <c r="C600">
        <v>29</v>
      </c>
      <c r="D600" t="s">
        <v>92</v>
      </c>
      <c r="E600" t="s">
        <v>85</v>
      </c>
      <c r="F600" t="s">
        <v>86</v>
      </c>
      <c r="G600">
        <v>0.30846027457126202</v>
      </c>
      <c r="H600">
        <v>2E+20</v>
      </c>
      <c r="I600">
        <v>0</v>
      </c>
      <c r="J600">
        <v>2.3512538794300899</v>
      </c>
      <c r="K600">
        <v>48</v>
      </c>
      <c r="L600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30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0.3159249206582086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0.16419723898119068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0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0.74479236195114795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0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3.63182180622454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600" s="5">
        <f>IF((DiscreteStatsTable[[#This Row],[RepsRequested]]&gt;1),DiscreteStatsTable[[#This Row],[HalfWidth]],DiscreteStatsTable[[#This Row],[BatchMeansHalfWidth]])</f>
        <v>6.1312256674312914E-2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30</v>
      </c>
      <c r="Y600" s="5">
        <f>IF(DiscreteStatsTable[[#This Row],[RepsRequested]]=DiscreteStatsTable[[#This Row],[RepsWithStatObserved]],1,0)</f>
        <v>1</v>
      </c>
    </row>
    <row r="601" spans="1:25" x14ac:dyDescent="0.25">
      <c r="A601" t="s">
        <v>68</v>
      </c>
      <c r="B601" t="s">
        <v>70</v>
      </c>
      <c r="C601">
        <v>30</v>
      </c>
      <c r="D601" t="s">
        <v>92</v>
      </c>
      <c r="E601" t="s">
        <v>85</v>
      </c>
      <c r="F601" t="s">
        <v>86</v>
      </c>
      <c r="G601">
        <v>0.28078116983495199</v>
      </c>
      <c r="H601">
        <v>2E+20</v>
      </c>
      <c r="I601">
        <v>0</v>
      </c>
      <c r="J601">
        <v>2.93828800002863</v>
      </c>
      <c r="K601">
        <v>35</v>
      </c>
      <c r="L601" s="5" t="str">
        <f>DiscreteStatsTable[[#This Row],[ProjectName]]&amp;DiscreteStatsTable[[#This Row],[Name]]&amp;DiscreteStatsTable[[#This Row],[Type]]&amp;DiscreteStatsTable[[#This Row],[Source]]</f>
        <v>Pedido CleintesPago.QueueWaiting TimeQueue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30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0.3159249206582086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0.16419723898119068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6.1312256674312914E-2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0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0.74479236195114795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3.63182180622454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39.56666666666667</v>
      </c>
      <c r="W601" s="5">
        <f>IF((DiscreteStatsTable[[#This Row],[RepsRequested]]&gt;1),DiscreteStatsTable[[#This Row],[HalfWidth]],DiscreteStatsTable[[#This Row],[BatchMeansHalfWidth]])</f>
        <v>6.1312256674312914E-2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30</v>
      </c>
      <c r="Y601" s="5">
        <f>IF(DiscreteStatsTable[[#This Row],[RepsRequested]]=DiscreteStatsTable[[#This Row],[RepsWithStatObserved]],1,0)</f>
        <v>1</v>
      </c>
    </row>
    <row r="602" spans="1:25" x14ac:dyDescent="0.25">
      <c r="A602" t="s">
        <v>68</v>
      </c>
      <c r="B602" t="s">
        <v>70</v>
      </c>
      <c r="C602">
        <v>1</v>
      </c>
      <c r="D602" t="s">
        <v>93</v>
      </c>
      <c r="E602" t="s">
        <v>80</v>
      </c>
      <c r="F602" t="s">
        <v>81</v>
      </c>
      <c r="G602">
        <v>3.4419329751448902</v>
      </c>
      <c r="H602">
        <v>2E+20</v>
      </c>
      <c r="I602">
        <v>2.67619328759403</v>
      </c>
      <c r="J602">
        <v>5.4519475840009699</v>
      </c>
      <c r="K602">
        <v>25</v>
      </c>
      <c r="L602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30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3.9737459717976331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3.0498211098558601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5.1862622338931397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2.66671895965567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12.9499421430497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2" s="5">
        <f>IF((DiscreteStatsTable[[#This Row],[RepsRequested]]&gt;1),DiscreteStatsTable[[#This Row],[HalfWidth]],DiscreteStatsTable[[#This Row],[BatchMeansHalfWidth]])</f>
        <v>0.17714043791041653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30</v>
      </c>
      <c r="Y602" s="5">
        <f>IF(DiscreteStatsTable[[#This Row],[RepsRequested]]=DiscreteStatsTable[[#This Row],[RepsWithStatObserved]],1,0)</f>
        <v>1</v>
      </c>
    </row>
    <row r="603" spans="1:25" x14ac:dyDescent="0.25">
      <c r="A603" t="s">
        <v>68</v>
      </c>
      <c r="B603" t="s">
        <v>70</v>
      </c>
      <c r="C603">
        <v>1</v>
      </c>
      <c r="D603" t="s">
        <v>93</v>
      </c>
      <c r="E603" t="s">
        <v>82</v>
      </c>
      <c r="F603" t="s">
        <v>81</v>
      </c>
      <c r="G603">
        <v>2.9990624304683999</v>
      </c>
      <c r="H603">
        <v>2E+20</v>
      </c>
      <c r="I603">
        <v>2.6689905866869599</v>
      </c>
      <c r="J603">
        <v>3.3160559823090101</v>
      </c>
      <c r="K603">
        <v>25</v>
      </c>
      <c r="L603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30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2.9961935004991109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2.9496744298211102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3.0580272808287701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2.66671895965567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3.3331738103413899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3" s="5">
        <f>IF((DiscreteStatsTable[[#This Row],[RepsRequested]]&gt;1),DiscreteStatsTable[[#This Row],[HalfWidth]],DiscreteStatsTable[[#This Row],[BatchMeansHalfWidth]])</f>
        <v>9.419271165822158E-3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30</v>
      </c>
      <c r="Y603" s="5">
        <f>IF(DiscreteStatsTable[[#This Row],[RepsRequested]]=DiscreteStatsTable[[#This Row],[RepsWithStatObserved]],1,0)</f>
        <v>1</v>
      </c>
    </row>
    <row r="604" spans="1:25" x14ac:dyDescent="0.25">
      <c r="A604" t="s">
        <v>68</v>
      </c>
      <c r="B604" t="s">
        <v>70</v>
      </c>
      <c r="C604">
        <v>1</v>
      </c>
      <c r="D604" t="s">
        <v>93</v>
      </c>
      <c r="E604" t="s">
        <v>83</v>
      </c>
      <c r="F604" t="s">
        <v>81</v>
      </c>
      <c r="G604">
        <v>0.44287054467649301</v>
      </c>
      <c r="H604">
        <v>2E+20</v>
      </c>
      <c r="I604">
        <v>0</v>
      </c>
      <c r="J604">
        <v>2.4733428114393399</v>
      </c>
      <c r="K604">
        <v>25</v>
      </c>
      <c r="L604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30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0.97755247129852119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7.7531386402174704E-2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2.1571430213611502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10.0970660655851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4" s="5">
        <f>IF((DiscreteStatsTable[[#This Row],[RepsRequested]]&gt;1),DiscreteStatsTable[[#This Row],[HalfWidth]],DiscreteStatsTable[[#This Row],[BatchMeansHalfWidth]])</f>
        <v>0.17600589459573387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30</v>
      </c>
      <c r="Y604" s="5">
        <f>IF(DiscreteStatsTable[[#This Row],[RepsRequested]]=DiscreteStatsTable[[#This Row],[RepsWithStatObserved]],1,0)</f>
        <v>1</v>
      </c>
    </row>
    <row r="605" spans="1:25" x14ac:dyDescent="0.25">
      <c r="A605" t="s">
        <v>68</v>
      </c>
      <c r="B605" t="s">
        <v>70</v>
      </c>
      <c r="C605">
        <v>2</v>
      </c>
      <c r="D605" t="s">
        <v>93</v>
      </c>
      <c r="E605" t="s">
        <v>80</v>
      </c>
      <c r="F605" t="s">
        <v>81</v>
      </c>
      <c r="G605">
        <v>3.7111040732282099</v>
      </c>
      <c r="H605">
        <v>2E+20</v>
      </c>
      <c r="I605">
        <v>2.6941196857340799</v>
      </c>
      <c r="J605">
        <v>7.3200523511970097</v>
      </c>
      <c r="K605">
        <v>41</v>
      </c>
      <c r="L605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30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3.9737459717976331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3.0498211098558601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5.1862622338931397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2.66671895965567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12.9499421430497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5" s="5">
        <f>IF((DiscreteStatsTable[[#This Row],[RepsRequested]]&gt;1),DiscreteStatsTable[[#This Row],[HalfWidth]],DiscreteStatsTable[[#This Row],[BatchMeansHalfWidth]])</f>
        <v>0.17714043791041653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30</v>
      </c>
      <c r="Y605" s="5">
        <f>IF(DiscreteStatsTable[[#This Row],[RepsRequested]]=DiscreteStatsTable[[#This Row],[RepsWithStatObserved]],1,0)</f>
        <v>1</v>
      </c>
    </row>
    <row r="606" spans="1:25" x14ac:dyDescent="0.25">
      <c r="A606" t="s">
        <v>68</v>
      </c>
      <c r="B606" t="s">
        <v>70</v>
      </c>
      <c r="C606">
        <v>2</v>
      </c>
      <c r="D606" t="s">
        <v>93</v>
      </c>
      <c r="E606" t="s">
        <v>82</v>
      </c>
      <c r="F606" t="s">
        <v>81</v>
      </c>
      <c r="G606">
        <v>2.97343898359799</v>
      </c>
      <c r="H606">
        <v>2E+20</v>
      </c>
      <c r="I606">
        <v>2.6941196857340799</v>
      </c>
      <c r="J606">
        <v>3.3331274149528798</v>
      </c>
      <c r="K606">
        <v>41</v>
      </c>
      <c r="L606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30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2.9961935004991109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2.9496744298211102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3.0580272808287701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2.66671895965567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3.3331738103413899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6" s="5">
        <f>IF((DiscreteStatsTable[[#This Row],[RepsRequested]]&gt;1),DiscreteStatsTable[[#This Row],[HalfWidth]],DiscreteStatsTable[[#This Row],[BatchMeansHalfWidth]])</f>
        <v>9.419271165822158E-3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30</v>
      </c>
      <c r="Y606" s="5">
        <f>IF(DiscreteStatsTable[[#This Row],[RepsRequested]]=DiscreteStatsTable[[#This Row],[RepsWithStatObserved]],1,0)</f>
        <v>1</v>
      </c>
    </row>
    <row r="607" spans="1:25" x14ac:dyDescent="0.25">
      <c r="A607" t="s">
        <v>68</v>
      </c>
      <c r="B607" t="s">
        <v>70</v>
      </c>
      <c r="C607">
        <v>2</v>
      </c>
      <c r="D607" t="s">
        <v>93</v>
      </c>
      <c r="E607" t="s">
        <v>83</v>
      </c>
      <c r="F607" t="s">
        <v>81</v>
      </c>
      <c r="G607">
        <v>0.73766508963022204</v>
      </c>
      <c r="H607">
        <v>2E+20</v>
      </c>
      <c r="I607">
        <v>0</v>
      </c>
      <c r="J607">
        <v>4.5825489759276401</v>
      </c>
      <c r="K607">
        <v>41</v>
      </c>
      <c r="L607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30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0.97755247129852119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7.7531386402174704E-2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2.1571430213611502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10.0970660655851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7" s="5">
        <f>IF((DiscreteStatsTable[[#This Row],[RepsRequested]]&gt;1),DiscreteStatsTable[[#This Row],[HalfWidth]],DiscreteStatsTable[[#This Row],[BatchMeansHalfWidth]])</f>
        <v>0.17600589459573387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30</v>
      </c>
      <c r="Y607" s="5">
        <f>IF(DiscreteStatsTable[[#This Row],[RepsRequested]]=DiscreteStatsTable[[#This Row],[RepsWithStatObserved]],1,0)</f>
        <v>1</v>
      </c>
    </row>
    <row r="608" spans="1:25" x14ac:dyDescent="0.25">
      <c r="A608" t="s">
        <v>68</v>
      </c>
      <c r="B608" t="s">
        <v>70</v>
      </c>
      <c r="C608">
        <v>3</v>
      </c>
      <c r="D608" t="s">
        <v>93</v>
      </c>
      <c r="E608" t="s">
        <v>80</v>
      </c>
      <c r="F608" t="s">
        <v>81</v>
      </c>
      <c r="G608">
        <v>4.6823364530835399</v>
      </c>
      <c r="H608">
        <v>2E+20</v>
      </c>
      <c r="I608">
        <v>2.7014622563974902</v>
      </c>
      <c r="J608">
        <v>12.9499421430497</v>
      </c>
      <c r="K608">
        <v>47</v>
      </c>
      <c r="L608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30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3.9737459717976331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3.0498211098558601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5.1862622338931397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2.66671895965567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12.9499421430497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8" s="5">
        <f>IF((DiscreteStatsTable[[#This Row],[RepsRequested]]&gt;1),DiscreteStatsTable[[#This Row],[HalfWidth]],DiscreteStatsTable[[#This Row],[BatchMeansHalfWidth]])</f>
        <v>0.17714043791041653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30</v>
      </c>
      <c r="Y608" s="5">
        <f>IF(DiscreteStatsTable[[#This Row],[RepsRequested]]=DiscreteStatsTable[[#This Row],[RepsWithStatObserved]],1,0)</f>
        <v>1</v>
      </c>
    </row>
    <row r="609" spans="1:25" x14ac:dyDescent="0.25">
      <c r="A609" t="s">
        <v>68</v>
      </c>
      <c r="B609" t="s">
        <v>70</v>
      </c>
      <c r="C609">
        <v>3</v>
      </c>
      <c r="D609" t="s">
        <v>93</v>
      </c>
      <c r="E609" t="s">
        <v>82</v>
      </c>
      <c r="F609" t="s">
        <v>81</v>
      </c>
      <c r="G609">
        <v>2.9878566432498999</v>
      </c>
      <c r="H609">
        <v>2E+20</v>
      </c>
      <c r="I609">
        <v>2.6744926581863102</v>
      </c>
      <c r="J609">
        <v>3.3108498509897899</v>
      </c>
      <c r="K609">
        <v>47</v>
      </c>
      <c r="L609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30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2.9961935004991109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2.9496744298211102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3.0580272808287701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2.66671895965567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3.3331738103413899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09" s="5">
        <f>IF((DiscreteStatsTable[[#This Row],[RepsRequested]]&gt;1),DiscreteStatsTable[[#This Row],[HalfWidth]],DiscreteStatsTable[[#This Row],[BatchMeansHalfWidth]])</f>
        <v>9.419271165822158E-3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30</v>
      </c>
      <c r="Y609" s="5">
        <f>IF(DiscreteStatsTable[[#This Row],[RepsRequested]]=DiscreteStatsTable[[#This Row],[RepsWithStatObserved]],1,0)</f>
        <v>1</v>
      </c>
    </row>
    <row r="610" spans="1:25" x14ac:dyDescent="0.25">
      <c r="A610" t="s">
        <v>68</v>
      </c>
      <c r="B610" t="s">
        <v>70</v>
      </c>
      <c r="C610">
        <v>3</v>
      </c>
      <c r="D610" t="s">
        <v>93</v>
      </c>
      <c r="E610" t="s">
        <v>83</v>
      </c>
      <c r="F610" t="s">
        <v>81</v>
      </c>
      <c r="G610">
        <v>1.69447980983364</v>
      </c>
      <c r="H610">
        <v>2E+20</v>
      </c>
      <c r="I610">
        <v>0</v>
      </c>
      <c r="J610">
        <v>10.0970660655851</v>
      </c>
      <c r="K610">
        <v>47</v>
      </c>
      <c r="L610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30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0.97755247129852119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7.7531386402174704E-2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2.1571430213611502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10.0970660655851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0" s="5">
        <f>IF((DiscreteStatsTable[[#This Row],[RepsRequested]]&gt;1),DiscreteStatsTable[[#This Row],[HalfWidth]],DiscreteStatsTable[[#This Row],[BatchMeansHalfWidth]])</f>
        <v>0.17600589459573387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30</v>
      </c>
      <c r="Y610" s="5">
        <f>IF(DiscreteStatsTable[[#This Row],[RepsRequested]]=DiscreteStatsTable[[#This Row],[RepsWithStatObserved]],1,0)</f>
        <v>1</v>
      </c>
    </row>
    <row r="611" spans="1:25" x14ac:dyDescent="0.25">
      <c r="A611" t="s">
        <v>68</v>
      </c>
      <c r="B611" t="s">
        <v>70</v>
      </c>
      <c r="C611">
        <v>4</v>
      </c>
      <c r="D611" t="s">
        <v>93</v>
      </c>
      <c r="E611" t="s">
        <v>80</v>
      </c>
      <c r="F611" t="s">
        <v>81</v>
      </c>
      <c r="G611">
        <v>3.4940618470115399</v>
      </c>
      <c r="H611">
        <v>2E+20</v>
      </c>
      <c r="I611">
        <v>2.6757724075352498</v>
      </c>
      <c r="J611">
        <v>5.2303284996046404</v>
      </c>
      <c r="K611">
        <v>33</v>
      </c>
      <c r="L611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30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3.9737459717976331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3.0498211098558601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5.1862622338931397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2.66671895965567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12.9499421430497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1" s="5">
        <f>IF((DiscreteStatsTable[[#This Row],[RepsRequested]]&gt;1),DiscreteStatsTable[[#This Row],[HalfWidth]],DiscreteStatsTable[[#This Row],[BatchMeansHalfWidth]])</f>
        <v>0.17714043791041653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30</v>
      </c>
      <c r="Y611" s="5">
        <f>IF(DiscreteStatsTable[[#This Row],[RepsRequested]]=DiscreteStatsTable[[#This Row],[RepsWithStatObserved]],1,0)</f>
        <v>1</v>
      </c>
    </row>
    <row r="612" spans="1:25" x14ac:dyDescent="0.25">
      <c r="A612" t="s">
        <v>68</v>
      </c>
      <c r="B612" t="s">
        <v>70</v>
      </c>
      <c r="C612">
        <v>4</v>
      </c>
      <c r="D612" t="s">
        <v>93</v>
      </c>
      <c r="E612" t="s">
        <v>82</v>
      </c>
      <c r="F612" t="s">
        <v>81</v>
      </c>
      <c r="G612">
        <v>3.03968873898536</v>
      </c>
      <c r="H612">
        <v>2E+20</v>
      </c>
      <c r="I612">
        <v>2.6757724075352498</v>
      </c>
      <c r="J612">
        <v>3.3035285813821198</v>
      </c>
      <c r="K612">
        <v>33</v>
      </c>
      <c r="L612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30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2.9961935004991109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2.9496744298211102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3.0580272808287701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2.66671895965567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3.3331738103413899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2" s="5">
        <f>IF((DiscreteStatsTable[[#This Row],[RepsRequested]]&gt;1),DiscreteStatsTable[[#This Row],[HalfWidth]],DiscreteStatsTable[[#This Row],[BatchMeansHalfWidth]])</f>
        <v>9.419271165822158E-3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30</v>
      </c>
      <c r="Y612" s="5">
        <f>IF(DiscreteStatsTable[[#This Row],[RepsRequested]]=DiscreteStatsTable[[#This Row],[RepsWithStatObserved]],1,0)</f>
        <v>1</v>
      </c>
    </row>
    <row r="613" spans="1:25" x14ac:dyDescent="0.25">
      <c r="A613" t="s">
        <v>68</v>
      </c>
      <c r="B613" t="s">
        <v>70</v>
      </c>
      <c r="C613">
        <v>4</v>
      </c>
      <c r="D613" t="s">
        <v>93</v>
      </c>
      <c r="E613" t="s">
        <v>83</v>
      </c>
      <c r="F613" t="s">
        <v>81</v>
      </c>
      <c r="G613">
        <v>0.45437310802617498</v>
      </c>
      <c r="H613">
        <v>2E+20</v>
      </c>
      <c r="I613">
        <v>0</v>
      </c>
      <c r="J613">
        <v>2.0671783217012298</v>
      </c>
      <c r="K613">
        <v>33</v>
      </c>
      <c r="L613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30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0.97755247129852119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7.7531386402174704E-2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2.1571430213611502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10.0970660655851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3" s="5">
        <f>IF((DiscreteStatsTable[[#This Row],[RepsRequested]]&gt;1),DiscreteStatsTable[[#This Row],[HalfWidth]],DiscreteStatsTable[[#This Row],[BatchMeansHalfWidth]])</f>
        <v>0.17600589459573387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30</v>
      </c>
      <c r="Y613" s="5">
        <f>IF(DiscreteStatsTable[[#This Row],[RepsRequested]]=DiscreteStatsTable[[#This Row],[RepsWithStatObserved]],1,0)</f>
        <v>1</v>
      </c>
    </row>
    <row r="614" spans="1:25" x14ac:dyDescent="0.25">
      <c r="A614" t="s">
        <v>68</v>
      </c>
      <c r="B614" t="s">
        <v>70</v>
      </c>
      <c r="C614">
        <v>5</v>
      </c>
      <c r="D614" t="s">
        <v>93</v>
      </c>
      <c r="E614" t="s">
        <v>80</v>
      </c>
      <c r="F614" t="s">
        <v>81</v>
      </c>
      <c r="G614">
        <v>4.7424658463917897</v>
      </c>
      <c r="H614">
        <v>2E+20</v>
      </c>
      <c r="I614">
        <v>2.6669469668355799</v>
      </c>
      <c r="J614">
        <v>11.2996953978171</v>
      </c>
      <c r="K614">
        <v>45</v>
      </c>
      <c r="L614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30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3.9737459717976331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3.0498211098558601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5.1862622338931397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2.66671895965567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12.9499421430497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4" s="5">
        <f>IF((DiscreteStatsTable[[#This Row],[RepsRequested]]&gt;1),DiscreteStatsTable[[#This Row],[HalfWidth]],DiscreteStatsTable[[#This Row],[BatchMeansHalfWidth]])</f>
        <v>0.17714043791041653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30</v>
      </c>
      <c r="Y614" s="5">
        <f>IF(DiscreteStatsTable[[#This Row],[RepsRequested]]=DiscreteStatsTable[[#This Row],[RepsWithStatObserved]],1,0)</f>
        <v>1</v>
      </c>
    </row>
    <row r="615" spans="1:25" x14ac:dyDescent="0.25">
      <c r="A615" t="s">
        <v>68</v>
      </c>
      <c r="B615" t="s">
        <v>70</v>
      </c>
      <c r="C615">
        <v>5</v>
      </c>
      <c r="D615" t="s">
        <v>93</v>
      </c>
      <c r="E615" t="s">
        <v>82</v>
      </c>
      <c r="F615" t="s">
        <v>81</v>
      </c>
      <c r="G615">
        <v>2.9868389981827499</v>
      </c>
      <c r="H615">
        <v>2E+20</v>
      </c>
      <c r="I615">
        <v>2.6669469668355799</v>
      </c>
      <c r="J615">
        <v>3.3238470621137002</v>
      </c>
      <c r="K615">
        <v>45</v>
      </c>
      <c r="L615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30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2.9961935004991109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2.9496744298211102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3.0580272808287701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2.66671895965567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3.3331738103413899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5" s="5">
        <f>IF((DiscreteStatsTable[[#This Row],[RepsRequested]]&gt;1),DiscreteStatsTable[[#This Row],[HalfWidth]],DiscreteStatsTable[[#This Row],[BatchMeansHalfWidth]])</f>
        <v>9.419271165822158E-3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30</v>
      </c>
      <c r="Y615" s="5">
        <f>IF(DiscreteStatsTable[[#This Row],[RepsRequested]]=DiscreteStatsTable[[#This Row],[RepsWithStatObserved]],1,0)</f>
        <v>1</v>
      </c>
    </row>
    <row r="616" spans="1:25" x14ac:dyDescent="0.25">
      <c r="A616" t="s">
        <v>68</v>
      </c>
      <c r="B616" t="s">
        <v>70</v>
      </c>
      <c r="C616">
        <v>5</v>
      </c>
      <c r="D616" t="s">
        <v>93</v>
      </c>
      <c r="E616" t="s">
        <v>83</v>
      </c>
      <c r="F616" t="s">
        <v>81</v>
      </c>
      <c r="G616">
        <v>1.75562684820904</v>
      </c>
      <c r="H616">
        <v>2E+20</v>
      </c>
      <c r="I616">
        <v>0</v>
      </c>
      <c r="J616">
        <v>8.5271218796846409</v>
      </c>
      <c r="K616">
        <v>45</v>
      </c>
      <c r="L616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30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0.97755247129852119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7.7531386402174704E-2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2.1571430213611502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10.0970660655851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6" s="5">
        <f>IF((DiscreteStatsTable[[#This Row],[RepsRequested]]&gt;1),DiscreteStatsTable[[#This Row],[HalfWidth]],DiscreteStatsTable[[#This Row],[BatchMeansHalfWidth]])</f>
        <v>0.17600589459573387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30</v>
      </c>
      <c r="Y616" s="5">
        <f>IF(DiscreteStatsTable[[#This Row],[RepsRequested]]=DiscreteStatsTable[[#This Row],[RepsWithStatObserved]],1,0)</f>
        <v>1</v>
      </c>
    </row>
    <row r="617" spans="1:25" x14ac:dyDescent="0.25">
      <c r="A617" t="s">
        <v>68</v>
      </c>
      <c r="B617" t="s">
        <v>70</v>
      </c>
      <c r="C617">
        <v>6</v>
      </c>
      <c r="D617" t="s">
        <v>93</v>
      </c>
      <c r="E617" t="s">
        <v>80</v>
      </c>
      <c r="F617" t="s">
        <v>81</v>
      </c>
      <c r="G617">
        <v>4.0234931807096803</v>
      </c>
      <c r="H617">
        <v>2E+20</v>
      </c>
      <c r="I617">
        <v>2.7515510577725899</v>
      </c>
      <c r="J617">
        <v>8.9375763600001807</v>
      </c>
      <c r="K617">
        <v>39</v>
      </c>
      <c r="L617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30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3.9737459717976331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3.0498211098558601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5.1862622338931397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2.66671895965567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12.9499421430497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7" s="5">
        <f>IF((DiscreteStatsTable[[#This Row],[RepsRequested]]&gt;1),DiscreteStatsTable[[#This Row],[HalfWidth]],DiscreteStatsTable[[#This Row],[BatchMeansHalfWidth]])</f>
        <v>0.17714043791041653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30</v>
      </c>
      <c r="Y617" s="5">
        <f>IF(DiscreteStatsTable[[#This Row],[RepsRequested]]=DiscreteStatsTable[[#This Row],[RepsWithStatObserved]],1,0)</f>
        <v>1</v>
      </c>
    </row>
    <row r="618" spans="1:25" x14ac:dyDescent="0.25">
      <c r="A618" t="s">
        <v>68</v>
      </c>
      <c r="B618" t="s">
        <v>70</v>
      </c>
      <c r="C618">
        <v>6</v>
      </c>
      <c r="D618" t="s">
        <v>93</v>
      </c>
      <c r="E618" t="s">
        <v>82</v>
      </c>
      <c r="F618" t="s">
        <v>81</v>
      </c>
      <c r="G618">
        <v>3.0580272808287701</v>
      </c>
      <c r="H618">
        <v>2E+20</v>
      </c>
      <c r="I618">
        <v>2.7163272465220101</v>
      </c>
      <c r="J618">
        <v>3.3255959301526201</v>
      </c>
      <c r="K618">
        <v>39</v>
      </c>
      <c r="L618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30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2.9961935004991109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2.9496744298211102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3.0580272808287701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2.66671895965567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3.3331738103413899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8" s="5">
        <f>IF((DiscreteStatsTable[[#This Row],[RepsRequested]]&gt;1),DiscreteStatsTable[[#This Row],[HalfWidth]],DiscreteStatsTable[[#This Row],[BatchMeansHalfWidth]])</f>
        <v>9.419271165822158E-3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30</v>
      </c>
      <c r="Y618" s="5">
        <f>IF(DiscreteStatsTable[[#This Row],[RepsRequested]]=DiscreteStatsTable[[#This Row],[RepsWithStatObserved]],1,0)</f>
        <v>1</v>
      </c>
    </row>
    <row r="619" spans="1:25" x14ac:dyDescent="0.25">
      <c r="A619" t="s">
        <v>68</v>
      </c>
      <c r="B619" t="s">
        <v>70</v>
      </c>
      <c r="C619">
        <v>6</v>
      </c>
      <c r="D619" t="s">
        <v>93</v>
      </c>
      <c r="E619" t="s">
        <v>83</v>
      </c>
      <c r="F619" t="s">
        <v>81</v>
      </c>
      <c r="G619">
        <v>0.96546589988090303</v>
      </c>
      <c r="H619">
        <v>2E+20</v>
      </c>
      <c r="I619">
        <v>0</v>
      </c>
      <c r="J619">
        <v>5.8327832088809801</v>
      </c>
      <c r="K619">
        <v>39</v>
      </c>
      <c r="L619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30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0.97755247129852119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7.7531386402174704E-2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2.1571430213611502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10.0970660655851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19" s="5">
        <f>IF((DiscreteStatsTable[[#This Row],[RepsRequested]]&gt;1),DiscreteStatsTable[[#This Row],[HalfWidth]],DiscreteStatsTable[[#This Row],[BatchMeansHalfWidth]])</f>
        <v>0.17600589459573387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30</v>
      </c>
      <c r="Y619" s="5">
        <f>IF(DiscreteStatsTable[[#This Row],[RepsRequested]]=DiscreteStatsTable[[#This Row],[RepsWithStatObserved]],1,0)</f>
        <v>1</v>
      </c>
    </row>
    <row r="620" spans="1:25" x14ac:dyDescent="0.25">
      <c r="A620" t="s">
        <v>68</v>
      </c>
      <c r="B620" t="s">
        <v>70</v>
      </c>
      <c r="C620">
        <v>7</v>
      </c>
      <c r="D620" t="s">
        <v>93</v>
      </c>
      <c r="E620" t="s">
        <v>80</v>
      </c>
      <c r="F620" t="s">
        <v>81</v>
      </c>
      <c r="G620">
        <v>4.0727576982458897</v>
      </c>
      <c r="H620">
        <v>2E+20</v>
      </c>
      <c r="I620">
        <v>2.7409113791888702</v>
      </c>
      <c r="J620">
        <v>8.8820887943803193</v>
      </c>
      <c r="K620">
        <v>38</v>
      </c>
      <c r="L620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30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3.9737459717976331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3.0498211098558601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5.1862622338931397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2.66671895965567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12.9499421430497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0" s="5">
        <f>IF((DiscreteStatsTable[[#This Row],[RepsRequested]]&gt;1),DiscreteStatsTable[[#This Row],[HalfWidth]],DiscreteStatsTable[[#This Row],[BatchMeansHalfWidth]])</f>
        <v>0.17714043791041653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30</v>
      </c>
      <c r="Y620" s="5">
        <f>IF(DiscreteStatsTable[[#This Row],[RepsRequested]]=DiscreteStatsTable[[#This Row],[RepsWithStatObserved]],1,0)</f>
        <v>1</v>
      </c>
    </row>
    <row r="621" spans="1:25" x14ac:dyDescent="0.25">
      <c r="A621" t="s">
        <v>68</v>
      </c>
      <c r="B621" t="s">
        <v>70</v>
      </c>
      <c r="C621">
        <v>7</v>
      </c>
      <c r="D621" t="s">
        <v>93</v>
      </c>
      <c r="E621" t="s">
        <v>82</v>
      </c>
      <c r="F621" t="s">
        <v>81</v>
      </c>
      <c r="G621">
        <v>3.0118949759265701</v>
      </c>
      <c r="H621">
        <v>2E+20</v>
      </c>
      <c r="I621">
        <v>2.6716580255212801</v>
      </c>
      <c r="J621">
        <v>3.3265974873813899</v>
      </c>
      <c r="K621">
        <v>38</v>
      </c>
      <c r="L621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30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2.9961935004991109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2.9496744298211102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3.0580272808287701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2.66671895965567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3.3331738103413899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1" s="5">
        <f>IF((DiscreteStatsTable[[#This Row],[RepsRequested]]&gt;1),DiscreteStatsTable[[#This Row],[HalfWidth]],DiscreteStatsTable[[#This Row],[BatchMeansHalfWidth]])</f>
        <v>9.419271165822158E-3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30</v>
      </c>
      <c r="Y621" s="5">
        <f>IF(DiscreteStatsTable[[#This Row],[RepsRequested]]=DiscreteStatsTable[[#This Row],[RepsWithStatObserved]],1,0)</f>
        <v>1</v>
      </c>
    </row>
    <row r="622" spans="1:25" x14ac:dyDescent="0.25">
      <c r="A622" t="s">
        <v>68</v>
      </c>
      <c r="B622" t="s">
        <v>70</v>
      </c>
      <c r="C622">
        <v>7</v>
      </c>
      <c r="D622" t="s">
        <v>93</v>
      </c>
      <c r="E622" t="s">
        <v>83</v>
      </c>
      <c r="F622" t="s">
        <v>81</v>
      </c>
      <c r="G622">
        <v>1.0608627223193201</v>
      </c>
      <c r="H622">
        <v>2E+20</v>
      </c>
      <c r="I622">
        <v>0</v>
      </c>
      <c r="J622">
        <v>6.2104307688590401</v>
      </c>
      <c r="K622">
        <v>38</v>
      </c>
      <c r="L622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30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0.97755247129852119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7.7531386402174704E-2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2.1571430213611502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10.0970660655851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2" s="5">
        <f>IF((DiscreteStatsTable[[#This Row],[RepsRequested]]&gt;1),DiscreteStatsTable[[#This Row],[HalfWidth]],DiscreteStatsTable[[#This Row],[BatchMeansHalfWidth]])</f>
        <v>0.17600589459573387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30</v>
      </c>
      <c r="Y622" s="5">
        <f>IF(DiscreteStatsTable[[#This Row],[RepsRequested]]=DiscreteStatsTable[[#This Row],[RepsWithStatObserved]],1,0)</f>
        <v>1</v>
      </c>
    </row>
    <row r="623" spans="1:25" x14ac:dyDescent="0.25">
      <c r="A623" t="s">
        <v>68</v>
      </c>
      <c r="B623" t="s">
        <v>70</v>
      </c>
      <c r="C623">
        <v>8</v>
      </c>
      <c r="D623" t="s">
        <v>93</v>
      </c>
      <c r="E623" t="s">
        <v>80</v>
      </c>
      <c r="F623" t="s">
        <v>81</v>
      </c>
      <c r="G623">
        <v>4.3241768254524704</v>
      </c>
      <c r="H623">
        <v>2E+20</v>
      </c>
      <c r="I623">
        <v>2.6681064122746698</v>
      </c>
      <c r="J623">
        <v>8.3487018524037406</v>
      </c>
      <c r="K623">
        <v>35</v>
      </c>
      <c r="L623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30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3.9737459717976331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3.0498211098558601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5.1862622338931397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2.66671895965567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12.9499421430497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3" s="5">
        <f>IF((DiscreteStatsTable[[#This Row],[RepsRequested]]&gt;1),DiscreteStatsTable[[#This Row],[HalfWidth]],DiscreteStatsTable[[#This Row],[BatchMeansHalfWidth]])</f>
        <v>0.17714043791041653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30</v>
      </c>
      <c r="Y623" s="5">
        <f>IF(DiscreteStatsTable[[#This Row],[RepsRequested]]=DiscreteStatsTable[[#This Row],[RepsWithStatObserved]],1,0)</f>
        <v>1</v>
      </c>
    </row>
    <row r="624" spans="1:25" x14ac:dyDescent="0.25">
      <c r="A624" t="s">
        <v>68</v>
      </c>
      <c r="B624" t="s">
        <v>70</v>
      </c>
      <c r="C624">
        <v>8</v>
      </c>
      <c r="D624" t="s">
        <v>93</v>
      </c>
      <c r="E624" t="s">
        <v>82</v>
      </c>
      <c r="F624" t="s">
        <v>81</v>
      </c>
      <c r="G624">
        <v>3.0084398571938702</v>
      </c>
      <c r="H624">
        <v>2E+20</v>
      </c>
      <c r="I624">
        <v>2.6681064122746698</v>
      </c>
      <c r="J624">
        <v>3.3299666216200401</v>
      </c>
      <c r="K624">
        <v>35</v>
      </c>
      <c r="L624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30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2.9961935004991109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2.9496744298211102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3.0580272808287701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2.66671895965567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3.3331738103413899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4" s="5">
        <f>IF((DiscreteStatsTable[[#This Row],[RepsRequested]]&gt;1),DiscreteStatsTable[[#This Row],[HalfWidth]],DiscreteStatsTable[[#This Row],[BatchMeansHalfWidth]])</f>
        <v>9.419271165822158E-3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30</v>
      </c>
      <c r="Y624" s="5">
        <f>IF(DiscreteStatsTable[[#This Row],[RepsRequested]]=DiscreteStatsTable[[#This Row],[RepsWithStatObserved]],1,0)</f>
        <v>1</v>
      </c>
    </row>
    <row r="625" spans="1:25" x14ac:dyDescent="0.25">
      <c r="A625" t="s">
        <v>68</v>
      </c>
      <c r="B625" t="s">
        <v>70</v>
      </c>
      <c r="C625">
        <v>8</v>
      </c>
      <c r="D625" t="s">
        <v>93</v>
      </c>
      <c r="E625" t="s">
        <v>83</v>
      </c>
      <c r="F625" t="s">
        <v>81</v>
      </c>
      <c r="G625">
        <v>1.31573696825859</v>
      </c>
      <c r="H625">
        <v>2E+20</v>
      </c>
      <c r="I625">
        <v>0</v>
      </c>
      <c r="J625">
        <v>5.18874567833213</v>
      </c>
      <c r="K625">
        <v>35</v>
      </c>
      <c r="L625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30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0.97755247129852119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7.7531386402174704E-2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2.1571430213611502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10.0970660655851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5" s="5">
        <f>IF((DiscreteStatsTable[[#This Row],[RepsRequested]]&gt;1),DiscreteStatsTable[[#This Row],[HalfWidth]],DiscreteStatsTable[[#This Row],[BatchMeansHalfWidth]])</f>
        <v>0.17600589459573387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30</v>
      </c>
      <c r="Y625" s="5">
        <f>IF(DiscreteStatsTable[[#This Row],[RepsRequested]]=DiscreteStatsTable[[#This Row],[RepsWithStatObserved]],1,0)</f>
        <v>1</v>
      </c>
    </row>
    <row r="626" spans="1:25" x14ac:dyDescent="0.25">
      <c r="A626" t="s">
        <v>68</v>
      </c>
      <c r="B626" t="s">
        <v>70</v>
      </c>
      <c r="C626">
        <v>9</v>
      </c>
      <c r="D626" t="s">
        <v>93</v>
      </c>
      <c r="E626" t="s">
        <v>80</v>
      </c>
      <c r="F626" t="s">
        <v>81</v>
      </c>
      <c r="G626">
        <v>3.4795881066763901</v>
      </c>
      <c r="H626">
        <v>2E+20</v>
      </c>
      <c r="I626">
        <v>2.6977778284738001</v>
      </c>
      <c r="J626">
        <v>5.8237069855649297</v>
      </c>
      <c r="K626">
        <v>34</v>
      </c>
      <c r="L626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30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3.9737459717976331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3.0498211098558601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5.1862622338931397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2.66671895965567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12.9499421430497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6" s="5">
        <f>IF((DiscreteStatsTable[[#This Row],[RepsRequested]]&gt;1),DiscreteStatsTable[[#This Row],[HalfWidth]],DiscreteStatsTable[[#This Row],[BatchMeansHalfWidth]])</f>
        <v>0.17714043791041653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30</v>
      </c>
      <c r="Y626" s="5">
        <f>IF(DiscreteStatsTable[[#This Row],[RepsRequested]]=DiscreteStatsTable[[#This Row],[RepsWithStatObserved]],1,0)</f>
        <v>1</v>
      </c>
    </row>
    <row r="627" spans="1:25" x14ac:dyDescent="0.25">
      <c r="A627" t="s">
        <v>68</v>
      </c>
      <c r="B627" t="s">
        <v>70</v>
      </c>
      <c r="C627">
        <v>9</v>
      </c>
      <c r="D627" t="s">
        <v>93</v>
      </c>
      <c r="E627" t="s">
        <v>82</v>
      </c>
      <c r="F627" t="s">
        <v>81</v>
      </c>
      <c r="G627">
        <v>2.9705458566201699</v>
      </c>
      <c r="H627">
        <v>2E+20</v>
      </c>
      <c r="I627">
        <v>2.6749307613495099</v>
      </c>
      <c r="J627">
        <v>3.3077787631173701</v>
      </c>
      <c r="K627">
        <v>34</v>
      </c>
      <c r="L627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30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2.9961935004991109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2.9496744298211102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3.0580272808287701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2.66671895965567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3.3331738103413899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7" s="5">
        <f>IF((DiscreteStatsTable[[#This Row],[RepsRequested]]&gt;1),DiscreteStatsTable[[#This Row],[HalfWidth]],DiscreteStatsTable[[#This Row],[BatchMeansHalfWidth]])</f>
        <v>9.419271165822158E-3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30</v>
      </c>
      <c r="Y627" s="5">
        <f>IF(DiscreteStatsTable[[#This Row],[RepsRequested]]=DiscreteStatsTable[[#This Row],[RepsWithStatObserved]],1,0)</f>
        <v>1</v>
      </c>
    </row>
    <row r="628" spans="1:25" x14ac:dyDescent="0.25">
      <c r="A628" t="s">
        <v>68</v>
      </c>
      <c r="B628" t="s">
        <v>70</v>
      </c>
      <c r="C628">
        <v>9</v>
      </c>
      <c r="D628" t="s">
        <v>93</v>
      </c>
      <c r="E628" t="s">
        <v>83</v>
      </c>
      <c r="F628" t="s">
        <v>81</v>
      </c>
      <c r="G628">
        <v>0.50904225005622505</v>
      </c>
      <c r="H628">
        <v>2E+20</v>
      </c>
      <c r="I628">
        <v>0</v>
      </c>
      <c r="J628">
        <v>2.54474588976829</v>
      </c>
      <c r="K628">
        <v>34</v>
      </c>
      <c r="L628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30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0.97755247129852119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7.7531386402174704E-2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2.1571430213611502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10.0970660655851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8" s="5">
        <f>IF((DiscreteStatsTable[[#This Row],[RepsRequested]]&gt;1),DiscreteStatsTable[[#This Row],[HalfWidth]],DiscreteStatsTable[[#This Row],[BatchMeansHalfWidth]])</f>
        <v>0.17600589459573387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30</v>
      </c>
      <c r="Y628" s="5">
        <f>IF(DiscreteStatsTable[[#This Row],[RepsRequested]]=DiscreteStatsTable[[#This Row],[RepsWithStatObserved]],1,0)</f>
        <v>1</v>
      </c>
    </row>
    <row r="629" spans="1:25" x14ac:dyDescent="0.25">
      <c r="A629" t="s">
        <v>68</v>
      </c>
      <c r="B629" t="s">
        <v>70</v>
      </c>
      <c r="C629">
        <v>10</v>
      </c>
      <c r="D629" t="s">
        <v>93</v>
      </c>
      <c r="E629" t="s">
        <v>80</v>
      </c>
      <c r="F629" t="s">
        <v>81</v>
      </c>
      <c r="G629">
        <v>3.4950610005195202</v>
      </c>
      <c r="H629">
        <v>2E+20</v>
      </c>
      <c r="I629">
        <v>2.6747508621051801</v>
      </c>
      <c r="J629">
        <v>7.2913864337481904</v>
      </c>
      <c r="K629">
        <v>41</v>
      </c>
      <c r="L629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30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3.9737459717976331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3.0498211098558601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5.1862622338931397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2.66671895965567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12.9499421430497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29" s="5">
        <f>IF((DiscreteStatsTable[[#This Row],[RepsRequested]]&gt;1),DiscreteStatsTable[[#This Row],[HalfWidth]],DiscreteStatsTable[[#This Row],[BatchMeansHalfWidth]])</f>
        <v>0.17714043791041653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30</v>
      </c>
      <c r="Y629" s="5">
        <f>IF(DiscreteStatsTable[[#This Row],[RepsRequested]]=DiscreteStatsTable[[#This Row],[RepsWithStatObserved]],1,0)</f>
        <v>1</v>
      </c>
    </row>
    <row r="630" spans="1:25" x14ac:dyDescent="0.25">
      <c r="A630" t="s">
        <v>68</v>
      </c>
      <c r="B630" t="s">
        <v>70</v>
      </c>
      <c r="C630">
        <v>10</v>
      </c>
      <c r="D630" t="s">
        <v>93</v>
      </c>
      <c r="E630" t="s">
        <v>82</v>
      </c>
      <c r="F630" t="s">
        <v>81</v>
      </c>
      <c r="G630">
        <v>2.9496744298211102</v>
      </c>
      <c r="H630">
        <v>2E+20</v>
      </c>
      <c r="I630">
        <v>2.6747508621051801</v>
      </c>
      <c r="J630">
        <v>3.3026436227961802</v>
      </c>
      <c r="K630">
        <v>41</v>
      </c>
      <c r="L630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30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2.9961935004991109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2.9496744298211102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3.0580272808287701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2.66671895965567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3.3331738103413899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0" s="5">
        <f>IF((DiscreteStatsTable[[#This Row],[RepsRequested]]&gt;1),DiscreteStatsTable[[#This Row],[HalfWidth]],DiscreteStatsTable[[#This Row],[BatchMeansHalfWidth]])</f>
        <v>9.419271165822158E-3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30</v>
      </c>
      <c r="Y630" s="5">
        <f>IF(DiscreteStatsTable[[#This Row],[RepsRequested]]=DiscreteStatsTable[[#This Row],[RepsWithStatObserved]],1,0)</f>
        <v>1</v>
      </c>
    </row>
    <row r="631" spans="1:25" x14ac:dyDescent="0.25">
      <c r="A631" t="s">
        <v>68</v>
      </c>
      <c r="B631" t="s">
        <v>70</v>
      </c>
      <c r="C631">
        <v>10</v>
      </c>
      <c r="D631" t="s">
        <v>93</v>
      </c>
      <c r="E631" t="s">
        <v>83</v>
      </c>
      <c r="F631" t="s">
        <v>81</v>
      </c>
      <c r="G631">
        <v>0.54538657069841001</v>
      </c>
      <c r="H631">
        <v>2E+20</v>
      </c>
      <c r="I631">
        <v>0</v>
      </c>
      <c r="J631">
        <v>4.0395518634033198</v>
      </c>
      <c r="K631">
        <v>41</v>
      </c>
      <c r="L631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30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0.97755247129852119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7.7531386402174704E-2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2.1571430213611502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10.0970660655851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1" s="5">
        <f>IF((DiscreteStatsTable[[#This Row],[RepsRequested]]&gt;1),DiscreteStatsTable[[#This Row],[HalfWidth]],DiscreteStatsTable[[#This Row],[BatchMeansHalfWidth]])</f>
        <v>0.17600589459573387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30</v>
      </c>
      <c r="Y631" s="5">
        <f>IF(DiscreteStatsTable[[#This Row],[RepsRequested]]=DiscreteStatsTable[[#This Row],[RepsWithStatObserved]],1,0)</f>
        <v>1</v>
      </c>
    </row>
    <row r="632" spans="1:25" x14ac:dyDescent="0.25">
      <c r="A632" t="s">
        <v>68</v>
      </c>
      <c r="B632" t="s">
        <v>70</v>
      </c>
      <c r="C632">
        <v>11</v>
      </c>
      <c r="D632" t="s">
        <v>93</v>
      </c>
      <c r="E632" t="s">
        <v>80</v>
      </c>
      <c r="F632" t="s">
        <v>81</v>
      </c>
      <c r="G632">
        <v>3.7924453292478399</v>
      </c>
      <c r="H632">
        <v>2E+20</v>
      </c>
      <c r="I632">
        <v>2.7004122109430599</v>
      </c>
      <c r="J632">
        <v>7.7973149180890902</v>
      </c>
      <c r="K632">
        <v>44</v>
      </c>
      <c r="L632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30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3.9737459717976331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3.0498211098558601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5.1862622338931397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2.66671895965567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12.9499421430497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2" s="5">
        <f>IF((DiscreteStatsTable[[#This Row],[RepsRequested]]&gt;1),DiscreteStatsTable[[#This Row],[HalfWidth]],DiscreteStatsTable[[#This Row],[BatchMeansHalfWidth]])</f>
        <v>0.17714043791041653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30</v>
      </c>
      <c r="Y632" s="5">
        <f>IF(DiscreteStatsTable[[#This Row],[RepsRequested]]=DiscreteStatsTable[[#This Row],[RepsWithStatObserved]],1,0)</f>
        <v>1</v>
      </c>
    </row>
    <row r="633" spans="1:25" x14ac:dyDescent="0.25">
      <c r="A633" t="s">
        <v>68</v>
      </c>
      <c r="B633" t="s">
        <v>70</v>
      </c>
      <c r="C633">
        <v>11</v>
      </c>
      <c r="D633" t="s">
        <v>93</v>
      </c>
      <c r="E633" t="s">
        <v>82</v>
      </c>
      <c r="F633" t="s">
        <v>81</v>
      </c>
      <c r="G633">
        <v>2.9594320243090699</v>
      </c>
      <c r="H633">
        <v>2E+20</v>
      </c>
      <c r="I633">
        <v>2.6688678180317802</v>
      </c>
      <c r="J633">
        <v>3.3133808789999599</v>
      </c>
      <c r="K633">
        <v>44</v>
      </c>
      <c r="L633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30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2.9961935004991109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2.9496744298211102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3.0580272808287701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2.66671895965567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3.3331738103413899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3" s="5">
        <f>IF((DiscreteStatsTable[[#This Row],[RepsRequested]]&gt;1),DiscreteStatsTable[[#This Row],[HalfWidth]],DiscreteStatsTable[[#This Row],[BatchMeansHalfWidth]])</f>
        <v>9.419271165822158E-3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30</v>
      </c>
      <c r="Y633" s="5">
        <f>IF(DiscreteStatsTable[[#This Row],[RepsRequested]]=DiscreteStatsTable[[#This Row],[RepsWithStatObserved]],1,0)</f>
        <v>1</v>
      </c>
    </row>
    <row r="634" spans="1:25" x14ac:dyDescent="0.25">
      <c r="A634" t="s">
        <v>68</v>
      </c>
      <c r="B634" t="s">
        <v>70</v>
      </c>
      <c r="C634">
        <v>11</v>
      </c>
      <c r="D634" t="s">
        <v>93</v>
      </c>
      <c r="E634" t="s">
        <v>83</v>
      </c>
      <c r="F634" t="s">
        <v>81</v>
      </c>
      <c r="G634">
        <v>0.83301330493878001</v>
      </c>
      <c r="H634">
        <v>2E+20</v>
      </c>
      <c r="I634">
        <v>0</v>
      </c>
      <c r="J634">
        <v>4.6550838426716199</v>
      </c>
      <c r="K634">
        <v>44</v>
      </c>
      <c r="L634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30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0.97755247129852119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7.7531386402174704E-2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2.1571430213611502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10.0970660655851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4" s="5">
        <f>IF((DiscreteStatsTable[[#This Row],[RepsRequested]]&gt;1),DiscreteStatsTable[[#This Row],[HalfWidth]],DiscreteStatsTable[[#This Row],[BatchMeansHalfWidth]])</f>
        <v>0.17600589459573387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30</v>
      </c>
      <c r="Y634" s="5">
        <f>IF(DiscreteStatsTable[[#This Row],[RepsRequested]]=DiscreteStatsTable[[#This Row],[RepsWithStatObserved]],1,0)</f>
        <v>1</v>
      </c>
    </row>
    <row r="635" spans="1:25" x14ac:dyDescent="0.25">
      <c r="A635" t="s">
        <v>68</v>
      </c>
      <c r="B635" t="s">
        <v>70</v>
      </c>
      <c r="C635">
        <v>12</v>
      </c>
      <c r="D635" t="s">
        <v>93</v>
      </c>
      <c r="E635" t="s">
        <v>80</v>
      </c>
      <c r="F635" t="s">
        <v>81</v>
      </c>
      <c r="G635">
        <v>3.0498211098558601</v>
      </c>
      <c r="H635">
        <v>2E+20</v>
      </c>
      <c r="I635">
        <v>2.6693372057187599</v>
      </c>
      <c r="J635">
        <v>3.9547863654923998</v>
      </c>
      <c r="K635">
        <v>28</v>
      </c>
      <c r="L635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30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3.9737459717976331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3.0498211098558601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5.1862622338931397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2.66671895965567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12.9499421430497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5" s="5">
        <f>IF((DiscreteStatsTable[[#This Row],[RepsRequested]]&gt;1),DiscreteStatsTable[[#This Row],[HalfWidth]],DiscreteStatsTable[[#This Row],[BatchMeansHalfWidth]])</f>
        <v>0.17714043791041653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30</v>
      </c>
      <c r="Y635" s="5">
        <f>IF(DiscreteStatsTable[[#This Row],[RepsRequested]]=DiscreteStatsTable[[#This Row],[RepsWithStatObserved]],1,0)</f>
        <v>1</v>
      </c>
    </row>
    <row r="636" spans="1:25" x14ac:dyDescent="0.25">
      <c r="A636" t="s">
        <v>68</v>
      </c>
      <c r="B636" t="s">
        <v>70</v>
      </c>
      <c r="C636">
        <v>12</v>
      </c>
      <c r="D636" t="s">
        <v>93</v>
      </c>
      <c r="E636" t="s">
        <v>82</v>
      </c>
      <c r="F636" t="s">
        <v>81</v>
      </c>
      <c r="G636">
        <v>2.97228972345368</v>
      </c>
      <c r="H636">
        <v>2E+20</v>
      </c>
      <c r="I636">
        <v>2.6693372057187599</v>
      </c>
      <c r="J636">
        <v>3.3291719341177699</v>
      </c>
      <c r="K636">
        <v>28</v>
      </c>
      <c r="L636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30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2.9961935004991109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2.9496744298211102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3.0580272808287701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2.66671895965567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3.3331738103413899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6" s="5">
        <f>IF((DiscreteStatsTable[[#This Row],[RepsRequested]]&gt;1),DiscreteStatsTable[[#This Row],[HalfWidth]],DiscreteStatsTable[[#This Row],[BatchMeansHalfWidth]])</f>
        <v>9.419271165822158E-3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30</v>
      </c>
      <c r="Y636" s="5">
        <f>IF(DiscreteStatsTable[[#This Row],[RepsRequested]]=DiscreteStatsTable[[#This Row],[RepsWithStatObserved]],1,0)</f>
        <v>1</v>
      </c>
    </row>
    <row r="637" spans="1:25" x14ac:dyDescent="0.25">
      <c r="A637" t="s">
        <v>68</v>
      </c>
      <c r="B637" t="s">
        <v>70</v>
      </c>
      <c r="C637">
        <v>12</v>
      </c>
      <c r="D637" t="s">
        <v>93</v>
      </c>
      <c r="E637" t="s">
        <v>83</v>
      </c>
      <c r="F637" t="s">
        <v>81</v>
      </c>
      <c r="G637">
        <v>7.7531386402174704E-2</v>
      </c>
      <c r="H637">
        <v>2E+20</v>
      </c>
      <c r="I637">
        <v>0</v>
      </c>
      <c r="J637">
        <v>0.87537089400441903</v>
      </c>
      <c r="K637">
        <v>28</v>
      </c>
      <c r="L637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30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0.97755247129852119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7.7531386402174704E-2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2.1571430213611502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10.0970660655851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7" s="5">
        <f>IF((DiscreteStatsTable[[#This Row],[RepsRequested]]&gt;1),DiscreteStatsTable[[#This Row],[HalfWidth]],DiscreteStatsTable[[#This Row],[BatchMeansHalfWidth]])</f>
        <v>0.17600589459573387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30</v>
      </c>
      <c r="Y637" s="5">
        <f>IF(DiscreteStatsTable[[#This Row],[RepsRequested]]=DiscreteStatsTable[[#This Row],[RepsWithStatObserved]],1,0)</f>
        <v>1</v>
      </c>
    </row>
    <row r="638" spans="1:25" x14ac:dyDescent="0.25">
      <c r="A638" t="s">
        <v>68</v>
      </c>
      <c r="B638" t="s">
        <v>70</v>
      </c>
      <c r="C638">
        <v>13</v>
      </c>
      <c r="D638" t="s">
        <v>93</v>
      </c>
      <c r="E638" t="s">
        <v>80</v>
      </c>
      <c r="F638" t="s">
        <v>81</v>
      </c>
      <c r="G638">
        <v>3.5247358592683899</v>
      </c>
      <c r="H638">
        <v>2E+20</v>
      </c>
      <c r="I638">
        <v>2.6755040466118798</v>
      </c>
      <c r="J638">
        <v>5.9152556837431396</v>
      </c>
      <c r="K638">
        <v>37</v>
      </c>
      <c r="L638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30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3.9737459717976331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3.0498211098558601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5.1862622338931397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2.66671895965567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12.9499421430497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8" s="5">
        <f>IF((DiscreteStatsTable[[#This Row],[RepsRequested]]&gt;1),DiscreteStatsTable[[#This Row],[HalfWidth]],DiscreteStatsTable[[#This Row],[BatchMeansHalfWidth]])</f>
        <v>0.17714043791041653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30</v>
      </c>
      <c r="Y638" s="5">
        <f>IF(DiscreteStatsTable[[#This Row],[RepsRequested]]=DiscreteStatsTable[[#This Row],[RepsWithStatObserved]],1,0)</f>
        <v>1</v>
      </c>
    </row>
    <row r="639" spans="1:25" x14ac:dyDescent="0.25">
      <c r="A639" t="s">
        <v>68</v>
      </c>
      <c r="B639" t="s">
        <v>70</v>
      </c>
      <c r="C639">
        <v>13</v>
      </c>
      <c r="D639" t="s">
        <v>93</v>
      </c>
      <c r="E639" t="s">
        <v>82</v>
      </c>
      <c r="F639" t="s">
        <v>81</v>
      </c>
      <c r="G639">
        <v>3.01342620907938</v>
      </c>
      <c r="H639">
        <v>2E+20</v>
      </c>
      <c r="I639">
        <v>2.6755040466118798</v>
      </c>
      <c r="J639">
        <v>3.3298843284011399</v>
      </c>
      <c r="K639">
        <v>37</v>
      </c>
      <c r="L639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30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2.9961935004991109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2.9496744298211102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3.0580272808287701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2.66671895965567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3.3331738103413899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39" s="5">
        <f>IF((DiscreteStatsTable[[#This Row],[RepsRequested]]&gt;1),DiscreteStatsTable[[#This Row],[HalfWidth]],DiscreteStatsTable[[#This Row],[BatchMeansHalfWidth]])</f>
        <v>9.419271165822158E-3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30</v>
      </c>
      <c r="Y639" s="5">
        <f>IF(DiscreteStatsTable[[#This Row],[RepsRequested]]=DiscreteStatsTable[[#This Row],[RepsWithStatObserved]],1,0)</f>
        <v>1</v>
      </c>
    </row>
    <row r="640" spans="1:25" x14ac:dyDescent="0.25">
      <c r="A640" t="s">
        <v>68</v>
      </c>
      <c r="B640" t="s">
        <v>70</v>
      </c>
      <c r="C640">
        <v>13</v>
      </c>
      <c r="D640" t="s">
        <v>93</v>
      </c>
      <c r="E640" t="s">
        <v>83</v>
      </c>
      <c r="F640" t="s">
        <v>81</v>
      </c>
      <c r="G640">
        <v>0.51130965018901198</v>
      </c>
      <c r="H640">
        <v>2E+20</v>
      </c>
      <c r="I640">
        <v>0</v>
      </c>
      <c r="J640">
        <v>2.8868219989535602</v>
      </c>
      <c r="K640">
        <v>37</v>
      </c>
      <c r="L640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30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0.97755247129852119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7.7531386402174704E-2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2.1571430213611502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10.0970660655851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0" s="5">
        <f>IF((DiscreteStatsTable[[#This Row],[RepsRequested]]&gt;1),DiscreteStatsTable[[#This Row],[HalfWidth]],DiscreteStatsTable[[#This Row],[BatchMeansHalfWidth]])</f>
        <v>0.17600589459573387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30</v>
      </c>
      <c r="Y640" s="5">
        <f>IF(DiscreteStatsTable[[#This Row],[RepsRequested]]=DiscreteStatsTable[[#This Row],[RepsWithStatObserved]],1,0)</f>
        <v>1</v>
      </c>
    </row>
    <row r="641" spans="1:25" x14ac:dyDescent="0.25">
      <c r="A641" t="s">
        <v>68</v>
      </c>
      <c r="B641" t="s">
        <v>70</v>
      </c>
      <c r="C641">
        <v>14</v>
      </c>
      <c r="D641" t="s">
        <v>93</v>
      </c>
      <c r="E641" t="s">
        <v>80</v>
      </c>
      <c r="F641" t="s">
        <v>81</v>
      </c>
      <c r="G641">
        <v>4.0270169105301097</v>
      </c>
      <c r="H641">
        <v>2E+20</v>
      </c>
      <c r="I641">
        <v>2.7114555179205602</v>
      </c>
      <c r="J641">
        <v>8.6395961375037498</v>
      </c>
      <c r="K641">
        <v>44</v>
      </c>
      <c r="L641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30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3.9737459717976331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3.0498211098558601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5.1862622338931397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2.66671895965567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12.9499421430497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1" s="5">
        <f>IF((DiscreteStatsTable[[#This Row],[RepsRequested]]&gt;1),DiscreteStatsTable[[#This Row],[HalfWidth]],DiscreteStatsTable[[#This Row],[BatchMeansHalfWidth]])</f>
        <v>0.17714043791041653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30</v>
      </c>
      <c r="Y641" s="5">
        <f>IF(DiscreteStatsTable[[#This Row],[RepsRequested]]=DiscreteStatsTable[[#This Row],[RepsWithStatObserved]],1,0)</f>
        <v>1</v>
      </c>
    </row>
    <row r="642" spans="1:25" x14ac:dyDescent="0.25">
      <c r="A642" t="s">
        <v>68</v>
      </c>
      <c r="B642" t="s">
        <v>70</v>
      </c>
      <c r="C642">
        <v>14</v>
      </c>
      <c r="D642" t="s">
        <v>93</v>
      </c>
      <c r="E642" t="s">
        <v>82</v>
      </c>
      <c r="F642" t="s">
        <v>81</v>
      </c>
      <c r="G642">
        <v>3.0028674101307198</v>
      </c>
      <c r="H642">
        <v>2E+20</v>
      </c>
      <c r="I642">
        <v>2.6872124810766902</v>
      </c>
      <c r="J642">
        <v>3.3116535821003499</v>
      </c>
      <c r="K642">
        <v>44</v>
      </c>
      <c r="L642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30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2.9961935004991109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2.9496744298211102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3.0580272808287701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2.66671895965567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3.3331738103413899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2" s="5">
        <f>IF((DiscreteStatsTable[[#This Row],[RepsRequested]]&gt;1),DiscreteStatsTable[[#This Row],[HalfWidth]],DiscreteStatsTable[[#This Row],[BatchMeansHalfWidth]])</f>
        <v>9.419271165822158E-3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30</v>
      </c>
      <c r="Y642" s="5">
        <f>IF(DiscreteStatsTable[[#This Row],[RepsRequested]]=DiscreteStatsTable[[#This Row],[RepsWithStatObserved]],1,0)</f>
        <v>1</v>
      </c>
    </row>
    <row r="643" spans="1:25" x14ac:dyDescent="0.25">
      <c r="A643" t="s">
        <v>68</v>
      </c>
      <c r="B643" t="s">
        <v>70</v>
      </c>
      <c r="C643">
        <v>14</v>
      </c>
      <c r="D643" t="s">
        <v>93</v>
      </c>
      <c r="E643" t="s">
        <v>83</v>
      </c>
      <c r="F643" t="s">
        <v>81</v>
      </c>
      <c r="G643">
        <v>1.0241495003993999</v>
      </c>
      <c r="H643">
        <v>2E+20</v>
      </c>
      <c r="I643">
        <v>0</v>
      </c>
      <c r="J643">
        <v>5.6116682951624801</v>
      </c>
      <c r="K643">
        <v>44</v>
      </c>
      <c r="L643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30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0.97755247129852119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7.7531386402174704E-2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2.1571430213611502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10.0970660655851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3" s="5">
        <f>IF((DiscreteStatsTable[[#This Row],[RepsRequested]]&gt;1),DiscreteStatsTable[[#This Row],[HalfWidth]],DiscreteStatsTable[[#This Row],[BatchMeansHalfWidth]])</f>
        <v>0.17600589459573387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30</v>
      </c>
      <c r="Y643" s="5">
        <f>IF(DiscreteStatsTable[[#This Row],[RepsRequested]]=DiscreteStatsTable[[#This Row],[RepsWithStatObserved]],1,0)</f>
        <v>1</v>
      </c>
    </row>
    <row r="644" spans="1:25" x14ac:dyDescent="0.25">
      <c r="A644" t="s">
        <v>68</v>
      </c>
      <c r="B644" t="s">
        <v>70</v>
      </c>
      <c r="C644">
        <v>15</v>
      </c>
      <c r="D644" t="s">
        <v>93</v>
      </c>
      <c r="E644" t="s">
        <v>80</v>
      </c>
      <c r="F644" t="s">
        <v>81</v>
      </c>
      <c r="G644">
        <v>4.1316476755923599</v>
      </c>
      <c r="H644">
        <v>2E+20</v>
      </c>
      <c r="I644">
        <v>2.7287943857531101</v>
      </c>
      <c r="J644">
        <v>7.3191754665166</v>
      </c>
      <c r="K644">
        <v>46</v>
      </c>
      <c r="L644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30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3.9737459717976331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3.0498211098558601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5.1862622338931397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2.66671895965567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12.9499421430497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4" s="5">
        <f>IF((DiscreteStatsTable[[#This Row],[RepsRequested]]&gt;1),DiscreteStatsTable[[#This Row],[HalfWidth]],DiscreteStatsTable[[#This Row],[BatchMeansHalfWidth]])</f>
        <v>0.17714043791041653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30</v>
      </c>
      <c r="Y644" s="5">
        <f>IF(DiscreteStatsTable[[#This Row],[RepsRequested]]=DiscreteStatsTable[[#This Row],[RepsWithStatObserved]],1,0)</f>
        <v>1</v>
      </c>
    </row>
    <row r="645" spans="1:25" x14ac:dyDescent="0.25">
      <c r="A645" t="s">
        <v>68</v>
      </c>
      <c r="B645" t="s">
        <v>70</v>
      </c>
      <c r="C645">
        <v>15</v>
      </c>
      <c r="D645" t="s">
        <v>93</v>
      </c>
      <c r="E645" t="s">
        <v>82</v>
      </c>
      <c r="F645" t="s">
        <v>81</v>
      </c>
      <c r="G645">
        <v>3.0004768852896202</v>
      </c>
      <c r="H645">
        <v>2E+20</v>
      </c>
      <c r="I645">
        <v>2.7031326962063802</v>
      </c>
      <c r="J645">
        <v>3.30135351496661</v>
      </c>
      <c r="K645">
        <v>46</v>
      </c>
      <c r="L645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30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2.9961935004991109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2.9496744298211102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3.0580272808287701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2.66671895965567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3.3331738103413899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5" s="5">
        <f>IF((DiscreteStatsTable[[#This Row],[RepsRequested]]&gt;1),DiscreteStatsTable[[#This Row],[HalfWidth]],DiscreteStatsTable[[#This Row],[BatchMeansHalfWidth]])</f>
        <v>9.419271165822158E-3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30</v>
      </c>
      <c r="Y645" s="5">
        <f>IF(DiscreteStatsTable[[#This Row],[RepsRequested]]=DiscreteStatsTable[[#This Row],[RepsWithStatObserved]],1,0)</f>
        <v>1</v>
      </c>
    </row>
    <row r="646" spans="1:25" x14ac:dyDescent="0.25">
      <c r="A646" t="s">
        <v>68</v>
      </c>
      <c r="B646" t="s">
        <v>70</v>
      </c>
      <c r="C646">
        <v>15</v>
      </c>
      <c r="D646" t="s">
        <v>93</v>
      </c>
      <c r="E646" t="s">
        <v>83</v>
      </c>
      <c r="F646" t="s">
        <v>81</v>
      </c>
      <c r="G646">
        <v>1.1311707903027399</v>
      </c>
      <c r="H646">
        <v>2E+20</v>
      </c>
      <c r="I646">
        <v>0</v>
      </c>
      <c r="J646">
        <v>4.4563149721252397</v>
      </c>
      <c r="K646">
        <v>46</v>
      </c>
      <c r="L646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30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0.97755247129852119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7.7531386402174704E-2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2.1571430213611502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10.0970660655851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6" s="5">
        <f>IF((DiscreteStatsTable[[#This Row],[RepsRequested]]&gt;1),DiscreteStatsTable[[#This Row],[HalfWidth]],DiscreteStatsTable[[#This Row],[BatchMeansHalfWidth]])</f>
        <v>0.17600589459573387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30</v>
      </c>
      <c r="Y646" s="5">
        <f>IF(DiscreteStatsTable[[#This Row],[RepsRequested]]=DiscreteStatsTable[[#This Row],[RepsWithStatObserved]],1,0)</f>
        <v>1</v>
      </c>
    </row>
    <row r="647" spans="1:25" x14ac:dyDescent="0.25">
      <c r="A647" t="s">
        <v>68</v>
      </c>
      <c r="B647" t="s">
        <v>70</v>
      </c>
      <c r="C647">
        <v>16</v>
      </c>
      <c r="D647" t="s">
        <v>93</v>
      </c>
      <c r="E647" t="s">
        <v>80</v>
      </c>
      <c r="F647" t="s">
        <v>81</v>
      </c>
      <c r="G647">
        <v>3.59147350310865</v>
      </c>
      <c r="H647">
        <v>2E+20</v>
      </c>
      <c r="I647">
        <v>2.67270578954574</v>
      </c>
      <c r="J647">
        <v>6.2439602214478196</v>
      </c>
      <c r="K647">
        <v>36</v>
      </c>
      <c r="L647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30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3.9737459717976331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3.0498211098558601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5.1862622338931397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2.66671895965567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12.9499421430497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7" s="5">
        <f>IF((DiscreteStatsTable[[#This Row],[RepsRequested]]&gt;1),DiscreteStatsTable[[#This Row],[HalfWidth]],DiscreteStatsTable[[#This Row],[BatchMeansHalfWidth]])</f>
        <v>0.17714043791041653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30</v>
      </c>
      <c r="Y647" s="5">
        <f>IF(DiscreteStatsTable[[#This Row],[RepsRequested]]=DiscreteStatsTable[[#This Row],[RepsWithStatObserved]],1,0)</f>
        <v>1</v>
      </c>
    </row>
    <row r="648" spans="1:25" x14ac:dyDescent="0.25">
      <c r="A648" t="s">
        <v>68</v>
      </c>
      <c r="B648" t="s">
        <v>70</v>
      </c>
      <c r="C648">
        <v>16</v>
      </c>
      <c r="D648" t="s">
        <v>93</v>
      </c>
      <c r="E648" t="s">
        <v>82</v>
      </c>
      <c r="F648" t="s">
        <v>81</v>
      </c>
      <c r="G648">
        <v>2.9949361287887402</v>
      </c>
      <c r="H648">
        <v>2E+20</v>
      </c>
      <c r="I648">
        <v>2.67270578954574</v>
      </c>
      <c r="J648">
        <v>3.2978429115802301</v>
      </c>
      <c r="K648">
        <v>36</v>
      </c>
      <c r="L648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30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2.9961935004991109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2.9496744298211102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3.0580272808287701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2.66671895965567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3.3331738103413899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8" s="5">
        <f>IF((DiscreteStatsTable[[#This Row],[RepsRequested]]&gt;1),DiscreteStatsTable[[#This Row],[HalfWidth]],DiscreteStatsTable[[#This Row],[BatchMeansHalfWidth]])</f>
        <v>9.419271165822158E-3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30</v>
      </c>
      <c r="Y648" s="5">
        <f>IF(DiscreteStatsTable[[#This Row],[RepsRequested]]=DiscreteStatsTable[[#This Row],[RepsWithStatObserved]],1,0)</f>
        <v>1</v>
      </c>
    </row>
    <row r="649" spans="1:25" x14ac:dyDescent="0.25">
      <c r="A649" t="s">
        <v>68</v>
      </c>
      <c r="B649" t="s">
        <v>70</v>
      </c>
      <c r="C649">
        <v>16</v>
      </c>
      <c r="D649" t="s">
        <v>93</v>
      </c>
      <c r="E649" t="s">
        <v>83</v>
      </c>
      <c r="F649" t="s">
        <v>81</v>
      </c>
      <c r="G649">
        <v>0.59653737431991105</v>
      </c>
      <c r="H649">
        <v>2E+20</v>
      </c>
      <c r="I649">
        <v>0</v>
      </c>
      <c r="J649">
        <v>3.5231386412225998</v>
      </c>
      <c r="K649">
        <v>36</v>
      </c>
      <c r="L649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30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0.97755247129852119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7.7531386402174704E-2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2.1571430213611502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10.0970660655851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49" s="5">
        <f>IF((DiscreteStatsTable[[#This Row],[RepsRequested]]&gt;1),DiscreteStatsTable[[#This Row],[HalfWidth]],DiscreteStatsTable[[#This Row],[BatchMeansHalfWidth]])</f>
        <v>0.17600589459573387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30</v>
      </c>
      <c r="Y649" s="5">
        <f>IF(DiscreteStatsTable[[#This Row],[RepsRequested]]=DiscreteStatsTable[[#This Row],[RepsWithStatObserved]],1,0)</f>
        <v>1</v>
      </c>
    </row>
    <row r="650" spans="1:25" x14ac:dyDescent="0.25">
      <c r="A650" t="s">
        <v>68</v>
      </c>
      <c r="B650" t="s">
        <v>70</v>
      </c>
      <c r="C650">
        <v>17</v>
      </c>
      <c r="D650" t="s">
        <v>93</v>
      </c>
      <c r="E650" t="s">
        <v>80</v>
      </c>
      <c r="F650" t="s">
        <v>81</v>
      </c>
      <c r="G650">
        <v>3.50590344549861</v>
      </c>
      <c r="H650">
        <v>2E+20</v>
      </c>
      <c r="I650">
        <v>2.6966274670003498</v>
      </c>
      <c r="J650">
        <v>5.60823609446697</v>
      </c>
      <c r="K650">
        <v>31</v>
      </c>
      <c r="L650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30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3.9737459717976331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3.0498211098558601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5.1862622338931397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2.66671895965567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12.9499421430497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0" s="5">
        <f>IF((DiscreteStatsTable[[#This Row],[RepsRequested]]&gt;1),DiscreteStatsTable[[#This Row],[HalfWidth]],DiscreteStatsTable[[#This Row],[BatchMeansHalfWidth]])</f>
        <v>0.17714043791041653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30</v>
      </c>
      <c r="Y650" s="5">
        <f>IF(DiscreteStatsTable[[#This Row],[RepsRequested]]=DiscreteStatsTable[[#This Row],[RepsWithStatObserved]],1,0)</f>
        <v>1</v>
      </c>
    </row>
    <row r="651" spans="1:25" x14ac:dyDescent="0.25">
      <c r="A651" t="s">
        <v>68</v>
      </c>
      <c r="B651" t="s">
        <v>70</v>
      </c>
      <c r="C651">
        <v>17</v>
      </c>
      <c r="D651" t="s">
        <v>93</v>
      </c>
      <c r="E651" t="s">
        <v>82</v>
      </c>
      <c r="F651" t="s">
        <v>81</v>
      </c>
      <c r="G651">
        <v>2.9635234965131798</v>
      </c>
      <c r="H651">
        <v>2E+20</v>
      </c>
      <c r="I651">
        <v>2.6741734135202599</v>
      </c>
      <c r="J651">
        <v>3.30479831187276</v>
      </c>
      <c r="K651">
        <v>31</v>
      </c>
      <c r="L651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30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2.9961935004991109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2.9496744298211102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3.0580272808287701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2.66671895965567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3.3331738103413899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1" s="5">
        <f>IF((DiscreteStatsTable[[#This Row],[RepsRequested]]&gt;1),DiscreteStatsTable[[#This Row],[HalfWidth]],DiscreteStatsTable[[#This Row],[BatchMeansHalfWidth]])</f>
        <v>9.419271165822158E-3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30</v>
      </c>
      <c r="Y651" s="5">
        <f>IF(DiscreteStatsTable[[#This Row],[RepsRequested]]=DiscreteStatsTable[[#This Row],[RepsWithStatObserved]],1,0)</f>
        <v>1</v>
      </c>
    </row>
    <row r="652" spans="1:25" x14ac:dyDescent="0.25">
      <c r="A652" t="s">
        <v>68</v>
      </c>
      <c r="B652" t="s">
        <v>70</v>
      </c>
      <c r="C652">
        <v>17</v>
      </c>
      <c r="D652" t="s">
        <v>93</v>
      </c>
      <c r="E652" t="s">
        <v>83</v>
      </c>
      <c r="F652" t="s">
        <v>81</v>
      </c>
      <c r="G652">
        <v>0.54237994898542696</v>
      </c>
      <c r="H652">
        <v>2E+20</v>
      </c>
      <c r="I652">
        <v>0</v>
      </c>
      <c r="J652">
        <v>2.9065554390868402</v>
      </c>
      <c r="K652">
        <v>31</v>
      </c>
      <c r="L652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30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0.97755247129852119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7.7531386402174704E-2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2.1571430213611502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10.0970660655851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2" s="5">
        <f>IF((DiscreteStatsTable[[#This Row],[RepsRequested]]&gt;1),DiscreteStatsTable[[#This Row],[HalfWidth]],DiscreteStatsTable[[#This Row],[BatchMeansHalfWidth]])</f>
        <v>0.17600589459573387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30</v>
      </c>
      <c r="Y652" s="5">
        <f>IF(DiscreteStatsTable[[#This Row],[RepsRequested]]=DiscreteStatsTable[[#This Row],[RepsWithStatObserved]],1,0)</f>
        <v>1</v>
      </c>
    </row>
    <row r="653" spans="1:25" x14ac:dyDescent="0.25">
      <c r="A653" t="s">
        <v>68</v>
      </c>
      <c r="B653" t="s">
        <v>70</v>
      </c>
      <c r="C653">
        <v>18</v>
      </c>
      <c r="D653" t="s">
        <v>93</v>
      </c>
      <c r="E653" t="s">
        <v>80</v>
      </c>
      <c r="F653" t="s">
        <v>81</v>
      </c>
      <c r="G653">
        <v>5.1862622338931397</v>
      </c>
      <c r="H653">
        <v>2E+20</v>
      </c>
      <c r="I653">
        <v>2.7253086409196801</v>
      </c>
      <c r="J653">
        <v>10.1268658797912</v>
      </c>
      <c r="K653">
        <v>44</v>
      </c>
      <c r="L653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30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3.9737459717976331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3.0498211098558601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5.1862622338931397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2.66671895965567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12.9499421430497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3" s="5">
        <f>IF((DiscreteStatsTable[[#This Row],[RepsRequested]]&gt;1),DiscreteStatsTable[[#This Row],[HalfWidth]],DiscreteStatsTable[[#This Row],[BatchMeansHalfWidth]])</f>
        <v>0.17714043791041653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30</v>
      </c>
      <c r="Y653" s="5">
        <f>IF(DiscreteStatsTable[[#This Row],[RepsRequested]]=DiscreteStatsTable[[#This Row],[RepsWithStatObserved]],1,0)</f>
        <v>1</v>
      </c>
    </row>
    <row r="654" spans="1:25" x14ac:dyDescent="0.25">
      <c r="A654" t="s">
        <v>68</v>
      </c>
      <c r="B654" t="s">
        <v>70</v>
      </c>
      <c r="C654">
        <v>18</v>
      </c>
      <c r="D654" t="s">
        <v>93</v>
      </c>
      <c r="E654" t="s">
        <v>82</v>
      </c>
      <c r="F654" t="s">
        <v>81</v>
      </c>
      <c r="G654">
        <v>3.0291192125319899</v>
      </c>
      <c r="H654">
        <v>2E+20</v>
      </c>
      <c r="I654">
        <v>2.7173960266174801</v>
      </c>
      <c r="J654">
        <v>3.3315376343573502</v>
      </c>
      <c r="K654">
        <v>44</v>
      </c>
      <c r="L654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30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2.9961935004991109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2.9496744298211102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3.0580272808287701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2.66671895965567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3.3331738103413899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4" s="5">
        <f>IF((DiscreteStatsTable[[#This Row],[RepsRequested]]&gt;1),DiscreteStatsTable[[#This Row],[HalfWidth]],DiscreteStatsTable[[#This Row],[BatchMeansHalfWidth]])</f>
        <v>9.419271165822158E-3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30</v>
      </c>
      <c r="Y654" s="5">
        <f>IF(DiscreteStatsTable[[#This Row],[RepsRequested]]=DiscreteStatsTable[[#This Row],[RepsWithStatObserved]],1,0)</f>
        <v>1</v>
      </c>
    </row>
    <row r="655" spans="1:25" x14ac:dyDescent="0.25">
      <c r="A655" t="s">
        <v>68</v>
      </c>
      <c r="B655" t="s">
        <v>70</v>
      </c>
      <c r="C655">
        <v>18</v>
      </c>
      <c r="D655" t="s">
        <v>93</v>
      </c>
      <c r="E655" t="s">
        <v>83</v>
      </c>
      <c r="F655" t="s">
        <v>81</v>
      </c>
      <c r="G655">
        <v>2.1571430213611502</v>
      </c>
      <c r="H655">
        <v>2E+20</v>
      </c>
      <c r="I655">
        <v>0</v>
      </c>
      <c r="J655">
        <v>7.0206824150299596</v>
      </c>
      <c r="K655">
        <v>44</v>
      </c>
      <c r="L655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30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0.97755247129852119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7.7531386402174704E-2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2.1571430213611502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10.0970660655851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5" s="5">
        <f>IF((DiscreteStatsTable[[#This Row],[RepsRequested]]&gt;1),DiscreteStatsTable[[#This Row],[HalfWidth]],DiscreteStatsTable[[#This Row],[BatchMeansHalfWidth]])</f>
        <v>0.17600589459573387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30</v>
      </c>
      <c r="Y655" s="5">
        <f>IF(DiscreteStatsTable[[#This Row],[RepsRequested]]=DiscreteStatsTable[[#This Row],[RepsWithStatObserved]],1,0)</f>
        <v>1</v>
      </c>
    </row>
    <row r="656" spans="1:25" x14ac:dyDescent="0.25">
      <c r="A656" t="s">
        <v>68</v>
      </c>
      <c r="B656" t="s">
        <v>70</v>
      </c>
      <c r="C656">
        <v>19</v>
      </c>
      <c r="D656" t="s">
        <v>93</v>
      </c>
      <c r="E656" t="s">
        <v>80</v>
      </c>
      <c r="F656" t="s">
        <v>81</v>
      </c>
      <c r="G656">
        <v>4.1102138475701899</v>
      </c>
      <c r="H656">
        <v>2E+20</v>
      </c>
      <c r="I656">
        <v>2.7797174918529599</v>
      </c>
      <c r="J656">
        <v>6.4744037259966198</v>
      </c>
      <c r="K656">
        <v>32</v>
      </c>
      <c r="L656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30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3.9737459717976331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3.0498211098558601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5.1862622338931397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2.66671895965567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12.9499421430497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6" s="5">
        <f>IF((DiscreteStatsTable[[#This Row],[RepsRequested]]&gt;1),DiscreteStatsTable[[#This Row],[HalfWidth]],DiscreteStatsTable[[#This Row],[BatchMeansHalfWidth]])</f>
        <v>0.17714043791041653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30</v>
      </c>
      <c r="Y656" s="5">
        <f>IF(DiscreteStatsTable[[#This Row],[RepsRequested]]=DiscreteStatsTable[[#This Row],[RepsWithStatObserved]],1,0)</f>
        <v>1</v>
      </c>
    </row>
    <row r="657" spans="1:25" x14ac:dyDescent="0.25">
      <c r="A657" t="s">
        <v>68</v>
      </c>
      <c r="B657" t="s">
        <v>70</v>
      </c>
      <c r="C657">
        <v>19</v>
      </c>
      <c r="D657" t="s">
        <v>93</v>
      </c>
      <c r="E657" t="s">
        <v>82</v>
      </c>
      <c r="F657" t="s">
        <v>81</v>
      </c>
      <c r="G657">
        <v>2.9895298926613898</v>
      </c>
      <c r="H657">
        <v>2E+20</v>
      </c>
      <c r="I657">
        <v>2.6692992518384799</v>
      </c>
      <c r="J657">
        <v>3.3268883146003199</v>
      </c>
      <c r="K657">
        <v>32</v>
      </c>
      <c r="L657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30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2.9961935004991109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2.9496744298211102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3.0580272808287701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2.66671895965567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3.3331738103413899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7" s="5">
        <f>IF((DiscreteStatsTable[[#This Row],[RepsRequested]]&gt;1),DiscreteStatsTable[[#This Row],[HalfWidth]],DiscreteStatsTable[[#This Row],[BatchMeansHalfWidth]])</f>
        <v>9.419271165822158E-3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30</v>
      </c>
      <c r="Y657" s="5">
        <f>IF(DiscreteStatsTable[[#This Row],[RepsRequested]]=DiscreteStatsTable[[#This Row],[RepsWithStatObserved]],1,0)</f>
        <v>1</v>
      </c>
    </row>
    <row r="658" spans="1:25" x14ac:dyDescent="0.25">
      <c r="A658" t="s">
        <v>68</v>
      </c>
      <c r="B658" t="s">
        <v>70</v>
      </c>
      <c r="C658">
        <v>19</v>
      </c>
      <c r="D658" t="s">
        <v>93</v>
      </c>
      <c r="E658" t="s">
        <v>83</v>
      </c>
      <c r="F658" t="s">
        <v>81</v>
      </c>
      <c r="G658">
        <v>1.1206839549087999</v>
      </c>
      <c r="H658">
        <v>2E+20</v>
      </c>
      <c r="I658">
        <v>0</v>
      </c>
      <c r="J658">
        <v>3.7779475959708702</v>
      </c>
      <c r="K658">
        <v>32</v>
      </c>
      <c r="L658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30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0.97755247129852119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7.7531386402174704E-2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2.1571430213611502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10.0970660655851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8" s="5">
        <f>IF((DiscreteStatsTable[[#This Row],[RepsRequested]]&gt;1),DiscreteStatsTable[[#This Row],[HalfWidth]],DiscreteStatsTable[[#This Row],[BatchMeansHalfWidth]])</f>
        <v>0.17600589459573387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30</v>
      </c>
      <c r="Y658" s="5">
        <f>IF(DiscreteStatsTable[[#This Row],[RepsRequested]]=DiscreteStatsTable[[#This Row],[RepsWithStatObserved]],1,0)</f>
        <v>1</v>
      </c>
    </row>
    <row r="659" spans="1:25" x14ac:dyDescent="0.25">
      <c r="A659" t="s">
        <v>68</v>
      </c>
      <c r="B659" t="s">
        <v>70</v>
      </c>
      <c r="C659">
        <v>20</v>
      </c>
      <c r="D659" t="s">
        <v>93</v>
      </c>
      <c r="E659" t="s">
        <v>80</v>
      </c>
      <c r="F659" t="s">
        <v>81</v>
      </c>
      <c r="G659">
        <v>4.1658531508679699</v>
      </c>
      <c r="H659">
        <v>2E+20</v>
      </c>
      <c r="I659">
        <v>2.67095911042543</v>
      </c>
      <c r="J659">
        <v>7.6582718317544796</v>
      </c>
      <c r="K659">
        <v>42</v>
      </c>
      <c r="L659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30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3.9737459717976331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3.0498211098558601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5.1862622338931397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2.66671895965567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12.9499421430497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59" s="5">
        <f>IF((DiscreteStatsTable[[#This Row],[RepsRequested]]&gt;1),DiscreteStatsTable[[#This Row],[HalfWidth]],DiscreteStatsTable[[#This Row],[BatchMeansHalfWidth]])</f>
        <v>0.17714043791041653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30</v>
      </c>
      <c r="Y659" s="5">
        <f>IF(DiscreteStatsTable[[#This Row],[RepsRequested]]=DiscreteStatsTable[[#This Row],[RepsWithStatObserved]],1,0)</f>
        <v>1</v>
      </c>
    </row>
    <row r="660" spans="1:25" x14ac:dyDescent="0.25">
      <c r="A660" t="s">
        <v>68</v>
      </c>
      <c r="B660" t="s">
        <v>70</v>
      </c>
      <c r="C660">
        <v>20</v>
      </c>
      <c r="D660" t="s">
        <v>93</v>
      </c>
      <c r="E660" t="s">
        <v>82</v>
      </c>
      <c r="F660" t="s">
        <v>81</v>
      </c>
      <c r="G660">
        <v>3.0017683930143799</v>
      </c>
      <c r="H660">
        <v>2E+20</v>
      </c>
      <c r="I660">
        <v>2.67095911042543</v>
      </c>
      <c r="J660">
        <v>3.3331738103413899</v>
      </c>
      <c r="K660">
        <v>42</v>
      </c>
      <c r="L660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30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2.9961935004991109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2.9496744298211102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3.0580272808287701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2.66671895965567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3.3331738103413899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0" s="5">
        <f>IF((DiscreteStatsTable[[#This Row],[RepsRequested]]&gt;1),DiscreteStatsTable[[#This Row],[HalfWidth]],DiscreteStatsTable[[#This Row],[BatchMeansHalfWidth]])</f>
        <v>9.419271165822158E-3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30</v>
      </c>
      <c r="Y660" s="5">
        <f>IF(DiscreteStatsTable[[#This Row],[RepsRequested]]=DiscreteStatsTable[[#This Row],[RepsWithStatObserved]],1,0)</f>
        <v>1</v>
      </c>
    </row>
    <row r="661" spans="1:25" x14ac:dyDescent="0.25">
      <c r="A661" t="s">
        <v>68</v>
      </c>
      <c r="B661" t="s">
        <v>70</v>
      </c>
      <c r="C661">
        <v>20</v>
      </c>
      <c r="D661" t="s">
        <v>93</v>
      </c>
      <c r="E661" t="s">
        <v>83</v>
      </c>
      <c r="F661" t="s">
        <v>81</v>
      </c>
      <c r="G661">
        <v>1.16408475785359</v>
      </c>
      <c r="H661">
        <v>2E+20</v>
      </c>
      <c r="I661">
        <v>0</v>
      </c>
      <c r="J661">
        <v>4.8310216656812104</v>
      </c>
      <c r="K661">
        <v>42</v>
      </c>
      <c r="L661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30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0.97755247129852119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7.7531386402174704E-2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2.1571430213611502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10.0970660655851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1" s="5">
        <f>IF((DiscreteStatsTable[[#This Row],[RepsRequested]]&gt;1),DiscreteStatsTable[[#This Row],[HalfWidth]],DiscreteStatsTable[[#This Row],[BatchMeansHalfWidth]])</f>
        <v>0.17600589459573387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30</v>
      </c>
      <c r="Y661" s="5">
        <f>IF(DiscreteStatsTable[[#This Row],[RepsRequested]]=DiscreteStatsTable[[#This Row],[RepsWithStatObserved]],1,0)</f>
        <v>1</v>
      </c>
    </row>
    <row r="662" spans="1:25" x14ac:dyDescent="0.25">
      <c r="A662" t="s">
        <v>68</v>
      </c>
      <c r="B662" t="s">
        <v>70</v>
      </c>
      <c r="C662">
        <v>21</v>
      </c>
      <c r="D662" t="s">
        <v>93</v>
      </c>
      <c r="E662" t="s">
        <v>80</v>
      </c>
      <c r="F662" t="s">
        <v>81</v>
      </c>
      <c r="G662">
        <v>4.2172249763843697</v>
      </c>
      <c r="H662">
        <v>2E+20</v>
      </c>
      <c r="I662">
        <v>2.6721194707337501</v>
      </c>
      <c r="J662">
        <v>7.3858997354616198</v>
      </c>
      <c r="K662">
        <v>49</v>
      </c>
      <c r="L662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30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3.9737459717976331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3.0498211098558601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5.1862622338931397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2.66671895965567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12.9499421430497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2" s="5">
        <f>IF((DiscreteStatsTable[[#This Row],[RepsRequested]]&gt;1),DiscreteStatsTable[[#This Row],[HalfWidth]],DiscreteStatsTable[[#This Row],[BatchMeansHalfWidth]])</f>
        <v>0.17714043791041653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30</v>
      </c>
      <c r="Y662" s="5">
        <f>IF(DiscreteStatsTable[[#This Row],[RepsRequested]]=DiscreteStatsTable[[#This Row],[RepsWithStatObserved]],1,0)</f>
        <v>1</v>
      </c>
    </row>
    <row r="663" spans="1:25" x14ac:dyDescent="0.25">
      <c r="A663" t="s">
        <v>68</v>
      </c>
      <c r="B663" t="s">
        <v>70</v>
      </c>
      <c r="C663">
        <v>21</v>
      </c>
      <c r="D663" t="s">
        <v>93</v>
      </c>
      <c r="E663" t="s">
        <v>82</v>
      </c>
      <c r="F663" t="s">
        <v>81</v>
      </c>
      <c r="G663">
        <v>2.9694725870121599</v>
      </c>
      <c r="H663">
        <v>2E+20</v>
      </c>
      <c r="I663">
        <v>2.6721194707337501</v>
      </c>
      <c r="J663">
        <v>3.3309529889768901</v>
      </c>
      <c r="K663">
        <v>49</v>
      </c>
      <c r="L663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30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2.9961935004991109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2.9496744298211102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3.0580272808287701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2.66671895965567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3.3331738103413899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3" s="5">
        <f>IF((DiscreteStatsTable[[#This Row],[RepsRequested]]&gt;1),DiscreteStatsTable[[#This Row],[HalfWidth]],DiscreteStatsTable[[#This Row],[BatchMeansHalfWidth]])</f>
        <v>9.419271165822158E-3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30</v>
      </c>
      <c r="Y663" s="5">
        <f>IF(DiscreteStatsTable[[#This Row],[RepsRequested]]=DiscreteStatsTable[[#This Row],[RepsWithStatObserved]],1,0)</f>
        <v>1</v>
      </c>
    </row>
    <row r="664" spans="1:25" x14ac:dyDescent="0.25">
      <c r="A664" t="s">
        <v>68</v>
      </c>
      <c r="B664" t="s">
        <v>70</v>
      </c>
      <c r="C664">
        <v>21</v>
      </c>
      <c r="D664" t="s">
        <v>93</v>
      </c>
      <c r="E664" t="s">
        <v>83</v>
      </c>
      <c r="F664" t="s">
        <v>81</v>
      </c>
      <c r="G664">
        <v>1.24775238937221</v>
      </c>
      <c r="H664">
        <v>2E+20</v>
      </c>
      <c r="I664">
        <v>0</v>
      </c>
      <c r="J664">
        <v>4.5337945783012703</v>
      </c>
      <c r="K664">
        <v>49</v>
      </c>
      <c r="L664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30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0.97755247129852119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7.7531386402174704E-2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2.1571430213611502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10.0970660655851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4" s="5">
        <f>IF((DiscreteStatsTable[[#This Row],[RepsRequested]]&gt;1),DiscreteStatsTable[[#This Row],[HalfWidth]],DiscreteStatsTable[[#This Row],[BatchMeansHalfWidth]])</f>
        <v>0.17600589459573387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30</v>
      </c>
      <c r="Y664" s="5">
        <f>IF(DiscreteStatsTable[[#This Row],[RepsRequested]]=DiscreteStatsTable[[#This Row],[RepsWithStatObserved]],1,0)</f>
        <v>1</v>
      </c>
    </row>
    <row r="665" spans="1:25" x14ac:dyDescent="0.25">
      <c r="A665" t="s">
        <v>68</v>
      </c>
      <c r="B665" t="s">
        <v>70</v>
      </c>
      <c r="C665">
        <v>22</v>
      </c>
      <c r="D665" t="s">
        <v>93</v>
      </c>
      <c r="E665" t="s">
        <v>80</v>
      </c>
      <c r="F665" t="s">
        <v>81</v>
      </c>
      <c r="G665">
        <v>3.6176841352362801</v>
      </c>
      <c r="H665">
        <v>2E+20</v>
      </c>
      <c r="I665">
        <v>2.6687587319028698</v>
      </c>
      <c r="J665">
        <v>7.3377232232088803</v>
      </c>
      <c r="K665">
        <v>34</v>
      </c>
      <c r="L665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30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3.9737459717976331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3.0498211098558601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5.1862622338931397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2.66671895965567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12.9499421430497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5" s="5">
        <f>IF((DiscreteStatsTable[[#This Row],[RepsRequested]]&gt;1),DiscreteStatsTable[[#This Row],[HalfWidth]],DiscreteStatsTable[[#This Row],[BatchMeansHalfWidth]])</f>
        <v>0.17714043791041653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30</v>
      </c>
      <c r="Y665" s="5">
        <f>IF(DiscreteStatsTable[[#This Row],[RepsRequested]]=DiscreteStatsTable[[#This Row],[RepsWithStatObserved]],1,0)</f>
        <v>1</v>
      </c>
    </row>
    <row r="666" spans="1:25" x14ac:dyDescent="0.25">
      <c r="A666" t="s">
        <v>68</v>
      </c>
      <c r="B666" t="s">
        <v>70</v>
      </c>
      <c r="C666">
        <v>22</v>
      </c>
      <c r="D666" t="s">
        <v>93</v>
      </c>
      <c r="E666" t="s">
        <v>82</v>
      </c>
      <c r="F666" t="s">
        <v>81</v>
      </c>
      <c r="G666">
        <v>3.00702001509524</v>
      </c>
      <c r="H666">
        <v>2E+20</v>
      </c>
      <c r="I666">
        <v>2.6687587319028698</v>
      </c>
      <c r="J666">
        <v>3.3205039639302201</v>
      </c>
      <c r="K666">
        <v>34</v>
      </c>
      <c r="L666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30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2.9961935004991109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2.9496744298211102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3.0580272808287701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2.66671895965567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3.3331738103413899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6" s="5">
        <f>IF((DiscreteStatsTable[[#This Row],[RepsRequested]]&gt;1),DiscreteStatsTable[[#This Row],[HalfWidth]],DiscreteStatsTable[[#This Row],[BatchMeansHalfWidth]])</f>
        <v>9.419271165822158E-3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30</v>
      </c>
      <c r="Y666" s="5">
        <f>IF(DiscreteStatsTable[[#This Row],[RepsRequested]]=DiscreteStatsTable[[#This Row],[RepsWithStatObserved]],1,0)</f>
        <v>1</v>
      </c>
    </row>
    <row r="667" spans="1:25" x14ac:dyDescent="0.25">
      <c r="A667" t="s">
        <v>68</v>
      </c>
      <c r="B667" t="s">
        <v>70</v>
      </c>
      <c r="C667">
        <v>22</v>
      </c>
      <c r="D667" t="s">
        <v>93</v>
      </c>
      <c r="E667" t="s">
        <v>83</v>
      </c>
      <c r="F667" t="s">
        <v>81</v>
      </c>
      <c r="G667">
        <v>0.610664120141033</v>
      </c>
      <c r="H667">
        <v>2E+20</v>
      </c>
      <c r="I667">
        <v>0</v>
      </c>
      <c r="J667">
        <v>4.1264851870092203</v>
      </c>
      <c r="K667">
        <v>34</v>
      </c>
      <c r="L667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30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0.97755247129852119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7.7531386402174704E-2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2.1571430213611502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10.0970660655851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7" s="5">
        <f>IF((DiscreteStatsTable[[#This Row],[RepsRequested]]&gt;1),DiscreteStatsTable[[#This Row],[HalfWidth]],DiscreteStatsTable[[#This Row],[BatchMeansHalfWidth]])</f>
        <v>0.17600589459573387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30</v>
      </c>
      <c r="Y667" s="5">
        <f>IF(DiscreteStatsTable[[#This Row],[RepsRequested]]=DiscreteStatsTable[[#This Row],[RepsWithStatObserved]],1,0)</f>
        <v>1</v>
      </c>
    </row>
    <row r="668" spans="1:25" x14ac:dyDescent="0.25">
      <c r="A668" t="s">
        <v>68</v>
      </c>
      <c r="B668" t="s">
        <v>70</v>
      </c>
      <c r="C668">
        <v>23</v>
      </c>
      <c r="D668" t="s">
        <v>93</v>
      </c>
      <c r="E668" t="s">
        <v>80</v>
      </c>
      <c r="F668" t="s">
        <v>81</v>
      </c>
      <c r="G668">
        <v>3.8870945852571399</v>
      </c>
      <c r="H668">
        <v>2E+20</v>
      </c>
      <c r="I668">
        <v>2.6707769458940498</v>
      </c>
      <c r="J668">
        <v>9.8891016171132797</v>
      </c>
      <c r="K668">
        <v>40</v>
      </c>
      <c r="L668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30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3.9737459717976331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3.0498211098558601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5.1862622338931397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2.66671895965567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12.9499421430497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8" s="5">
        <f>IF((DiscreteStatsTable[[#This Row],[RepsRequested]]&gt;1),DiscreteStatsTable[[#This Row],[HalfWidth]],DiscreteStatsTable[[#This Row],[BatchMeansHalfWidth]])</f>
        <v>0.17714043791041653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30</v>
      </c>
      <c r="Y668" s="5">
        <f>IF(DiscreteStatsTable[[#This Row],[RepsRequested]]=DiscreteStatsTable[[#This Row],[RepsWithStatObserved]],1,0)</f>
        <v>1</v>
      </c>
    </row>
    <row r="669" spans="1:25" x14ac:dyDescent="0.25">
      <c r="A669" t="s">
        <v>68</v>
      </c>
      <c r="B669" t="s">
        <v>70</v>
      </c>
      <c r="C669">
        <v>23</v>
      </c>
      <c r="D669" t="s">
        <v>93</v>
      </c>
      <c r="E669" t="s">
        <v>82</v>
      </c>
      <c r="F669" t="s">
        <v>81</v>
      </c>
      <c r="G669">
        <v>3.0149393149703601</v>
      </c>
      <c r="H669">
        <v>2E+20</v>
      </c>
      <c r="I669">
        <v>2.6677583096459299</v>
      </c>
      <c r="J669">
        <v>3.3261027723757501</v>
      </c>
      <c r="K669">
        <v>40</v>
      </c>
      <c r="L669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30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2.9961935004991109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2.9496744298211102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3.0580272808287701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2.66671895965567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3.3331738103413899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69" s="5">
        <f>IF((DiscreteStatsTable[[#This Row],[RepsRequested]]&gt;1),DiscreteStatsTable[[#This Row],[HalfWidth]],DiscreteStatsTable[[#This Row],[BatchMeansHalfWidth]])</f>
        <v>9.419271165822158E-3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30</v>
      </c>
      <c r="Y669" s="5">
        <f>IF(DiscreteStatsTable[[#This Row],[RepsRequested]]=DiscreteStatsTable[[#This Row],[RepsWithStatObserved]],1,0)</f>
        <v>1</v>
      </c>
    </row>
    <row r="670" spans="1:25" x14ac:dyDescent="0.25">
      <c r="A670" t="s">
        <v>68</v>
      </c>
      <c r="B670" t="s">
        <v>70</v>
      </c>
      <c r="C670">
        <v>23</v>
      </c>
      <c r="D670" t="s">
        <v>93</v>
      </c>
      <c r="E670" t="s">
        <v>83</v>
      </c>
      <c r="F670" t="s">
        <v>81</v>
      </c>
      <c r="G670">
        <v>0.87215527028678197</v>
      </c>
      <c r="H670">
        <v>2E+20</v>
      </c>
      <c r="I670">
        <v>0</v>
      </c>
      <c r="J670">
        <v>7.20167645873744</v>
      </c>
      <c r="K670">
        <v>40</v>
      </c>
      <c r="L670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30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0.97755247129852119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7.7531386402174704E-2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2.1571430213611502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10.0970660655851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0" s="5">
        <f>IF((DiscreteStatsTable[[#This Row],[RepsRequested]]&gt;1),DiscreteStatsTable[[#This Row],[HalfWidth]],DiscreteStatsTable[[#This Row],[BatchMeansHalfWidth]])</f>
        <v>0.17600589459573387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30</v>
      </c>
      <c r="Y670" s="5">
        <f>IF(DiscreteStatsTable[[#This Row],[RepsRequested]]=DiscreteStatsTable[[#This Row],[RepsWithStatObserved]],1,0)</f>
        <v>1</v>
      </c>
    </row>
    <row r="671" spans="1:25" x14ac:dyDescent="0.25">
      <c r="A671" t="s">
        <v>68</v>
      </c>
      <c r="B671" t="s">
        <v>70</v>
      </c>
      <c r="C671">
        <v>24</v>
      </c>
      <c r="D671" t="s">
        <v>93</v>
      </c>
      <c r="E671" t="s">
        <v>80</v>
      </c>
      <c r="F671" t="s">
        <v>81</v>
      </c>
      <c r="G671">
        <v>3.56592133854606</v>
      </c>
      <c r="H671">
        <v>2E+20</v>
      </c>
      <c r="I671">
        <v>2.7148125368936702</v>
      </c>
      <c r="J671">
        <v>5.3384193849201198</v>
      </c>
      <c r="K671">
        <v>39</v>
      </c>
      <c r="L671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30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3.9737459717976331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3.0498211098558601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5.1862622338931397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2.66671895965567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12.9499421430497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1" s="5">
        <f>IF((DiscreteStatsTable[[#This Row],[RepsRequested]]&gt;1),DiscreteStatsTable[[#This Row],[HalfWidth]],DiscreteStatsTable[[#This Row],[BatchMeansHalfWidth]])</f>
        <v>0.17714043791041653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30</v>
      </c>
      <c r="Y671" s="5">
        <f>IF(DiscreteStatsTable[[#This Row],[RepsRequested]]=DiscreteStatsTable[[#This Row],[RepsWithStatObserved]],1,0)</f>
        <v>1</v>
      </c>
    </row>
    <row r="672" spans="1:25" x14ac:dyDescent="0.25">
      <c r="A672" t="s">
        <v>68</v>
      </c>
      <c r="B672" t="s">
        <v>70</v>
      </c>
      <c r="C672">
        <v>24</v>
      </c>
      <c r="D672" t="s">
        <v>93</v>
      </c>
      <c r="E672" t="s">
        <v>82</v>
      </c>
      <c r="F672" t="s">
        <v>81</v>
      </c>
      <c r="G672">
        <v>3.0274139686880699</v>
      </c>
      <c r="H672">
        <v>2E+20</v>
      </c>
      <c r="I672">
        <v>2.6668671113536502</v>
      </c>
      <c r="J672">
        <v>3.3161578348551402</v>
      </c>
      <c r="K672">
        <v>39</v>
      </c>
      <c r="L672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30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2.9961935004991109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2.9496744298211102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3.0580272808287701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2.66671895965567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3.3331738103413899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2" s="5">
        <f>IF((DiscreteStatsTable[[#This Row],[RepsRequested]]&gt;1),DiscreteStatsTable[[#This Row],[HalfWidth]],DiscreteStatsTable[[#This Row],[BatchMeansHalfWidth]])</f>
        <v>9.419271165822158E-3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30</v>
      </c>
      <c r="Y672" s="5">
        <f>IF(DiscreteStatsTable[[#This Row],[RepsRequested]]=DiscreteStatsTable[[#This Row],[RepsWithStatObserved]],1,0)</f>
        <v>1</v>
      </c>
    </row>
    <row r="673" spans="1:25" x14ac:dyDescent="0.25">
      <c r="A673" t="s">
        <v>68</v>
      </c>
      <c r="B673" t="s">
        <v>70</v>
      </c>
      <c r="C673">
        <v>24</v>
      </c>
      <c r="D673" t="s">
        <v>93</v>
      </c>
      <c r="E673" t="s">
        <v>83</v>
      </c>
      <c r="F673" t="s">
        <v>81</v>
      </c>
      <c r="G673">
        <v>0.53850736985798697</v>
      </c>
      <c r="H673">
        <v>2E+20</v>
      </c>
      <c r="I673">
        <v>0</v>
      </c>
      <c r="J673">
        <v>2.2203395013803902</v>
      </c>
      <c r="K673">
        <v>39</v>
      </c>
      <c r="L673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30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0.97755247129852119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7.7531386402174704E-2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2.1571430213611502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10.0970660655851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3" s="5">
        <f>IF((DiscreteStatsTable[[#This Row],[RepsRequested]]&gt;1),DiscreteStatsTable[[#This Row],[HalfWidth]],DiscreteStatsTable[[#This Row],[BatchMeansHalfWidth]])</f>
        <v>0.17600589459573387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30</v>
      </c>
      <c r="Y673" s="5">
        <f>IF(DiscreteStatsTable[[#This Row],[RepsRequested]]=DiscreteStatsTable[[#This Row],[RepsWithStatObserved]],1,0)</f>
        <v>1</v>
      </c>
    </row>
    <row r="674" spans="1:25" x14ac:dyDescent="0.25">
      <c r="A674" t="s">
        <v>68</v>
      </c>
      <c r="B674" t="s">
        <v>70</v>
      </c>
      <c r="C674">
        <v>25</v>
      </c>
      <c r="D674" t="s">
        <v>93</v>
      </c>
      <c r="E674" t="s">
        <v>80</v>
      </c>
      <c r="F674" t="s">
        <v>81</v>
      </c>
      <c r="G674">
        <v>4.2377039322710202</v>
      </c>
      <c r="H674">
        <v>2E+20</v>
      </c>
      <c r="I674">
        <v>2.6667851392858202</v>
      </c>
      <c r="J674">
        <v>9.1429426153000595</v>
      </c>
      <c r="K674">
        <v>35</v>
      </c>
      <c r="L674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30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3.9737459717976331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3.0498211098558601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5.1862622338931397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2.66671895965567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12.9499421430497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4" s="5">
        <f>IF((DiscreteStatsTable[[#This Row],[RepsRequested]]&gt;1),DiscreteStatsTable[[#This Row],[HalfWidth]],DiscreteStatsTable[[#This Row],[BatchMeansHalfWidth]])</f>
        <v>0.17714043791041653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30</v>
      </c>
      <c r="Y674" s="5">
        <f>IF(DiscreteStatsTable[[#This Row],[RepsRequested]]=DiscreteStatsTable[[#This Row],[RepsWithStatObserved]],1,0)</f>
        <v>1</v>
      </c>
    </row>
    <row r="675" spans="1:25" x14ac:dyDescent="0.25">
      <c r="A675" t="s">
        <v>68</v>
      </c>
      <c r="B675" t="s">
        <v>70</v>
      </c>
      <c r="C675">
        <v>25</v>
      </c>
      <c r="D675" t="s">
        <v>93</v>
      </c>
      <c r="E675" t="s">
        <v>82</v>
      </c>
      <c r="F675" t="s">
        <v>81</v>
      </c>
      <c r="G675">
        <v>2.99969898793668</v>
      </c>
      <c r="H675">
        <v>2E+20</v>
      </c>
      <c r="I675">
        <v>2.6667851392858202</v>
      </c>
      <c r="J675">
        <v>3.33007708688254</v>
      </c>
      <c r="K675">
        <v>35</v>
      </c>
      <c r="L675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30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2.9961935004991109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2.9496744298211102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3.0580272808287701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2.66671895965567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3.3331738103413899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5" s="5">
        <f>IF((DiscreteStatsTable[[#This Row],[RepsRequested]]&gt;1),DiscreteStatsTable[[#This Row],[HalfWidth]],DiscreteStatsTable[[#This Row],[BatchMeansHalfWidth]])</f>
        <v>9.419271165822158E-3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30</v>
      </c>
      <c r="Y675" s="5">
        <f>IF(DiscreteStatsTable[[#This Row],[RepsRequested]]=DiscreteStatsTable[[#This Row],[RepsWithStatObserved]],1,0)</f>
        <v>1</v>
      </c>
    </row>
    <row r="676" spans="1:25" x14ac:dyDescent="0.25">
      <c r="A676" t="s">
        <v>68</v>
      </c>
      <c r="B676" t="s">
        <v>70</v>
      </c>
      <c r="C676">
        <v>25</v>
      </c>
      <c r="D676" t="s">
        <v>93</v>
      </c>
      <c r="E676" t="s">
        <v>83</v>
      </c>
      <c r="F676" t="s">
        <v>81</v>
      </c>
      <c r="G676">
        <v>1.2380049443343399</v>
      </c>
      <c r="H676">
        <v>2E+20</v>
      </c>
      <c r="I676">
        <v>0</v>
      </c>
      <c r="J676">
        <v>6.09852169259322</v>
      </c>
      <c r="K676">
        <v>35</v>
      </c>
      <c r="L676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30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0.97755247129852119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7.7531386402174704E-2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2.1571430213611502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10.0970660655851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6" s="5">
        <f>IF((DiscreteStatsTable[[#This Row],[RepsRequested]]&gt;1),DiscreteStatsTable[[#This Row],[HalfWidth]],DiscreteStatsTable[[#This Row],[BatchMeansHalfWidth]])</f>
        <v>0.17600589459573387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30</v>
      </c>
      <c r="Y676" s="5">
        <f>IF(DiscreteStatsTable[[#This Row],[RepsRequested]]=DiscreteStatsTable[[#This Row],[RepsWithStatObserved]],1,0)</f>
        <v>1</v>
      </c>
    </row>
    <row r="677" spans="1:25" x14ac:dyDescent="0.25">
      <c r="A677" t="s">
        <v>68</v>
      </c>
      <c r="B677" t="s">
        <v>70</v>
      </c>
      <c r="C677">
        <v>26</v>
      </c>
      <c r="D677" t="s">
        <v>93</v>
      </c>
      <c r="E677" t="s">
        <v>80</v>
      </c>
      <c r="F677" t="s">
        <v>81</v>
      </c>
      <c r="G677">
        <v>4.6319673385589599</v>
      </c>
      <c r="H677">
        <v>2E+20</v>
      </c>
      <c r="I677">
        <v>2.66671895965567</v>
      </c>
      <c r="J677">
        <v>9.2711123025125808</v>
      </c>
      <c r="K677">
        <v>45</v>
      </c>
      <c r="L677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30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3.9737459717976331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3.0498211098558601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5.1862622338931397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2.66671895965567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12.9499421430497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7" s="5">
        <f>IF((DiscreteStatsTable[[#This Row],[RepsRequested]]&gt;1),DiscreteStatsTable[[#This Row],[HalfWidth]],DiscreteStatsTable[[#This Row],[BatchMeansHalfWidth]])</f>
        <v>0.17714043791041653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30</v>
      </c>
      <c r="Y677" s="5">
        <f>IF(DiscreteStatsTable[[#This Row],[RepsRequested]]=DiscreteStatsTable[[#This Row],[RepsWithStatObserved]],1,0)</f>
        <v>1</v>
      </c>
    </row>
    <row r="678" spans="1:25" x14ac:dyDescent="0.25">
      <c r="A678" t="s">
        <v>68</v>
      </c>
      <c r="B678" t="s">
        <v>70</v>
      </c>
      <c r="C678">
        <v>26</v>
      </c>
      <c r="D678" t="s">
        <v>93</v>
      </c>
      <c r="E678" t="s">
        <v>82</v>
      </c>
      <c r="F678" t="s">
        <v>81</v>
      </c>
      <c r="G678">
        <v>2.9667752220770698</v>
      </c>
      <c r="H678">
        <v>2E+20</v>
      </c>
      <c r="I678">
        <v>2.66671895965567</v>
      </c>
      <c r="J678">
        <v>3.3218583777240398</v>
      </c>
      <c r="K678">
        <v>45</v>
      </c>
      <c r="L678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30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2.9961935004991109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2.9496744298211102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3.0580272808287701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2.66671895965567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3.3331738103413899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8" s="5">
        <f>IF((DiscreteStatsTable[[#This Row],[RepsRequested]]&gt;1),DiscreteStatsTable[[#This Row],[HalfWidth]],DiscreteStatsTable[[#This Row],[BatchMeansHalfWidth]])</f>
        <v>9.419271165822158E-3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30</v>
      </c>
      <c r="Y678" s="5">
        <f>IF(DiscreteStatsTable[[#This Row],[RepsRequested]]=DiscreteStatsTable[[#This Row],[RepsWithStatObserved]],1,0)</f>
        <v>1</v>
      </c>
    </row>
    <row r="679" spans="1:25" x14ac:dyDescent="0.25">
      <c r="A679" t="s">
        <v>68</v>
      </c>
      <c r="B679" t="s">
        <v>70</v>
      </c>
      <c r="C679">
        <v>26</v>
      </c>
      <c r="D679" t="s">
        <v>93</v>
      </c>
      <c r="E679" t="s">
        <v>83</v>
      </c>
      <c r="F679" t="s">
        <v>81</v>
      </c>
      <c r="G679">
        <v>1.6651921164818799</v>
      </c>
      <c r="H679">
        <v>2E+20</v>
      </c>
      <c r="I679">
        <v>0</v>
      </c>
      <c r="J679">
        <v>6.2570021359449601</v>
      </c>
      <c r="K679">
        <v>45</v>
      </c>
      <c r="L679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30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0.97755247129852119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7.7531386402174704E-2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2.1571430213611502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10.0970660655851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79" s="5">
        <f>IF((DiscreteStatsTable[[#This Row],[RepsRequested]]&gt;1),DiscreteStatsTable[[#This Row],[HalfWidth]],DiscreteStatsTable[[#This Row],[BatchMeansHalfWidth]])</f>
        <v>0.17600589459573387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30</v>
      </c>
      <c r="Y679" s="5">
        <f>IF(DiscreteStatsTable[[#This Row],[RepsRequested]]=DiscreteStatsTable[[#This Row],[RepsWithStatObserved]],1,0)</f>
        <v>1</v>
      </c>
    </row>
    <row r="680" spans="1:25" x14ac:dyDescent="0.25">
      <c r="A680" t="s">
        <v>68</v>
      </c>
      <c r="B680" t="s">
        <v>70</v>
      </c>
      <c r="C680">
        <v>27</v>
      </c>
      <c r="D680" t="s">
        <v>93</v>
      </c>
      <c r="E680" t="s">
        <v>80</v>
      </c>
      <c r="F680" t="s">
        <v>81</v>
      </c>
      <c r="G680">
        <v>4.2839306126400096</v>
      </c>
      <c r="H680">
        <v>2E+20</v>
      </c>
      <c r="I680">
        <v>2.68958267215393</v>
      </c>
      <c r="J680">
        <v>11.4341104077902</v>
      </c>
      <c r="K680">
        <v>43</v>
      </c>
      <c r="L680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30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3.9737459717976331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3.0498211098558601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5.1862622338931397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2.66671895965567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12.9499421430497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0" s="5">
        <f>IF((DiscreteStatsTable[[#This Row],[RepsRequested]]&gt;1),DiscreteStatsTable[[#This Row],[HalfWidth]],DiscreteStatsTable[[#This Row],[BatchMeansHalfWidth]])</f>
        <v>0.17714043791041653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30</v>
      </c>
      <c r="Y680" s="5">
        <f>IF(DiscreteStatsTable[[#This Row],[RepsRequested]]=DiscreteStatsTable[[#This Row],[RepsWithStatObserved]],1,0)</f>
        <v>1</v>
      </c>
    </row>
    <row r="681" spans="1:25" x14ac:dyDescent="0.25">
      <c r="A681" t="s">
        <v>68</v>
      </c>
      <c r="B681" t="s">
        <v>70</v>
      </c>
      <c r="C681">
        <v>27</v>
      </c>
      <c r="D681" t="s">
        <v>93</v>
      </c>
      <c r="E681" t="s">
        <v>82</v>
      </c>
      <c r="F681" t="s">
        <v>81</v>
      </c>
      <c r="G681">
        <v>2.9981001208481799</v>
      </c>
      <c r="H681">
        <v>2E+20</v>
      </c>
      <c r="I681">
        <v>2.6755073001874501</v>
      </c>
      <c r="J681">
        <v>3.3328968351494401</v>
      </c>
      <c r="K681">
        <v>43</v>
      </c>
      <c r="L681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30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2.9961935004991109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2.9496744298211102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3.0580272808287701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2.66671895965567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3.3331738103413899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1" s="5">
        <f>IF((DiscreteStatsTable[[#This Row],[RepsRequested]]&gt;1),DiscreteStatsTable[[#This Row],[HalfWidth]],DiscreteStatsTable[[#This Row],[BatchMeansHalfWidth]])</f>
        <v>9.419271165822158E-3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30</v>
      </c>
      <c r="Y681" s="5">
        <f>IF(DiscreteStatsTable[[#This Row],[RepsRequested]]=DiscreteStatsTable[[#This Row],[RepsWithStatObserved]],1,0)</f>
        <v>1</v>
      </c>
    </row>
    <row r="682" spans="1:25" x14ac:dyDescent="0.25">
      <c r="A682" t="s">
        <v>68</v>
      </c>
      <c r="B682" t="s">
        <v>70</v>
      </c>
      <c r="C682">
        <v>27</v>
      </c>
      <c r="D682" t="s">
        <v>93</v>
      </c>
      <c r="E682" t="s">
        <v>83</v>
      </c>
      <c r="F682" t="s">
        <v>81</v>
      </c>
      <c r="G682">
        <v>1.2858304917918399</v>
      </c>
      <c r="H682">
        <v>2E+20</v>
      </c>
      <c r="I682">
        <v>0</v>
      </c>
      <c r="J682">
        <v>8.2358163568506804</v>
      </c>
      <c r="K682">
        <v>43</v>
      </c>
      <c r="L682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30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0.97755247129852119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7.7531386402174704E-2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2.1571430213611502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10.0970660655851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2" s="5">
        <f>IF((DiscreteStatsTable[[#This Row],[RepsRequested]]&gt;1),DiscreteStatsTable[[#This Row],[HalfWidth]],DiscreteStatsTable[[#This Row],[BatchMeansHalfWidth]])</f>
        <v>0.17600589459573387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30</v>
      </c>
      <c r="Y682" s="5">
        <f>IF(DiscreteStatsTable[[#This Row],[RepsRequested]]=DiscreteStatsTable[[#This Row],[RepsWithStatObserved]],1,0)</f>
        <v>1</v>
      </c>
    </row>
    <row r="683" spans="1:25" x14ac:dyDescent="0.25">
      <c r="A683" t="s">
        <v>68</v>
      </c>
      <c r="B683" t="s">
        <v>70</v>
      </c>
      <c r="C683">
        <v>28</v>
      </c>
      <c r="D683" t="s">
        <v>93</v>
      </c>
      <c r="E683" t="s">
        <v>80</v>
      </c>
      <c r="F683" t="s">
        <v>81</v>
      </c>
      <c r="G683">
        <v>3.8850004498403901</v>
      </c>
      <c r="H683">
        <v>2E+20</v>
      </c>
      <c r="I683">
        <v>2.7240551960020198</v>
      </c>
      <c r="J683">
        <v>7.4727481019568103</v>
      </c>
      <c r="K683">
        <v>39</v>
      </c>
      <c r="L683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30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3.9737459717976331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3.0498211098558601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5.1862622338931397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2.66671895965567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12.9499421430497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3" s="5">
        <f>IF((DiscreteStatsTable[[#This Row],[RepsRequested]]&gt;1),DiscreteStatsTable[[#This Row],[HalfWidth]],DiscreteStatsTable[[#This Row],[BatchMeansHalfWidth]])</f>
        <v>0.17714043791041653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30</v>
      </c>
      <c r="Y683" s="5">
        <f>IF(DiscreteStatsTable[[#This Row],[RepsRequested]]=DiscreteStatsTable[[#This Row],[RepsWithStatObserved]],1,0)</f>
        <v>1</v>
      </c>
    </row>
    <row r="684" spans="1:25" x14ac:dyDescent="0.25">
      <c r="A684" t="s">
        <v>68</v>
      </c>
      <c r="B684" t="s">
        <v>70</v>
      </c>
      <c r="C684">
        <v>28</v>
      </c>
      <c r="D684" t="s">
        <v>93</v>
      </c>
      <c r="E684" t="s">
        <v>82</v>
      </c>
      <c r="F684" t="s">
        <v>81</v>
      </c>
      <c r="G684">
        <v>3.0215911849293802</v>
      </c>
      <c r="H684">
        <v>2E+20</v>
      </c>
      <c r="I684">
        <v>2.7197944752647798</v>
      </c>
      <c r="J684">
        <v>3.3084354978356698</v>
      </c>
      <c r="K684">
        <v>39</v>
      </c>
      <c r="L684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30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2.9961935004991109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2.9496744298211102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3.0580272808287701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2.66671895965567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3.3331738103413899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4" s="5">
        <f>IF((DiscreteStatsTable[[#This Row],[RepsRequested]]&gt;1),DiscreteStatsTable[[#This Row],[HalfWidth]],DiscreteStatsTable[[#This Row],[BatchMeansHalfWidth]])</f>
        <v>9.419271165822158E-3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30</v>
      </c>
      <c r="Y684" s="5">
        <f>IF(DiscreteStatsTable[[#This Row],[RepsRequested]]=DiscreteStatsTable[[#This Row],[RepsWithStatObserved]],1,0)</f>
        <v>1</v>
      </c>
    </row>
    <row r="685" spans="1:25" x14ac:dyDescent="0.25">
      <c r="A685" t="s">
        <v>68</v>
      </c>
      <c r="B685" t="s">
        <v>70</v>
      </c>
      <c r="C685">
        <v>28</v>
      </c>
      <c r="D685" t="s">
        <v>93</v>
      </c>
      <c r="E685" t="s">
        <v>83</v>
      </c>
      <c r="F685" t="s">
        <v>81</v>
      </c>
      <c r="G685">
        <v>0.863409264911007</v>
      </c>
      <c r="H685">
        <v>2E+20</v>
      </c>
      <c r="I685">
        <v>0</v>
      </c>
      <c r="J685">
        <v>4.3864158109700799</v>
      </c>
      <c r="K685">
        <v>39</v>
      </c>
      <c r="L685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30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0.97755247129852119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7.7531386402174704E-2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2.1571430213611502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10.0970660655851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5" s="5">
        <f>IF((DiscreteStatsTable[[#This Row],[RepsRequested]]&gt;1),DiscreteStatsTable[[#This Row],[HalfWidth]],DiscreteStatsTable[[#This Row],[BatchMeansHalfWidth]])</f>
        <v>0.17600589459573387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30</v>
      </c>
      <c r="Y685" s="5">
        <f>IF(DiscreteStatsTable[[#This Row],[RepsRequested]]=DiscreteStatsTable[[#This Row],[RepsWithStatObserved]],1,0)</f>
        <v>1</v>
      </c>
    </row>
    <row r="686" spans="1:25" x14ac:dyDescent="0.25">
      <c r="A686" t="s">
        <v>68</v>
      </c>
      <c r="B686" t="s">
        <v>70</v>
      </c>
      <c r="C686">
        <v>29</v>
      </c>
      <c r="D686" t="s">
        <v>93</v>
      </c>
      <c r="E686" t="s">
        <v>80</v>
      </c>
      <c r="F686" t="s">
        <v>81</v>
      </c>
      <c r="G686">
        <v>4.47897981229141</v>
      </c>
      <c r="H686">
        <v>2E+20</v>
      </c>
      <c r="I686">
        <v>2.68597650916838</v>
      </c>
      <c r="J686">
        <v>9.0425312696806905</v>
      </c>
      <c r="K686">
        <v>47</v>
      </c>
      <c r="L686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30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3.9737459717976331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3.0498211098558601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5.1862622338931397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2.66671895965567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12.9499421430497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6" s="5">
        <f>IF((DiscreteStatsTable[[#This Row],[RepsRequested]]&gt;1),DiscreteStatsTable[[#This Row],[HalfWidth]],DiscreteStatsTable[[#This Row],[BatchMeansHalfWidth]])</f>
        <v>0.17714043791041653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30</v>
      </c>
      <c r="Y686" s="5">
        <f>IF(DiscreteStatsTable[[#This Row],[RepsRequested]]=DiscreteStatsTable[[#This Row],[RepsWithStatObserved]],1,0)</f>
        <v>1</v>
      </c>
    </row>
    <row r="687" spans="1:25" x14ac:dyDescent="0.25">
      <c r="A687" t="s">
        <v>68</v>
      </c>
      <c r="B687" t="s">
        <v>70</v>
      </c>
      <c r="C687">
        <v>29</v>
      </c>
      <c r="D687" t="s">
        <v>93</v>
      </c>
      <c r="E687" t="s">
        <v>82</v>
      </c>
      <c r="F687" t="s">
        <v>81</v>
      </c>
      <c r="G687">
        <v>2.9970774740252799</v>
      </c>
      <c r="H687">
        <v>2E+20</v>
      </c>
      <c r="I687">
        <v>2.67459720908451</v>
      </c>
      <c r="J687">
        <v>3.3113717440073498</v>
      </c>
      <c r="K687">
        <v>47</v>
      </c>
      <c r="L687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30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2.9961935004991109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2.9496744298211102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3.0580272808287701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2.66671895965567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3.3331738103413899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7" s="5">
        <f>IF((DiscreteStatsTable[[#This Row],[RepsRequested]]&gt;1),DiscreteStatsTable[[#This Row],[HalfWidth]],DiscreteStatsTable[[#This Row],[BatchMeansHalfWidth]])</f>
        <v>9.419271165822158E-3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30</v>
      </c>
      <c r="Y687" s="5">
        <f>IF(DiscreteStatsTable[[#This Row],[RepsRequested]]=DiscreteStatsTable[[#This Row],[RepsWithStatObserved]],1,0)</f>
        <v>1</v>
      </c>
    </row>
    <row r="688" spans="1:25" x14ac:dyDescent="0.25">
      <c r="A688" t="s">
        <v>68</v>
      </c>
      <c r="B688" t="s">
        <v>70</v>
      </c>
      <c r="C688">
        <v>29</v>
      </c>
      <c r="D688" t="s">
        <v>93</v>
      </c>
      <c r="E688" t="s">
        <v>83</v>
      </c>
      <c r="F688" t="s">
        <v>81</v>
      </c>
      <c r="G688">
        <v>1.48190233826613</v>
      </c>
      <c r="H688">
        <v>2E+20</v>
      </c>
      <c r="I688">
        <v>0</v>
      </c>
      <c r="J688">
        <v>5.7428745754779396</v>
      </c>
      <c r="K688">
        <v>47</v>
      </c>
      <c r="L688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30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0.97755247129852119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7.7531386402174704E-2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2.1571430213611502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10.0970660655851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8" s="5">
        <f>IF((DiscreteStatsTable[[#This Row],[RepsRequested]]&gt;1),DiscreteStatsTable[[#This Row],[HalfWidth]],DiscreteStatsTable[[#This Row],[BatchMeansHalfWidth]])</f>
        <v>0.17600589459573387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30</v>
      </c>
      <c r="Y688" s="5">
        <f>IF(DiscreteStatsTable[[#This Row],[RepsRequested]]=DiscreteStatsTable[[#This Row],[RepsWithStatObserved]],1,0)</f>
        <v>1</v>
      </c>
    </row>
    <row r="689" spans="1:25" x14ac:dyDescent="0.25">
      <c r="A689" t="s">
        <v>68</v>
      </c>
      <c r="B689" t="s">
        <v>70</v>
      </c>
      <c r="C689">
        <v>30</v>
      </c>
      <c r="D689" t="s">
        <v>93</v>
      </c>
      <c r="E689" t="s">
        <v>80</v>
      </c>
      <c r="F689" t="s">
        <v>81</v>
      </c>
      <c r="G689">
        <v>3.85452090100629</v>
      </c>
      <c r="H689">
        <v>2E+20</v>
      </c>
      <c r="I689">
        <v>2.66844281531821</v>
      </c>
      <c r="J689">
        <v>8.6004510800496092</v>
      </c>
      <c r="K689">
        <v>35</v>
      </c>
      <c r="L689" s="5" t="str">
        <f>DiscreteStatsTable[[#This Row],[ProjectName]]&amp;DiscreteStatsTable[[#This Row],[Name]]&amp;DiscreteStatsTable[[#This Row],[Type]]&amp;DiscreteStatsTable[[#This Row],[Source]]</f>
        <v>Pedido CleintesPreparar ordenTotal Time Per EntityProcess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30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3.9737459717976331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0.47439080527262911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0.17714043791041653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3.0498211098558601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5.1862622338931397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2.66671895965567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12.9499421430497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89" s="5">
        <f>IF((DiscreteStatsTable[[#This Row],[RepsRequested]]&gt;1),DiscreteStatsTable[[#This Row],[HalfWidth]],DiscreteStatsTable[[#This Row],[BatchMeansHalfWidth]])</f>
        <v>0.17714043791041653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30</v>
      </c>
      <c r="Y689" s="5">
        <f>IF(DiscreteStatsTable[[#This Row],[RepsRequested]]=DiscreteStatsTable[[#This Row],[RepsWithStatObserved]],1,0)</f>
        <v>1</v>
      </c>
    </row>
    <row r="690" spans="1:25" x14ac:dyDescent="0.25">
      <c r="A690" t="s">
        <v>68</v>
      </c>
      <c r="B690" t="s">
        <v>70</v>
      </c>
      <c r="C690">
        <v>30</v>
      </c>
      <c r="D690" t="s">
        <v>93</v>
      </c>
      <c r="E690" t="s">
        <v>82</v>
      </c>
      <c r="F690" t="s">
        <v>81</v>
      </c>
      <c r="G690">
        <v>2.9708785687438701</v>
      </c>
      <c r="H690">
        <v>2E+20</v>
      </c>
      <c r="I690">
        <v>2.66844281531821</v>
      </c>
      <c r="J690">
        <v>3.317839664274</v>
      </c>
      <c r="K690">
        <v>35</v>
      </c>
      <c r="L690" s="5" t="str">
        <f>DiscreteStatsTable[[#This Row],[ProjectName]]&amp;DiscreteStatsTable[[#This Row],[Name]]&amp;DiscreteStatsTable[[#This Row],[Type]]&amp;DiscreteStatsTable[[#This Row],[Source]]</f>
        <v>Pedido CleintesPreparar ordenVA Time Per EntityProcess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30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2.9961935004991109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2.5225271463398983E-2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9.419271165822158E-3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2.9496744298211102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3.0580272808287701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2.66671895965567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3.3331738103413899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90" s="5">
        <f>IF((DiscreteStatsTable[[#This Row],[RepsRequested]]&gt;1),DiscreteStatsTable[[#This Row],[HalfWidth]],DiscreteStatsTable[[#This Row],[BatchMeansHalfWidth]])</f>
        <v>9.419271165822158E-3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30</v>
      </c>
      <c r="Y690" s="5">
        <f>IF(DiscreteStatsTable[[#This Row],[RepsRequested]]=DiscreteStatsTable[[#This Row],[RepsWithStatObserved]],1,0)</f>
        <v>1</v>
      </c>
    </row>
    <row r="691" spans="1:25" x14ac:dyDescent="0.25">
      <c r="A691" t="s">
        <v>68</v>
      </c>
      <c r="B691" t="s">
        <v>70</v>
      </c>
      <c r="C691">
        <v>30</v>
      </c>
      <c r="D691" t="s">
        <v>93</v>
      </c>
      <c r="E691" t="s">
        <v>83</v>
      </c>
      <c r="F691" t="s">
        <v>81</v>
      </c>
      <c r="G691">
        <v>0.88364233226241995</v>
      </c>
      <c r="H691">
        <v>2E+20</v>
      </c>
      <c r="I691">
        <v>0</v>
      </c>
      <c r="J691">
        <v>5.6078854385332004</v>
      </c>
      <c r="K691">
        <v>35</v>
      </c>
      <c r="L691" s="5" t="str">
        <f>DiscreteStatsTable[[#This Row],[ProjectName]]&amp;DiscreteStatsTable[[#This Row],[Name]]&amp;DiscreteStatsTable[[#This Row],[Type]]&amp;DiscreteStatsTable[[#This Row],[Source]]</f>
        <v>Pedido CleintesPreparar ordenWait Time Per EntityProcess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30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0.97755247129852119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0.47135244247406149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0.17600589459573387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7.7531386402174704E-2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2.1571430213611502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10.0970660655851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38.93333333333333</v>
      </c>
      <c r="W691" s="5">
        <f>IF((DiscreteStatsTable[[#This Row],[RepsRequested]]&gt;1),DiscreteStatsTable[[#This Row],[HalfWidth]],DiscreteStatsTable[[#This Row],[BatchMeansHalfWidth]])</f>
        <v>0.17600589459573387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30</v>
      </c>
      <c r="Y691" s="5">
        <f>IF(DiscreteStatsTable[[#This Row],[RepsRequested]]=DiscreteStatsTable[[#This Row],[RepsWithStatObserved]],1,0)</f>
        <v>1</v>
      </c>
    </row>
    <row r="692" spans="1:25" x14ac:dyDescent="0.25">
      <c r="A692" t="s">
        <v>68</v>
      </c>
      <c r="B692" t="s">
        <v>70</v>
      </c>
      <c r="C692">
        <v>1</v>
      </c>
      <c r="D692" t="s">
        <v>94</v>
      </c>
      <c r="E692" t="s">
        <v>85</v>
      </c>
      <c r="F692" t="s">
        <v>86</v>
      </c>
      <c r="G692">
        <v>0.52927865587287004</v>
      </c>
      <c r="H692">
        <v>2E+20</v>
      </c>
      <c r="I692">
        <v>0</v>
      </c>
      <c r="J692">
        <v>2.6894814357822798</v>
      </c>
      <c r="K692">
        <v>26</v>
      </c>
      <c r="L692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30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0.97840681915438699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7.4857890319341105E-2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2.1571430213611502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0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10.0970660655851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39.4</v>
      </c>
      <c r="W692" s="5">
        <f>IF((DiscreteStatsTable[[#This Row],[RepsRequested]]&gt;1),DiscreteStatsTable[[#This Row],[HalfWidth]],DiscreteStatsTable[[#This Row],[BatchMeansHalfWidth]])</f>
        <v>0.17398625601904402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30</v>
      </c>
      <c r="Y692" s="5">
        <f>IF(DiscreteStatsTable[[#This Row],[RepsRequested]]=DiscreteStatsTable[[#This Row],[RepsWithStatObserved]],1,0)</f>
        <v>1</v>
      </c>
    </row>
    <row r="693" spans="1:25" x14ac:dyDescent="0.25">
      <c r="A693" t="s">
        <v>68</v>
      </c>
      <c r="B693" t="s">
        <v>70</v>
      </c>
      <c r="C693">
        <v>2</v>
      </c>
      <c r="D693" t="s">
        <v>94</v>
      </c>
      <c r="E693" t="s">
        <v>85</v>
      </c>
      <c r="F693" t="s">
        <v>86</v>
      </c>
      <c r="G693">
        <v>0.73766508963022204</v>
      </c>
      <c r="H693">
        <v>2E+20</v>
      </c>
      <c r="I693">
        <v>0</v>
      </c>
      <c r="J693">
        <v>4.5825489759276401</v>
      </c>
      <c r="K693">
        <v>41</v>
      </c>
      <c r="L693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30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0.97840681915438699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7.4857890319341105E-2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2.1571430213611502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10.0970660655851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39.4</v>
      </c>
      <c r="W693" s="5">
        <f>IF((DiscreteStatsTable[[#This Row],[RepsRequested]]&gt;1),DiscreteStatsTable[[#This Row],[HalfWidth]],DiscreteStatsTable[[#This Row],[BatchMeansHalfWidth]])</f>
        <v>0.17398625601904402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30</v>
      </c>
      <c r="Y693" s="5">
        <f>IF(DiscreteStatsTable[[#This Row],[RepsRequested]]=DiscreteStatsTable[[#This Row],[RepsWithStatObserved]],1,0)</f>
        <v>1</v>
      </c>
    </row>
    <row r="694" spans="1:25" x14ac:dyDescent="0.25">
      <c r="A694" t="s">
        <v>68</v>
      </c>
      <c r="B694" t="s">
        <v>70</v>
      </c>
      <c r="C694">
        <v>3</v>
      </c>
      <c r="D694" t="s">
        <v>94</v>
      </c>
      <c r="E694" t="s">
        <v>85</v>
      </c>
      <c r="F694" t="s">
        <v>86</v>
      </c>
      <c r="G694">
        <v>1.69447980983364</v>
      </c>
      <c r="H694">
        <v>2E+20</v>
      </c>
      <c r="I694">
        <v>0</v>
      </c>
      <c r="J694">
        <v>10.0970660655851</v>
      </c>
      <c r="K694">
        <v>47</v>
      </c>
      <c r="L694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30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0.97840681915438699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7.4857890319341105E-2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2.1571430213611502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10.0970660655851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39.4</v>
      </c>
      <c r="W694" s="5">
        <f>IF((DiscreteStatsTable[[#This Row],[RepsRequested]]&gt;1),DiscreteStatsTable[[#This Row],[HalfWidth]],DiscreteStatsTable[[#This Row],[BatchMeansHalfWidth]])</f>
        <v>0.17398625601904402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30</v>
      </c>
      <c r="Y694" s="5">
        <f>IF(DiscreteStatsTable[[#This Row],[RepsRequested]]=DiscreteStatsTable[[#This Row],[RepsWithStatObserved]],1,0)</f>
        <v>1</v>
      </c>
    </row>
    <row r="695" spans="1:25" x14ac:dyDescent="0.25">
      <c r="A695" t="s">
        <v>68</v>
      </c>
      <c r="B695" t="s">
        <v>70</v>
      </c>
      <c r="C695">
        <v>4</v>
      </c>
      <c r="D695" t="s">
        <v>94</v>
      </c>
      <c r="E695" t="s">
        <v>85</v>
      </c>
      <c r="F695" t="s">
        <v>86</v>
      </c>
      <c r="G695">
        <v>0.45437310802617498</v>
      </c>
      <c r="H695">
        <v>2E+20</v>
      </c>
      <c r="I695">
        <v>0</v>
      </c>
      <c r="J695">
        <v>2.0671783217012298</v>
      </c>
      <c r="K695">
        <v>33</v>
      </c>
      <c r="L695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30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0.97840681915438699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7.4857890319341105E-2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2.1571430213611502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10.0970660655851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39.4</v>
      </c>
      <c r="W695" s="5">
        <f>IF((DiscreteStatsTable[[#This Row],[RepsRequested]]&gt;1),DiscreteStatsTable[[#This Row],[HalfWidth]],DiscreteStatsTable[[#This Row],[BatchMeansHalfWidth]])</f>
        <v>0.17398625601904402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30</v>
      </c>
      <c r="Y695" s="5">
        <f>IF(DiscreteStatsTable[[#This Row],[RepsRequested]]=DiscreteStatsTable[[#This Row],[RepsWithStatObserved]],1,0)</f>
        <v>1</v>
      </c>
    </row>
    <row r="696" spans="1:25" x14ac:dyDescent="0.25">
      <c r="A696" t="s">
        <v>68</v>
      </c>
      <c r="B696" t="s">
        <v>70</v>
      </c>
      <c r="C696">
        <v>5</v>
      </c>
      <c r="D696" t="s">
        <v>94</v>
      </c>
      <c r="E696" t="s">
        <v>85</v>
      </c>
      <c r="F696" t="s">
        <v>86</v>
      </c>
      <c r="G696">
        <v>1.7174610471610201</v>
      </c>
      <c r="H696">
        <v>2E+20</v>
      </c>
      <c r="I696">
        <v>0</v>
      </c>
      <c r="J696">
        <v>8.5271218796846409</v>
      </c>
      <c r="K696">
        <v>46</v>
      </c>
      <c r="L696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30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0.97840681915438699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7.4857890319341105E-2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2.1571430213611502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0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10.0970660655851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39.4</v>
      </c>
      <c r="W696" s="5">
        <f>IF((DiscreteStatsTable[[#This Row],[RepsRequested]]&gt;1),DiscreteStatsTable[[#This Row],[HalfWidth]],DiscreteStatsTable[[#This Row],[BatchMeansHalfWidth]])</f>
        <v>0.17398625601904402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30</v>
      </c>
      <c r="Y696" s="5">
        <f>IF(DiscreteStatsTable[[#This Row],[RepsRequested]]=DiscreteStatsTable[[#This Row],[RepsWithStatObserved]],1,0)</f>
        <v>1</v>
      </c>
    </row>
    <row r="697" spans="1:25" x14ac:dyDescent="0.25">
      <c r="A697" t="s">
        <v>68</v>
      </c>
      <c r="B697" t="s">
        <v>70</v>
      </c>
      <c r="C697">
        <v>6</v>
      </c>
      <c r="D697" t="s">
        <v>94</v>
      </c>
      <c r="E697" t="s">
        <v>85</v>
      </c>
      <c r="F697" t="s">
        <v>86</v>
      </c>
      <c r="G697">
        <v>0.96546589988090303</v>
      </c>
      <c r="H697">
        <v>2E+20</v>
      </c>
      <c r="I697">
        <v>0</v>
      </c>
      <c r="J697">
        <v>5.8327832088809801</v>
      </c>
      <c r="K697">
        <v>39</v>
      </c>
      <c r="L697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30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0.97840681915438699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7.4857890319341105E-2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2.1571430213611502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10.0970660655851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39.4</v>
      </c>
      <c r="W697" s="5">
        <f>IF((DiscreteStatsTable[[#This Row],[RepsRequested]]&gt;1),DiscreteStatsTable[[#This Row],[HalfWidth]],DiscreteStatsTable[[#This Row],[BatchMeansHalfWidth]])</f>
        <v>0.17398625601904402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30</v>
      </c>
      <c r="Y697" s="5">
        <f>IF(DiscreteStatsTable[[#This Row],[RepsRequested]]=DiscreteStatsTable[[#This Row],[RepsWithStatObserved]],1,0)</f>
        <v>1</v>
      </c>
    </row>
    <row r="698" spans="1:25" x14ac:dyDescent="0.25">
      <c r="A698" t="s">
        <v>68</v>
      </c>
      <c r="B698" t="s">
        <v>70</v>
      </c>
      <c r="C698">
        <v>7</v>
      </c>
      <c r="D698" t="s">
        <v>94</v>
      </c>
      <c r="E698" t="s">
        <v>85</v>
      </c>
      <c r="F698" t="s">
        <v>86</v>
      </c>
      <c r="G698">
        <v>1.0608627223193201</v>
      </c>
      <c r="H698">
        <v>2E+20</v>
      </c>
      <c r="I698">
        <v>0</v>
      </c>
      <c r="J698">
        <v>6.2104307688590401</v>
      </c>
      <c r="K698">
        <v>38</v>
      </c>
      <c r="L698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30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0.97840681915438699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7.4857890319341105E-2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2.1571430213611502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0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10.0970660655851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39.4</v>
      </c>
      <c r="W698" s="5">
        <f>IF((DiscreteStatsTable[[#This Row],[RepsRequested]]&gt;1),DiscreteStatsTable[[#This Row],[HalfWidth]],DiscreteStatsTable[[#This Row],[BatchMeansHalfWidth]])</f>
        <v>0.17398625601904402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30</v>
      </c>
      <c r="Y698" s="5">
        <f>IF(DiscreteStatsTable[[#This Row],[RepsRequested]]=DiscreteStatsTable[[#This Row],[RepsWithStatObserved]],1,0)</f>
        <v>1</v>
      </c>
    </row>
    <row r="699" spans="1:25" x14ac:dyDescent="0.25">
      <c r="A699" t="s">
        <v>68</v>
      </c>
      <c r="B699" t="s">
        <v>70</v>
      </c>
      <c r="C699">
        <v>8</v>
      </c>
      <c r="D699" t="s">
        <v>94</v>
      </c>
      <c r="E699" t="s">
        <v>85</v>
      </c>
      <c r="F699" t="s">
        <v>86</v>
      </c>
      <c r="G699">
        <v>1.3238126736017499</v>
      </c>
      <c r="H699">
        <v>2E+20</v>
      </c>
      <c r="I699">
        <v>0</v>
      </c>
      <c r="J699">
        <v>5.18874567833213</v>
      </c>
      <c r="K699">
        <v>36</v>
      </c>
      <c r="L699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30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0.97840681915438699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0.46594375103094737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7.4857890319341105E-2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2.1571430213611502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10.0970660655851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39.4</v>
      </c>
      <c r="W699" s="5">
        <f>IF((DiscreteStatsTable[[#This Row],[RepsRequested]]&gt;1),DiscreteStatsTable[[#This Row],[HalfWidth]],DiscreteStatsTable[[#This Row],[BatchMeansHalfWidth]])</f>
        <v>0.17398625601904402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30</v>
      </c>
      <c r="Y699" s="5">
        <f>IF(DiscreteStatsTable[[#This Row],[RepsRequested]]=DiscreteStatsTable[[#This Row],[RepsWithStatObserved]],1,0)</f>
        <v>1</v>
      </c>
    </row>
    <row r="700" spans="1:25" x14ac:dyDescent="0.25">
      <c r="A700" t="s">
        <v>68</v>
      </c>
      <c r="B700" t="s">
        <v>70</v>
      </c>
      <c r="C700">
        <v>9</v>
      </c>
      <c r="D700" t="s">
        <v>94</v>
      </c>
      <c r="E700" t="s">
        <v>85</v>
      </c>
      <c r="F700" t="s">
        <v>86</v>
      </c>
      <c r="G700">
        <v>0.49449818576890398</v>
      </c>
      <c r="H700">
        <v>2E+20</v>
      </c>
      <c r="I700">
        <v>0</v>
      </c>
      <c r="J700">
        <v>2.54474588976829</v>
      </c>
      <c r="K700">
        <v>35</v>
      </c>
      <c r="L700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30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0.97840681915438699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7.4857890319341105E-2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2.1571430213611502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10.0970660655851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39.4</v>
      </c>
      <c r="W700" s="5">
        <f>IF((DiscreteStatsTable[[#This Row],[RepsRequested]]&gt;1),DiscreteStatsTable[[#This Row],[HalfWidth]],DiscreteStatsTable[[#This Row],[BatchMeansHalfWidth]])</f>
        <v>0.17398625601904402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30</v>
      </c>
      <c r="Y700" s="5">
        <f>IF(DiscreteStatsTable[[#This Row],[RepsRequested]]=DiscreteStatsTable[[#This Row],[RepsWithStatObserved]],1,0)</f>
        <v>1</v>
      </c>
    </row>
    <row r="701" spans="1:25" x14ac:dyDescent="0.25">
      <c r="A701" t="s">
        <v>68</v>
      </c>
      <c r="B701" t="s">
        <v>70</v>
      </c>
      <c r="C701">
        <v>10</v>
      </c>
      <c r="D701" t="s">
        <v>94</v>
      </c>
      <c r="E701" t="s">
        <v>85</v>
      </c>
      <c r="F701" t="s">
        <v>86</v>
      </c>
      <c r="G701">
        <v>0.54538657069841001</v>
      </c>
      <c r="H701">
        <v>2E+20</v>
      </c>
      <c r="I701">
        <v>0</v>
      </c>
      <c r="J701">
        <v>4.0395518634033198</v>
      </c>
      <c r="K701">
        <v>41</v>
      </c>
      <c r="L701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30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0.97840681915438699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7.4857890319341105E-2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2.1571430213611502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10.0970660655851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39.4</v>
      </c>
      <c r="W701" s="5">
        <f>IF((DiscreteStatsTable[[#This Row],[RepsRequested]]&gt;1),DiscreteStatsTable[[#This Row],[HalfWidth]],DiscreteStatsTable[[#This Row],[BatchMeansHalfWidth]])</f>
        <v>0.17398625601904402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30</v>
      </c>
      <c r="Y701" s="5">
        <f>IF(DiscreteStatsTable[[#This Row],[RepsRequested]]=DiscreteStatsTable[[#This Row],[RepsWithStatObserved]],1,0)</f>
        <v>1</v>
      </c>
    </row>
    <row r="702" spans="1:25" x14ac:dyDescent="0.25">
      <c r="A702" t="s">
        <v>68</v>
      </c>
      <c r="B702" t="s">
        <v>70</v>
      </c>
      <c r="C702">
        <v>11</v>
      </c>
      <c r="D702" t="s">
        <v>94</v>
      </c>
      <c r="E702" t="s">
        <v>85</v>
      </c>
      <c r="F702" t="s">
        <v>86</v>
      </c>
      <c r="G702">
        <v>0.81450189816236296</v>
      </c>
      <c r="H702">
        <v>2E+20</v>
      </c>
      <c r="I702">
        <v>0</v>
      </c>
      <c r="J702">
        <v>4.6550838426716199</v>
      </c>
      <c r="K702">
        <v>45</v>
      </c>
      <c r="L702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30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0.97840681915438699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7.4857890319341105E-2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2.1571430213611502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10.0970660655851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39.4</v>
      </c>
      <c r="W702" s="5">
        <f>IF((DiscreteStatsTable[[#This Row],[RepsRequested]]&gt;1),DiscreteStatsTable[[#This Row],[HalfWidth]],DiscreteStatsTable[[#This Row],[BatchMeansHalfWidth]])</f>
        <v>0.17398625601904402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30</v>
      </c>
      <c r="Y702" s="5">
        <f>IF(DiscreteStatsTable[[#This Row],[RepsRequested]]=DiscreteStatsTable[[#This Row],[RepsWithStatObserved]],1,0)</f>
        <v>1</v>
      </c>
    </row>
    <row r="703" spans="1:25" x14ac:dyDescent="0.25">
      <c r="A703" t="s">
        <v>68</v>
      </c>
      <c r="B703" t="s">
        <v>70</v>
      </c>
      <c r="C703">
        <v>12</v>
      </c>
      <c r="D703" t="s">
        <v>94</v>
      </c>
      <c r="E703" t="s">
        <v>85</v>
      </c>
      <c r="F703" t="s">
        <v>86</v>
      </c>
      <c r="G703">
        <v>7.4857890319341105E-2</v>
      </c>
      <c r="H703">
        <v>2E+20</v>
      </c>
      <c r="I703">
        <v>0</v>
      </c>
      <c r="J703">
        <v>0.87537089400441903</v>
      </c>
      <c r="K703">
        <v>29</v>
      </c>
      <c r="L703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30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0.97840681915438699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7.4857890319341105E-2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2.1571430213611502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10.0970660655851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39.4</v>
      </c>
      <c r="W703" s="5">
        <f>IF((DiscreteStatsTable[[#This Row],[RepsRequested]]&gt;1),DiscreteStatsTable[[#This Row],[HalfWidth]],DiscreteStatsTable[[#This Row],[BatchMeansHalfWidth]])</f>
        <v>0.17398625601904402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30</v>
      </c>
      <c r="Y703" s="5">
        <f>IF(DiscreteStatsTable[[#This Row],[RepsRequested]]=DiscreteStatsTable[[#This Row],[RepsWithStatObserved]],1,0)</f>
        <v>1</v>
      </c>
    </row>
    <row r="704" spans="1:25" x14ac:dyDescent="0.25">
      <c r="A704" t="s">
        <v>68</v>
      </c>
      <c r="B704" t="s">
        <v>70</v>
      </c>
      <c r="C704">
        <v>13</v>
      </c>
      <c r="D704" t="s">
        <v>94</v>
      </c>
      <c r="E704" t="s">
        <v>85</v>
      </c>
      <c r="F704" t="s">
        <v>86</v>
      </c>
      <c r="G704">
        <v>0.54230254332340799</v>
      </c>
      <c r="H704">
        <v>2E+20</v>
      </c>
      <c r="I704">
        <v>0</v>
      </c>
      <c r="J704">
        <v>2.8868219989535602</v>
      </c>
      <c r="K704">
        <v>38</v>
      </c>
      <c r="L704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30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0.97840681915438699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7.4857890319341105E-2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2.1571430213611502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10.0970660655851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39.4</v>
      </c>
      <c r="W704" s="5">
        <f>IF((DiscreteStatsTable[[#This Row],[RepsRequested]]&gt;1),DiscreteStatsTable[[#This Row],[HalfWidth]],DiscreteStatsTable[[#This Row],[BatchMeansHalfWidth]])</f>
        <v>0.17398625601904402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30</v>
      </c>
      <c r="Y704" s="5">
        <f>IF(DiscreteStatsTable[[#This Row],[RepsRequested]]=DiscreteStatsTable[[#This Row],[RepsWithStatObserved]],1,0)</f>
        <v>1</v>
      </c>
    </row>
    <row r="705" spans="1:25" x14ac:dyDescent="0.25">
      <c r="A705" t="s">
        <v>68</v>
      </c>
      <c r="B705" t="s">
        <v>70</v>
      </c>
      <c r="C705">
        <v>14</v>
      </c>
      <c r="D705" t="s">
        <v>94</v>
      </c>
      <c r="E705" t="s">
        <v>85</v>
      </c>
      <c r="F705" t="s">
        <v>86</v>
      </c>
      <c r="G705">
        <v>1.0759189190767</v>
      </c>
      <c r="H705">
        <v>2E+20</v>
      </c>
      <c r="I705">
        <v>0</v>
      </c>
      <c r="J705">
        <v>5.6116682951624801</v>
      </c>
      <c r="K705">
        <v>45</v>
      </c>
      <c r="L705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30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0.97840681915438699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7.4857890319341105E-2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2.1571430213611502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10.0970660655851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39.4</v>
      </c>
      <c r="W705" s="5">
        <f>IF((DiscreteStatsTable[[#This Row],[RepsRequested]]&gt;1),DiscreteStatsTable[[#This Row],[HalfWidth]],DiscreteStatsTable[[#This Row],[BatchMeansHalfWidth]])</f>
        <v>0.17398625601904402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30</v>
      </c>
      <c r="Y705" s="5">
        <f>IF(DiscreteStatsTable[[#This Row],[RepsRequested]]=DiscreteStatsTable[[#This Row],[RepsWithStatObserved]],1,0)</f>
        <v>1</v>
      </c>
    </row>
    <row r="706" spans="1:25" x14ac:dyDescent="0.25">
      <c r="A706" t="s">
        <v>68</v>
      </c>
      <c r="B706" t="s">
        <v>70</v>
      </c>
      <c r="C706">
        <v>15</v>
      </c>
      <c r="D706" t="s">
        <v>94</v>
      </c>
      <c r="E706" t="s">
        <v>85</v>
      </c>
      <c r="F706" t="s">
        <v>86</v>
      </c>
      <c r="G706">
        <v>1.1311707903027399</v>
      </c>
      <c r="H706">
        <v>2E+20</v>
      </c>
      <c r="I706">
        <v>0</v>
      </c>
      <c r="J706">
        <v>4.4563149721252397</v>
      </c>
      <c r="K706">
        <v>46</v>
      </c>
      <c r="L706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30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0.97840681915438699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7.4857890319341105E-2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2.1571430213611502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10.0970660655851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39.4</v>
      </c>
      <c r="W706" s="5">
        <f>IF((DiscreteStatsTable[[#This Row],[RepsRequested]]&gt;1),DiscreteStatsTable[[#This Row],[HalfWidth]],DiscreteStatsTable[[#This Row],[BatchMeansHalfWidth]])</f>
        <v>0.17398625601904402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30</v>
      </c>
      <c r="Y706" s="5">
        <f>IF(DiscreteStatsTable[[#This Row],[RepsRequested]]=DiscreteStatsTable[[#This Row],[RepsWithStatObserved]],1,0)</f>
        <v>1</v>
      </c>
    </row>
    <row r="707" spans="1:25" x14ac:dyDescent="0.25">
      <c r="A707" t="s">
        <v>68</v>
      </c>
      <c r="B707" t="s">
        <v>70</v>
      </c>
      <c r="C707">
        <v>16</v>
      </c>
      <c r="D707" t="s">
        <v>94</v>
      </c>
      <c r="E707" t="s">
        <v>85</v>
      </c>
      <c r="F707" t="s">
        <v>86</v>
      </c>
      <c r="G707">
        <v>0.59653737431991105</v>
      </c>
      <c r="H707">
        <v>2E+20</v>
      </c>
      <c r="I707">
        <v>0</v>
      </c>
      <c r="J707">
        <v>3.5231386412225998</v>
      </c>
      <c r="K707">
        <v>36</v>
      </c>
      <c r="L707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30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0.97840681915438699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7.4857890319341105E-2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2.1571430213611502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10.0970660655851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39.4</v>
      </c>
      <c r="W707" s="5">
        <f>IF((DiscreteStatsTable[[#This Row],[RepsRequested]]&gt;1),DiscreteStatsTable[[#This Row],[HalfWidth]],DiscreteStatsTable[[#This Row],[BatchMeansHalfWidth]])</f>
        <v>0.17398625601904402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30</v>
      </c>
      <c r="Y707" s="5">
        <f>IF(DiscreteStatsTable[[#This Row],[RepsRequested]]=DiscreteStatsTable[[#This Row],[RepsWithStatObserved]],1,0)</f>
        <v>1</v>
      </c>
    </row>
    <row r="708" spans="1:25" x14ac:dyDescent="0.25">
      <c r="A708" t="s">
        <v>68</v>
      </c>
      <c r="B708" t="s">
        <v>70</v>
      </c>
      <c r="C708">
        <v>17</v>
      </c>
      <c r="D708" t="s">
        <v>94</v>
      </c>
      <c r="E708" t="s">
        <v>85</v>
      </c>
      <c r="F708" t="s">
        <v>86</v>
      </c>
      <c r="G708">
        <v>0.52543057557963202</v>
      </c>
      <c r="H708">
        <v>2E+20</v>
      </c>
      <c r="I708">
        <v>0</v>
      </c>
      <c r="J708">
        <v>2.9065554390868402</v>
      </c>
      <c r="K708">
        <v>32</v>
      </c>
      <c r="L708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30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0.97840681915438699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7.4857890319341105E-2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2.1571430213611502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10.0970660655851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39.4</v>
      </c>
      <c r="W708" s="5">
        <f>IF((DiscreteStatsTable[[#This Row],[RepsRequested]]&gt;1),DiscreteStatsTable[[#This Row],[HalfWidth]],DiscreteStatsTable[[#This Row],[BatchMeansHalfWidth]])</f>
        <v>0.17398625601904402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30</v>
      </c>
      <c r="Y708" s="5">
        <f>IF(DiscreteStatsTable[[#This Row],[RepsRequested]]=DiscreteStatsTable[[#This Row],[RepsWithStatObserved]],1,0)</f>
        <v>1</v>
      </c>
    </row>
    <row r="709" spans="1:25" x14ac:dyDescent="0.25">
      <c r="A709" t="s">
        <v>68</v>
      </c>
      <c r="B709" t="s">
        <v>70</v>
      </c>
      <c r="C709">
        <v>18</v>
      </c>
      <c r="D709" t="s">
        <v>94</v>
      </c>
      <c r="E709" t="s">
        <v>85</v>
      </c>
      <c r="F709" t="s">
        <v>86</v>
      </c>
      <c r="G709">
        <v>2.1571430213611502</v>
      </c>
      <c r="H709">
        <v>2E+20</v>
      </c>
      <c r="I709">
        <v>0</v>
      </c>
      <c r="J709">
        <v>7.0206824150299596</v>
      </c>
      <c r="K709">
        <v>44</v>
      </c>
      <c r="L709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30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0.97840681915438699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7.4857890319341105E-2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2.1571430213611502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10.0970660655851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39.4</v>
      </c>
      <c r="W709" s="5">
        <f>IF((DiscreteStatsTable[[#This Row],[RepsRequested]]&gt;1),DiscreteStatsTable[[#This Row],[HalfWidth]],DiscreteStatsTable[[#This Row],[BatchMeansHalfWidth]])</f>
        <v>0.17398625601904402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30</v>
      </c>
      <c r="Y709" s="5">
        <f>IF(DiscreteStatsTable[[#This Row],[RepsRequested]]=DiscreteStatsTable[[#This Row],[RepsWithStatObserved]],1,0)</f>
        <v>1</v>
      </c>
    </row>
    <row r="710" spans="1:25" x14ac:dyDescent="0.25">
      <c r="A710" t="s">
        <v>68</v>
      </c>
      <c r="B710" t="s">
        <v>70</v>
      </c>
      <c r="C710">
        <v>19</v>
      </c>
      <c r="D710" t="s">
        <v>94</v>
      </c>
      <c r="E710" t="s">
        <v>85</v>
      </c>
      <c r="F710" t="s">
        <v>86</v>
      </c>
      <c r="G710">
        <v>1.0867238350630799</v>
      </c>
      <c r="H710">
        <v>2E+20</v>
      </c>
      <c r="I710">
        <v>0</v>
      </c>
      <c r="J710">
        <v>3.7779475959708702</v>
      </c>
      <c r="K710">
        <v>33</v>
      </c>
      <c r="L710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30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0.97840681915438699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7.4857890319341105E-2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2.1571430213611502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10.0970660655851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39.4</v>
      </c>
      <c r="W710" s="5">
        <f>IF((DiscreteStatsTable[[#This Row],[RepsRequested]]&gt;1),DiscreteStatsTable[[#This Row],[HalfWidth]],DiscreteStatsTable[[#This Row],[BatchMeansHalfWidth]])</f>
        <v>0.17398625601904402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30</v>
      </c>
      <c r="Y710" s="5">
        <f>IF(DiscreteStatsTable[[#This Row],[RepsRequested]]=DiscreteStatsTable[[#This Row],[RepsWithStatObserved]],1,0)</f>
        <v>1</v>
      </c>
    </row>
    <row r="711" spans="1:25" x14ac:dyDescent="0.25">
      <c r="A711" t="s">
        <v>68</v>
      </c>
      <c r="B711" t="s">
        <v>70</v>
      </c>
      <c r="C711">
        <v>20</v>
      </c>
      <c r="D711" t="s">
        <v>94</v>
      </c>
      <c r="E711" t="s">
        <v>85</v>
      </c>
      <c r="F711" t="s">
        <v>86</v>
      </c>
      <c r="G711">
        <v>1.16408475785359</v>
      </c>
      <c r="H711">
        <v>2E+20</v>
      </c>
      <c r="I711">
        <v>0</v>
      </c>
      <c r="J711">
        <v>4.8310216656812104</v>
      </c>
      <c r="K711">
        <v>42</v>
      </c>
      <c r="L711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30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0.97840681915438699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7.4857890319341105E-2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2.1571430213611502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10.0970660655851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39.4</v>
      </c>
      <c r="W711" s="5">
        <f>IF((DiscreteStatsTable[[#This Row],[RepsRequested]]&gt;1),DiscreteStatsTable[[#This Row],[HalfWidth]],DiscreteStatsTable[[#This Row],[BatchMeansHalfWidth]])</f>
        <v>0.17398625601904402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30</v>
      </c>
      <c r="Y711" s="5">
        <f>IF(DiscreteStatsTable[[#This Row],[RepsRequested]]=DiscreteStatsTable[[#This Row],[RepsWithStatObserved]],1,0)</f>
        <v>1</v>
      </c>
    </row>
    <row r="712" spans="1:25" x14ac:dyDescent="0.25">
      <c r="A712" t="s">
        <v>68</v>
      </c>
      <c r="B712" t="s">
        <v>70</v>
      </c>
      <c r="C712">
        <v>21</v>
      </c>
      <c r="D712" t="s">
        <v>94</v>
      </c>
      <c r="E712" t="s">
        <v>85</v>
      </c>
      <c r="F712" t="s">
        <v>86</v>
      </c>
      <c r="G712">
        <v>1.24775238937221</v>
      </c>
      <c r="H712">
        <v>2E+20</v>
      </c>
      <c r="I712">
        <v>0</v>
      </c>
      <c r="J712">
        <v>4.5337945783012703</v>
      </c>
      <c r="K712">
        <v>49</v>
      </c>
      <c r="L712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30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0.97840681915438699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7.4857890319341105E-2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2.1571430213611502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10.0970660655851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39.4</v>
      </c>
      <c r="W712" s="5">
        <f>IF((DiscreteStatsTable[[#This Row],[RepsRequested]]&gt;1),DiscreteStatsTable[[#This Row],[HalfWidth]],DiscreteStatsTable[[#This Row],[BatchMeansHalfWidth]])</f>
        <v>0.17398625601904402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30</v>
      </c>
      <c r="Y712" s="5">
        <f>IF(DiscreteStatsTable[[#This Row],[RepsRequested]]=DiscreteStatsTable[[#This Row],[RepsWithStatObserved]],1,0)</f>
        <v>1</v>
      </c>
    </row>
    <row r="713" spans="1:25" x14ac:dyDescent="0.25">
      <c r="A713" t="s">
        <v>68</v>
      </c>
      <c r="B713" t="s">
        <v>70</v>
      </c>
      <c r="C713">
        <v>22</v>
      </c>
      <c r="D713" t="s">
        <v>94</v>
      </c>
      <c r="E713" t="s">
        <v>85</v>
      </c>
      <c r="F713" t="s">
        <v>86</v>
      </c>
      <c r="G713">
        <v>0.610664120141033</v>
      </c>
      <c r="H713">
        <v>2E+20</v>
      </c>
      <c r="I713">
        <v>0</v>
      </c>
      <c r="J713">
        <v>4.1264851870092203</v>
      </c>
      <c r="K713">
        <v>34</v>
      </c>
      <c r="L713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30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0.97840681915438699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7.4857890319341105E-2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2.1571430213611502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10.0970660655851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39.4</v>
      </c>
      <c r="W713" s="5">
        <f>IF((DiscreteStatsTable[[#This Row],[RepsRequested]]&gt;1),DiscreteStatsTable[[#This Row],[HalfWidth]],DiscreteStatsTable[[#This Row],[BatchMeansHalfWidth]])</f>
        <v>0.17398625601904402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30</v>
      </c>
      <c r="Y713" s="5">
        <f>IF(DiscreteStatsTable[[#This Row],[RepsRequested]]=DiscreteStatsTable[[#This Row],[RepsWithStatObserved]],1,0)</f>
        <v>1</v>
      </c>
    </row>
    <row r="714" spans="1:25" x14ac:dyDescent="0.25">
      <c r="A714" t="s">
        <v>68</v>
      </c>
      <c r="B714" t="s">
        <v>70</v>
      </c>
      <c r="C714">
        <v>23</v>
      </c>
      <c r="D714" t="s">
        <v>94</v>
      </c>
      <c r="E714" t="s">
        <v>85</v>
      </c>
      <c r="F714" t="s">
        <v>86</v>
      </c>
      <c r="G714">
        <v>0.88775528024655503</v>
      </c>
      <c r="H714">
        <v>2E+20</v>
      </c>
      <c r="I714">
        <v>0</v>
      </c>
      <c r="J714">
        <v>7.20167645873744</v>
      </c>
      <c r="K714">
        <v>41</v>
      </c>
      <c r="L714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30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0.97840681915438699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7.4857890319341105E-2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2.1571430213611502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10.0970660655851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39.4</v>
      </c>
      <c r="W714" s="5">
        <f>IF((DiscreteStatsTable[[#This Row],[RepsRequested]]&gt;1),DiscreteStatsTable[[#This Row],[HalfWidth]],DiscreteStatsTable[[#This Row],[BatchMeansHalfWidth]])</f>
        <v>0.17398625601904402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30</v>
      </c>
      <c r="Y714" s="5">
        <f>IF(DiscreteStatsTable[[#This Row],[RepsRequested]]=DiscreteStatsTable[[#This Row],[RepsWithStatObserved]],1,0)</f>
        <v>1</v>
      </c>
    </row>
    <row r="715" spans="1:25" x14ac:dyDescent="0.25">
      <c r="A715" t="s">
        <v>68</v>
      </c>
      <c r="B715" t="s">
        <v>70</v>
      </c>
      <c r="C715">
        <v>24</v>
      </c>
      <c r="D715" t="s">
        <v>94</v>
      </c>
      <c r="E715" t="s">
        <v>85</v>
      </c>
      <c r="F715" t="s">
        <v>86</v>
      </c>
      <c r="G715">
        <v>0.52504468561153705</v>
      </c>
      <c r="H715">
        <v>2E+20</v>
      </c>
      <c r="I715">
        <v>0</v>
      </c>
      <c r="J715">
        <v>2.2203395013803902</v>
      </c>
      <c r="K715">
        <v>40</v>
      </c>
      <c r="L715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30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0.97840681915438699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7.4857890319341105E-2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2.1571430213611502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10.0970660655851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39.4</v>
      </c>
      <c r="W715" s="5">
        <f>IF((DiscreteStatsTable[[#This Row],[RepsRequested]]&gt;1),DiscreteStatsTable[[#This Row],[HalfWidth]],DiscreteStatsTable[[#This Row],[BatchMeansHalfWidth]])</f>
        <v>0.17398625601904402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30</v>
      </c>
      <c r="Y715" s="5">
        <f>IF(DiscreteStatsTable[[#This Row],[RepsRequested]]=DiscreteStatsTable[[#This Row],[RepsWithStatObserved]],1,0)</f>
        <v>1</v>
      </c>
    </row>
    <row r="716" spans="1:25" x14ac:dyDescent="0.25">
      <c r="A716" t="s">
        <v>68</v>
      </c>
      <c r="B716" t="s">
        <v>70</v>
      </c>
      <c r="C716">
        <v>25</v>
      </c>
      <c r="D716" t="s">
        <v>94</v>
      </c>
      <c r="E716" t="s">
        <v>85</v>
      </c>
      <c r="F716" t="s">
        <v>86</v>
      </c>
      <c r="G716">
        <v>1.2380049443343399</v>
      </c>
      <c r="H716">
        <v>2E+20</v>
      </c>
      <c r="I716">
        <v>0</v>
      </c>
      <c r="J716">
        <v>6.09852169259322</v>
      </c>
      <c r="K716">
        <v>35</v>
      </c>
      <c r="L716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30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0.97840681915438699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7.4857890319341105E-2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2.1571430213611502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10.0970660655851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39.4</v>
      </c>
      <c r="W716" s="5">
        <f>IF((DiscreteStatsTable[[#This Row],[RepsRequested]]&gt;1),DiscreteStatsTable[[#This Row],[HalfWidth]],DiscreteStatsTable[[#This Row],[BatchMeansHalfWidth]])</f>
        <v>0.17398625601904402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30</v>
      </c>
      <c r="Y716" s="5">
        <f>IF(DiscreteStatsTable[[#This Row],[RepsRequested]]=DiscreteStatsTable[[#This Row],[RepsWithStatObserved]],1,0)</f>
        <v>1</v>
      </c>
    </row>
    <row r="717" spans="1:25" x14ac:dyDescent="0.25">
      <c r="A717" t="s">
        <v>68</v>
      </c>
      <c r="B717" t="s">
        <v>70</v>
      </c>
      <c r="C717">
        <v>26</v>
      </c>
      <c r="D717" t="s">
        <v>94</v>
      </c>
      <c r="E717" t="s">
        <v>85</v>
      </c>
      <c r="F717" t="s">
        <v>86</v>
      </c>
      <c r="G717">
        <v>1.6651921164818799</v>
      </c>
      <c r="H717">
        <v>2E+20</v>
      </c>
      <c r="I717">
        <v>0</v>
      </c>
      <c r="J717">
        <v>6.2570021359449601</v>
      </c>
      <c r="K717">
        <v>45</v>
      </c>
      <c r="L717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30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0.97840681915438699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7.4857890319341105E-2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2.1571430213611502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10.0970660655851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39.4</v>
      </c>
      <c r="W717" s="5">
        <f>IF((DiscreteStatsTable[[#This Row],[RepsRequested]]&gt;1),DiscreteStatsTable[[#This Row],[HalfWidth]],DiscreteStatsTable[[#This Row],[BatchMeansHalfWidth]])</f>
        <v>0.17398625601904402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30</v>
      </c>
      <c r="Y717" s="5">
        <f>IF(DiscreteStatsTable[[#This Row],[RepsRequested]]=DiscreteStatsTable[[#This Row],[RepsWithStatObserved]],1,0)</f>
        <v>1</v>
      </c>
    </row>
    <row r="718" spans="1:25" x14ac:dyDescent="0.25">
      <c r="A718" t="s">
        <v>68</v>
      </c>
      <c r="B718" t="s">
        <v>70</v>
      </c>
      <c r="C718">
        <v>27</v>
      </c>
      <c r="D718" t="s">
        <v>94</v>
      </c>
      <c r="E718" t="s">
        <v>85</v>
      </c>
      <c r="F718" t="s">
        <v>86</v>
      </c>
      <c r="G718">
        <v>1.2877547002299099</v>
      </c>
      <c r="H718">
        <v>2E+20</v>
      </c>
      <c r="I718">
        <v>0</v>
      </c>
      <c r="J718">
        <v>8.2358163568506804</v>
      </c>
      <c r="K718">
        <v>44</v>
      </c>
      <c r="L718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30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0.97840681915438699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7.4857890319341105E-2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2.1571430213611502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10.0970660655851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39.4</v>
      </c>
      <c r="W718" s="5">
        <f>IF((DiscreteStatsTable[[#This Row],[RepsRequested]]&gt;1),DiscreteStatsTable[[#This Row],[HalfWidth]],DiscreteStatsTable[[#This Row],[BatchMeansHalfWidth]])</f>
        <v>0.17398625601904402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30</v>
      </c>
      <c r="Y718" s="5">
        <f>IF(DiscreteStatsTable[[#This Row],[RepsRequested]]=DiscreteStatsTable[[#This Row],[RepsWithStatObserved]],1,0)</f>
        <v>1</v>
      </c>
    </row>
    <row r="719" spans="1:25" x14ac:dyDescent="0.25">
      <c r="A719" t="s">
        <v>68</v>
      </c>
      <c r="B719" t="s">
        <v>70</v>
      </c>
      <c r="C719">
        <v>28</v>
      </c>
      <c r="D719" t="s">
        <v>94</v>
      </c>
      <c r="E719" t="s">
        <v>85</v>
      </c>
      <c r="F719" t="s">
        <v>86</v>
      </c>
      <c r="G719">
        <v>0.863409264911007</v>
      </c>
      <c r="H719">
        <v>2E+20</v>
      </c>
      <c r="I719">
        <v>0</v>
      </c>
      <c r="J719">
        <v>4.3864158109700799</v>
      </c>
      <c r="K719">
        <v>39</v>
      </c>
      <c r="L719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30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0.97840681915438699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7.4857890319341105E-2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2.1571430213611502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10.0970660655851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39.4</v>
      </c>
      <c r="W719" s="5">
        <f>IF((DiscreteStatsTable[[#This Row],[RepsRequested]]&gt;1),DiscreteStatsTable[[#This Row],[HalfWidth]],DiscreteStatsTable[[#This Row],[BatchMeansHalfWidth]])</f>
        <v>0.17398625601904402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30</v>
      </c>
      <c r="Y719" s="5">
        <f>IF(DiscreteStatsTable[[#This Row],[RepsRequested]]=DiscreteStatsTable[[#This Row],[RepsWithStatObserved]],1,0)</f>
        <v>1</v>
      </c>
    </row>
    <row r="720" spans="1:25" x14ac:dyDescent="0.25">
      <c r="A720" t="s">
        <v>68</v>
      </c>
      <c r="B720" t="s">
        <v>70</v>
      </c>
      <c r="C720">
        <v>29</v>
      </c>
      <c r="D720" t="s">
        <v>94</v>
      </c>
      <c r="E720" t="s">
        <v>85</v>
      </c>
      <c r="F720" t="s">
        <v>86</v>
      </c>
      <c r="G720">
        <v>1.4510293728855901</v>
      </c>
      <c r="H720">
        <v>2E+20</v>
      </c>
      <c r="I720">
        <v>0</v>
      </c>
      <c r="J720">
        <v>5.7428745754779396</v>
      </c>
      <c r="K720">
        <v>48</v>
      </c>
      <c r="L720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30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0.97840681915438699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7.4857890319341105E-2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2.1571430213611502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10.0970660655851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39.4</v>
      </c>
      <c r="W720" s="5">
        <f>IF((DiscreteStatsTable[[#This Row],[RepsRequested]]&gt;1),DiscreteStatsTable[[#This Row],[HalfWidth]],DiscreteStatsTable[[#This Row],[BatchMeansHalfWidth]])</f>
        <v>0.17398625601904402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30</v>
      </c>
      <c r="Y720" s="5">
        <f>IF(DiscreteStatsTable[[#This Row],[RepsRequested]]=DiscreteStatsTable[[#This Row],[RepsWithStatObserved]],1,0)</f>
        <v>1</v>
      </c>
    </row>
    <row r="721" spans="1:25" x14ac:dyDescent="0.25">
      <c r="A721" t="s">
        <v>68</v>
      </c>
      <c r="B721" t="s">
        <v>70</v>
      </c>
      <c r="C721">
        <v>30</v>
      </c>
      <c r="D721" t="s">
        <v>94</v>
      </c>
      <c r="E721" t="s">
        <v>85</v>
      </c>
      <c r="F721" t="s">
        <v>86</v>
      </c>
      <c r="G721">
        <v>0.88364233226241995</v>
      </c>
      <c r="H721">
        <v>2E+20</v>
      </c>
      <c r="I721">
        <v>0</v>
      </c>
      <c r="J721">
        <v>5.6078854385332004</v>
      </c>
      <c r="K721">
        <v>35</v>
      </c>
      <c r="L721" s="5" t="str">
        <f>DiscreteStatsTable[[#This Row],[ProjectName]]&amp;DiscreteStatsTable[[#This Row],[Name]]&amp;DiscreteStatsTable[[#This Row],[Type]]&amp;DiscreteStatsTable[[#This Row],[Source]]</f>
        <v>Pedido CleintesPreparar orden.QueueWaiting TimeQueue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30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0.97840681915438699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0.46594375103094737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0.17398625601904402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7.4857890319341105E-2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2.1571430213611502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10.0970660655851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39.4</v>
      </c>
      <c r="W721" s="5">
        <f>IF((DiscreteStatsTable[[#This Row],[RepsRequested]]&gt;1),DiscreteStatsTable[[#This Row],[HalfWidth]],DiscreteStatsTable[[#This Row],[BatchMeansHalfWidth]])</f>
        <v>0.17398625601904402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30</v>
      </c>
      <c r="Y721" s="5">
        <f>IF(DiscreteStatsTable[[#This Row],[RepsRequested]]=DiscreteStatsTable[[#This Row],[RepsWithStatObserved]],1,0)</f>
        <v>1</v>
      </c>
    </row>
    <row r="722" spans="1:25" x14ac:dyDescent="0.25">
      <c r="A722" t="s">
        <v>68</v>
      </c>
      <c r="B722" t="s">
        <v>70</v>
      </c>
      <c r="C722">
        <v>1</v>
      </c>
      <c r="D722" t="s">
        <v>95</v>
      </c>
      <c r="E722" t="s">
        <v>96</v>
      </c>
      <c r="F722" t="s">
        <v>97</v>
      </c>
      <c r="G722">
        <v>4.9901464291949802</v>
      </c>
      <c r="H722">
        <v>2E+20</v>
      </c>
      <c r="I722">
        <v>4.0254454244855804</v>
      </c>
      <c r="J722">
        <v>7.1048012359080603</v>
      </c>
      <c r="K722">
        <v>24</v>
      </c>
      <c r="L722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30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5.6791002251848095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4.5414842685188104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7.0605631014237096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3.6737230936318102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17.694691938395401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2" s="5">
        <f>IF((DiscreteStatsTable[[#This Row],[RepsRequested]]&gt;1),DiscreteStatsTable[[#This Row],[HalfWidth]],DiscreteStatsTable[[#This Row],[BatchMeansHalfWidth]])</f>
        <v>0.21043887871942071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30</v>
      </c>
      <c r="Y722" s="5">
        <f>IF(DiscreteStatsTable[[#This Row],[RepsRequested]]=DiscreteStatsTable[[#This Row],[RepsWithStatObserved]],1,0)</f>
        <v>1</v>
      </c>
    </row>
    <row r="723" spans="1:25" x14ac:dyDescent="0.25">
      <c r="A723" t="s">
        <v>68</v>
      </c>
      <c r="B723" t="s">
        <v>70</v>
      </c>
      <c r="C723">
        <v>2</v>
      </c>
      <c r="D723" t="s">
        <v>95</v>
      </c>
      <c r="E723" t="s">
        <v>96</v>
      </c>
      <c r="F723" t="s">
        <v>97</v>
      </c>
      <c r="G723">
        <v>5.37317306554423</v>
      </c>
      <c r="H723">
        <v>2E+20</v>
      </c>
      <c r="I723">
        <v>3.9575986654000999</v>
      </c>
      <c r="J723">
        <v>9.1422098980663709</v>
      </c>
      <c r="K723">
        <v>41</v>
      </c>
      <c r="L723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30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5.6791002251848095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4.5414842685188104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7.0605631014237096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3.6737230936318102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17.694691938395401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3" s="5">
        <f>IF((DiscreteStatsTable[[#This Row],[RepsRequested]]&gt;1),DiscreteStatsTable[[#This Row],[HalfWidth]],DiscreteStatsTable[[#This Row],[BatchMeansHalfWidth]])</f>
        <v>0.21043887871942071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30</v>
      </c>
      <c r="Y723" s="5">
        <f>IF(DiscreteStatsTable[[#This Row],[RepsRequested]]=DiscreteStatsTable[[#This Row],[RepsWithStatObserved]],1,0)</f>
        <v>1</v>
      </c>
    </row>
    <row r="724" spans="1:25" x14ac:dyDescent="0.25">
      <c r="A724" t="s">
        <v>68</v>
      </c>
      <c r="B724" t="s">
        <v>70</v>
      </c>
      <c r="C724">
        <v>3</v>
      </c>
      <c r="D724" t="s">
        <v>95</v>
      </c>
      <c r="E724" t="s">
        <v>96</v>
      </c>
      <c r="F724" t="s">
        <v>97</v>
      </c>
      <c r="G724">
        <v>6.5824737447319199</v>
      </c>
      <c r="H724">
        <v>2E+20</v>
      </c>
      <c r="I724">
        <v>3.7710601849318399</v>
      </c>
      <c r="J724">
        <v>17.694691938395401</v>
      </c>
      <c r="K724">
        <v>47</v>
      </c>
      <c r="L724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30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5.6791002251848095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4.5414842685188104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7.0605631014237096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3.6737230936318102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17.694691938395401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4" s="5">
        <f>IF((DiscreteStatsTable[[#This Row],[RepsRequested]]&gt;1),DiscreteStatsTable[[#This Row],[HalfWidth]],DiscreteStatsTable[[#This Row],[BatchMeansHalfWidth]])</f>
        <v>0.21043887871942071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30</v>
      </c>
      <c r="Y724" s="5">
        <f>IF(DiscreteStatsTable[[#This Row],[RepsRequested]]=DiscreteStatsTable[[#This Row],[RepsWithStatObserved]],1,0)</f>
        <v>1</v>
      </c>
    </row>
    <row r="725" spans="1:25" x14ac:dyDescent="0.25">
      <c r="A725" t="s">
        <v>68</v>
      </c>
      <c r="B725" t="s">
        <v>70</v>
      </c>
      <c r="C725">
        <v>4</v>
      </c>
      <c r="D725" t="s">
        <v>95</v>
      </c>
      <c r="E725" t="s">
        <v>96</v>
      </c>
      <c r="F725" t="s">
        <v>97</v>
      </c>
      <c r="G725">
        <v>5.0599023904699596</v>
      </c>
      <c r="H725">
        <v>2E+20</v>
      </c>
      <c r="I725">
        <v>3.9162386779727401</v>
      </c>
      <c r="J725">
        <v>6.9525050170237703</v>
      </c>
      <c r="K725">
        <v>33</v>
      </c>
      <c r="L725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30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5.6791002251848095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4.5414842685188104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7.0605631014237096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3.6737230936318102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17.694691938395401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5" s="5">
        <f>IF((DiscreteStatsTable[[#This Row],[RepsRequested]]&gt;1),DiscreteStatsTable[[#This Row],[HalfWidth]],DiscreteStatsTable[[#This Row],[BatchMeansHalfWidth]])</f>
        <v>0.21043887871942071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30</v>
      </c>
      <c r="Y725" s="5">
        <f>IF(DiscreteStatsTable[[#This Row],[RepsRequested]]=DiscreteStatsTable[[#This Row],[RepsWithStatObserved]],1,0)</f>
        <v>1</v>
      </c>
    </row>
    <row r="726" spans="1:25" x14ac:dyDescent="0.25">
      <c r="A726" t="s">
        <v>68</v>
      </c>
      <c r="B726" t="s">
        <v>70</v>
      </c>
      <c r="C726">
        <v>5</v>
      </c>
      <c r="D726" t="s">
        <v>95</v>
      </c>
      <c r="E726" t="s">
        <v>96</v>
      </c>
      <c r="F726" t="s">
        <v>97</v>
      </c>
      <c r="G726">
        <v>6.4564235040147402</v>
      </c>
      <c r="H726">
        <v>2E+20</v>
      </c>
      <c r="I726">
        <v>3.77373200780477</v>
      </c>
      <c r="J726">
        <v>13.9904048933167</v>
      </c>
      <c r="K726">
        <v>45</v>
      </c>
      <c r="L726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30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5.6791002251848095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4.5414842685188104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7.0605631014237096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3.6737230936318102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17.694691938395401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6" s="5">
        <f>IF((DiscreteStatsTable[[#This Row],[RepsRequested]]&gt;1),DiscreteStatsTable[[#This Row],[HalfWidth]],DiscreteStatsTable[[#This Row],[BatchMeansHalfWidth]])</f>
        <v>0.21043887871942071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30</v>
      </c>
      <c r="Y726" s="5">
        <f>IF(DiscreteStatsTable[[#This Row],[RepsRequested]]=DiscreteStatsTable[[#This Row],[RepsWithStatObserved]],1,0)</f>
        <v>1</v>
      </c>
    </row>
    <row r="727" spans="1:25" x14ac:dyDescent="0.25">
      <c r="A727" t="s">
        <v>68</v>
      </c>
      <c r="B727" t="s">
        <v>70</v>
      </c>
      <c r="C727">
        <v>6</v>
      </c>
      <c r="D727" t="s">
        <v>95</v>
      </c>
      <c r="E727" t="s">
        <v>96</v>
      </c>
      <c r="F727" t="s">
        <v>97</v>
      </c>
      <c r="G727">
        <v>5.7216303778570596</v>
      </c>
      <c r="H727">
        <v>2E+20</v>
      </c>
      <c r="I727">
        <v>3.9039523983078901</v>
      </c>
      <c r="J727">
        <v>12.3815572575869</v>
      </c>
      <c r="K727">
        <v>39</v>
      </c>
      <c r="L727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30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5.6791002251848095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4.5414842685188104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7.0605631014237096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3.6737230936318102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17.694691938395401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7" s="5">
        <f>IF((DiscreteStatsTable[[#This Row],[RepsRequested]]&gt;1),DiscreteStatsTable[[#This Row],[HalfWidth]],DiscreteStatsTable[[#This Row],[BatchMeansHalfWidth]])</f>
        <v>0.21043887871942071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30</v>
      </c>
      <c r="Y727" s="5">
        <f>IF(DiscreteStatsTable[[#This Row],[RepsRequested]]=DiscreteStatsTable[[#This Row],[RepsWithStatObserved]],1,0)</f>
        <v>1</v>
      </c>
    </row>
    <row r="728" spans="1:25" x14ac:dyDescent="0.25">
      <c r="A728" t="s">
        <v>68</v>
      </c>
      <c r="B728" t="s">
        <v>70</v>
      </c>
      <c r="C728">
        <v>7</v>
      </c>
      <c r="D728" t="s">
        <v>95</v>
      </c>
      <c r="E728" t="s">
        <v>96</v>
      </c>
      <c r="F728" t="s">
        <v>97</v>
      </c>
      <c r="G728">
        <v>5.7860017153237804</v>
      </c>
      <c r="H728">
        <v>2E+20</v>
      </c>
      <c r="I728">
        <v>3.9216516812408599</v>
      </c>
      <c r="J728">
        <v>10.9217463512029</v>
      </c>
      <c r="K728">
        <v>38</v>
      </c>
      <c r="L728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30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5.6791002251848095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4.5414842685188104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7.0605631014237096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3.6737230936318102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17.694691938395401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8" s="5">
        <f>IF((DiscreteStatsTable[[#This Row],[RepsRequested]]&gt;1),DiscreteStatsTable[[#This Row],[HalfWidth]],DiscreteStatsTable[[#This Row],[BatchMeansHalfWidth]])</f>
        <v>0.21043887871942071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30</v>
      </c>
      <c r="Y728" s="5">
        <f>IF(DiscreteStatsTable[[#This Row],[RepsRequested]]=DiscreteStatsTable[[#This Row],[RepsWithStatObserved]],1,0)</f>
        <v>1</v>
      </c>
    </row>
    <row r="729" spans="1:25" x14ac:dyDescent="0.25">
      <c r="A729" t="s">
        <v>68</v>
      </c>
      <c r="B729" t="s">
        <v>70</v>
      </c>
      <c r="C729">
        <v>8</v>
      </c>
      <c r="D729" t="s">
        <v>95</v>
      </c>
      <c r="E729" t="s">
        <v>96</v>
      </c>
      <c r="F729" t="s">
        <v>97</v>
      </c>
      <c r="G729">
        <v>6.2370891620170301</v>
      </c>
      <c r="H729">
        <v>2E+20</v>
      </c>
      <c r="I729">
        <v>4.09411058137204</v>
      </c>
      <c r="J729">
        <v>11.060571969165499</v>
      </c>
      <c r="K729">
        <v>34</v>
      </c>
      <c r="L729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30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5.6791002251848095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4.5414842685188104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7.0605631014237096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3.6737230936318102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17.694691938395401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29" s="5">
        <f>IF((DiscreteStatsTable[[#This Row],[RepsRequested]]&gt;1),DiscreteStatsTable[[#This Row],[HalfWidth]],DiscreteStatsTable[[#This Row],[BatchMeansHalfWidth]])</f>
        <v>0.21043887871942071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30</v>
      </c>
      <c r="Y729" s="5">
        <f>IF(DiscreteStatsTable[[#This Row],[RepsRequested]]=DiscreteStatsTable[[#This Row],[RepsWithStatObserved]],1,0)</f>
        <v>1</v>
      </c>
    </row>
    <row r="730" spans="1:25" x14ac:dyDescent="0.25">
      <c r="A730" t="s">
        <v>68</v>
      </c>
      <c r="B730" t="s">
        <v>70</v>
      </c>
      <c r="C730">
        <v>9</v>
      </c>
      <c r="D730" t="s">
        <v>95</v>
      </c>
      <c r="E730" t="s">
        <v>96</v>
      </c>
      <c r="F730" t="s">
        <v>97</v>
      </c>
      <c r="G730">
        <v>5.0664534532326799</v>
      </c>
      <c r="H730">
        <v>2E+20</v>
      </c>
      <c r="I730">
        <v>3.7758741569295502</v>
      </c>
      <c r="J730">
        <v>7.7385654873742604</v>
      </c>
      <c r="K730">
        <v>34</v>
      </c>
      <c r="L730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30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5.6791002251848095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4.5414842685188104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7.0605631014237096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3.6737230936318102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17.694691938395401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0" s="5">
        <f>IF((DiscreteStatsTable[[#This Row],[RepsRequested]]&gt;1),DiscreteStatsTable[[#This Row],[HalfWidth]],DiscreteStatsTable[[#This Row],[BatchMeansHalfWidth]])</f>
        <v>0.21043887871942071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30</v>
      </c>
      <c r="Y730" s="5">
        <f>IF(DiscreteStatsTable[[#This Row],[RepsRequested]]=DiscreteStatsTable[[#This Row],[RepsWithStatObserved]],1,0)</f>
        <v>1</v>
      </c>
    </row>
    <row r="731" spans="1:25" x14ac:dyDescent="0.25">
      <c r="A731" t="s">
        <v>68</v>
      </c>
      <c r="B731" t="s">
        <v>70</v>
      </c>
      <c r="C731">
        <v>10</v>
      </c>
      <c r="D731" t="s">
        <v>95</v>
      </c>
      <c r="E731" t="s">
        <v>96</v>
      </c>
      <c r="F731" t="s">
        <v>97</v>
      </c>
      <c r="G731">
        <v>5.0609584404715404</v>
      </c>
      <c r="H731">
        <v>2E+20</v>
      </c>
      <c r="I731">
        <v>3.8186791056629699</v>
      </c>
      <c r="J731">
        <v>8.4922699045034999</v>
      </c>
      <c r="K731">
        <v>41</v>
      </c>
      <c r="L731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30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5.6791002251848095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4.5414842685188104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7.0605631014237096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3.6737230936318102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17.694691938395401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1" s="5">
        <f>IF((DiscreteStatsTable[[#This Row],[RepsRequested]]&gt;1),DiscreteStatsTable[[#This Row],[HalfWidth]],DiscreteStatsTable[[#This Row],[BatchMeansHalfWidth]])</f>
        <v>0.21043887871942071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30</v>
      </c>
      <c r="Y731" s="5">
        <f>IF(DiscreteStatsTable[[#This Row],[RepsRequested]]=DiscreteStatsTable[[#This Row],[RepsWithStatObserved]],1,0)</f>
        <v>1</v>
      </c>
    </row>
    <row r="732" spans="1:25" x14ac:dyDescent="0.25">
      <c r="A732" t="s">
        <v>68</v>
      </c>
      <c r="B732" t="s">
        <v>70</v>
      </c>
      <c r="C732">
        <v>11</v>
      </c>
      <c r="D732" t="s">
        <v>95</v>
      </c>
      <c r="E732" t="s">
        <v>96</v>
      </c>
      <c r="F732" t="s">
        <v>97</v>
      </c>
      <c r="G732">
        <v>5.4779144439759397</v>
      </c>
      <c r="H732">
        <v>2E+20</v>
      </c>
      <c r="I732">
        <v>3.9162561901202699</v>
      </c>
      <c r="J732">
        <v>10.4133186108066</v>
      </c>
      <c r="K732">
        <v>44</v>
      </c>
      <c r="L732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30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5.6791002251848095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4.5414842685188104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7.0605631014237096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3.6737230936318102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17.694691938395401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2" s="5">
        <f>IF((DiscreteStatsTable[[#This Row],[RepsRequested]]&gt;1),DiscreteStatsTable[[#This Row],[HalfWidth]],DiscreteStatsTable[[#This Row],[BatchMeansHalfWidth]])</f>
        <v>0.21043887871942071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30</v>
      </c>
      <c r="Y732" s="5">
        <f>IF(DiscreteStatsTable[[#This Row],[RepsRequested]]=DiscreteStatsTable[[#This Row],[RepsWithStatObserved]],1,0)</f>
        <v>1</v>
      </c>
    </row>
    <row r="733" spans="1:25" x14ac:dyDescent="0.25">
      <c r="A733" t="s">
        <v>68</v>
      </c>
      <c r="B733" t="s">
        <v>70</v>
      </c>
      <c r="C733">
        <v>12</v>
      </c>
      <c r="D733" t="s">
        <v>95</v>
      </c>
      <c r="E733" t="s">
        <v>96</v>
      </c>
      <c r="F733" t="s">
        <v>97</v>
      </c>
      <c r="G733">
        <v>4.5414842685188104</v>
      </c>
      <c r="H733">
        <v>2E+20</v>
      </c>
      <c r="I733">
        <v>3.8213819387362098</v>
      </c>
      <c r="J733">
        <v>5.3058785150574899</v>
      </c>
      <c r="K733">
        <v>28</v>
      </c>
      <c r="L733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30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5.6791002251848095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4.5414842685188104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7.0605631014237096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3.6737230936318102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17.694691938395401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3" s="5">
        <f>IF((DiscreteStatsTable[[#This Row],[RepsRequested]]&gt;1),DiscreteStatsTable[[#This Row],[HalfWidth]],DiscreteStatsTable[[#This Row],[BatchMeansHalfWidth]])</f>
        <v>0.21043887871942071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30</v>
      </c>
      <c r="Y733" s="5">
        <f>IF(DiscreteStatsTable[[#This Row],[RepsRequested]]=DiscreteStatsTable[[#This Row],[RepsWithStatObserved]],1,0)</f>
        <v>1</v>
      </c>
    </row>
    <row r="734" spans="1:25" x14ac:dyDescent="0.25">
      <c r="A734" t="s">
        <v>68</v>
      </c>
      <c r="B734" t="s">
        <v>70</v>
      </c>
      <c r="C734">
        <v>13</v>
      </c>
      <c r="D734" t="s">
        <v>95</v>
      </c>
      <c r="E734" t="s">
        <v>96</v>
      </c>
      <c r="F734" t="s">
        <v>97</v>
      </c>
      <c r="G734">
        <v>5.1297077386662897</v>
      </c>
      <c r="H734">
        <v>2E+20</v>
      </c>
      <c r="I734">
        <v>3.9432756521734298</v>
      </c>
      <c r="J734">
        <v>7.7716694485821201</v>
      </c>
      <c r="K734">
        <v>37</v>
      </c>
      <c r="L734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30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5.6791002251848095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4.5414842685188104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7.0605631014237096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3.6737230936318102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17.694691938395401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4" s="5">
        <f>IF((DiscreteStatsTable[[#This Row],[RepsRequested]]&gt;1),DiscreteStatsTable[[#This Row],[HalfWidth]],DiscreteStatsTable[[#This Row],[BatchMeansHalfWidth]])</f>
        <v>0.21043887871942071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30</v>
      </c>
      <c r="Y734" s="5">
        <f>IF(DiscreteStatsTable[[#This Row],[RepsRequested]]=DiscreteStatsTable[[#This Row],[RepsWithStatObserved]],1,0)</f>
        <v>1</v>
      </c>
    </row>
    <row r="735" spans="1:25" x14ac:dyDescent="0.25">
      <c r="A735" t="s">
        <v>68</v>
      </c>
      <c r="B735" t="s">
        <v>70</v>
      </c>
      <c r="C735">
        <v>14</v>
      </c>
      <c r="D735" t="s">
        <v>95</v>
      </c>
      <c r="E735" t="s">
        <v>96</v>
      </c>
      <c r="F735" t="s">
        <v>97</v>
      </c>
      <c r="G735">
        <v>5.7451893964056397</v>
      </c>
      <c r="H735">
        <v>2E+20</v>
      </c>
      <c r="I735">
        <v>4.0303409931519001</v>
      </c>
      <c r="J735">
        <v>11.5590259560568</v>
      </c>
      <c r="K735">
        <v>44</v>
      </c>
      <c r="L735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30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5.6791002251848095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4.5414842685188104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7.0605631014237096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3.6737230936318102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17.694691938395401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5" s="5">
        <f>IF((DiscreteStatsTable[[#This Row],[RepsRequested]]&gt;1),DiscreteStatsTable[[#This Row],[HalfWidth]],DiscreteStatsTable[[#This Row],[BatchMeansHalfWidth]])</f>
        <v>0.21043887871942071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30</v>
      </c>
      <c r="Y735" s="5">
        <f>IF(DiscreteStatsTable[[#This Row],[RepsRequested]]=DiscreteStatsTable[[#This Row],[RepsWithStatObserved]],1,0)</f>
        <v>1</v>
      </c>
    </row>
    <row r="736" spans="1:25" x14ac:dyDescent="0.25">
      <c r="A736" t="s">
        <v>68</v>
      </c>
      <c r="B736" t="s">
        <v>70</v>
      </c>
      <c r="C736">
        <v>15</v>
      </c>
      <c r="D736" t="s">
        <v>95</v>
      </c>
      <c r="E736" t="s">
        <v>96</v>
      </c>
      <c r="F736" t="s">
        <v>97</v>
      </c>
      <c r="G736">
        <v>5.9286923725667702</v>
      </c>
      <c r="H736">
        <v>2E+20</v>
      </c>
      <c r="I736">
        <v>4.1081519687558599</v>
      </c>
      <c r="J736">
        <v>10.712704223101801</v>
      </c>
      <c r="K736">
        <v>46</v>
      </c>
      <c r="L736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30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5.6791002251848095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4.5414842685188104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7.0605631014237096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3.6737230936318102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17.694691938395401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6" s="5">
        <f>IF((DiscreteStatsTable[[#This Row],[RepsRequested]]&gt;1),DiscreteStatsTable[[#This Row],[HalfWidth]],DiscreteStatsTable[[#This Row],[BatchMeansHalfWidth]])</f>
        <v>0.21043887871942071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30</v>
      </c>
      <c r="Y736" s="5">
        <f>IF(DiscreteStatsTable[[#This Row],[RepsRequested]]=DiscreteStatsTable[[#This Row],[RepsWithStatObserved]],1,0)</f>
        <v>1</v>
      </c>
    </row>
    <row r="737" spans="1:25" x14ac:dyDescent="0.25">
      <c r="A737" t="s">
        <v>68</v>
      </c>
      <c r="B737" t="s">
        <v>70</v>
      </c>
      <c r="C737">
        <v>16</v>
      </c>
      <c r="D737" t="s">
        <v>95</v>
      </c>
      <c r="E737" t="s">
        <v>96</v>
      </c>
      <c r="F737" t="s">
        <v>97</v>
      </c>
      <c r="G737">
        <v>5.2789868852581803</v>
      </c>
      <c r="H737">
        <v>2E+20</v>
      </c>
      <c r="I737">
        <v>3.7631500064803398</v>
      </c>
      <c r="J737">
        <v>8.3765423593206396</v>
      </c>
      <c r="K737">
        <v>36</v>
      </c>
      <c r="L737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30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5.6791002251848095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4.5414842685188104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7.0605631014237096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3.6737230936318102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17.694691938395401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7" s="5">
        <f>IF((DiscreteStatsTable[[#This Row],[RepsRequested]]&gt;1),DiscreteStatsTable[[#This Row],[HalfWidth]],DiscreteStatsTable[[#This Row],[BatchMeansHalfWidth]])</f>
        <v>0.21043887871942071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30</v>
      </c>
      <c r="Y737" s="5">
        <f>IF(DiscreteStatsTable[[#This Row],[RepsRequested]]=DiscreteStatsTable[[#This Row],[RepsWithStatObserved]],1,0)</f>
        <v>1</v>
      </c>
    </row>
    <row r="738" spans="1:25" x14ac:dyDescent="0.25">
      <c r="A738" t="s">
        <v>68</v>
      </c>
      <c r="B738" t="s">
        <v>70</v>
      </c>
      <c r="C738">
        <v>17</v>
      </c>
      <c r="D738" t="s">
        <v>95</v>
      </c>
      <c r="E738" t="s">
        <v>96</v>
      </c>
      <c r="F738" t="s">
        <v>97</v>
      </c>
      <c r="G738">
        <v>5.1578603614814797</v>
      </c>
      <c r="H738">
        <v>2E+20</v>
      </c>
      <c r="I738">
        <v>4.0370712054074698</v>
      </c>
      <c r="J738">
        <v>7.7781456312297301</v>
      </c>
      <c r="K738">
        <v>31</v>
      </c>
      <c r="L738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30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5.6791002251848095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4.5414842685188104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7.0605631014237096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3.6737230936318102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17.694691938395401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8" s="5">
        <f>IF((DiscreteStatsTable[[#This Row],[RepsRequested]]&gt;1),DiscreteStatsTable[[#This Row],[HalfWidth]],DiscreteStatsTable[[#This Row],[BatchMeansHalfWidth]])</f>
        <v>0.21043887871942071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30</v>
      </c>
      <c r="Y738" s="5">
        <f>IF(DiscreteStatsTable[[#This Row],[RepsRequested]]=DiscreteStatsTable[[#This Row],[RepsWithStatObserved]],1,0)</f>
        <v>1</v>
      </c>
    </row>
    <row r="739" spans="1:25" x14ac:dyDescent="0.25">
      <c r="A739" t="s">
        <v>68</v>
      </c>
      <c r="B739" t="s">
        <v>70</v>
      </c>
      <c r="C739">
        <v>18</v>
      </c>
      <c r="D739" t="s">
        <v>95</v>
      </c>
      <c r="E739" t="s">
        <v>96</v>
      </c>
      <c r="F739" t="s">
        <v>97</v>
      </c>
      <c r="G739">
        <v>7.0605631014237096</v>
      </c>
      <c r="H739">
        <v>2E+20</v>
      </c>
      <c r="I739">
        <v>4.0502293774329798</v>
      </c>
      <c r="J739">
        <v>13.1971108310285</v>
      </c>
      <c r="K739">
        <v>44</v>
      </c>
      <c r="L739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30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5.6791002251848095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4.5414842685188104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7.0605631014237096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3.6737230936318102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17.694691938395401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39" s="5">
        <f>IF((DiscreteStatsTable[[#This Row],[RepsRequested]]&gt;1),DiscreteStatsTable[[#This Row],[HalfWidth]],DiscreteStatsTable[[#This Row],[BatchMeansHalfWidth]])</f>
        <v>0.21043887871942071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30</v>
      </c>
      <c r="Y739" s="5">
        <f>IF(DiscreteStatsTable[[#This Row],[RepsRequested]]=DiscreteStatsTable[[#This Row],[RepsWithStatObserved]],1,0)</f>
        <v>1</v>
      </c>
    </row>
    <row r="740" spans="1:25" x14ac:dyDescent="0.25">
      <c r="A740" t="s">
        <v>68</v>
      </c>
      <c r="B740" t="s">
        <v>70</v>
      </c>
      <c r="C740">
        <v>19</v>
      </c>
      <c r="D740" t="s">
        <v>95</v>
      </c>
      <c r="E740" t="s">
        <v>96</v>
      </c>
      <c r="F740" t="s">
        <v>97</v>
      </c>
      <c r="G740">
        <v>5.8942133079372603</v>
      </c>
      <c r="H740">
        <v>2E+20</v>
      </c>
      <c r="I740">
        <v>4.0874960166305803</v>
      </c>
      <c r="J740">
        <v>9.0287947879010204</v>
      </c>
      <c r="K740">
        <v>32</v>
      </c>
      <c r="L740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30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5.6791002251848095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4.5414842685188104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7.0605631014237096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3.6737230936318102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17.694691938395401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0" s="5">
        <f>IF((DiscreteStatsTable[[#This Row],[RepsRequested]]&gt;1),DiscreteStatsTable[[#This Row],[HalfWidth]],DiscreteStatsTable[[#This Row],[BatchMeansHalfWidth]])</f>
        <v>0.21043887871942071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30</v>
      </c>
      <c r="Y740" s="5">
        <f>IF(DiscreteStatsTable[[#This Row],[RepsRequested]]=DiscreteStatsTable[[#This Row],[RepsWithStatObserved]],1,0)</f>
        <v>1</v>
      </c>
    </row>
    <row r="741" spans="1:25" x14ac:dyDescent="0.25">
      <c r="A741" t="s">
        <v>68</v>
      </c>
      <c r="B741" t="s">
        <v>70</v>
      </c>
      <c r="C741">
        <v>20</v>
      </c>
      <c r="D741" t="s">
        <v>95</v>
      </c>
      <c r="E741" t="s">
        <v>96</v>
      </c>
      <c r="F741" t="s">
        <v>97</v>
      </c>
      <c r="G741">
        <v>5.8777488770038904</v>
      </c>
      <c r="H741">
        <v>2E+20</v>
      </c>
      <c r="I741">
        <v>3.8118710216141398</v>
      </c>
      <c r="J741">
        <v>9.5502200894016394</v>
      </c>
      <c r="K741">
        <v>42</v>
      </c>
      <c r="L741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30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5.6791002251848095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4.5414842685188104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7.0605631014237096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3.6737230936318102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17.694691938395401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1" s="5">
        <f>IF((DiscreteStatsTable[[#This Row],[RepsRequested]]&gt;1),DiscreteStatsTable[[#This Row],[HalfWidth]],DiscreteStatsTable[[#This Row],[BatchMeansHalfWidth]])</f>
        <v>0.21043887871942071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30</v>
      </c>
      <c r="Y741" s="5">
        <f>IF(DiscreteStatsTable[[#This Row],[RepsRequested]]=DiscreteStatsTable[[#This Row],[RepsWithStatObserved]],1,0)</f>
        <v>1</v>
      </c>
    </row>
    <row r="742" spans="1:25" x14ac:dyDescent="0.25">
      <c r="A742" t="s">
        <v>68</v>
      </c>
      <c r="B742" t="s">
        <v>70</v>
      </c>
      <c r="C742">
        <v>21</v>
      </c>
      <c r="D742" t="s">
        <v>95</v>
      </c>
      <c r="E742" t="s">
        <v>96</v>
      </c>
      <c r="F742" t="s">
        <v>97</v>
      </c>
      <c r="G742">
        <v>5.8677766038104604</v>
      </c>
      <c r="H742">
        <v>2E+20</v>
      </c>
      <c r="I742">
        <v>3.9257274289025199</v>
      </c>
      <c r="J742">
        <v>8.9947946623618495</v>
      </c>
      <c r="K742">
        <v>49</v>
      </c>
      <c r="L742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30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5.6791002251848095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4.5414842685188104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7.0605631014237096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3.6737230936318102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17.694691938395401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2" s="5">
        <f>IF((DiscreteStatsTable[[#This Row],[RepsRequested]]&gt;1),DiscreteStatsTable[[#This Row],[HalfWidth]],DiscreteStatsTable[[#This Row],[BatchMeansHalfWidth]])</f>
        <v>0.21043887871942071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30</v>
      </c>
      <c r="Y742" s="5">
        <f>IF(DiscreteStatsTable[[#This Row],[RepsRequested]]=DiscreteStatsTable[[#This Row],[RepsWithStatObserved]],1,0)</f>
        <v>1</v>
      </c>
    </row>
    <row r="743" spans="1:25" x14ac:dyDescent="0.25">
      <c r="A743" t="s">
        <v>68</v>
      </c>
      <c r="B743" t="s">
        <v>70</v>
      </c>
      <c r="C743">
        <v>22</v>
      </c>
      <c r="D743" t="s">
        <v>95</v>
      </c>
      <c r="E743" t="s">
        <v>96</v>
      </c>
      <c r="F743" t="s">
        <v>97</v>
      </c>
      <c r="G743">
        <v>5.3585831308550196</v>
      </c>
      <c r="H743">
        <v>2E+20</v>
      </c>
      <c r="I743">
        <v>3.8998443838482202</v>
      </c>
      <c r="J743">
        <v>10.208446951671201</v>
      </c>
      <c r="K743">
        <v>34</v>
      </c>
      <c r="L743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30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5.6791002251848095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4.5414842685188104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7.0605631014237096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3.6737230936318102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17.694691938395401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3" s="5">
        <f>IF((DiscreteStatsTable[[#This Row],[RepsRequested]]&gt;1),DiscreteStatsTable[[#This Row],[HalfWidth]],DiscreteStatsTable[[#This Row],[BatchMeansHalfWidth]])</f>
        <v>0.21043887871942071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30</v>
      </c>
      <c r="Y743" s="5">
        <f>IF(DiscreteStatsTable[[#This Row],[RepsRequested]]=DiscreteStatsTable[[#This Row],[RepsWithStatObserved]],1,0)</f>
        <v>1</v>
      </c>
    </row>
    <row r="744" spans="1:25" x14ac:dyDescent="0.25">
      <c r="A744" t="s">
        <v>68</v>
      </c>
      <c r="B744" t="s">
        <v>70</v>
      </c>
      <c r="C744">
        <v>23</v>
      </c>
      <c r="D744" t="s">
        <v>95</v>
      </c>
      <c r="E744" t="s">
        <v>96</v>
      </c>
      <c r="F744" t="s">
        <v>97</v>
      </c>
      <c r="G744">
        <v>5.5750073009557299</v>
      </c>
      <c r="H744">
        <v>2E+20</v>
      </c>
      <c r="I744">
        <v>3.9343613497721499</v>
      </c>
      <c r="J744">
        <v>14.7043954945631</v>
      </c>
      <c r="K744">
        <v>40</v>
      </c>
      <c r="L744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30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5.6791002251848095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4.5414842685188104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7.0605631014237096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3.6737230936318102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17.694691938395401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4" s="5">
        <f>IF((DiscreteStatsTable[[#This Row],[RepsRequested]]&gt;1),DiscreteStatsTable[[#This Row],[HalfWidth]],DiscreteStatsTable[[#This Row],[BatchMeansHalfWidth]])</f>
        <v>0.21043887871942071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30</v>
      </c>
      <c r="Y744" s="5">
        <f>IF(DiscreteStatsTable[[#This Row],[RepsRequested]]=DiscreteStatsTable[[#This Row],[RepsWithStatObserved]],1,0)</f>
        <v>1</v>
      </c>
    </row>
    <row r="745" spans="1:25" x14ac:dyDescent="0.25">
      <c r="A745" t="s">
        <v>68</v>
      </c>
      <c r="B745" t="s">
        <v>70</v>
      </c>
      <c r="C745">
        <v>24</v>
      </c>
      <c r="D745" t="s">
        <v>95</v>
      </c>
      <c r="E745" t="s">
        <v>96</v>
      </c>
      <c r="F745" t="s">
        <v>97</v>
      </c>
      <c r="G745">
        <v>5.2485468905854002</v>
      </c>
      <c r="H745">
        <v>2E+20</v>
      </c>
      <c r="I745">
        <v>4.0997643602738902</v>
      </c>
      <c r="J745">
        <v>8.0193183830500594</v>
      </c>
      <c r="K745">
        <v>39</v>
      </c>
      <c r="L745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30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5.6791002251848095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4.5414842685188104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7.0605631014237096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3.6737230936318102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17.694691938395401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5" s="5">
        <f>IF((DiscreteStatsTable[[#This Row],[RepsRequested]]&gt;1),DiscreteStatsTable[[#This Row],[HalfWidth]],DiscreteStatsTable[[#This Row],[BatchMeansHalfWidth]])</f>
        <v>0.21043887871942071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30</v>
      </c>
      <c r="Y745" s="5">
        <f>IF(DiscreteStatsTable[[#This Row],[RepsRequested]]=DiscreteStatsTable[[#This Row],[RepsWithStatObserved]],1,0)</f>
        <v>1</v>
      </c>
    </row>
    <row r="746" spans="1:25" x14ac:dyDescent="0.25">
      <c r="A746" t="s">
        <v>68</v>
      </c>
      <c r="B746" t="s">
        <v>70</v>
      </c>
      <c r="C746">
        <v>25</v>
      </c>
      <c r="D746" t="s">
        <v>95</v>
      </c>
      <c r="E746" t="s">
        <v>96</v>
      </c>
      <c r="F746" t="s">
        <v>97</v>
      </c>
      <c r="G746">
        <v>5.8991462347782901</v>
      </c>
      <c r="H746">
        <v>2E+20</v>
      </c>
      <c r="I746">
        <v>4.14619432782745</v>
      </c>
      <c r="J746">
        <v>11.804276302883901</v>
      </c>
      <c r="K746">
        <v>35</v>
      </c>
      <c r="L746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30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5.6791002251848095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4.5414842685188104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7.0605631014237096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3.6737230936318102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17.694691938395401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6" s="5">
        <f>IF((DiscreteStatsTable[[#This Row],[RepsRequested]]&gt;1),DiscreteStatsTable[[#This Row],[HalfWidth]],DiscreteStatsTable[[#This Row],[BatchMeansHalfWidth]])</f>
        <v>0.21043887871942071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30</v>
      </c>
      <c r="Y746" s="5">
        <f>IF(DiscreteStatsTable[[#This Row],[RepsRequested]]=DiscreteStatsTable[[#This Row],[RepsWithStatObserved]],1,0)</f>
        <v>1</v>
      </c>
    </row>
    <row r="747" spans="1:25" x14ac:dyDescent="0.25">
      <c r="A747" t="s">
        <v>68</v>
      </c>
      <c r="B747" t="s">
        <v>70</v>
      </c>
      <c r="C747">
        <v>26</v>
      </c>
      <c r="D747" t="s">
        <v>95</v>
      </c>
      <c r="E747" t="s">
        <v>96</v>
      </c>
      <c r="F747" t="s">
        <v>97</v>
      </c>
      <c r="G747">
        <v>6.5350297212214699</v>
      </c>
      <c r="H747">
        <v>2E+20</v>
      </c>
      <c r="I747">
        <v>3.8378643227556402</v>
      </c>
      <c r="J747">
        <v>11.7990397483852</v>
      </c>
      <c r="K747">
        <v>45</v>
      </c>
      <c r="L747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30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5.6791002251848095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4.5414842685188104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7.0605631014237096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3.6737230936318102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17.694691938395401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7" s="5">
        <f>IF((DiscreteStatsTable[[#This Row],[RepsRequested]]&gt;1),DiscreteStatsTable[[#This Row],[HalfWidth]],DiscreteStatsTable[[#This Row],[BatchMeansHalfWidth]])</f>
        <v>0.21043887871942071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30</v>
      </c>
      <c r="Y747" s="5">
        <f>IF(DiscreteStatsTable[[#This Row],[RepsRequested]]=DiscreteStatsTable[[#This Row],[RepsWithStatObserved]],1,0)</f>
        <v>1</v>
      </c>
    </row>
    <row r="748" spans="1:25" x14ac:dyDescent="0.25">
      <c r="A748" t="s">
        <v>68</v>
      </c>
      <c r="B748" t="s">
        <v>70</v>
      </c>
      <c r="C748">
        <v>27</v>
      </c>
      <c r="D748" t="s">
        <v>95</v>
      </c>
      <c r="E748" t="s">
        <v>96</v>
      </c>
      <c r="F748" t="s">
        <v>97</v>
      </c>
      <c r="G748">
        <v>6.0860339742083296</v>
      </c>
      <c r="H748">
        <v>2E+20</v>
      </c>
      <c r="I748">
        <v>3.9947345185198602</v>
      </c>
      <c r="J748">
        <v>15.254931763080601</v>
      </c>
      <c r="K748">
        <v>43</v>
      </c>
      <c r="L748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30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5.6791002251848095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4.5414842685188104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7.0605631014237096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3.6737230936318102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17.694691938395401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8" s="5">
        <f>IF((DiscreteStatsTable[[#This Row],[RepsRequested]]&gt;1),DiscreteStatsTable[[#This Row],[HalfWidth]],DiscreteStatsTable[[#This Row],[BatchMeansHalfWidth]])</f>
        <v>0.21043887871942071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30</v>
      </c>
      <c r="Y748" s="5">
        <f>IF(DiscreteStatsTable[[#This Row],[RepsRequested]]=DiscreteStatsTable[[#This Row],[RepsWithStatObserved]],1,0)</f>
        <v>1</v>
      </c>
    </row>
    <row r="749" spans="1:25" x14ac:dyDescent="0.25">
      <c r="A749" t="s">
        <v>68</v>
      </c>
      <c r="B749" t="s">
        <v>70</v>
      </c>
      <c r="C749">
        <v>28</v>
      </c>
      <c r="D749" t="s">
        <v>95</v>
      </c>
      <c r="E749" t="s">
        <v>96</v>
      </c>
      <c r="F749" t="s">
        <v>97</v>
      </c>
      <c r="G749">
        <v>5.5366392103216198</v>
      </c>
      <c r="H749">
        <v>2E+20</v>
      </c>
      <c r="I749">
        <v>3.9470249147768799</v>
      </c>
      <c r="J749">
        <v>9.5178010041786791</v>
      </c>
      <c r="K749">
        <v>39</v>
      </c>
      <c r="L749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30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5.6791002251848095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4.5414842685188104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7.0605631014237096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3.6737230936318102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17.694691938395401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49" s="5">
        <f>IF((DiscreteStatsTable[[#This Row],[RepsRequested]]&gt;1),DiscreteStatsTable[[#This Row],[HalfWidth]],DiscreteStatsTable[[#This Row],[BatchMeansHalfWidth]])</f>
        <v>0.21043887871942071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30</v>
      </c>
      <c r="Y749" s="5">
        <f>IF(DiscreteStatsTable[[#This Row],[RepsRequested]]=DiscreteStatsTable[[#This Row],[RepsWithStatObserved]],1,0)</f>
        <v>1</v>
      </c>
    </row>
    <row r="750" spans="1:25" x14ac:dyDescent="0.25">
      <c r="A750" t="s">
        <v>68</v>
      </c>
      <c r="B750" t="s">
        <v>70</v>
      </c>
      <c r="C750">
        <v>29</v>
      </c>
      <c r="D750" t="s">
        <v>95</v>
      </c>
      <c r="E750" t="s">
        <v>96</v>
      </c>
      <c r="F750" t="s">
        <v>97</v>
      </c>
      <c r="G750">
        <v>6.2439564787786397</v>
      </c>
      <c r="H750">
        <v>2E+20</v>
      </c>
      <c r="I750">
        <v>3.8142829116111399</v>
      </c>
      <c r="J750">
        <v>11.116060141194</v>
      </c>
      <c r="K750">
        <v>47</v>
      </c>
      <c r="L750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30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5.6791002251848095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4.5414842685188104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7.0605631014237096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3.6737230936318102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17.694691938395401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50" s="5">
        <f>IF((DiscreteStatsTable[[#This Row],[RepsRequested]]&gt;1),DiscreteStatsTable[[#This Row],[HalfWidth]],DiscreteStatsTable[[#This Row],[BatchMeansHalfWidth]])</f>
        <v>0.21043887871942071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30</v>
      </c>
      <c r="Y750" s="5">
        <f>IF(DiscreteStatsTable[[#This Row],[RepsRequested]]=DiscreteStatsTable[[#This Row],[RepsWithStatObserved]],1,0)</f>
        <v>1</v>
      </c>
    </row>
    <row r="751" spans="1:25" x14ac:dyDescent="0.25">
      <c r="A751" t="s">
        <v>68</v>
      </c>
      <c r="B751" t="s">
        <v>70</v>
      </c>
      <c r="C751">
        <v>30</v>
      </c>
      <c r="D751" t="s">
        <v>95</v>
      </c>
      <c r="E751" t="s">
        <v>96</v>
      </c>
      <c r="F751" t="s">
        <v>97</v>
      </c>
      <c r="G751">
        <v>5.5956741739334301</v>
      </c>
      <c r="H751">
        <v>2E+20</v>
      </c>
      <c r="I751">
        <v>3.6737230936318102</v>
      </c>
      <c r="J751">
        <v>13.054040763509001</v>
      </c>
      <c r="K751">
        <v>35</v>
      </c>
      <c r="L751" s="5" t="str">
        <f>DiscreteStatsTable[[#This Row],[ProjectName]]&amp;DiscreteStatsTable[[#This Row],[Name]]&amp;DiscreteStatsTable[[#This Row],[Type]]&amp;DiscreteStatsTable[[#This Row],[Source]]</f>
        <v>Pedido CleintesTiempoSistemaIntervalUser Specified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30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5.6791002251848095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0.56356566752342163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0.21043887871942071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4.5414842685188104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7.0605631014237096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3.6737230936318102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17.694691938395401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38.866666666666667</v>
      </c>
      <c r="W751" s="5">
        <f>IF((DiscreteStatsTable[[#This Row],[RepsRequested]]&gt;1),DiscreteStatsTable[[#This Row],[HalfWidth]],DiscreteStatsTable[[#This Row],[BatchMeansHalfWidth]])</f>
        <v>0.21043887871942071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30</v>
      </c>
      <c r="Y751" s="5">
        <f>IF(DiscreteStatsTable[[#This Row],[RepsRequested]]=DiscreteStatsTable[[#This Row],[RepsWithStatObserved]],1,0)</f>
        <v>1</v>
      </c>
    </row>
  </sheetData>
  <phoneticPr fontId="2" type="noConversion"/>
  <conditionalFormatting sqref="H2:H751 Q2:Q751">
    <cfRule type="expression" dxfId="20" priority="23">
      <formula>H2=200000000000000000000</formula>
    </cfRule>
  </conditionalFormatting>
  <conditionalFormatting sqref="H2:H751">
    <cfRule type="expression" dxfId="19" priority="21">
      <formula>H2=300000000000000000000</formula>
    </cfRule>
  </conditionalFormatting>
  <conditionalFormatting sqref="L2:Y751">
    <cfRule type="expression" dxfId="18" priority="19">
      <formula>MOD(ROW(),2)=0</formula>
    </cfRule>
  </conditionalFormatting>
  <conditionalFormatting sqref="Y2:Y751">
    <cfRule type="expression" dxfId="17" priority="14">
      <formula>Y2=0</formula>
    </cfRule>
    <cfRule type="expression" dxfId="16" priority="16">
      <formula>Y2=1</formula>
    </cfRule>
  </conditionalFormatting>
  <conditionalFormatting sqref="Y3:Y751">
    <cfRule type="expression" dxfId="15" priority="15">
      <formula>Y3=1</formula>
    </cfRule>
  </conditionalFormatting>
  <conditionalFormatting sqref="W2:W75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751 W2:W75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81"/>
  <sheetViews>
    <sheetView workbookViewId="0">
      <selection activeCell="A2" sqref="A2:L11"/>
    </sheetView>
  </sheetViews>
  <sheetFormatPr defaultRowHeight="15" x14ac:dyDescent="0.25"/>
  <cols>
    <col min="1" max="1" width="15.140625" bestFit="1" customWidth="1"/>
    <col min="2" max="2" width="22.28515625" bestFit="1" customWidth="1"/>
    <col min="3" max="3" width="13.28515625" bestFit="1" customWidth="1"/>
    <col min="4" max="4" width="26.71093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71</v>
      </c>
      <c r="E2" t="s">
        <v>98</v>
      </c>
      <c r="F2" t="s">
        <v>73</v>
      </c>
      <c r="G2">
        <v>1.02094278585578</v>
      </c>
      <c r="H2">
        <v>2E+20</v>
      </c>
      <c r="I2">
        <v>0</v>
      </c>
      <c r="J2">
        <v>6</v>
      </c>
      <c r="K2">
        <v>6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1.02094278585578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2.4343835485437801</v>
      </c>
      <c r="U2">
        <f>IF((ContinuousStatsTable[[#This Row],[RepsRequested]]&gt;1),ContinuousStatsTable[[#This Row],[HalfWidth]],ContinuousStatsTable[[#This Row],[BatchMeansHalfWidth]])</f>
        <v>0.1474422221508549</v>
      </c>
    </row>
    <row r="3" spans="1:21" x14ac:dyDescent="0.25">
      <c r="A3" t="s">
        <v>68</v>
      </c>
      <c r="B3" t="s">
        <v>70</v>
      </c>
      <c r="C3">
        <v>1</v>
      </c>
      <c r="D3" t="s">
        <v>84</v>
      </c>
      <c r="E3" t="s">
        <v>99</v>
      </c>
      <c r="F3" t="s">
        <v>86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25">
      <c r="A4" t="s">
        <v>68</v>
      </c>
      <c r="B4" t="s">
        <v>70</v>
      </c>
      <c r="C4">
        <v>1</v>
      </c>
      <c r="D4" t="s">
        <v>87</v>
      </c>
      <c r="E4" t="s">
        <v>99</v>
      </c>
      <c r="F4" t="s">
        <v>86</v>
      </c>
      <c r="G4">
        <v>0.273073251721628</v>
      </c>
      <c r="H4">
        <v>2E+20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0.273073251721628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0.67472724368415504</v>
      </c>
      <c r="U4">
        <f>IF((ContinuousStatsTable[[#This Row],[RepsRequested]]&gt;1),ContinuousStatsTable[[#This Row],[HalfWidth]],ContinuousStatsTable[[#This Row],[BatchMeansHalfWidth]])</f>
        <v>4.3177361368283713E-2</v>
      </c>
    </row>
    <row r="5" spans="1:21" x14ac:dyDescent="0.25">
      <c r="A5" t="s">
        <v>68</v>
      </c>
      <c r="B5" t="s">
        <v>70</v>
      </c>
      <c r="C5">
        <v>1</v>
      </c>
      <c r="D5" t="s">
        <v>88</v>
      </c>
      <c r="E5" t="s">
        <v>99</v>
      </c>
      <c r="F5" t="s">
        <v>86</v>
      </c>
      <c r="G5">
        <v>0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1.55056745953175E-4</v>
      </c>
      <c r="U5">
        <f>IF((ContinuousStatsTable[[#This Row],[RepsRequested]]&gt;1),ContinuousStatsTable[[#This Row],[HalfWidth]],ContinuousStatsTable[[#This Row],[BatchMeansHalfWidth]])</f>
        <v>1.0570888434535787E-5</v>
      </c>
    </row>
    <row r="6" spans="1:21" x14ac:dyDescent="0.25">
      <c r="A6" t="s">
        <v>68</v>
      </c>
      <c r="B6" t="s">
        <v>70</v>
      </c>
      <c r="C6">
        <v>1</v>
      </c>
      <c r="D6" t="s">
        <v>90</v>
      </c>
      <c r="E6" t="s">
        <v>99</v>
      </c>
      <c r="F6" t="s">
        <v>86</v>
      </c>
      <c r="G6">
        <v>6.2595685628368701E-3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7.8516062990880695E-2</v>
      </c>
      <c r="U6">
        <f>IF((ContinuousStatsTable[[#This Row],[RepsRequested]]&gt;1),ContinuousStatsTable[[#This Row],[HalfWidth]],ContinuousStatsTable[[#This Row],[BatchMeansHalfWidth]])</f>
        <v>7.7862990748262884E-3</v>
      </c>
    </row>
    <row r="7" spans="1:21" x14ac:dyDescent="0.25">
      <c r="A7" t="s">
        <v>68</v>
      </c>
      <c r="B7" t="s">
        <v>70</v>
      </c>
      <c r="C7">
        <v>1</v>
      </c>
      <c r="D7" t="s">
        <v>92</v>
      </c>
      <c r="E7" t="s">
        <v>99</v>
      </c>
      <c r="F7" t="s">
        <v>86</v>
      </c>
      <c r="G7">
        <v>1.5486006618475601E-2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0.13654526635771</v>
      </c>
      <c r="U7">
        <f>IF((ContinuousStatsTable[[#This Row],[RepsRequested]]&gt;1),ContinuousStatsTable[[#This Row],[HalfWidth]],ContinuousStatsTable[[#This Row],[BatchMeansHalfWidth]])</f>
        <v>1.2216139820952973E-2</v>
      </c>
    </row>
    <row r="8" spans="1:21" x14ac:dyDescent="0.25">
      <c r="A8" t="s">
        <v>68</v>
      </c>
      <c r="B8" t="s">
        <v>70</v>
      </c>
      <c r="C8">
        <v>1</v>
      </c>
      <c r="D8" t="s">
        <v>94</v>
      </c>
      <c r="E8" t="s">
        <v>99</v>
      </c>
      <c r="F8" t="s">
        <v>86</v>
      </c>
      <c r="G8">
        <v>5.7338521052894199E-2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9.0453284135870501E-3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0.39547622058287801</v>
      </c>
      <c r="U8">
        <f>IF((ContinuousStatsTable[[#This Row],[RepsRequested]]&gt;1),ContinuousStatsTable[[#This Row],[HalfWidth]],ContinuousStatsTable[[#This Row],[BatchMeansHalfWidth]])</f>
        <v>3.5836113017914922E-2</v>
      </c>
    </row>
    <row r="9" spans="1:21" x14ac:dyDescent="0.25">
      <c r="A9" t="s">
        <v>68</v>
      </c>
      <c r="B9" t="s">
        <v>70</v>
      </c>
      <c r="C9">
        <v>1</v>
      </c>
      <c r="D9" t="s">
        <v>100</v>
      </c>
      <c r="E9" t="s">
        <v>101</v>
      </c>
      <c r="F9" t="s">
        <v>102</v>
      </c>
      <c r="G9">
        <v>0.31277577999924699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0.31277577999924699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0.60626731984831705</v>
      </c>
      <c r="U9">
        <f>IF((ContinuousStatsTable[[#This Row],[RepsRequested]]&gt;1),ContinuousStatsTable[[#This Row],[HalfWidth]],ContinuousStatsTable[[#This Row],[BatchMeansHalfWidth]])</f>
        <v>2.7492927893383642E-2</v>
      </c>
    </row>
    <row r="10" spans="1:21" x14ac:dyDescent="0.25">
      <c r="A10" t="s">
        <v>68</v>
      </c>
      <c r="B10" t="s">
        <v>70</v>
      </c>
      <c r="C10">
        <v>1</v>
      </c>
      <c r="D10" t="s">
        <v>100</v>
      </c>
      <c r="E10" t="s">
        <v>103</v>
      </c>
      <c r="F10" t="s">
        <v>102</v>
      </c>
      <c r="G10">
        <v>0.31277577999924699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0.31277577999924699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0.60626731984831705</v>
      </c>
      <c r="U10">
        <f>IF((ContinuousStatsTable[[#This Row],[RepsRequested]]&gt;1),ContinuousStatsTable[[#This Row],[HalfWidth]],ContinuousStatsTable[[#This Row],[BatchMeansHalfWidth]])</f>
        <v>2.7492927893383642E-2</v>
      </c>
    </row>
    <row r="11" spans="1:21" x14ac:dyDescent="0.25">
      <c r="A11" t="s">
        <v>68</v>
      </c>
      <c r="B11" t="s">
        <v>70</v>
      </c>
      <c r="C11">
        <v>1</v>
      </c>
      <c r="D11" t="s">
        <v>100</v>
      </c>
      <c r="E11" t="s">
        <v>104</v>
      </c>
      <c r="F11" t="s">
        <v>102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25">
      <c r="A12" t="s">
        <v>68</v>
      </c>
      <c r="B12" t="s">
        <v>70</v>
      </c>
      <c r="C12">
        <v>1</v>
      </c>
      <c r="D12" t="s">
        <v>105</v>
      </c>
      <c r="E12" t="s">
        <v>101</v>
      </c>
      <c r="F12" t="s">
        <v>102</v>
      </c>
      <c r="G12">
        <v>0.194735973294278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0.194735973294278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0.35775345817659199</v>
      </c>
      <c r="U12" s="5">
        <f>IF((ContinuousStatsTable[[#This Row],[RepsRequested]]&gt;1),ContinuousStatsTable[[#This Row],[HalfWidth]],ContinuousStatsTable[[#This Row],[BatchMeansHalfWidth]])</f>
        <v>1.6709279991037516E-2</v>
      </c>
    </row>
    <row r="13" spans="1:21" x14ac:dyDescent="0.25">
      <c r="A13" t="s">
        <v>68</v>
      </c>
      <c r="B13" t="s">
        <v>70</v>
      </c>
      <c r="C13">
        <v>1</v>
      </c>
      <c r="D13" t="s">
        <v>105</v>
      </c>
      <c r="E13" t="s">
        <v>103</v>
      </c>
      <c r="F13" t="s">
        <v>102</v>
      </c>
      <c r="G13">
        <v>0.194735973294278</v>
      </c>
      <c r="H13">
        <v>2E+20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0.194735973294278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0.35775345817659199</v>
      </c>
      <c r="U13" s="5">
        <f>IF((ContinuousStatsTable[[#This Row],[RepsRequested]]&gt;1),ContinuousStatsTable[[#This Row],[HalfWidth]],ContinuousStatsTable[[#This Row],[BatchMeansHalfWidth]])</f>
        <v>1.6709279991037516E-2</v>
      </c>
    </row>
    <row r="14" spans="1:21" x14ac:dyDescent="0.25">
      <c r="A14" t="s">
        <v>68</v>
      </c>
      <c r="B14" t="s">
        <v>70</v>
      </c>
      <c r="C14">
        <v>1</v>
      </c>
      <c r="D14" t="s">
        <v>105</v>
      </c>
      <c r="E14" t="s">
        <v>104</v>
      </c>
      <c r="F14" t="s">
        <v>102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0</v>
      </c>
    </row>
    <row r="15" spans="1:21" x14ac:dyDescent="0.25">
      <c r="A15" t="s">
        <v>68</v>
      </c>
      <c r="B15" t="s">
        <v>70</v>
      </c>
      <c r="C15">
        <v>1</v>
      </c>
      <c r="D15" t="s">
        <v>106</v>
      </c>
      <c r="E15" t="s">
        <v>101</v>
      </c>
      <c r="F15" t="s">
        <v>102</v>
      </c>
      <c r="G15">
        <v>5.3757894868807901E-2</v>
      </c>
      <c r="H15">
        <v>2E+20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5.3757894868807901E-2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0.103175045984152</v>
      </c>
      <c r="U15" s="5">
        <f>IF((ContinuousStatsTable[[#This Row],[RepsRequested]]&gt;1),ContinuousStatsTable[[#This Row],[HalfWidth]],ContinuousStatsTable[[#This Row],[BatchMeansHalfWidth]])</f>
        <v>4.9031825474871024E-3</v>
      </c>
    </row>
    <row r="16" spans="1:21" x14ac:dyDescent="0.25">
      <c r="A16" t="s">
        <v>68</v>
      </c>
      <c r="B16" t="s">
        <v>70</v>
      </c>
      <c r="C16">
        <v>1</v>
      </c>
      <c r="D16" t="s">
        <v>106</v>
      </c>
      <c r="E16" t="s">
        <v>103</v>
      </c>
      <c r="F16" t="s">
        <v>102</v>
      </c>
      <c r="G16">
        <v>5.3757894868807901E-2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5.3757894868807901E-2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0.103175045984152</v>
      </c>
      <c r="U16" s="5">
        <f>IF((ContinuousStatsTable[[#This Row],[RepsRequested]]&gt;1),ContinuousStatsTable[[#This Row],[HalfWidth]],ContinuousStatsTable[[#This Row],[BatchMeansHalfWidth]])</f>
        <v>4.9031825474871024E-3</v>
      </c>
    </row>
    <row r="17" spans="1:21" x14ac:dyDescent="0.25">
      <c r="A17" t="s">
        <v>68</v>
      </c>
      <c r="B17" t="s">
        <v>70</v>
      </c>
      <c r="C17">
        <v>1</v>
      </c>
      <c r="D17" t="s">
        <v>106</v>
      </c>
      <c r="E17" t="s">
        <v>104</v>
      </c>
      <c r="F17" t="s">
        <v>102</v>
      </c>
      <c r="G17">
        <v>1</v>
      </c>
      <c r="H17">
        <v>2E+20</v>
      </c>
      <c r="I17">
        <v>1</v>
      </c>
      <c r="J17">
        <v>1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1</v>
      </c>
      <c r="U17" s="5">
        <f>IF((ContinuousStatsTable[[#This Row],[RepsRequested]]&gt;1),ContinuousStatsTable[[#This Row],[HalfWidth]],ContinuousStatsTable[[#This Row],[BatchMeansHalfWidth]])</f>
        <v>0</v>
      </c>
    </row>
    <row r="18" spans="1:21" x14ac:dyDescent="0.25">
      <c r="A18" t="s">
        <v>68</v>
      </c>
      <c r="B18" t="s">
        <v>70</v>
      </c>
      <c r="C18">
        <v>2</v>
      </c>
      <c r="D18" t="s">
        <v>71</v>
      </c>
      <c r="E18" t="s">
        <v>98</v>
      </c>
      <c r="F18" t="s">
        <v>73</v>
      </c>
      <c r="G18">
        <v>1.72550122298557</v>
      </c>
      <c r="H18">
        <v>2E+20</v>
      </c>
      <c r="I18">
        <v>0</v>
      </c>
      <c r="J18">
        <v>7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1.02094278585578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2.4343835485437801</v>
      </c>
      <c r="U18" s="5">
        <f>IF((ContinuousStatsTable[[#This Row],[RepsRequested]]&gt;1),ContinuousStatsTable[[#This Row],[HalfWidth]],ContinuousStatsTable[[#This Row],[BatchMeansHalfWidth]])</f>
        <v>0.1474422221508549</v>
      </c>
    </row>
    <row r="19" spans="1:21" x14ac:dyDescent="0.25">
      <c r="A19" t="s">
        <v>68</v>
      </c>
      <c r="B19" t="s">
        <v>70</v>
      </c>
      <c r="C19">
        <v>2</v>
      </c>
      <c r="D19" t="s">
        <v>84</v>
      </c>
      <c r="E19" t="s">
        <v>99</v>
      </c>
      <c r="F19" t="s">
        <v>86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68</v>
      </c>
      <c r="B20" t="s">
        <v>70</v>
      </c>
      <c r="C20">
        <v>2</v>
      </c>
      <c r="D20" t="s">
        <v>87</v>
      </c>
      <c r="E20" t="s">
        <v>99</v>
      </c>
      <c r="F20" t="s">
        <v>86</v>
      </c>
      <c r="G20">
        <v>0.46776963373645603</v>
      </c>
      <c r="H20">
        <v>2E+20</v>
      </c>
      <c r="I20">
        <v>0</v>
      </c>
      <c r="J20">
        <v>2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0.273073251721628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0.67472724368415504</v>
      </c>
      <c r="U20" s="5">
        <f>IF((ContinuousStatsTable[[#This Row],[RepsRequested]]&gt;1),ContinuousStatsTable[[#This Row],[HalfWidth]],ContinuousStatsTable[[#This Row],[BatchMeansHalfWidth]])</f>
        <v>4.3177361368283713E-2</v>
      </c>
    </row>
    <row r="21" spans="1:21" x14ac:dyDescent="0.25">
      <c r="A21" t="s">
        <v>68</v>
      </c>
      <c r="B21" t="s">
        <v>70</v>
      </c>
      <c r="C21">
        <v>2</v>
      </c>
      <c r="D21" t="s">
        <v>88</v>
      </c>
      <c r="E21" t="s">
        <v>99</v>
      </c>
      <c r="F21" t="s">
        <v>86</v>
      </c>
      <c r="G21">
        <v>0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1.55056745953175E-4</v>
      </c>
      <c r="U21" s="5">
        <f>IF((ContinuousStatsTable[[#This Row],[RepsRequested]]&gt;1),ContinuousStatsTable[[#This Row],[HalfWidth]],ContinuousStatsTable[[#This Row],[BatchMeansHalfWidth]])</f>
        <v>1.0570888434535787E-5</v>
      </c>
    </row>
    <row r="22" spans="1:21" x14ac:dyDescent="0.25">
      <c r="A22" t="s">
        <v>68</v>
      </c>
      <c r="B22" t="s">
        <v>70</v>
      </c>
      <c r="C22">
        <v>2</v>
      </c>
      <c r="D22" t="s">
        <v>90</v>
      </c>
      <c r="E22" t="s">
        <v>99</v>
      </c>
      <c r="F22" t="s">
        <v>86</v>
      </c>
      <c r="G22">
        <v>1.9758616667698899E-2</v>
      </c>
      <c r="H22">
        <v>2E+20</v>
      </c>
      <c r="I22">
        <v>0</v>
      </c>
      <c r="J22">
        <v>1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7.8516062990880695E-2</v>
      </c>
      <c r="U22" s="5">
        <f>IF((ContinuousStatsTable[[#This Row],[RepsRequested]]&gt;1),ContinuousStatsTable[[#This Row],[HalfWidth]],ContinuousStatsTable[[#This Row],[BatchMeansHalfWidth]])</f>
        <v>7.7862990748262884E-3</v>
      </c>
    </row>
    <row r="23" spans="1:21" x14ac:dyDescent="0.25">
      <c r="A23" t="s">
        <v>68</v>
      </c>
      <c r="B23" t="s">
        <v>70</v>
      </c>
      <c r="C23">
        <v>2</v>
      </c>
      <c r="D23" t="s">
        <v>92</v>
      </c>
      <c r="E23" t="s">
        <v>99</v>
      </c>
      <c r="F23" t="s">
        <v>86</v>
      </c>
      <c r="G23">
        <v>3.9870658160600203E-2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0.13654526635771</v>
      </c>
      <c r="U23" s="5">
        <f>IF((ContinuousStatsTable[[#This Row],[RepsRequested]]&gt;1),ContinuousStatsTable[[#This Row],[HalfWidth]],ContinuousStatsTable[[#This Row],[BatchMeansHalfWidth]])</f>
        <v>1.2216139820952973E-2</v>
      </c>
    </row>
    <row r="24" spans="1:21" x14ac:dyDescent="0.25">
      <c r="A24" t="s">
        <v>68</v>
      </c>
      <c r="B24" t="s">
        <v>70</v>
      </c>
      <c r="C24">
        <v>2</v>
      </c>
      <c r="D24" t="s">
        <v>94</v>
      </c>
      <c r="E24" t="s">
        <v>99</v>
      </c>
      <c r="F24" t="s">
        <v>86</v>
      </c>
      <c r="G24">
        <v>0.12601778614516301</v>
      </c>
      <c r="H24">
        <v>2E+20</v>
      </c>
      <c r="I24">
        <v>0</v>
      </c>
      <c r="J24">
        <v>2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9.0453284135870501E-3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0.39547622058287801</v>
      </c>
      <c r="U24" s="5">
        <f>IF((ContinuousStatsTable[[#This Row],[RepsRequested]]&gt;1),ContinuousStatsTable[[#This Row],[HalfWidth]],ContinuousStatsTable[[#This Row],[BatchMeansHalfWidth]])</f>
        <v>3.5836113017914922E-2</v>
      </c>
    </row>
    <row r="25" spans="1:21" x14ac:dyDescent="0.25">
      <c r="A25" t="s">
        <v>68</v>
      </c>
      <c r="B25" t="s">
        <v>70</v>
      </c>
      <c r="C25">
        <v>2</v>
      </c>
      <c r="D25" t="s">
        <v>100</v>
      </c>
      <c r="E25" t="s">
        <v>101</v>
      </c>
      <c r="F25" t="s">
        <v>102</v>
      </c>
      <c r="G25">
        <v>0.50796249303132301</v>
      </c>
      <c r="H25">
        <v>2E+20</v>
      </c>
      <c r="I25">
        <v>0</v>
      </c>
      <c r="J25">
        <v>1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0.31277577999924699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0.60626731984831705</v>
      </c>
      <c r="U25" s="5">
        <f>IF((ContinuousStatsTable[[#This Row],[RepsRequested]]&gt;1),ContinuousStatsTable[[#This Row],[HalfWidth]],ContinuousStatsTable[[#This Row],[BatchMeansHalfWidth]])</f>
        <v>2.7492927893383642E-2</v>
      </c>
    </row>
    <row r="26" spans="1:21" x14ac:dyDescent="0.25">
      <c r="A26" t="s">
        <v>68</v>
      </c>
      <c r="B26" t="s">
        <v>70</v>
      </c>
      <c r="C26">
        <v>2</v>
      </c>
      <c r="D26" t="s">
        <v>100</v>
      </c>
      <c r="E26" t="s">
        <v>103</v>
      </c>
      <c r="F26" t="s">
        <v>102</v>
      </c>
      <c r="G26">
        <v>0.50796249303132301</v>
      </c>
      <c r="H26">
        <v>2E+20</v>
      </c>
      <c r="I26">
        <v>0</v>
      </c>
      <c r="J26">
        <v>1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0.31277577999924699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0.60626731984831705</v>
      </c>
      <c r="U26" s="5">
        <f>IF((ContinuousStatsTable[[#This Row],[RepsRequested]]&gt;1),ContinuousStatsTable[[#This Row],[HalfWidth]],ContinuousStatsTable[[#This Row],[BatchMeansHalfWidth]])</f>
        <v>2.7492927893383642E-2</v>
      </c>
    </row>
    <row r="27" spans="1:21" x14ac:dyDescent="0.25">
      <c r="A27" t="s">
        <v>68</v>
      </c>
      <c r="B27" t="s">
        <v>70</v>
      </c>
      <c r="C27">
        <v>2</v>
      </c>
      <c r="D27" t="s">
        <v>100</v>
      </c>
      <c r="E27" t="s">
        <v>104</v>
      </c>
      <c r="F27" t="s">
        <v>102</v>
      </c>
      <c r="G27">
        <v>1</v>
      </c>
      <c r="H27">
        <v>2E+20</v>
      </c>
      <c r="I27">
        <v>1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1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68</v>
      </c>
      <c r="B28" t="s">
        <v>70</v>
      </c>
      <c r="C28">
        <v>2</v>
      </c>
      <c r="D28" t="s">
        <v>105</v>
      </c>
      <c r="E28" t="s">
        <v>101</v>
      </c>
      <c r="F28" t="s">
        <v>102</v>
      </c>
      <c r="G28">
        <v>0.30371621757641198</v>
      </c>
      <c r="H28">
        <v>2E+20</v>
      </c>
      <c r="I28">
        <v>0</v>
      </c>
      <c r="J28">
        <v>1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0.194735973294278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0.35775345817659199</v>
      </c>
      <c r="U28" s="5">
        <f>IF((ContinuousStatsTable[[#This Row],[RepsRequested]]&gt;1),ContinuousStatsTable[[#This Row],[HalfWidth]],ContinuousStatsTable[[#This Row],[BatchMeansHalfWidth]])</f>
        <v>1.6709279991037516E-2</v>
      </c>
    </row>
    <row r="29" spans="1:21" x14ac:dyDescent="0.25">
      <c r="A29" t="s">
        <v>68</v>
      </c>
      <c r="B29" t="s">
        <v>70</v>
      </c>
      <c r="C29">
        <v>2</v>
      </c>
      <c r="D29" t="s">
        <v>105</v>
      </c>
      <c r="E29" t="s">
        <v>103</v>
      </c>
      <c r="F29" t="s">
        <v>102</v>
      </c>
      <c r="G29">
        <v>0.30371621757641198</v>
      </c>
      <c r="H29">
        <v>2E+20</v>
      </c>
      <c r="I29">
        <v>0</v>
      </c>
      <c r="J29">
        <v>1</v>
      </c>
      <c r="K29">
        <v>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0.194735973294278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0.35775345817659199</v>
      </c>
      <c r="U29" s="5">
        <f>IF((ContinuousStatsTable[[#This Row],[RepsRequested]]&gt;1),ContinuousStatsTable[[#This Row],[HalfWidth]],ContinuousStatsTable[[#This Row],[BatchMeansHalfWidth]])</f>
        <v>1.6709279991037516E-2</v>
      </c>
    </row>
    <row r="30" spans="1:21" x14ac:dyDescent="0.25">
      <c r="A30" t="s">
        <v>68</v>
      </c>
      <c r="B30" t="s">
        <v>70</v>
      </c>
      <c r="C30">
        <v>2</v>
      </c>
      <c r="D30" t="s">
        <v>105</v>
      </c>
      <c r="E30" t="s">
        <v>104</v>
      </c>
      <c r="F30" t="s">
        <v>102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25">
      <c r="A31" t="s">
        <v>68</v>
      </c>
      <c r="B31" t="s">
        <v>70</v>
      </c>
      <c r="C31">
        <v>2</v>
      </c>
      <c r="D31" t="s">
        <v>106</v>
      </c>
      <c r="E31" t="s">
        <v>101</v>
      </c>
      <c r="F31" t="s">
        <v>102</v>
      </c>
      <c r="G31">
        <v>8.6801939222638902E-2</v>
      </c>
      <c r="H31">
        <v>2E+20</v>
      </c>
      <c r="I31">
        <v>0</v>
      </c>
      <c r="J31">
        <v>1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5.3757894868807901E-2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0.103175045984152</v>
      </c>
      <c r="U31" s="5">
        <f>IF((ContinuousStatsTable[[#This Row],[RepsRequested]]&gt;1),ContinuousStatsTable[[#This Row],[HalfWidth]],ContinuousStatsTable[[#This Row],[BatchMeansHalfWidth]])</f>
        <v>4.9031825474871024E-3</v>
      </c>
    </row>
    <row r="32" spans="1:21" x14ac:dyDescent="0.25">
      <c r="A32" t="s">
        <v>68</v>
      </c>
      <c r="B32" t="s">
        <v>70</v>
      </c>
      <c r="C32">
        <v>2</v>
      </c>
      <c r="D32" t="s">
        <v>106</v>
      </c>
      <c r="E32" t="s">
        <v>103</v>
      </c>
      <c r="F32" t="s">
        <v>102</v>
      </c>
      <c r="G32">
        <v>8.6801939222638902E-2</v>
      </c>
      <c r="H32">
        <v>2E+20</v>
      </c>
      <c r="I32">
        <v>0</v>
      </c>
      <c r="J32">
        <v>1</v>
      </c>
      <c r="K32">
        <v>0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5.3757894868807901E-2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0.103175045984152</v>
      </c>
      <c r="U32" s="5">
        <f>IF((ContinuousStatsTable[[#This Row],[RepsRequested]]&gt;1),ContinuousStatsTable[[#This Row],[HalfWidth]],ContinuousStatsTable[[#This Row],[BatchMeansHalfWidth]])</f>
        <v>4.9031825474871024E-3</v>
      </c>
    </row>
    <row r="33" spans="1:21" x14ac:dyDescent="0.25">
      <c r="A33" t="s">
        <v>68</v>
      </c>
      <c r="B33" t="s">
        <v>70</v>
      </c>
      <c r="C33">
        <v>2</v>
      </c>
      <c r="D33" t="s">
        <v>106</v>
      </c>
      <c r="E33" t="s">
        <v>104</v>
      </c>
      <c r="F33" t="s">
        <v>102</v>
      </c>
      <c r="G33">
        <v>1</v>
      </c>
      <c r="H33">
        <v>2E+20</v>
      </c>
      <c r="I33">
        <v>1</v>
      </c>
      <c r="J33">
        <v>1</v>
      </c>
      <c r="K33">
        <v>1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1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1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68</v>
      </c>
      <c r="B34" t="s">
        <v>70</v>
      </c>
      <c r="C34">
        <v>3</v>
      </c>
      <c r="D34" t="s">
        <v>71</v>
      </c>
      <c r="E34" t="s">
        <v>98</v>
      </c>
      <c r="F34" t="s">
        <v>73</v>
      </c>
      <c r="G34">
        <v>2.4036998442229098</v>
      </c>
      <c r="H34">
        <v>2E+20</v>
      </c>
      <c r="I34">
        <v>0</v>
      </c>
      <c r="J34">
        <v>11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1.02094278585578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2.4343835485437801</v>
      </c>
      <c r="U34" s="5">
        <f>IF((ContinuousStatsTable[[#This Row],[RepsRequested]]&gt;1),ContinuousStatsTable[[#This Row],[HalfWidth]],ContinuousStatsTable[[#This Row],[BatchMeansHalfWidth]])</f>
        <v>0.1474422221508549</v>
      </c>
    </row>
    <row r="35" spans="1:21" x14ac:dyDescent="0.25">
      <c r="A35" t="s">
        <v>68</v>
      </c>
      <c r="B35" t="s">
        <v>70</v>
      </c>
      <c r="C35">
        <v>3</v>
      </c>
      <c r="D35" t="s">
        <v>84</v>
      </c>
      <c r="E35" t="s">
        <v>99</v>
      </c>
      <c r="F35" t="s">
        <v>86</v>
      </c>
      <c r="G35">
        <v>0</v>
      </c>
      <c r="H35">
        <v>2E+20</v>
      </c>
      <c r="I35">
        <v>0</v>
      </c>
      <c r="J35">
        <v>0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25">
      <c r="A36" t="s">
        <v>68</v>
      </c>
      <c r="B36" t="s">
        <v>70</v>
      </c>
      <c r="C36">
        <v>3</v>
      </c>
      <c r="D36" t="s">
        <v>87</v>
      </c>
      <c r="E36" t="s">
        <v>99</v>
      </c>
      <c r="F36" t="s">
        <v>86</v>
      </c>
      <c r="G36">
        <v>0.63853995267784402</v>
      </c>
      <c r="H36">
        <v>2E+20</v>
      </c>
      <c r="I36">
        <v>0</v>
      </c>
      <c r="J36">
        <v>4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0.273073251721628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0.67472724368415504</v>
      </c>
      <c r="U36" s="5">
        <f>IF((ContinuousStatsTable[[#This Row],[RepsRequested]]&gt;1),ContinuousStatsTable[[#This Row],[HalfWidth]],ContinuousStatsTable[[#This Row],[BatchMeansHalfWidth]])</f>
        <v>4.3177361368283713E-2</v>
      </c>
    </row>
    <row r="37" spans="1:21" x14ac:dyDescent="0.25">
      <c r="A37" t="s">
        <v>68</v>
      </c>
      <c r="B37" t="s">
        <v>70</v>
      </c>
      <c r="C37">
        <v>3</v>
      </c>
      <c r="D37" t="s">
        <v>88</v>
      </c>
      <c r="E37" t="s">
        <v>99</v>
      </c>
      <c r="F37" t="s">
        <v>86</v>
      </c>
      <c r="G37">
        <v>0</v>
      </c>
      <c r="H37">
        <v>2E+20</v>
      </c>
      <c r="I37">
        <v>0</v>
      </c>
      <c r="J37">
        <v>1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1.55056745953175E-4</v>
      </c>
      <c r="U37" s="5">
        <f>IF((ContinuousStatsTable[[#This Row],[RepsRequested]]&gt;1),ContinuousStatsTable[[#This Row],[HalfWidth]],ContinuousStatsTable[[#This Row],[BatchMeansHalfWidth]])</f>
        <v>1.0570888434535787E-5</v>
      </c>
    </row>
    <row r="38" spans="1:21" x14ac:dyDescent="0.25">
      <c r="A38" t="s">
        <v>68</v>
      </c>
      <c r="B38" t="s">
        <v>70</v>
      </c>
      <c r="C38">
        <v>3</v>
      </c>
      <c r="D38" t="s">
        <v>90</v>
      </c>
      <c r="E38" t="s">
        <v>99</v>
      </c>
      <c r="F38" t="s">
        <v>86</v>
      </c>
      <c r="G38">
        <v>7.8516062990880695E-2</v>
      </c>
      <c r="H38">
        <v>2E+20</v>
      </c>
      <c r="I38">
        <v>0</v>
      </c>
      <c r="J38">
        <v>2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7.8516062990880695E-2</v>
      </c>
      <c r="U38" s="5">
        <f>IF((ContinuousStatsTable[[#This Row],[RepsRequested]]&gt;1),ContinuousStatsTable[[#This Row],[HalfWidth]],ContinuousStatsTable[[#This Row],[BatchMeansHalfWidth]])</f>
        <v>7.7862990748262884E-3</v>
      </c>
    </row>
    <row r="39" spans="1:21" x14ac:dyDescent="0.25">
      <c r="A39" t="s">
        <v>68</v>
      </c>
      <c r="B39" t="s">
        <v>70</v>
      </c>
      <c r="C39">
        <v>3</v>
      </c>
      <c r="D39" t="s">
        <v>92</v>
      </c>
      <c r="E39" t="s">
        <v>99</v>
      </c>
      <c r="F39" t="s">
        <v>86</v>
      </c>
      <c r="G39">
        <v>0.12564891576197801</v>
      </c>
      <c r="H39">
        <v>2E+20</v>
      </c>
      <c r="I39">
        <v>0</v>
      </c>
      <c r="J39">
        <v>2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0.13654526635771</v>
      </c>
      <c r="U39" s="5">
        <f>IF((ContinuousStatsTable[[#This Row],[RepsRequested]]&gt;1),ContinuousStatsTable[[#This Row],[HalfWidth]],ContinuousStatsTable[[#This Row],[BatchMeansHalfWidth]])</f>
        <v>1.2216139820952973E-2</v>
      </c>
    </row>
    <row r="40" spans="1:21" x14ac:dyDescent="0.25">
      <c r="A40" t="s">
        <v>68</v>
      </c>
      <c r="B40" t="s">
        <v>70</v>
      </c>
      <c r="C40">
        <v>3</v>
      </c>
      <c r="D40" t="s">
        <v>94</v>
      </c>
      <c r="E40" t="s">
        <v>99</v>
      </c>
      <c r="F40" t="s">
        <v>86</v>
      </c>
      <c r="G40">
        <v>0.33183562942575501</v>
      </c>
      <c r="H40">
        <v>2E+20</v>
      </c>
      <c r="I40">
        <v>0</v>
      </c>
      <c r="J40">
        <v>4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9.0453284135870501E-3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0.39547622058287801</v>
      </c>
      <c r="U40" s="5">
        <f>IF((ContinuousStatsTable[[#This Row],[RepsRequested]]&gt;1),ContinuousStatsTable[[#This Row],[HalfWidth]],ContinuousStatsTable[[#This Row],[BatchMeansHalfWidth]])</f>
        <v>3.5836113017914922E-2</v>
      </c>
    </row>
    <row r="41" spans="1:21" x14ac:dyDescent="0.25">
      <c r="A41" t="s">
        <v>68</v>
      </c>
      <c r="B41" t="s">
        <v>70</v>
      </c>
      <c r="C41">
        <v>3</v>
      </c>
      <c r="D41" t="s">
        <v>100</v>
      </c>
      <c r="E41" t="s">
        <v>101</v>
      </c>
      <c r="F41" t="s">
        <v>102</v>
      </c>
      <c r="G41">
        <v>0.58512192596977297</v>
      </c>
      <c r="H41">
        <v>2E+20</v>
      </c>
      <c r="I41">
        <v>0</v>
      </c>
      <c r="J41">
        <v>1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0.31277577999924699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0.60626731984831705</v>
      </c>
      <c r="U41" s="5">
        <f>IF((ContinuousStatsTable[[#This Row],[RepsRequested]]&gt;1),ContinuousStatsTable[[#This Row],[HalfWidth]],ContinuousStatsTable[[#This Row],[BatchMeansHalfWidth]])</f>
        <v>2.7492927893383642E-2</v>
      </c>
    </row>
    <row r="42" spans="1:21" x14ac:dyDescent="0.25">
      <c r="A42" t="s">
        <v>68</v>
      </c>
      <c r="B42" t="s">
        <v>70</v>
      </c>
      <c r="C42">
        <v>3</v>
      </c>
      <c r="D42" t="s">
        <v>100</v>
      </c>
      <c r="E42" t="s">
        <v>103</v>
      </c>
      <c r="F42" t="s">
        <v>102</v>
      </c>
      <c r="G42">
        <v>0.58512192596977297</v>
      </c>
      <c r="H42">
        <v>2E+20</v>
      </c>
      <c r="I42">
        <v>0</v>
      </c>
      <c r="J42">
        <v>1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0.31277577999924699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0.60626731984831705</v>
      </c>
      <c r="U42" s="5">
        <f>IF((ContinuousStatsTable[[#This Row],[RepsRequested]]&gt;1),ContinuousStatsTable[[#This Row],[HalfWidth]],ContinuousStatsTable[[#This Row],[BatchMeansHalfWidth]])</f>
        <v>2.7492927893383642E-2</v>
      </c>
    </row>
    <row r="43" spans="1:21" x14ac:dyDescent="0.25">
      <c r="A43" t="s">
        <v>68</v>
      </c>
      <c r="B43" t="s">
        <v>70</v>
      </c>
      <c r="C43">
        <v>3</v>
      </c>
      <c r="D43" t="s">
        <v>100</v>
      </c>
      <c r="E43" t="s">
        <v>104</v>
      </c>
      <c r="F43" t="s">
        <v>102</v>
      </c>
      <c r="G43">
        <v>1</v>
      </c>
      <c r="H43">
        <v>2E+20</v>
      </c>
      <c r="I43">
        <v>1</v>
      </c>
      <c r="J43">
        <v>1</v>
      </c>
      <c r="K43">
        <v>1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1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1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1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 x14ac:dyDescent="0.25">
      <c r="A44" t="s">
        <v>68</v>
      </c>
      <c r="B44" t="s">
        <v>70</v>
      </c>
      <c r="C44">
        <v>3</v>
      </c>
      <c r="D44" t="s">
        <v>105</v>
      </c>
      <c r="E44" t="s">
        <v>101</v>
      </c>
      <c r="F44" t="s">
        <v>102</v>
      </c>
      <c r="G44">
        <v>0.34752558667060801</v>
      </c>
      <c r="H44">
        <v>2E+20</v>
      </c>
      <c r="I44">
        <v>0</v>
      </c>
      <c r="J44">
        <v>1</v>
      </c>
      <c r="K44">
        <v>0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0.194735973294278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0.35775345817659199</v>
      </c>
      <c r="U44" s="5">
        <f>IF((ContinuousStatsTable[[#This Row],[RepsRequested]]&gt;1),ContinuousStatsTable[[#This Row],[HalfWidth]],ContinuousStatsTable[[#This Row],[BatchMeansHalfWidth]])</f>
        <v>1.6709279991037516E-2</v>
      </c>
    </row>
    <row r="45" spans="1:21" x14ac:dyDescent="0.25">
      <c r="A45" t="s">
        <v>68</v>
      </c>
      <c r="B45" t="s">
        <v>70</v>
      </c>
      <c r="C45">
        <v>3</v>
      </c>
      <c r="D45" t="s">
        <v>105</v>
      </c>
      <c r="E45" t="s">
        <v>103</v>
      </c>
      <c r="F45" t="s">
        <v>102</v>
      </c>
      <c r="G45">
        <v>0.34752558667060801</v>
      </c>
      <c r="H45">
        <v>2E+20</v>
      </c>
      <c r="I45">
        <v>0</v>
      </c>
      <c r="J45">
        <v>1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0.194735973294278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0.35775345817659199</v>
      </c>
      <c r="U45" s="5">
        <f>IF((ContinuousStatsTable[[#This Row],[RepsRequested]]&gt;1),ContinuousStatsTable[[#This Row],[HalfWidth]],ContinuousStatsTable[[#This Row],[BatchMeansHalfWidth]])</f>
        <v>1.6709279991037516E-2</v>
      </c>
    </row>
    <row r="46" spans="1:21" x14ac:dyDescent="0.25">
      <c r="A46" t="s">
        <v>68</v>
      </c>
      <c r="B46" t="s">
        <v>70</v>
      </c>
      <c r="C46">
        <v>3</v>
      </c>
      <c r="D46" t="s">
        <v>105</v>
      </c>
      <c r="E46" t="s">
        <v>104</v>
      </c>
      <c r="F46" t="s">
        <v>102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68</v>
      </c>
      <c r="B47" t="s">
        <v>70</v>
      </c>
      <c r="C47">
        <v>3</v>
      </c>
      <c r="D47" t="s">
        <v>106</v>
      </c>
      <c r="E47" t="s">
        <v>101</v>
      </c>
      <c r="F47" t="s">
        <v>102</v>
      </c>
      <c r="G47">
        <v>9.8837256908690996E-2</v>
      </c>
      <c r="H47">
        <v>2E+20</v>
      </c>
      <c r="I47">
        <v>0</v>
      </c>
      <c r="J47">
        <v>1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5.3757894868807901E-2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0.103175045984152</v>
      </c>
      <c r="U47" s="5">
        <f>IF((ContinuousStatsTable[[#This Row],[RepsRequested]]&gt;1),ContinuousStatsTable[[#This Row],[HalfWidth]],ContinuousStatsTable[[#This Row],[BatchMeansHalfWidth]])</f>
        <v>4.9031825474871024E-3</v>
      </c>
    </row>
    <row r="48" spans="1:21" x14ac:dyDescent="0.25">
      <c r="A48" t="s">
        <v>68</v>
      </c>
      <c r="B48" t="s">
        <v>70</v>
      </c>
      <c r="C48">
        <v>3</v>
      </c>
      <c r="D48" t="s">
        <v>106</v>
      </c>
      <c r="E48" t="s">
        <v>103</v>
      </c>
      <c r="F48" t="s">
        <v>102</v>
      </c>
      <c r="G48">
        <v>9.8837256908690996E-2</v>
      </c>
      <c r="H48">
        <v>2E+20</v>
      </c>
      <c r="I48">
        <v>0</v>
      </c>
      <c r="J48">
        <v>1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5.3757894868807901E-2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0.103175045984152</v>
      </c>
      <c r="U48" s="5">
        <f>IF((ContinuousStatsTable[[#This Row],[RepsRequested]]&gt;1),ContinuousStatsTable[[#This Row],[HalfWidth]],ContinuousStatsTable[[#This Row],[BatchMeansHalfWidth]])</f>
        <v>4.9031825474871024E-3</v>
      </c>
    </row>
    <row r="49" spans="1:21" x14ac:dyDescent="0.25">
      <c r="A49" t="s">
        <v>68</v>
      </c>
      <c r="B49" t="s">
        <v>70</v>
      </c>
      <c r="C49">
        <v>3</v>
      </c>
      <c r="D49" t="s">
        <v>106</v>
      </c>
      <c r="E49" t="s">
        <v>104</v>
      </c>
      <c r="F49" t="s">
        <v>102</v>
      </c>
      <c r="G49">
        <v>1</v>
      </c>
      <c r="H49">
        <v>2E+20</v>
      </c>
      <c r="I49">
        <v>1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1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68</v>
      </c>
      <c r="B50" t="s">
        <v>70</v>
      </c>
      <c r="C50">
        <v>4</v>
      </c>
      <c r="D50" t="s">
        <v>71</v>
      </c>
      <c r="E50" t="s">
        <v>98</v>
      </c>
      <c r="F50" t="s">
        <v>73</v>
      </c>
      <c r="G50">
        <v>1.31891802401258</v>
      </c>
      <c r="H50">
        <v>2E+20</v>
      </c>
      <c r="I50">
        <v>0</v>
      </c>
      <c r="J50">
        <v>6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1.02094278585578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2.4343835485437801</v>
      </c>
      <c r="U50" s="5">
        <f>IF((ContinuousStatsTable[[#This Row],[RepsRequested]]&gt;1),ContinuousStatsTable[[#This Row],[HalfWidth]],ContinuousStatsTable[[#This Row],[BatchMeansHalfWidth]])</f>
        <v>0.1474422221508549</v>
      </c>
    </row>
    <row r="51" spans="1:21" x14ac:dyDescent="0.25">
      <c r="A51" t="s">
        <v>68</v>
      </c>
      <c r="B51" t="s">
        <v>70</v>
      </c>
      <c r="C51">
        <v>4</v>
      </c>
      <c r="D51" t="s">
        <v>84</v>
      </c>
      <c r="E51" t="s">
        <v>99</v>
      </c>
      <c r="F51" t="s">
        <v>86</v>
      </c>
      <c r="G51">
        <v>0</v>
      </c>
      <c r="H51">
        <v>2E+20</v>
      </c>
      <c r="I51">
        <v>0</v>
      </c>
      <c r="J51">
        <v>0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25">
      <c r="A52" t="s">
        <v>68</v>
      </c>
      <c r="B52" t="s">
        <v>70</v>
      </c>
      <c r="C52">
        <v>4</v>
      </c>
      <c r="D52" t="s">
        <v>87</v>
      </c>
      <c r="E52" t="s">
        <v>99</v>
      </c>
      <c r="F52" t="s">
        <v>86</v>
      </c>
      <c r="G52">
        <v>0.36366103845246001</v>
      </c>
      <c r="H52">
        <v>2E+20</v>
      </c>
      <c r="I52">
        <v>0</v>
      </c>
      <c r="J52">
        <v>2</v>
      </c>
      <c r="K52">
        <v>0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0.273073251721628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0.67472724368415504</v>
      </c>
      <c r="U52" s="5">
        <f>IF((ContinuousStatsTable[[#This Row],[RepsRequested]]&gt;1),ContinuousStatsTable[[#This Row],[HalfWidth]],ContinuousStatsTable[[#This Row],[BatchMeansHalfWidth]])</f>
        <v>4.3177361368283713E-2</v>
      </c>
    </row>
    <row r="53" spans="1:21" x14ac:dyDescent="0.25">
      <c r="A53" t="s">
        <v>68</v>
      </c>
      <c r="B53" t="s">
        <v>70</v>
      </c>
      <c r="C53">
        <v>4</v>
      </c>
      <c r="D53" t="s">
        <v>88</v>
      </c>
      <c r="E53" t="s">
        <v>99</v>
      </c>
      <c r="F53" t="s">
        <v>86</v>
      </c>
      <c r="G53">
        <v>0</v>
      </c>
      <c r="H53">
        <v>2E+20</v>
      </c>
      <c r="I53">
        <v>0</v>
      </c>
      <c r="J53">
        <v>1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1.55056745953175E-4</v>
      </c>
      <c r="U53" s="5">
        <f>IF((ContinuousStatsTable[[#This Row],[RepsRequested]]&gt;1),ContinuousStatsTable[[#This Row],[HalfWidth]],ContinuousStatsTable[[#This Row],[BatchMeansHalfWidth]])</f>
        <v>1.0570888434535787E-5</v>
      </c>
    </row>
    <row r="54" spans="1:21" x14ac:dyDescent="0.25">
      <c r="A54" t="s">
        <v>68</v>
      </c>
      <c r="B54" t="s">
        <v>70</v>
      </c>
      <c r="C54">
        <v>4</v>
      </c>
      <c r="D54" t="s">
        <v>90</v>
      </c>
      <c r="E54" t="s">
        <v>99</v>
      </c>
      <c r="F54" t="s">
        <v>86</v>
      </c>
      <c r="G54">
        <v>6.5156526342384198E-3</v>
      </c>
      <c r="H54">
        <v>2E+20</v>
      </c>
      <c r="I54">
        <v>0</v>
      </c>
      <c r="J54">
        <v>1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7.8516062990880695E-2</v>
      </c>
      <c r="U54" s="5">
        <f>IF((ContinuousStatsTable[[#This Row],[RepsRequested]]&gt;1),ContinuousStatsTable[[#This Row],[HalfWidth]],ContinuousStatsTable[[#This Row],[BatchMeansHalfWidth]])</f>
        <v>7.7862990748262884E-3</v>
      </c>
    </row>
    <row r="55" spans="1:21" x14ac:dyDescent="0.25">
      <c r="A55" t="s">
        <v>68</v>
      </c>
      <c r="B55" t="s">
        <v>70</v>
      </c>
      <c r="C55">
        <v>4</v>
      </c>
      <c r="D55" t="s">
        <v>92</v>
      </c>
      <c r="E55" t="s">
        <v>99</v>
      </c>
      <c r="F55" t="s">
        <v>86</v>
      </c>
      <c r="G55">
        <v>2.1209178306099901E-2</v>
      </c>
      <c r="H55">
        <v>2E+20</v>
      </c>
      <c r="I55">
        <v>0</v>
      </c>
      <c r="J55">
        <v>1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0.13654526635771</v>
      </c>
      <c r="U55" s="5">
        <f>IF((ContinuousStatsTable[[#This Row],[RepsRequested]]&gt;1),ContinuousStatsTable[[#This Row],[HalfWidth]],ContinuousStatsTable[[#This Row],[BatchMeansHalfWidth]])</f>
        <v>1.2216139820952973E-2</v>
      </c>
    </row>
    <row r="56" spans="1:21" x14ac:dyDescent="0.25">
      <c r="A56" t="s">
        <v>68</v>
      </c>
      <c r="B56" t="s">
        <v>70</v>
      </c>
      <c r="C56">
        <v>4</v>
      </c>
      <c r="D56" t="s">
        <v>94</v>
      </c>
      <c r="E56" t="s">
        <v>99</v>
      </c>
      <c r="F56" t="s">
        <v>86</v>
      </c>
      <c r="G56">
        <v>6.2476302353599099E-2</v>
      </c>
      <c r="H56">
        <v>2E+20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9.0453284135870501E-3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0.39547622058287801</v>
      </c>
      <c r="U56" s="5">
        <f>IF((ContinuousStatsTable[[#This Row],[RepsRequested]]&gt;1),ContinuousStatsTable[[#This Row],[HalfWidth]],ContinuousStatsTable[[#This Row],[BatchMeansHalfWidth]])</f>
        <v>3.5836113017914922E-2</v>
      </c>
    </row>
    <row r="57" spans="1:21" x14ac:dyDescent="0.25">
      <c r="A57" t="s">
        <v>68</v>
      </c>
      <c r="B57" t="s">
        <v>70</v>
      </c>
      <c r="C57">
        <v>4</v>
      </c>
      <c r="D57" t="s">
        <v>100</v>
      </c>
      <c r="E57" t="s">
        <v>101</v>
      </c>
      <c r="F57" t="s">
        <v>102</v>
      </c>
      <c r="G57">
        <v>0.41795720161048699</v>
      </c>
      <c r="H57">
        <v>2E+20</v>
      </c>
      <c r="I57">
        <v>0</v>
      </c>
      <c r="J57">
        <v>1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0.31277577999924699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0.60626731984831705</v>
      </c>
      <c r="U57" s="5">
        <f>IF((ContinuousStatsTable[[#This Row],[RepsRequested]]&gt;1),ContinuousStatsTable[[#This Row],[HalfWidth]],ContinuousStatsTable[[#This Row],[BatchMeansHalfWidth]])</f>
        <v>2.7492927893383642E-2</v>
      </c>
    </row>
    <row r="58" spans="1:21" x14ac:dyDescent="0.25">
      <c r="A58" t="s">
        <v>68</v>
      </c>
      <c r="B58" t="s">
        <v>70</v>
      </c>
      <c r="C58">
        <v>4</v>
      </c>
      <c r="D58" t="s">
        <v>100</v>
      </c>
      <c r="E58" t="s">
        <v>103</v>
      </c>
      <c r="F58" t="s">
        <v>102</v>
      </c>
      <c r="G58">
        <v>0.41795720161048699</v>
      </c>
      <c r="H58">
        <v>2E+20</v>
      </c>
      <c r="I58">
        <v>0</v>
      </c>
      <c r="J58">
        <v>1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0.31277577999924699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0.60626731984831705</v>
      </c>
      <c r="U58" s="5">
        <f>IF((ContinuousStatsTable[[#This Row],[RepsRequested]]&gt;1),ContinuousStatsTable[[#This Row],[HalfWidth]],ContinuousStatsTable[[#This Row],[BatchMeansHalfWidth]])</f>
        <v>2.7492927893383642E-2</v>
      </c>
    </row>
    <row r="59" spans="1:21" x14ac:dyDescent="0.25">
      <c r="A59" t="s">
        <v>68</v>
      </c>
      <c r="B59" t="s">
        <v>70</v>
      </c>
      <c r="C59">
        <v>4</v>
      </c>
      <c r="D59" t="s">
        <v>100</v>
      </c>
      <c r="E59" t="s">
        <v>104</v>
      </c>
      <c r="F59" t="s">
        <v>102</v>
      </c>
      <c r="G59">
        <v>1</v>
      </c>
      <c r="H59">
        <v>2E+20</v>
      </c>
      <c r="I59">
        <v>1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68</v>
      </c>
      <c r="B60" t="s">
        <v>70</v>
      </c>
      <c r="C60">
        <v>4</v>
      </c>
      <c r="D60" t="s">
        <v>105</v>
      </c>
      <c r="E60" t="s">
        <v>101</v>
      </c>
      <c r="F60" t="s">
        <v>102</v>
      </c>
      <c r="G60">
        <v>0.23297673861738399</v>
      </c>
      <c r="H60">
        <v>2E+20</v>
      </c>
      <c r="I60">
        <v>0</v>
      </c>
      <c r="J60">
        <v>1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0.194735973294278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0.35775345817659199</v>
      </c>
      <c r="U60" s="5">
        <f>IF((ContinuousStatsTable[[#This Row],[RepsRequested]]&gt;1),ContinuousStatsTable[[#This Row],[HalfWidth]],ContinuousStatsTable[[#This Row],[BatchMeansHalfWidth]])</f>
        <v>1.6709279991037516E-2</v>
      </c>
    </row>
    <row r="61" spans="1:21" x14ac:dyDescent="0.25">
      <c r="A61" t="s">
        <v>68</v>
      </c>
      <c r="B61" t="s">
        <v>70</v>
      </c>
      <c r="C61">
        <v>4</v>
      </c>
      <c r="D61" t="s">
        <v>105</v>
      </c>
      <c r="E61" t="s">
        <v>103</v>
      </c>
      <c r="F61" t="s">
        <v>102</v>
      </c>
      <c r="G61">
        <v>0.23297673861738399</v>
      </c>
      <c r="H61">
        <v>2E+20</v>
      </c>
      <c r="I61">
        <v>0</v>
      </c>
      <c r="J61">
        <v>1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0.194735973294278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0.35775345817659199</v>
      </c>
      <c r="U61" s="5">
        <f>IF((ContinuousStatsTable[[#This Row],[RepsRequested]]&gt;1),ContinuousStatsTable[[#This Row],[HalfWidth]],ContinuousStatsTable[[#This Row],[BatchMeansHalfWidth]])</f>
        <v>1.6709279991037516E-2</v>
      </c>
    </row>
    <row r="62" spans="1:21" x14ac:dyDescent="0.25">
      <c r="A62" t="s">
        <v>68</v>
      </c>
      <c r="B62" t="s">
        <v>70</v>
      </c>
      <c r="C62">
        <v>4</v>
      </c>
      <c r="D62" t="s">
        <v>105</v>
      </c>
      <c r="E62" t="s">
        <v>104</v>
      </c>
      <c r="F62" t="s">
        <v>102</v>
      </c>
      <c r="G62">
        <v>1</v>
      </c>
      <c r="H62">
        <v>2E+20</v>
      </c>
      <c r="I62">
        <v>1</v>
      </c>
      <c r="J62">
        <v>1</v>
      </c>
      <c r="K62">
        <v>1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68</v>
      </c>
      <c r="B63" t="s">
        <v>70</v>
      </c>
      <c r="C63">
        <v>4</v>
      </c>
      <c r="D63" t="s">
        <v>106</v>
      </c>
      <c r="E63" t="s">
        <v>101</v>
      </c>
      <c r="F63" t="s">
        <v>102</v>
      </c>
      <c r="G63">
        <v>7.1373970679437404E-2</v>
      </c>
      <c r="H63">
        <v>2E+20</v>
      </c>
      <c r="I63">
        <v>0</v>
      </c>
      <c r="J63">
        <v>1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5.3757894868807901E-2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0.103175045984152</v>
      </c>
      <c r="U63" s="5">
        <f>IF((ContinuousStatsTable[[#This Row],[RepsRequested]]&gt;1),ContinuousStatsTable[[#This Row],[HalfWidth]],ContinuousStatsTable[[#This Row],[BatchMeansHalfWidth]])</f>
        <v>4.9031825474871024E-3</v>
      </c>
    </row>
    <row r="64" spans="1:21" x14ac:dyDescent="0.25">
      <c r="A64" t="s">
        <v>68</v>
      </c>
      <c r="B64" t="s">
        <v>70</v>
      </c>
      <c r="C64">
        <v>4</v>
      </c>
      <c r="D64" t="s">
        <v>106</v>
      </c>
      <c r="E64" t="s">
        <v>103</v>
      </c>
      <c r="F64" t="s">
        <v>102</v>
      </c>
      <c r="G64">
        <v>7.1373970679437404E-2</v>
      </c>
      <c r="H64">
        <v>2E+20</v>
      </c>
      <c r="I64">
        <v>0</v>
      </c>
      <c r="J64">
        <v>1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5.3757894868807901E-2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0.103175045984152</v>
      </c>
      <c r="U64" s="5">
        <f>IF((ContinuousStatsTable[[#This Row],[RepsRequested]]&gt;1),ContinuousStatsTable[[#This Row],[HalfWidth]],ContinuousStatsTable[[#This Row],[BatchMeansHalfWidth]])</f>
        <v>4.9031825474871024E-3</v>
      </c>
    </row>
    <row r="65" spans="1:21" x14ac:dyDescent="0.25">
      <c r="A65" t="s">
        <v>68</v>
      </c>
      <c r="B65" t="s">
        <v>70</v>
      </c>
      <c r="C65">
        <v>4</v>
      </c>
      <c r="D65" t="s">
        <v>106</v>
      </c>
      <c r="E65" t="s">
        <v>104</v>
      </c>
      <c r="F65" t="s">
        <v>102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25">
      <c r="A66" t="s">
        <v>68</v>
      </c>
      <c r="B66" t="s">
        <v>70</v>
      </c>
      <c r="C66">
        <v>5</v>
      </c>
      <c r="D66" t="s">
        <v>71</v>
      </c>
      <c r="E66" t="s">
        <v>98</v>
      </c>
      <c r="F66" t="s">
        <v>73</v>
      </c>
      <c r="G66">
        <v>2.2986723947345702</v>
      </c>
      <c r="H66">
        <v>2E+20</v>
      </c>
      <c r="I66">
        <v>0</v>
      </c>
      <c r="J66">
        <v>10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1.02094278585578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2.4343835485437801</v>
      </c>
      <c r="U66" s="5">
        <f>IF((ContinuousStatsTable[[#This Row],[RepsRequested]]&gt;1),ContinuousStatsTable[[#This Row],[HalfWidth]],ContinuousStatsTable[[#This Row],[BatchMeansHalfWidth]])</f>
        <v>0.1474422221508549</v>
      </c>
    </row>
    <row r="67" spans="1:21" x14ac:dyDescent="0.25">
      <c r="A67" t="s">
        <v>68</v>
      </c>
      <c r="B67" t="s">
        <v>70</v>
      </c>
      <c r="C67">
        <v>5</v>
      </c>
      <c r="D67" t="s">
        <v>84</v>
      </c>
      <c r="E67" t="s">
        <v>99</v>
      </c>
      <c r="F67" t="s">
        <v>86</v>
      </c>
      <c r="G67">
        <v>0</v>
      </c>
      <c r="H67">
        <v>2E+20</v>
      </c>
      <c r="I67">
        <v>0</v>
      </c>
      <c r="J67">
        <v>0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</v>
      </c>
      <c r="U67" s="5">
        <f>IF((ContinuousStatsTable[[#This Row],[RepsRequested]]&gt;1),ContinuousStatsTable[[#This Row],[HalfWidth]],ContinuousStatsTable[[#This Row],[BatchMeansHalfWidth]])</f>
        <v>0</v>
      </c>
    </row>
    <row r="68" spans="1:21" x14ac:dyDescent="0.25">
      <c r="A68" t="s">
        <v>68</v>
      </c>
      <c r="B68" t="s">
        <v>70</v>
      </c>
      <c r="C68">
        <v>5</v>
      </c>
      <c r="D68" t="s">
        <v>87</v>
      </c>
      <c r="E68" t="s">
        <v>99</v>
      </c>
      <c r="F68" t="s">
        <v>86</v>
      </c>
      <c r="G68">
        <v>0.67472724368415504</v>
      </c>
      <c r="H68">
        <v>2E+20</v>
      </c>
      <c r="I68">
        <v>0</v>
      </c>
      <c r="J68">
        <v>4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0.273073251721628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0.67472724368415504</v>
      </c>
      <c r="U68" s="5">
        <f>IF((ContinuousStatsTable[[#This Row],[RepsRequested]]&gt;1),ContinuousStatsTable[[#This Row],[HalfWidth]],ContinuousStatsTable[[#This Row],[BatchMeansHalfWidth]])</f>
        <v>4.3177361368283713E-2</v>
      </c>
    </row>
    <row r="69" spans="1:21" x14ac:dyDescent="0.25">
      <c r="A69" t="s">
        <v>68</v>
      </c>
      <c r="B69" t="s">
        <v>70</v>
      </c>
      <c r="C69">
        <v>5</v>
      </c>
      <c r="D69" t="s">
        <v>88</v>
      </c>
      <c r="E69" t="s">
        <v>99</v>
      </c>
      <c r="F69" t="s">
        <v>86</v>
      </c>
      <c r="G69">
        <v>0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1.55056745953175E-4</v>
      </c>
      <c r="U69" s="5">
        <f>IF((ContinuousStatsTable[[#This Row],[RepsRequested]]&gt;1),ContinuousStatsTable[[#This Row],[HalfWidth]],ContinuousStatsTable[[#This Row],[BatchMeansHalfWidth]])</f>
        <v>1.0570888434535787E-5</v>
      </c>
    </row>
    <row r="70" spans="1:21" x14ac:dyDescent="0.25">
      <c r="A70" t="s">
        <v>68</v>
      </c>
      <c r="B70" t="s">
        <v>70</v>
      </c>
      <c r="C70">
        <v>5</v>
      </c>
      <c r="D70" t="s">
        <v>90</v>
      </c>
      <c r="E70" t="s">
        <v>99</v>
      </c>
      <c r="F70" t="s">
        <v>86</v>
      </c>
      <c r="G70">
        <v>4.6308646010584403E-2</v>
      </c>
      <c r="H70">
        <v>2E+20</v>
      </c>
      <c r="I70">
        <v>0</v>
      </c>
      <c r="J70">
        <v>2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7.8516062990880695E-2</v>
      </c>
      <c r="U70" s="5">
        <f>IF((ContinuousStatsTable[[#This Row],[RepsRequested]]&gt;1),ContinuousStatsTable[[#This Row],[HalfWidth]],ContinuousStatsTable[[#This Row],[BatchMeansHalfWidth]])</f>
        <v>7.7862990748262884E-3</v>
      </c>
    </row>
    <row r="71" spans="1:21" x14ac:dyDescent="0.25">
      <c r="A71" t="s">
        <v>68</v>
      </c>
      <c r="B71" t="s">
        <v>70</v>
      </c>
      <c r="C71">
        <v>5</v>
      </c>
      <c r="D71" t="s">
        <v>92</v>
      </c>
      <c r="E71" t="s">
        <v>99</v>
      </c>
      <c r="F71" t="s">
        <v>86</v>
      </c>
      <c r="G71">
        <v>8.3910666818095905E-2</v>
      </c>
      <c r="H71">
        <v>2E+20</v>
      </c>
      <c r="I71">
        <v>0</v>
      </c>
      <c r="J71">
        <v>2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0.13654526635771</v>
      </c>
      <c r="U71" s="5">
        <f>IF((ContinuousStatsTable[[#This Row],[RepsRequested]]&gt;1),ContinuousStatsTable[[#This Row],[HalfWidth]],ContinuousStatsTable[[#This Row],[BatchMeansHalfWidth]])</f>
        <v>1.2216139820952973E-2</v>
      </c>
    </row>
    <row r="72" spans="1:21" x14ac:dyDescent="0.25">
      <c r="A72" t="s">
        <v>68</v>
      </c>
      <c r="B72" t="s">
        <v>70</v>
      </c>
      <c r="C72">
        <v>5</v>
      </c>
      <c r="D72" t="s">
        <v>94</v>
      </c>
      <c r="E72" t="s">
        <v>99</v>
      </c>
      <c r="F72" t="s">
        <v>86</v>
      </c>
      <c r="G72">
        <v>0.32918003403919499</v>
      </c>
      <c r="H72">
        <v>2E+20</v>
      </c>
      <c r="I72">
        <v>0</v>
      </c>
      <c r="J72">
        <v>3</v>
      </c>
      <c r="K72">
        <v>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9.0453284135870501E-3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0.39547622058287801</v>
      </c>
      <c r="U72" s="5">
        <f>IF((ContinuousStatsTable[[#This Row],[RepsRequested]]&gt;1),ContinuousStatsTable[[#This Row],[HalfWidth]],ContinuousStatsTable[[#This Row],[BatchMeansHalfWidth]])</f>
        <v>3.5836113017914922E-2</v>
      </c>
    </row>
    <row r="73" spans="1:21" x14ac:dyDescent="0.25">
      <c r="A73" t="s">
        <v>68</v>
      </c>
      <c r="B73" t="s">
        <v>70</v>
      </c>
      <c r="C73">
        <v>5</v>
      </c>
      <c r="D73" t="s">
        <v>100</v>
      </c>
      <c r="E73" t="s">
        <v>101</v>
      </c>
      <c r="F73" t="s">
        <v>102</v>
      </c>
      <c r="G73">
        <v>0.56445211209023904</v>
      </c>
      <c r="H73">
        <v>2E+20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0.31277577999924699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0.60626731984831705</v>
      </c>
      <c r="U73" s="5">
        <f>IF((ContinuousStatsTable[[#This Row],[RepsRequested]]&gt;1),ContinuousStatsTable[[#This Row],[HalfWidth]],ContinuousStatsTable[[#This Row],[BatchMeansHalfWidth]])</f>
        <v>2.7492927893383642E-2</v>
      </c>
    </row>
    <row r="74" spans="1:21" x14ac:dyDescent="0.25">
      <c r="A74" t="s">
        <v>68</v>
      </c>
      <c r="B74" t="s">
        <v>70</v>
      </c>
      <c r="C74">
        <v>5</v>
      </c>
      <c r="D74" t="s">
        <v>100</v>
      </c>
      <c r="E74" t="s">
        <v>103</v>
      </c>
      <c r="F74" t="s">
        <v>102</v>
      </c>
      <c r="G74">
        <v>0.56445211209023904</v>
      </c>
      <c r="H74">
        <v>2E+20</v>
      </c>
      <c r="I74">
        <v>0</v>
      </c>
      <c r="J74">
        <v>1</v>
      </c>
      <c r="K74">
        <v>1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0.31277577999924699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0.60626731984831705</v>
      </c>
      <c r="U74" s="5">
        <f>IF((ContinuousStatsTable[[#This Row],[RepsRequested]]&gt;1),ContinuousStatsTable[[#This Row],[HalfWidth]],ContinuousStatsTable[[#This Row],[BatchMeansHalfWidth]])</f>
        <v>2.7492927893383642E-2</v>
      </c>
    </row>
    <row r="75" spans="1:21" x14ac:dyDescent="0.25">
      <c r="A75" t="s">
        <v>68</v>
      </c>
      <c r="B75" t="s">
        <v>70</v>
      </c>
      <c r="C75">
        <v>5</v>
      </c>
      <c r="D75" t="s">
        <v>100</v>
      </c>
      <c r="E75" t="s">
        <v>104</v>
      </c>
      <c r="F75" t="s">
        <v>102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68</v>
      </c>
      <c r="B76" t="s">
        <v>70</v>
      </c>
      <c r="C76">
        <v>5</v>
      </c>
      <c r="D76" t="s">
        <v>105</v>
      </c>
      <c r="E76" t="s">
        <v>101</v>
      </c>
      <c r="F76" t="s">
        <v>102</v>
      </c>
      <c r="G76">
        <v>0.32065175009263303</v>
      </c>
      <c r="H76">
        <v>2E+20</v>
      </c>
      <c r="I76">
        <v>0</v>
      </c>
      <c r="J76">
        <v>1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0.194735973294278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0.35775345817659199</v>
      </c>
      <c r="U76" s="5">
        <f>IF((ContinuousStatsTable[[#This Row],[RepsRequested]]&gt;1),ContinuousStatsTable[[#This Row],[HalfWidth]],ContinuousStatsTable[[#This Row],[BatchMeansHalfWidth]])</f>
        <v>1.6709279991037516E-2</v>
      </c>
    </row>
    <row r="77" spans="1:21" x14ac:dyDescent="0.25">
      <c r="A77" t="s">
        <v>68</v>
      </c>
      <c r="B77" t="s">
        <v>70</v>
      </c>
      <c r="C77">
        <v>5</v>
      </c>
      <c r="D77" t="s">
        <v>105</v>
      </c>
      <c r="E77" t="s">
        <v>103</v>
      </c>
      <c r="F77" t="s">
        <v>102</v>
      </c>
      <c r="G77">
        <v>0.32065175009263303</v>
      </c>
      <c r="H77">
        <v>2E+20</v>
      </c>
      <c r="I77">
        <v>0</v>
      </c>
      <c r="J77">
        <v>1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0.194735973294278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0.35775345817659199</v>
      </c>
      <c r="U77" s="5">
        <f>IF((ContinuousStatsTable[[#This Row],[RepsRequested]]&gt;1),ContinuousStatsTable[[#This Row],[HalfWidth]],ContinuousStatsTable[[#This Row],[BatchMeansHalfWidth]])</f>
        <v>1.6709279991037516E-2</v>
      </c>
    </row>
    <row r="78" spans="1:21" x14ac:dyDescent="0.25">
      <c r="A78" t="s">
        <v>68</v>
      </c>
      <c r="B78" t="s">
        <v>70</v>
      </c>
      <c r="C78">
        <v>5</v>
      </c>
      <c r="D78" t="s">
        <v>105</v>
      </c>
      <c r="E78" t="s">
        <v>104</v>
      </c>
      <c r="F78" t="s">
        <v>102</v>
      </c>
      <c r="G78">
        <v>1</v>
      </c>
      <c r="H78">
        <v>2E+20</v>
      </c>
      <c r="I78">
        <v>1</v>
      </c>
      <c r="J78">
        <v>1</v>
      </c>
      <c r="K78">
        <v>1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</v>
      </c>
      <c r="U78" s="5">
        <f>IF((ContinuousStatsTable[[#This Row],[RepsRequested]]&gt;1),ContinuousStatsTable[[#This Row],[HalfWidth]],ContinuousStatsTable[[#This Row],[BatchMeansHalfWidth]])</f>
        <v>0</v>
      </c>
    </row>
    <row r="79" spans="1:21" x14ac:dyDescent="0.25">
      <c r="A79" t="s">
        <v>68</v>
      </c>
      <c r="B79" t="s">
        <v>70</v>
      </c>
      <c r="C79">
        <v>5</v>
      </c>
      <c r="D79" t="s">
        <v>106</v>
      </c>
      <c r="E79" t="s">
        <v>101</v>
      </c>
      <c r="F79" t="s">
        <v>102</v>
      </c>
      <c r="G79">
        <v>9.3147313999888598E-2</v>
      </c>
      <c r="H79">
        <v>2E+20</v>
      </c>
      <c r="I79">
        <v>0</v>
      </c>
      <c r="J79">
        <v>1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5.3757894868807901E-2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0.103175045984152</v>
      </c>
      <c r="U79" s="5">
        <f>IF((ContinuousStatsTable[[#This Row],[RepsRequested]]&gt;1),ContinuousStatsTable[[#This Row],[HalfWidth]],ContinuousStatsTable[[#This Row],[BatchMeansHalfWidth]])</f>
        <v>4.9031825474871024E-3</v>
      </c>
    </row>
    <row r="80" spans="1:21" x14ac:dyDescent="0.25">
      <c r="A80" t="s">
        <v>68</v>
      </c>
      <c r="B80" t="s">
        <v>70</v>
      </c>
      <c r="C80">
        <v>5</v>
      </c>
      <c r="D80" t="s">
        <v>106</v>
      </c>
      <c r="E80" t="s">
        <v>103</v>
      </c>
      <c r="F80" t="s">
        <v>102</v>
      </c>
      <c r="G80">
        <v>9.3147313999888598E-2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5.3757894868807901E-2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0.103175045984152</v>
      </c>
      <c r="U80" s="5">
        <f>IF((ContinuousStatsTable[[#This Row],[RepsRequested]]&gt;1),ContinuousStatsTable[[#This Row],[HalfWidth]],ContinuousStatsTable[[#This Row],[BatchMeansHalfWidth]])</f>
        <v>4.9031825474871024E-3</v>
      </c>
    </row>
    <row r="81" spans="1:21" x14ac:dyDescent="0.25">
      <c r="A81" t="s">
        <v>68</v>
      </c>
      <c r="B81" t="s">
        <v>70</v>
      </c>
      <c r="C81">
        <v>5</v>
      </c>
      <c r="D81" t="s">
        <v>106</v>
      </c>
      <c r="E81" t="s">
        <v>104</v>
      </c>
      <c r="F81" t="s">
        <v>102</v>
      </c>
      <c r="G81">
        <v>1</v>
      </c>
      <c r="H81">
        <v>2E+20</v>
      </c>
      <c r="I81">
        <v>1</v>
      </c>
      <c r="J81">
        <v>1</v>
      </c>
      <c r="K81">
        <v>1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1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1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1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25">
      <c r="A82" t="s">
        <v>68</v>
      </c>
      <c r="B82" t="s">
        <v>70</v>
      </c>
      <c r="C82">
        <v>6</v>
      </c>
      <c r="D82" t="s">
        <v>71</v>
      </c>
      <c r="E82" t="s">
        <v>98</v>
      </c>
      <c r="F82" t="s">
        <v>73</v>
      </c>
      <c r="G82">
        <v>1.7547849366313</v>
      </c>
      <c r="H82">
        <v>2E+20</v>
      </c>
      <c r="I82">
        <v>0</v>
      </c>
      <c r="J82">
        <v>8</v>
      </c>
      <c r="K82">
        <v>0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1.02094278585578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2.4343835485437801</v>
      </c>
      <c r="U82" s="5">
        <f>IF((ContinuousStatsTable[[#This Row],[RepsRequested]]&gt;1),ContinuousStatsTable[[#This Row],[HalfWidth]],ContinuousStatsTable[[#This Row],[BatchMeansHalfWidth]])</f>
        <v>0.1474422221508549</v>
      </c>
    </row>
    <row r="83" spans="1:21" x14ac:dyDescent="0.25">
      <c r="A83" t="s">
        <v>68</v>
      </c>
      <c r="B83" t="s">
        <v>70</v>
      </c>
      <c r="C83">
        <v>6</v>
      </c>
      <c r="D83" t="s">
        <v>84</v>
      </c>
      <c r="E83" t="s">
        <v>99</v>
      </c>
      <c r="F83" t="s">
        <v>86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 s="5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68</v>
      </c>
      <c r="B84" t="s">
        <v>70</v>
      </c>
      <c r="C84">
        <v>6</v>
      </c>
      <c r="D84" t="s">
        <v>87</v>
      </c>
      <c r="E84" t="s">
        <v>99</v>
      </c>
      <c r="F84" t="s">
        <v>86</v>
      </c>
      <c r="G84">
        <v>0.50711872333923103</v>
      </c>
      <c r="H84">
        <v>2E+20</v>
      </c>
      <c r="I84">
        <v>0</v>
      </c>
      <c r="J84">
        <v>3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0.273073251721628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0.67472724368415504</v>
      </c>
      <c r="U84" s="5">
        <f>IF((ContinuousStatsTable[[#This Row],[RepsRequested]]&gt;1),ContinuousStatsTable[[#This Row],[HalfWidth]],ContinuousStatsTable[[#This Row],[BatchMeansHalfWidth]])</f>
        <v>4.3177361368283713E-2</v>
      </c>
    </row>
    <row r="85" spans="1:21" x14ac:dyDescent="0.25">
      <c r="A85" t="s">
        <v>68</v>
      </c>
      <c r="B85" t="s">
        <v>70</v>
      </c>
      <c r="C85">
        <v>6</v>
      </c>
      <c r="D85" t="s">
        <v>88</v>
      </c>
      <c r="E85" t="s">
        <v>99</v>
      </c>
      <c r="F85" t="s">
        <v>86</v>
      </c>
      <c r="G85">
        <v>0</v>
      </c>
      <c r="H85">
        <v>2E+20</v>
      </c>
      <c r="I85">
        <v>0</v>
      </c>
      <c r="J85">
        <v>1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1.55056745953175E-4</v>
      </c>
      <c r="U85" s="5">
        <f>IF((ContinuousStatsTable[[#This Row],[RepsRequested]]&gt;1),ContinuousStatsTable[[#This Row],[HalfWidth]],ContinuousStatsTable[[#This Row],[BatchMeansHalfWidth]])</f>
        <v>1.0570888434535787E-5</v>
      </c>
    </row>
    <row r="86" spans="1:21" x14ac:dyDescent="0.25">
      <c r="A86" t="s">
        <v>68</v>
      </c>
      <c r="B86" t="s">
        <v>70</v>
      </c>
      <c r="C86">
        <v>6</v>
      </c>
      <c r="D86" t="s">
        <v>90</v>
      </c>
      <c r="E86" t="s">
        <v>99</v>
      </c>
      <c r="F86" t="s">
        <v>86</v>
      </c>
      <c r="G86">
        <v>2.7574800761008499E-2</v>
      </c>
      <c r="H86">
        <v>2E+20</v>
      </c>
      <c r="I86">
        <v>0</v>
      </c>
      <c r="J86">
        <v>2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7.8516062990880695E-2</v>
      </c>
      <c r="U86" s="5">
        <f>IF((ContinuousStatsTable[[#This Row],[RepsRequested]]&gt;1),ContinuousStatsTable[[#This Row],[HalfWidth]],ContinuousStatsTable[[#This Row],[BatchMeansHalfWidth]])</f>
        <v>7.7862990748262884E-3</v>
      </c>
    </row>
    <row r="87" spans="1:21" x14ac:dyDescent="0.25">
      <c r="A87" t="s">
        <v>68</v>
      </c>
      <c r="B87" t="s">
        <v>70</v>
      </c>
      <c r="C87">
        <v>6</v>
      </c>
      <c r="D87" t="s">
        <v>92</v>
      </c>
      <c r="E87" t="s">
        <v>99</v>
      </c>
      <c r="F87" t="s">
        <v>86</v>
      </c>
      <c r="G87">
        <v>3.2352483552645098E-2</v>
      </c>
      <c r="H87">
        <v>2E+20</v>
      </c>
      <c r="I87">
        <v>0</v>
      </c>
      <c r="J87">
        <v>2</v>
      </c>
      <c r="K87">
        <v>0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0.13654526635771</v>
      </c>
      <c r="U87" s="5">
        <f>IF((ContinuousStatsTable[[#This Row],[RepsRequested]]&gt;1),ContinuousStatsTable[[#This Row],[HalfWidth]],ContinuousStatsTable[[#This Row],[BatchMeansHalfWidth]])</f>
        <v>1.2216139820952973E-2</v>
      </c>
    </row>
    <row r="88" spans="1:21" x14ac:dyDescent="0.25">
      <c r="A88" t="s">
        <v>68</v>
      </c>
      <c r="B88" t="s">
        <v>70</v>
      </c>
      <c r="C88">
        <v>6</v>
      </c>
      <c r="D88" t="s">
        <v>94</v>
      </c>
      <c r="E88" t="s">
        <v>99</v>
      </c>
      <c r="F88" t="s">
        <v>86</v>
      </c>
      <c r="G88">
        <v>0.15688820873064699</v>
      </c>
      <c r="H88">
        <v>2E+20</v>
      </c>
      <c r="I88">
        <v>0</v>
      </c>
      <c r="J88">
        <v>2</v>
      </c>
      <c r="K88">
        <v>0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9.0453284135870501E-3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0.39547622058287801</v>
      </c>
      <c r="U88" s="5">
        <f>IF((ContinuousStatsTable[[#This Row],[RepsRequested]]&gt;1),ContinuousStatsTable[[#This Row],[HalfWidth]],ContinuousStatsTable[[#This Row],[BatchMeansHalfWidth]])</f>
        <v>3.5836113017914922E-2</v>
      </c>
    </row>
    <row r="89" spans="1:21" x14ac:dyDescent="0.25">
      <c r="A89" t="s">
        <v>68</v>
      </c>
      <c r="B89" t="s">
        <v>70</v>
      </c>
      <c r="C89">
        <v>6</v>
      </c>
      <c r="D89" t="s">
        <v>100</v>
      </c>
      <c r="E89" t="s">
        <v>101</v>
      </c>
      <c r="F89" t="s">
        <v>102</v>
      </c>
      <c r="G89">
        <v>0.49692943313467602</v>
      </c>
      <c r="H89">
        <v>2E+20</v>
      </c>
      <c r="I89">
        <v>0</v>
      </c>
      <c r="J89">
        <v>1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0.31277577999924699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0.60626731984831705</v>
      </c>
      <c r="U89" s="5">
        <f>IF((ContinuousStatsTable[[#This Row],[RepsRequested]]&gt;1),ContinuousStatsTable[[#This Row],[HalfWidth]],ContinuousStatsTable[[#This Row],[BatchMeansHalfWidth]])</f>
        <v>2.7492927893383642E-2</v>
      </c>
    </row>
    <row r="90" spans="1:21" x14ac:dyDescent="0.25">
      <c r="A90" t="s">
        <v>68</v>
      </c>
      <c r="B90" t="s">
        <v>70</v>
      </c>
      <c r="C90">
        <v>6</v>
      </c>
      <c r="D90" t="s">
        <v>100</v>
      </c>
      <c r="E90" t="s">
        <v>103</v>
      </c>
      <c r="F90" t="s">
        <v>102</v>
      </c>
      <c r="G90">
        <v>0.49692943313467602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0.31277577999924699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0.60626731984831705</v>
      </c>
      <c r="U90" s="5">
        <f>IF((ContinuousStatsTable[[#This Row],[RepsRequested]]&gt;1),ContinuousStatsTable[[#This Row],[HalfWidth]],ContinuousStatsTable[[#This Row],[BatchMeansHalfWidth]])</f>
        <v>2.7492927893383642E-2</v>
      </c>
    </row>
    <row r="91" spans="1:21" x14ac:dyDescent="0.25">
      <c r="A91" t="s">
        <v>68</v>
      </c>
      <c r="B91" t="s">
        <v>70</v>
      </c>
      <c r="C91">
        <v>6</v>
      </c>
      <c r="D91" t="s">
        <v>100</v>
      </c>
      <c r="E91" t="s">
        <v>104</v>
      </c>
      <c r="F91" t="s">
        <v>102</v>
      </c>
      <c r="G91">
        <v>1</v>
      </c>
      <c r="H91">
        <v>2E+20</v>
      </c>
      <c r="I91">
        <v>1</v>
      </c>
      <c r="J91">
        <v>1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</v>
      </c>
      <c r="U91" s="5">
        <f>IF((ContinuousStatsTable[[#This Row],[RepsRequested]]&gt;1),ContinuousStatsTable[[#This Row],[HalfWidth]],ContinuousStatsTable[[#This Row],[BatchMeansHalfWidth]])</f>
        <v>0</v>
      </c>
    </row>
    <row r="92" spans="1:21" x14ac:dyDescent="0.25">
      <c r="A92" t="s">
        <v>68</v>
      </c>
      <c r="B92" t="s">
        <v>70</v>
      </c>
      <c r="C92">
        <v>6</v>
      </c>
      <c r="D92" t="s">
        <v>105</v>
      </c>
      <c r="E92" t="s">
        <v>101</v>
      </c>
      <c r="F92" t="s">
        <v>102</v>
      </c>
      <c r="G92">
        <v>0.27711774956678498</v>
      </c>
      <c r="H92">
        <v>2E+20</v>
      </c>
      <c r="I92">
        <v>0</v>
      </c>
      <c r="J92">
        <v>1</v>
      </c>
      <c r="K92">
        <v>0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0.194735973294278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0.35775345817659199</v>
      </c>
      <c r="U92" s="5">
        <f>IF((ContinuousStatsTable[[#This Row],[RepsRequested]]&gt;1),ContinuousStatsTable[[#This Row],[HalfWidth]],ContinuousStatsTable[[#This Row],[BatchMeansHalfWidth]])</f>
        <v>1.6709279991037516E-2</v>
      </c>
    </row>
    <row r="93" spans="1:21" x14ac:dyDescent="0.25">
      <c r="A93" t="s">
        <v>68</v>
      </c>
      <c r="B93" t="s">
        <v>70</v>
      </c>
      <c r="C93">
        <v>6</v>
      </c>
      <c r="D93" t="s">
        <v>105</v>
      </c>
      <c r="E93" t="s">
        <v>103</v>
      </c>
      <c r="F93" t="s">
        <v>102</v>
      </c>
      <c r="G93">
        <v>0.27711774956678498</v>
      </c>
      <c r="H93">
        <v>2E+20</v>
      </c>
      <c r="I93">
        <v>0</v>
      </c>
      <c r="J93">
        <v>1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0.194735973294278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0.35775345817659199</v>
      </c>
      <c r="U93" s="5">
        <f>IF((ContinuousStatsTable[[#This Row],[RepsRequested]]&gt;1),ContinuousStatsTable[[#This Row],[HalfWidth]],ContinuousStatsTable[[#This Row],[BatchMeansHalfWidth]])</f>
        <v>1.6709279991037516E-2</v>
      </c>
    </row>
    <row r="94" spans="1:21" x14ac:dyDescent="0.25">
      <c r="A94" t="s">
        <v>68</v>
      </c>
      <c r="B94" t="s">
        <v>70</v>
      </c>
      <c r="C94">
        <v>6</v>
      </c>
      <c r="D94" t="s">
        <v>105</v>
      </c>
      <c r="E94" t="s">
        <v>104</v>
      </c>
      <c r="F94" t="s">
        <v>102</v>
      </c>
      <c r="G94">
        <v>1</v>
      </c>
      <c r="H94">
        <v>2E+20</v>
      </c>
      <c r="I94">
        <v>1</v>
      </c>
      <c r="J94">
        <v>1</v>
      </c>
      <c r="K94">
        <v>1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1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1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1</v>
      </c>
      <c r="U94" s="5">
        <f>IF((ContinuousStatsTable[[#This Row],[RepsRequested]]&gt;1),ContinuousStatsTable[[#This Row],[HalfWidth]],ContinuousStatsTable[[#This Row],[BatchMeansHalfWidth]])</f>
        <v>0</v>
      </c>
    </row>
    <row r="95" spans="1:21" x14ac:dyDescent="0.25">
      <c r="A95" t="s">
        <v>68</v>
      </c>
      <c r="B95" t="s">
        <v>70</v>
      </c>
      <c r="C95">
        <v>6</v>
      </c>
      <c r="D95" t="s">
        <v>106</v>
      </c>
      <c r="E95" t="s">
        <v>101</v>
      </c>
      <c r="F95" t="s">
        <v>102</v>
      </c>
      <c r="G95">
        <v>8.5601179182103498E-2</v>
      </c>
      <c r="H95">
        <v>2E+20</v>
      </c>
      <c r="I95">
        <v>0</v>
      </c>
      <c r="J95">
        <v>1</v>
      </c>
      <c r="K95">
        <v>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5.3757894868807901E-2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0.103175045984152</v>
      </c>
      <c r="U95" s="5">
        <f>IF((ContinuousStatsTable[[#This Row],[RepsRequested]]&gt;1),ContinuousStatsTable[[#This Row],[HalfWidth]],ContinuousStatsTable[[#This Row],[BatchMeansHalfWidth]])</f>
        <v>4.9031825474871024E-3</v>
      </c>
    </row>
    <row r="96" spans="1:21" x14ac:dyDescent="0.25">
      <c r="A96" t="s">
        <v>68</v>
      </c>
      <c r="B96" t="s">
        <v>70</v>
      </c>
      <c r="C96">
        <v>6</v>
      </c>
      <c r="D96" t="s">
        <v>106</v>
      </c>
      <c r="E96" t="s">
        <v>103</v>
      </c>
      <c r="F96" t="s">
        <v>102</v>
      </c>
      <c r="G96">
        <v>8.5601179182103498E-2</v>
      </c>
      <c r="H96">
        <v>2E+20</v>
      </c>
      <c r="I96">
        <v>0</v>
      </c>
      <c r="J96">
        <v>1</v>
      </c>
      <c r="K96">
        <v>0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5.3757894868807901E-2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0.103175045984152</v>
      </c>
      <c r="U96" s="5">
        <f>IF((ContinuousStatsTable[[#This Row],[RepsRequested]]&gt;1),ContinuousStatsTable[[#This Row],[HalfWidth]],ContinuousStatsTable[[#This Row],[BatchMeansHalfWidth]])</f>
        <v>4.9031825474871024E-3</v>
      </c>
    </row>
    <row r="97" spans="1:21" x14ac:dyDescent="0.25">
      <c r="A97" t="s">
        <v>68</v>
      </c>
      <c r="B97" t="s">
        <v>70</v>
      </c>
      <c r="C97">
        <v>6</v>
      </c>
      <c r="D97" t="s">
        <v>106</v>
      </c>
      <c r="E97" t="s">
        <v>104</v>
      </c>
      <c r="F97" t="s">
        <v>102</v>
      </c>
      <c r="G97">
        <v>1</v>
      </c>
      <c r="H97">
        <v>2E+20</v>
      </c>
      <c r="I97">
        <v>1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1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1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1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68</v>
      </c>
      <c r="B98" t="s">
        <v>70</v>
      </c>
      <c r="C98">
        <v>7</v>
      </c>
      <c r="D98" t="s">
        <v>71</v>
      </c>
      <c r="E98" t="s">
        <v>98</v>
      </c>
      <c r="F98" t="s">
        <v>73</v>
      </c>
      <c r="G98">
        <v>1.73473946096578</v>
      </c>
      <c r="H98">
        <v>2E+20</v>
      </c>
      <c r="I98">
        <v>0</v>
      </c>
      <c r="J98">
        <v>9</v>
      </c>
      <c r="K98">
        <v>0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1.02094278585578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2.4343835485437801</v>
      </c>
      <c r="U98" s="5">
        <f>IF((ContinuousStatsTable[[#This Row],[RepsRequested]]&gt;1),ContinuousStatsTable[[#This Row],[HalfWidth]],ContinuousStatsTable[[#This Row],[BatchMeansHalfWidth]])</f>
        <v>0.1474422221508549</v>
      </c>
    </row>
    <row r="99" spans="1:21" x14ac:dyDescent="0.25">
      <c r="A99" t="s">
        <v>68</v>
      </c>
      <c r="B99" t="s">
        <v>70</v>
      </c>
      <c r="C99">
        <v>7</v>
      </c>
      <c r="D99" t="s">
        <v>84</v>
      </c>
      <c r="E99" t="s">
        <v>99</v>
      </c>
      <c r="F99" t="s">
        <v>86</v>
      </c>
      <c r="G99">
        <v>0</v>
      </c>
      <c r="H99">
        <v>2E+20</v>
      </c>
      <c r="I99">
        <v>0</v>
      </c>
      <c r="J99">
        <v>0</v>
      </c>
      <c r="K99">
        <v>0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25">
      <c r="A100" t="s">
        <v>68</v>
      </c>
      <c r="B100" t="s">
        <v>70</v>
      </c>
      <c r="C100">
        <v>7</v>
      </c>
      <c r="D100" t="s">
        <v>87</v>
      </c>
      <c r="E100" t="s">
        <v>99</v>
      </c>
      <c r="F100" t="s">
        <v>86</v>
      </c>
      <c r="G100">
        <v>0.50258421028893197</v>
      </c>
      <c r="H100">
        <v>2E+20</v>
      </c>
      <c r="I100">
        <v>0</v>
      </c>
      <c r="J100">
        <v>3</v>
      </c>
      <c r="K100">
        <v>0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0.273073251721628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0.67472724368415504</v>
      </c>
      <c r="U100" s="5">
        <f>IF((ContinuousStatsTable[[#This Row],[RepsRequested]]&gt;1),ContinuousStatsTable[[#This Row],[HalfWidth]],ContinuousStatsTable[[#This Row],[BatchMeansHalfWidth]])</f>
        <v>4.3177361368283713E-2</v>
      </c>
    </row>
    <row r="101" spans="1:21" x14ac:dyDescent="0.25">
      <c r="A101" t="s">
        <v>68</v>
      </c>
      <c r="B101" t="s">
        <v>70</v>
      </c>
      <c r="C101">
        <v>7</v>
      </c>
      <c r="D101" t="s">
        <v>88</v>
      </c>
      <c r="E101" t="s">
        <v>99</v>
      </c>
      <c r="F101" t="s">
        <v>86</v>
      </c>
      <c r="G101">
        <v>0</v>
      </c>
      <c r="H101">
        <v>2E+20</v>
      </c>
      <c r="I101">
        <v>0</v>
      </c>
      <c r="J101">
        <v>1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1.55056745953175E-4</v>
      </c>
      <c r="U101" s="5">
        <f>IF((ContinuousStatsTable[[#This Row],[RepsRequested]]&gt;1),ContinuousStatsTable[[#This Row],[HalfWidth]],ContinuousStatsTable[[#This Row],[BatchMeansHalfWidth]])</f>
        <v>1.0570888434535787E-5</v>
      </c>
    </row>
    <row r="102" spans="1:21" x14ac:dyDescent="0.25">
      <c r="A102" t="s">
        <v>68</v>
      </c>
      <c r="B102" t="s">
        <v>70</v>
      </c>
      <c r="C102">
        <v>7</v>
      </c>
      <c r="D102" t="s">
        <v>90</v>
      </c>
      <c r="E102" t="s">
        <v>99</v>
      </c>
      <c r="F102" t="s">
        <v>86</v>
      </c>
      <c r="G102">
        <v>2.9879354038055601E-2</v>
      </c>
      <c r="H102">
        <v>2E+20</v>
      </c>
      <c r="I102">
        <v>0</v>
      </c>
      <c r="J102">
        <v>2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7.8516062990880695E-2</v>
      </c>
      <c r="U102" s="5">
        <f>IF((ContinuousStatsTable[[#This Row],[RepsRequested]]&gt;1),ContinuousStatsTable[[#This Row],[HalfWidth]],ContinuousStatsTable[[#This Row],[BatchMeansHalfWidth]])</f>
        <v>7.7862990748262884E-3</v>
      </c>
    </row>
    <row r="103" spans="1:21" x14ac:dyDescent="0.25">
      <c r="A103" t="s">
        <v>68</v>
      </c>
      <c r="B103" t="s">
        <v>70</v>
      </c>
      <c r="C103">
        <v>7</v>
      </c>
      <c r="D103" t="s">
        <v>92</v>
      </c>
      <c r="E103" t="s">
        <v>99</v>
      </c>
      <c r="F103" t="s">
        <v>86</v>
      </c>
      <c r="G103">
        <v>1.9919946681023801E-2</v>
      </c>
      <c r="H103">
        <v>2E+20</v>
      </c>
      <c r="I103">
        <v>0</v>
      </c>
      <c r="J103">
        <v>1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0.13654526635771</v>
      </c>
      <c r="U103" s="5">
        <f>IF((ContinuousStatsTable[[#This Row],[RepsRequested]]&gt;1),ContinuousStatsTable[[#This Row],[HalfWidth]],ContinuousStatsTable[[#This Row],[BatchMeansHalfWidth]])</f>
        <v>1.2216139820952973E-2</v>
      </c>
    </row>
    <row r="104" spans="1:21" x14ac:dyDescent="0.25">
      <c r="A104" t="s">
        <v>68</v>
      </c>
      <c r="B104" t="s">
        <v>70</v>
      </c>
      <c r="C104">
        <v>7</v>
      </c>
      <c r="D104" t="s">
        <v>94</v>
      </c>
      <c r="E104" t="s">
        <v>99</v>
      </c>
      <c r="F104" t="s">
        <v>86</v>
      </c>
      <c r="G104">
        <v>0.16796993103389199</v>
      </c>
      <c r="H104">
        <v>2E+20</v>
      </c>
      <c r="I104">
        <v>0</v>
      </c>
      <c r="J104">
        <v>2</v>
      </c>
      <c r="K104">
        <v>0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9.0453284135870501E-3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0.39547622058287801</v>
      </c>
      <c r="U104" s="5">
        <f>IF((ContinuousStatsTable[[#This Row],[RepsRequested]]&gt;1),ContinuousStatsTable[[#This Row],[HalfWidth]],ContinuousStatsTable[[#This Row],[BatchMeansHalfWidth]])</f>
        <v>3.5836113017914922E-2</v>
      </c>
    </row>
    <row r="105" spans="1:21" x14ac:dyDescent="0.25">
      <c r="A105" t="s">
        <v>68</v>
      </c>
      <c r="B105" t="s">
        <v>70</v>
      </c>
      <c r="C105">
        <v>7</v>
      </c>
      <c r="D105" t="s">
        <v>100</v>
      </c>
      <c r="E105" t="s">
        <v>101</v>
      </c>
      <c r="F105" t="s">
        <v>102</v>
      </c>
      <c r="G105">
        <v>0.47688337118837298</v>
      </c>
      <c r="H105">
        <v>2E+20</v>
      </c>
      <c r="I105">
        <v>0</v>
      </c>
      <c r="J105">
        <v>1</v>
      </c>
      <c r="K105">
        <v>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0.31277577999924699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0.60626731984831705</v>
      </c>
      <c r="U105" s="5">
        <f>IF((ContinuousStatsTable[[#This Row],[RepsRequested]]&gt;1),ContinuousStatsTable[[#This Row],[HalfWidth]],ContinuousStatsTable[[#This Row],[BatchMeansHalfWidth]])</f>
        <v>2.7492927893383642E-2</v>
      </c>
    </row>
    <row r="106" spans="1:21" x14ac:dyDescent="0.25">
      <c r="A106" t="s">
        <v>68</v>
      </c>
      <c r="B106" t="s">
        <v>70</v>
      </c>
      <c r="C106">
        <v>7</v>
      </c>
      <c r="D106" t="s">
        <v>100</v>
      </c>
      <c r="E106" t="s">
        <v>103</v>
      </c>
      <c r="F106" t="s">
        <v>102</v>
      </c>
      <c r="G106">
        <v>0.47688337118837298</v>
      </c>
      <c r="H106">
        <v>2E+20</v>
      </c>
      <c r="I106">
        <v>0</v>
      </c>
      <c r="J106">
        <v>1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0.31277577999924699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0.60626731984831705</v>
      </c>
      <c r="U106" s="5">
        <f>IF((ContinuousStatsTable[[#This Row],[RepsRequested]]&gt;1),ContinuousStatsTable[[#This Row],[HalfWidth]],ContinuousStatsTable[[#This Row],[BatchMeansHalfWidth]])</f>
        <v>2.7492927893383642E-2</v>
      </c>
    </row>
    <row r="107" spans="1:21" x14ac:dyDescent="0.25">
      <c r="A107" t="s">
        <v>68</v>
      </c>
      <c r="B107" t="s">
        <v>70</v>
      </c>
      <c r="C107">
        <v>7</v>
      </c>
      <c r="D107" t="s">
        <v>100</v>
      </c>
      <c r="E107" t="s">
        <v>104</v>
      </c>
      <c r="F107" t="s">
        <v>102</v>
      </c>
      <c r="G107">
        <v>1</v>
      </c>
      <c r="H107">
        <v>2E+20</v>
      </c>
      <c r="I107">
        <v>1</v>
      </c>
      <c r="J107">
        <v>1</v>
      </c>
      <c r="K107">
        <v>1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1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1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1</v>
      </c>
      <c r="U107" s="5">
        <f>IF((ContinuousStatsTable[[#This Row],[RepsRequested]]&gt;1),ContinuousStatsTable[[#This Row],[HalfWidth]],ContinuousStatsTable[[#This Row],[BatchMeansHalfWidth]])</f>
        <v>0</v>
      </c>
    </row>
    <row r="108" spans="1:21" x14ac:dyDescent="0.25">
      <c r="A108" t="s">
        <v>68</v>
      </c>
      <c r="B108" t="s">
        <v>70</v>
      </c>
      <c r="C108">
        <v>7</v>
      </c>
      <c r="D108" t="s">
        <v>105</v>
      </c>
      <c r="E108" t="s">
        <v>101</v>
      </c>
      <c r="F108" t="s">
        <v>102</v>
      </c>
      <c r="G108">
        <v>0.27684881700963099</v>
      </c>
      <c r="H108">
        <v>2E+20</v>
      </c>
      <c r="I108">
        <v>0</v>
      </c>
      <c r="J108">
        <v>1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0.194735973294278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0.35775345817659199</v>
      </c>
      <c r="U108" s="5">
        <f>IF((ContinuousStatsTable[[#This Row],[RepsRequested]]&gt;1),ContinuousStatsTable[[#This Row],[HalfWidth]],ContinuousStatsTable[[#This Row],[BatchMeansHalfWidth]])</f>
        <v>1.6709279991037516E-2</v>
      </c>
    </row>
    <row r="109" spans="1:21" x14ac:dyDescent="0.25">
      <c r="A109" t="s">
        <v>68</v>
      </c>
      <c r="B109" t="s">
        <v>70</v>
      </c>
      <c r="C109">
        <v>7</v>
      </c>
      <c r="D109" t="s">
        <v>105</v>
      </c>
      <c r="E109" t="s">
        <v>103</v>
      </c>
      <c r="F109" t="s">
        <v>102</v>
      </c>
      <c r="G109">
        <v>0.27684881700963099</v>
      </c>
      <c r="H109">
        <v>2E+20</v>
      </c>
      <c r="I109">
        <v>0</v>
      </c>
      <c r="J109">
        <v>1</v>
      </c>
      <c r="K109">
        <v>0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0.194735973294278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0.35775345817659199</v>
      </c>
      <c r="U109" s="5">
        <f>IF((ContinuousStatsTable[[#This Row],[RepsRequested]]&gt;1),ContinuousStatsTable[[#This Row],[HalfWidth]],ContinuousStatsTable[[#This Row],[BatchMeansHalfWidth]])</f>
        <v>1.6709279991037516E-2</v>
      </c>
    </row>
    <row r="110" spans="1:21" x14ac:dyDescent="0.25">
      <c r="A110" t="s">
        <v>68</v>
      </c>
      <c r="B110" t="s">
        <v>70</v>
      </c>
      <c r="C110">
        <v>7</v>
      </c>
      <c r="D110" t="s">
        <v>105</v>
      </c>
      <c r="E110" t="s">
        <v>104</v>
      </c>
      <c r="F110" t="s">
        <v>102</v>
      </c>
      <c r="G110">
        <v>1</v>
      </c>
      <c r="H110">
        <v>2E+20</v>
      </c>
      <c r="I110">
        <v>1</v>
      </c>
      <c r="J110">
        <v>1</v>
      </c>
      <c r="K110">
        <v>1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1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1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1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70</v>
      </c>
      <c r="C111">
        <v>7</v>
      </c>
      <c r="D111" t="s">
        <v>106</v>
      </c>
      <c r="E111" t="s">
        <v>101</v>
      </c>
      <c r="F111" t="s">
        <v>102</v>
      </c>
      <c r="G111">
        <v>8.6884610241955998E-2</v>
      </c>
      <c r="H111">
        <v>2E+20</v>
      </c>
      <c r="I111">
        <v>0</v>
      </c>
      <c r="J111">
        <v>1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5.3757894868807901E-2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0.103175045984152</v>
      </c>
      <c r="U111" s="5">
        <f>IF((ContinuousStatsTable[[#This Row],[RepsRequested]]&gt;1),ContinuousStatsTable[[#This Row],[HalfWidth]],ContinuousStatsTable[[#This Row],[BatchMeansHalfWidth]])</f>
        <v>4.9031825474871024E-3</v>
      </c>
    </row>
    <row r="112" spans="1:21" x14ac:dyDescent="0.25">
      <c r="A112" t="s">
        <v>68</v>
      </c>
      <c r="B112" t="s">
        <v>70</v>
      </c>
      <c r="C112">
        <v>7</v>
      </c>
      <c r="D112" t="s">
        <v>106</v>
      </c>
      <c r="E112" t="s">
        <v>103</v>
      </c>
      <c r="F112" t="s">
        <v>102</v>
      </c>
      <c r="G112">
        <v>8.6884610241955998E-2</v>
      </c>
      <c r="H112">
        <v>2E+20</v>
      </c>
      <c r="I112">
        <v>0</v>
      </c>
      <c r="J112">
        <v>1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5.3757894868807901E-2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0.103175045984152</v>
      </c>
      <c r="U112" s="5">
        <f>IF((ContinuousStatsTable[[#This Row],[RepsRequested]]&gt;1),ContinuousStatsTable[[#This Row],[HalfWidth]],ContinuousStatsTable[[#This Row],[BatchMeansHalfWidth]])</f>
        <v>4.9031825474871024E-3</v>
      </c>
    </row>
    <row r="113" spans="1:21" x14ac:dyDescent="0.25">
      <c r="A113" t="s">
        <v>68</v>
      </c>
      <c r="B113" t="s">
        <v>70</v>
      </c>
      <c r="C113">
        <v>7</v>
      </c>
      <c r="D113" t="s">
        <v>106</v>
      </c>
      <c r="E113" t="s">
        <v>104</v>
      </c>
      <c r="F113" t="s">
        <v>102</v>
      </c>
      <c r="G113">
        <v>1</v>
      </c>
      <c r="H113">
        <v>2E+20</v>
      </c>
      <c r="I113">
        <v>1</v>
      </c>
      <c r="J113">
        <v>1</v>
      </c>
      <c r="K113">
        <v>1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1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1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1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25">
      <c r="A114" t="s">
        <v>68</v>
      </c>
      <c r="B114" t="s">
        <v>70</v>
      </c>
      <c r="C114">
        <v>8</v>
      </c>
      <c r="D114" t="s">
        <v>71</v>
      </c>
      <c r="E114" t="s">
        <v>98</v>
      </c>
      <c r="F114" t="s">
        <v>73</v>
      </c>
      <c r="G114">
        <v>1.71348154241067</v>
      </c>
      <c r="H114">
        <v>2E+20</v>
      </c>
      <c r="I114">
        <v>0</v>
      </c>
      <c r="J114">
        <v>8</v>
      </c>
      <c r="K114">
        <v>6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1.02094278585578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2.4343835485437801</v>
      </c>
      <c r="U114" s="5">
        <f>IF((ContinuousStatsTable[[#This Row],[RepsRequested]]&gt;1),ContinuousStatsTable[[#This Row],[HalfWidth]],ContinuousStatsTable[[#This Row],[BatchMeansHalfWidth]])</f>
        <v>0.1474422221508549</v>
      </c>
    </row>
    <row r="115" spans="1:21" x14ac:dyDescent="0.25">
      <c r="A115" t="s">
        <v>68</v>
      </c>
      <c r="B115" t="s">
        <v>70</v>
      </c>
      <c r="C115">
        <v>8</v>
      </c>
      <c r="D115" t="s">
        <v>84</v>
      </c>
      <c r="E115" t="s">
        <v>99</v>
      </c>
      <c r="F115" t="s">
        <v>86</v>
      </c>
      <c r="G115">
        <v>0</v>
      </c>
      <c r="H115">
        <v>2E+20</v>
      </c>
      <c r="I115">
        <v>0</v>
      </c>
      <c r="J115">
        <v>0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</v>
      </c>
      <c r="U115" s="5">
        <f>IF((ContinuousStatsTable[[#This Row],[RepsRequested]]&gt;1),ContinuousStatsTable[[#This Row],[HalfWidth]],ContinuousStatsTable[[#This Row],[BatchMeansHalfWidth]])</f>
        <v>0</v>
      </c>
    </row>
    <row r="116" spans="1:21" x14ac:dyDescent="0.25">
      <c r="A116" t="s">
        <v>68</v>
      </c>
      <c r="B116" t="s">
        <v>70</v>
      </c>
      <c r="C116">
        <v>8</v>
      </c>
      <c r="D116" t="s">
        <v>87</v>
      </c>
      <c r="E116" t="s">
        <v>99</v>
      </c>
      <c r="F116" t="s">
        <v>86</v>
      </c>
      <c r="G116">
        <v>0.44337753600747898</v>
      </c>
      <c r="H116">
        <v>2E+20</v>
      </c>
      <c r="I116">
        <v>0</v>
      </c>
      <c r="J116">
        <v>3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0.273073251721628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0.67472724368415504</v>
      </c>
      <c r="U116" s="5">
        <f>IF((ContinuousStatsTable[[#This Row],[RepsRequested]]&gt;1),ContinuousStatsTable[[#This Row],[HalfWidth]],ContinuousStatsTable[[#This Row],[BatchMeansHalfWidth]])</f>
        <v>4.3177361368283713E-2</v>
      </c>
    </row>
    <row r="117" spans="1:21" x14ac:dyDescent="0.25">
      <c r="A117" t="s">
        <v>68</v>
      </c>
      <c r="B117" t="s">
        <v>70</v>
      </c>
      <c r="C117">
        <v>8</v>
      </c>
      <c r="D117" t="s">
        <v>88</v>
      </c>
      <c r="E117" t="s">
        <v>99</v>
      </c>
      <c r="F117" t="s">
        <v>86</v>
      </c>
      <c r="G117">
        <v>0</v>
      </c>
      <c r="H117">
        <v>2E+20</v>
      </c>
      <c r="I117">
        <v>0</v>
      </c>
      <c r="J117">
        <v>1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1.55056745953175E-4</v>
      </c>
      <c r="U117" s="5">
        <f>IF((ContinuousStatsTable[[#This Row],[RepsRequested]]&gt;1),ContinuousStatsTable[[#This Row],[HalfWidth]],ContinuousStatsTable[[#This Row],[BatchMeansHalfWidth]])</f>
        <v>1.0570888434535787E-5</v>
      </c>
    </row>
    <row r="118" spans="1:21" x14ac:dyDescent="0.25">
      <c r="A118" t="s">
        <v>68</v>
      </c>
      <c r="B118" t="s">
        <v>70</v>
      </c>
      <c r="C118">
        <v>8</v>
      </c>
      <c r="D118" t="s">
        <v>90</v>
      </c>
      <c r="E118" t="s">
        <v>99</v>
      </c>
      <c r="F118" t="s">
        <v>86</v>
      </c>
      <c r="G118">
        <v>4.75125610351744E-2</v>
      </c>
      <c r="H118">
        <v>2E+20</v>
      </c>
      <c r="I118">
        <v>0</v>
      </c>
      <c r="J118">
        <v>2</v>
      </c>
      <c r="K118">
        <v>0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0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7.8516062990880695E-2</v>
      </c>
      <c r="U118" s="5">
        <f>IF((ContinuousStatsTable[[#This Row],[RepsRequested]]&gt;1),ContinuousStatsTable[[#This Row],[HalfWidth]],ContinuousStatsTable[[#This Row],[BatchMeansHalfWidth]])</f>
        <v>7.7862990748262884E-3</v>
      </c>
    </row>
    <row r="119" spans="1:21" x14ac:dyDescent="0.25">
      <c r="A119" t="s">
        <v>68</v>
      </c>
      <c r="B119" t="s">
        <v>70</v>
      </c>
      <c r="C119">
        <v>8</v>
      </c>
      <c r="D119" t="s">
        <v>92</v>
      </c>
      <c r="E119" t="s">
        <v>99</v>
      </c>
      <c r="F119" t="s">
        <v>86</v>
      </c>
      <c r="G119">
        <v>7.4045111325316604E-2</v>
      </c>
      <c r="H119">
        <v>2E+20</v>
      </c>
      <c r="I119">
        <v>0</v>
      </c>
      <c r="J119">
        <v>1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0.13654526635771</v>
      </c>
      <c r="U119" s="5">
        <f>IF((ContinuousStatsTable[[#This Row],[RepsRequested]]&gt;1),ContinuousStatsTable[[#This Row],[HalfWidth]],ContinuousStatsTable[[#This Row],[BatchMeansHalfWidth]])</f>
        <v>1.2216139820952973E-2</v>
      </c>
    </row>
    <row r="120" spans="1:21" x14ac:dyDescent="0.25">
      <c r="A120" t="s">
        <v>68</v>
      </c>
      <c r="B120" t="s">
        <v>70</v>
      </c>
      <c r="C120">
        <v>8</v>
      </c>
      <c r="D120" t="s">
        <v>94</v>
      </c>
      <c r="E120" t="s">
        <v>99</v>
      </c>
      <c r="F120" t="s">
        <v>86</v>
      </c>
      <c r="G120">
        <v>0.19857190104026201</v>
      </c>
      <c r="H120">
        <v>2E+20</v>
      </c>
      <c r="I120">
        <v>0</v>
      </c>
      <c r="J120">
        <v>2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9.0453284135870501E-3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0.39547622058287801</v>
      </c>
      <c r="U120" s="5">
        <f>IF((ContinuousStatsTable[[#This Row],[RepsRequested]]&gt;1),ContinuousStatsTable[[#This Row],[HalfWidth]],ContinuousStatsTable[[#This Row],[BatchMeansHalfWidth]])</f>
        <v>3.5836113017914922E-2</v>
      </c>
    </row>
    <row r="121" spans="1:21" x14ac:dyDescent="0.25">
      <c r="A121" t="s">
        <v>68</v>
      </c>
      <c r="B121" t="s">
        <v>70</v>
      </c>
      <c r="C121">
        <v>8</v>
      </c>
      <c r="D121" t="s">
        <v>100</v>
      </c>
      <c r="E121" t="s">
        <v>101</v>
      </c>
      <c r="F121" t="s">
        <v>102</v>
      </c>
      <c r="G121">
        <v>0.440171879332103</v>
      </c>
      <c r="H121">
        <v>2E+20</v>
      </c>
      <c r="I121">
        <v>0</v>
      </c>
      <c r="J121">
        <v>1</v>
      </c>
      <c r="K121">
        <v>1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0.31277577999924699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0.60626731984831705</v>
      </c>
      <c r="U121" s="5">
        <f>IF((ContinuousStatsTable[[#This Row],[RepsRequested]]&gt;1),ContinuousStatsTable[[#This Row],[HalfWidth]],ContinuousStatsTable[[#This Row],[BatchMeansHalfWidth]])</f>
        <v>2.7492927893383642E-2</v>
      </c>
    </row>
    <row r="122" spans="1:21" x14ac:dyDescent="0.25">
      <c r="A122" t="s">
        <v>68</v>
      </c>
      <c r="B122" t="s">
        <v>70</v>
      </c>
      <c r="C122">
        <v>8</v>
      </c>
      <c r="D122" t="s">
        <v>100</v>
      </c>
      <c r="E122" t="s">
        <v>103</v>
      </c>
      <c r="F122" t="s">
        <v>102</v>
      </c>
      <c r="G122">
        <v>0.440171879332103</v>
      </c>
      <c r="H122">
        <v>2E+20</v>
      </c>
      <c r="I122">
        <v>0</v>
      </c>
      <c r="J122">
        <v>1</v>
      </c>
      <c r="K122">
        <v>1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0.31277577999924699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0.60626731984831705</v>
      </c>
      <c r="U122" s="5">
        <f>IF((ContinuousStatsTable[[#This Row],[RepsRequested]]&gt;1),ContinuousStatsTable[[#This Row],[HalfWidth]],ContinuousStatsTable[[#This Row],[BatchMeansHalfWidth]])</f>
        <v>2.7492927893383642E-2</v>
      </c>
    </row>
    <row r="123" spans="1:21" x14ac:dyDescent="0.25">
      <c r="A123" t="s">
        <v>68</v>
      </c>
      <c r="B123" t="s">
        <v>70</v>
      </c>
      <c r="C123">
        <v>8</v>
      </c>
      <c r="D123" t="s">
        <v>100</v>
      </c>
      <c r="E123" t="s">
        <v>104</v>
      </c>
      <c r="F123" t="s">
        <v>102</v>
      </c>
      <c r="G123">
        <v>1</v>
      </c>
      <c r="H123">
        <v>2E+20</v>
      </c>
      <c r="I123">
        <v>1</v>
      </c>
      <c r="J123">
        <v>1</v>
      </c>
      <c r="K123">
        <v>1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1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1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1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68</v>
      </c>
      <c r="B124" t="s">
        <v>70</v>
      </c>
      <c r="C124">
        <v>8</v>
      </c>
      <c r="D124" t="s">
        <v>105</v>
      </c>
      <c r="E124" t="s">
        <v>101</v>
      </c>
      <c r="F124" t="s">
        <v>102</v>
      </c>
      <c r="G124">
        <v>0.27398625202090898</v>
      </c>
      <c r="H124">
        <v>2E+20</v>
      </c>
      <c r="I124">
        <v>0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0.194735973294278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0.35775345817659199</v>
      </c>
      <c r="U124" s="5">
        <f>IF((ContinuousStatsTable[[#This Row],[RepsRequested]]&gt;1),ContinuousStatsTable[[#This Row],[HalfWidth]],ContinuousStatsTable[[#This Row],[BatchMeansHalfWidth]])</f>
        <v>1.6709279991037516E-2</v>
      </c>
    </row>
    <row r="125" spans="1:21" x14ac:dyDescent="0.25">
      <c r="A125" t="s">
        <v>68</v>
      </c>
      <c r="B125" t="s">
        <v>70</v>
      </c>
      <c r="C125">
        <v>8</v>
      </c>
      <c r="D125" t="s">
        <v>105</v>
      </c>
      <c r="E125" t="s">
        <v>103</v>
      </c>
      <c r="F125" t="s">
        <v>102</v>
      </c>
      <c r="G125">
        <v>0.27398625202090898</v>
      </c>
      <c r="H125">
        <v>2E+20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0.194735973294278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0.35775345817659199</v>
      </c>
      <c r="U125" s="5">
        <f>IF((ContinuousStatsTable[[#This Row],[RepsRequested]]&gt;1),ContinuousStatsTable[[#This Row],[HalfWidth]],ContinuousStatsTable[[#This Row],[BatchMeansHalfWidth]])</f>
        <v>1.6709279991037516E-2</v>
      </c>
    </row>
    <row r="126" spans="1:21" x14ac:dyDescent="0.25">
      <c r="A126" t="s">
        <v>68</v>
      </c>
      <c r="B126" t="s">
        <v>70</v>
      </c>
      <c r="C126">
        <v>8</v>
      </c>
      <c r="D126" t="s">
        <v>105</v>
      </c>
      <c r="E126" t="s">
        <v>104</v>
      </c>
      <c r="F126" t="s">
        <v>102</v>
      </c>
      <c r="G126">
        <v>1</v>
      </c>
      <c r="H126">
        <v>2E+20</v>
      </c>
      <c r="I126">
        <v>1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1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1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1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25">
      <c r="A127" t="s">
        <v>68</v>
      </c>
      <c r="B127" t="s">
        <v>70</v>
      </c>
      <c r="C127">
        <v>8</v>
      </c>
      <c r="D127" t="s">
        <v>106</v>
      </c>
      <c r="E127" t="s">
        <v>101</v>
      </c>
      <c r="F127" t="s">
        <v>102</v>
      </c>
      <c r="G127">
        <v>7.86054338831427E-2</v>
      </c>
      <c r="H127">
        <v>2E+20</v>
      </c>
      <c r="I127">
        <v>0</v>
      </c>
      <c r="J127">
        <v>1</v>
      </c>
      <c r="K127">
        <v>1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5.3757894868807901E-2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0.103175045984152</v>
      </c>
      <c r="U127" s="5">
        <f>IF((ContinuousStatsTable[[#This Row],[RepsRequested]]&gt;1),ContinuousStatsTable[[#This Row],[HalfWidth]],ContinuousStatsTable[[#This Row],[BatchMeansHalfWidth]])</f>
        <v>4.9031825474871024E-3</v>
      </c>
    </row>
    <row r="128" spans="1:21" x14ac:dyDescent="0.25">
      <c r="A128" t="s">
        <v>68</v>
      </c>
      <c r="B128" t="s">
        <v>70</v>
      </c>
      <c r="C128">
        <v>8</v>
      </c>
      <c r="D128" t="s">
        <v>106</v>
      </c>
      <c r="E128" t="s">
        <v>103</v>
      </c>
      <c r="F128" t="s">
        <v>102</v>
      </c>
      <c r="G128">
        <v>7.86054338831427E-2</v>
      </c>
      <c r="H128">
        <v>2E+20</v>
      </c>
      <c r="I128">
        <v>0</v>
      </c>
      <c r="J128">
        <v>1</v>
      </c>
      <c r="K128">
        <v>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5.3757894868807901E-2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0.103175045984152</v>
      </c>
      <c r="U128" s="5">
        <f>IF((ContinuousStatsTable[[#This Row],[RepsRequested]]&gt;1),ContinuousStatsTable[[#This Row],[HalfWidth]],ContinuousStatsTable[[#This Row],[BatchMeansHalfWidth]])</f>
        <v>4.9031825474871024E-3</v>
      </c>
    </row>
    <row r="129" spans="1:21" x14ac:dyDescent="0.25">
      <c r="A129" t="s">
        <v>68</v>
      </c>
      <c r="B129" t="s">
        <v>70</v>
      </c>
      <c r="C129">
        <v>8</v>
      </c>
      <c r="D129" t="s">
        <v>106</v>
      </c>
      <c r="E129" t="s">
        <v>104</v>
      </c>
      <c r="F129" t="s">
        <v>102</v>
      </c>
      <c r="G129">
        <v>1</v>
      </c>
      <c r="H129">
        <v>2E+20</v>
      </c>
      <c r="I129">
        <v>1</v>
      </c>
      <c r="J129">
        <v>1</v>
      </c>
      <c r="K129">
        <v>1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1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1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1</v>
      </c>
      <c r="U129" s="5">
        <f>IF((ContinuousStatsTable[[#This Row],[RepsRequested]]&gt;1),ContinuousStatsTable[[#This Row],[HalfWidth]],ContinuousStatsTable[[#This Row],[BatchMeansHalfWidth]])</f>
        <v>0</v>
      </c>
    </row>
    <row r="130" spans="1:21" x14ac:dyDescent="0.25">
      <c r="A130" t="s">
        <v>68</v>
      </c>
      <c r="B130" t="s">
        <v>70</v>
      </c>
      <c r="C130">
        <v>9</v>
      </c>
      <c r="D130" t="s">
        <v>71</v>
      </c>
      <c r="E130" t="s">
        <v>98</v>
      </c>
      <c r="F130" t="s">
        <v>73</v>
      </c>
      <c r="G130">
        <v>1.3917437808073101</v>
      </c>
      <c r="H130">
        <v>2E+20</v>
      </c>
      <c r="I130">
        <v>0</v>
      </c>
      <c r="J130">
        <v>6</v>
      </c>
      <c r="K130">
        <v>2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1.02094278585578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2.4343835485437801</v>
      </c>
      <c r="U130" s="5">
        <f>IF((ContinuousStatsTable[[#This Row],[RepsRequested]]&gt;1),ContinuousStatsTable[[#This Row],[HalfWidth]],ContinuousStatsTable[[#This Row],[BatchMeansHalfWidth]])</f>
        <v>0.1474422221508549</v>
      </c>
    </row>
    <row r="131" spans="1:21" x14ac:dyDescent="0.25">
      <c r="A131" t="s">
        <v>68</v>
      </c>
      <c r="B131" t="s">
        <v>70</v>
      </c>
      <c r="C131">
        <v>9</v>
      </c>
      <c r="D131" t="s">
        <v>84</v>
      </c>
      <c r="E131" t="s">
        <v>99</v>
      </c>
      <c r="F131" t="s">
        <v>86</v>
      </c>
      <c r="G131">
        <v>0</v>
      </c>
      <c r="H131">
        <v>2E+20</v>
      </c>
      <c r="I131">
        <v>0</v>
      </c>
      <c r="J131">
        <v>0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0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0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68</v>
      </c>
      <c r="B132" t="s">
        <v>70</v>
      </c>
      <c r="C132">
        <v>9</v>
      </c>
      <c r="D132" t="s">
        <v>87</v>
      </c>
      <c r="E132" t="s">
        <v>99</v>
      </c>
      <c r="F132" t="s">
        <v>86</v>
      </c>
      <c r="G132">
        <v>0.36490037982421197</v>
      </c>
      <c r="H132">
        <v>2E+20</v>
      </c>
      <c r="I132">
        <v>0</v>
      </c>
      <c r="J132">
        <v>2</v>
      </c>
      <c r="K132">
        <v>1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0.273073251721628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0.67472724368415504</v>
      </c>
      <c r="U132" s="5">
        <f>IF((ContinuousStatsTable[[#This Row],[RepsRequested]]&gt;1),ContinuousStatsTable[[#This Row],[HalfWidth]],ContinuousStatsTable[[#This Row],[BatchMeansHalfWidth]])</f>
        <v>4.3177361368283713E-2</v>
      </c>
    </row>
    <row r="133" spans="1:21" x14ac:dyDescent="0.25">
      <c r="A133" t="s">
        <v>68</v>
      </c>
      <c r="B133" t="s">
        <v>70</v>
      </c>
      <c r="C133">
        <v>9</v>
      </c>
      <c r="D133" t="s">
        <v>88</v>
      </c>
      <c r="E133" t="s">
        <v>99</v>
      </c>
      <c r="F133" t="s">
        <v>86</v>
      </c>
      <c r="G133">
        <v>0</v>
      </c>
      <c r="H133">
        <v>2E+20</v>
      </c>
      <c r="I133">
        <v>0</v>
      </c>
      <c r="J133">
        <v>1</v>
      </c>
      <c r="K133">
        <v>0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1.55056745953175E-4</v>
      </c>
      <c r="U133" s="5">
        <f>IF((ContinuousStatsTable[[#This Row],[RepsRequested]]&gt;1),ContinuousStatsTable[[#This Row],[HalfWidth]],ContinuousStatsTable[[#This Row],[BatchMeansHalfWidth]])</f>
        <v>1.0570888434535787E-5</v>
      </c>
    </row>
    <row r="134" spans="1:21" x14ac:dyDescent="0.25">
      <c r="A134" t="s">
        <v>68</v>
      </c>
      <c r="B134" t="s">
        <v>70</v>
      </c>
      <c r="C134">
        <v>9</v>
      </c>
      <c r="D134" t="s">
        <v>90</v>
      </c>
      <c r="E134" t="s">
        <v>99</v>
      </c>
      <c r="F134" t="s">
        <v>86</v>
      </c>
      <c r="G134">
        <v>1.52808228703373E-2</v>
      </c>
      <c r="H134">
        <v>2E+20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7.8516062990880695E-2</v>
      </c>
      <c r="U134" s="5">
        <f>IF((ContinuousStatsTable[[#This Row],[RepsRequested]]&gt;1),ContinuousStatsTable[[#This Row],[HalfWidth]],ContinuousStatsTable[[#This Row],[BatchMeansHalfWidth]])</f>
        <v>7.7862990748262884E-3</v>
      </c>
    </row>
    <row r="135" spans="1:21" x14ac:dyDescent="0.25">
      <c r="A135" t="s">
        <v>68</v>
      </c>
      <c r="B135" t="s">
        <v>70</v>
      </c>
      <c r="C135">
        <v>9</v>
      </c>
      <c r="D135" t="s">
        <v>92</v>
      </c>
      <c r="E135" t="s">
        <v>99</v>
      </c>
      <c r="F135" t="s">
        <v>86</v>
      </c>
      <c r="G135">
        <v>3.4413221771522201E-2</v>
      </c>
      <c r="H135">
        <v>2E+20</v>
      </c>
      <c r="I135">
        <v>0</v>
      </c>
      <c r="J135">
        <v>1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0.13654526635771</v>
      </c>
      <c r="U135" s="5">
        <f>IF((ContinuousStatsTable[[#This Row],[RepsRequested]]&gt;1),ContinuousStatsTable[[#This Row],[HalfWidth]],ContinuousStatsTable[[#This Row],[BatchMeansHalfWidth]])</f>
        <v>1.2216139820952973E-2</v>
      </c>
    </row>
    <row r="136" spans="1:21" x14ac:dyDescent="0.25">
      <c r="A136" t="s">
        <v>68</v>
      </c>
      <c r="B136" t="s">
        <v>70</v>
      </c>
      <c r="C136">
        <v>9</v>
      </c>
      <c r="D136" t="s">
        <v>94</v>
      </c>
      <c r="E136" t="s">
        <v>99</v>
      </c>
      <c r="F136" t="s">
        <v>86</v>
      </c>
      <c r="G136">
        <v>7.2114318757965201E-2</v>
      </c>
      <c r="H136">
        <v>2E+20</v>
      </c>
      <c r="I136">
        <v>0</v>
      </c>
      <c r="J136">
        <v>1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9.0453284135870501E-3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0.39547622058287801</v>
      </c>
      <c r="U136" s="5">
        <f>IF((ContinuousStatsTable[[#This Row],[RepsRequested]]&gt;1),ContinuousStatsTable[[#This Row],[HalfWidth]],ContinuousStatsTable[[#This Row],[BatchMeansHalfWidth]])</f>
        <v>3.5836113017914922E-2</v>
      </c>
    </row>
    <row r="137" spans="1:21" x14ac:dyDescent="0.25">
      <c r="A137" t="s">
        <v>68</v>
      </c>
      <c r="B137" t="s">
        <v>70</v>
      </c>
      <c r="C137">
        <v>9</v>
      </c>
      <c r="D137" t="s">
        <v>100</v>
      </c>
      <c r="E137" t="s">
        <v>101</v>
      </c>
      <c r="F137" t="s">
        <v>102</v>
      </c>
      <c r="G137">
        <v>0.43219764849044101</v>
      </c>
      <c r="H137">
        <v>2E+20</v>
      </c>
      <c r="I137">
        <v>0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0.31277577999924699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0.60626731984831705</v>
      </c>
      <c r="U137" s="5">
        <f>IF((ContinuousStatsTable[[#This Row],[RepsRequested]]&gt;1),ContinuousStatsTable[[#This Row],[HalfWidth]],ContinuousStatsTable[[#This Row],[BatchMeansHalfWidth]])</f>
        <v>2.7492927893383642E-2</v>
      </c>
    </row>
    <row r="138" spans="1:21" x14ac:dyDescent="0.25">
      <c r="A138" t="s">
        <v>68</v>
      </c>
      <c r="B138" t="s">
        <v>70</v>
      </c>
      <c r="C138">
        <v>9</v>
      </c>
      <c r="D138" t="s">
        <v>100</v>
      </c>
      <c r="E138" t="s">
        <v>103</v>
      </c>
      <c r="F138" t="s">
        <v>102</v>
      </c>
      <c r="G138">
        <v>0.43219764849044101</v>
      </c>
      <c r="H138">
        <v>2E+20</v>
      </c>
      <c r="I138">
        <v>0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0.31277577999924699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0.60626731984831705</v>
      </c>
      <c r="U138" s="5">
        <f>IF((ContinuousStatsTable[[#This Row],[RepsRequested]]&gt;1),ContinuousStatsTable[[#This Row],[HalfWidth]],ContinuousStatsTable[[#This Row],[BatchMeansHalfWidth]])</f>
        <v>2.7492927893383642E-2</v>
      </c>
    </row>
    <row r="139" spans="1:21" x14ac:dyDescent="0.25">
      <c r="A139" t="s">
        <v>68</v>
      </c>
      <c r="B139" t="s">
        <v>70</v>
      </c>
      <c r="C139">
        <v>9</v>
      </c>
      <c r="D139" t="s">
        <v>100</v>
      </c>
      <c r="E139" t="s">
        <v>104</v>
      </c>
      <c r="F139" t="s">
        <v>102</v>
      </c>
      <c r="G139">
        <v>1</v>
      </c>
      <c r="H139">
        <v>2E+20</v>
      </c>
      <c r="I139">
        <v>1</v>
      </c>
      <c r="J139">
        <v>1</v>
      </c>
      <c r="K139">
        <v>1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25">
      <c r="A140" t="s">
        <v>68</v>
      </c>
      <c r="B140" t="s">
        <v>70</v>
      </c>
      <c r="C140">
        <v>9</v>
      </c>
      <c r="D140" t="s">
        <v>105</v>
      </c>
      <c r="E140" t="s">
        <v>101</v>
      </c>
      <c r="F140" t="s">
        <v>102</v>
      </c>
      <c r="G140">
        <v>0.243059589918139</v>
      </c>
      <c r="H140">
        <v>2E+20</v>
      </c>
      <c r="I140">
        <v>0</v>
      </c>
      <c r="J140">
        <v>1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0.194735973294278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0.35775345817659199</v>
      </c>
      <c r="U140" s="5">
        <f>IF((ContinuousStatsTable[[#This Row],[RepsRequested]]&gt;1),ContinuousStatsTable[[#This Row],[HalfWidth]],ContinuousStatsTable[[#This Row],[BatchMeansHalfWidth]])</f>
        <v>1.6709279991037516E-2</v>
      </c>
    </row>
    <row r="141" spans="1:21" x14ac:dyDescent="0.25">
      <c r="A141" t="s">
        <v>68</v>
      </c>
      <c r="B141" t="s">
        <v>70</v>
      </c>
      <c r="C141">
        <v>9</v>
      </c>
      <c r="D141" t="s">
        <v>105</v>
      </c>
      <c r="E141" t="s">
        <v>103</v>
      </c>
      <c r="F141" t="s">
        <v>102</v>
      </c>
      <c r="G141">
        <v>0.243059589918139</v>
      </c>
      <c r="H141">
        <v>2E+20</v>
      </c>
      <c r="I141">
        <v>0</v>
      </c>
      <c r="J141">
        <v>1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0.194735973294278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0.35775345817659199</v>
      </c>
      <c r="U141" s="5">
        <f>IF((ContinuousStatsTable[[#This Row],[RepsRequested]]&gt;1),ContinuousStatsTable[[#This Row],[HalfWidth]],ContinuousStatsTable[[#This Row],[BatchMeansHalfWidth]])</f>
        <v>1.6709279991037516E-2</v>
      </c>
    </row>
    <row r="142" spans="1:21" x14ac:dyDescent="0.25">
      <c r="A142" t="s">
        <v>68</v>
      </c>
      <c r="B142" t="s">
        <v>70</v>
      </c>
      <c r="C142">
        <v>9</v>
      </c>
      <c r="D142" t="s">
        <v>105</v>
      </c>
      <c r="E142" t="s">
        <v>104</v>
      </c>
      <c r="F142" t="s">
        <v>102</v>
      </c>
      <c r="G142">
        <v>1</v>
      </c>
      <c r="H142">
        <v>2E+20</v>
      </c>
      <c r="I142">
        <v>1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1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1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1</v>
      </c>
      <c r="U142" s="5">
        <f>IF((ContinuousStatsTable[[#This Row],[RepsRequested]]&gt;1),ContinuousStatsTable[[#This Row],[HalfWidth]],ContinuousStatsTable[[#This Row],[BatchMeansHalfWidth]])</f>
        <v>0</v>
      </c>
    </row>
    <row r="143" spans="1:21" x14ac:dyDescent="0.25">
      <c r="A143" t="s">
        <v>68</v>
      </c>
      <c r="B143" t="s">
        <v>70</v>
      </c>
      <c r="C143">
        <v>9</v>
      </c>
      <c r="D143" t="s">
        <v>106</v>
      </c>
      <c r="E143" t="s">
        <v>101</v>
      </c>
      <c r="F143" t="s">
        <v>102</v>
      </c>
      <c r="G143">
        <v>7.6592599724896404E-2</v>
      </c>
      <c r="H143">
        <v>2E+20</v>
      </c>
      <c r="I143">
        <v>0</v>
      </c>
      <c r="J143">
        <v>1</v>
      </c>
      <c r="K143">
        <v>0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5.3757894868807901E-2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0.103175045984152</v>
      </c>
      <c r="U143" s="5">
        <f>IF((ContinuousStatsTable[[#This Row],[RepsRequested]]&gt;1),ContinuousStatsTable[[#This Row],[HalfWidth]],ContinuousStatsTable[[#This Row],[BatchMeansHalfWidth]])</f>
        <v>4.9031825474871024E-3</v>
      </c>
    </row>
    <row r="144" spans="1:21" x14ac:dyDescent="0.25">
      <c r="A144" t="s">
        <v>68</v>
      </c>
      <c r="B144" t="s">
        <v>70</v>
      </c>
      <c r="C144">
        <v>9</v>
      </c>
      <c r="D144" t="s">
        <v>106</v>
      </c>
      <c r="E144" t="s">
        <v>103</v>
      </c>
      <c r="F144" t="s">
        <v>102</v>
      </c>
      <c r="G144">
        <v>7.6592599724896404E-2</v>
      </c>
      <c r="H144">
        <v>2E+20</v>
      </c>
      <c r="I144">
        <v>0</v>
      </c>
      <c r="J144">
        <v>1</v>
      </c>
      <c r="K144">
        <v>0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5.3757894868807901E-2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0.103175045984152</v>
      </c>
      <c r="U144" s="5">
        <f>IF((ContinuousStatsTable[[#This Row],[RepsRequested]]&gt;1),ContinuousStatsTable[[#This Row],[HalfWidth]],ContinuousStatsTable[[#This Row],[BatchMeansHalfWidth]])</f>
        <v>4.9031825474871024E-3</v>
      </c>
    </row>
    <row r="145" spans="1:21" x14ac:dyDescent="0.25">
      <c r="A145" t="s">
        <v>68</v>
      </c>
      <c r="B145" t="s">
        <v>70</v>
      </c>
      <c r="C145">
        <v>9</v>
      </c>
      <c r="D145" t="s">
        <v>106</v>
      </c>
      <c r="E145" t="s">
        <v>104</v>
      </c>
      <c r="F145" t="s">
        <v>102</v>
      </c>
      <c r="G145">
        <v>1</v>
      </c>
      <c r="H145">
        <v>2E+20</v>
      </c>
      <c r="I145">
        <v>1</v>
      </c>
      <c r="J145">
        <v>1</v>
      </c>
      <c r="K145">
        <v>1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1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1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1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25">
      <c r="A146" t="s">
        <v>68</v>
      </c>
      <c r="B146" t="s">
        <v>70</v>
      </c>
      <c r="C146">
        <v>10</v>
      </c>
      <c r="D146" t="s">
        <v>71</v>
      </c>
      <c r="E146" t="s">
        <v>98</v>
      </c>
      <c r="F146" t="s">
        <v>73</v>
      </c>
      <c r="G146">
        <v>1.62072353787054</v>
      </c>
      <c r="H146">
        <v>2E+20</v>
      </c>
      <c r="I146">
        <v>0</v>
      </c>
      <c r="J146">
        <v>7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1.02094278585578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2.4343835485437801</v>
      </c>
      <c r="U146" s="5">
        <f>IF((ContinuousStatsTable[[#This Row],[RepsRequested]]&gt;1),ContinuousStatsTable[[#This Row],[HalfWidth]],ContinuousStatsTable[[#This Row],[BatchMeansHalfWidth]])</f>
        <v>0.1474422221508549</v>
      </c>
    </row>
    <row r="147" spans="1:21" x14ac:dyDescent="0.25">
      <c r="A147" t="s">
        <v>68</v>
      </c>
      <c r="B147" t="s">
        <v>70</v>
      </c>
      <c r="C147">
        <v>10</v>
      </c>
      <c r="D147" t="s">
        <v>84</v>
      </c>
      <c r="E147" t="s">
        <v>99</v>
      </c>
      <c r="F147" t="s">
        <v>86</v>
      </c>
      <c r="G147">
        <v>0</v>
      </c>
      <c r="H147">
        <v>2E+20</v>
      </c>
      <c r="I147">
        <v>0</v>
      </c>
      <c r="J147">
        <v>0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0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0</v>
      </c>
      <c r="U147" s="5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68</v>
      </c>
      <c r="B148" t="s">
        <v>70</v>
      </c>
      <c r="C148">
        <v>10</v>
      </c>
      <c r="D148" t="s">
        <v>87</v>
      </c>
      <c r="E148" t="s">
        <v>99</v>
      </c>
      <c r="F148" t="s">
        <v>86</v>
      </c>
      <c r="G148">
        <v>0.42781979733370701</v>
      </c>
      <c r="H148">
        <v>2E+20</v>
      </c>
      <c r="I148">
        <v>0</v>
      </c>
      <c r="J148">
        <v>3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0.273073251721628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0.67472724368415504</v>
      </c>
      <c r="U148" s="5">
        <f>IF((ContinuousStatsTable[[#This Row],[RepsRequested]]&gt;1),ContinuousStatsTable[[#This Row],[HalfWidth]],ContinuousStatsTable[[#This Row],[BatchMeansHalfWidth]])</f>
        <v>4.3177361368283713E-2</v>
      </c>
    </row>
    <row r="149" spans="1:21" x14ac:dyDescent="0.25">
      <c r="A149" t="s">
        <v>68</v>
      </c>
      <c r="B149" t="s">
        <v>70</v>
      </c>
      <c r="C149">
        <v>10</v>
      </c>
      <c r="D149" t="s">
        <v>88</v>
      </c>
      <c r="E149" t="s">
        <v>99</v>
      </c>
      <c r="F149" t="s">
        <v>86</v>
      </c>
      <c r="G149">
        <v>0</v>
      </c>
      <c r="H149">
        <v>2E+20</v>
      </c>
      <c r="I149">
        <v>0</v>
      </c>
      <c r="J149">
        <v>1</v>
      </c>
      <c r="K149">
        <v>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1.55056745953175E-4</v>
      </c>
      <c r="U149" s="5">
        <f>IF((ContinuousStatsTable[[#This Row],[RepsRequested]]&gt;1),ContinuousStatsTable[[#This Row],[HalfWidth]],ContinuousStatsTable[[#This Row],[BatchMeansHalfWidth]])</f>
        <v>1.0570888434535787E-5</v>
      </c>
    </row>
    <row r="150" spans="1:21" x14ac:dyDescent="0.25">
      <c r="A150" t="s">
        <v>68</v>
      </c>
      <c r="B150" t="s">
        <v>70</v>
      </c>
      <c r="C150">
        <v>10</v>
      </c>
      <c r="D150" t="s">
        <v>90</v>
      </c>
      <c r="E150" t="s">
        <v>99</v>
      </c>
      <c r="F150" t="s">
        <v>86</v>
      </c>
      <c r="G150">
        <v>1.4625623865391299E-2</v>
      </c>
      <c r="H150">
        <v>2E+20</v>
      </c>
      <c r="I150">
        <v>0</v>
      </c>
      <c r="J150">
        <v>1</v>
      </c>
      <c r="K150">
        <v>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7.8516062990880695E-2</v>
      </c>
      <c r="U150" s="5">
        <f>IF((ContinuousStatsTable[[#This Row],[RepsRequested]]&gt;1),ContinuousStatsTable[[#This Row],[HalfWidth]],ContinuousStatsTable[[#This Row],[BatchMeansHalfWidth]])</f>
        <v>7.7862990748262884E-3</v>
      </c>
    </row>
    <row r="151" spans="1:21" x14ac:dyDescent="0.25">
      <c r="A151" t="s">
        <v>68</v>
      </c>
      <c r="B151" t="s">
        <v>70</v>
      </c>
      <c r="C151">
        <v>10</v>
      </c>
      <c r="D151" t="s">
        <v>92</v>
      </c>
      <c r="E151" t="s">
        <v>99</v>
      </c>
      <c r="F151" t="s">
        <v>86</v>
      </c>
      <c r="G151">
        <v>4.1429197269548697E-2</v>
      </c>
      <c r="H151">
        <v>2E+20</v>
      </c>
      <c r="I151">
        <v>0</v>
      </c>
      <c r="J151">
        <v>1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0.13654526635771</v>
      </c>
      <c r="U151" s="5">
        <f>IF((ContinuousStatsTable[[#This Row],[RepsRequested]]&gt;1),ContinuousStatsTable[[#This Row],[HalfWidth]],ContinuousStatsTable[[#This Row],[BatchMeansHalfWidth]])</f>
        <v>1.2216139820952973E-2</v>
      </c>
    </row>
    <row r="152" spans="1:21" x14ac:dyDescent="0.25">
      <c r="A152" t="s">
        <v>68</v>
      </c>
      <c r="B152" t="s">
        <v>70</v>
      </c>
      <c r="C152">
        <v>10</v>
      </c>
      <c r="D152" t="s">
        <v>94</v>
      </c>
      <c r="E152" t="s">
        <v>99</v>
      </c>
      <c r="F152" t="s">
        <v>86</v>
      </c>
      <c r="G152">
        <v>9.3170205827645E-2</v>
      </c>
      <c r="H152">
        <v>2E+20</v>
      </c>
      <c r="I152">
        <v>0</v>
      </c>
      <c r="J152">
        <v>2</v>
      </c>
      <c r="K152">
        <v>0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30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9.0453284135870501E-3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0.39547622058287801</v>
      </c>
      <c r="U152" s="5">
        <f>IF((ContinuousStatsTable[[#This Row],[RepsRequested]]&gt;1),ContinuousStatsTable[[#This Row],[HalfWidth]],ContinuousStatsTable[[#This Row],[BatchMeansHalfWidth]])</f>
        <v>3.5836113017914922E-2</v>
      </c>
    </row>
    <row r="153" spans="1:21" x14ac:dyDescent="0.25">
      <c r="A153" t="s">
        <v>68</v>
      </c>
      <c r="B153" t="s">
        <v>70</v>
      </c>
      <c r="C153">
        <v>10</v>
      </c>
      <c r="D153" t="s">
        <v>100</v>
      </c>
      <c r="E153" t="s">
        <v>101</v>
      </c>
      <c r="F153" t="s">
        <v>102</v>
      </c>
      <c r="G153">
        <v>0.50390271509443996</v>
      </c>
      <c r="H153">
        <v>2E+20</v>
      </c>
      <c r="I153">
        <v>0</v>
      </c>
      <c r="J153">
        <v>1</v>
      </c>
      <c r="K153">
        <v>0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30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0.31277577999924699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0.60626731984831705</v>
      </c>
      <c r="U153" s="5">
        <f>IF((ContinuousStatsTable[[#This Row],[RepsRequested]]&gt;1),ContinuousStatsTable[[#This Row],[HalfWidth]],ContinuousStatsTable[[#This Row],[BatchMeansHalfWidth]])</f>
        <v>2.7492927893383642E-2</v>
      </c>
    </row>
    <row r="154" spans="1:21" x14ac:dyDescent="0.25">
      <c r="A154" t="s">
        <v>68</v>
      </c>
      <c r="B154" t="s">
        <v>70</v>
      </c>
      <c r="C154">
        <v>10</v>
      </c>
      <c r="D154" t="s">
        <v>100</v>
      </c>
      <c r="E154" t="s">
        <v>103</v>
      </c>
      <c r="F154" t="s">
        <v>102</v>
      </c>
      <c r="G154">
        <v>0.50390271509443996</v>
      </c>
      <c r="H154">
        <v>2E+20</v>
      </c>
      <c r="I154">
        <v>0</v>
      </c>
      <c r="J154">
        <v>1</v>
      </c>
      <c r="K154">
        <v>0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30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0.31277577999924699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0.60626731984831705</v>
      </c>
      <c r="U154" s="5">
        <f>IF((ContinuousStatsTable[[#This Row],[RepsRequested]]&gt;1),ContinuousStatsTable[[#This Row],[HalfWidth]],ContinuousStatsTable[[#This Row],[BatchMeansHalfWidth]])</f>
        <v>2.7492927893383642E-2</v>
      </c>
    </row>
    <row r="155" spans="1:21" x14ac:dyDescent="0.25">
      <c r="A155" t="s">
        <v>68</v>
      </c>
      <c r="B155" t="s">
        <v>70</v>
      </c>
      <c r="C155">
        <v>10</v>
      </c>
      <c r="D155" t="s">
        <v>100</v>
      </c>
      <c r="E155" t="s">
        <v>104</v>
      </c>
      <c r="F155" t="s">
        <v>102</v>
      </c>
      <c r="G155">
        <v>1</v>
      </c>
      <c r="H155">
        <v>2E+20</v>
      </c>
      <c r="I155">
        <v>1</v>
      </c>
      <c r="J155">
        <v>1</v>
      </c>
      <c r="K155">
        <v>1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30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1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1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1</v>
      </c>
      <c r="U155" s="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68</v>
      </c>
      <c r="B156" t="s">
        <v>70</v>
      </c>
      <c r="C156">
        <v>10</v>
      </c>
      <c r="D156" t="s">
        <v>105</v>
      </c>
      <c r="E156" t="s">
        <v>101</v>
      </c>
      <c r="F156" t="s">
        <v>102</v>
      </c>
      <c r="G156">
        <v>0.301170673427959</v>
      </c>
      <c r="H156">
        <v>2E+20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30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0.194735973294278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0.35775345817659199</v>
      </c>
      <c r="U156" s="5">
        <f>IF((ContinuousStatsTable[[#This Row],[RepsRequested]]&gt;1),ContinuousStatsTable[[#This Row],[HalfWidth]],ContinuousStatsTable[[#This Row],[BatchMeansHalfWidth]])</f>
        <v>1.6709279991037516E-2</v>
      </c>
    </row>
    <row r="157" spans="1:21" x14ac:dyDescent="0.25">
      <c r="A157" t="s">
        <v>68</v>
      </c>
      <c r="B157" t="s">
        <v>70</v>
      </c>
      <c r="C157">
        <v>10</v>
      </c>
      <c r="D157" t="s">
        <v>105</v>
      </c>
      <c r="E157" t="s">
        <v>103</v>
      </c>
      <c r="F157" t="s">
        <v>102</v>
      </c>
      <c r="G157">
        <v>0.301170673427959</v>
      </c>
      <c r="H157">
        <v>2E+20</v>
      </c>
      <c r="I157">
        <v>0</v>
      </c>
      <c r="J157">
        <v>1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30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0.194735973294278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0.35775345817659199</v>
      </c>
      <c r="U157" s="5">
        <f>IF((ContinuousStatsTable[[#This Row],[RepsRequested]]&gt;1),ContinuousStatsTable[[#This Row],[HalfWidth]],ContinuousStatsTable[[#This Row],[BatchMeansHalfWidth]])</f>
        <v>1.6709279991037516E-2</v>
      </c>
    </row>
    <row r="158" spans="1:21" x14ac:dyDescent="0.25">
      <c r="A158" t="s">
        <v>68</v>
      </c>
      <c r="B158" t="s">
        <v>70</v>
      </c>
      <c r="C158">
        <v>10</v>
      </c>
      <c r="D158" t="s">
        <v>105</v>
      </c>
      <c r="E158" t="s">
        <v>104</v>
      </c>
      <c r="F158" t="s">
        <v>102</v>
      </c>
      <c r="G158">
        <v>1</v>
      </c>
      <c r="H158">
        <v>2E+20</v>
      </c>
      <c r="I158">
        <v>1</v>
      </c>
      <c r="J158">
        <v>1</v>
      </c>
      <c r="K158">
        <v>1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30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1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1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1</v>
      </c>
      <c r="U158" s="5">
        <f>IF((ContinuousStatsTable[[#This Row],[RepsRequested]]&gt;1),ContinuousStatsTable[[#This Row],[HalfWidth]],ContinuousStatsTable[[#This Row],[BatchMeansHalfWidth]])</f>
        <v>0</v>
      </c>
    </row>
    <row r="159" spans="1:21" x14ac:dyDescent="0.25">
      <c r="A159" t="s">
        <v>68</v>
      </c>
      <c r="B159" t="s">
        <v>70</v>
      </c>
      <c r="C159">
        <v>10</v>
      </c>
      <c r="D159" t="s">
        <v>106</v>
      </c>
      <c r="E159" t="s">
        <v>101</v>
      </c>
      <c r="F159" t="s">
        <v>102</v>
      </c>
      <c r="G159">
        <v>7.9535108350616099E-2</v>
      </c>
      <c r="H159">
        <v>2E+20</v>
      </c>
      <c r="I159">
        <v>0</v>
      </c>
      <c r="J159">
        <v>1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30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5.3757894868807901E-2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0.103175045984152</v>
      </c>
      <c r="U159" s="5">
        <f>IF((ContinuousStatsTable[[#This Row],[RepsRequested]]&gt;1),ContinuousStatsTable[[#This Row],[HalfWidth]],ContinuousStatsTable[[#This Row],[BatchMeansHalfWidth]])</f>
        <v>4.9031825474871024E-3</v>
      </c>
    </row>
    <row r="160" spans="1:21" x14ac:dyDescent="0.25">
      <c r="A160" t="s">
        <v>68</v>
      </c>
      <c r="B160" t="s">
        <v>70</v>
      </c>
      <c r="C160">
        <v>10</v>
      </c>
      <c r="D160" t="s">
        <v>106</v>
      </c>
      <c r="E160" t="s">
        <v>103</v>
      </c>
      <c r="F160" t="s">
        <v>102</v>
      </c>
      <c r="G160">
        <v>7.9535108350616099E-2</v>
      </c>
      <c r="H160">
        <v>2E+20</v>
      </c>
      <c r="I160">
        <v>0</v>
      </c>
      <c r="J160">
        <v>1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30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5.3757894868807901E-2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0.103175045984152</v>
      </c>
      <c r="U160" s="5">
        <f>IF((ContinuousStatsTable[[#This Row],[RepsRequested]]&gt;1),ContinuousStatsTable[[#This Row],[HalfWidth]],ContinuousStatsTable[[#This Row],[BatchMeansHalfWidth]])</f>
        <v>4.9031825474871024E-3</v>
      </c>
    </row>
    <row r="161" spans="1:21" x14ac:dyDescent="0.25">
      <c r="A161" t="s">
        <v>68</v>
      </c>
      <c r="B161" t="s">
        <v>70</v>
      </c>
      <c r="C161">
        <v>10</v>
      </c>
      <c r="D161" t="s">
        <v>106</v>
      </c>
      <c r="E161" t="s">
        <v>104</v>
      </c>
      <c r="F161" t="s">
        <v>102</v>
      </c>
      <c r="G161">
        <v>1</v>
      </c>
      <c r="H161">
        <v>2E+20</v>
      </c>
      <c r="I161">
        <v>1</v>
      </c>
      <c r="J161">
        <v>1</v>
      </c>
      <c r="K161">
        <v>1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30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1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68</v>
      </c>
      <c r="B162" t="s">
        <v>70</v>
      </c>
      <c r="C162">
        <v>11</v>
      </c>
      <c r="D162" t="s">
        <v>71</v>
      </c>
      <c r="E162" t="s">
        <v>98</v>
      </c>
      <c r="F162" t="s">
        <v>73</v>
      </c>
      <c r="G162">
        <v>1.8870731525847699</v>
      </c>
      <c r="H162">
        <v>2E+20</v>
      </c>
      <c r="I162">
        <v>0</v>
      </c>
      <c r="J162">
        <v>8</v>
      </c>
      <c r="K162">
        <v>2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30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1.02094278585578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2.4343835485437801</v>
      </c>
      <c r="U162" s="5">
        <f>IF((ContinuousStatsTable[[#This Row],[RepsRequested]]&gt;1),ContinuousStatsTable[[#This Row],[HalfWidth]],ContinuousStatsTable[[#This Row],[BatchMeansHalfWidth]])</f>
        <v>0.1474422221508549</v>
      </c>
    </row>
    <row r="163" spans="1:21" x14ac:dyDescent="0.25">
      <c r="A163" t="s">
        <v>68</v>
      </c>
      <c r="B163" t="s">
        <v>70</v>
      </c>
      <c r="C163">
        <v>11</v>
      </c>
      <c r="D163" t="s">
        <v>84</v>
      </c>
      <c r="E163" t="s">
        <v>99</v>
      </c>
      <c r="F163" t="s">
        <v>86</v>
      </c>
      <c r="G163">
        <v>0</v>
      </c>
      <c r="H163">
        <v>2E+20</v>
      </c>
      <c r="I163">
        <v>0</v>
      </c>
      <c r="J163">
        <v>0</v>
      </c>
      <c r="K163">
        <v>0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30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68</v>
      </c>
      <c r="B164" t="s">
        <v>70</v>
      </c>
      <c r="C164">
        <v>11</v>
      </c>
      <c r="D164" t="s">
        <v>87</v>
      </c>
      <c r="E164" t="s">
        <v>99</v>
      </c>
      <c r="F164" t="s">
        <v>86</v>
      </c>
      <c r="G164">
        <v>0.50381728765845402</v>
      </c>
      <c r="H164">
        <v>2E+20</v>
      </c>
      <c r="I164">
        <v>0</v>
      </c>
      <c r="J164">
        <v>2</v>
      </c>
      <c r="K164">
        <v>0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30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0.273073251721628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0.67472724368415504</v>
      </c>
      <c r="U164" s="5">
        <f>IF((ContinuousStatsTable[[#This Row],[RepsRequested]]&gt;1),ContinuousStatsTable[[#This Row],[HalfWidth]],ContinuousStatsTable[[#This Row],[BatchMeansHalfWidth]])</f>
        <v>4.3177361368283713E-2</v>
      </c>
    </row>
    <row r="165" spans="1:21" x14ac:dyDescent="0.25">
      <c r="A165" t="s">
        <v>68</v>
      </c>
      <c r="B165" t="s">
        <v>70</v>
      </c>
      <c r="C165">
        <v>11</v>
      </c>
      <c r="D165" t="s">
        <v>88</v>
      </c>
      <c r="E165" t="s">
        <v>99</v>
      </c>
      <c r="F165" t="s">
        <v>86</v>
      </c>
      <c r="G165">
        <v>0</v>
      </c>
      <c r="H165">
        <v>2E+20</v>
      </c>
      <c r="I165">
        <v>0</v>
      </c>
      <c r="J165">
        <v>1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30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1.55056745953175E-4</v>
      </c>
      <c r="U165" s="5">
        <f>IF((ContinuousStatsTable[[#This Row],[RepsRequested]]&gt;1),ContinuousStatsTable[[#This Row],[HalfWidth]],ContinuousStatsTable[[#This Row],[BatchMeansHalfWidth]])</f>
        <v>1.0570888434535787E-5</v>
      </c>
    </row>
    <row r="166" spans="1:21" x14ac:dyDescent="0.25">
      <c r="A166" t="s">
        <v>68</v>
      </c>
      <c r="B166" t="s">
        <v>70</v>
      </c>
      <c r="C166">
        <v>11</v>
      </c>
      <c r="D166" t="s">
        <v>90</v>
      </c>
      <c r="E166" t="s">
        <v>99</v>
      </c>
      <c r="F166" t="s">
        <v>86</v>
      </c>
      <c r="G166">
        <v>3.4037698195009299E-2</v>
      </c>
      <c r="H166">
        <v>2E+20</v>
      </c>
      <c r="I166">
        <v>0</v>
      </c>
      <c r="J166">
        <v>2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30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0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7.8516062990880695E-2</v>
      </c>
      <c r="U166" s="5">
        <f>IF((ContinuousStatsTable[[#This Row],[RepsRequested]]&gt;1),ContinuousStatsTable[[#This Row],[HalfWidth]],ContinuousStatsTable[[#This Row],[BatchMeansHalfWidth]])</f>
        <v>7.7862990748262884E-3</v>
      </c>
    </row>
    <row r="167" spans="1:21" x14ac:dyDescent="0.25">
      <c r="A167" t="s">
        <v>68</v>
      </c>
      <c r="B167" t="s">
        <v>70</v>
      </c>
      <c r="C167">
        <v>11</v>
      </c>
      <c r="D167" t="s">
        <v>92</v>
      </c>
      <c r="E167" t="s">
        <v>99</v>
      </c>
      <c r="F167" t="s">
        <v>86</v>
      </c>
      <c r="G167">
        <v>5.85575674672607E-2</v>
      </c>
      <c r="H167">
        <v>2E+20</v>
      </c>
      <c r="I167">
        <v>0</v>
      </c>
      <c r="J167">
        <v>1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30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0.13654526635771</v>
      </c>
      <c r="U167" s="5">
        <f>IF((ContinuousStatsTable[[#This Row],[RepsRequested]]&gt;1),ContinuousStatsTable[[#This Row],[HalfWidth]],ContinuousStatsTable[[#This Row],[BatchMeansHalfWidth]])</f>
        <v>1.2216139820952973E-2</v>
      </c>
    </row>
    <row r="168" spans="1:21" x14ac:dyDescent="0.25">
      <c r="A168" t="s">
        <v>68</v>
      </c>
      <c r="B168" t="s">
        <v>70</v>
      </c>
      <c r="C168">
        <v>11</v>
      </c>
      <c r="D168" t="s">
        <v>94</v>
      </c>
      <c r="E168" t="s">
        <v>99</v>
      </c>
      <c r="F168" t="s">
        <v>86</v>
      </c>
      <c r="G168">
        <v>0.15271910590544299</v>
      </c>
      <c r="H168">
        <v>2E+20</v>
      </c>
      <c r="I168">
        <v>0</v>
      </c>
      <c r="J168">
        <v>2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30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9.0453284135870501E-3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0.39547622058287801</v>
      </c>
      <c r="U168" s="5">
        <f>IF((ContinuousStatsTable[[#This Row],[RepsRequested]]&gt;1),ContinuousStatsTable[[#This Row],[HalfWidth]],ContinuousStatsTable[[#This Row],[BatchMeansHalfWidth]])</f>
        <v>3.5836113017914922E-2</v>
      </c>
    </row>
    <row r="169" spans="1:21" x14ac:dyDescent="0.25">
      <c r="A169" t="s">
        <v>68</v>
      </c>
      <c r="B169" t="s">
        <v>70</v>
      </c>
      <c r="C169">
        <v>11</v>
      </c>
      <c r="D169" t="s">
        <v>100</v>
      </c>
      <c r="E169" t="s">
        <v>101</v>
      </c>
      <c r="F169" t="s">
        <v>102</v>
      </c>
      <c r="G169">
        <v>0.54448563197593103</v>
      </c>
      <c r="H169">
        <v>2E+20</v>
      </c>
      <c r="I169">
        <v>0</v>
      </c>
      <c r="J169">
        <v>1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30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0.31277577999924699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0.60626731984831705</v>
      </c>
      <c r="U169" s="5">
        <f>IF((ContinuousStatsTable[[#This Row],[RepsRequested]]&gt;1),ContinuousStatsTable[[#This Row],[HalfWidth]],ContinuousStatsTable[[#This Row],[BatchMeansHalfWidth]])</f>
        <v>2.7492927893383642E-2</v>
      </c>
    </row>
    <row r="170" spans="1:21" x14ac:dyDescent="0.25">
      <c r="A170" t="s">
        <v>68</v>
      </c>
      <c r="B170" t="s">
        <v>70</v>
      </c>
      <c r="C170">
        <v>11</v>
      </c>
      <c r="D170" t="s">
        <v>100</v>
      </c>
      <c r="E170" t="s">
        <v>103</v>
      </c>
      <c r="F170" t="s">
        <v>102</v>
      </c>
      <c r="G170">
        <v>0.54448563197593103</v>
      </c>
      <c r="H170">
        <v>2E+20</v>
      </c>
      <c r="I170">
        <v>0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30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0.31277577999924699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0.60626731984831705</v>
      </c>
      <c r="U170" s="5">
        <f>IF((ContinuousStatsTable[[#This Row],[RepsRequested]]&gt;1),ContinuousStatsTable[[#This Row],[HalfWidth]],ContinuousStatsTable[[#This Row],[BatchMeansHalfWidth]])</f>
        <v>2.7492927893383642E-2</v>
      </c>
    </row>
    <row r="171" spans="1:21" x14ac:dyDescent="0.25">
      <c r="A171" t="s">
        <v>68</v>
      </c>
      <c r="B171" t="s">
        <v>70</v>
      </c>
      <c r="C171">
        <v>11</v>
      </c>
      <c r="D171" t="s">
        <v>100</v>
      </c>
      <c r="E171" t="s">
        <v>104</v>
      </c>
      <c r="F171" t="s">
        <v>102</v>
      </c>
      <c r="G171">
        <v>1</v>
      </c>
      <c r="H171">
        <v>2E+20</v>
      </c>
      <c r="I171">
        <v>1</v>
      </c>
      <c r="J171">
        <v>1</v>
      </c>
      <c r="K171">
        <v>1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30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1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1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1</v>
      </c>
      <c r="U171" s="5">
        <f>IF((ContinuousStatsTable[[#This Row],[RepsRequested]]&gt;1),ContinuousStatsTable[[#This Row],[HalfWidth]],ContinuousStatsTable[[#This Row],[BatchMeansHalfWidth]])</f>
        <v>0</v>
      </c>
    </row>
    <row r="172" spans="1:21" x14ac:dyDescent="0.25">
      <c r="A172" t="s">
        <v>68</v>
      </c>
      <c r="B172" t="s">
        <v>70</v>
      </c>
      <c r="C172">
        <v>11</v>
      </c>
      <c r="D172" t="s">
        <v>105</v>
      </c>
      <c r="E172" t="s">
        <v>101</v>
      </c>
      <c r="F172" t="s">
        <v>102</v>
      </c>
      <c r="G172">
        <v>0.32278137218397002</v>
      </c>
      <c r="H172">
        <v>2E+20</v>
      </c>
      <c r="I172">
        <v>0</v>
      </c>
      <c r="J172">
        <v>1</v>
      </c>
      <c r="K172">
        <v>1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30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0.194735973294278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0.35775345817659199</v>
      </c>
      <c r="U172" s="5">
        <f>IF((ContinuousStatsTable[[#This Row],[RepsRequested]]&gt;1),ContinuousStatsTable[[#This Row],[HalfWidth]],ContinuousStatsTable[[#This Row],[BatchMeansHalfWidth]])</f>
        <v>1.6709279991037516E-2</v>
      </c>
    </row>
    <row r="173" spans="1:21" x14ac:dyDescent="0.25">
      <c r="A173" t="s">
        <v>68</v>
      </c>
      <c r="B173" t="s">
        <v>70</v>
      </c>
      <c r="C173">
        <v>11</v>
      </c>
      <c r="D173" t="s">
        <v>105</v>
      </c>
      <c r="E173" t="s">
        <v>103</v>
      </c>
      <c r="F173" t="s">
        <v>102</v>
      </c>
      <c r="G173">
        <v>0.32278137218397002</v>
      </c>
      <c r="H173">
        <v>2E+20</v>
      </c>
      <c r="I173">
        <v>0</v>
      </c>
      <c r="J173">
        <v>1</v>
      </c>
      <c r="K173">
        <v>1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30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0.194735973294278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0.35775345817659199</v>
      </c>
      <c r="U173" s="5">
        <f>IF((ContinuousStatsTable[[#This Row],[RepsRequested]]&gt;1),ContinuousStatsTable[[#This Row],[HalfWidth]],ContinuousStatsTable[[#This Row],[BatchMeansHalfWidth]])</f>
        <v>1.6709279991037516E-2</v>
      </c>
    </row>
    <row r="174" spans="1:21" x14ac:dyDescent="0.25">
      <c r="A174" t="s">
        <v>68</v>
      </c>
      <c r="B174" t="s">
        <v>70</v>
      </c>
      <c r="C174">
        <v>11</v>
      </c>
      <c r="D174" t="s">
        <v>105</v>
      </c>
      <c r="E174" t="s">
        <v>104</v>
      </c>
      <c r="F174" t="s">
        <v>102</v>
      </c>
      <c r="G174">
        <v>1</v>
      </c>
      <c r="H174">
        <v>2E+20</v>
      </c>
      <c r="I174">
        <v>1</v>
      </c>
      <c r="J174">
        <v>1</v>
      </c>
      <c r="K174">
        <v>1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30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1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1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1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68</v>
      </c>
      <c r="B175" t="s">
        <v>70</v>
      </c>
      <c r="C175">
        <v>11</v>
      </c>
      <c r="D175" t="s">
        <v>106</v>
      </c>
      <c r="E175" t="s">
        <v>101</v>
      </c>
      <c r="F175" t="s">
        <v>102</v>
      </c>
      <c r="G175">
        <v>9.0224829732901302E-2</v>
      </c>
      <c r="H175">
        <v>2E+20</v>
      </c>
      <c r="I175">
        <v>0</v>
      </c>
      <c r="J175">
        <v>1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30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5.3757894868807901E-2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0.103175045984152</v>
      </c>
      <c r="U175" s="5">
        <f>IF((ContinuousStatsTable[[#This Row],[RepsRequested]]&gt;1),ContinuousStatsTable[[#This Row],[HalfWidth]],ContinuousStatsTable[[#This Row],[BatchMeansHalfWidth]])</f>
        <v>4.9031825474871024E-3</v>
      </c>
    </row>
    <row r="176" spans="1:21" x14ac:dyDescent="0.25">
      <c r="A176" t="s">
        <v>68</v>
      </c>
      <c r="B176" t="s">
        <v>70</v>
      </c>
      <c r="C176">
        <v>11</v>
      </c>
      <c r="D176" t="s">
        <v>106</v>
      </c>
      <c r="E176" t="s">
        <v>103</v>
      </c>
      <c r="F176" t="s">
        <v>102</v>
      </c>
      <c r="G176">
        <v>9.0224829732901302E-2</v>
      </c>
      <c r="H176">
        <v>2E+20</v>
      </c>
      <c r="I176">
        <v>0</v>
      </c>
      <c r="J176">
        <v>1</v>
      </c>
      <c r="K176">
        <v>0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30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5.3757894868807901E-2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0.103175045984152</v>
      </c>
      <c r="U176" s="5">
        <f>IF((ContinuousStatsTable[[#This Row],[RepsRequested]]&gt;1),ContinuousStatsTable[[#This Row],[HalfWidth]],ContinuousStatsTable[[#This Row],[BatchMeansHalfWidth]])</f>
        <v>4.9031825474871024E-3</v>
      </c>
    </row>
    <row r="177" spans="1:21" x14ac:dyDescent="0.25">
      <c r="A177" t="s">
        <v>68</v>
      </c>
      <c r="B177" t="s">
        <v>70</v>
      </c>
      <c r="C177">
        <v>11</v>
      </c>
      <c r="D177" t="s">
        <v>106</v>
      </c>
      <c r="E177" t="s">
        <v>104</v>
      </c>
      <c r="F177" t="s">
        <v>102</v>
      </c>
      <c r="G177">
        <v>1</v>
      </c>
      <c r="H177">
        <v>2E+20</v>
      </c>
      <c r="I177">
        <v>1</v>
      </c>
      <c r="J177">
        <v>1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30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1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1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1</v>
      </c>
      <c r="U177" s="5">
        <f>IF((ContinuousStatsTable[[#This Row],[RepsRequested]]&gt;1),ContinuousStatsTable[[#This Row],[HalfWidth]],ContinuousStatsTable[[#This Row],[BatchMeansHalfWidth]])</f>
        <v>0</v>
      </c>
    </row>
    <row r="178" spans="1:21" x14ac:dyDescent="0.25">
      <c r="A178" t="s">
        <v>68</v>
      </c>
      <c r="B178" t="s">
        <v>70</v>
      </c>
      <c r="C178">
        <v>12</v>
      </c>
      <c r="D178" t="s">
        <v>71</v>
      </c>
      <c r="E178" t="s">
        <v>98</v>
      </c>
      <c r="F178" t="s">
        <v>73</v>
      </c>
      <c r="G178">
        <v>1.02432119510853</v>
      </c>
      <c r="H178">
        <v>2E+20</v>
      </c>
      <c r="I178">
        <v>0</v>
      </c>
      <c r="J178">
        <v>5</v>
      </c>
      <c r="K178">
        <v>2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30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1.02094278585578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2.4343835485437801</v>
      </c>
      <c r="U178" s="5">
        <f>IF((ContinuousStatsTable[[#This Row],[RepsRequested]]&gt;1),ContinuousStatsTable[[#This Row],[HalfWidth]],ContinuousStatsTable[[#This Row],[BatchMeansHalfWidth]])</f>
        <v>0.1474422221508549</v>
      </c>
    </row>
    <row r="179" spans="1:21" x14ac:dyDescent="0.25">
      <c r="A179" t="s">
        <v>68</v>
      </c>
      <c r="B179" t="s">
        <v>70</v>
      </c>
      <c r="C179">
        <v>12</v>
      </c>
      <c r="D179" t="s">
        <v>84</v>
      </c>
      <c r="E179" t="s">
        <v>99</v>
      </c>
      <c r="F179" t="s">
        <v>86</v>
      </c>
      <c r="G179">
        <v>0</v>
      </c>
      <c r="H179">
        <v>2E+20</v>
      </c>
      <c r="I179">
        <v>0</v>
      </c>
      <c r="J179">
        <v>0</v>
      </c>
      <c r="K179">
        <v>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30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0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0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25">
      <c r="A180" t="s">
        <v>68</v>
      </c>
      <c r="B180" t="s">
        <v>70</v>
      </c>
      <c r="C180">
        <v>12</v>
      </c>
      <c r="D180" t="s">
        <v>87</v>
      </c>
      <c r="E180" t="s">
        <v>99</v>
      </c>
      <c r="F180" t="s">
        <v>86</v>
      </c>
      <c r="G180">
        <v>0.27747528184478798</v>
      </c>
      <c r="H180">
        <v>2E+20</v>
      </c>
      <c r="I180">
        <v>0</v>
      </c>
      <c r="J180">
        <v>2</v>
      </c>
      <c r="K180">
        <v>1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30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0.273073251721628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0.67472724368415504</v>
      </c>
      <c r="U180" s="5">
        <f>IF((ContinuousStatsTable[[#This Row],[RepsRequested]]&gt;1),ContinuousStatsTable[[#This Row],[HalfWidth]],ContinuousStatsTable[[#This Row],[BatchMeansHalfWidth]])</f>
        <v>4.3177361368283713E-2</v>
      </c>
    </row>
    <row r="181" spans="1:21" x14ac:dyDescent="0.25">
      <c r="A181" t="s">
        <v>68</v>
      </c>
      <c r="B181" t="s">
        <v>70</v>
      </c>
      <c r="C181">
        <v>12</v>
      </c>
      <c r="D181" t="s">
        <v>88</v>
      </c>
      <c r="E181" t="s">
        <v>99</v>
      </c>
      <c r="F181" t="s">
        <v>86</v>
      </c>
      <c r="G181">
        <v>0</v>
      </c>
      <c r="H181">
        <v>2E+20</v>
      </c>
      <c r="I181">
        <v>0</v>
      </c>
      <c r="J181">
        <v>1</v>
      </c>
      <c r="K181">
        <v>0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30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1.55056745953175E-4</v>
      </c>
      <c r="U181" s="5">
        <f>IF((ContinuousStatsTable[[#This Row],[RepsRequested]]&gt;1),ContinuousStatsTable[[#This Row],[HalfWidth]],ContinuousStatsTable[[#This Row],[BatchMeansHalfWidth]])</f>
        <v>1.0570888434535787E-5</v>
      </c>
    </row>
    <row r="182" spans="1:21" x14ac:dyDescent="0.25">
      <c r="A182" t="s">
        <v>68</v>
      </c>
      <c r="B182" t="s">
        <v>70</v>
      </c>
      <c r="C182">
        <v>12</v>
      </c>
      <c r="D182" t="s">
        <v>90</v>
      </c>
      <c r="E182" t="s">
        <v>99</v>
      </c>
      <c r="F182" t="s">
        <v>86</v>
      </c>
      <c r="G182">
        <v>0</v>
      </c>
      <c r="H182">
        <v>2E+20</v>
      </c>
      <c r="I182">
        <v>0</v>
      </c>
      <c r="J182">
        <v>0</v>
      </c>
      <c r="K182">
        <v>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30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0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7.8516062990880695E-2</v>
      </c>
      <c r="U182" s="5">
        <f>IF((ContinuousStatsTable[[#This Row],[RepsRequested]]&gt;1),ContinuousStatsTable[[#This Row],[HalfWidth]],ContinuousStatsTable[[#This Row],[BatchMeansHalfWidth]])</f>
        <v>7.7862990748262884E-3</v>
      </c>
    </row>
    <row r="183" spans="1:21" x14ac:dyDescent="0.25">
      <c r="A183" t="s">
        <v>68</v>
      </c>
      <c r="B183" t="s">
        <v>70</v>
      </c>
      <c r="C183">
        <v>12</v>
      </c>
      <c r="D183" t="s">
        <v>92</v>
      </c>
      <c r="E183" t="s">
        <v>99</v>
      </c>
      <c r="F183" t="s">
        <v>86</v>
      </c>
      <c r="G183">
        <v>0</v>
      </c>
      <c r="H183">
        <v>2E+20</v>
      </c>
      <c r="I183">
        <v>0</v>
      </c>
      <c r="J183">
        <v>0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30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0.13654526635771</v>
      </c>
      <c r="U183" s="5">
        <f>IF((ContinuousStatsTable[[#This Row],[RepsRequested]]&gt;1),ContinuousStatsTable[[#This Row],[HalfWidth]],ContinuousStatsTable[[#This Row],[BatchMeansHalfWidth]])</f>
        <v>1.2216139820952973E-2</v>
      </c>
    </row>
    <row r="184" spans="1:21" x14ac:dyDescent="0.25">
      <c r="A184" t="s">
        <v>68</v>
      </c>
      <c r="B184" t="s">
        <v>70</v>
      </c>
      <c r="C184">
        <v>12</v>
      </c>
      <c r="D184" t="s">
        <v>94</v>
      </c>
      <c r="E184" t="s">
        <v>99</v>
      </c>
      <c r="F184" t="s">
        <v>86</v>
      </c>
      <c r="G184">
        <v>9.0453284135870501E-3</v>
      </c>
      <c r="H184">
        <v>2E+20</v>
      </c>
      <c r="I184">
        <v>0</v>
      </c>
      <c r="J184">
        <v>1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30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9.0453284135870501E-3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0.39547622058287801</v>
      </c>
      <c r="U184" s="5">
        <f>IF((ContinuousStatsTable[[#This Row],[RepsRequested]]&gt;1),ContinuousStatsTable[[#This Row],[HalfWidth]],ContinuousStatsTable[[#This Row],[BatchMeansHalfWidth]])</f>
        <v>3.5836113017914922E-2</v>
      </c>
    </row>
    <row r="185" spans="1:21" x14ac:dyDescent="0.25">
      <c r="A185" t="s">
        <v>68</v>
      </c>
      <c r="B185" t="s">
        <v>70</v>
      </c>
      <c r="C185">
        <v>12</v>
      </c>
      <c r="D185" t="s">
        <v>100</v>
      </c>
      <c r="E185" t="s">
        <v>101</v>
      </c>
      <c r="F185" t="s">
        <v>102</v>
      </c>
      <c r="G185">
        <v>0.357464010826059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30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0.31277577999924699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0.60626731984831705</v>
      </c>
      <c r="U185" s="5">
        <f>IF((ContinuousStatsTable[[#This Row],[RepsRequested]]&gt;1),ContinuousStatsTable[[#This Row],[HalfWidth]],ContinuousStatsTable[[#This Row],[BatchMeansHalfWidth]])</f>
        <v>2.7492927893383642E-2</v>
      </c>
    </row>
    <row r="186" spans="1:21" x14ac:dyDescent="0.25">
      <c r="A186" t="s">
        <v>68</v>
      </c>
      <c r="B186" t="s">
        <v>70</v>
      </c>
      <c r="C186">
        <v>12</v>
      </c>
      <c r="D186" t="s">
        <v>100</v>
      </c>
      <c r="E186" t="s">
        <v>103</v>
      </c>
      <c r="F186" t="s">
        <v>102</v>
      </c>
      <c r="G186">
        <v>0.357464010826059</v>
      </c>
      <c r="H186">
        <v>2E+20</v>
      </c>
      <c r="I186">
        <v>0</v>
      </c>
      <c r="J186">
        <v>1</v>
      </c>
      <c r="K186">
        <v>1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30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0.31277577999924699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0.60626731984831705</v>
      </c>
      <c r="U186" s="5">
        <f>IF((ContinuousStatsTable[[#This Row],[RepsRequested]]&gt;1),ContinuousStatsTable[[#This Row],[HalfWidth]],ContinuousStatsTable[[#This Row],[BatchMeansHalfWidth]])</f>
        <v>2.7492927893383642E-2</v>
      </c>
    </row>
    <row r="187" spans="1:21" x14ac:dyDescent="0.25">
      <c r="A187" t="s">
        <v>68</v>
      </c>
      <c r="B187" t="s">
        <v>70</v>
      </c>
      <c r="C187">
        <v>12</v>
      </c>
      <c r="D187" t="s">
        <v>100</v>
      </c>
      <c r="E187" t="s">
        <v>104</v>
      </c>
      <c r="F187" t="s">
        <v>102</v>
      </c>
      <c r="G187">
        <v>1</v>
      </c>
      <c r="H187">
        <v>2E+20</v>
      </c>
      <c r="I187">
        <v>1</v>
      </c>
      <c r="J187">
        <v>1</v>
      </c>
      <c r="K187">
        <v>1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30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1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1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1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68</v>
      </c>
      <c r="B188" t="s">
        <v>70</v>
      </c>
      <c r="C188">
        <v>12</v>
      </c>
      <c r="D188" t="s">
        <v>105</v>
      </c>
      <c r="E188" t="s">
        <v>101</v>
      </c>
      <c r="F188" t="s">
        <v>102</v>
      </c>
      <c r="G188">
        <v>0.20999448294936299</v>
      </c>
      <c r="H188">
        <v>2E+20</v>
      </c>
      <c r="I188">
        <v>0</v>
      </c>
      <c r="J188">
        <v>1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30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0.194735973294278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0.35775345817659199</v>
      </c>
      <c r="U188" s="5">
        <f>IF((ContinuousStatsTable[[#This Row],[RepsRequested]]&gt;1),ContinuousStatsTable[[#This Row],[HalfWidth]],ContinuousStatsTable[[#This Row],[BatchMeansHalfWidth]])</f>
        <v>1.6709279991037516E-2</v>
      </c>
    </row>
    <row r="189" spans="1:21" x14ac:dyDescent="0.25">
      <c r="A189" t="s">
        <v>68</v>
      </c>
      <c r="B189" t="s">
        <v>70</v>
      </c>
      <c r="C189">
        <v>12</v>
      </c>
      <c r="D189" t="s">
        <v>105</v>
      </c>
      <c r="E189" t="s">
        <v>103</v>
      </c>
      <c r="F189" t="s">
        <v>102</v>
      </c>
      <c r="G189">
        <v>0.20999448294936299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30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0.194735973294278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0.35775345817659199</v>
      </c>
      <c r="U189" s="5">
        <f>IF((ContinuousStatsTable[[#This Row],[RepsRequested]]&gt;1),ContinuousStatsTable[[#This Row],[HalfWidth]],ContinuousStatsTable[[#This Row],[BatchMeansHalfWidth]])</f>
        <v>1.6709279991037516E-2</v>
      </c>
    </row>
    <row r="190" spans="1:21" x14ac:dyDescent="0.25">
      <c r="A190" t="s">
        <v>68</v>
      </c>
      <c r="B190" t="s">
        <v>70</v>
      </c>
      <c r="C190">
        <v>12</v>
      </c>
      <c r="D190" t="s">
        <v>105</v>
      </c>
      <c r="E190" t="s">
        <v>104</v>
      </c>
      <c r="F190" t="s">
        <v>102</v>
      </c>
      <c r="G190">
        <v>1</v>
      </c>
      <c r="H190">
        <v>2E+20</v>
      </c>
      <c r="I190">
        <v>1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30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1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1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25">
      <c r="A191" t="s">
        <v>68</v>
      </c>
      <c r="B191" t="s">
        <v>70</v>
      </c>
      <c r="C191">
        <v>12</v>
      </c>
      <c r="D191" t="s">
        <v>106</v>
      </c>
      <c r="E191" t="s">
        <v>101</v>
      </c>
      <c r="F191" t="s">
        <v>102</v>
      </c>
      <c r="G191">
        <v>5.6780697024912299E-2</v>
      </c>
      <c r="H191">
        <v>2E+20</v>
      </c>
      <c r="I191">
        <v>0</v>
      </c>
      <c r="J191">
        <v>1</v>
      </c>
      <c r="K191">
        <v>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30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5.3757894868807901E-2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0.103175045984152</v>
      </c>
      <c r="U191" s="5">
        <f>IF((ContinuousStatsTable[[#This Row],[RepsRequested]]&gt;1),ContinuousStatsTable[[#This Row],[HalfWidth]],ContinuousStatsTable[[#This Row],[BatchMeansHalfWidth]])</f>
        <v>4.9031825474871024E-3</v>
      </c>
    </row>
    <row r="192" spans="1:21" x14ac:dyDescent="0.25">
      <c r="A192" t="s">
        <v>68</v>
      </c>
      <c r="B192" t="s">
        <v>70</v>
      </c>
      <c r="C192">
        <v>12</v>
      </c>
      <c r="D192" t="s">
        <v>106</v>
      </c>
      <c r="E192" t="s">
        <v>103</v>
      </c>
      <c r="F192" t="s">
        <v>102</v>
      </c>
      <c r="G192">
        <v>5.6780697024912299E-2</v>
      </c>
      <c r="H192">
        <v>2E+20</v>
      </c>
      <c r="I192">
        <v>0</v>
      </c>
      <c r="J192">
        <v>1</v>
      </c>
      <c r="K192">
        <v>0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30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5.3757894868807901E-2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0.103175045984152</v>
      </c>
      <c r="U192" s="5">
        <f>IF((ContinuousStatsTable[[#This Row],[RepsRequested]]&gt;1),ContinuousStatsTable[[#This Row],[HalfWidth]],ContinuousStatsTable[[#This Row],[BatchMeansHalfWidth]])</f>
        <v>4.9031825474871024E-3</v>
      </c>
    </row>
    <row r="193" spans="1:21" x14ac:dyDescent="0.25">
      <c r="A193" t="s">
        <v>68</v>
      </c>
      <c r="B193" t="s">
        <v>70</v>
      </c>
      <c r="C193">
        <v>12</v>
      </c>
      <c r="D193" t="s">
        <v>106</v>
      </c>
      <c r="E193" t="s">
        <v>104</v>
      </c>
      <c r="F193" t="s">
        <v>102</v>
      </c>
      <c r="G193">
        <v>1</v>
      </c>
      <c r="H193">
        <v>2E+20</v>
      </c>
      <c r="I193">
        <v>1</v>
      </c>
      <c r="J193">
        <v>1</v>
      </c>
      <c r="K193">
        <v>1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30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1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1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1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68</v>
      </c>
      <c r="B194" t="s">
        <v>70</v>
      </c>
      <c r="C194">
        <v>13</v>
      </c>
      <c r="D194" t="s">
        <v>71</v>
      </c>
      <c r="E194" t="s">
        <v>98</v>
      </c>
      <c r="F194" t="s">
        <v>73</v>
      </c>
      <c r="G194">
        <v>1.5215521204411</v>
      </c>
      <c r="H194">
        <v>2E+20</v>
      </c>
      <c r="I194">
        <v>0</v>
      </c>
      <c r="J194">
        <v>7</v>
      </c>
      <c r="K194">
        <v>2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30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1.02094278585578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2.4343835485437801</v>
      </c>
      <c r="U194" s="5">
        <f>IF((ContinuousStatsTable[[#This Row],[RepsRequested]]&gt;1),ContinuousStatsTable[[#This Row],[HalfWidth]],ContinuousStatsTable[[#This Row],[BatchMeansHalfWidth]])</f>
        <v>0.1474422221508549</v>
      </c>
    </row>
    <row r="195" spans="1:21" x14ac:dyDescent="0.25">
      <c r="A195" t="s">
        <v>68</v>
      </c>
      <c r="B195" t="s">
        <v>70</v>
      </c>
      <c r="C195">
        <v>13</v>
      </c>
      <c r="D195" t="s">
        <v>84</v>
      </c>
      <c r="E195" t="s">
        <v>99</v>
      </c>
      <c r="F195" t="s">
        <v>86</v>
      </c>
      <c r="G195">
        <v>0</v>
      </c>
      <c r="H195">
        <v>2E+20</v>
      </c>
      <c r="I195">
        <v>0</v>
      </c>
      <c r="J195">
        <v>0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30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</v>
      </c>
      <c r="U195" s="5">
        <f>IF((ContinuousStatsTable[[#This Row],[RepsRequested]]&gt;1),ContinuousStatsTable[[#This Row],[HalfWidth]],ContinuousStatsTable[[#This Row],[BatchMeansHalfWidth]])</f>
        <v>0</v>
      </c>
    </row>
    <row r="196" spans="1:21" x14ac:dyDescent="0.25">
      <c r="A196" t="s">
        <v>68</v>
      </c>
      <c r="B196" t="s">
        <v>70</v>
      </c>
      <c r="C196">
        <v>13</v>
      </c>
      <c r="D196" t="s">
        <v>87</v>
      </c>
      <c r="E196" t="s">
        <v>99</v>
      </c>
      <c r="F196" t="s">
        <v>86</v>
      </c>
      <c r="G196">
        <v>0.40573626732949503</v>
      </c>
      <c r="H196">
        <v>2E+20</v>
      </c>
      <c r="I196">
        <v>0</v>
      </c>
      <c r="J196">
        <v>2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30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0.273073251721628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0.67472724368415504</v>
      </c>
      <c r="U196" s="5">
        <f>IF((ContinuousStatsTable[[#This Row],[RepsRequested]]&gt;1),ContinuousStatsTable[[#This Row],[HalfWidth]],ContinuousStatsTable[[#This Row],[BatchMeansHalfWidth]])</f>
        <v>4.3177361368283713E-2</v>
      </c>
    </row>
    <row r="197" spans="1:21" x14ac:dyDescent="0.25">
      <c r="A197" t="s">
        <v>68</v>
      </c>
      <c r="B197" t="s">
        <v>70</v>
      </c>
      <c r="C197">
        <v>13</v>
      </c>
      <c r="D197" t="s">
        <v>88</v>
      </c>
      <c r="E197" t="s">
        <v>99</v>
      </c>
      <c r="F197" t="s">
        <v>86</v>
      </c>
      <c r="G197">
        <v>0</v>
      </c>
      <c r="H197">
        <v>2E+20</v>
      </c>
      <c r="I197">
        <v>0</v>
      </c>
      <c r="J197">
        <v>1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30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1.55056745953175E-4</v>
      </c>
      <c r="U197" s="5">
        <f>IF((ContinuousStatsTable[[#This Row],[RepsRequested]]&gt;1),ContinuousStatsTable[[#This Row],[HalfWidth]],ContinuousStatsTable[[#This Row],[BatchMeansHalfWidth]])</f>
        <v>1.0570888434535787E-5</v>
      </c>
    </row>
    <row r="198" spans="1:21" x14ac:dyDescent="0.25">
      <c r="A198" t="s">
        <v>68</v>
      </c>
      <c r="B198" t="s">
        <v>70</v>
      </c>
      <c r="C198">
        <v>13</v>
      </c>
      <c r="D198" t="s">
        <v>90</v>
      </c>
      <c r="E198" t="s">
        <v>99</v>
      </c>
      <c r="F198" t="s">
        <v>86</v>
      </c>
      <c r="G198">
        <v>2.33220768083637E-2</v>
      </c>
      <c r="H198">
        <v>2E+20</v>
      </c>
      <c r="I198">
        <v>0</v>
      </c>
      <c r="J198">
        <v>1</v>
      </c>
      <c r="K198">
        <v>0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30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0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7.8516062990880695E-2</v>
      </c>
      <c r="U198" s="5">
        <f>IF((ContinuousStatsTable[[#This Row],[RepsRequested]]&gt;1),ContinuousStatsTable[[#This Row],[HalfWidth]],ContinuousStatsTable[[#This Row],[BatchMeansHalfWidth]])</f>
        <v>7.7862990748262884E-3</v>
      </c>
    </row>
    <row r="199" spans="1:21" x14ac:dyDescent="0.25">
      <c r="A199" t="s">
        <v>68</v>
      </c>
      <c r="B199" t="s">
        <v>70</v>
      </c>
      <c r="C199">
        <v>13</v>
      </c>
      <c r="D199" t="s">
        <v>92</v>
      </c>
      <c r="E199" t="s">
        <v>99</v>
      </c>
      <c r="F199" t="s">
        <v>86</v>
      </c>
      <c r="G199">
        <v>3.6322079093627599E-2</v>
      </c>
      <c r="H199">
        <v>2E+20</v>
      </c>
      <c r="I199">
        <v>0</v>
      </c>
      <c r="J199">
        <v>1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30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0.13654526635771</v>
      </c>
      <c r="U199" s="5">
        <f>IF((ContinuousStatsTable[[#This Row],[RepsRequested]]&gt;1),ContinuousStatsTable[[#This Row],[HalfWidth]],ContinuousStatsTable[[#This Row],[BatchMeansHalfWidth]])</f>
        <v>1.2216139820952973E-2</v>
      </c>
    </row>
    <row r="200" spans="1:21" x14ac:dyDescent="0.25">
      <c r="A200" t="s">
        <v>68</v>
      </c>
      <c r="B200" t="s">
        <v>70</v>
      </c>
      <c r="C200">
        <v>13</v>
      </c>
      <c r="D200" t="s">
        <v>94</v>
      </c>
      <c r="E200" t="s">
        <v>99</v>
      </c>
      <c r="F200" t="s">
        <v>86</v>
      </c>
      <c r="G200">
        <v>8.5864569359539594E-2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30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9.0453284135870501E-3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0.39547622058287801</v>
      </c>
      <c r="U200" s="5">
        <f>IF((ContinuousStatsTable[[#This Row],[RepsRequested]]&gt;1),ContinuousStatsTable[[#This Row],[HalfWidth]],ContinuousStatsTable[[#This Row],[BatchMeansHalfWidth]])</f>
        <v>3.5836113017914922E-2</v>
      </c>
    </row>
    <row r="201" spans="1:21" x14ac:dyDescent="0.25">
      <c r="A201" t="s">
        <v>68</v>
      </c>
      <c r="B201" t="s">
        <v>70</v>
      </c>
      <c r="C201">
        <v>13</v>
      </c>
      <c r="D201" t="s">
        <v>100</v>
      </c>
      <c r="E201" t="s">
        <v>101</v>
      </c>
      <c r="F201" t="s">
        <v>102</v>
      </c>
      <c r="G201">
        <v>0.47366149749087599</v>
      </c>
      <c r="H201">
        <v>2E+20</v>
      </c>
      <c r="I201">
        <v>0</v>
      </c>
      <c r="J201">
        <v>1</v>
      </c>
      <c r="K201">
        <v>1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30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0.31277577999924699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0.60626731984831705</v>
      </c>
      <c r="U201" s="5">
        <f>IF((ContinuousStatsTable[[#This Row],[RepsRequested]]&gt;1),ContinuousStatsTable[[#This Row],[HalfWidth]],ContinuousStatsTable[[#This Row],[BatchMeansHalfWidth]])</f>
        <v>2.7492927893383642E-2</v>
      </c>
    </row>
    <row r="202" spans="1:21" x14ac:dyDescent="0.25">
      <c r="A202" t="s">
        <v>68</v>
      </c>
      <c r="B202" t="s">
        <v>70</v>
      </c>
      <c r="C202">
        <v>13</v>
      </c>
      <c r="D202" t="s">
        <v>100</v>
      </c>
      <c r="E202" t="s">
        <v>103</v>
      </c>
      <c r="F202" t="s">
        <v>102</v>
      </c>
      <c r="G202">
        <v>0.47366149749087599</v>
      </c>
      <c r="H202">
        <v>2E+20</v>
      </c>
      <c r="I202">
        <v>0</v>
      </c>
      <c r="J202">
        <v>1</v>
      </c>
      <c r="K202">
        <v>1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30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0.31277577999924699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0.60626731984831705</v>
      </c>
      <c r="U202" s="5">
        <f>IF((ContinuousStatsTable[[#This Row],[RepsRequested]]&gt;1),ContinuousStatsTable[[#This Row],[HalfWidth]],ContinuousStatsTable[[#This Row],[BatchMeansHalfWidth]])</f>
        <v>2.7492927893383642E-2</v>
      </c>
    </row>
    <row r="203" spans="1:21" x14ac:dyDescent="0.25">
      <c r="A203" t="s">
        <v>68</v>
      </c>
      <c r="B203" t="s">
        <v>70</v>
      </c>
      <c r="C203">
        <v>13</v>
      </c>
      <c r="D203" t="s">
        <v>100</v>
      </c>
      <c r="E203" t="s">
        <v>104</v>
      </c>
      <c r="F203" t="s">
        <v>102</v>
      </c>
      <c r="G203">
        <v>1</v>
      </c>
      <c r="H203">
        <v>2E+20</v>
      </c>
      <c r="I203">
        <v>1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30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1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0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1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1</v>
      </c>
      <c r="U203" s="5">
        <f>IF((ContinuousStatsTable[[#This Row],[RepsRequested]]&gt;1),ContinuousStatsTable[[#This Row],[HalfWidth]],ContinuousStatsTable[[#This Row],[BatchMeansHalfWidth]])</f>
        <v>0</v>
      </c>
    </row>
    <row r="204" spans="1:21" x14ac:dyDescent="0.25">
      <c r="A204" t="s">
        <v>68</v>
      </c>
      <c r="B204" t="s">
        <v>70</v>
      </c>
      <c r="C204">
        <v>13</v>
      </c>
      <c r="D204" t="s">
        <v>105</v>
      </c>
      <c r="E204" t="s">
        <v>101</v>
      </c>
      <c r="F204" t="s">
        <v>102</v>
      </c>
      <c r="G204">
        <v>0.27624559892960399</v>
      </c>
      <c r="H204">
        <v>2E+20</v>
      </c>
      <c r="I204">
        <v>0</v>
      </c>
      <c r="J204">
        <v>1</v>
      </c>
      <c r="K204">
        <v>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30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0.194735973294278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0.35775345817659199</v>
      </c>
      <c r="U204" s="5">
        <f>IF((ContinuousStatsTable[[#This Row],[RepsRequested]]&gt;1),ContinuousStatsTable[[#This Row],[HalfWidth]],ContinuousStatsTable[[#This Row],[BatchMeansHalfWidth]])</f>
        <v>1.6709279991037516E-2</v>
      </c>
    </row>
    <row r="205" spans="1:21" x14ac:dyDescent="0.25">
      <c r="A205" t="s">
        <v>68</v>
      </c>
      <c r="B205" t="s">
        <v>70</v>
      </c>
      <c r="C205">
        <v>13</v>
      </c>
      <c r="D205" t="s">
        <v>105</v>
      </c>
      <c r="E205" t="s">
        <v>103</v>
      </c>
      <c r="F205" t="s">
        <v>102</v>
      </c>
      <c r="G205">
        <v>0.27624559892960399</v>
      </c>
      <c r="H205">
        <v>2E+20</v>
      </c>
      <c r="I205">
        <v>0</v>
      </c>
      <c r="J205">
        <v>1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30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0.194735973294278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0.35775345817659199</v>
      </c>
      <c r="U205" s="5">
        <f>IF((ContinuousStatsTable[[#This Row],[RepsRequested]]&gt;1),ContinuousStatsTable[[#This Row],[HalfWidth]],ContinuousStatsTable[[#This Row],[BatchMeansHalfWidth]])</f>
        <v>1.6709279991037516E-2</v>
      </c>
    </row>
    <row r="206" spans="1:21" x14ac:dyDescent="0.25">
      <c r="A206" t="s">
        <v>68</v>
      </c>
      <c r="B206" t="s">
        <v>70</v>
      </c>
      <c r="C206">
        <v>13</v>
      </c>
      <c r="D206" t="s">
        <v>105</v>
      </c>
      <c r="E206" t="s">
        <v>104</v>
      </c>
      <c r="F206" t="s">
        <v>102</v>
      </c>
      <c r="G206">
        <v>1</v>
      </c>
      <c r="H206">
        <v>2E+20</v>
      </c>
      <c r="I206">
        <v>1</v>
      </c>
      <c r="J206">
        <v>1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30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1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1</v>
      </c>
      <c r="U206" s="5">
        <f>IF((ContinuousStatsTable[[#This Row],[RepsRequested]]&gt;1),ContinuousStatsTable[[#This Row],[HalfWidth]],ContinuousStatsTable[[#This Row],[BatchMeansHalfWidth]])</f>
        <v>0</v>
      </c>
    </row>
    <row r="207" spans="1:21" x14ac:dyDescent="0.25">
      <c r="A207" t="s">
        <v>68</v>
      </c>
      <c r="B207" t="s">
        <v>70</v>
      </c>
      <c r="C207">
        <v>13</v>
      </c>
      <c r="D207" t="s">
        <v>106</v>
      </c>
      <c r="E207" t="s">
        <v>101</v>
      </c>
      <c r="F207" t="s">
        <v>102</v>
      </c>
      <c r="G207">
        <v>7.3466677143198503E-2</v>
      </c>
      <c r="H207">
        <v>2E+20</v>
      </c>
      <c r="I207">
        <v>0</v>
      </c>
      <c r="J207">
        <v>1</v>
      </c>
      <c r="K207">
        <v>0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30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5.3757894868807901E-2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0.103175045984152</v>
      </c>
      <c r="U207" s="5">
        <f>IF((ContinuousStatsTable[[#This Row],[RepsRequested]]&gt;1),ContinuousStatsTable[[#This Row],[HalfWidth]],ContinuousStatsTable[[#This Row],[BatchMeansHalfWidth]])</f>
        <v>4.9031825474871024E-3</v>
      </c>
    </row>
    <row r="208" spans="1:21" x14ac:dyDescent="0.25">
      <c r="A208" t="s">
        <v>68</v>
      </c>
      <c r="B208" t="s">
        <v>70</v>
      </c>
      <c r="C208">
        <v>13</v>
      </c>
      <c r="D208" t="s">
        <v>106</v>
      </c>
      <c r="E208" t="s">
        <v>103</v>
      </c>
      <c r="F208" t="s">
        <v>102</v>
      </c>
      <c r="G208">
        <v>7.3466677143198503E-2</v>
      </c>
      <c r="H208">
        <v>2E+20</v>
      </c>
      <c r="I208">
        <v>0</v>
      </c>
      <c r="J208">
        <v>1</v>
      </c>
      <c r="K208">
        <v>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30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5.3757894868807901E-2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0.103175045984152</v>
      </c>
      <c r="U208" s="5">
        <f>IF((ContinuousStatsTable[[#This Row],[RepsRequested]]&gt;1),ContinuousStatsTable[[#This Row],[HalfWidth]],ContinuousStatsTable[[#This Row],[BatchMeansHalfWidth]])</f>
        <v>4.9031825474871024E-3</v>
      </c>
    </row>
    <row r="209" spans="1:21" x14ac:dyDescent="0.25">
      <c r="A209" t="s">
        <v>68</v>
      </c>
      <c r="B209" t="s">
        <v>70</v>
      </c>
      <c r="C209">
        <v>13</v>
      </c>
      <c r="D209" t="s">
        <v>106</v>
      </c>
      <c r="E209" t="s">
        <v>104</v>
      </c>
      <c r="F209" t="s">
        <v>102</v>
      </c>
      <c r="G209">
        <v>1</v>
      </c>
      <c r="H209">
        <v>2E+20</v>
      </c>
      <c r="I209">
        <v>1</v>
      </c>
      <c r="J209">
        <v>1</v>
      </c>
      <c r="K209">
        <v>1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30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1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1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1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68</v>
      </c>
      <c r="B210" t="s">
        <v>70</v>
      </c>
      <c r="C210">
        <v>14</v>
      </c>
      <c r="D210" t="s">
        <v>71</v>
      </c>
      <c r="E210" t="s">
        <v>98</v>
      </c>
      <c r="F210" t="s">
        <v>73</v>
      </c>
      <c r="G210">
        <v>2.1222110032980401</v>
      </c>
      <c r="H210">
        <v>2E+20</v>
      </c>
      <c r="I210">
        <v>0</v>
      </c>
      <c r="J210">
        <v>10</v>
      </c>
      <c r="K210">
        <v>9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30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1.02094278585578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2.4343835485437801</v>
      </c>
      <c r="U210" s="5">
        <f>IF((ContinuousStatsTable[[#This Row],[RepsRequested]]&gt;1),ContinuousStatsTable[[#This Row],[HalfWidth]],ContinuousStatsTable[[#This Row],[BatchMeansHalfWidth]])</f>
        <v>0.1474422221508549</v>
      </c>
    </row>
    <row r="211" spans="1:21" x14ac:dyDescent="0.25">
      <c r="A211" t="s">
        <v>68</v>
      </c>
      <c r="B211" t="s">
        <v>70</v>
      </c>
      <c r="C211">
        <v>14</v>
      </c>
      <c r="D211" t="s">
        <v>84</v>
      </c>
      <c r="E211" t="s">
        <v>99</v>
      </c>
      <c r="F211" t="s">
        <v>86</v>
      </c>
      <c r="G211">
        <v>0</v>
      </c>
      <c r="H211">
        <v>2E+20</v>
      </c>
      <c r="I211">
        <v>0</v>
      </c>
      <c r="J211">
        <v>0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30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25">
      <c r="A212" t="s">
        <v>68</v>
      </c>
      <c r="B212" t="s">
        <v>70</v>
      </c>
      <c r="C212">
        <v>14</v>
      </c>
      <c r="D212" t="s">
        <v>87</v>
      </c>
      <c r="E212" t="s">
        <v>99</v>
      </c>
      <c r="F212" t="s">
        <v>86</v>
      </c>
      <c r="G212">
        <v>0.56331505853492903</v>
      </c>
      <c r="H212">
        <v>2E+20</v>
      </c>
      <c r="I212">
        <v>0</v>
      </c>
      <c r="J212">
        <v>3</v>
      </c>
      <c r="K212">
        <v>3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30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0.273073251721628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0.67472724368415504</v>
      </c>
      <c r="U212" s="5">
        <f>IF((ContinuousStatsTable[[#This Row],[RepsRequested]]&gt;1),ContinuousStatsTable[[#This Row],[HalfWidth]],ContinuousStatsTable[[#This Row],[BatchMeansHalfWidth]])</f>
        <v>4.3177361368283713E-2</v>
      </c>
    </row>
    <row r="213" spans="1:21" x14ac:dyDescent="0.25">
      <c r="A213" t="s">
        <v>68</v>
      </c>
      <c r="B213" t="s">
        <v>70</v>
      </c>
      <c r="C213">
        <v>14</v>
      </c>
      <c r="D213" t="s">
        <v>88</v>
      </c>
      <c r="E213" t="s">
        <v>99</v>
      </c>
      <c r="F213" t="s">
        <v>86</v>
      </c>
      <c r="G213">
        <v>0</v>
      </c>
      <c r="H213">
        <v>2E+20</v>
      </c>
      <c r="I213">
        <v>0</v>
      </c>
      <c r="J213">
        <v>1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30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1.55056745953175E-4</v>
      </c>
      <c r="U213" s="5">
        <f>IF((ContinuousStatsTable[[#This Row],[RepsRequested]]&gt;1),ContinuousStatsTable[[#This Row],[HalfWidth]],ContinuousStatsTable[[#This Row],[BatchMeansHalfWidth]])</f>
        <v>1.0570888434535787E-5</v>
      </c>
    </row>
    <row r="214" spans="1:21" x14ac:dyDescent="0.25">
      <c r="A214" t="s">
        <v>68</v>
      </c>
      <c r="B214" t="s">
        <v>70</v>
      </c>
      <c r="C214">
        <v>14</v>
      </c>
      <c r="D214" t="s">
        <v>90</v>
      </c>
      <c r="E214" t="s">
        <v>99</v>
      </c>
      <c r="F214" t="s">
        <v>86</v>
      </c>
      <c r="G214">
        <v>6.0754551608738099E-2</v>
      </c>
      <c r="H214">
        <v>2E+20</v>
      </c>
      <c r="I214">
        <v>0</v>
      </c>
      <c r="J214">
        <v>2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30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7.8516062990880695E-2</v>
      </c>
      <c r="U214" s="5">
        <f>IF((ContinuousStatsTable[[#This Row],[RepsRequested]]&gt;1),ContinuousStatsTable[[#This Row],[HalfWidth]],ContinuousStatsTable[[#This Row],[BatchMeansHalfWidth]])</f>
        <v>7.7862990748262884E-3</v>
      </c>
    </row>
    <row r="215" spans="1:21" x14ac:dyDescent="0.25">
      <c r="A215" t="s">
        <v>68</v>
      </c>
      <c r="B215" t="s">
        <v>70</v>
      </c>
      <c r="C215">
        <v>14</v>
      </c>
      <c r="D215" t="s">
        <v>92</v>
      </c>
      <c r="E215" t="s">
        <v>99</v>
      </c>
      <c r="F215" t="s">
        <v>86</v>
      </c>
      <c r="G215">
        <v>8.5343198571135398E-2</v>
      </c>
      <c r="H215">
        <v>2E+20</v>
      </c>
      <c r="I215">
        <v>0</v>
      </c>
      <c r="J215">
        <v>2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30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0.13654526635771</v>
      </c>
      <c r="U215" s="5">
        <f>IF((ContinuousStatsTable[[#This Row],[RepsRequested]]&gt;1),ContinuousStatsTable[[#This Row],[HalfWidth]],ContinuousStatsTable[[#This Row],[BatchMeansHalfWidth]])</f>
        <v>1.2216139820952973E-2</v>
      </c>
    </row>
    <row r="216" spans="1:21" x14ac:dyDescent="0.25">
      <c r="A216" t="s">
        <v>68</v>
      </c>
      <c r="B216" t="s">
        <v>70</v>
      </c>
      <c r="C216">
        <v>14</v>
      </c>
      <c r="D216" t="s">
        <v>94</v>
      </c>
      <c r="E216" t="s">
        <v>99</v>
      </c>
      <c r="F216" t="s">
        <v>86</v>
      </c>
      <c r="G216">
        <v>0.23945360248290601</v>
      </c>
      <c r="H216">
        <v>2E+20</v>
      </c>
      <c r="I216">
        <v>0</v>
      </c>
      <c r="J216">
        <v>3</v>
      </c>
      <c r="K216">
        <v>3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30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9.0453284135870501E-3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0.39547622058287801</v>
      </c>
      <c r="U216" s="5">
        <f>IF((ContinuousStatsTable[[#This Row],[RepsRequested]]&gt;1),ContinuousStatsTable[[#This Row],[HalfWidth]],ContinuousStatsTable[[#This Row],[BatchMeansHalfWidth]])</f>
        <v>3.5836113017914922E-2</v>
      </c>
    </row>
    <row r="217" spans="1:21" x14ac:dyDescent="0.25">
      <c r="A217" t="s">
        <v>68</v>
      </c>
      <c r="B217" t="s">
        <v>70</v>
      </c>
      <c r="C217">
        <v>14</v>
      </c>
      <c r="D217" t="s">
        <v>100</v>
      </c>
      <c r="E217" t="s">
        <v>101</v>
      </c>
      <c r="F217" t="s">
        <v>102</v>
      </c>
      <c r="G217">
        <v>0.56102683884971605</v>
      </c>
      <c r="H217">
        <v>2E+20</v>
      </c>
      <c r="I217">
        <v>0</v>
      </c>
      <c r="J217">
        <v>1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30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0.31277577999924699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0.60626731984831705</v>
      </c>
      <c r="U217" s="5">
        <f>IF((ContinuousStatsTable[[#This Row],[RepsRequested]]&gt;1),ContinuousStatsTable[[#This Row],[HalfWidth]],ContinuousStatsTable[[#This Row],[BatchMeansHalfWidth]])</f>
        <v>2.7492927893383642E-2</v>
      </c>
    </row>
    <row r="218" spans="1:21" x14ac:dyDescent="0.25">
      <c r="A218" t="s">
        <v>68</v>
      </c>
      <c r="B218" t="s">
        <v>70</v>
      </c>
      <c r="C218">
        <v>14</v>
      </c>
      <c r="D218" t="s">
        <v>100</v>
      </c>
      <c r="E218" t="s">
        <v>103</v>
      </c>
      <c r="F218" t="s">
        <v>102</v>
      </c>
      <c r="G218">
        <v>0.56102683884971605</v>
      </c>
      <c r="H218">
        <v>2E+20</v>
      </c>
      <c r="I218">
        <v>0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30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0.31277577999924699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0.60626731984831705</v>
      </c>
      <c r="U218" s="5">
        <f>IF((ContinuousStatsTable[[#This Row],[RepsRequested]]&gt;1),ContinuousStatsTable[[#This Row],[HalfWidth]],ContinuousStatsTable[[#This Row],[BatchMeansHalfWidth]])</f>
        <v>2.7492927893383642E-2</v>
      </c>
    </row>
    <row r="219" spans="1:21" x14ac:dyDescent="0.25">
      <c r="A219" t="s">
        <v>68</v>
      </c>
      <c r="B219" t="s">
        <v>70</v>
      </c>
      <c r="C219">
        <v>14</v>
      </c>
      <c r="D219" t="s">
        <v>100</v>
      </c>
      <c r="E219" t="s">
        <v>104</v>
      </c>
      <c r="F219" t="s">
        <v>102</v>
      </c>
      <c r="G219">
        <v>1</v>
      </c>
      <c r="H219">
        <v>2E+20</v>
      </c>
      <c r="I219">
        <v>1</v>
      </c>
      <c r="J219">
        <v>1</v>
      </c>
      <c r="K219">
        <v>1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30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1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1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25">
      <c r="A220" t="s">
        <v>68</v>
      </c>
      <c r="B220" t="s">
        <v>70</v>
      </c>
      <c r="C220">
        <v>14</v>
      </c>
      <c r="D220" t="s">
        <v>105</v>
      </c>
      <c r="E220" t="s">
        <v>101</v>
      </c>
      <c r="F220" t="s">
        <v>102</v>
      </c>
      <c r="G220">
        <v>0.35600885922648501</v>
      </c>
      <c r="H220">
        <v>2E+20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30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0.194735973294278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0.35775345817659199</v>
      </c>
      <c r="U220" s="5">
        <f>IF((ContinuousStatsTable[[#This Row],[RepsRequested]]&gt;1),ContinuousStatsTable[[#This Row],[HalfWidth]],ContinuousStatsTable[[#This Row],[BatchMeansHalfWidth]])</f>
        <v>1.6709279991037516E-2</v>
      </c>
    </row>
    <row r="221" spans="1:21" x14ac:dyDescent="0.25">
      <c r="A221" t="s">
        <v>68</v>
      </c>
      <c r="B221" t="s">
        <v>70</v>
      </c>
      <c r="C221">
        <v>14</v>
      </c>
      <c r="D221" t="s">
        <v>105</v>
      </c>
      <c r="E221" t="s">
        <v>103</v>
      </c>
      <c r="F221" t="s">
        <v>102</v>
      </c>
      <c r="G221">
        <v>0.35600885922648501</v>
      </c>
      <c r="H221">
        <v>2E+20</v>
      </c>
      <c r="I221">
        <v>0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30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0.194735973294278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0.35775345817659199</v>
      </c>
      <c r="U221" s="5">
        <f>IF((ContinuousStatsTable[[#This Row],[RepsRequested]]&gt;1),ContinuousStatsTable[[#This Row],[HalfWidth]],ContinuousStatsTable[[#This Row],[BatchMeansHalfWidth]])</f>
        <v>1.6709279991037516E-2</v>
      </c>
    </row>
    <row r="222" spans="1:21" x14ac:dyDescent="0.25">
      <c r="A222" t="s">
        <v>68</v>
      </c>
      <c r="B222" t="s">
        <v>70</v>
      </c>
      <c r="C222">
        <v>14</v>
      </c>
      <c r="D222" t="s">
        <v>105</v>
      </c>
      <c r="E222" t="s">
        <v>104</v>
      </c>
      <c r="F222" t="s">
        <v>102</v>
      </c>
      <c r="G222">
        <v>1</v>
      </c>
      <c r="H222">
        <v>2E+20</v>
      </c>
      <c r="I222">
        <v>1</v>
      </c>
      <c r="J222">
        <v>1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30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1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1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1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68</v>
      </c>
      <c r="B223" t="s">
        <v>70</v>
      </c>
      <c r="C223">
        <v>14</v>
      </c>
      <c r="D223" t="s">
        <v>106</v>
      </c>
      <c r="E223" t="s">
        <v>101</v>
      </c>
      <c r="F223" t="s">
        <v>102</v>
      </c>
      <c r="G223">
        <v>8.5436298008042297E-2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30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5.3757894868807901E-2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0.103175045984152</v>
      </c>
      <c r="U223" s="5">
        <f>IF((ContinuousStatsTable[[#This Row],[RepsRequested]]&gt;1),ContinuousStatsTable[[#This Row],[HalfWidth]],ContinuousStatsTable[[#This Row],[BatchMeansHalfWidth]])</f>
        <v>4.9031825474871024E-3</v>
      </c>
    </row>
    <row r="224" spans="1:21" x14ac:dyDescent="0.25">
      <c r="A224" t="s">
        <v>68</v>
      </c>
      <c r="B224" t="s">
        <v>70</v>
      </c>
      <c r="C224">
        <v>14</v>
      </c>
      <c r="D224" t="s">
        <v>106</v>
      </c>
      <c r="E224" t="s">
        <v>103</v>
      </c>
      <c r="F224" t="s">
        <v>102</v>
      </c>
      <c r="G224">
        <v>8.5436298008042297E-2</v>
      </c>
      <c r="H224">
        <v>2E+20</v>
      </c>
      <c r="I224">
        <v>0</v>
      </c>
      <c r="J224">
        <v>1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30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5.3757894868807901E-2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0.103175045984152</v>
      </c>
      <c r="U224" s="5">
        <f>IF((ContinuousStatsTable[[#This Row],[RepsRequested]]&gt;1),ContinuousStatsTable[[#This Row],[HalfWidth]],ContinuousStatsTable[[#This Row],[BatchMeansHalfWidth]])</f>
        <v>4.9031825474871024E-3</v>
      </c>
    </row>
    <row r="225" spans="1:21" x14ac:dyDescent="0.25">
      <c r="A225" t="s">
        <v>68</v>
      </c>
      <c r="B225" t="s">
        <v>70</v>
      </c>
      <c r="C225">
        <v>14</v>
      </c>
      <c r="D225" t="s">
        <v>106</v>
      </c>
      <c r="E225" t="s">
        <v>104</v>
      </c>
      <c r="F225" t="s">
        <v>102</v>
      </c>
      <c r="G225">
        <v>1</v>
      </c>
      <c r="H225">
        <v>2E+20</v>
      </c>
      <c r="I225">
        <v>1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30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1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1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25">
      <c r="A226" t="s">
        <v>68</v>
      </c>
      <c r="B226" t="s">
        <v>70</v>
      </c>
      <c r="C226">
        <v>15</v>
      </c>
      <c r="D226" t="s">
        <v>71</v>
      </c>
      <c r="E226" t="s">
        <v>98</v>
      </c>
      <c r="F226" t="s">
        <v>73</v>
      </c>
      <c r="G226">
        <v>2.1379896457125001</v>
      </c>
      <c r="H226">
        <v>2E+20</v>
      </c>
      <c r="I226">
        <v>0</v>
      </c>
      <c r="J226">
        <v>8</v>
      </c>
      <c r="K226">
        <v>1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30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1.02094278585578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2.4343835485437801</v>
      </c>
      <c r="U226" s="5">
        <f>IF((ContinuousStatsTable[[#This Row],[RepsRequested]]&gt;1),ContinuousStatsTable[[#This Row],[HalfWidth]],ContinuousStatsTable[[#This Row],[BatchMeansHalfWidth]])</f>
        <v>0.1474422221508549</v>
      </c>
    </row>
    <row r="227" spans="1:21" x14ac:dyDescent="0.25">
      <c r="A227" t="s">
        <v>68</v>
      </c>
      <c r="B227" t="s">
        <v>70</v>
      </c>
      <c r="C227">
        <v>15</v>
      </c>
      <c r="D227" t="s">
        <v>84</v>
      </c>
      <c r="E227" t="s">
        <v>99</v>
      </c>
      <c r="F227" t="s">
        <v>86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30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68</v>
      </c>
      <c r="B228" t="s">
        <v>70</v>
      </c>
      <c r="C228">
        <v>15</v>
      </c>
      <c r="D228" t="s">
        <v>87</v>
      </c>
      <c r="E228" t="s">
        <v>99</v>
      </c>
      <c r="F228" t="s">
        <v>86</v>
      </c>
      <c r="G228">
        <v>0.57413267866815998</v>
      </c>
      <c r="H228">
        <v>2E+20</v>
      </c>
      <c r="I228">
        <v>0</v>
      </c>
      <c r="J228">
        <v>3</v>
      </c>
      <c r="K228">
        <v>0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30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0.273073251721628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0.67472724368415504</v>
      </c>
      <c r="U228" s="5">
        <f>IF((ContinuousStatsTable[[#This Row],[RepsRequested]]&gt;1),ContinuousStatsTable[[#This Row],[HalfWidth]],ContinuousStatsTable[[#This Row],[BatchMeansHalfWidth]])</f>
        <v>4.3177361368283713E-2</v>
      </c>
    </row>
    <row r="229" spans="1:21" x14ac:dyDescent="0.25">
      <c r="A229" t="s">
        <v>68</v>
      </c>
      <c r="B229" t="s">
        <v>70</v>
      </c>
      <c r="C229">
        <v>15</v>
      </c>
      <c r="D229" t="s">
        <v>88</v>
      </c>
      <c r="E229" t="s">
        <v>99</v>
      </c>
      <c r="F229" t="s">
        <v>86</v>
      </c>
      <c r="G229">
        <v>0</v>
      </c>
      <c r="H229">
        <v>2E+20</v>
      </c>
      <c r="I229">
        <v>0</v>
      </c>
      <c r="J229">
        <v>1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30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1.55056745953175E-4</v>
      </c>
      <c r="U229" s="5">
        <f>IF((ContinuousStatsTable[[#This Row],[RepsRequested]]&gt;1),ContinuousStatsTable[[#This Row],[HalfWidth]],ContinuousStatsTable[[#This Row],[BatchMeansHalfWidth]])</f>
        <v>1.0570888434535787E-5</v>
      </c>
    </row>
    <row r="230" spans="1:21" x14ac:dyDescent="0.25">
      <c r="A230" t="s">
        <v>68</v>
      </c>
      <c r="B230" t="s">
        <v>70</v>
      </c>
      <c r="C230">
        <v>15</v>
      </c>
      <c r="D230" t="s">
        <v>90</v>
      </c>
      <c r="E230" t="s">
        <v>99</v>
      </c>
      <c r="F230" t="s">
        <v>86</v>
      </c>
      <c r="G230">
        <v>4.5433303903168298E-2</v>
      </c>
      <c r="H230">
        <v>2E+20</v>
      </c>
      <c r="I230">
        <v>0</v>
      </c>
      <c r="J230">
        <v>2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30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7.8516062990880695E-2</v>
      </c>
      <c r="U230" s="5">
        <f>IF((ContinuousStatsTable[[#This Row],[RepsRequested]]&gt;1),ContinuousStatsTable[[#This Row],[HalfWidth]],ContinuousStatsTable[[#This Row],[BatchMeansHalfWidth]])</f>
        <v>7.7862990748262884E-3</v>
      </c>
    </row>
    <row r="231" spans="1:21" x14ac:dyDescent="0.25">
      <c r="A231" t="s">
        <v>68</v>
      </c>
      <c r="B231" t="s">
        <v>70</v>
      </c>
      <c r="C231">
        <v>15</v>
      </c>
      <c r="D231" t="s">
        <v>92</v>
      </c>
      <c r="E231" t="s">
        <v>99</v>
      </c>
      <c r="F231" t="s">
        <v>86</v>
      </c>
      <c r="G231">
        <v>8.0902288113082504E-2</v>
      </c>
      <c r="H231">
        <v>2E+20</v>
      </c>
      <c r="I231">
        <v>0</v>
      </c>
      <c r="J231">
        <v>2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30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0.13654526635771</v>
      </c>
      <c r="U231" s="5">
        <f>IF((ContinuousStatsTable[[#This Row],[RepsRequested]]&gt;1),ContinuousStatsTable[[#This Row],[HalfWidth]],ContinuousStatsTable[[#This Row],[BatchMeansHalfWidth]])</f>
        <v>1.2216139820952973E-2</v>
      </c>
    </row>
    <row r="232" spans="1:21" x14ac:dyDescent="0.25">
      <c r="A232" t="s">
        <v>68</v>
      </c>
      <c r="B232" t="s">
        <v>70</v>
      </c>
      <c r="C232">
        <v>15</v>
      </c>
      <c r="D232" t="s">
        <v>94</v>
      </c>
      <c r="E232" t="s">
        <v>99</v>
      </c>
      <c r="F232" t="s">
        <v>86</v>
      </c>
      <c r="G232">
        <v>0.21680773480802501</v>
      </c>
      <c r="H232">
        <v>2E+20</v>
      </c>
      <c r="I232">
        <v>0</v>
      </c>
      <c r="J232">
        <v>2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30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9.0453284135870501E-3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0.39547622058287801</v>
      </c>
      <c r="U232" s="5">
        <f>IF((ContinuousStatsTable[[#This Row],[RepsRequested]]&gt;1),ContinuousStatsTable[[#This Row],[HalfWidth]],ContinuousStatsTable[[#This Row],[BatchMeansHalfWidth]])</f>
        <v>3.5836113017914922E-2</v>
      </c>
    </row>
    <row r="233" spans="1:21" x14ac:dyDescent="0.25">
      <c r="A233" t="s">
        <v>68</v>
      </c>
      <c r="B233" t="s">
        <v>70</v>
      </c>
      <c r="C233">
        <v>15</v>
      </c>
      <c r="D233" t="s">
        <v>100</v>
      </c>
      <c r="E233" t="s">
        <v>101</v>
      </c>
      <c r="F233" t="s">
        <v>102</v>
      </c>
      <c r="G233">
        <v>0.57509140301384398</v>
      </c>
      <c r="H233">
        <v>2E+20</v>
      </c>
      <c r="I233">
        <v>0</v>
      </c>
      <c r="J233">
        <v>1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30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0.31277577999924699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0.60626731984831705</v>
      </c>
      <c r="U233" s="5">
        <f>IF((ContinuousStatsTable[[#This Row],[RepsRequested]]&gt;1),ContinuousStatsTable[[#This Row],[HalfWidth]],ContinuousStatsTable[[#This Row],[BatchMeansHalfWidth]])</f>
        <v>2.7492927893383642E-2</v>
      </c>
    </row>
    <row r="234" spans="1:21" x14ac:dyDescent="0.25">
      <c r="A234" t="s">
        <v>68</v>
      </c>
      <c r="B234" t="s">
        <v>70</v>
      </c>
      <c r="C234">
        <v>15</v>
      </c>
      <c r="D234" t="s">
        <v>100</v>
      </c>
      <c r="E234" t="s">
        <v>103</v>
      </c>
      <c r="F234" t="s">
        <v>102</v>
      </c>
      <c r="G234">
        <v>0.57509140301384398</v>
      </c>
      <c r="H234">
        <v>2E+20</v>
      </c>
      <c r="I234">
        <v>0</v>
      </c>
      <c r="J234">
        <v>1</v>
      </c>
      <c r="K234">
        <v>0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30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0.31277577999924699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0.60626731984831705</v>
      </c>
      <c r="U234" s="5">
        <f>IF((ContinuousStatsTable[[#This Row],[RepsRequested]]&gt;1),ContinuousStatsTable[[#This Row],[HalfWidth]],ContinuousStatsTable[[#This Row],[BatchMeansHalfWidth]])</f>
        <v>2.7492927893383642E-2</v>
      </c>
    </row>
    <row r="235" spans="1:21" x14ac:dyDescent="0.25">
      <c r="A235" t="s">
        <v>68</v>
      </c>
      <c r="B235" t="s">
        <v>70</v>
      </c>
      <c r="C235">
        <v>15</v>
      </c>
      <c r="D235" t="s">
        <v>100</v>
      </c>
      <c r="E235" t="s">
        <v>104</v>
      </c>
      <c r="F235" t="s">
        <v>102</v>
      </c>
      <c r="G235">
        <v>1</v>
      </c>
      <c r="H235">
        <v>2E+20</v>
      </c>
      <c r="I235">
        <v>1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30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1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1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68</v>
      </c>
      <c r="B236" t="s">
        <v>70</v>
      </c>
      <c r="C236">
        <v>15</v>
      </c>
      <c r="D236" t="s">
        <v>105</v>
      </c>
      <c r="E236" t="s">
        <v>101</v>
      </c>
      <c r="F236" t="s">
        <v>102</v>
      </c>
      <c r="G236">
        <v>0.33629620257472598</v>
      </c>
      <c r="H236">
        <v>2E+20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30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0.194735973294278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0.35775345817659199</v>
      </c>
      <c r="U236" s="5">
        <f>IF((ContinuousStatsTable[[#This Row],[RepsRequested]]&gt;1),ContinuousStatsTable[[#This Row],[HalfWidth]],ContinuousStatsTable[[#This Row],[BatchMeansHalfWidth]])</f>
        <v>1.6709279991037516E-2</v>
      </c>
    </row>
    <row r="237" spans="1:21" x14ac:dyDescent="0.25">
      <c r="A237" t="s">
        <v>68</v>
      </c>
      <c r="B237" t="s">
        <v>70</v>
      </c>
      <c r="C237">
        <v>15</v>
      </c>
      <c r="D237" t="s">
        <v>105</v>
      </c>
      <c r="E237" t="s">
        <v>103</v>
      </c>
      <c r="F237" t="s">
        <v>102</v>
      </c>
      <c r="G237">
        <v>0.33629620257472598</v>
      </c>
      <c r="H237">
        <v>2E+20</v>
      </c>
      <c r="I237">
        <v>0</v>
      </c>
      <c r="J237">
        <v>1</v>
      </c>
      <c r="K237">
        <v>1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30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0.194735973294278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0.35775345817659199</v>
      </c>
      <c r="U237" s="5">
        <f>IF((ContinuousStatsTable[[#This Row],[RepsRequested]]&gt;1),ContinuousStatsTable[[#This Row],[HalfWidth]],ContinuousStatsTable[[#This Row],[BatchMeansHalfWidth]])</f>
        <v>1.6709279991037516E-2</v>
      </c>
    </row>
    <row r="238" spans="1:21" x14ac:dyDescent="0.25">
      <c r="A238" t="s">
        <v>68</v>
      </c>
      <c r="B238" t="s">
        <v>70</v>
      </c>
      <c r="C238">
        <v>15</v>
      </c>
      <c r="D238" t="s">
        <v>105</v>
      </c>
      <c r="E238" t="s">
        <v>104</v>
      </c>
      <c r="F238" t="s">
        <v>102</v>
      </c>
      <c r="G238">
        <v>1</v>
      </c>
      <c r="H238">
        <v>2E+20</v>
      </c>
      <c r="I238">
        <v>1</v>
      </c>
      <c r="J238">
        <v>1</v>
      </c>
      <c r="K238">
        <v>1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30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1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25">
      <c r="A239" t="s">
        <v>68</v>
      </c>
      <c r="B239" t="s">
        <v>70</v>
      </c>
      <c r="C239">
        <v>15</v>
      </c>
      <c r="D239" t="s">
        <v>106</v>
      </c>
      <c r="E239" t="s">
        <v>101</v>
      </c>
      <c r="F239" t="s">
        <v>102</v>
      </c>
      <c r="G239">
        <v>0.103108678210498</v>
      </c>
      <c r="H239">
        <v>2E+20</v>
      </c>
      <c r="I239">
        <v>0</v>
      </c>
      <c r="J239">
        <v>1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30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5.3757894868807901E-2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0.103175045984152</v>
      </c>
      <c r="U239" s="5">
        <f>IF((ContinuousStatsTable[[#This Row],[RepsRequested]]&gt;1),ContinuousStatsTable[[#This Row],[HalfWidth]],ContinuousStatsTable[[#This Row],[BatchMeansHalfWidth]])</f>
        <v>4.9031825474871024E-3</v>
      </c>
    </row>
    <row r="240" spans="1:21" x14ac:dyDescent="0.25">
      <c r="A240" t="s">
        <v>68</v>
      </c>
      <c r="B240" t="s">
        <v>70</v>
      </c>
      <c r="C240">
        <v>15</v>
      </c>
      <c r="D240" t="s">
        <v>106</v>
      </c>
      <c r="E240" t="s">
        <v>103</v>
      </c>
      <c r="F240" t="s">
        <v>102</v>
      </c>
      <c r="G240">
        <v>0.103108678210498</v>
      </c>
      <c r="H240">
        <v>2E+20</v>
      </c>
      <c r="I240">
        <v>0</v>
      </c>
      <c r="J240">
        <v>1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30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5.3757894868807901E-2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0.103175045984152</v>
      </c>
      <c r="U240" s="5">
        <f>IF((ContinuousStatsTable[[#This Row],[RepsRequested]]&gt;1),ContinuousStatsTable[[#This Row],[HalfWidth]],ContinuousStatsTable[[#This Row],[BatchMeansHalfWidth]])</f>
        <v>4.9031825474871024E-3</v>
      </c>
    </row>
    <row r="241" spans="1:21" x14ac:dyDescent="0.25">
      <c r="A241" t="s">
        <v>68</v>
      </c>
      <c r="B241" t="s">
        <v>70</v>
      </c>
      <c r="C241">
        <v>15</v>
      </c>
      <c r="D241" t="s">
        <v>106</v>
      </c>
      <c r="E241" t="s">
        <v>104</v>
      </c>
      <c r="F241" t="s">
        <v>102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30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25">
      <c r="A242" t="s">
        <v>68</v>
      </c>
      <c r="B242" t="s">
        <v>70</v>
      </c>
      <c r="C242">
        <v>16</v>
      </c>
      <c r="D242" t="s">
        <v>71</v>
      </c>
      <c r="E242" t="s">
        <v>98</v>
      </c>
      <c r="F242" t="s">
        <v>73</v>
      </c>
      <c r="G242">
        <v>1.50509570116213</v>
      </c>
      <c r="H242">
        <v>2E+20</v>
      </c>
      <c r="I242">
        <v>0</v>
      </c>
      <c r="J242">
        <v>8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30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1.02094278585578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2.4343835485437801</v>
      </c>
      <c r="U242" s="5">
        <f>IF((ContinuousStatsTable[[#This Row],[RepsRequested]]&gt;1),ContinuousStatsTable[[#This Row],[HalfWidth]],ContinuousStatsTable[[#This Row],[BatchMeansHalfWidth]])</f>
        <v>0.1474422221508549</v>
      </c>
    </row>
    <row r="243" spans="1:21" x14ac:dyDescent="0.25">
      <c r="A243" t="s">
        <v>68</v>
      </c>
      <c r="B243" t="s">
        <v>70</v>
      </c>
      <c r="C243">
        <v>16</v>
      </c>
      <c r="D243" t="s">
        <v>84</v>
      </c>
      <c r="E243" t="s">
        <v>99</v>
      </c>
      <c r="F243" t="s">
        <v>86</v>
      </c>
      <c r="G243">
        <v>0</v>
      </c>
      <c r="H243">
        <v>2E+20</v>
      </c>
      <c r="I243">
        <v>0</v>
      </c>
      <c r="J243">
        <v>0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30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</v>
      </c>
      <c r="U243" s="5">
        <f>IF((ContinuousStatsTable[[#This Row],[RepsRequested]]&gt;1),ContinuousStatsTable[[#This Row],[HalfWidth]],ContinuousStatsTable[[#This Row],[BatchMeansHalfWidth]])</f>
        <v>0</v>
      </c>
    </row>
    <row r="244" spans="1:21" x14ac:dyDescent="0.25">
      <c r="A244" t="s">
        <v>68</v>
      </c>
      <c r="B244" t="s">
        <v>70</v>
      </c>
      <c r="C244">
        <v>16</v>
      </c>
      <c r="D244" t="s">
        <v>87</v>
      </c>
      <c r="E244" t="s">
        <v>99</v>
      </c>
      <c r="F244" t="s">
        <v>86</v>
      </c>
      <c r="G244">
        <v>0.39126030323418898</v>
      </c>
      <c r="H244">
        <v>2E+20</v>
      </c>
      <c r="I244">
        <v>0</v>
      </c>
      <c r="J244">
        <v>3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30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0.273073251721628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0.67472724368415504</v>
      </c>
      <c r="U244" s="5">
        <f>IF((ContinuousStatsTable[[#This Row],[RepsRequested]]&gt;1),ContinuousStatsTable[[#This Row],[HalfWidth]],ContinuousStatsTable[[#This Row],[BatchMeansHalfWidth]])</f>
        <v>4.3177361368283713E-2</v>
      </c>
    </row>
    <row r="245" spans="1:21" x14ac:dyDescent="0.25">
      <c r="A245" t="s">
        <v>68</v>
      </c>
      <c r="B245" t="s">
        <v>70</v>
      </c>
      <c r="C245">
        <v>16</v>
      </c>
      <c r="D245" t="s">
        <v>88</v>
      </c>
      <c r="E245" t="s">
        <v>99</v>
      </c>
      <c r="F245" t="s">
        <v>86</v>
      </c>
      <c r="G245">
        <v>0</v>
      </c>
      <c r="H245">
        <v>2E+20</v>
      </c>
      <c r="I245">
        <v>0</v>
      </c>
      <c r="J245">
        <v>1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30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1.55056745953175E-4</v>
      </c>
      <c r="U245" s="5">
        <f>IF((ContinuousStatsTable[[#This Row],[RepsRequested]]&gt;1),ContinuousStatsTable[[#This Row],[HalfWidth]],ContinuousStatsTable[[#This Row],[BatchMeansHalfWidth]])</f>
        <v>1.0570888434535787E-5</v>
      </c>
    </row>
    <row r="246" spans="1:21" x14ac:dyDescent="0.25">
      <c r="A246" t="s">
        <v>68</v>
      </c>
      <c r="B246" t="s">
        <v>70</v>
      </c>
      <c r="C246">
        <v>16</v>
      </c>
      <c r="D246" t="s">
        <v>90</v>
      </c>
      <c r="E246" t="s">
        <v>99</v>
      </c>
      <c r="F246" t="s">
        <v>86</v>
      </c>
      <c r="G246">
        <v>1.49763998927355E-2</v>
      </c>
      <c r="H246">
        <v>2E+20</v>
      </c>
      <c r="I246">
        <v>0</v>
      </c>
      <c r="J246">
        <v>1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30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7.8516062990880695E-2</v>
      </c>
      <c r="U246" s="5">
        <f>IF((ContinuousStatsTable[[#This Row],[RepsRequested]]&gt;1),ContinuousStatsTable[[#This Row],[HalfWidth]],ContinuousStatsTable[[#This Row],[BatchMeansHalfWidth]])</f>
        <v>7.7862990748262884E-3</v>
      </c>
    </row>
    <row r="247" spans="1:21" x14ac:dyDescent="0.25">
      <c r="A247" t="s">
        <v>68</v>
      </c>
      <c r="B247" t="s">
        <v>70</v>
      </c>
      <c r="C247">
        <v>16</v>
      </c>
      <c r="D247" t="s">
        <v>92</v>
      </c>
      <c r="E247" t="s">
        <v>99</v>
      </c>
      <c r="F247" t="s">
        <v>86</v>
      </c>
      <c r="G247">
        <v>3.8148237591601797E-2</v>
      </c>
      <c r="H247">
        <v>2E+20</v>
      </c>
      <c r="I247">
        <v>0</v>
      </c>
      <c r="J247">
        <v>1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30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0.13654526635771</v>
      </c>
      <c r="U247" s="5">
        <f>IF((ContinuousStatsTable[[#This Row],[RepsRequested]]&gt;1),ContinuousStatsTable[[#This Row],[HalfWidth]],ContinuousStatsTable[[#This Row],[BatchMeansHalfWidth]])</f>
        <v>1.2216139820952973E-2</v>
      </c>
    </row>
    <row r="248" spans="1:21" x14ac:dyDescent="0.25">
      <c r="A248" t="s">
        <v>68</v>
      </c>
      <c r="B248" t="s">
        <v>70</v>
      </c>
      <c r="C248">
        <v>16</v>
      </c>
      <c r="D248" t="s">
        <v>94</v>
      </c>
      <c r="E248" t="s">
        <v>99</v>
      </c>
      <c r="F248" t="s">
        <v>86</v>
      </c>
      <c r="G248">
        <v>8.9480606147986697E-2</v>
      </c>
      <c r="H248">
        <v>2E+20</v>
      </c>
      <c r="I248">
        <v>0</v>
      </c>
      <c r="J248">
        <v>2</v>
      </c>
      <c r="K248">
        <v>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30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9.0453284135870501E-3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0.39547622058287801</v>
      </c>
      <c r="U248" s="5">
        <f>IF((ContinuousStatsTable[[#This Row],[RepsRequested]]&gt;1),ContinuousStatsTable[[#This Row],[HalfWidth]],ContinuousStatsTable[[#This Row],[BatchMeansHalfWidth]])</f>
        <v>3.5836113017914922E-2</v>
      </c>
    </row>
    <row r="249" spans="1:21" x14ac:dyDescent="0.25">
      <c r="A249" t="s">
        <v>68</v>
      </c>
      <c r="B249" t="s">
        <v>70</v>
      </c>
      <c r="C249">
        <v>16</v>
      </c>
      <c r="D249" t="s">
        <v>100</v>
      </c>
      <c r="E249" t="s">
        <v>101</v>
      </c>
      <c r="F249" t="s">
        <v>102</v>
      </c>
      <c r="G249">
        <v>0.44924041931831099</v>
      </c>
      <c r="H249">
        <v>2E+20</v>
      </c>
      <c r="I249">
        <v>0</v>
      </c>
      <c r="J249">
        <v>1</v>
      </c>
      <c r="K249">
        <v>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30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0.31277577999924699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0.60626731984831705</v>
      </c>
      <c r="U249" s="5">
        <f>IF((ContinuousStatsTable[[#This Row],[RepsRequested]]&gt;1),ContinuousStatsTable[[#This Row],[HalfWidth]],ContinuousStatsTable[[#This Row],[BatchMeansHalfWidth]])</f>
        <v>2.7492927893383642E-2</v>
      </c>
    </row>
    <row r="250" spans="1:21" x14ac:dyDescent="0.25">
      <c r="A250" t="s">
        <v>68</v>
      </c>
      <c r="B250" t="s">
        <v>70</v>
      </c>
      <c r="C250">
        <v>16</v>
      </c>
      <c r="D250" t="s">
        <v>100</v>
      </c>
      <c r="E250" t="s">
        <v>103</v>
      </c>
      <c r="F250" t="s">
        <v>102</v>
      </c>
      <c r="G250">
        <v>0.44924041931831099</v>
      </c>
      <c r="H250">
        <v>2E+20</v>
      </c>
      <c r="I250">
        <v>0</v>
      </c>
      <c r="J250">
        <v>1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30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0.31277577999924699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0.60626731984831705</v>
      </c>
      <c r="U250" s="5">
        <f>IF((ContinuousStatsTable[[#This Row],[RepsRequested]]&gt;1),ContinuousStatsTable[[#This Row],[HalfWidth]],ContinuousStatsTable[[#This Row],[BatchMeansHalfWidth]])</f>
        <v>2.7492927893383642E-2</v>
      </c>
    </row>
    <row r="251" spans="1:21" x14ac:dyDescent="0.25">
      <c r="A251" t="s">
        <v>68</v>
      </c>
      <c r="B251" t="s">
        <v>70</v>
      </c>
      <c r="C251">
        <v>16</v>
      </c>
      <c r="D251" t="s">
        <v>100</v>
      </c>
      <c r="E251" t="s">
        <v>104</v>
      </c>
      <c r="F251" t="s">
        <v>102</v>
      </c>
      <c r="G251">
        <v>1</v>
      </c>
      <c r="H251">
        <v>2E+20</v>
      </c>
      <c r="I251">
        <v>1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30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1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1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1</v>
      </c>
      <c r="U251" s="5">
        <f>IF((ContinuousStatsTable[[#This Row],[RepsRequested]]&gt;1),ContinuousStatsTable[[#This Row],[HalfWidth]],ContinuousStatsTable[[#This Row],[BatchMeansHalfWidth]])</f>
        <v>0</v>
      </c>
    </row>
    <row r="252" spans="1:21" x14ac:dyDescent="0.25">
      <c r="A252" t="s">
        <v>68</v>
      </c>
      <c r="B252" t="s">
        <v>70</v>
      </c>
      <c r="C252">
        <v>16</v>
      </c>
      <c r="D252" t="s">
        <v>105</v>
      </c>
      <c r="E252" t="s">
        <v>101</v>
      </c>
      <c r="F252" t="s">
        <v>102</v>
      </c>
      <c r="G252">
        <v>0.26424452175138902</v>
      </c>
      <c r="H252">
        <v>2E+20</v>
      </c>
      <c r="I252">
        <v>0</v>
      </c>
      <c r="J252">
        <v>1</v>
      </c>
      <c r="K252">
        <v>1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30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0.194735973294278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0.35775345817659199</v>
      </c>
      <c r="U252" s="5">
        <f>IF((ContinuousStatsTable[[#This Row],[RepsRequested]]&gt;1),ContinuousStatsTable[[#This Row],[HalfWidth]],ContinuousStatsTable[[#This Row],[BatchMeansHalfWidth]])</f>
        <v>1.6709279991037516E-2</v>
      </c>
    </row>
    <row r="253" spans="1:21" x14ac:dyDescent="0.25">
      <c r="A253" t="s">
        <v>68</v>
      </c>
      <c r="B253" t="s">
        <v>70</v>
      </c>
      <c r="C253">
        <v>16</v>
      </c>
      <c r="D253" t="s">
        <v>105</v>
      </c>
      <c r="E253" t="s">
        <v>103</v>
      </c>
      <c r="F253" t="s">
        <v>102</v>
      </c>
      <c r="G253">
        <v>0.26424452175138902</v>
      </c>
      <c r="H253">
        <v>2E+20</v>
      </c>
      <c r="I253">
        <v>0</v>
      </c>
      <c r="J253">
        <v>1</v>
      </c>
      <c r="K253">
        <v>1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30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0.194735973294278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0.35775345817659199</v>
      </c>
      <c r="U253" s="5">
        <f>IF((ContinuousStatsTable[[#This Row],[RepsRequested]]&gt;1),ContinuousStatsTable[[#This Row],[HalfWidth]],ContinuousStatsTable[[#This Row],[BatchMeansHalfWidth]])</f>
        <v>1.6709279991037516E-2</v>
      </c>
    </row>
    <row r="254" spans="1:21" x14ac:dyDescent="0.25">
      <c r="A254" t="s">
        <v>68</v>
      </c>
      <c r="B254" t="s">
        <v>70</v>
      </c>
      <c r="C254">
        <v>16</v>
      </c>
      <c r="D254" t="s">
        <v>105</v>
      </c>
      <c r="E254" t="s">
        <v>104</v>
      </c>
      <c r="F254" t="s">
        <v>102</v>
      </c>
      <c r="G254">
        <v>1</v>
      </c>
      <c r="H254">
        <v>2E+20</v>
      </c>
      <c r="I254">
        <v>1</v>
      </c>
      <c r="J254">
        <v>1</v>
      </c>
      <c r="K254">
        <v>1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30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1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68</v>
      </c>
      <c r="B255" t="s">
        <v>70</v>
      </c>
      <c r="C255">
        <v>16</v>
      </c>
      <c r="D255" t="s">
        <v>106</v>
      </c>
      <c r="E255" t="s">
        <v>101</v>
      </c>
      <c r="F255" t="s">
        <v>102</v>
      </c>
      <c r="G255">
        <v>8.5915071075306507E-2</v>
      </c>
      <c r="H255">
        <v>2E+20</v>
      </c>
      <c r="I255">
        <v>0</v>
      </c>
      <c r="J255">
        <v>1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30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5.3757894868807901E-2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0.103175045984152</v>
      </c>
      <c r="U255" s="5">
        <f>IF((ContinuousStatsTable[[#This Row],[RepsRequested]]&gt;1),ContinuousStatsTable[[#This Row],[HalfWidth]],ContinuousStatsTable[[#This Row],[BatchMeansHalfWidth]])</f>
        <v>4.9031825474871024E-3</v>
      </c>
    </row>
    <row r="256" spans="1:21" x14ac:dyDescent="0.25">
      <c r="A256" t="s">
        <v>68</v>
      </c>
      <c r="B256" t="s">
        <v>70</v>
      </c>
      <c r="C256">
        <v>16</v>
      </c>
      <c r="D256" t="s">
        <v>106</v>
      </c>
      <c r="E256" t="s">
        <v>103</v>
      </c>
      <c r="F256" t="s">
        <v>102</v>
      </c>
      <c r="G256">
        <v>8.5915071075306507E-2</v>
      </c>
      <c r="H256">
        <v>2E+20</v>
      </c>
      <c r="I256">
        <v>0</v>
      </c>
      <c r="J256">
        <v>1</v>
      </c>
      <c r="K256">
        <v>0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30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5.3757894868807901E-2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0.103175045984152</v>
      </c>
      <c r="U256" s="5">
        <f>IF((ContinuousStatsTable[[#This Row],[RepsRequested]]&gt;1),ContinuousStatsTable[[#This Row],[HalfWidth]],ContinuousStatsTable[[#This Row],[BatchMeansHalfWidth]])</f>
        <v>4.9031825474871024E-3</v>
      </c>
    </row>
    <row r="257" spans="1:21" x14ac:dyDescent="0.25">
      <c r="A257" t="s">
        <v>68</v>
      </c>
      <c r="B257" t="s">
        <v>70</v>
      </c>
      <c r="C257">
        <v>16</v>
      </c>
      <c r="D257" t="s">
        <v>106</v>
      </c>
      <c r="E257" t="s">
        <v>104</v>
      </c>
      <c r="F257" t="s">
        <v>102</v>
      </c>
      <c r="G257">
        <v>1</v>
      </c>
      <c r="H257">
        <v>2E+20</v>
      </c>
      <c r="I257">
        <v>1</v>
      </c>
      <c r="J257">
        <v>1</v>
      </c>
      <c r="K257">
        <v>1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30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1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1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68</v>
      </c>
      <c r="B258" t="s">
        <v>70</v>
      </c>
      <c r="C258">
        <v>17</v>
      </c>
      <c r="D258" t="s">
        <v>71</v>
      </c>
      <c r="E258" t="s">
        <v>98</v>
      </c>
      <c r="F258" t="s">
        <v>73</v>
      </c>
      <c r="G258">
        <v>1.30033554544369</v>
      </c>
      <c r="H258">
        <v>2E+20</v>
      </c>
      <c r="I258">
        <v>0</v>
      </c>
      <c r="J258">
        <v>7</v>
      </c>
      <c r="K258">
        <v>4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30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1.02094278585578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2.4343835485437801</v>
      </c>
      <c r="U258" s="5">
        <f>IF((ContinuousStatsTable[[#This Row],[RepsRequested]]&gt;1),ContinuousStatsTable[[#This Row],[HalfWidth]],ContinuousStatsTable[[#This Row],[BatchMeansHalfWidth]])</f>
        <v>0.1474422221508549</v>
      </c>
    </row>
    <row r="259" spans="1:21" x14ac:dyDescent="0.25">
      <c r="A259" t="s">
        <v>68</v>
      </c>
      <c r="B259" t="s">
        <v>70</v>
      </c>
      <c r="C259">
        <v>17</v>
      </c>
      <c r="D259" t="s">
        <v>84</v>
      </c>
      <c r="E259" t="s">
        <v>99</v>
      </c>
      <c r="F259" t="s">
        <v>86</v>
      </c>
      <c r="G259">
        <v>0</v>
      </c>
      <c r="H259">
        <v>2E+20</v>
      </c>
      <c r="I259">
        <v>0</v>
      </c>
      <c r="J259">
        <v>0</v>
      </c>
      <c r="K259">
        <v>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30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</v>
      </c>
      <c r="U259" s="5">
        <f>IF((ContinuousStatsTable[[#This Row],[RepsRequested]]&gt;1),ContinuousStatsTable[[#This Row],[HalfWidth]],ContinuousStatsTable[[#This Row],[BatchMeansHalfWidth]])</f>
        <v>0</v>
      </c>
    </row>
    <row r="260" spans="1:21" x14ac:dyDescent="0.25">
      <c r="A260" t="s">
        <v>68</v>
      </c>
      <c r="B260" t="s">
        <v>70</v>
      </c>
      <c r="C260">
        <v>17</v>
      </c>
      <c r="D260" t="s">
        <v>87</v>
      </c>
      <c r="E260" t="s">
        <v>99</v>
      </c>
      <c r="F260" t="s">
        <v>86</v>
      </c>
      <c r="G260">
        <v>0.33890285723392299</v>
      </c>
      <c r="H260">
        <v>2E+20</v>
      </c>
      <c r="I260">
        <v>0</v>
      </c>
      <c r="J260">
        <v>2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30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0.273073251721628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0.67472724368415504</v>
      </c>
      <c r="U260" s="5">
        <f>IF((ContinuousStatsTable[[#This Row],[RepsRequested]]&gt;1),ContinuousStatsTable[[#This Row],[HalfWidth]],ContinuousStatsTable[[#This Row],[BatchMeansHalfWidth]])</f>
        <v>4.3177361368283713E-2</v>
      </c>
    </row>
    <row r="261" spans="1:21" x14ac:dyDescent="0.25">
      <c r="A261" t="s">
        <v>68</v>
      </c>
      <c r="B261" t="s">
        <v>70</v>
      </c>
      <c r="C261">
        <v>17</v>
      </c>
      <c r="D261" t="s">
        <v>88</v>
      </c>
      <c r="E261" t="s">
        <v>99</v>
      </c>
      <c r="F261" t="s">
        <v>86</v>
      </c>
      <c r="G261">
        <v>0</v>
      </c>
      <c r="H261">
        <v>2E+20</v>
      </c>
      <c r="I261">
        <v>0</v>
      </c>
      <c r="J261">
        <v>1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30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1.55056745953175E-4</v>
      </c>
      <c r="U261" s="5">
        <f>IF((ContinuousStatsTable[[#This Row],[RepsRequested]]&gt;1),ContinuousStatsTable[[#This Row],[HalfWidth]],ContinuousStatsTable[[#This Row],[BatchMeansHalfWidth]])</f>
        <v>1.0570888434535787E-5</v>
      </c>
    </row>
    <row r="262" spans="1:21" x14ac:dyDescent="0.25">
      <c r="A262" t="s">
        <v>68</v>
      </c>
      <c r="B262" t="s">
        <v>70</v>
      </c>
      <c r="C262">
        <v>17</v>
      </c>
      <c r="D262" t="s">
        <v>90</v>
      </c>
      <c r="E262" t="s">
        <v>99</v>
      </c>
      <c r="F262" t="s">
        <v>86</v>
      </c>
      <c r="G262">
        <v>1.49056201363629E-2</v>
      </c>
      <c r="H262">
        <v>2E+20</v>
      </c>
      <c r="I262">
        <v>0</v>
      </c>
      <c r="J262">
        <v>1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30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7.8516062990880695E-2</v>
      </c>
      <c r="U262" s="5">
        <f>IF((ContinuousStatsTable[[#This Row],[RepsRequested]]&gt;1),ContinuousStatsTable[[#This Row],[HalfWidth]],ContinuousStatsTable[[#This Row],[BatchMeansHalfWidth]])</f>
        <v>7.7862990748262884E-3</v>
      </c>
    </row>
    <row r="263" spans="1:21" x14ac:dyDescent="0.25">
      <c r="A263" t="s">
        <v>68</v>
      </c>
      <c r="B263" t="s">
        <v>70</v>
      </c>
      <c r="C263">
        <v>17</v>
      </c>
      <c r="D263" t="s">
        <v>92</v>
      </c>
      <c r="E263" t="s">
        <v>99</v>
      </c>
      <c r="F263" t="s">
        <v>86</v>
      </c>
      <c r="G263">
        <v>2.2125995453993699E-2</v>
      </c>
      <c r="H263">
        <v>2E+20</v>
      </c>
      <c r="I263">
        <v>0</v>
      </c>
      <c r="J263">
        <v>1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30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0.13654526635771</v>
      </c>
      <c r="U263" s="5">
        <f>IF((ContinuousStatsTable[[#This Row],[RepsRequested]]&gt;1),ContinuousStatsTable[[#This Row],[HalfWidth]],ContinuousStatsTable[[#This Row],[BatchMeansHalfWidth]])</f>
        <v>1.2216139820952973E-2</v>
      </c>
    </row>
    <row r="264" spans="1:21" x14ac:dyDescent="0.25">
      <c r="A264" t="s">
        <v>68</v>
      </c>
      <c r="B264" t="s">
        <v>70</v>
      </c>
      <c r="C264">
        <v>17</v>
      </c>
      <c r="D264" t="s">
        <v>94</v>
      </c>
      <c r="E264" t="s">
        <v>99</v>
      </c>
      <c r="F264" t="s">
        <v>86</v>
      </c>
      <c r="G264">
        <v>7.4561909453848205E-2</v>
      </c>
      <c r="H264">
        <v>2E+20</v>
      </c>
      <c r="I264">
        <v>0</v>
      </c>
      <c r="J264">
        <v>1</v>
      </c>
      <c r="K264">
        <v>1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30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9.0453284135870501E-3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0.39547622058287801</v>
      </c>
      <c r="U264" s="5">
        <f>IF((ContinuousStatsTable[[#This Row],[RepsRequested]]&gt;1),ContinuousStatsTable[[#This Row],[HalfWidth]],ContinuousStatsTable[[#This Row],[BatchMeansHalfWidth]])</f>
        <v>3.5836113017914922E-2</v>
      </c>
    </row>
    <row r="265" spans="1:21" x14ac:dyDescent="0.25">
      <c r="A265" t="s">
        <v>68</v>
      </c>
      <c r="B265" t="s">
        <v>70</v>
      </c>
      <c r="C265">
        <v>17</v>
      </c>
      <c r="D265" t="s">
        <v>100</v>
      </c>
      <c r="E265" t="s">
        <v>101</v>
      </c>
      <c r="F265" t="s">
        <v>102</v>
      </c>
      <c r="G265">
        <v>0.39012312277500599</v>
      </c>
      <c r="H265">
        <v>2E+20</v>
      </c>
      <c r="I265">
        <v>0</v>
      </c>
      <c r="J265">
        <v>1</v>
      </c>
      <c r="K265">
        <v>1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30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0.31277577999924699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0.60626731984831705</v>
      </c>
      <c r="U265" s="5">
        <f>IF((ContinuousStatsTable[[#This Row],[RepsRequested]]&gt;1),ContinuousStatsTable[[#This Row],[HalfWidth]],ContinuousStatsTable[[#This Row],[BatchMeansHalfWidth]])</f>
        <v>2.7492927893383642E-2</v>
      </c>
    </row>
    <row r="266" spans="1:21" x14ac:dyDescent="0.25">
      <c r="A266" t="s">
        <v>68</v>
      </c>
      <c r="B266" t="s">
        <v>70</v>
      </c>
      <c r="C266">
        <v>17</v>
      </c>
      <c r="D266" t="s">
        <v>100</v>
      </c>
      <c r="E266" t="s">
        <v>103</v>
      </c>
      <c r="F266" t="s">
        <v>102</v>
      </c>
      <c r="G266">
        <v>0.39012312277500599</v>
      </c>
      <c r="H266">
        <v>2E+20</v>
      </c>
      <c r="I266">
        <v>0</v>
      </c>
      <c r="J266">
        <v>1</v>
      </c>
      <c r="K266">
        <v>1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30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0.31277577999924699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0.60626731984831705</v>
      </c>
      <c r="U266" s="5">
        <f>IF((ContinuousStatsTable[[#This Row],[RepsRequested]]&gt;1),ContinuousStatsTable[[#This Row],[HalfWidth]],ContinuousStatsTable[[#This Row],[BatchMeansHalfWidth]])</f>
        <v>2.7492927893383642E-2</v>
      </c>
    </row>
    <row r="267" spans="1:21" x14ac:dyDescent="0.25">
      <c r="A267" t="s">
        <v>68</v>
      </c>
      <c r="B267" t="s">
        <v>70</v>
      </c>
      <c r="C267">
        <v>17</v>
      </c>
      <c r="D267" t="s">
        <v>100</v>
      </c>
      <c r="E267" t="s">
        <v>104</v>
      </c>
      <c r="F267" t="s">
        <v>102</v>
      </c>
      <c r="G267">
        <v>1</v>
      </c>
      <c r="H267">
        <v>2E+20</v>
      </c>
      <c r="I267">
        <v>1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30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1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68</v>
      </c>
      <c r="B268" t="s">
        <v>70</v>
      </c>
      <c r="C268">
        <v>17</v>
      </c>
      <c r="D268" t="s">
        <v>105</v>
      </c>
      <c r="E268" t="s">
        <v>101</v>
      </c>
      <c r="F268" t="s">
        <v>102</v>
      </c>
      <c r="G268">
        <v>0.238914505666034</v>
      </c>
      <c r="H268">
        <v>2E+20</v>
      </c>
      <c r="I268">
        <v>0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30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0.194735973294278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0.35775345817659199</v>
      </c>
      <c r="U268" s="5">
        <f>IF((ContinuousStatsTable[[#This Row],[RepsRequested]]&gt;1),ContinuousStatsTable[[#This Row],[HalfWidth]],ContinuousStatsTable[[#This Row],[BatchMeansHalfWidth]])</f>
        <v>1.6709279991037516E-2</v>
      </c>
    </row>
    <row r="269" spans="1:21" x14ac:dyDescent="0.25">
      <c r="A269" t="s">
        <v>68</v>
      </c>
      <c r="B269" t="s">
        <v>70</v>
      </c>
      <c r="C269">
        <v>17</v>
      </c>
      <c r="D269" t="s">
        <v>105</v>
      </c>
      <c r="E269" t="s">
        <v>103</v>
      </c>
      <c r="F269" t="s">
        <v>102</v>
      </c>
      <c r="G269">
        <v>0.238914505666034</v>
      </c>
      <c r="H269">
        <v>2E+20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30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0.194735973294278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0.35775345817659199</v>
      </c>
      <c r="U269" s="5">
        <f>IF((ContinuousStatsTable[[#This Row],[RepsRequested]]&gt;1),ContinuousStatsTable[[#This Row],[HalfWidth]],ContinuousStatsTable[[#This Row],[BatchMeansHalfWidth]])</f>
        <v>1.6709279991037516E-2</v>
      </c>
    </row>
    <row r="270" spans="1:21" x14ac:dyDescent="0.25">
      <c r="A270" t="s">
        <v>68</v>
      </c>
      <c r="B270" t="s">
        <v>70</v>
      </c>
      <c r="C270">
        <v>17</v>
      </c>
      <c r="D270" t="s">
        <v>105</v>
      </c>
      <c r="E270" t="s">
        <v>104</v>
      </c>
      <c r="F270" t="s">
        <v>102</v>
      </c>
      <c r="G270">
        <v>1</v>
      </c>
      <c r="H270">
        <v>2E+20</v>
      </c>
      <c r="I270">
        <v>1</v>
      </c>
      <c r="J270">
        <v>1</v>
      </c>
      <c r="K270">
        <v>1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30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1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1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1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68</v>
      </c>
      <c r="B271" t="s">
        <v>70</v>
      </c>
      <c r="C271">
        <v>17</v>
      </c>
      <c r="D271" t="s">
        <v>106</v>
      </c>
      <c r="E271" t="s">
        <v>101</v>
      </c>
      <c r="F271" t="s">
        <v>102</v>
      </c>
      <c r="G271">
        <v>7.3600511574841807E-2</v>
      </c>
      <c r="H271">
        <v>2E+20</v>
      </c>
      <c r="I271">
        <v>0</v>
      </c>
      <c r="J271">
        <v>1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30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5.3757894868807901E-2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0.103175045984152</v>
      </c>
      <c r="U271" s="5">
        <f>IF((ContinuousStatsTable[[#This Row],[RepsRequested]]&gt;1),ContinuousStatsTable[[#This Row],[HalfWidth]],ContinuousStatsTable[[#This Row],[BatchMeansHalfWidth]])</f>
        <v>4.9031825474871024E-3</v>
      </c>
    </row>
    <row r="272" spans="1:21" x14ac:dyDescent="0.25">
      <c r="A272" t="s">
        <v>68</v>
      </c>
      <c r="B272" t="s">
        <v>70</v>
      </c>
      <c r="C272">
        <v>17</v>
      </c>
      <c r="D272" t="s">
        <v>106</v>
      </c>
      <c r="E272" t="s">
        <v>103</v>
      </c>
      <c r="F272" t="s">
        <v>102</v>
      </c>
      <c r="G272">
        <v>7.3600511574841807E-2</v>
      </c>
      <c r="H272">
        <v>2E+20</v>
      </c>
      <c r="I272">
        <v>0</v>
      </c>
      <c r="J272">
        <v>1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30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5.3757894868807901E-2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0.103175045984152</v>
      </c>
      <c r="U272" s="5">
        <f>IF((ContinuousStatsTable[[#This Row],[RepsRequested]]&gt;1),ContinuousStatsTable[[#This Row],[HalfWidth]],ContinuousStatsTable[[#This Row],[BatchMeansHalfWidth]])</f>
        <v>4.9031825474871024E-3</v>
      </c>
    </row>
    <row r="273" spans="1:21" x14ac:dyDescent="0.25">
      <c r="A273" t="s">
        <v>68</v>
      </c>
      <c r="B273" t="s">
        <v>70</v>
      </c>
      <c r="C273">
        <v>17</v>
      </c>
      <c r="D273" t="s">
        <v>106</v>
      </c>
      <c r="E273" t="s">
        <v>104</v>
      </c>
      <c r="F273" t="s">
        <v>102</v>
      </c>
      <c r="G273">
        <v>1</v>
      </c>
      <c r="H273">
        <v>2E+20</v>
      </c>
      <c r="I273">
        <v>1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30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</v>
      </c>
      <c r="U273" s="5">
        <f>IF((ContinuousStatsTable[[#This Row],[RepsRequested]]&gt;1),ContinuousStatsTable[[#This Row],[HalfWidth]],ContinuousStatsTable[[#This Row],[BatchMeansHalfWidth]])</f>
        <v>0</v>
      </c>
    </row>
    <row r="274" spans="1:21" x14ac:dyDescent="0.25">
      <c r="A274" t="s">
        <v>68</v>
      </c>
      <c r="B274" t="s">
        <v>70</v>
      </c>
      <c r="C274">
        <v>18</v>
      </c>
      <c r="D274" t="s">
        <v>71</v>
      </c>
      <c r="E274" t="s">
        <v>98</v>
      </c>
      <c r="F274" t="s">
        <v>73</v>
      </c>
      <c r="G274">
        <v>2.4343835485437801</v>
      </c>
      <c r="H274">
        <v>2E+20</v>
      </c>
      <c r="I274">
        <v>0</v>
      </c>
      <c r="J274">
        <v>9</v>
      </c>
      <c r="K274">
        <v>0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30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1.02094278585578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2.4343835485437801</v>
      </c>
      <c r="U274" s="5">
        <f>IF((ContinuousStatsTable[[#This Row],[RepsRequested]]&gt;1),ContinuousStatsTable[[#This Row],[HalfWidth]],ContinuousStatsTable[[#This Row],[BatchMeansHalfWidth]])</f>
        <v>0.1474422221508549</v>
      </c>
    </row>
    <row r="275" spans="1:21" x14ac:dyDescent="0.25">
      <c r="A275" t="s">
        <v>68</v>
      </c>
      <c r="B275" t="s">
        <v>70</v>
      </c>
      <c r="C275">
        <v>18</v>
      </c>
      <c r="D275" t="s">
        <v>84</v>
      </c>
      <c r="E275" t="s">
        <v>99</v>
      </c>
      <c r="F275" t="s">
        <v>86</v>
      </c>
      <c r="G275">
        <v>0</v>
      </c>
      <c r="H275">
        <v>2E+20</v>
      </c>
      <c r="I275">
        <v>0</v>
      </c>
      <c r="J275">
        <v>0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30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25">
      <c r="A276" t="s">
        <v>68</v>
      </c>
      <c r="B276" t="s">
        <v>70</v>
      </c>
      <c r="C276">
        <v>18</v>
      </c>
      <c r="D276" t="s">
        <v>87</v>
      </c>
      <c r="E276" t="s">
        <v>99</v>
      </c>
      <c r="F276" t="s">
        <v>86</v>
      </c>
      <c r="G276">
        <v>0.67398271688937295</v>
      </c>
      <c r="H276">
        <v>2E+20</v>
      </c>
      <c r="I276">
        <v>0</v>
      </c>
      <c r="J276">
        <v>3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30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0.273073251721628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0.67472724368415504</v>
      </c>
      <c r="U276" s="5">
        <f>IF((ContinuousStatsTable[[#This Row],[RepsRequested]]&gt;1),ContinuousStatsTable[[#This Row],[HalfWidth]],ContinuousStatsTable[[#This Row],[BatchMeansHalfWidth]])</f>
        <v>4.3177361368283713E-2</v>
      </c>
    </row>
    <row r="277" spans="1:21" x14ac:dyDescent="0.25">
      <c r="A277" t="s">
        <v>68</v>
      </c>
      <c r="B277" t="s">
        <v>70</v>
      </c>
      <c r="C277">
        <v>18</v>
      </c>
      <c r="D277" t="s">
        <v>88</v>
      </c>
      <c r="E277" t="s">
        <v>99</v>
      </c>
      <c r="F277" t="s">
        <v>86</v>
      </c>
      <c r="G277">
        <v>1.55056745953175E-4</v>
      </c>
      <c r="H277">
        <v>2E+20</v>
      </c>
      <c r="I277">
        <v>0</v>
      </c>
      <c r="J277">
        <v>1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30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1.55056745953175E-4</v>
      </c>
      <c r="U277" s="5">
        <f>IF((ContinuousStatsTable[[#This Row],[RepsRequested]]&gt;1),ContinuousStatsTable[[#This Row],[HalfWidth]],ContinuousStatsTable[[#This Row],[BatchMeansHalfWidth]])</f>
        <v>1.0570888434535787E-5</v>
      </c>
    </row>
    <row r="278" spans="1:21" x14ac:dyDescent="0.25">
      <c r="A278" t="s">
        <v>68</v>
      </c>
      <c r="B278" t="s">
        <v>70</v>
      </c>
      <c r="C278">
        <v>18</v>
      </c>
      <c r="D278" t="s">
        <v>90</v>
      </c>
      <c r="E278" t="s">
        <v>99</v>
      </c>
      <c r="F278" t="s">
        <v>86</v>
      </c>
      <c r="G278">
        <v>7.7672979227810607E-2</v>
      </c>
      <c r="H278">
        <v>2E+20</v>
      </c>
      <c r="I278">
        <v>0</v>
      </c>
      <c r="J278">
        <v>2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30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7.8516062990880695E-2</v>
      </c>
      <c r="U278" s="5">
        <f>IF((ContinuousStatsTable[[#This Row],[RepsRequested]]&gt;1),ContinuousStatsTable[[#This Row],[HalfWidth]],ContinuousStatsTable[[#This Row],[BatchMeansHalfWidth]])</f>
        <v>7.7862990748262884E-3</v>
      </c>
    </row>
    <row r="279" spans="1:21" x14ac:dyDescent="0.25">
      <c r="A279" t="s">
        <v>68</v>
      </c>
      <c r="B279" t="s">
        <v>70</v>
      </c>
      <c r="C279">
        <v>18</v>
      </c>
      <c r="D279" t="s">
        <v>92</v>
      </c>
      <c r="E279" t="s">
        <v>99</v>
      </c>
      <c r="F279" t="s">
        <v>86</v>
      </c>
      <c r="G279">
        <v>0.13654526635771</v>
      </c>
      <c r="H279">
        <v>2E+20</v>
      </c>
      <c r="I279">
        <v>0</v>
      </c>
      <c r="J279">
        <v>2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30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0.13654526635771</v>
      </c>
      <c r="U279" s="5">
        <f>IF((ContinuousStatsTable[[#This Row],[RepsRequested]]&gt;1),ContinuousStatsTable[[#This Row],[HalfWidth]],ContinuousStatsTable[[#This Row],[BatchMeansHalfWidth]])</f>
        <v>1.2216139820952973E-2</v>
      </c>
    </row>
    <row r="280" spans="1:21" x14ac:dyDescent="0.25">
      <c r="A280" t="s">
        <v>68</v>
      </c>
      <c r="B280" t="s">
        <v>70</v>
      </c>
      <c r="C280">
        <v>18</v>
      </c>
      <c r="D280" t="s">
        <v>94</v>
      </c>
      <c r="E280" t="s">
        <v>99</v>
      </c>
      <c r="F280" t="s">
        <v>86</v>
      </c>
      <c r="G280">
        <v>0.39547622058287801</v>
      </c>
      <c r="H280">
        <v>2E+20</v>
      </c>
      <c r="I280">
        <v>0</v>
      </c>
      <c r="J280">
        <v>3</v>
      </c>
      <c r="K280">
        <v>0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30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9.0453284135870501E-3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0.39547622058287801</v>
      </c>
      <c r="U280" s="5">
        <f>IF((ContinuousStatsTable[[#This Row],[RepsRequested]]&gt;1),ContinuousStatsTable[[#This Row],[HalfWidth]],ContinuousStatsTable[[#This Row],[BatchMeansHalfWidth]])</f>
        <v>3.5836113017914922E-2</v>
      </c>
    </row>
    <row r="281" spans="1:21" x14ac:dyDescent="0.25">
      <c r="A281" t="s">
        <v>68</v>
      </c>
      <c r="B281" t="s">
        <v>70</v>
      </c>
      <c r="C281">
        <v>18</v>
      </c>
      <c r="D281" t="s">
        <v>100</v>
      </c>
      <c r="E281" t="s">
        <v>101</v>
      </c>
      <c r="F281" t="s">
        <v>102</v>
      </c>
      <c r="G281">
        <v>0.555338522297531</v>
      </c>
      <c r="H281">
        <v>2E+20</v>
      </c>
      <c r="I281">
        <v>0</v>
      </c>
      <c r="J281">
        <v>1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30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0.31277577999924699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0.60626731984831705</v>
      </c>
      <c r="U281" s="5">
        <f>IF((ContinuousStatsTable[[#This Row],[RepsRequested]]&gt;1),ContinuousStatsTable[[#This Row],[HalfWidth]],ContinuousStatsTable[[#This Row],[BatchMeansHalfWidth]])</f>
        <v>2.7492927893383642E-2</v>
      </c>
    </row>
    <row r="282" spans="1:21" x14ac:dyDescent="0.25">
      <c r="A282" t="s">
        <v>68</v>
      </c>
      <c r="B282" t="s">
        <v>70</v>
      </c>
      <c r="C282">
        <v>18</v>
      </c>
      <c r="D282" t="s">
        <v>100</v>
      </c>
      <c r="E282" t="s">
        <v>103</v>
      </c>
      <c r="F282" t="s">
        <v>102</v>
      </c>
      <c r="G282">
        <v>0.555338522297531</v>
      </c>
      <c r="H282">
        <v>2E+20</v>
      </c>
      <c r="I282">
        <v>0</v>
      </c>
      <c r="J282">
        <v>1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30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0.31277577999924699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0.60626731984831705</v>
      </c>
      <c r="U282" s="5">
        <f>IF((ContinuousStatsTable[[#This Row],[RepsRequested]]&gt;1),ContinuousStatsTable[[#This Row],[HalfWidth]],ContinuousStatsTable[[#This Row],[BatchMeansHalfWidth]])</f>
        <v>2.7492927893383642E-2</v>
      </c>
    </row>
    <row r="283" spans="1:21" x14ac:dyDescent="0.25">
      <c r="A283" t="s">
        <v>68</v>
      </c>
      <c r="B283" t="s">
        <v>70</v>
      </c>
      <c r="C283">
        <v>18</v>
      </c>
      <c r="D283" t="s">
        <v>100</v>
      </c>
      <c r="E283" t="s">
        <v>104</v>
      </c>
      <c r="F283" t="s">
        <v>102</v>
      </c>
      <c r="G283">
        <v>1</v>
      </c>
      <c r="H283">
        <v>2E+20</v>
      </c>
      <c r="I283">
        <v>1</v>
      </c>
      <c r="J283">
        <v>1</v>
      </c>
      <c r="K283">
        <v>1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30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1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1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1</v>
      </c>
      <c r="U283" s="5">
        <f>IF((ContinuousStatsTable[[#This Row],[RepsRequested]]&gt;1),ContinuousStatsTable[[#This Row],[HalfWidth]],ContinuousStatsTable[[#This Row],[BatchMeansHalfWidth]])</f>
        <v>0</v>
      </c>
    </row>
    <row r="284" spans="1:21" x14ac:dyDescent="0.25">
      <c r="A284" t="s">
        <v>68</v>
      </c>
      <c r="B284" t="s">
        <v>70</v>
      </c>
      <c r="C284">
        <v>18</v>
      </c>
      <c r="D284" t="s">
        <v>105</v>
      </c>
      <c r="E284" t="s">
        <v>101</v>
      </c>
      <c r="F284" t="s">
        <v>102</v>
      </c>
      <c r="G284">
        <v>0.31174701595791798</v>
      </c>
      <c r="H284">
        <v>2E+20</v>
      </c>
      <c r="I284">
        <v>0</v>
      </c>
      <c r="J284">
        <v>1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30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0.194735973294278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0.35775345817659199</v>
      </c>
      <c r="U284" s="5">
        <f>IF((ContinuousStatsTable[[#This Row],[RepsRequested]]&gt;1),ContinuousStatsTable[[#This Row],[HalfWidth]],ContinuousStatsTable[[#This Row],[BatchMeansHalfWidth]])</f>
        <v>1.6709279991037516E-2</v>
      </c>
    </row>
    <row r="285" spans="1:21" x14ac:dyDescent="0.25">
      <c r="A285" t="s">
        <v>68</v>
      </c>
      <c r="B285" t="s">
        <v>70</v>
      </c>
      <c r="C285">
        <v>18</v>
      </c>
      <c r="D285" t="s">
        <v>105</v>
      </c>
      <c r="E285" t="s">
        <v>103</v>
      </c>
      <c r="F285" t="s">
        <v>102</v>
      </c>
      <c r="G285">
        <v>0.31174701595791798</v>
      </c>
      <c r="H285">
        <v>2E+20</v>
      </c>
      <c r="I285">
        <v>0</v>
      </c>
      <c r="J285">
        <v>1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30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0.194735973294278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0.35775345817659199</v>
      </c>
      <c r="U285" s="5">
        <f>IF((ContinuousStatsTable[[#This Row],[RepsRequested]]&gt;1),ContinuousStatsTable[[#This Row],[HalfWidth]],ContinuousStatsTable[[#This Row],[BatchMeansHalfWidth]])</f>
        <v>1.6709279991037516E-2</v>
      </c>
    </row>
    <row r="286" spans="1:21" x14ac:dyDescent="0.25">
      <c r="A286" t="s">
        <v>68</v>
      </c>
      <c r="B286" t="s">
        <v>70</v>
      </c>
      <c r="C286">
        <v>18</v>
      </c>
      <c r="D286" t="s">
        <v>105</v>
      </c>
      <c r="E286" t="s">
        <v>104</v>
      </c>
      <c r="F286" t="s">
        <v>102</v>
      </c>
      <c r="G286">
        <v>1</v>
      </c>
      <c r="H286">
        <v>2E+20</v>
      </c>
      <c r="I286">
        <v>1</v>
      </c>
      <c r="J286">
        <v>1</v>
      </c>
      <c r="K286">
        <v>1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30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1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1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25">
      <c r="A287" t="s">
        <v>68</v>
      </c>
      <c r="B287" t="s">
        <v>70</v>
      </c>
      <c r="C287">
        <v>18</v>
      </c>
      <c r="D287" t="s">
        <v>106</v>
      </c>
      <c r="E287" t="s">
        <v>101</v>
      </c>
      <c r="F287" t="s">
        <v>102</v>
      </c>
      <c r="G287">
        <v>9.44885901615342E-2</v>
      </c>
      <c r="H287">
        <v>2E+20</v>
      </c>
      <c r="I287">
        <v>0</v>
      </c>
      <c r="J287">
        <v>1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30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5.3757894868807901E-2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0.103175045984152</v>
      </c>
      <c r="U287" s="5">
        <f>IF((ContinuousStatsTable[[#This Row],[RepsRequested]]&gt;1),ContinuousStatsTable[[#This Row],[HalfWidth]],ContinuousStatsTable[[#This Row],[BatchMeansHalfWidth]])</f>
        <v>4.9031825474871024E-3</v>
      </c>
    </row>
    <row r="288" spans="1:21" x14ac:dyDescent="0.25">
      <c r="A288" t="s">
        <v>68</v>
      </c>
      <c r="B288" t="s">
        <v>70</v>
      </c>
      <c r="C288">
        <v>18</v>
      </c>
      <c r="D288" t="s">
        <v>106</v>
      </c>
      <c r="E288" t="s">
        <v>103</v>
      </c>
      <c r="F288" t="s">
        <v>102</v>
      </c>
      <c r="G288">
        <v>9.44885901615342E-2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30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5.3757894868807901E-2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0.103175045984152</v>
      </c>
      <c r="U288" s="5">
        <f>IF((ContinuousStatsTable[[#This Row],[RepsRequested]]&gt;1),ContinuousStatsTable[[#This Row],[HalfWidth]],ContinuousStatsTable[[#This Row],[BatchMeansHalfWidth]])</f>
        <v>4.9031825474871024E-3</v>
      </c>
    </row>
    <row r="289" spans="1:21" x14ac:dyDescent="0.25">
      <c r="A289" t="s">
        <v>68</v>
      </c>
      <c r="B289" t="s">
        <v>70</v>
      </c>
      <c r="C289">
        <v>18</v>
      </c>
      <c r="D289" t="s">
        <v>106</v>
      </c>
      <c r="E289" t="s">
        <v>104</v>
      </c>
      <c r="F289" t="s">
        <v>102</v>
      </c>
      <c r="G289">
        <v>1</v>
      </c>
      <c r="H289">
        <v>2E+20</v>
      </c>
      <c r="I289">
        <v>1</v>
      </c>
      <c r="J289">
        <v>1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30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1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1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1</v>
      </c>
      <c r="U289" s="5">
        <f>IF((ContinuousStatsTable[[#This Row],[RepsRequested]]&gt;1),ContinuousStatsTable[[#This Row],[HalfWidth]],ContinuousStatsTable[[#This Row],[BatchMeansHalfWidth]])</f>
        <v>0</v>
      </c>
    </row>
    <row r="290" spans="1:21" x14ac:dyDescent="0.25">
      <c r="A290" t="s">
        <v>68</v>
      </c>
      <c r="B290" t="s">
        <v>70</v>
      </c>
      <c r="C290">
        <v>19</v>
      </c>
      <c r="D290" t="s">
        <v>71</v>
      </c>
      <c r="E290" t="s">
        <v>98</v>
      </c>
      <c r="F290" t="s">
        <v>73</v>
      </c>
      <c r="G290">
        <v>1.47199043855885</v>
      </c>
      <c r="H290">
        <v>2E+20</v>
      </c>
      <c r="I290">
        <v>0</v>
      </c>
      <c r="J290">
        <v>8</v>
      </c>
      <c r="K290">
        <v>2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30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1.02094278585578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2.4343835485437801</v>
      </c>
      <c r="U290" s="5">
        <f>IF((ContinuousStatsTable[[#This Row],[RepsRequested]]&gt;1),ContinuousStatsTable[[#This Row],[HalfWidth]],ContinuousStatsTable[[#This Row],[BatchMeansHalfWidth]])</f>
        <v>0.1474422221508549</v>
      </c>
    </row>
    <row r="291" spans="1:21" x14ac:dyDescent="0.25">
      <c r="A291" t="s">
        <v>68</v>
      </c>
      <c r="B291" t="s">
        <v>70</v>
      </c>
      <c r="C291">
        <v>19</v>
      </c>
      <c r="D291" t="s">
        <v>84</v>
      </c>
      <c r="E291" t="s">
        <v>99</v>
      </c>
      <c r="F291" t="s">
        <v>86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30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68</v>
      </c>
      <c r="B292" t="s">
        <v>70</v>
      </c>
      <c r="C292">
        <v>19</v>
      </c>
      <c r="D292" t="s">
        <v>87</v>
      </c>
      <c r="E292" t="s">
        <v>99</v>
      </c>
      <c r="F292" t="s">
        <v>86</v>
      </c>
      <c r="G292">
        <v>0.40167453947797499</v>
      </c>
      <c r="H292">
        <v>2E+20</v>
      </c>
      <c r="I292">
        <v>0</v>
      </c>
      <c r="J292">
        <v>3</v>
      </c>
      <c r="K292">
        <v>1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30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0.273073251721628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0.67472724368415504</v>
      </c>
      <c r="U292" s="5">
        <f>IF((ContinuousStatsTable[[#This Row],[RepsRequested]]&gt;1),ContinuousStatsTable[[#This Row],[HalfWidth]],ContinuousStatsTable[[#This Row],[BatchMeansHalfWidth]])</f>
        <v>4.3177361368283713E-2</v>
      </c>
    </row>
    <row r="293" spans="1:21" x14ac:dyDescent="0.25">
      <c r="A293" t="s">
        <v>68</v>
      </c>
      <c r="B293" t="s">
        <v>70</v>
      </c>
      <c r="C293">
        <v>19</v>
      </c>
      <c r="D293" t="s">
        <v>88</v>
      </c>
      <c r="E293" t="s">
        <v>99</v>
      </c>
      <c r="F293" t="s">
        <v>86</v>
      </c>
      <c r="G293">
        <v>0</v>
      </c>
      <c r="H293">
        <v>2E+20</v>
      </c>
      <c r="I293">
        <v>0</v>
      </c>
      <c r="J293">
        <v>1</v>
      </c>
      <c r="K293">
        <v>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30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1.55056745953175E-4</v>
      </c>
      <c r="U293" s="5">
        <f>IF((ContinuousStatsTable[[#This Row],[RepsRequested]]&gt;1),ContinuousStatsTable[[#This Row],[HalfWidth]],ContinuousStatsTable[[#This Row],[BatchMeansHalfWidth]])</f>
        <v>1.0570888434535787E-5</v>
      </c>
    </row>
    <row r="294" spans="1:21" x14ac:dyDescent="0.25">
      <c r="A294" t="s">
        <v>68</v>
      </c>
      <c r="B294" t="s">
        <v>70</v>
      </c>
      <c r="C294">
        <v>19</v>
      </c>
      <c r="D294" t="s">
        <v>90</v>
      </c>
      <c r="E294" t="s">
        <v>99</v>
      </c>
      <c r="F294" t="s">
        <v>86</v>
      </c>
      <c r="G294">
        <v>3.1208716007633901E-2</v>
      </c>
      <c r="H294">
        <v>2E+20</v>
      </c>
      <c r="I294">
        <v>0</v>
      </c>
      <c r="J294">
        <v>1</v>
      </c>
      <c r="K294">
        <v>0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30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7.8516062990880695E-2</v>
      </c>
      <c r="U294" s="5">
        <f>IF((ContinuousStatsTable[[#This Row],[RepsRequested]]&gt;1),ContinuousStatsTable[[#This Row],[HalfWidth]],ContinuousStatsTable[[#This Row],[BatchMeansHalfWidth]])</f>
        <v>7.7862990748262884E-3</v>
      </c>
    </row>
    <row r="295" spans="1:21" x14ac:dyDescent="0.25">
      <c r="A295" t="s">
        <v>68</v>
      </c>
      <c r="B295" t="s">
        <v>70</v>
      </c>
      <c r="C295">
        <v>19</v>
      </c>
      <c r="D295" t="s">
        <v>92</v>
      </c>
      <c r="E295" t="s">
        <v>99</v>
      </c>
      <c r="F295" t="s">
        <v>86</v>
      </c>
      <c r="G295">
        <v>5.1691309786194198E-2</v>
      </c>
      <c r="H295">
        <v>2E+20</v>
      </c>
      <c r="I295">
        <v>0</v>
      </c>
      <c r="J295">
        <v>1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30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0.13654526635771</v>
      </c>
      <c r="U295" s="5">
        <f>IF((ContinuousStatsTable[[#This Row],[RepsRequested]]&gt;1),ContinuousStatsTable[[#This Row],[HalfWidth]],ContinuousStatsTable[[#This Row],[BatchMeansHalfWidth]])</f>
        <v>1.2216139820952973E-2</v>
      </c>
    </row>
    <row r="296" spans="1:21" x14ac:dyDescent="0.25">
      <c r="A296" t="s">
        <v>68</v>
      </c>
      <c r="B296" t="s">
        <v>70</v>
      </c>
      <c r="C296">
        <v>19</v>
      </c>
      <c r="D296" t="s">
        <v>94</v>
      </c>
      <c r="E296" t="s">
        <v>99</v>
      </c>
      <c r="F296" t="s">
        <v>86</v>
      </c>
      <c r="G296">
        <v>0.14942452732117301</v>
      </c>
      <c r="H296">
        <v>2E+20</v>
      </c>
      <c r="I296">
        <v>0</v>
      </c>
      <c r="J296">
        <v>2</v>
      </c>
      <c r="K296">
        <v>0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30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9.0453284135870501E-3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0.39547622058287801</v>
      </c>
      <c r="U296" s="5">
        <f>IF((ContinuousStatsTable[[#This Row],[RepsRequested]]&gt;1),ContinuousStatsTable[[#This Row],[HalfWidth]],ContinuousStatsTable[[#This Row],[BatchMeansHalfWidth]])</f>
        <v>3.5836113017914922E-2</v>
      </c>
    </row>
    <row r="297" spans="1:21" x14ac:dyDescent="0.25">
      <c r="A297" t="s">
        <v>68</v>
      </c>
      <c r="B297" t="s">
        <v>70</v>
      </c>
      <c r="C297">
        <v>19</v>
      </c>
      <c r="D297" t="s">
        <v>100</v>
      </c>
      <c r="E297" t="s">
        <v>101</v>
      </c>
      <c r="F297" t="s">
        <v>102</v>
      </c>
      <c r="G297">
        <v>0.40390293768324398</v>
      </c>
      <c r="H297">
        <v>2E+20</v>
      </c>
      <c r="I297">
        <v>0</v>
      </c>
      <c r="J297">
        <v>1</v>
      </c>
      <c r="K297">
        <v>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30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0.31277577999924699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0.60626731984831705</v>
      </c>
      <c r="U297" s="5">
        <f>IF((ContinuousStatsTable[[#This Row],[RepsRequested]]&gt;1),ContinuousStatsTable[[#This Row],[HalfWidth]],ContinuousStatsTable[[#This Row],[BatchMeansHalfWidth]])</f>
        <v>2.7492927893383642E-2</v>
      </c>
    </row>
    <row r="298" spans="1:21" x14ac:dyDescent="0.25">
      <c r="A298" t="s">
        <v>68</v>
      </c>
      <c r="B298" t="s">
        <v>70</v>
      </c>
      <c r="C298">
        <v>19</v>
      </c>
      <c r="D298" t="s">
        <v>100</v>
      </c>
      <c r="E298" t="s">
        <v>103</v>
      </c>
      <c r="F298" t="s">
        <v>102</v>
      </c>
      <c r="G298">
        <v>0.40390293768324398</v>
      </c>
      <c r="H298">
        <v>2E+20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30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0.31277577999924699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0.60626731984831705</v>
      </c>
      <c r="U298" s="5">
        <f>IF((ContinuousStatsTable[[#This Row],[RepsRequested]]&gt;1),ContinuousStatsTable[[#This Row],[HalfWidth]],ContinuousStatsTable[[#This Row],[BatchMeansHalfWidth]])</f>
        <v>2.7492927893383642E-2</v>
      </c>
    </row>
    <row r="299" spans="1:21" x14ac:dyDescent="0.25">
      <c r="A299" t="s">
        <v>68</v>
      </c>
      <c r="B299" t="s">
        <v>70</v>
      </c>
      <c r="C299">
        <v>19</v>
      </c>
      <c r="D299" t="s">
        <v>100</v>
      </c>
      <c r="E299" t="s">
        <v>104</v>
      </c>
      <c r="F299" t="s">
        <v>102</v>
      </c>
      <c r="G299">
        <v>1</v>
      </c>
      <c r="H299">
        <v>2E+20</v>
      </c>
      <c r="I299">
        <v>1</v>
      </c>
      <c r="J299">
        <v>1</v>
      </c>
      <c r="K299">
        <v>1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30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1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1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1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25">
      <c r="A300" t="s">
        <v>68</v>
      </c>
      <c r="B300" t="s">
        <v>70</v>
      </c>
      <c r="C300">
        <v>19</v>
      </c>
      <c r="D300" t="s">
        <v>105</v>
      </c>
      <c r="E300" t="s">
        <v>101</v>
      </c>
      <c r="F300" t="s">
        <v>102</v>
      </c>
      <c r="G300">
        <v>0.247375323876877</v>
      </c>
      <c r="H300">
        <v>2E+20</v>
      </c>
      <c r="I300">
        <v>0</v>
      </c>
      <c r="J300">
        <v>1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30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0.194735973294278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0.35775345817659199</v>
      </c>
      <c r="U300" s="5">
        <f>IF((ContinuousStatsTable[[#This Row],[RepsRequested]]&gt;1),ContinuousStatsTable[[#This Row],[HalfWidth]],ContinuousStatsTable[[#This Row],[BatchMeansHalfWidth]])</f>
        <v>1.6709279991037516E-2</v>
      </c>
    </row>
    <row r="301" spans="1:21" x14ac:dyDescent="0.25">
      <c r="A301" t="s">
        <v>68</v>
      </c>
      <c r="B301" t="s">
        <v>70</v>
      </c>
      <c r="C301">
        <v>19</v>
      </c>
      <c r="D301" t="s">
        <v>105</v>
      </c>
      <c r="E301" t="s">
        <v>103</v>
      </c>
      <c r="F301" t="s">
        <v>102</v>
      </c>
      <c r="G301">
        <v>0.247375323876877</v>
      </c>
      <c r="H301">
        <v>2E+20</v>
      </c>
      <c r="I301">
        <v>0</v>
      </c>
      <c r="J301">
        <v>1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30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0.194735973294278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0.35775345817659199</v>
      </c>
      <c r="U301" s="5">
        <f>IF((ContinuousStatsTable[[#This Row],[RepsRequested]]&gt;1),ContinuousStatsTable[[#This Row],[HalfWidth]],ContinuousStatsTable[[#This Row],[BatchMeansHalfWidth]])</f>
        <v>1.6709279991037516E-2</v>
      </c>
    </row>
    <row r="302" spans="1:21" x14ac:dyDescent="0.25">
      <c r="A302" t="s">
        <v>68</v>
      </c>
      <c r="B302" t="s">
        <v>70</v>
      </c>
      <c r="C302">
        <v>19</v>
      </c>
      <c r="D302" t="s">
        <v>105</v>
      </c>
      <c r="E302" t="s">
        <v>104</v>
      </c>
      <c r="F302" t="s">
        <v>102</v>
      </c>
      <c r="G302">
        <v>1</v>
      </c>
      <c r="H302">
        <v>2E+20</v>
      </c>
      <c r="I302">
        <v>1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30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1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1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1</v>
      </c>
      <c r="U302" s="5">
        <f>IF((ContinuousStatsTable[[#This Row],[RepsRequested]]&gt;1),ContinuousStatsTable[[#This Row],[HalfWidth]],ContinuousStatsTable[[#This Row],[BatchMeansHalfWidth]])</f>
        <v>0</v>
      </c>
    </row>
    <row r="303" spans="1:21" x14ac:dyDescent="0.25">
      <c r="A303" t="s">
        <v>68</v>
      </c>
      <c r="B303" t="s">
        <v>70</v>
      </c>
      <c r="C303">
        <v>19</v>
      </c>
      <c r="D303" t="s">
        <v>106</v>
      </c>
      <c r="E303" t="s">
        <v>101</v>
      </c>
      <c r="F303" t="s">
        <v>102</v>
      </c>
      <c r="G303">
        <v>6.2237694801918403E-2</v>
      </c>
      <c r="H303">
        <v>2E+20</v>
      </c>
      <c r="I303">
        <v>0</v>
      </c>
      <c r="J303">
        <v>1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30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5.3757894868807901E-2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0.103175045984152</v>
      </c>
      <c r="U303" s="5">
        <f>IF((ContinuousStatsTable[[#This Row],[RepsRequested]]&gt;1),ContinuousStatsTable[[#This Row],[HalfWidth]],ContinuousStatsTable[[#This Row],[BatchMeansHalfWidth]])</f>
        <v>4.9031825474871024E-3</v>
      </c>
    </row>
    <row r="304" spans="1:21" x14ac:dyDescent="0.25">
      <c r="A304" t="s">
        <v>68</v>
      </c>
      <c r="B304" t="s">
        <v>70</v>
      </c>
      <c r="C304">
        <v>19</v>
      </c>
      <c r="D304" t="s">
        <v>106</v>
      </c>
      <c r="E304" t="s">
        <v>103</v>
      </c>
      <c r="F304" t="s">
        <v>102</v>
      </c>
      <c r="G304">
        <v>6.2237694801918403E-2</v>
      </c>
      <c r="H304">
        <v>2E+20</v>
      </c>
      <c r="I304">
        <v>0</v>
      </c>
      <c r="J304">
        <v>1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30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5.3757894868807901E-2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0.103175045984152</v>
      </c>
      <c r="U304" s="5">
        <f>IF((ContinuousStatsTable[[#This Row],[RepsRequested]]&gt;1),ContinuousStatsTable[[#This Row],[HalfWidth]],ContinuousStatsTable[[#This Row],[BatchMeansHalfWidth]])</f>
        <v>4.9031825474871024E-3</v>
      </c>
    </row>
    <row r="305" spans="1:21" x14ac:dyDescent="0.25">
      <c r="A305" t="s">
        <v>68</v>
      </c>
      <c r="B305" t="s">
        <v>70</v>
      </c>
      <c r="C305">
        <v>19</v>
      </c>
      <c r="D305" t="s">
        <v>106</v>
      </c>
      <c r="E305" t="s">
        <v>104</v>
      </c>
      <c r="F305" t="s">
        <v>102</v>
      </c>
      <c r="G305">
        <v>1</v>
      </c>
      <c r="H305">
        <v>2E+20</v>
      </c>
      <c r="I305">
        <v>1</v>
      </c>
      <c r="J305">
        <v>1</v>
      </c>
      <c r="K305">
        <v>1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30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1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1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1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68</v>
      </c>
      <c r="B306" t="s">
        <v>70</v>
      </c>
      <c r="C306">
        <v>20</v>
      </c>
      <c r="D306" t="s">
        <v>71</v>
      </c>
      <c r="E306" t="s">
        <v>98</v>
      </c>
      <c r="F306" t="s">
        <v>73</v>
      </c>
      <c r="G306">
        <v>1.9234628152407001</v>
      </c>
      <c r="H306">
        <v>2E+20</v>
      </c>
      <c r="I306">
        <v>0</v>
      </c>
      <c r="J306">
        <v>8</v>
      </c>
      <c r="K306">
        <v>0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30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1.02094278585578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2.4343835485437801</v>
      </c>
      <c r="U306" s="5">
        <f>IF((ContinuousStatsTable[[#This Row],[RepsRequested]]&gt;1),ContinuousStatsTable[[#This Row],[HalfWidth]],ContinuousStatsTable[[#This Row],[BatchMeansHalfWidth]])</f>
        <v>0.1474422221508549</v>
      </c>
    </row>
    <row r="307" spans="1:21" x14ac:dyDescent="0.25">
      <c r="A307" t="s">
        <v>68</v>
      </c>
      <c r="B307" t="s">
        <v>70</v>
      </c>
      <c r="C307">
        <v>20</v>
      </c>
      <c r="D307" t="s">
        <v>84</v>
      </c>
      <c r="E307" t="s">
        <v>99</v>
      </c>
      <c r="F307" t="s">
        <v>86</v>
      </c>
      <c r="G307">
        <v>0</v>
      </c>
      <c r="H307">
        <v>2E+20</v>
      </c>
      <c r="I307">
        <v>0</v>
      </c>
      <c r="J307">
        <v>0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30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</v>
      </c>
      <c r="U307" s="5">
        <f>IF((ContinuousStatsTable[[#This Row],[RepsRequested]]&gt;1),ContinuousStatsTable[[#This Row],[HalfWidth]],ContinuousStatsTable[[#This Row],[BatchMeansHalfWidth]])</f>
        <v>0</v>
      </c>
    </row>
    <row r="308" spans="1:21" x14ac:dyDescent="0.25">
      <c r="A308" t="s">
        <v>68</v>
      </c>
      <c r="B308" t="s">
        <v>70</v>
      </c>
      <c r="C308">
        <v>20</v>
      </c>
      <c r="D308" t="s">
        <v>87</v>
      </c>
      <c r="E308" t="s">
        <v>99</v>
      </c>
      <c r="F308" t="s">
        <v>86</v>
      </c>
      <c r="G308">
        <v>0.53969626279856497</v>
      </c>
      <c r="H308">
        <v>2E+20</v>
      </c>
      <c r="I308">
        <v>0</v>
      </c>
      <c r="J308">
        <v>3</v>
      </c>
      <c r="K308">
        <v>0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30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0.273073251721628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0.67472724368415504</v>
      </c>
      <c r="U308" s="5">
        <f>IF((ContinuousStatsTable[[#This Row],[RepsRequested]]&gt;1),ContinuousStatsTable[[#This Row],[HalfWidth]],ContinuousStatsTable[[#This Row],[BatchMeansHalfWidth]])</f>
        <v>4.3177361368283713E-2</v>
      </c>
    </row>
    <row r="309" spans="1:21" x14ac:dyDescent="0.25">
      <c r="A309" t="s">
        <v>68</v>
      </c>
      <c r="B309" t="s">
        <v>70</v>
      </c>
      <c r="C309">
        <v>20</v>
      </c>
      <c r="D309" t="s">
        <v>88</v>
      </c>
      <c r="E309" t="s">
        <v>99</v>
      </c>
      <c r="F309" t="s">
        <v>86</v>
      </c>
      <c r="G309">
        <v>0</v>
      </c>
      <c r="H309">
        <v>2E+20</v>
      </c>
      <c r="I309">
        <v>0</v>
      </c>
      <c r="J309">
        <v>1</v>
      </c>
      <c r="K309">
        <v>0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30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0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1.55056745953175E-4</v>
      </c>
      <c r="U309" s="5">
        <f>IF((ContinuousStatsTable[[#This Row],[RepsRequested]]&gt;1),ContinuousStatsTable[[#This Row],[HalfWidth]],ContinuousStatsTable[[#This Row],[BatchMeansHalfWidth]])</f>
        <v>1.0570888434535787E-5</v>
      </c>
    </row>
    <row r="310" spans="1:21" x14ac:dyDescent="0.25">
      <c r="A310" t="s">
        <v>68</v>
      </c>
      <c r="B310" t="s">
        <v>70</v>
      </c>
      <c r="C310">
        <v>20</v>
      </c>
      <c r="D310" t="s">
        <v>90</v>
      </c>
      <c r="E310" t="s">
        <v>99</v>
      </c>
      <c r="F310" t="s">
        <v>86</v>
      </c>
      <c r="G310">
        <v>3.53882092108984E-2</v>
      </c>
      <c r="H310">
        <v>2E+20</v>
      </c>
      <c r="I310">
        <v>0</v>
      </c>
      <c r="J310">
        <v>1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30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7.8516062990880695E-2</v>
      </c>
      <c r="U310" s="5">
        <f>IF((ContinuousStatsTable[[#This Row],[RepsRequested]]&gt;1),ContinuousStatsTable[[#This Row],[HalfWidth]],ContinuousStatsTable[[#This Row],[BatchMeansHalfWidth]])</f>
        <v>7.7862990748262884E-3</v>
      </c>
    </row>
    <row r="311" spans="1:21" x14ac:dyDescent="0.25">
      <c r="A311" t="s">
        <v>68</v>
      </c>
      <c r="B311" t="s">
        <v>70</v>
      </c>
      <c r="C311">
        <v>20</v>
      </c>
      <c r="D311" t="s">
        <v>92</v>
      </c>
      <c r="E311" t="s">
        <v>99</v>
      </c>
      <c r="F311" t="s">
        <v>86</v>
      </c>
      <c r="G311">
        <v>6.3975555862931105E-2</v>
      </c>
      <c r="H311">
        <v>2E+20</v>
      </c>
      <c r="I311">
        <v>0</v>
      </c>
      <c r="J311">
        <v>1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30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0.13654526635771</v>
      </c>
      <c r="U311" s="5">
        <f>IF((ContinuousStatsTable[[#This Row],[RepsRequested]]&gt;1),ContinuousStatsTable[[#This Row],[HalfWidth]],ContinuousStatsTable[[#This Row],[BatchMeansHalfWidth]])</f>
        <v>1.2216139820952973E-2</v>
      </c>
    </row>
    <row r="312" spans="1:21" x14ac:dyDescent="0.25">
      <c r="A312" t="s">
        <v>68</v>
      </c>
      <c r="B312" t="s">
        <v>70</v>
      </c>
      <c r="C312">
        <v>20</v>
      </c>
      <c r="D312" t="s">
        <v>94</v>
      </c>
      <c r="E312" t="s">
        <v>99</v>
      </c>
      <c r="F312" t="s">
        <v>86</v>
      </c>
      <c r="G312">
        <v>0.20371483262437901</v>
      </c>
      <c r="H312">
        <v>2E+20</v>
      </c>
      <c r="I312">
        <v>0</v>
      </c>
      <c r="J312">
        <v>2</v>
      </c>
      <c r="K312">
        <v>0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30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9.0453284135870501E-3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0.39547622058287801</v>
      </c>
      <c r="U312" s="5">
        <f>IF((ContinuousStatsTable[[#This Row],[RepsRequested]]&gt;1),ContinuousStatsTable[[#This Row],[HalfWidth]],ContinuousStatsTable[[#This Row],[BatchMeansHalfWidth]])</f>
        <v>3.5836113017914922E-2</v>
      </c>
    </row>
    <row r="313" spans="1:21" x14ac:dyDescent="0.25">
      <c r="A313" t="s">
        <v>68</v>
      </c>
      <c r="B313" t="s">
        <v>70</v>
      </c>
      <c r="C313">
        <v>20</v>
      </c>
      <c r="D313" t="s">
        <v>100</v>
      </c>
      <c r="E313" t="s">
        <v>101</v>
      </c>
      <c r="F313" t="s">
        <v>102</v>
      </c>
      <c r="G313">
        <v>0.52530946877751705</v>
      </c>
      <c r="H313">
        <v>2E+20</v>
      </c>
      <c r="I313">
        <v>0</v>
      </c>
      <c r="J313">
        <v>1</v>
      </c>
      <c r="K313">
        <v>0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30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0.31277577999924699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0.60626731984831705</v>
      </c>
      <c r="U313" s="5">
        <f>IF((ContinuousStatsTable[[#This Row],[RepsRequested]]&gt;1),ContinuousStatsTable[[#This Row],[HalfWidth]],ContinuousStatsTable[[#This Row],[BatchMeansHalfWidth]])</f>
        <v>2.7492927893383642E-2</v>
      </c>
    </row>
    <row r="314" spans="1:21" x14ac:dyDescent="0.25">
      <c r="A314" t="s">
        <v>68</v>
      </c>
      <c r="B314" t="s">
        <v>70</v>
      </c>
      <c r="C314">
        <v>20</v>
      </c>
      <c r="D314" t="s">
        <v>100</v>
      </c>
      <c r="E314" t="s">
        <v>103</v>
      </c>
      <c r="F314" t="s">
        <v>102</v>
      </c>
      <c r="G314">
        <v>0.52530946877751705</v>
      </c>
      <c r="H314">
        <v>2E+20</v>
      </c>
      <c r="I314">
        <v>0</v>
      </c>
      <c r="J314">
        <v>1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30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0.31277577999924699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0.60626731984831705</v>
      </c>
      <c r="U314" s="5">
        <f>IF((ContinuousStatsTable[[#This Row],[RepsRequested]]&gt;1),ContinuousStatsTable[[#This Row],[HalfWidth]],ContinuousStatsTable[[#This Row],[BatchMeansHalfWidth]])</f>
        <v>2.7492927893383642E-2</v>
      </c>
    </row>
    <row r="315" spans="1:21" x14ac:dyDescent="0.25">
      <c r="A315" t="s">
        <v>68</v>
      </c>
      <c r="B315" t="s">
        <v>70</v>
      </c>
      <c r="C315">
        <v>20</v>
      </c>
      <c r="D315" t="s">
        <v>100</v>
      </c>
      <c r="E315" t="s">
        <v>104</v>
      </c>
      <c r="F315" t="s">
        <v>102</v>
      </c>
      <c r="G315">
        <v>1</v>
      </c>
      <c r="H315">
        <v>2E+20</v>
      </c>
      <c r="I315">
        <v>1</v>
      </c>
      <c r="J315">
        <v>1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30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25">
      <c r="A316" t="s">
        <v>68</v>
      </c>
      <c r="B316" t="s">
        <v>70</v>
      </c>
      <c r="C316">
        <v>20</v>
      </c>
      <c r="D316" t="s">
        <v>105</v>
      </c>
      <c r="E316" t="s">
        <v>101</v>
      </c>
      <c r="F316" t="s">
        <v>102</v>
      </c>
      <c r="G316">
        <v>0.30662979542172702</v>
      </c>
      <c r="H316">
        <v>2E+20</v>
      </c>
      <c r="I316">
        <v>0</v>
      </c>
      <c r="J316">
        <v>1</v>
      </c>
      <c r="K316">
        <v>0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30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0.194735973294278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0.35775345817659199</v>
      </c>
      <c r="U316" s="5">
        <f>IF((ContinuousStatsTable[[#This Row],[RepsRequested]]&gt;1),ContinuousStatsTable[[#This Row],[HalfWidth]],ContinuousStatsTable[[#This Row],[BatchMeansHalfWidth]])</f>
        <v>1.6709279991037516E-2</v>
      </c>
    </row>
    <row r="317" spans="1:21" x14ac:dyDescent="0.25">
      <c r="A317" t="s">
        <v>68</v>
      </c>
      <c r="B317" t="s">
        <v>70</v>
      </c>
      <c r="C317">
        <v>20</v>
      </c>
      <c r="D317" t="s">
        <v>105</v>
      </c>
      <c r="E317" t="s">
        <v>103</v>
      </c>
      <c r="F317" t="s">
        <v>102</v>
      </c>
      <c r="G317">
        <v>0.30662979542172702</v>
      </c>
      <c r="H317">
        <v>2E+20</v>
      </c>
      <c r="I317">
        <v>0</v>
      </c>
      <c r="J317">
        <v>1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30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0.194735973294278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0.35775345817659199</v>
      </c>
      <c r="U317" s="5">
        <f>IF((ContinuousStatsTable[[#This Row],[RepsRequested]]&gt;1),ContinuousStatsTable[[#This Row],[HalfWidth]],ContinuousStatsTable[[#This Row],[BatchMeansHalfWidth]])</f>
        <v>1.6709279991037516E-2</v>
      </c>
    </row>
    <row r="318" spans="1:21" x14ac:dyDescent="0.25">
      <c r="A318" t="s">
        <v>68</v>
      </c>
      <c r="B318" t="s">
        <v>70</v>
      </c>
      <c r="C318">
        <v>20</v>
      </c>
      <c r="D318" t="s">
        <v>105</v>
      </c>
      <c r="E318" t="s">
        <v>104</v>
      </c>
      <c r="F318" t="s">
        <v>102</v>
      </c>
      <c r="G318">
        <v>1</v>
      </c>
      <c r="H318">
        <v>2E+20</v>
      </c>
      <c r="I318">
        <v>1</v>
      </c>
      <c r="J318">
        <v>1</v>
      </c>
      <c r="K318">
        <v>1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30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1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1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68</v>
      </c>
      <c r="B319" t="s">
        <v>70</v>
      </c>
      <c r="C319">
        <v>20</v>
      </c>
      <c r="D319" t="s">
        <v>106</v>
      </c>
      <c r="E319" t="s">
        <v>101</v>
      </c>
      <c r="F319" t="s">
        <v>102</v>
      </c>
      <c r="G319">
        <v>8.2916230181559497E-2</v>
      </c>
      <c r="H319">
        <v>2E+20</v>
      </c>
      <c r="I319">
        <v>0</v>
      </c>
      <c r="J319">
        <v>1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30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5.3757894868807901E-2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0.103175045984152</v>
      </c>
      <c r="U319" s="5">
        <f>IF((ContinuousStatsTable[[#This Row],[RepsRequested]]&gt;1),ContinuousStatsTable[[#This Row],[HalfWidth]],ContinuousStatsTable[[#This Row],[BatchMeansHalfWidth]])</f>
        <v>4.9031825474871024E-3</v>
      </c>
    </row>
    <row r="320" spans="1:21" x14ac:dyDescent="0.25">
      <c r="A320" t="s">
        <v>68</v>
      </c>
      <c r="B320" t="s">
        <v>70</v>
      </c>
      <c r="C320">
        <v>20</v>
      </c>
      <c r="D320" t="s">
        <v>106</v>
      </c>
      <c r="E320" t="s">
        <v>103</v>
      </c>
      <c r="F320" t="s">
        <v>102</v>
      </c>
      <c r="G320">
        <v>8.2916230181559497E-2</v>
      </c>
      <c r="H320">
        <v>2E+20</v>
      </c>
      <c r="I320">
        <v>0</v>
      </c>
      <c r="J320">
        <v>1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30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5.3757894868807901E-2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0.103175045984152</v>
      </c>
      <c r="U320" s="5">
        <f>IF((ContinuousStatsTable[[#This Row],[RepsRequested]]&gt;1),ContinuousStatsTable[[#This Row],[HalfWidth]],ContinuousStatsTable[[#This Row],[BatchMeansHalfWidth]])</f>
        <v>4.9031825474871024E-3</v>
      </c>
    </row>
    <row r="321" spans="1:21" x14ac:dyDescent="0.25">
      <c r="A321" t="s">
        <v>68</v>
      </c>
      <c r="B321" t="s">
        <v>70</v>
      </c>
      <c r="C321">
        <v>20</v>
      </c>
      <c r="D321" t="s">
        <v>106</v>
      </c>
      <c r="E321" t="s">
        <v>104</v>
      </c>
      <c r="F321" t="s">
        <v>102</v>
      </c>
      <c r="G321">
        <v>1</v>
      </c>
      <c r="H321">
        <v>2E+20</v>
      </c>
      <c r="I321">
        <v>1</v>
      </c>
      <c r="J321">
        <v>1</v>
      </c>
      <c r="K321">
        <v>1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30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1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1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1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25">
      <c r="A322" t="s">
        <v>68</v>
      </c>
      <c r="B322" t="s">
        <v>70</v>
      </c>
      <c r="C322">
        <v>21</v>
      </c>
      <c r="D322" t="s">
        <v>71</v>
      </c>
      <c r="E322" t="s">
        <v>98</v>
      </c>
      <c r="F322" t="s">
        <v>73</v>
      </c>
      <c r="G322">
        <v>2.2651952809885501</v>
      </c>
      <c r="H322">
        <v>2E+20</v>
      </c>
      <c r="I322">
        <v>0</v>
      </c>
      <c r="J322">
        <v>7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30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1.02094278585578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2.4343835485437801</v>
      </c>
      <c r="U322" s="5">
        <f>IF((ContinuousStatsTable[[#This Row],[RepsRequested]]&gt;1),ContinuousStatsTable[[#This Row],[HalfWidth]],ContinuousStatsTable[[#This Row],[BatchMeansHalfWidth]])</f>
        <v>0.1474422221508549</v>
      </c>
    </row>
    <row r="323" spans="1:21" x14ac:dyDescent="0.25">
      <c r="A323" t="s">
        <v>68</v>
      </c>
      <c r="B323" t="s">
        <v>70</v>
      </c>
      <c r="C323">
        <v>21</v>
      </c>
      <c r="D323" t="s">
        <v>84</v>
      </c>
      <c r="E323" t="s">
        <v>99</v>
      </c>
      <c r="F323" t="s">
        <v>86</v>
      </c>
      <c r="G323">
        <v>0</v>
      </c>
      <c r="H323">
        <v>2E+20</v>
      </c>
      <c r="I323">
        <v>0</v>
      </c>
      <c r="J323">
        <v>0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30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0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0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0</v>
      </c>
      <c r="U323" s="5">
        <f>IF((ContinuousStatsTable[[#This Row],[RepsRequested]]&gt;1),ContinuousStatsTable[[#This Row],[HalfWidth]],ContinuousStatsTable[[#This Row],[BatchMeansHalfWidth]])</f>
        <v>0</v>
      </c>
    </row>
    <row r="324" spans="1:21" x14ac:dyDescent="0.25">
      <c r="A324" t="s">
        <v>68</v>
      </c>
      <c r="B324" t="s">
        <v>70</v>
      </c>
      <c r="C324">
        <v>21</v>
      </c>
      <c r="D324" t="s">
        <v>87</v>
      </c>
      <c r="E324" t="s">
        <v>99</v>
      </c>
      <c r="F324" t="s">
        <v>86</v>
      </c>
      <c r="G324">
        <v>0.663412918788859</v>
      </c>
      <c r="H324">
        <v>2E+20</v>
      </c>
      <c r="I324">
        <v>0</v>
      </c>
      <c r="J324">
        <v>3</v>
      </c>
      <c r="K324">
        <v>0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30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0.273073251721628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0.67472724368415504</v>
      </c>
      <c r="U324" s="5">
        <f>IF((ContinuousStatsTable[[#This Row],[RepsRequested]]&gt;1),ContinuousStatsTable[[#This Row],[HalfWidth]],ContinuousStatsTable[[#This Row],[BatchMeansHalfWidth]])</f>
        <v>4.3177361368283713E-2</v>
      </c>
    </row>
    <row r="325" spans="1:21" x14ac:dyDescent="0.25">
      <c r="A325" t="s">
        <v>68</v>
      </c>
      <c r="B325" t="s">
        <v>70</v>
      </c>
      <c r="C325">
        <v>21</v>
      </c>
      <c r="D325" t="s">
        <v>88</v>
      </c>
      <c r="E325" t="s">
        <v>99</v>
      </c>
      <c r="F325" t="s">
        <v>86</v>
      </c>
      <c r="G325">
        <v>0</v>
      </c>
      <c r="H325">
        <v>2E+20</v>
      </c>
      <c r="I325">
        <v>0</v>
      </c>
      <c r="J325">
        <v>1</v>
      </c>
      <c r="K325">
        <v>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30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0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1.55056745953175E-4</v>
      </c>
      <c r="U325" s="5">
        <f>IF((ContinuousStatsTable[[#This Row],[RepsRequested]]&gt;1),ContinuousStatsTable[[#This Row],[HalfWidth]],ContinuousStatsTable[[#This Row],[BatchMeansHalfWidth]])</f>
        <v>1.0570888434535787E-5</v>
      </c>
    </row>
    <row r="326" spans="1:21" x14ac:dyDescent="0.25">
      <c r="A326" t="s">
        <v>68</v>
      </c>
      <c r="B326" t="s">
        <v>70</v>
      </c>
      <c r="C326">
        <v>21</v>
      </c>
      <c r="D326" t="s">
        <v>90</v>
      </c>
      <c r="E326" t="s">
        <v>99</v>
      </c>
      <c r="F326" t="s">
        <v>86</v>
      </c>
      <c r="G326">
        <v>3.2410942780752197E-2</v>
      </c>
      <c r="H326">
        <v>2E+20</v>
      </c>
      <c r="I326">
        <v>0</v>
      </c>
      <c r="J326">
        <v>2</v>
      </c>
      <c r="K326">
        <v>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30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7.8516062990880695E-2</v>
      </c>
      <c r="U326" s="5">
        <f>IF((ContinuousStatsTable[[#This Row],[RepsRequested]]&gt;1),ContinuousStatsTable[[#This Row],[HalfWidth]],ContinuousStatsTable[[#This Row],[BatchMeansHalfWidth]])</f>
        <v>7.7862990748262884E-3</v>
      </c>
    </row>
    <row r="327" spans="1:21" x14ac:dyDescent="0.25">
      <c r="A327" t="s">
        <v>68</v>
      </c>
      <c r="B327" t="s">
        <v>70</v>
      </c>
      <c r="C327">
        <v>21</v>
      </c>
      <c r="D327" t="s">
        <v>92</v>
      </c>
      <c r="E327" t="s">
        <v>99</v>
      </c>
      <c r="F327" t="s">
        <v>86</v>
      </c>
      <c r="G327">
        <v>5.3720541838384199E-2</v>
      </c>
      <c r="H327">
        <v>2E+20</v>
      </c>
      <c r="I327">
        <v>0</v>
      </c>
      <c r="J327">
        <v>1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30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0.13654526635771</v>
      </c>
      <c r="U327" s="5">
        <f>IF((ContinuousStatsTable[[#This Row],[RepsRequested]]&gt;1),ContinuousStatsTable[[#This Row],[HalfWidth]],ContinuousStatsTable[[#This Row],[BatchMeansHalfWidth]])</f>
        <v>1.2216139820952973E-2</v>
      </c>
    </row>
    <row r="328" spans="1:21" x14ac:dyDescent="0.25">
      <c r="A328" t="s">
        <v>68</v>
      </c>
      <c r="B328" t="s">
        <v>70</v>
      </c>
      <c r="C328">
        <v>21</v>
      </c>
      <c r="D328" t="s">
        <v>94</v>
      </c>
      <c r="E328" t="s">
        <v>99</v>
      </c>
      <c r="F328" t="s">
        <v>86</v>
      </c>
      <c r="G328">
        <v>0.25474944616349299</v>
      </c>
      <c r="H328">
        <v>2E+20</v>
      </c>
      <c r="I328">
        <v>0</v>
      </c>
      <c r="J328">
        <v>2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30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9.0453284135870501E-3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0.39547622058287801</v>
      </c>
      <c r="U328" s="5">
        <f>IF((ContinuousStatsTable[[#This Row],[RepsRequested]]&gt;1),ContinuousStatsTable[[#This Row],[HalfWidth]],ContinuousStatsTable[[#This Row],[BatchMeansHalfWidth]])</f>
        <v>3.5836113017914922E-2</v>
      </c>
    </row>
    <row r="329" spans="1:21" x14ac:dyDescent="0.25">
      <c r="A329" t="s">
        <v>68</v>
      </c>
      <c r="B329" t="s">
        <v>70</v>
      </c>
      <c r="C329">
        <v>21</v>
      </c>
      <c r="D329" t="s">
        <v>100</v>
      </c>
      <c r="E329" t="s">
        <v>101</v>
      </c>
      <c r="F329" t="s">
        <v>102</v>
      </c>
      <c r="G329">
        <v>0.60626731984831705</v>
      </c>
      <c r="H329">
        <v>2E+20</v>
      </c>
      <c r="I329">
        <v>0</v>
      </c>
      <c r="J329">
        <v>1</v>
      </c>
      <c r="K329">
        <v>0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30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0.31277577999924699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0.60626731984831705</v>
      </c>
      <c r="U329" s="5">
        <f>IF((ContinuousStatsTable[[#This Row],[RepsRequested]]&gt;1),ContinuousStatsTable[[#This Row],[HalfWidth]],ContinuousStatsTable[[#This Row],[BatchMeansHalfWidth]])</f>
        <v>2.7492927893383642E-2</v>
      </c>
    </row>
    <row r="330" spans="1:21" x14ac:dyDescent="0.25">
      <c r="A330" t="s">
        <v>68</v>
      </c>
      <c r="B330" t="s">
        <v>70</v>
      </c>
      <c r="C330">
        <v>21</v>
      </c>
      <c r="D330" t="s">
        <v>100</v>
      </c>
      <c r="E330" t="s">
        <v>103</v>
      </c>
      <c r="F330" t="s">
        <v>102</v>
      </c>
      <c r="G330">
        <v>0.60626731984831705</v>
      </c>
      <c r="H330">
        <v>2E+20</v>
      </c>
      <c r="I330">
        <v>0</v>
      </c>
      <c r="J330">
        <v>1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30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0.31277577999924699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0.60626731984831705</v>
      </c>
      <c r="U330" s="5">
        <f>IF((ContinuousStatsTable[[#This Row],[RepsRequested]]&gt;1),ContinuousStatsTable[[#This Row],[HalfWidth]],ContinuousStatsTable[[#This Row],[BatchMeansHalfWidth]])</f>
        <v>2.7492927893383642E-2</v>
      </c>
    </row>
    <row r="331" spans="1:21" x14ac:dyDescent="0.25">
      <c r="A331" t="s">
        <v>68</v>
      </c>
      <c r="B331" t="s">
        <v>70</v>
      </c>
      <c r="C331">
        <v>21</v>
      </c>
      <c r="D331" t="s">
        <v>100</v>
      </c>
      <c r="E331" t="s">
        <v>104</v>
      </c>
      <c r="F331" t="s">
        <v>102</v>
      </c>
      <c r="G331">
        <v>1</v>
      </c>
      <c r="H331">
        <v>2E+20</v>
      </c>
      <c r="I331">
        <v>1</v>
      </c>
      <c r="J331">
        <v>1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30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1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1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1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68</v>
      </c>
      <c r="B332" t="s">
        <v>70</v>
      </c>
      <c r="C332">
        <v>21</v>
      </c>
      <c r="D332" t="s">
        <v>105</v>
      </c>
      <c r="E332" t="s">
        <v>101</v>
      </c>
      <c r="F332" t="s">
        <v>102</v>
      </c>
      <c r="G332">
        <v>0.345372924020587</v>
      </c>
      <c r="H332">
        <v>2E+20</v>
      </c>
      <c r="I332">
        <v>0</v>
      </c>
      <c r="J332">
        <v>1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30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0.194735973294278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0.35775345817659199</v>
      </c>
      <c r="U332" s="5">
        <f>IF((ContinuousStatsTable[[#This Row],[RepsRequested]]&gt;1),ContinuousStatsTable[[#This Row],[HalfWidth]],ContinuousStatsTable[[#This Row],[BatchMeansHalfWidth]])</f>
        <v>1.6709279991037516E-2</v>
      </c>
    </row>
    <row r="333" spans="1:21" x14ac:dyDescent="0.25">
      <c r="A333" t="s">
        <v>68</v>
      </c>
      <c r="B333" t="s">
        <v>70</v>
      </c>
      <c r="C333">
        <v>21</v>
      </c>
      <c r="D333" t="s">
        <v>105</v>
      </c>
      <c r="E333" t="s">
        <v>103</v>
      </c>
      <c r="F333" t="s">
        <v>102</v>
      </c>
      <c r="G333">
        <v>0.345372924020587</v>
      </c>
      <c r="H333">
        <v>2E+20</v>
      </c>
      <c r="I333">
        <v>0</v>
      </c>
      <c r="J333">
        <v>1</v>
      </c>
      <c r="K333">
        <v>0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30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0.194735973294278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0.35775345817659199</v>
      </c>
      <c r="U333" s="5">
        <f>IF((ContinuousStatsTable[[#This Row],[RepsRequested]]&gt;1),ContinuousStatsTable[[#This Row],[HalfWidth]],ContinuousStatsTable[[#This Row],[BatchMeansHalfWidth]])</f>
        <v>1.6709279991037516E-2</v>
      </c>
    </row>
    <row r="334" spans="1:21" x14ac:dyDescent="0.25">
      <c r="A334" t="s">
        <v>68</v>
      </c>
      <c r="B334" t="s">
        <v>70</v>
      </c>
      <c r="C334">
        <v>21</v>
      </c>
      <c r="D334" t="s">
        <v>105</v>
      </c>
      <c r="E334" t="s">
        <v>104</v>
      </c>
      <c r="F334" t="s">
        <v>102</v>
      </c>
      <c r="G334">
        <v>1</v>
      </c>
      <c r="H334">
        <v>2E+20</v>
      </c>
      <c r="I334">
        <v>1</v>
      </c>
      <c r="J334">
        <v>1</v>
      </c>
      <c r="K334">
        <v>1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30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1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1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1</v>
      </c>
      <c r="U334" s="5">
        <f>IF((ContinuousStatsTable[[#This Row],[RepsRequested]]&gt;1),ContinuousStatsTable[[#This Row],[HalfWidth]],ContinuousStatsTable[[#This Row],[BatchMeansHalfWidth]])</f>
        <v>0</v>
      </c>
    </row>
    <row r="335" spans="1:21" x14ac:dyDescent="0.25">
      <c r="A335" t="s">
        <v>68</v>
      </c>
      <c r="B335" t="s">
        <v>70</v>
      </c>
      <c r="C335">
        <v>21</v>
      </c>
      <c r="D335" t="s">
        <v>106</v>
      </c>
      <c r="E335" t="s">
        <v>101</v>
      </c>
      <c r="F335" t="s">
        <v>102</v>
      </c>
      <c r="G335">
        <v>0.103087062516054</v>
      </c>
      <c r="H335">
        <v>2E+20</v>
      </c>
      <c r="I335">
        <v>0</v>
      </c>
      <c r="J335">
        <v>1</v>
      </c>
      <c r="K335">
        <v>0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30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5.3757894868807901E-2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0.103175045984152</v>
      </c>
      <c r="U335" s="5">
        <f>IF((ContinuousStatsTable[[#This Row],[RepsRequested]]&gt;1),ContinuousStatsTable[[#This Row],[HalfWidth]],ContinuousStatsTable[[#This Row],[BatchMeansHalfWidth]])</f>
        <v>4.9031825474871024E-3</v>
      </c>
    </row>
    <row r="336" spans="1:21" x14ac:dyDescent="0.25">
      <c r="A336" t="s">
        <v>68</v>
      </c>
      <c r="B336" t="s">
        <v>70</v>
      </c>
      <c r="C336">
        <v>21</v>
      </c>
      <c r="D336" t="s">
        <v>106</v>
      </c>
      <c r="E336" t="s">
        <v>103</v>
      </c>
      <c r="F336" t="s">
        <v>102</v>
      </c>
      <c r="G336">
        <v>0.103087062516054</v>
      </c>
      <c r="H336">
        <v>2E+20</v>
      </c>
      <c r="I336">
        <v>0</v>
      </c>
      <c r="J336">
        <v>1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30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5.3757894868807901E-2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0.103175045984152</v>
      </c>
      <c r="U336" s="5">
        <f>IF((ContinuousStatsTable[[#This Row],[RepsRequested]]&gt;1),ContinuousStatsTable[[#This Row],[HalfWidth]],ContinuousStatsTable[[#This Row],[BatchMeansHalfWidth]])</f>
        <v>4.9031825474871024E-3</v>
      </c>
    </row>
    <row r="337" spans="1:21" x14ac:dyDescent="0.25">
      <c r="A337" t="s">
        <v>68</v>
      </c>
      <c r="B337" t="s">
        <v>70</v>
      </c>
      <c r="C337">
        <v>21</v>
      </c>
      <c r="D337" t="s">
        <v>106</v>
      </c>
      <c r="E337" t="s">
        <v>104</v>
      </c>
      <c r="F337" t="s">
        <v>102</v>
      </c>
      <c r="G337">
        <v>1</v>
      </c>
      <c r="H337">
        <v>2E+20</v>
      </c>
      <c r="I337">
        <v>1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30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25">
      <c r="A338" t="s">
        <v>68</v>
      </c>
      <c r="B338" t="s">
        <v>70</v>
      </c>
      <c r="C338">
        <v>22</v>
      </c>
      <c r="D338" t="s">
        <v>71</v>
      </c>
      <c r="E338" t="s">
        <v>98</v>
      </c>
      <c r="F338" t="s">
        <v>73</v>
      </c>
      <c r="G338">
        <v>1.4358681138854701</v>
      </c>
      <c r="H338">
        <v>2E+20</v>
      </c>
      <c r="I338">
        <v>0</v>
      </c>
      <c r="J338">
        <v>8</v>
      </c>
      <c r="K338">
        <v>0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30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1.02094278585578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2.4343835485437801</v>
      </c>
      <c r="U338" s="5">
        <f>IF((ContinuousStatsTable[[#This Row],[RepsRequested]]&gt;1),ContinuousStatsTable[[#This Row],[HalfWidth]],ContinuousStatsTable[[#This Row],[BatchMeansHalfWidth]])</f>
        <v>0.1474422221508549</v>
      </c>
    </row>
    <row r="339" spans="1:21" x14ac:dyDescent="0.25">
      <c r="A339" t="s">
        <v>68</v>
      </c>
      <c r="B339" t="s">
        <v>70</v>
      </c>
      <c r="C339">
        <v>22</v>
      </c>
      <c r="D339" t="s">
        <v>84</v>
      </c>
      <c r="E339" t="s">
        <v>99</v>
      </c>
      <c r="F339" t="s">
        <v>86</v>
      </c>
      <c r="G339">
        <v>0</v>
      </c>
      <c r="H339">
        <v>2E+20</v>
      </c>
      <c r="I339">
        <v>0</v>
      </c>
      <c r="J339">
        <v>0</v>
      </c>
      <c r="K339">
        <v>0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30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25">
      <c r="A340" t="s">
        <v>68</v>
      </c>
      <c r="B340" t="s">
        <v>70</v>
      </c>
      <c r="C340">
        <v>22</v>
      </c>
      <c r="D340" t="s">
        <v>87</v>
      </c>
      <c r="E340" t="s">
        <v>99</v>
      </c>
      <c r="F340" t="s">
        <v>86</v>
      </c>
      <c r="G340">
        <v>0.36320325728601799</v>
      </c>
      <c r="H340">
        <v>2E+20</v>
      </c>
      <c r="I340">
        <v>0</v>
      </c>
      <c r="J340">
        <v>2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30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0.273073251721628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0.67472724368415504</v>
      </c>
      <c r="U340" s="5">
        <f>IF((ContinuousStatsTable[[#This Row],[RepsRequested]]&gt;1),ContinuousStatsTable[[#This Row],[HalfWidth]],ContinuousStatsTable[[#This Row],[BatchMeansHalfWidth]])</f>
        <v>4.3177361368283713E-2</v>
      </c>
    </row>
    <row r="341" spans="1:21" x14ac:dyDescent="0.25">
      <c r="A341" t="s">
        <v>68</v>
      </c>
      <c r="B341" t="s">
        <v>70</v>
      </c>
      <c r="C341">
        <v>22</v>
      </c>
      <c r="D341" t="s">
        <v>88</v>
      </c>
      <c r="E341" t="s">
        <v>99</v>
      </c>
      <c r="F341" t="s">
        <v>86</v>
      </c>
      <c r="G341">
        <v>0</v>
      </c>
      <c r="H341">
        <v>2E+20</v>
      </c>
      <c r="I341">
        <v>0</v>
      </c>
      <c r="J341">
        <v>1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30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1.55056745953175E-4</v>
      </c>
      <c r="U341" s="5">
        <f>IF((ContinuousStatsTable[[#This Row],[RepsRequested]]&gt;1),ContinuousStatsTable[[#This Row],[HalfWidth]],ContinuousStatsTable[[#This Row],[BatchMeansHalfWidth]])</f>
        <v>1.0570888434535787E-5</v>
      </c>
    </row>
    <row r="342" spans="1:21" x14ac:dyDescent="0.25">
      <c r="A342" t="s">
        <v>68</v>
      </c>
      <c r="B342" t="s">
        <v>70</v>
      </c>
      <c r="C342">
        <v>22</v>
      </c>
      <c r="D342" t="s">
        <v>90</v>
      </c>
      <c r="E342" t="s">
        <v>99</v>
      </c>
      <c r="F342" t="s">
        <v>86</v>
      </c>
      <c r="G342">
        <v>2.3450910733720399E-2</v>
      </c>
      <c r="H342">
        <v>2E+20</v>
      </c>
      <c r="I342">
        <v>0</v>
      </c>
      <c r="J342">
        <v>1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30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7.8516062990880695E-2</v>
      </c>
      <c r="U342" s="5">
        <f>IF((ContinuousStatsTable[[#This Row],[RepsRequested]]&gt;1),ContinuousStatsTable[[#This Row],[HalfWidth]],ContinuousStatsTable[[#This Row],[BatchMeansHalfWidth]])</f>
        <v>7.7862990748262884E-3</v>
      </c>
    </row>
    <row r="343" spans="1:21" x14ac:dyDescent="0.25">
      <c r="A343" t="s">
        <v>68</v>
      </c>
      <c r="B343" t="s">
        <v>70</v>
      </c>
      <c r="C343">
        <v>22</v>
      </c>
      <c r="D343" t="s">
        <v>92</v>
      </c>
      <c r="E343" t="s">
        <v>99</v>
      </c>
      <c r="F343" t="s">
        <v>86</v>
      </c>
      <c r="G343">
        <v>3.9075237963953902E-2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30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0.13654526635771</v>
      </c>
      <c r="U343" s="5">
        <f>IF((ContinuousStatsTable[[#This Row],[RepsRequested]]&gt;1),ContinuousStatsTable[[#This Row],[HalfWidth]],ContinuousStatsTable[[#This Row],[BatchMeansHalfWidth]])</f>
        <v>1.2216139820952973E-2</v>
      </c>
    </row>
    <row r="344" spans="1:21" x14ac:dyDescent="0.25">
      <c r="A344" t="s">
        <v>68</v>
      </c>
      <c r="B344" t="s">
        <v>70</v>
      </c>
      <c r="C344">
        <v>22</v>
      </c>
      <c r="D344" t="s">
        <v>94</v>
      </c>
      <c r="E344" t="s">
        <v>99</v>
      </c>
      <c r="F344" t="s">
        <v>86</v>
      </c>
      <c r="G344">
        <v>8.6510750353312904E-2</v>
      </c>
      <c r="H344">
        <v>2E+20</v>
      </c>
      <c r="I344">
        <v>0</v>
      </c>
      <c r="J344">
        <v>2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30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9.0453284135870501E-3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0.39547622058287801</v>
      </c>
      <c r="U344" s="5">
        <f>IF((ContinuousStatsTable[[#This Row],[RepsRequested]]&gt;1),ContinuousStatsTable[[#This Row],[HalfWidth]],ContinuousStatsTable[[#This Row],[BatchMeansHalfWidth]])</f>
        <v>3.5836113017914922E-2</v>
      </c>
    </row>
    <row r="345" spans="1:21" x14ac:dyDescent="0.25">
      <c r="A345" t="s">
        <v>68</v>
      </c>
      <c r="B345" t="s">
        <v>70</v>
      </c>
      <c r="C345">
        <v>22</v>
      </c>
      <c r="D345" t="s">
        <v>100</v>
      </c>
      <c r="E345" t="s">
        <v>101</v>
      </c>
      <c r="F345" t="s">
        <v>102</v>
      </c>
      <c r="G345">
        <v>0.42599450213849299</v>
      </c>
      <c r="H345">
        <v>2E+20</v>
      </c>
      <c r="I345">
        <v>0</v>
      </c>
      <c r="J345">
        <v>1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30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0.31277577999924699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0.60626731984831705</v>
      </c>
      <c r="U345" s="5">
        <f>IF((ContinuousStatsTable[[#This Row],[RepsRequested]]&gt;1),ContinuousStatsTable[[#This Row],[HalfWidth]],ContinuousStatsTable[[#This Row],[BatchMeansHalfWidth]])</f>
        <v>2.7492927893383642E-2</v>
      </c>
    </row>
    <row r="346" spans="1:21" x14ac:dyDescent="0.25">
      <c r="A346" t="s">
        <v>68</v>
      </c>
      <c r="B346" t="s">
        <v>70</v>
      </c>
      <c r="C346">
        <v>22</v>
      </c>
      <c r="D346" t="s">
        <v>100</v>
      </c>
      <c r="E346" t="s">
        <v>103</v>
      </c>
      <c r="F346" t="s">
        <v>102</v>
      </c>
      <c r="G346">
        <v>0.42599450213849299</v>
      </c>
      <c r="H346">
        <v>2E+20</v>
      </c>
      <c r="I346">
        <v>0</v>
      </c>
      <c r="J346">
        <v>1</v>
      </c>
      <c r="K346">
        <v>0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30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0.31277577999924699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0.60626731984831705</v>
      </c>
      <c r="U346" s="5">
        <f>IF((ContinuousStatsTable[[#This Row],[RepsRequested]]&gt;1),ContinuousStatsTable[[#This Row],[HalfWidth]],ContinuousStatsTable[[#This Row],[BatchMeansHalfWidth]])</f>
        <v>2.7492927893383642E-2</v>
      </c>
    </row>
    <row r="347" spans="1:21" x14ac:dyDescent="0.25">
      <c r="A347" t="s">
        <v>68</v>
      </c>
      <c r="B347" t="s">
        <v>70</v>
      </c>
      <c r="C347">
        <v>22</v>
      </c>
      <c r="D347" t="s">
        <v>100</v>
      </c>
      <c r="E347" t="s">
        <v>104</v>
      </c>
      <c r="F347" t="s">
        <v>102</v>
      </c>
      <c r="G347">
        <v>1</v>
      </c>
      <c r="H347">
        <v>2E+20</v>
      </c>
      <c r="I347">
        <v>1</v>
      </c>
      <c r="J347">
        <v>1</v>
      </c>
      <c r="K347">
        <v>1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30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1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1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1</v>
      </c>
      <c r="U347" s="5">
        <f>IF((ContinuousStatsTable[[#This Row],[RepsRequested]]&gt;1),ContinuousStatsTable[[#This Row],[HalfWidth]],ContinuousStatsTable[[#This Row],[BatchMeansHalfWidth]])</f>
        <v>0</v>
      </c>
    </row>
    <row r="348" spans="1:21" x14ac:dyDescent="0.25">
      <c r="A348" t="s">
        <v>68</v>
      </c>
      <c r="B348" t="s">
        <v>70</v>
      </c>
      <c r="C348">
        <v>22</v>
      </c>
      <c r="D348" t="s">
        <v>105</v>
      </c>
      <c r="E348" t="s">
        <v>101</v>
      </c>
      <c r="F348" t="s">
        <v>102</v>
      </c>
      <c r="G348">
        <v>0.25128807862616798</v>
      </c>
      <c r="H348">
        <v>2E+20</v>
      </c>
      <c r="I348">
        <v>0</v>
      </c>
      <c r="J348">
        <v>1</v>
      </c>
      <c r="K348">
        <v>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30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0.194735973294278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0.35775345817659199</v>
      </c>
      <c r="U348" s="5">
        <f>IF((ContinuousStatsTable[[#This Row],[RepsRequested]]&gt;1),ContinuousStatsTable[[#This Row],[HalfWidth]],ContinuousStatsTable[[#This Row],[BatchMeansHalfWidth]])</f>
        <v>1.6709279991037516E-2</v>
      </c>
    </row>
    <row r="349" spans="1:21" x14ac:dyDescent="0.25">
      <c r="A349" t="s">
        <v>68</v>
      </c>
      <c r="B349" t="s">
        <v>70</v>
      </c>
      <c r="C349">
        <v>22</v>
      </c>
      <c r="D349" t="s">
        <v>105</v>
      </c>
      <c r="E349" t="s">
        <v>103</v>
      </c>
      <c r="F349" t="s">
        <v>102</v>
      </c>
      <c r="G349">
        <v>0.25128807862616798</v>
      </c>
      <c r="H349">
        <v>2E+20</v>
      </c>
      <c r="I349">
        <v>0</v>
      </c>
      <c r="J349">
        <v>1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30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0.194735973294278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0.35775345817659199</v>
      </c>
      <c r="U349" s="5">
        <f>IF((ContinuousStatsTable[[#This Row],[RepsRequested]]&gt;1),ContinuousStatsTable[[#This Row],[HalfWidth]],ContinuousStatsTable[[#This Row],[BatchMeansHalfWidth]])</f>
        <v>1.6709279991037516E-2</v>
      </c>
    </row>
    <row r="350" spans="1:21" x14ac:dyDescent="0.25">
      <c r="A350" t="s">
        <v>68</v>
      </c>
      <c r="B350" t="s">
        <v>70</v>
      </c>
      <c r="C350">
        <v>22</v>
      </c>
      <c r="D350" t="s">
        <v>105</v>
      </c>
      <c r="E350" t="s">
        <v>104</v>
      </c>
      <c r="F350" t="s">
        <v>102</v>
      </c>
      <c r="G350">
        <v>1</v>
      </c>
      <c r="H350">
        <v>2E+20</v>
      </c>
      <c r="I350">
        <v>1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30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1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1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1</v>
      </c>
      <c r="U350" s="5">
        <f>IF((ContinuousStatsTable[[#This Row],[RepsRequested]]&gt;1),ContinuousStatsTable[[#This Row],[HalfWidth]],ContinuousStatsTable[[#This Row],[BatchMeansHalfWidth]])</f>
        <v>0</v>
      </c>
    </row>
    <row r="351" spans="1:21" x14ac:dyDescent="0.25">
      <c r="A351" t="s">
        <v>68</v>
      </c>
      <c r="B351" t="s">
        <v>70</v>
      </c>
      <c r="C351">
        <v>22</v>
      </c>
      <c r="D351" t="s">
        <v>106</v>
      </c>
      <c r="E351" t="s">
        <v>101</v>
      </c>
      <c r="F351" t="s">
        <v>102</v>
      </c>
      <c r="G351">
        <v>8.2115125594601407E-2</v>
      </c>
      <c r="H351">
        <v>2E+20</v>
      </c>
      <c r="I351">
        <v>0</v>
      </c>
      <c r="J351">
        <v>1</v>
      </c>
      <c r="K351">
        <v>0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30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5.3757894868807901E-2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0.103175045984152</v>
      </c>
      <c r="U351" s="5">
        <f>IF((ContinuousStatsTable[[#This Row],[RepsRequested]]&gt;1),ContinuousStatsTable[[#This Row],[HalfWidth]],ContinuousStatsTable[[#This Row],[BatchMeansHalfWidth]])</f>
        <v>4.9031825474871024E-3</v>
      </c>
    </row>
    <row r="352" spans="1:21" x14ac:dyDescent="0.25">
      <c r="A352" t="s">
        <v>68</v>
      </c>
      <c r="B352" t="s">
        <v>70</v>
      </c>
      <c r="C352">
        <v>22</v>
      </c>
      <c r="D352" t="s">
        <v>106</v>
      </c>
      <c r="E352" t="s">
        <v>103</v>
      </c>
      <c r="F352" t="s">
        <v>102</v>
      </c>
      <c r="G352">
        <v>8.2115125594601407E-2</v>
      </c>
      <c r="H352">
        <v>2E+20</v>
      </c>
      <c r="I352">
        <v>0</v>
      </c>
      <c r="J352">
        <v>1</v>
      </c>
      <c r="K352">
        <v>0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30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5.3757894868807901E-2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0.103175045984152</v>
      </c>
      <c r="U352" s="5">
        <f>IF((ContinuousStatsTable[[#This Row],[RepsRequested]]&gt;1),ContinuousStatsTable[[#This Row],[HalfWidth]],ContinuousStatsTable[[#This Row],[BatchMeansHalfWidth]])</f>
        <v>4.9031825474871024E-3</v>
      </c>
    </row>
    <row r="353" spans="1:21" x14ac:dyDescent="0.25">
      <c r="A353" t="s">
        <v>68</v>
      </c>
      <c r="B353" t="s">
        <v>70</v>
      </c>
      <c r="C353">
        <v>22</v>
      </c>
      <c r="D353" t="s">
        <v>106</v>
      </c>
      <c r="E353" t="s">
        <v>104</v>
      </c>
      <c r="F353" t="s">
        <v>102</v>
      </c>
      <c r="G353">
        <v>1</v>
      </c>
      <c r="H353">
        <v>2E+20</v>
      </c>
      <c r="I353">
        <v>1</v>
      </c>
      <c r="J353">
        <v>1</v>
      </c>
      <c r="K353">
        <v>1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30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1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1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1</v>
      </c>
      <c r="U353" s="5">
        <f>IF((ContinuousStatsTable[[#This Row],[RepsRequested]]&gt;1),ContinuousStatsTable[[#This Row],[HalfWidth]],ContinuousStatsTable[[#This Row],[BatchMeansHalfWidth]])</f>
        <v>0</v>
      </c>
    </row>
    <row r="354" spans="1:21" x14ac:dyDescent="0.25">
      <c r="A354" t="s">
        <v>68</v>
      </c>
      <c r="B354" t="s">
        <v>70</v>
      </c>
      <c r="C354">
        <v>23</v>
      </c>
      <c r="D354" t="s">
        <v>71</v>
      </c>
      <c r="E354" t="s">
        <v>98</v>
      </c>
      <c r="F354" t="s">
        <v>73</v>
      </c>
      <c r="G354">
        <v>1.81191590368315</v>
      </c>
      <c r="H354">
        <v>2E+20</v>
      </c>
      <c r="I354">
        <v>0</v>
      </c>
      <c r="J354">
        <v>10</v>
      </c>
      <c r="K354">
        <v>6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30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1.02094278585578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2.4343835485437801</v>
      </c>
      <c r="U354" s="5">
        <f>IF((ContinuousStatsTable[[#This Row],[RepsRequested]]&gt;1),ContinuousStatsTable[[#This Row],[HalfWidth]],ContinuousStatsTable[[#This Row],[BatchMeansHalfWidth]])</f>
        <v>0.1474422221508549</v>
      </c>
    </row>
    <row r="355" spans="1:21" x14ac:dyDescent="0.25">
      <c r="A355" t="s">
        <v>68</v>
      </c>
      <c r="B355" t="s">
        <v>70</v>
      </c>
      <c r="C355">
        <v>23</v>
      </c>
      <c r="D355" t="s">
        <v>84</v>
      </c>
      <c r="E355" t="s">
        <v>99</v>
      </c>
      <c r="F355" t="s">
        <v>86</v>
      </c>
      <c r="G355">
        <v>0</v>
      </c>
      <c r="H355">
        <v>2E+20</v>
      </c>
      <c r="I355">
        <v>0</v>
      </c>
      <c r="J355">
        <v>0</v>
      </c>
      <c r="K355">
        <v>0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30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</v>
      </c>
      <c r="U355" s="5">
        <f>IF((ContinuousStatsTable[[#This Row],[RepsRequested]]&gt;1),ContinuousStatsTable[[#This Row],[HalfWidth]],ContinuousStatsTable[[#This Row],[BatchMeansHalfWidth]])</f>
        <v>0</v>
      </c>
    </row>
    <row r="356" spans="1:21" x14ac:dyDescent="0.25">
      <c r="A356" t="s">
        <v>68</v>
      </c>
      <c r="B356" t="s">
        <v>70</v>
      </c>
      <c r="C356">
        <v>23</v>
      </c>
      <c r="D356" t="s">
        <v>87</v>
      </c>
      <c r="E356" t="s">
        <v>99</v>
      </c>
      <c r="F356" t="s">
        <v>86</v>
      </c>
      <c r="G356">
        <v>0.47149579144647502</v>
      </c>
      <c r="H356">
        <v>2E+20</v>
      </c>
      <c r="I356">
        <v>0</v>
      </c>
      <c r="J356">
        <v>3</v>
      </c>
      <c r="K356">
        <v>2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30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0.273073251721628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0.67472724368415504</v>
      </c>
      <c r="U356" s="5">
        <f>IF((ContinuousStatsTable[[#This Row],[RepsRequested]]&gt;1),ContinuousStatsTable[[#This Row],[HalfWidth]],ContinuousStatsTable[[#This Row],[BatchMeansHalfWidth]])</f>
        <v>4.3177361368283713E-2</v>
      </c>
    </row>
    <row r="357" spans="1:21" x14ac:dyDescent="0.25">
      <c r="A357" t="s">
        <v>68</v>
      </c>
      <c r="B357" t="s">
        <v>70</v>
      </c>
      <c r="C357">
        <v>23</v>
      </c>
      <c r="D357" t="s">
        <v>88</v>
      </c>
      <c r="E357" t="s">
        <v>99</v>
      </c>
      <c r="F357" t="s">
        <v>86</v>
      </c>
      <c r="G357">
        <v>0</v>
      </c>
      <c r="H357">
        <v>2E+20</v>
      </c>
      <c r="I357">
        <v>0</v>
      </c>
      <c r="J357">
        <v>1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30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1.55056745953175E-4</v>
      </c>
      <c r="U357" s="5">
        <f>IF((ContinuousStatsTable[[#This Row],[RepsRequested]]&gt;1),ContinuousStatsTable[[#This Row],[HalfWidth]],ContinuousStatsTable[[#This Row],[BatchMeansHalfWidth]])</f>
        <v>1.0570888434535787E-5</v>
      </c>
    </row>
    <row r="358" spans="1:21" x14ac:dyDescent="0.25">
      <c r="A358" t="s">
        <v>68</v>
      </c>
      <c r="B358" t="s">
        <v>70</v>
      </c>
      <c r="C358">
        <v>23</v>
      </c>
      <c r="D358" t="s">
        <v>90</v>
      </c>
      <c r="E358" t="s">
        <v>99</v>
      </c>
      <c r="F358" t="s">
        <v>86</v>
      </c>
      <c r="G358">
        <v>4.5204267058912798E-2</v>
      </c>
      <c r="H358">
        <v>2E+20</v>
      </c>
      <c r="I358">
        <v>0</v>
      </c>
      <c r="J358">
        <v>2</v>
      </c>
      <c r="K358">
        <v>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30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0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7.8516062990880695E-2</v>
      </c>
      <c r="U358" s="5">
        <f>IF((ContinuousStatsTable[[#This Row],[RepsRequested]]&gt;1),ContinuousStatsTable[[#This Row],[HalfWidth]],ContinuousStatsTable[[#This Row],[BatchMeansHalfWidth]])</f>
        <v>7.7862990748262884E-3</v>
      </c>
    </row>
    <row r="359" spans="1:21" x14ac:dyDescent="0.25">
      <c r="A359" t="s">
        <v>68</v>
      </c>
      <c r="B359" t="s">
        <v>70</v>
      </c>
      <c r="C359">
        <v>23</v>
      </c>
      <c r="D359" t="s">
        <v>92</v>
      </c>
      <c r="E359" t="s">
        <v>99</v>
      </c>
      <c r="F359" t="s">
        <v>86</v>
      </c>
      <c r="G359">
        <v>7.0445063489693996E-2</v>
      </c>
      <c r="H359">
        <v>2E+20</v>
      </c>
      <c r="I359">
        <v>0</v>
      </c>
      <c r="J359">
        <v>2</v>
      </c>
      <c r="K359">
        <v>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30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0.13654526635771</v>
      </c>
      <c r="U359" s="5">
        <f>IF((ContinuousStatsTable[[#This Row],[RepsRequested]]&gt;1),ContinuousStatsTable[[#This Row],[HalfWidth]],ContinuousStatsTable[[#This Row],[BatchMeansHalfWidth]])</f>
        <v>1.2216139820952973E-2</v>
      </c>
    </row>
    <row r="360" spans="1:21" x14ac:dyDescent="0.25">
      <c r="A360" t="s">
        <v>68</v>
      </c>
      <c r="B360" t="s">
        <v>70</v>
      </c>
      <c r="C360">
        <v>23</v>
      </c>
      <c r="D360" t="s">
        <v>94</v>
      </c>
      <c r="E360" t="s">
        <v>99</v>
      </c>
      <c r="F360" t="s">
        <v>86</v>
      </c>
      <c r="G360">
        <v>0.16330719856286299</v>
      </c>
      <c r="H360">
        <v>2E+20</v>
      </c>
      <c r="I360">
        <v>0</v>
      </c>
      <c r="J360">
        <v>3</v>
      </c>
      <c r="K360">
        <v>2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30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9.0453284135870501E-3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0.39547622058287801</v>
      </c>
      <c r="U360" s="5">
        <f>IF((ContinuousStatsTable[[#This Row],[RepsRequested]]&gt;1),ContinuousStatsTable[[#This Row],[HalfWidth]],ContinuousStatsTable[[#This Row],[BatchMeansHalfWidth]])</f>
        <v>3.5836113017914922E-2</v>
      </c>
    </row>
    <row r="361" spans="1:21" x14ac:dyDescent="0.25">
      <c r="A361" t="s">
        <v>68</v>
      </c>
      <c r="B361" t="s">
        <v>70</v>
      </c>
      <c r="C361">
        <v>23</v>
      </c>
      <c r="D361" t="s">
        <v>100</v>
      </c>
      <c r="E361" t="s">
        <v>101</v>
      </c>
      <c r="F361" t="s">
        <v>102</v>
      </c>
      <c r="G361">
        <v>0.51342970562738099</v>
      </c>
      <c r="H361">
        <v>2E+20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30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0.31277577999924699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0.60626731984831705</v>
      </c>
      <c r="U361" s="5">
        <f>IF((ContinuousStatsTable[[#This Row],[RepsRequested]]&gt;1),ContinuousStatsTable[[#This Row],[HalfWidth]],ContinuousStatsTable[[#This Row],[BatchMeansHalfWidth]])</f>
        <v>2.7492927893383642E-2</v>
      </c>
    </row>
    <row r="362" spans="1:21" x14ac:dyDescent="0.25">
      <c r="A362" t="s">
        <v>68</v>
      </c>
      <c r="B362" t="s">
        <v>70</v>
      </c>
      <c r="C362">
        <v>23</v>
      </c>
      <c r="D362" t="s">
        <v>100</v>
      </c>
      <c r="E362" t="s">
        <v>103</v>
      </c>
      <c r="F362" t="s">
        <v>102</v>
      </c>
      <c r="G362">
        <v>0.51342970562738099</v>
      </c>
      <c r="H362">
        <v>2E+20</v>
      </c>
      <c r="I362">
        <v>0</v>
      </c>
      <c r="J362">
        <v>1</v>
      </c>
      <c r="K362">
        <v>1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30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0.31277577999924699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0.60626731984831705</v>
      </c>
      <c r="U362" s="5">
        <f>IF((ContinuousStatsTable[[#This Row],[RepsRequested]]&gt;1),ContinuousStatsTable[[#This Row],[HalfWidth]],ContinuousStatsTable[[#This Row],[BatchMeansHalfWidth]])</f>
        <v>2.7492927893383642E-2</v>
      </c>
    </row>
    <row r="363" spans="1:21" x14ac:dyDescent="0.25">
      <c r="A363" t="s">
        <v>68</v>
      </c>
      <c r="B363" t="s">
        <v>70</v>
      </c>
      <c r="C363">
        <v>23</v>
      </c>
      <c r="D363" t="s">
        <v>100</v>
      </c>
      <c r="E363" t="s">
        <v>104</v>
      </c>
      <c r="F363" t="s">
        <v>102</v>
      </c>
      <c r="G363">
        <v>1</v>
      </c>
      <c r="H363">
        <v>2E+20</v>
      </c>
      <c r="I363">
        <v>1</v>
      </c>
      <c r="J363">
        <v>1</v>
      </c>
      <c r="K363">
        <v>1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30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1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1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1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25">
      <c r="A364" t="s">
        <v>68</v>
      </c>
      <c r="B364" t="s">
        <v>70</v>
      </c>
      <c r="C364">
        <v>23</v>
      </c>
      <c r="D364" t="s">
        <v>105</v>
      </c>
      <c r="E364" t="s">
        <v>101</v>
      </c>
      <c r="F364" t="s">
        <v>102</v>
      </c>
      <c r="G364">
        <v>0.31895559429968101</v>
      </c>
      <c r="H364">
        <v>2E+20</v>
      </c>
      <c r="I364">
        <v>0</v>
      </c>
      <c r="J364">
        <v>1</v>
      </c>
      <c r="K364">
        <v>1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30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0.194735973294278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0.35775345817659199</v>
      </c>
      <c r="U364" s="5">
        <f>IF((ContinuousStatsTable[[#This Row],[RepsRequested]]&gt;1),ContinuousStatsTable[[#This Row],[HalfWidth]],ContinuousStatsTable[[#This Row],[BatchMeansHalfWidth]])</f>
        <v>1.6709279991037516E-2</v>
      </c>
    </row>
    <row r="365" spans="1:21" x14ac:dyDescent="0.25">
      <c r="A365" t="s">
        <v>68</v>
      </c>
      <c r="B365" t="s">
        <v>70</v>
      </c>
      <c r="C365">
        <v>23</v>
      </c>
      <c r="D365" t="s">
        <v>105</v>
      </c>
      <c r="E365" t="s">
        <v>103</v>
      </c>
      <c r="F365" t="s">
        <v>102</v>
      </c>
      <c r="G365">
        <v>0.31895559429968101</v>
      </c>
      <c r="H365">
        <v>2E+20</v>
      </c>
      <c r="I365">
        <v>0</v>
      </c>
      <c r="J365">
        <v>1</v>
      </c>
      <c r="K365">
        <v>1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30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0.194735973294278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0.35775345817659199</v>
      </c>
      <c r="U365" s="5">
        <f>IF((ContinuousStatsTable[[#This Row],[RepsRequested]]&gt;1),ContinuousStatsTable[[#This Row],[HalfWidth]],ContinuousStatsTable[[#This Row],[BatchMeansHalfWidth]])</f>
        <v>1.6709279991037516E-2</v>
      </c>
    </row>
    <row r="366" spans="1:21" x14ac:dyDescent="0.25">
      <c r="A366" t="s">
        <v>68</v>
      </c>
      <c r="B366" t="s">
        <v>70</v>
      </c>
      <c r="C366">
        <v>23</v>
      </c>
      <c r="D366" t="s">
        <v>105</v>
      </c>
      <c r="E366" t="s">
        <v>104</v>
      </c>
      <c r="F366" t="s">
        <v>102</v>
      </c>
      <c r="G366">
        <v>1</v>
      </c>
      <c r="H366">
        <v>2E+20</v>
      </c>
      <c r="I366">
        <v>1</v>
      </c>
      <c r="J366">
        <v>1</v>
      </c>
      <c r="K366">
        <v>1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30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1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0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1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1</v>
      </c>
      <c r="U366" s="5">
        <f>IF((ContinuousStatsTable[[#This Row],[RepsRequested]]&gt;1),ContinuousStatsTable[[#This Row],[HalfWidth]],ContinuousStatsTable[[#This Row],[BatchMeansHalfWidth]])</f>
        <v>0</v>
      </c>
    </row>
    <row r="367" spans="1:21" x14ac:dyDescent="0.25">
      <c r="A367" t="s">
        <v>68</v>
      </c>
      <c r="B367" t="s">
        <v>70</v>
      </c>
      <c r="C367">
        <v>23</v>
      </c>
      <c r="D367" t="s">
        <v>106</v>
      </c>
      <c r="E367" t="s">
        <v>101</v>
      </c>
      <c r="F367" t="s">
        <v>102</v>
      </c>
      <c r="G367">
        <v>7.63594277327133E-2</v>
      </c>
      <c r="H367">
        <v>2E+20</v>
      </c>
      <c r="I367">
        <v>0</v>
      </c>
      <c r="J367">
        <v>1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30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5.3757894868807901E-2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0.103175045984152</v>
      </c>
      <c r="U367" s="5">
        <f>IF((ContinuousStatsTable[[#This Row],[RepsRequested]]&gt;1),ContinuousStatsTable[[#This Row],[HalfWidth]],ContinuousStatsTable[[#This Row],[BatchMeansHalfWidth]])</f>
        <v>4.9031825474871024E-3</v>
      </c>
    </row>
    <row r="368" spans="1:21" x14ac:dyDescent="0.25">
      <c r="A368" t="s">
        <v>68</v>
      </c>
      <c r="B368" t="s">
        <v>70</v>
      </c>
      <c r="C368">
        <v>23</v>
      </c>
      <c r="D368" t="s">
        <v>106</v>
      </c>
      <c r="E368" t="s">
        <v>103</v>
      </c>
      <c r="F368" t="s">
        <v>102</v>
      </c>
      <c r="G368">
        <v>7.63594277327133E-2</v>
      </c>
      <c r="H368">
        <v>2E+20</v>
      </c>
      <c r="I368">
        <v>0</v>
      </c>
      <c r="J368">
        <v>1</v>
      </c>
      <c r="K368">
        <v>0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30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5.3757894868807901E-2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0.103175045984152</v>
      </c>
      <c r="U368" s="5">
        <f>IF((ContinuousStatsTable[[#This Row],[RepsRequested]]&gt;1),ContinuousStatsTable[[#This Row],[HalfWidth]],ContinuousStatsTable[[#This Row],[BatchMeansHalfWidth]])</f>
        <v>4.9031825474871024E-3</v>
      </c>
    </row>
    <row r="369" spans="1:21" x14ac:dyDescent="0.25">
      <c r="A369" t="s">
        <v>68</v>
      </c>
      <c r="B369" t="s">
        <v>70</v>
      </c>
      <c r="C369">
        <v>23</v>
      </c>
      <c r="D369" t="s">
        <v>106</v>
      </c>
      <c r="E369" t="s">
        <v>104</v>
      </c>
      <c r="F369" t="s">
        <v>102</v>
      </c>
      <c r="G369">
        <v>1</v>
      </c>
      <c r="H369">
        <v>2E+20</v>
      </c>
      <c r="I369">
        <v>1</v>
      </c>
      <c r="J369">
        <v>1</v>
      </c>
      <c r="K369">
        <v>1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30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1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1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1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25">
      <c r="A370" t="s">
        <v>68</v>
      </c>
      <c r="B370" t="s">
        <v>70</v>
      </c>
      <c r="C370">
        <v>24</v>
      </c>
      <c r="D370" t="s">
        <v>71</v>
      </c>
      <c r="E370" t="s">
        <v>98</v>
      </c>
      <c r="F370" t="s">
        <v>73</v>
      </c>
      <c r="G370">
        <v>1.6195830579385999</v>
      </c>
      <c r="H370">
        <v>2E+20</v>
      </c>
      <c r="I370">
        <v>0</v>
      </c>
      <c r="J370">
        <v>7</v>
      </c>
      <c r="K370">
        <v>3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30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1.02094278585578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2.4343835485437801</v>
      </c>
      <c r="U370" s="5">
        <f>IF((ContinuousStatsTable[[#This Row],[RepsRequested]]&gt;1),ContinuousStatsTable[[#This Row],[HalfWidth]],ContinuousStatsTable[[#This Row],[BatchMeansHalfWidth]])</f>
        <v>0.1474422221508549</v>
      </c>
    </row>
    <row r="371" spans="1:21" x14ac:dyDescent="0.25">
      <c r="A371" t="s">
        <v>68</v>
      </c>
      <c r="B371" t="s">
        <v>70</v>
      </c>
      <c r="C371">
        <v>24</v>
      </c>
      <c r="D371" t="s">
        <v>84</v>
      </c>
      <c r="E371" t="s">
        <v>99</v>
      </c>
      <c r="F371" t="s">
        <v>86</v>
      </c>
      <c r="G371">
        <v>0</v>
      </c>
      <c r="H371">
        <v>2E+20</v>
      </c>
      <c r="I371">
        <v>0</v>
      </c>
      <c r="J371">
        <v>0</v>
      </c>
      <c r="K371">
        <v>0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30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68</v>
      </c>
      <c r="B372" t="s">
        <v>70</v>
      </c>
      <c r="C372">
        <v>24</v>
      </c>
      <c r="D372" t="s">
        <v>87</v>
      </c>
      <c r="E372" t="s">
        <v>99</v>
      </c>
      <c r="F372" t="s">
        <v>86</v>
      </c>
      <c r="G372">
        <v>0.43702551945964602</v>
      </c>
      <c r="H372">
        <v>2E+20</v>
      </c>
      <c r="I372">
        <v>0</v>
      </c>
      <c r="J372">
        <v>2</v>
      </c>
      <c r="K372">
        <v>0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30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0.273073251721628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0.67472724368415504</v>
      </c>
      <c r="U372" s="5">
        <f>IF((ContinuousStatsTable[[#This Row],[RepsRequested]]&gt;1),ContinuousStatsTable[[#This Row],[HalfWidth]],ContinuousStatsTable[[#This Row],[BatchMeansHalfWidth]])</f>
        <v>4.3177361368283713E-2</v>
      </c>
    </row>
    <row r="373" spans="1:21" x14ac:dyDescent="0.25">
      <c r="A373" t="s">
        <v>68</v>
      </c>
      <c r="B373" t="s">
        <v>70</v>
      </c>
      <c r="C373">
        <v>24</v>
      </c>
      <c r="D373" t="s">
        <v>88</v>
      </c>
      <c r="E373" t="s">
        <v>99</v>
      </c>
      <c r="F373" t="s">
        <v>86</v>
      </c>
      <c r="G373">
        <v>0</v>
      </c>
      <c r="H373">
        <v>2E+20</v>
      </c>
      <c r="I373">
        <v>0</v>
      </c>
      <c r="J373">
        <v>1</v>
      </c>
      <c r="K373">
        <v>0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30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1.55056745953175E-4</v>
      </c>
      <c r="U373" s="5">
        <f>IF((ContinuousStatsTable[[#This Row],[RepsRequested]]&gt;1),ContinuousStatsTable[[#This Row],[HalfWidth]],ContinuousStatsTable[[#This Row],[BatchMeansHalfWidth]])</f>
        <v>1.0570888434535787E-5</v>
      </c>
    </row>
    <row r="374" spans="1:21" x14ac:dyDescent="0.25">
      <c r="A374" t="s">
        <v>68</v>
      </c>
      <c r="B374" t="s">
        <v>70</v>
      </c>
      <c r="C374">
        <v>24</v>
      </c>
      <c r="D374" t="s">
        <v>90</v>
      </c>
      <c r="E374" t="s">
        <v>99</v>
      </c>
      <c r="F374" t="s">
        <v>86</v>
      </c>
      <c r="G374">
        <v>1.35318106999451E-2</v>
      </c>
      <c r="H374">
        <v>2E+20</v>
      </c>
      <c r="I374">
        <v>0</v>
      </c>
      <c r="J374">
        <v>1</v>
      </c>
      <c r="K374">
        <v>0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30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0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7.8516062990880695E-2</v>
      </c>
      <c r="U374" s="5">
        <f>IF((ContinuousStatsTable[[#This Row],[RepsRequested]]&gt;1),ContinuousStatsTable[[#This Row],[HalfWidth]],ContinuousStatsTable[[#This Row],[BatchMeansHalfWidth]])</f>
        <v>7.7862990748262884E-3</v>
      </c>
    </row>
    <row r="375" spans="1:21" x14ac:dyDescent="0.25">
      <c r="A375" t="s">
        <v>68</v>
      </c>
      <c r="B375" t="s">
        <v>70</v>
      </c>
      <c r="C375">
        <v>24</v>
      </c>
      <c r="D375" t="s">
        <v>92</v>
      </c>
      <c r="E375" t="s">
        <v>99</v>
      </c>
      <c r="F375" t="s">
        <v>86</v>
      </c>
      <c r="G375">
        <v>1.54240794675665E-2</v>
      </c>
      <c r="H375">
        <v>2E+20</v>
      </c>
      <c r="I375">
        <v>0</v>
      </c>
      <c r="J375">
        <v>1</v>
      </c>
      <c r="K375">
        <v>1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30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0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0.13654526635771</v>
      </c>
      <c r="U375" s="5">
        <f>IF((ContinuousStatsTable[[#This Row],[RepsRequested]]&gt;1),ContinuousStatsTable[[#This Row],[HalfWidth]],ContinuousStatsTable[[#This Row],[BatchMeansHalfWidth]])</f>
        <v>1.2216139820952973E-2</v>
      </c>
    </row>
    <row r="376" spans="1:21" x14ac:dyDescent="0.25">
      <c r="A376" t="s">
        <v>68</v>
      </c>
      <c r="B376" t="s">
        <v>70</v>
      </c>
      <c r="C376">
        <v>24</v>
      </c>
      <c r="D376" t="s">
        <v>94</v>
      </c>
      <c r="E376" t="s">
        <v>99</v>
      </c>
      <c r="F376" t="s">
        <v>86</v>
      </c>
      <c r="G376">
        <v>8.7507447601922903E-2</v>
      </c>
      <c r="H376">
        <v>2E+20</v>
      </c>
      <c r="I376">
        <v>0</v>
      </c>
      <c r="J376">
        <v>1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30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9.0453284135870501E-3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0.39547622058287801</v>
      </c>
      <c r="U376" s="5">
        <f>IF((ContinuousStatsTable[[#This Row],[RepsRequested]]&gt;1),ContinuousStatsTable[[#This Row],[HalfWidth]],ContinuousStatsTable[[#This Row],[BatchMeansHalfWidth]])</f>
        <v>3.5836113017914922E-2</v>
      </c>
    </row>
    <row r="377" spans="1:21" x14ac:dyDescent="0.25">
      <c r="A377" t="s">
        <v>68</v>
      </c>
      <c r="B377" t="s">
        <v>70</v>
      </c>
      <c r="C377">
        <v>24</v>
      </c>
      <c r="D377" t="s">
        <v>100</v>
      </c>
      <c r="E377" t="s">
        <v>101</v>
      </c>
      <c r="F377" t="s">
        <v>102</v>
      </c>
      <c r="G377">
        <v>0.49240957479207098</v>
      </c>
      <c r="H377">
        <v>2E+20</v>
      </c>
      <c r="I377">
        <v>0</v>
      </c>
      <c r="J377">
        <v>1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30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0.31277577999924699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0.60626731984831705</v>
      </c>
      <c r="U377" s="5">
        <f>IF((ContinuousStatsTable[[#This Row],[RepsRequested]]&gt;1),ContinuousStatsTable[[#This Row],[HalfWidth]],ContinuousStatsTable[[#This Row],[BatchMeansHalfWidth]])</f>
        <v>2.7492927893383642E-2</v>
      </c>
    </row>
    <row r="378" spans="1:21" x14ac:dyDescent="0.25">
      <c r="A378" t="s">
        <v>68</v>
      </c>
      <c r="B378" t="s">
        <v>70</v>
      </c>
      <c r="C378">
        <v>24</v>
      </c>
      <c r="D378" t="s">
        <v>100</v>
      </c>
      <c r="E378" t="s">
        <v>103</v>
      </c>
      <c r="F378" t="s">
        <v>102</v>
      </c>
      <c r="G378">
        <v>0.49240957479207098</v>
      </c>
      <c r="H378">
        <v>2E+20</v>
      </c>
      <c r="I378">
        <v>0</v>
      </c>
      <c r="J378">
        <v>1</v>
      </c>
      <c r="K378">
        <v>1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30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0.31277577999924699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0.60626731984831705</v>
      </c>
      <c r="U378" s="5">
        <f>IF((ContinuousStatsTable[[#This Row],[RepsRequested]]&gt;1),ContinuousStatsTable[[#This Row],[HalfWidth]],ContinuousStatsTable[[#This Row],[BatchMeansHalfWidth]])</f>
        <v>2.7492927893383642E-2</v>
      </c>
    </row>
    <row r="379" spans="1:21" x14ac:dyDescent="0.25">
      <c r="A379" t="s">
        <v>68</v>
      </c>
      <c r="B379" t="s">
        <v>70</v>
      </c>
      <c r="C379">
        <v>24</v>
      </c>
      <c r="D379" t="s">
        <v>100</v>
      </c>
      <c r="E379" t="s">
        <v>104</v>
      </c>
      <c r="F379" t="s">
        <v>102</v>
      </c>
      <c r="G379">
        <v>1</v>
      </c>
      <c r="H379">
        <v>2E+20</v>
      </c>
      <c r="I379">
        <v>1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30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1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1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1</v>
      </c>
      <c r="U379" s="5">
        <f>IF((ContinuousStatsTable[[#This Row],[RepsRequested]]&gt;1),ContinuousStatsTable[[#This Row],[HalfWidth]],ContinuousStatsTable[[#This Row],[BatchMeansHalfWidth]])</f>
        <v>0</v>
      </c>
    </row>
    <row r="380" spans="1:21" x14ac:dyDescent="0.25">
      <c r="A380" t="s">
        <v>68</v>
      </c>
      <c r="B380" t="s">
        <v>70</v>
      </c>
      <c r="C380">
        <v>24</v>
      </c>
      <c r="D380" t="s">
        <v>105</v>
      </c>
      <c r="E380" t="s">
        <v>101</v>
      </c>
      <c r="F380" t="s">
        <v>102</v>
      </c>
      <c r="G380">
        <v>0.299650490725275</v>
      </c>
      <c r="H380">
        <v>2E+20</v>
      </c>
      <c r="I380">
        <v>0</v>
      </c>
      <c r="J380">
        <v>1</v>
      </c>
      <c r="K380">
        <v>1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30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0.194735973294278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0.35775345817659199</v>
      </c>
      <c r="U380" s="5">
        <f>IF((ContinuousStatsTable[[#This Row],[RepsRequested]]&gt;1),ContinuousStatsTable[[#This Row],[HalfWidth]],ContinuousStatsTable[[#This Row],[BatchMeansHalfWidth]])</f>
        <v>1.6709279991037516E-2</v>
      </c>
    </row>
    <row r="381" spans="1:21" x14ac:dyDescent="0.25">
      <c r="A381" t="s">
        <v>68</v>
      </c>
      <c r="B381" t="s">
        <v>70</v>
      </c>
      <c r="C381">
        <v>24</v>
      </c>
      <c r="D381" t="s">
        <v>105</v>
      </c>
      <c r="E381" t="s">
        <v>103</v>
      </c>
      <c r="F381" t="s">
        <v>102</v>
      </c>
      <c r="G381">
        <v>0.299650490725275</v>
      </c>
      <c r="H381">
        <v>2E+20</v>
      </c>
      <c r="I381">
        <v>0</v>
      </c>
      <c r="J381">
        <v>1</v>
      </c>
      <c r="K381">
        <v>1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30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0.194735973294278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0.35775345817659199</v>
      </c>
      <c r="U381" s="5">
        <f>IF((ContinuousStatsTable[[#This Row],[RepsRequested]]&gt;1),ContinuousStatsTable[[#This Row],[HalfWidth]],ContinuousStatsTable[[#This Row],[BatchMeansHalfWidth]])</f>
        <v>1.6709279991037516E-2</v>
      </c>
    </row>
    <row r="382" spans="1:21" x14ac:dyDescent="0.25">
      <c r="A382" t="s">
        <v>68</v>
      </c>
      <c r="B382" t="s">
        <v>70</v>
      </c>
      <c r="C382">
        <v>24</v>
      </c>
      <c r="D382" t="s">
        <v>105</v>
      </c>
      <c r="E382" t="s">
        <v>104</v>
      </c>
      <c r="F382" t="s">
        <v>102</v>
      </c>
      <c r="G382">
        <v>1</v>
      </c>
      <c r="H382">
        <v>2E+20</v>
      </c>
      <c r="I382">
        <v>1</v>
      </c>
      <c r="J382">
        <v>1</v>
      </c>
      <c r="K382">
        <v>1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30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1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1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1</v>
      </c>
      <c r="U382" s="5">
        <f>IF((ContinuousStatsTable[[#This Row],[RepsRequested]]&gt;1),ContinuousStatsTable[[#This Row],[HalfWidth]],ContinuousStatsTable[[#This Row],[BatchMeansHalfWidth]])</f>
        <v>0</v>
      </c>
    </row>
    <row r="383" spans="1:21" x14ac:dyDescent="0.25">
      <c r="A383" t="s">
        <v>68</v>
      </c>
      <c r="B383" t="s">
        <v>70</v>
      </c>
      <c r="C383">
        <v>24</v>
      </c>
      <c r="D383" t="s">
        <v>106</v>
      </c>
      <c r="E383" t="s">
        <v>101</v>
      </c>
      <c r="F383" t="s">
        <v>102</v>
      </c>
      <c r="G383">
        <v>9.1344711730722894E-2</v>
      </c>
      <c r="H383">
        <v>2E+20</v>
      </c>
      <c r="I383">
        <v>0</v>
      </c>
      <c r="J383">
        <v>1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30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5.3757894868807901E-2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0.103175045984152</v>
      </c>
      <c r="U383" s="5">
        <f>IF((ContinuousStatsTable[[#This Row],[RepsRequested]]&gt;1),ContinuousStatsTable[[#This Row],[HalfWidth]],ContinuousStatsTable[[#This Row],[BatchMeansHalfWidth]])</f>
        <v>4.9031825474871024E-3</v>
      </c>
    </row>
    <row r="384" spans="1:21" x14ac:dyDescent="0.25">
      <c r="A384" t="s">
        <v>68</v>
      </c>
      <c r="B384" t="s">
        <v>70</v>
      </c>
      <c r="C384">
        <v>24</v>
      </c>
      <c r="D384" t="s">
        <v>106</v>
      </c>
      <c r="E384" t="s">
        <v>103</v>
      </c>
      <c r="F384" t="s">
        <v>102</v>
      </c>
      <c r="G384">
        <v>9.1344711730722894E-2</v>
      </c>
      <c r="H384">
        <v>2E+20</v>
      </c>
      <c r="I384">
        <v>0</v>
      </c>
      <c r="J384">
        <v>1</v>
      </c>
      <c r="K384">
        <v>0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30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5.3757894868807901E-2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0.103175045984152</v>
      </c>
      <c r="U384" s="5">
        <f>IF((ContinuousStatsTable[[#This Row],[RepsRequested]]&gt;1),ContinuousStatsTable[[#This Row],[HalfWidth]],ContinuousStatsTable[[#This Row],[BatchMeansHalfWidth]])</f>
        <v>4.9031825474871024E-3</v>
      </c>
    </row>
    <row r="385" spans="1:21" x14ac:dyDescent="0.25">
      <c r="A385" t="s">
        <v>68</v>
      </c>
      <c r="B385" t="s">
        <v>70</v>
      </c>
      <c r="C385">
        <v>24</v>
      </c>
      <c r="D385" t="s">
        <v>106</v>
      </c>
      <c r="E385" t="s">
        <v>104</v>
      </c>
      <c r="F385" t="s">
        <v>102</v>
      </c>
      <c r="G385">
        <v>1</v>
      </c>
      <c r="H385">
        <v>2E+20</v>
      </c>
      <c r="I385">
        <v>1</v>
      </c>
      <c r="J385">
        <v>1</v>
      </c>
      <c r="K385">
        <v>1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30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1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1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1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25">
      <c r="A386" t="s">
        <v>68</v>
      </c>
      <c r="B386" t="s">
        <v>70</v>
      </c>
      <c r="C386">
        <v>25</v>
      </c>
      <c r="D386" t="s">
        <v>71</v>
      </c>
      <c r="E386" t="s">
        <v>98</v>
      </c>
      <c r="F386" t="s">
        <v>73</v>
      </c>
      <c r="G386">
        <v>1.60968171557396</v>
      </c>
      <c r="H386">
        <v>2E+20</v>
      </c>
      <c r="I386">
        <v>0</v>
      </c>
      <c r="J386">
        <v>9</v>
      </c>
      <c r="K386">
        <v>0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30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1.02094278585578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2.4343835485437801</v>
      </c>
      <c r="U386" s="5">
        <f>IF((ContinuousStatsTable[[#This Row],[RepsRequested]]&gt;1),ContinuousStatsTable[[#This Row],[HalfWidth]],ContinuousStatsTable[[#This Row],[BatchMeansHalfWidth]])</f>
        <v>0.1474422221508549</v>
      </c>
    </row>
    <row r="387" spans="1:21" x14ac:dyDescent="0.25">
      <c r="A387" t="s">
        <v>68</v>
      </c>
      <c r="B387" t="s">
        <v>70</v>
      </c>
      <c r="C387">
        <v>25</v>
      </c>
      <c r="D387" t="s">
        <v>84</v>
      </c>
      <c r="E387" t="s">
        <v>99</v>
      </c>
      <c r="F387" t="s">
        <v>86</v>
      </c>
      <c r="G387">
        <v>0</v>
      </c>
      <c r="H387">
        <v>2E+20</v>
      </c>
      <c r="I387">
        <v>0</v>
      </c>
      <c r="J387">
        <v>0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30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25">
      <c r="A388" t="s">
        <v>68</v>
      </c>
      <c r="B388" t="s">
        <v>70</v>
      </c>
      <c r="C388">
        <v>25</v>
      </c>
      <c r="D388" t="s">
        <v>87</v>
      </c>
      <c r="E388" t="s">
        <v>99</v>
      </c>
      <c r="F388" t="s">
        <v>86</v>
      </c>
      <c r="G388">
        <v>0.47643231844179001</v>
      </c>
      <c r="H388">
        <v>2E+20</v>
      </c>
      <c r="I388">
        <v>0</v>
      </c>
      <c r="J388">
        <v>3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30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0.273073251721628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0.67472724368415504</v>
      </c>
      <c r="U388" s="5">
        <f>IF((ContinuousStatsTable[[#This Row],[RepsRequested]]&gt;1),ContinuousStatsTable[[#This Row],[HalfWidth]],ContinuousStatsTable[[#This Row],[BatchMeansHalfWidth]])</f>
        <v>4.3177361368283713E-2</v>
      </c>
    </row>
    <row r="389" spans="1:21" x14ac:dyDescent="0.25">
      <c r="A389" t="s">
        <v>68</v>
      </c>
      <c r="B389" t="s">
        <v>70</v>
      </c>
      <c r="C389">
        <v>25</v>
      </c>
      <c r="D389" t="s">
        <v>88</v>
      </c>
      <c r="E389" t="s">
        <v>99</v>
      </c>
      <c r="F389" t="s">
        <v>86</v>
      </c>
      <c r="G389">
        <v>0</v>
      </c>
      <c r="H389">
        <v>2E+20</v>
      </c>
      <c r="I389">
        <v>0</v>
      </c>
      <c r="J389">
        <v>1</v>
      </c>
      <c r="K389">
        <v>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30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1.55056745953175E-4</v>
      </c>
      <c r="U389" s="5">
        <f>IF((ContinuousStatsTable[[#This Row],[RepsRequested]]&gt;1),ContinuousStatsTable[[#This Row],[HalfWidth]],ContinuousStatsTable[[#This Row],[BatchMeansHalfWidth]])</f>
        <v>1.0570888434535787E-5</v>
      </c>
    </row>
    <row r="390" spans="1:21" x14ac:dyDescent="0.25">
      <c r="A390" t="s">
        <v>68</v>
      </c>
      <c r="B390" t="s">
        <v>70</v>
      </c>
      <c r="C390">
        <v>25</v>
      </c>
      <c r="D390" t="s">
        <v>90</v>
      </c>
      <c r="E390" t="s">
        <v>99</v>
      </c>
      <c r="F390" t="s">
        <v>86</v>
      </c>
      <c r="G390">
        <v>2.5398972398873999E-2</v>
      </c>
      <c r="H390">
        <v>2E+20</v>
      </c>
      <c r="I390">
        <v>0</v>
      </c>
      <c r="J390">
        <v>1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30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7.8516062990880695E-2</v>
      </c>
      <c r="U390" s="5">
        <f>IF((ContinuousStatsTable[[#This Row],[RepsRequested]]&gt;1),ContinuousStatsTable[[#This Row],[HalfWidth]],ContinuousStatsTable[[#This Row],[BatchMeansHalfWidth]])</f>
        <v>7.7862990748262884E-3</v>
      </c>
    </row>
    <row r="391" spans="1:21" x14ac:dyDescent="0.25">
      <c r="A391" t="s">
        <v>68</v>
      </c>
      <c r="B391" t="s">
        <v>70</v>
      </c>
      <c r="C391">
        <v>25</v>
      </c>
      <c r="D391" t="s">
        <v>92</v>
      </c>
      <c r="E391" t="s">
        <v>99</v>
      </c>
      <c r="F391" t="s">
        <v>86</v>
      </c>
      <c r="G391">
        <v>3.7344942929215703E-2</v>
      </c>
      <c r="H391">
        <v>2E+20</v>
      </c>
      <c r="I391">
        <v>0</v>
      </c>
      <c r="J391">
        <v>1</v>
      </c>
      <c r="K391">
        <v>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30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0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0.13654526635771</v>
      </c>
      <c r="U391" s="5">
        <f>IF((ContinuousStatsTable[[#This Row],[RepsRequested]]&gt;1),ContinuousStatsTable[[#This Row],[HalfWidth]],ContinuousStatsTable[[#This Row],[BatchMeansHalfWidth]])</f>
        <v>1.2216139820952973E-2</v>
      </c>
    </row>
    <row r="392" spans="1:21" x14ac:dyDescent="0.25">
      <c r="A392" t="s">
        <v>68</v>
      </c>
      <c r="B392" t="s">
        <v>70</v>
      </c>
      <c r="C392">
        <v>25</v>
      </c>
      <c r="D392" t="s">
        <v>94</v>
      </c>
      <c r="E392" t="s">
        <v>99</v>
      </c>
      <c r="F392" t="s">
        <v>86</v>
      </c>
      <c r="G392">
        <v>0.180542387715425</v>
      </c>
      <c r="H392">
        <v>2E+20</v>
      </c>
      <c r="I392">
        <v>0</v>
      </c>
      <c r="J392">
        <v>2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30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9.0453284135870501E-3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0.39547622058287801</v>
      </c>
      <c r="U392" s="5">
        <f>IF((ContinuousStatsTable[[#This Row],[RepsRequested]]&gt;1),ContinuousStatsTable[[#This Row],[HalfWidth]],ContinuousStatsTable[[#This Row],[BatchMeansHalfWidth]])</f>
        <v>3.5836113017914922E-2</v>
      </c>
    </row>
    <row r="393" spans="1:21" x14ac:dyDescent="0.25">
      <c r="A393" t="s">
        <v>68</v>
      </c>
      <c r="B393" t="s">
        <v>70</v>
      </c>
      <c r="C393">
        <v>25</v>
      </c>
      <c r="D393" t="s">
        <v>100</v>
      </c>
      <c r="E393" t="s">
        <v>101</v>
      </c>
      <c r="F393" t="s">
        <v>102</v>
      </c>
      <c r="G393">
        <v>0.43745610240743199</v>
      </c>
      <c r="H393">
        <v>2E+20</v>
      </c>
      <c r="I393">
        <v>0</v>
      </c>
      <c r="J393">
        <v>1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30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0.31277577999924699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0.60626731984831705</v>
      </c>
      <c r="U393" s="5">
        <f>IF((ContinuousStatsTable[[#This Row],[RepsRequested]]&gt;1),ContinuousStatsTable[[#This Row],[HalfWidth]],ContinuousStatsTable[[#This Row],[BatchMeansHalfWidth]])</f>
        <v>2.7492927893383642E-2</v>
      </c>
    </row>
    <row r="394" spans="1:21" x14ac:dyDescent="0.25">
      <c r="A394" t="s">
        <v>68</v>
      </c>
      <c r="B394" t="s">
        <v>70</v>
      </c>
      <c r="C394">
        <v>25</v>
      </c>
      <c r="D394" t="s">
        <v>100</v>
      </c>
      <c r="E394" t="s">
        <v>103</v>
      </c>
      <c r="F394" t="s">
        <v>102</v>
      </c>
      <c r="G394">
        <v>0.43745610240743199</v>
      </c>
      <c r="H394">
        <v>2E+20</v>
      </c>
      <c r="I394">
        <v>0</v>
      </c>
      <c r="J394">
        <v>1</v>
      </c>
      <c r="K394">
        <v>0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30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0.31277577999924699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0.60626731984831705</v>
      </c>
      <c r="U394" s="5">
        <f>IF((ContinuousStatsTable[[#This Row],[RepsRequested]]&gt;1),ContinuousStatsTable[[#This Row],[HalfWidth]],ContinuousStatsTable[[#This Row],[BatchMeansHalfWidth]])</f>
        <v>2.7492927893383642E-2</v>
      </c>
    </row>
    <row r="395" spans="1:21" x14ac:dyDescent="0.25">
      <c r="A395" t="s">
        <v>68</v>
      </c>
      <c r="B395" t="s">
        <v>70</v>
      </c>
      <c r="C395">
        <v>25</v>
      </c>
      <c r="D395" t="s">
        <v>100</v>
      </c>
      <c r="E395" t="s">
        <v>104</v>
      </c>
      <c r="F395" t="s">
        <v>102</v>
      </c>
      <c r="G395">
        <v>1</v>
      </c>
      <c r="H395">
        <v>2E+20</v>
      </c>
      <c r="I395">
        <v>1</v>
      </c>
      <c r="J395">
        <v>1</v>
      </c>
      <c r="K395">
        <v>1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30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1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1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1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68</v>
      </c>
      <c r="B396" t="s">
        <v>70</v>
      </c>
      <c r="C396">
        <v>25</v>
      </c>
      <c r="D396" t="s">
        <v>105</v>
      </c>
      <c r="E396" t="s">
        <v>101</v>
      </c>
      <c r="F396" t="s">
        <v>102</v>
      </c>
      <c r="G396">
        <v>0.255420392362321</v>
      </c>
      <c r="H396">
        <v>2E+20</v>
      </c>
      <c r="I396">
        <v>0</v>
      </c>
      <c r="J396">
        <v>1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30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0.194735973294278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0.35775345817659199</v>
      </c>
      <c r="U396" s="5">
        <f>IF((ContinuousStatsTable[[#This Row],[RepsRequested]]&gt;1),ContinuousStatsTable[[#This Row],[HalfWidth]],ContinuousStatsTable[[#This Row],[BatchMeansHalfWidth]])</f>
        <v>1.6709279991037516E-2</v>
      </c>
    </row>
    <row r="397" spans="1:21" x14ac:dyDescent="0.25">
      <c r="A397" t="s">
        <v>68</v>
      </c>
      <c r="B397" t="s">
        <v>70</v>
      </c>
      <c r="C397">
        <v>25</v>
      </c>
      <c r="D397" t="s">
        <v>105</v>
      </c>
      <c r="E397" t="s">
        <v>103</v>
      </c>
      <c r="F397" t="s">
        <v>102</v>
      </c>
      <c r="G397">
        <v>0.255420392362321</v>
      </c>
      <c r="H397">
        <v>2E+20</v>
      </c>
      <c r="I397">
        <v>0</v>
      </c>
      <c r="J397">
        <v>1</v>
      </c>
      <c r="K397">
        <v>0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30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0.194735973294278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0.35775345817659199</v>
      </c>
      <c r="U397" s="5">
        <f>IF((ContinuousStatsTable[[#This Row],[RepsRequested]]&gt;1),ContinuousStatsTable[[#This Row],[HalfWidth]],ContinuousStatsTable[[#This Row],[BatchMeansHalfWidth]])</f>
        <v>1.6709279991037516E-2</v>
      </c>
    </row>
    <row r="398" spans="1:21" x14ac:dyDescent="0.25">
      <c r="A398" t="s">
        <v>68</v>
      </c>
      <c r="B398" t="s">
        <v>70</v>
      </c>
      <c r="C398">
        <v>25</v>
      </c>
      <c r="D398" t="s">
        <v>105</v>
      </c>
      <c r="E398" t="s">
        <v>104</v>
      </c>
      <c r="F398" t="s">
        <v>102</v>
      </c>
      <c r="G398">
        <v>1</v>
      </c>
      <c r="H398">
        <v>2E+20</v>
      </c>
      <c r="I398">
        <v>1</v>
      </c>
      <c r="J398">
        <v>1</v>
      </c>
      <c r="K398">
        <v>1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30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1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1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1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25">
      <c r="A399" t="s">
        <v>68</v>
      </c>
      <c r="B399" t="s">
        <v>70</v>
      </c>
      <c r="C399">
        <v>25</v>
      </c>
      <c r="D399" t="s">
        <v>106</v>
      </c>
      <c r="E399" t="s">
        <v>101</v>
      </c>
      <c r="F399" t="s">
        <v>102</v>
      </c>
      <c r="G399">
        <v>6.5695533106301607E-2</v>
      </c>
      <c r="H399">
        <v>2E+20</v>
      </c>
      <c r="I399">
        <v>0</v>
      </c>
      <c r="J399">
        <v>1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30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5.3757894868807901E-2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0.103175045984152</v>
      </c>
      <c r="U399" s="5">
        <f>IF((ContinuousStatsTable[[#This Row],[RepsRequested]]&gt;1),ContinuousStatsTable[[#This Row],[HalfWidth]],ContinuousStatsTable[[#This Row],[BatchMeansHalfWidth]])</f>
        <v>4.9031825474871024E-3</v>
      </c>
    </row>
    <row r="400" spans="1:21" x14ac:dyDescent="0.25">
      <c r="A400" t="s">
        <v>68</v>
      </c>
      <c r="B400" t="s">
        <v>70</v>
      </c>
      <c r="C400">
        <v>25</v>
      </c>
      <c r="D400" t="s">
        <v>106</v>
      </c>
      <c r="E400" t="s">
        <v>103</v>
      </c>
      <c r="F400" t="s">
        <v>102</v>
      </c>
      <c r="G400">
        <v>6.5695533106301607E-2</v>
      </c>
      <c r="H400">
        <v>2E+20</v>
      </c>
      <c r="I400">
        <v>0</v>
      </c>
      <c r="J400">
        <v>1</v>
      </c>
      <c r="K400">
        <v>0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30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5.3757894868807901E-2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0.103175045984152</v>
      </c>
      <c r="U400" s="5">
        <f>IF((ContinuousStatsTable[[#This Row],[RepsRequested]]&gt;1),ContinuousStatsTable[[#This Row],[HalfWidth]],ContinuousStatsTable[[#This Row],[BatchMeansHalfWidth]])</f>
        <v>4.9031825474871024E-3</v>
      </c>
    </row>
    <row r="401" spans="1:21" x14ac:dyDescent="0.25">
      <c r="A401" t="s">
        <v>68</v>
      </c>
      <c r="B401" t="s">
        <v>70</v>
      </c>
      <c r="C401">
        <v>25</v>
      </c>
      <c r="D401" t="s">
        <v>106</v>
      </c>
      <c r="E401" t="s">
        <v>104</v>
      </c>
      <c r="F401" t="s">
        <v>102</v>
      </c>
      <c r="G401">
        <v>1</v>
      </c>
      <c r="H401">
        <v>2E+20</v>
      </c>
      <c r="I401">
        <v>1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30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1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0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1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1</v>
      </c>
      <c r="U401" s="5">
        <f>IF((ContinuousStatsTable[[#This Row],[RepsRequested]]&gt;1),ContinuousStatsTable[[#This Row],[HalfWidth]],ContinuousStatsTable[[#This Row],[BatchMeansHalfWidth]])</f>
        <v>0</v>
      </c>
    </row>
    <row r="402" spans="1:21" x14ac:dyDescent="0.25">
      <c r="A402" t="s">
        <v>68</v>
      </c>
      <c r="B402" t="s">
        <v>70</v>
      </c>
      <c r="C402">
        <v>26</v>
      </c>
      <c r="D402" t="s">
        <v>71</v>
      </c>
      <c r="E402" t="s">
        <v>98</v>
      </c>
      <c r="F402" t="s">
        <v>73</v>
      </c>
      <c r="G402">
        <v>2.2899442962168801</v>
      </c>
      <c r="H402">
        <v>2E+20</v>
      </c>
      <c r="I402">
        <v>0</v>
      </c>
      <c r="J402">
        <v>9</v>
      </c>
      <c r="K402">
        <v>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30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1.02094278585578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2.4343835485437801</v>
      </c>
      <c r="U402" s="5">
        <f>IF((ContinuousStatsTable[[#This Row],[RepsRequested]]&gt;1),ContinuousStatsTable[[#This Row],[HalfWidth]],ContinuousStatsTable[[#This Row],[BatchMeansHalfWidth]])</f>
        <v>0.1474422221508549</v>
      </c>
    </row>
    <row r="403" spans="1:21" x14ac:dyDescent="0.25">
      <c r="A403" t="s">
        <v>68</v>
      </c>
      <c r="B403" t="s">
        <v>70</v>
      </c>
      <c r="C403">
        <v>26</v>
      </c>
      <c r="D403" t="s">
        <v>84</v>
      </c>
      <c r="E403" t="s">
        <v>99</v>
      </c>
      <c r="F403" t="s">
        <v>86</v>
      </c>
      <c r="G403">
        <v>0</v>
      </c>
      <c r="H403">
        <v>2E+20</v>
      </c>
      <c r="I403">
        <v>0</v>
      </c>
      <c r="J403">
        <v>0</v>
      </c>
      <c r="K403">
        <v>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30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0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0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0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25">
      <c r="A404" t="s">
        <v>68</v>
      </c>
      <c r="B404" t="s">
        <v>70</v>
      </c>
      <c r="C404">
        <v>26</v>
      </c>
      <c r="D404" t="s">
        <v>87</v>
      </c>
      <c r="E404" t="s">
        <v>99</v>
      </c>
      <c r="F404" t="s">
        <v>86</v>
      </c>
      <c r="G404">
        <v>0.60466956422301599</v>
      </c>
      <c r="H404">
        <v>2E+20</v>
      </c>
      <c r="I404">
        <v>0</v>
      </c>
      <c r="J404">
        <v>3</v>
      </c>
      <c r="K404">
        <v>0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30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0.273073251721628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0.67472724368415504</v>
      </c>
      <c r="U404" s="5">
        <f>IF((ContinuousStatsTable[[#This Row],[RepsRequested]]&gt;1),ContinuousStatsTable[[#This Row],[HalfWidth]],ContinuousStatsTable[[#This Row],[BatchMeansHalfWidth]])</f>
        <v>4.3177361368283713E-2</v>
      </c>
    </row>
    <row r="405" spans="1:21" x14ac:dyDescent="0.25">
      <c r="A405" t="s">
        <v>68</v>
      </c>
      <c r="B405" t="s">
        <v>70</v>
      </c>
      <c r="C405">
        <v>26</v>
      </c>
      <c r="D405" t="s">
        <v>88</v>
      </c>
      <c r="E405" t="s">
        <v>99</v>
      </c>
      <c r="F405" t="s">
        <v>86</v>
      </c>
      <c r="G405">
        <v>0</v>
      </c>
      <c r="H405">
        <v>2E+20</v>
      </c>
      <c r="I405">
        <v>0</v>
      </c>
      <c r="J405">
        <v>1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30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1.55056745953175E-4</v>
      </c>
      <c r="U405" s="5">
        <f>IF((ContinuousStatsTable[[#This Row],[RepsRequested]]&gt;1),ContinuousStatsTable[[#This Row],[HalfWidth]],ContinuousStatsTable[[#This Row],[BatchMeansHalfWidth]])</f>
        <v>1.0570888434535787E-5</v>
      </c>
    </row>
    <row r="406" spans="1:21" x14ac:dyDescent="0.25">
      <c r="A406" t="s">
        <v>68</v>
      </c>
      <c r="B406" t="s">
        <v>70</v>
      </c>
      <c r="C406">
        <v>26</v>
      </c>
      <c r="D406" t="s">
        <v>90</v>
      </c>
      <c r="E406" t="s">
        <v>99</v>
      </c>
      <c r="F406" t="s">
        <v>86</v>
      </c>
      <c r="G406">
        <v>6.5929442311491407E-2</v>
      </c>
      <c r="H406">
        <v>2E+20</v>
      </c>
      <c r="I406">
        <v>0</v>
      </c>
      <c r="J406">
        <v>2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30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0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7.8516062990880695E-2</v>
      </c>
      <c r="U406" s="5">
        <f>IF((ContinuousStatsTable[[#This Row],[RepsRequested]]&gt;1),ContinuousStatsTable[[#This Row],[HalfWidth]],ContinuousStatsTable[[#This Row],[BatchMeansHalfWidth]])</f>
        <v>7.7862990748262884E-3</v>
      </c>
    </row>
    <row r="407" spans="1:21" x14ac:dyDescent="0.25">
      <c r="A407" t="s">
        <v>68</v>
      </c>
      <c r="B407" t="s">
        <v>70</v>
      </c>
      <c r="C407">
        <v>26</v>
      </c>
      <c r="D407" t="s">
        <v>92</v>
      </c>
      <c r="E407" t="s">
        <v>99</v>
      </c>
      <c r="F407" t="s">
        <v>86</v>
      </c>
      <c r="G407">
        <v>0.109420251497976</v>
      </c>
      <c r="H407">
        <v>2E+20</v>
      </c>
      <c r="I407">
        <v>0</v>
      </c>
      <c r="J407">
        <v>2</v>
      </c>
      <c r="K407">
        <v>0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30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0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0.13654526635771</v>
      </c>
      <c r="U407" s="5">
        <f>IF((ContinuousStatsTable[[#This Row],[RepsRequested]]&gt;1),ContinuousStatsTable[[#This Row],[HalfWidth]],ContinuousStatsTable[[#This Row],[BatchMeansHalfWidth]])</f>
        <v>1.2216139820952973E-2</v>
      </c>
    </row>
    <row r="408" spans="1:21" x14ac:dyDescent="0.25">
      <c r="A408" t="s">
        <v>68</v>
      </c>
      <c r="B408" t="s">
        <v>70</v>
      </c>
      <c r="C408">
        <v>26</v>
      </c>
      <c r="D408" t="s">
        <v>94</v>
      </c>
      <c r="E408" t="s">
        <v>99</v>
      </c>
      <c r="F408" t="s">
        <v>86</v>
      </c>
      <c r="G408">
        <v>0.31222352184035301</v>
      </c>
      <c r="H408">
        <v>2E+20</v>
      </c>
      <c r="I408">
        <v>0</v>
      </c>
      <c r="J408">
        <v>2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30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9.0453284135870501E-3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0.39547622058287801</v>
      </c>
      <c r="U408" s="5">
        <f>IF((ContinuousStatsTable[[#This Row],[RepsRequested]]&gt;1),ContinuousStatsTable[[#This Row],[HalfWidth]],ContinuousStatsTable[[#This Row],[BatchMeansHalfWidth]])</f>
        <v>3.5836113017914922E-2</v>
      </c>
    </row>
    <row r="409" spans="1:21" x14ac:dyDescent="0.25">
      <c r="A409" t="s">
        <v>68</v>
      </c>
      <c r="B409" t="s">
        <v>70</v>
      </c>
      <c r="C409">
        <v>26</v>
      </c>
      <c r="D409" t="s">
        <v>100</v>
      </c>
      <c r="E409" t="s">
        <v>101</v>
      </c>
      <c r="F409" t="s">
        <v>102</v>
      </c>
      <c r="G409">
        <v>0.55627035413945203</v>
      </c>
      <c r="H409">
        <v>2E+20</v>
      </c>
      <c r="I409">
        <v>0</v>
      </c>
      <c r="J409">
        <v>1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30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0.31277577999924699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0.60626731984831705</v>
      </c>
      <c r="U409" s="5">
        <f>IF((ContinuousStatsTable[[#This Row],[RepsRequested]]&gt;1),ContinuousStatsTable[[#This Row],[HalfWidth]],ContinuousStatsTable[[#This Row],[BatchMeansHalfWidth]])</f>
        <v>2.7492927893383642E-2</v>
      </c>
    </row>
    <row r="410" spans="1:21" x14ac:dyDescent="0.25">
      <c r="A410" t="s">
        <v>68</v>
      </c>
      <c r="B410" t="s">
        <v>70</v>
      </c>
      <c r="C410">
        <v>26</v>
      </c>
      <c r="D410" t="s">
        <v>100</v>
      </c>
      <c r="E410" t="s">
        <v>103</v>
      </c>
      <c r="F410" t="s">
        <v>102</v>
      </c>
      <c r="G410">
        <v>0.55627035413945203</v>
      </c>
      <c r="H410">
        <v>2E+20</v>
      </c>
      <c r="I410">
        <v>0</v>
      </c>
      <c r="J410">
        <v>1</v>
      </c>
      <c r="K410">
        <v>0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30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0.31277577999924699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0.60626731984831705</v>
      </c>
      <c r="U410" s="5">
        <f>IF((ContinuousStatsTable[[#This Row],[RepsRequested]]&gt;1),ContinuousStatsTable[[#This Row],[HalfWidth]],ContinuousStatsTable[[#This Row],[BatchMeansHalfWidth]])</f>
        <v>2.7492927893383642E-2</v>
      </c>
    </row>
    <row r="411" spans="1:21" x14ac:dyDescent="0.25">
      <c r="A411" t="s">
        <v>68</v>
      </c>
      <c r="B411" t="s">
        <v>70</v>
      </c>
      <c r="C411">
        <v>26</v>
      </c>
      <c r="D411" t="s">
        <v>100</v>
      </c>
      <c r="E411" t="s">
        <v>104</v>
      </c>
      <c r="F411" t="s">
        <v>102</v>
      </c>
      <c r="G411">
        <v>1</v>
      </c>
      <c r="H411">
        <v>2E+20</v>
      </c>
      <c r="I411">
        <v>1</v>
      </c>
      <c r="J411">
        <v>1</v>
      </c>
      <c r="K411">
        <v>1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30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1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0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1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1</v>
      </c>
      <c r="U411" s="5">
        <f>IF((ContinuousStatsTable[[#This Row],[RepsRequested]]&gt;1),ContinuousStatsTable[[#This Row],[HalfWidth]],ContinuousStatsTable[[#This Row],[BatchMeansHalfWidth]])</f>
        <v>0</v>
      </c>
    </row>
    <row r="412" spans="1:21" x14ac:dyDescent="0.25">
      <c r="A412" t="s">
        <v>68</v>
      </c>
      <c r="B412" t="s">
        <v>70</v>
      </c>
      <c r="C412">
        <v>26</v>
      </c>
      <c r="D412" t="s">
        <v>105</v>
      </c>
      <c r="E412" t="s">
        <v>101</v>
      </c>
      <c r="F412" t="s">
        <v>102</v>
      </c>
      <c r="G412">
        <v>0.34723264094251899</v>
      </c>
      <c r="H412">
        <v>2E+20</v>
      </c>
      <c r="I412">
        <v>0</v>
      </c>
      <c r="J412">
        <v>1</v>
      </c>
      <c r="K412">
        <v>0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30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0.194735973294278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0.35775345817659199</v>
      </c>
      <c r="U412" s="5">
        <f>IF((ContinuousStatsTable[[#This Row],[RepsRequested]]&gt;1),ContinuousStatsTable[[#This Row],[HalfWidth]],ContinuousStatsTable[[#This Row],[BatchMeansHalfWidth]])</f>
        <v>1.6709279991037516E-2</v>
      </c>
    </row>
    <row r="413" spans="1:21" x14ac:dyDescent="0.25">
      <c r="A413" t="s">
        <v>68</v>
      </c>
      <c r="B413" t="s">
        <v>70</v>
      </c>
      <c r="C413">
        <v>26</v>
      </c>
      <c r="D413" t="s">
        <v>105</v>
      </c>
      <c r="E413" t="s">
        <v>103</v>
      </c>
      <c r="F413" t="s">
        <v>102</v>
      </c>
      <c r="G413">
        <v>0.34723264094251899</v>
      </c>
      <c r="H413">
        <v>2E+20</v>
      </c>
      <c r="I413">
        <v>0</v>
      </c>
      <c r="J413">
        <v>1</v>
      </c>
      <c r="K413">
        <v>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30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0.194735973294278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0.35775345817659199</v>
      </c>
      <c r="U413" s="5">
        <f>IF((ContinuousStatsTable[[#This Row],[RepsRequested]]&gt;1),ContinuousStatsTable[[#This Row],[HalfWidth]],ContinuousStatsTable[[#This Row],[BatchMeansHalfWidth]])</f>
        <v>1.6709279991037516E-2</v>
      </c>
    </row>
    <row r="414" spans="1:21" x14ac:dyDescent="0.25">
      <c r="A414" t="s">
        <v>68</v>
      </c>
      <c r="B414" t="s">
        <v>70</v>
      </c>
      <c r="C414">
        <v>26</v>
      </c>
      <c r="D414" t="s">
        <v>105</v>
      </c>
      <c r="E414" t="s">
        <v>104</v>
      </c>
      <c r="F414" t="s">
        <v>102</v>
      </c>
      <c r="G414">
        <v>1</v>
      </c>
      <c r="H414">
        <v>2E+20</v>
      </c>
      <c r="I414">
        <v>1</v>
      </c>
      <c r="J414">
        <v>1</v>
      </c>
      <c r="K414">
        <v>1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30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25">
      <c r="A415" t="s">
        <v>68</v>
      </c>
      <c r="B415" t="s">
        <v>70</v>
      </c>
      <c r="C415">
        <v>26</v>
      </c>
      <c r="D415" t="s">
        <v>106</v>
      </c>
      <c r="E415" t="s">
        <v>101</v>
      </c>
      <c r="F415" t="s">
        <v>102</v>
      </c>
      <c r="G415">
        <v>9.8066173754023198E-2</v>
      </c>
      <c r="H415">
        <v>2E+20</v>
      </c>
      <c r="I415">
        <v>0</v>
      </c>
      <c r="J415">
        <v>1</v>
      </c>
      <c r="K415">
        <v>0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30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5.3757894868807901E-2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0.103175045984152</v>
      </c>
      <c r="U415" s="5">
        <f>IF((ContinuousStatsTable[[#This Row],[RepsRequested]]&gt;1),ContinuousStatsTable[[#This Row],[HalfWidth]],ContinuousStatsTable[[#This Row],[BatchMeansHalfWidth]])</f>
        <v>4.9031825474871024E-3</v>
      </c>
    </row>
    <row r="416" spans="1:21" x14ac:dyDescent="0.25">
      <c r="A416" t="s">
        <v>68</v>
      </c>
      <c r="B416" t="s">
        <v>70</v>
      </c>
      <c r="C416">
        <v>26</v>
      </c>
      <c r="D416" t="s">
        <v>106</v>
      </c>
      <c r="E416" t="s">
        <v>103</v>
      </c>
      <c r="F416" t="s">
        <v>102</v>
      </c>
      <c r="G416">
        <v>9.8066173754023198E-2</v>
      </c>
      <c r="H416">
        <v>2E+20</v>
      </c>
      <c r="I416">
        <v>0</v>
      </c>
      <c r="J416">
        <v>1</v>
      </c>
      <c r="K416">
        <v>0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30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5.3757894868807901E-2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0.103175045984152</v>
      </c>
      <c r="U416" s="5">
        <f>IF((ContinuousStatsTable[[#This Row],[RepsRequested]]&gt;1),ContinuousStatsTable[[#This Row],[HalfWidth]],ContinuousStatsTable[[#This Row],[BatchMeansHalfWidth]])</f>
        <v>4.9031825474871024E-3</v>
      </c>
    </row>
    <row r="417" spans="1:21" x14ac:dyDescent="0.25">
      <c r="A417" t="s">
        <v>68</v>
      </c>
      <c r="B417" t="s">
        <v>70</v>
      </c>
      <c r="C417">
        <v>26</v>
      </c>
      <c r="D417" t="s">
        <v>106</v>
      </c>
      <c r="E417" t="s">
        <v>104</v>
      </c>
      <c r="F417" t="s">
        <v>102</v>
      </c>
      <c r="G417">
        <v>1</v>
      </c>
      <c r="H417">
        <v>2E+20</v>
      </c>
      <c r="I417">
        <v>1</v>
      </c>
      <c r="J417">
        <v>1</v>
      </c>
      <c r="K417">
        <v>1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30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1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1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1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68</v>
      </c>
      <c r="B418" t="s">
        <v>70</v>
      </c>
      <c r="C418">
        <v>27</v>
      </c>
      <c r="D418" t="s">
        <v>71</v>
      </c>
      <c r="E418" t="s">
        <v>98</v>
      </c>
      <c r="F418" t="s">
        <v>73</v>
      </c>
      <c r="G418">
        <v>2.12069302188107</v>
      </c>
      <c r="H418">
        <v>2E+20</v>
      </c>
      <c r="I418">
        <v>0</v>
      </c>
      <c r="J418">
        <v>11</v>
      </c>
      <c r="K418">
        <v>7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30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1.02094278585578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2.4343835485437801</v>
      </c>
      <c r="U418" s="5">
        <f>IF((ContinuousStatsTable[[#This Row],[RepsRequested]]&gt;1),ContinuousStatsTable[[#This Row],[HalfWidth]],ContinuousStatsTable[[#This Row],[BatchMeansHalfWidth]])</f>
        <v>0.1474422221508549</v>
      </c>
    </row>
    <row r="419" spans="1:21" x14ac:dyDescent="0.25">
      <c r="A419" t="s">
        <v>68</v>
      </c>
      <c r="B419" t="s">
        <v>70</v>
      </c>
      <c r="C419">
        <v>27</v>
      </c>
      <c r="D419" t="s">
        <v>84</v>
      </c>
      <c r="E419" t="s">
        <v>99</v>
      </c>
      <c r="F419" t="s">
        <v>86</v>
      </c>
      <c r="G419">
        <v>0</v>
      </c>
      <c r="H419">
        <v>2E+20</v>
      </c>
      <c r="I419">
        <v>0</v>
      </c>
      <c r="J419">
        <v>0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30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</v>
      </c>
      <c r="U419" s="5">
        <f>IF((ContinuousStatsTable[[#This Row],[RepsRequested]]&gt;1),ContinuousStatsTable[[#This Row],[HalfWidth]],ContinuousStatsTable[[#This Row],[BatchMeansHalfWidth]])</f>
        <v>0</v>
      </c>
    </row>
    <row r="420" spans="1:21" x14ac:dyDescent="0.25">
      <c r="A420" t="s">
        <v>68</v>
      </c>
      <c r="B420" t="s">
        <v>70</v>
      </c>
      <c r="C420">
        <v>27</v>
      </c>
      <c r="D420" t="s">
        <v>87</v>
      </c>
      <c r="E420" t="s">
        <v>99</v>
      </c>
      <c r="F420" t="s">
        <v>86</v>
      </c>
      <c r="G420">
        <v>0.56797619107610997</v>
      </c>
      <c r="H420">
        <v>2E+20</v>
      </c>
      <c r="I420">
        <v>0</v>
      </c>
      <c r="J420">
        <v>4</v>
      </c>
      <c r="K420">
        <v>2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30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0.273073251721628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0.67472724368415504</v>
      </c>
      <c r="U420" s="5">
        <f>IF((ContinuousStatsTable[[#This Row],[RepsRequested]]&gt;1),ContinuousStatsTable[[#This Row],[HalfWidth]],ContinuousStatsTable[[#This Row],[BatchMeansHalfWidth]])</f>
        <v>4.3177361368283713E-2</v>
      </c>
    </row>
    <row r="421" spans="1:21" x14ac:dyDescent="0.25">
      <c r="A421" t="s">
        <v>68</v>
      </c>
      <c r="B421" t="s">
        <v>70</v>
      </c>
      <c r="C421">
        <v>27</v>
      </c>
      <c r="D421" t="s">
        <v>88</v>
      </c>
      <c r="E421" t="s">
        <v>99</v>
      </c>
      <c r="F421" t="s">
        <v>86</v>
      </c>
      <c r="G421">
        <v>0</v>
      </c>
      <c r="H421">
        <v>2E+20</v>
      </c>
      <c r="I421">
        <v>0</v>
      </c>
      <c r="J421">
        <v>1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30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1.55056745953175E-4</v>
      </c>
      <c r="U421" s="5">
        <f>IF((ContinuousStatsTable[[#This Row],[RepsRequested]]&gt;1),ContinuousStatsTable[[#This Row],[HalfWidth]],ContinuousStatsTable[[#This Row],[BatchMeansHalfWidth]])</f>
        <v>1.0570888434535787E-5</v>
      </c>
    </row>
    <row r="422" spans="1:21" x14ac:dyDescent="0.25">
      <c r="A422" t="s">
        <v>68</v>
      </c>
      <c r="B422" t="s">
        <v>70</v>
      </c>
      <c r="C422">
        <v>27</v>
      </c>
      <c r="D422" t="s">
        <v>90</v>
      </c>
      <c r="E422" t="s">
        <v>99</v>
      </c>
      <c r="F422" t="s">
        <v>86</v>
      </c>
      <c r="G422">
        <v>6.7623732649302007E-2</v>
      </c>
      <c r="H422">
        <v>2E+20</v>
      </c>
      <c r="I422">
        <v>0</v>
      </c>
      <c r="J422">
        <v>2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30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7.8516062990880695E-2</v>
      </c>
      <c r="U422" s="5">
        <f>IF((ContinuousStatsTable[[#This Row],[RepsRequested]]&gt;1),ContinuousStatsTable[[#This Row],[HalfWidth]],ContinuousStatsTable[[#This Row],[BatchMeansHalfWidth]])</f>
        <v>7.7862990748262884E-3</v>
      </c>
    </row>
    <row r="423" spans="1:21" x14ac:dyDescent="0.25">
      <c r="A423" t="s">
        <v>68</v>
      </c>
      <c r="B423" t="s">
        <v>70</v>
      </c>
      <c r="C423">
        <v>27</v>
      </c>
      <c r="D423" t="s">
        <v>92</v>
      </c>
      <c r="E423" t="s">
        <v>99</v>
      </c>
      <c r="F423" t="s">
        <v>86</v>
      </c>
      <c r="G423">
        <v>8.3168711286836505E-2</v>
      </c>
      <c r="H423">
        <v>2E+20</v>
      </c>
      <c r="I423">
        <v>0</v>
      </c>
      <c r="J423">
        <v>2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30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0.13654526635771</v>
      </c>
      <c r="U423" s="5">
        <f>IF((ContinuousStatsTable[[#This Row],[RepsRequested]]&gt;1),ContinuousStatsTable[[#This Row],[HalfWidth]],ContinuousStatsTable[[#This Row],[BatchMeansHalfWidth]])</f>
        <v>1.2216139820952973E-2</v>
      </c>
    </row>
    <row r="424" spans="1:21" x14ac:dyDescent="0.25">
      <c r="A424" t="s">
        <v>68</v>
      </c>
      <c r="B424" t="s">
        <v>70</v>
      </c>
      <c r="C424">
        <v>27</v>
      </c>
      <c r="D424" t="s">
        <v>94</v>
      </c>
      <c r="E424" t="s">
        <v>99</v>
      </c>
      <c r="F424" t="s">
        <v>86</v>
      </c>
      <c r="G424">
        <v>0.24908081524891301</v>
      </c>
      <c r="H424">
        <v>2E+20</v>
      </c>
      <c r="I424">
        <v>0</v>
      </c>
      <c r="J424">
        <v>3</v>
      </c>
      <c r="K424">
        <v>2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30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9.0453284135870501E-3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0.39547622058287801</v>
      </c>
      <c r="U424" s="5">
        <f>IF((ContinuousStatsTable[[#This Row],[RepsRequested]]&gt;1),ContinuousStatsTable[[#This Row],[HalfWidth]],ContinuousStatsTable[[#This Row],[BatchMeansHalfWidth]])</f>
        <v>3.5836113017914922E-2</v>
      </c>
    </row>
    <row r="425" spans="1:21" x14ac:dyDescent="0.25">
      <c r="A425" t="s">
        <v>68</v>
      </c>
      <c r="B425" t="s">
        <v>70</v>
      </c>
      <c r="C425">
        <v>27</v>
      </c>
      <c r="D425" t="s">
        <v>100</v>
      </c>
      <c r="E425" t="s">
        <v>101</v>
      </c>
      <c r="F425" t="s">
        <v>102</v>
      </c>
      <c r="G425">
        <v>0.54750563151332998</v>
      </c>
      <c r="H425">
        <v>2E+20</v>
      </c>
      <c r="I425">
        <v>0</v>
      </c>
      <c r="J425">
        <v>1</v>
      </c>
      <c r="K425">
        <v>1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30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0.31277577999924699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0.60626731984831705</v>
      </c>
      <c r="U425" s="5">
        <f>IF((ContinuousStatsTable[[#This Row],[RepsRequested]]&gt;1),ContinuousStatsTable[[#This Row],[HalfWidth]],ContinuousStatsTable[[#This Row],[BatchMeansHalfWidth]])</f>
        <v>2.7492927893383642E-2</v>
      </c>
    </row>
    <row r="426" spans="1:21" x14ac:dyDescent="0.25">
      <c r="A426" t="s">
        <v>68</v>
      </c>
      <c r="B426" t="s">
        <v>70</v>
      </c>
      <c r="C426">
        <v>27</v>
      </c>
      <c r="D426" t="s">
        <v>100</v>
      </c>
      <c r="E426" t="s">
        <v>103</v>
      </c>
      <c r="F426" t="s">
        <v>102</v>
      </c>
      <c r="G426">
        <v>0.54750563151332998</v>
      </c>
      <c r="H426">
        <v>2E+20</v>
      </c>
      <c r="I426">
        <v>0</v>
      </c>
      <c r="J426">
        <v>1</v>
      </c>
      <c r="K426">
        <v>1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30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0.31277577999924699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0.60626731984831705</v>
      </c>
      <c r="U426" s="5">
        <f>IF((ContinuousStatsTable[[#This Row],[RepsRequested]]&gt;1),ContinuousStatsTable[[#This Row],[HalfWidth]],ContinuousStatsTable[[#This Row],[BatchMeansHalfWidth]])</f>
        <v>2.7492927893383642E-2</v>
      </c>
    </row>
    <row r="427" spans="1:21" x14ac:dyDescent="0.25">
      <c r="A427" t="s">
        <v>68</v>
      </c>
      <c r="B427" t="s">
        <v>70</v>
      </c>
      <c r="C427">
        <v>27</v>
      </c>
      <c r="D427" t="s">
        <v>100</v>
      </c>
      <c r="E427" t="s">
        <v>104</v>
      </c>
      <c r="F427" t="s">
        <v>102</v>
      </c>
      <c r="G427">
        <v>1</v>
      </c>
      <c r="H427">
        <v>2E+20</v>
      </c>
      <c r="I427">
        <v>1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30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1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1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1</v>
      </c>
      <c r="U427" s="5">
        <f>IF((ContinuousStatsTable[[#This Row],[RepsRequested]]&gt;1),ContinuousStatsTable[[#This Row],[HalfWidth]],ContinuousStatsTable[[#This Row],[BatchMeansHalfWidth]])</f>
        <v>0</v>
      </c>
    </row>
    <row r="428" spans="1:21" x14ac:dyDescent="0.25">
      <c r="A428" t="s">
        <v>68</v>
      </c>
      <c r="B428" t="s">
        <v>70</v>
      </c>
      <c r="C428">
        <v>27</v>
      </c>
      <c r="D428" t="s">
        <v>105</v>
      </c>
      <c r="E428" t="s">
        <v>101</v>
      </c>
      <c r="F428" t="s">
        <v>102</v>
      </c>
      <c r="G428">
        <v>0.33967631542724103</v>
      </c>
      <c r="H428">
        <v>2E+20</v>
      </c>
      <c r="I428">
        <v>0</v>
      </c>
      <c r="J428">
        <v>1</v>
      </c>
      <c r="K428">
        <v>1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30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0.194735973294278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0.35775345817659199</v>
      </c>
      <c r="U428" s="5">
        <f>IF((ContinuousStatsTable[[#This Row],[RepsRequested]]&gt;1),ContinuousStatsTable[[#This Row],[HalfWidth]],ContinuousStatsTable[[#This Row],[BatchMeansHalfWidth]])</f>
        <v>1.6709279991037516E-2</v>
      </c>
    </row>
    <row r="429" spans="1:21" x14ac:dyDescent="0.25">
      <c r="A429" t="s">
        <v>68</v>
      </c>
      <c r="B429" t="s">
        <v>70</v>
      </c>
      <c r="C429">
        <v>27</v>
      </c>
      <c r="D429" t="s">
        <v>105</v>
      </c>
      <c r="E429" t="s">
        <v>103</v>
      </c>
      <c r="F429" t="s">
        <v>102</v>
      </c>
      <c r="G429">
        <v>0.33967631542724103</v>
      </c>
      <c r="H429">
        <v>2E+20</v>
      </c>
      <c r="I429">
        <v>0</v>
      </c>
      <c r="J429">
        <v>1</v>
      </c>
      <c r="K429">
        <v>1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30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0.194735973294278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0.35775345817659199</v>
      </c>
      <c r="U429" s="5">
        <f>IF((ContinuousStatsTable[[#This Row],[RepsRequested]]&gt;1),ContinuousStatsTable[[#This Row],[HalfWidth]],ContinuousStatsTable[[#This Row],[BatchMeansHalfWidth]])</f>
        <v>1.6709279991037516E-2</v>
      </c>
    </row>
    <row r="430" spans="1:21" x14ac:dyDescent="0.25">
      <c r="A430" t="s">
        <v>68</v>
      </c>
      <c r="B430" t="s">
        <v>70</v>
      </c>
      <c r="C430">
        <v>27</v>
      </c>
      <c r="D430" t="s">
        <v>105</v>
      </c>
      <c r="E430" t="s">
        <v>104</v>
      </c>
      <c r="F430" t="s">
        <v>102</v>
      </c>
      <c r="G430">
        <v>1</v>
      </c>
      <c r="H430">
        <v>2E+20</v>
      </c>
      <c r="I430">
        <v>1</v>
      </c>
      <c r="J430">
        <v>1</v>
      </c>
      <c r="K430">
        <v>1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30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1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1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1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68</v>
      </c>
      <c r="B431" t="s">
        <v>70</v>
      </c>
      <c r="C431">
        <v>27</v>
      </c>
      <c r="D431" t="s">
        <v>106</v>
      </c>
      <c r="E431" t="s">
        <v>101</v>
      </c>
      <c r="F431" t="s">
        <v>102</v>
      </c>
      <c r="G431">
        <v>8.8553874893110798E-2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30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5.3757894868807901E-2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0.103175045984152</v>
      </c>
      <c r="U431" s="5">
        <f>IF((ContinuousStatsTable[[#This Row],[RepsRequested]]&gt;1),ContinuousStatsTable[[#This Row],[HalfWidth]],ContinuousStatsTable[[#This Row],[BatchMeansHalfWidth]])</f>
        <v>4.9031825474871024E-3</v>
      </c>
    </row>
    <row r="432" spans="1:21" x14ac:dyDescent="0.25">
      <c r="A432" t="s">
        <v>68</v>
      </c>
      <c r="B432" t="s">
        <v>70</v>
      </c>
      <c r="C432">
        <v>27</v>
      </c>
      <c r="D432" t="s">
        <v>106</v>
      </c>
      <c r="E432" t="s">
        <v>103</v>
      </c>
      <c r="F432" t="s">
        <v>102</v>
      </c>
      <c r="G432">
        <v>8.8553874893110798E-2</v>
      </c>
      <c r="H432">
        <v>2E+20</v>
      </c>
      <c r="I432">
        <v>0</v>
      </c>
      <c r="J432">
        <v>1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30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5.3757894868807901E-2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0.103175045984152</v>
      </c>
      <c r="U432" s="5">
        <f>IF((ContinuousStatsTable[[#This Row],[RepsRequested]]&gt;1),ContinuousStatsTable[[#This Row],[HalfWidth]],ContinuousStatsTable[[#This Row],[BatchMeansHalfWidth]])</f>
        <v>4.9031825474871024E-3</v>
      </c>
    </row>
    <row r="433" spans="1:21" x14ac:dyDescent="0.25">
      <c r="A433" t="s">
        <v>68</v>
      </c>
      <c r="B433" t="s">
        <v>70</v>
      </c>
      <c r="C433">
        <v>27</v>
      </c>
      <c r="D433" t="s">
        <v>106</v>
      </c>
      <c r="E433" t="s">
        <v>104</v>
      </c>
      <c r="F433" t="s">
        <v>102</v>
      </c>
      <c r="G433">
        <v>1</v>
      </c>
      <c r="H433">
        <v>2E+20</v>
      </c>
      <c r="I433">
        <v>1</v>
      </c>
      <c r="J433">
        <v>1</v>
      </c>
      <c r="K433">
        <v>1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30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1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1</v>
      </c>
      <c r="U433" s="5">
        <f>IF((ContinuousStatsTable[[#This Row],[RepsRequested]]&gt;1),ContinuousStatsTable[[#This Row],[HalfWidth]],ContinuousStatsTable[[#This Row],[BatchMeansHalfWidth]])</f>
        <v>0</v>
      </c>
    </row>
    <row r="434" spans="1:21" x14ac:dyDescent="0.25">
      <c r="A434" t="s">
        <v>68</v>
      </c>
      <c r="B434" t="s">
        <v>70</v>
      </c>
      <c r="C434">
        <v>28</v>
      </c>
      <c r="D434" t="s">
        <v>71</v>
      </c>
      <c r="E434" t="s">
        <v>98</v>
      </c>
      <c r="F434" t="s">
        <v>73</v>
      </c>
      <c r="G434">
        <v>1.6900073393546</v>
      </c>
      <c r="H434">
        <v>2E+20</v>
      </c>
      <c r="I434">
        <v>0</v>
      </c>
      <c r="J434">
        <v>7</v>
      </c>
      <c r="K434">
        <v>0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30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1.02094278585578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2.4343835485437801</v>
      </c>
      <c r="U434" s="5">
        <f>IF((ContinuousStatsTable[[#This Row],[RepsRequested]]&gt;1),ContinuousStatsTable[[#This Row],[HalfWidth]],ContinuousStatsTable[[#This Row],[BatchMeansHalfWidth]])</f>
        <v>0.1474422221508549</v>
      </c>
    </row>
    <row r="435" spans="1:21" x14ac:dyDescent="0.25">
      <c r="A435" t="s">
        <v>68</v>
      </c>
      <c r="B435" t="s">
        <v>70</v>
      </c>
      <c r="C435">
        <v>28</v>
      </c>
      <c r="D435" t="s">
        <v>84</v>
      </c>
      <c r="E435" t="s">
        <v>99</v>
      </c>
      <c r="F435" t="s">
        <v>86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30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68</v>
      </c>
      <c r="B436" t="s">
        <v>70</v>
      </c>
      <c r="C436">
        <v>28</v>
      </c>
      <c r="D436" t="s">
        <v>87</v>
      </c>
      <c r="E436" t="s">
        <v>99</v>
      </c>
      <c r="F436" t="s">
        <v>86</v>
      </c>
      <c r="G436">
        <v>0.44527174046685603</v>
      </c>
      <c r="H436">
        <v>2E+20</v>
      </c>
      <c r="I436">
        <v>0</v>
      </c>
      <c r="J436">
        <v>2</v>
      </c>
      <c r="K436">
        <v>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30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0.273073251721628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0.67472724368415504</v>
      </c>
      <c r="U436" s="5">
        <f>IF((ContinuousStatsTable[[#This Row],[RepsRequested]]&gt;1),ContinuousStatsTable[[#This Row],[HalfWidth]],ContinuousStatsTable[[#This Row],[BatchMeansHalfWidth]])</f>
        <v>4.3177361368283713E-2</v>
      </c>
    </row>
    <row r="437" spans="1:21" x14ac:dyDescent="0.25">
      <c r="A437" t="s">
        <v>68</v>
      </c>
      <c r="B437" t="s">
        <v>70</v>
      </c>
      <c r="C437">
        <v>28</v>
      </c>
      <c r="D437" t="s">
        <v>88</v>
      </c>
      <c r="E437" t="s">
        <v>99</v>
      </c>
      <c r="F437" t="s">
        <v>86</v>
      </c>
      <c r="G437">
        <v>0</v>
      </c>
      <c r="H437">
        <v>2E+20</v>
      </c>
      <c r="I437">
        <v>0</v>
      </c>
      <c r="J437">
        <v>1</v>
      </c>
      <c r="K437">
        <v>0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30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1.55056745953175E-4</v>
      </c>
      <c r="U437" s="5">
        <f>IF((ContinuousStatsTable[[#This Row],[RepsRequested]]&gt;1),ContinuousStatsTable[[#This Row],[HalfWidth]],ContinuousStatsTable[[#This Row],[BatchMeansHalfWidth]])</f>
        <v>1.0570888434535787E-5</v>
      </c>
    </row>
    <row r="438" spans="1:21" x14ac:dyDescent="0.25">
      <c r="A438" t="s">
        <v>68</v>
      </c>
      <c r="B438" t="s">
        <v>70</v>
      </c>
      <c r="C438">
        <v>28</v>
      </c>
      <c r="D438" t="s">
        <v>90</v>
      </c>
      <c r="E438" t="s">
        <v>99</v>
      </c>
      <c r="F438" t="s">
        <v>86</v>
      </c>
      <c r="G438">
        <v>2.7873816650230698E-2</v>
      </c>
      <c r="H438">
        <v>2E+20</v>
      </c>
      <c r="I438">
        <v>0</v>
      </c>
      <c r="J438">
        <v>1</v>
      </c>
      <c r="K438">
        <v>0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30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7.8516062990880695E-2</v>
      </c>
      <c r="U438" s="5">
        <f>IF((ContinuousStatsTable[[#This Row],[RepsRequested]]&gt;1),ContinuousStatsTable[[#This Row],[HalfWidth]],ContinuousStatsTable[[#This Row],[BatchMeansHalfWidth]])</f>
        <v>7.7862990748262884E-3</v>
      </c>
    </row>
    <row r="439" spans="1:21" x14ac:dyDescent="0.25">
      <c r="A439" t="s">
        <v>68</v>
      </c>
      <c r="B439" t="s">
        <v>70</v>
      </c>
      <c r="C439">
        <v>28</v>
      </c>
      <c r="D439" t="s">
        <v>92</v>
      </c>
      <c r="E439" t="s">
        <v>99</v>
      </c>
      <c r="F439" t="s">
        <v>86</v>
      </c>
      <c r="G439">
        <v>6.57865764397184E-2</v>
      </c>
      <c r="H439">
        <v>2E+20</v>
      </c>
      <c r="I439">
        <v>0</v>
      </c>
      <c r="J439">
        <v>1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30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0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0.13654526635771</v>
      </c>
      <c r="U439" s="5">
        <f>IF((ContinuousStatsTable[[#This Row],[RepsRequested]]&gt;1),ContinuousStatsTable[[#This Row],[HalfWidth]],ContinuousStatsTable[[#This Row],[BatchMeansHalfWidth]])</f>
        <v>1.2216139820952973E-2</v>
      </c>
    </row>
    <row r="440" spans="1:21" x14ac:dyDescent="0.25">
      <c r="A440" t="s">
        <v>68</v>
      </c>
      <c r="B440" t="s">
        <v>70</v>
      </c>
      <c r="C440">
        <v>28</v>
      </c>
      <c r="D440" t="s">
        <v>94</v>
      </c>
      <c r="E440" t="s">
        <v>99</v>
      </c>
      <c r="F440" t="s">
        <v>86</v>
      </c>
      <c r="G440">
        <v>0.14030400554803901</v>
      </c>
      <c r="H440">
        <v>2E+20</v>
      </c>
      <c r="I440">
        <v>0</v>
      </c>
      <c r="J440">
        <v>2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30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9.0453284135870501E-3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0.39547622058287801</v>
      </c>
      <c r="U440" s="5">
        <f>IF((ContinuousStatsTable[[#This Row],[RepsRequested]]&gt;1),ContinuousStatsTable[[#This Row],[HalfWidth]],ContinuousStatsTable[[#This Row],[BatchMeansHalfWidth]])</f>
        <v>3.5836113017914922E-2</v>
      </c>
    </row>
    <row r="441" spans="1:21" x14ac:dyDescent="0.25">
      <c r="A441" t="s">
        <v>68</v>
      </c>
      <c r="B441" t="s">
        <v>70</v>
      </c>
      <c r="C441">
        <v>28</v>
      </c>
      <c r="D441" t="s">
        <v>100</v>
      </c>
      <c r="E441" t="s">
        <v>101</v>
      </c>
      <c r="F441" t="s">
        <v>102</v>
      </c>
      <c r="G441">
        <v>0.49100856755102501</v>
      </c>
      <c r="H441">
        <v>2E+20</v>
      </c>
      <c r="I441">
        <v>0</v>
      </c>
      <c r="J441">
        <v>1</v>
      </c>
      <c r="K441">
        <v>0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30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0.31277577999924699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0.60626731984831705</v>
      </c>
      <c r="U441" s="5">
        <f>IF((ContinuousStatsTable[[#This Row],[RepsRequested]]&gt;1),ContinuousStatsTable[[#This Row],[HalfWidth]],ContinuousStatsTable[[#This Row],[BatchMeansHalfWidth]])</f>
        <v>2.7492927893383642E-2</v>
      </c>
    </row>
    <row r="442" spans="1:21" x14ac:dyDescent="0.25">
      <c r="A442" t="s">
        <v>68</v>
      </c>
      <c r="B442" t="s">
        <v>70</v>
      </c>
      <c r="C442">
        <v>28</v>
      </c>
      <c r="D442" t="s">
        <v>100</v>
      </c>
      <c r="E442" t="s">
        <v>103</v>
      </c>
      <c r="F442" t="s">
        <v>102</v>
      </c>
      <c r="G442">
        <v>0.49100856755102501</v>
      </c>
      <c r="H442">
        <v>2E+20</v>
      </c>
      <c r="I442">
        <v>0</v>
      </c>
      <c r="J442">
        <v>1</v>
      </c>
      <c r="K442">
        <v>0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30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0.31277577999924699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0.60626731984831705</v>
      </c>
      <c r="U442" s="5">
        <f>IF((ContinuousStatsTable[[#This Row],[RepsRequested]]&gt;1),ContinuousStatsTable[[#This Row],[HalfWidth]],ContinuousStatsTable[[#This Row],[BatchMeansHalfWidth]])</f>
        <v>2.7492927893383642E-2</v>
      </c>
    </row>
    <row r="443" spans="1:21" x14ac:dyDescent="0.25">
      <c r="A443" t="s">
        <v>68</v>
      </c>
      <c r="B443" t="s">
        <v>70</v>
      </c>
      <c r="C443">
        <v>28</v>
      </c>
      <c r="D443" t="s">
        <v>100</v>
      </c>
      <c r="E443" t="s">
        <v>104</v>
      </c>
      <c r="F443" t="s">
        <v>102</v>
      </c>
      <c r="G443">
        <v>1</v>
      </c>
      <c r="H443">
        <v>2E+20</v>
      </c>
      <c r="I443">
        <v>1</v>
      </c>
      <c r="J443">
        <v>1</v>
      </c>
      <c r="K443">
        <v>1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30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1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1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1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68</v>
      </c>
      <c r="B444" t="s">
        <v>70</v>
      </c>
      <c r="C444">
        <v>28</v>
      </c>
      <c r="D444" t="s">
        <v>105</v>
      </c>
      <c r="E444" t="s">
        <v>101</v>
      </c>
      <c r="F444" t="s">
        <v>102</v>
      </c>
      <c r="G444">
        <v>0.28127629083132</v>
      </c>
      <c r="H444">
        <v>2E+20</v>
      </c>
      <c r="I444">
        <v>0</v>
      </c>
      <c r="J444">
        <v>1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30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0.194735973294278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0.35775345817659199</v>
      </c>
      <c r="U444" s="5">
        <f>IF((ContinuousStatsTable[[#This Row],[RepsRequested]]&gt;1),ContinuousStatsTable[[#This Row],[HalfWidth]],ContinuousStatsTable[[#This Row],[BatchMeansHalfWidth]])</f>
        <v>1.6709279991037516E-2</v>
      </c>
    </row>
    <row r="445" spans="1:21" x14ac:dyDescent="0.25">
      <c r="A445" t="s">
        <v>68</v>
      </c>
      <c r="B445" t="s">
        <v>70</v>
      </c>
      <c r="C445">
        <v>28</v>
      </c>
      <c r="D445" t="s">
        <v>105</v>
      </c>
      <c r="E445" t="s">
        <v>103</v>
      </c>
      <c r="F445" t="s">
        <v>102</v>
      </c>
      <c r="G445">
        <v>0.28127629083132</v>
      </c>
      <c r="H445">
        <v>2E+20</v>
      </c>
      <c r="I445">
        <v>0</v>
      </c>
      <c r="J445">
        <v>1</v>
      </c>
      <c r="K445">
        <v>0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30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0.194735973294278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0.35775345817659199</v>
      </c>
      <c r="U445" s="5">
        <f>IF((ContinuousStatsTable[[#This Row],[RepsRequested]]&gt;1),ContinuousStatsTable[[#This Row],[HalfWidth]],ContinuousStatsTable[[#This Row],[BatchMeansHalfWidth]])</f>
        <v>1.6709279991037516E-2</v>
      </c>
    </row>
    <row r="446" spans="1:21" x14ac:dyDescent="0.25">
      <c r="A446" t="s">
        <v>68</v>
      </c>
      <c r="B446" t="s">
        <v>70</v>
      </c>
      <c r="C446">
        <v>28</v>
      </c>
      <c r="D446" t="s">
        <v>105</v>
      </c>
      <c r="E446" t="s">
        <v>104</v>
      </c>
      <c r="F446" t="s">
        <v>102</v>
      </c>
      <c r="G446">
        <v>1</v>
      </c>
      <c r="H446">
        <v>2E+20</v>
      </c>
      <c r="I446">
        <v>1</v>
      </c>
      <c r="J446">
        <v>1</v>
      </c>
      <c r="K446">
        <v>1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30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1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1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1</v>
      </c>
      <c r="U446" s="5">
        <f>IF((ContinuousStatsTable[[#This Row],[RepsRequested]]&gt;1),ContinuousStatsTable[[#This Row],[HalfWidth]],ContinuousStatsTable[[#This Row],[BatchMeansHalfWidth]])</f>
        <v>0</v>
      </c>
    </row>
    <row r="447" spans="1:21" x14ac:dyDescent="0.25">
      <c r="A447" t="s">
        <v>68</v>
      </c>
      <c r="B447" t="s">
        <v>70</v>
      </c>
      <c r="C447">
        <v>28</v>
      </c>
      <c r="D447" t="s">
        <v>106</v>
      </c>
      <c r="E447" t="s">
        <v>101</v>
      </c>
      <c r="F447" t="s">
        <v>102</v>
      </c>
      <c r="G447">
        <v>7.9495447289137294E-2</v>
      </c>
      <c r="H447">
        <v>2E+20</v>
      </c>
      <c r="I447">
        <v>0</v>
      </c>
      <c r="J447">
        <v>1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30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5.3757894868807901E-2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0.103175045984152</v>
      </c>
      <c r="U447" s="5">
        <f>IF((ContinuousStatsTable[[#This Row],[RepsRequested]]&gt;1),ContinuousStatsTable[[#This Row],[HalfWidth]],ContinuousStatsTable[[#This Row],[BatchMeansHalfWidth]])</f>
        <v>4.9031825474871024E-3</v>
      </c>
    </row>
    <row r="448" spans="1:21" x14ac:dyDescent="0.25">
      <c r="A448" t="s">
        <v>68</v>
      </c>
      <c r="B448" t="s">
        <v>70</v>
      </c>
      <c r="C448">
        <v>28</v>
      </c>
      <c r="D448" t="s">
        <v>106</v>
      </c>
      <c r="E448" t="s">
        <v>103</v>
      </c>
      <c r="F448" t="s">
        <v>102</v>
      </c>
      <c r="G448">
        <v>7.9495447289137294E-2</v>
      </c>
      <c r="H448">
        <v>2E+20</v>
      </c>
      <c r="I448">
        <v>0</v>
      </c>
      <c r="J448">
        <v>1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30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5.3757894868807901E-2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0.103175045984152</v>
      </c>
      <c r="U448" s="5">
        <f>IF((ContinuousStatsTable[[#This Row],[RepsRequested]]&gt;1),ContinuousStatsTable[[#This Row],[HalfWidth]],ContinuousStatsTable[[#This Row],[BatchMeansHalfWidth]])</f>
        <v>4.9031825474871024E-3</v>
      </c>
    </row>
    <row r="449" spans="1:21" x14ac:dyDescent="0.25">
      <c r="A449" t="s">
        <v>68</v>
      </c>
      <c r="B449" t="s">
        <v>70</v>
      </c>
      <c r="C449">
        <v>28</v>
      </c>
      <c r="D449" t="s">
        <v>106</v>
      </c>
      <c r="E449" t="s">
        <v>104</v>
      </c>
      <c r="F449" t="s">
        <v>102</v>
      </c>
      <c r="G449">
        <v>1</v>
      </c>
      <c r="H449">
        <v>2E+20</v>
      </c>
      <c r="I449">
        <v>1</v>
      </c>
      <c r="J449">
        <v>1</v>
      </c>
      <c r="K449">
        <v>1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30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1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68</v>
      </c>
      <c r="B450" t="s">
        <v>70</v>
      </c>
      <c r="C450">
        <v>29</v>
      </c>
      <c r="D450" t="s">
        <v>71</v>
      </c>
      <c r="E450" t="s">
        <v>98</v>
      </c>
      <c r="F450" t="s">
        <v>73</v>
      </c>
      <c r="G450">
        <v>2.3169176465280401</v>
      </c>
      <c r="H450">
        <v>2E+20</v>
      </c>
      <c r="I450">
        <v>0</v>
      </c>
      <c r="J450">
        <v>8</v>
      </c>
      <c r="K450">
        <v>2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30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1.02094278585578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2.4343835485437801</v>
      </c>
      <c r="U450" s="5">
        <f>IF((ContinuousStatsTable[[#This Row],[RepsRequested]]&gt;1),ContinuousStatsTable[[#This Row],[HalfWidth]],ContinuousStatsTable[[#This Row],[BatchMeansHalfWidth]])</f>
        <v>0.1474422221508549</v>
      </c>
    </row>
    <row r="451" spans="1:21" x14ac:dyDescent="0.25">
      <c r="A451" t="s">
        <v>68</v>
      </c>
      <c r="B451" t="s">
        <v>70</v>
      </c>
      <c r="C451">
        <v>29</v>
      </c>
      <c r="D451" t="s">
        <v>84</v>
      </c>
      <c r="E451" t="s">
        <v>99</v>
      </c>
      <c r="F451" t="s">
        <v>86</v>
      </c>
      <c r="G451">
        <v>0</v>
      </c>
      <c r="H451">
        <v>2E+20</v>
      </c>
      <c r="I451">
        <v>0</v>
      </c>
      <c r="J451">
        <v>0</v>
      </c>
      <c r="K451">
        <v>0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30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0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0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0</v>
      </c>
      <c r="U451" s="5">
        <f>IF((ContinuousStatsTable[[#This Row],[RepsRequested]]&gt;1),ContinuousStatsTable[[#This Row],[HalfWidth]],ContinuousStatsTable[[#This Row],[BatchMeansHalfWidth]])</f>
        <v>0</v>
      </c>
    </row>
    <row r="452" spans="1:21" x14ac:dyDescent="0.25">
      <c r="A452" t="s">
        <v>68</v>
      </c>
      <c r="B452" t="s">
        <v>70</v>
      </c>
      <c r="C452">
        <v>29</v>
      </c>
      <c r="D452" t="s">
        <v>87</v>
      </c>
      <c r="E452" t="s">
        <v>99</v>
      </c>
      <c r="F452" t="s">
        <v>86</v>
      </c>
      <c r="G452">
        <v>0.66366237633365499</v>
      </c>
      <c r="H452">
        <v>2E+20</v>
      </c>
      <c r="I452">
        <v>0</v>
      </c>
      <c r="J452">
        <v>3</v>
      </c>
      <c r="K452">
        <v>0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30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0.273073251721628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0.67472724368415504</v>
      </c>
      <c r="U452" s="5">
        <f>IF((ContinuousStatsTable[[#This Row],[RepsRequested]]&gt;1),ContinuousStatsTable[[#This Row],[HalfWidth]],ContinuousStatsTable[[#This Row],[BatchMeansHalfWidth]])</f>
        <v>4.3177361368283713E-2</v>
      </c>
    </row>
    <row r="453" spans="1:21" x14ac:dyDescent="0.25">
      <c r="A453" t="s">
        <v>68</v>
      </c>
      <c r="B453" t="s">
        <v>70</v>
      </c>
      <c r="C453">
        <v>29</v>
      </c>
      <c r="D453" t="s">
        <v>88</v>
      </c>
      <c r="E453" t="s">
        <v>99</v>
      </c>
      <c r="F453" t="s">
        <v>86</v>
      </c>
      <c r="G453">
        <v>0</v>
      </c>
      <c r="H453">
        <v>2E+20</v>
      </c>
      <c r="I453">
        <v>0</v>
      </c>
      <c r="J453">
        <v>1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30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0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1.55056745953175E-4</v>
      </c>
      <c r="U453" s="5">
        <f>IF((ContinuousStatsTable[[#This Row],[RepsRequested]]&gt;1),ContinuousStatsTable[[#This Row],[HalfWidth]],ContinuousStatsTable[[#This Row],[BatchMeansHalfWidth]])</f>
        <v>1.0570888434535787E-5</v>
      </c>
    </row>
    <row r="454" spans="1:21" x14ac:dyDescent="0.25">
      <c r="A454" t="s">
        <v>68</v>
      </c>
      <c r="B454" t="s">
        <v>70</v>
      </c>
      <c r="C454">
        <v>29</v>
      </c>
      <c r="D454" t="s">
        <v>90</v>
      </c>
      <c r="E454" t="s">
        <v>99</v>
      </c>
      <c r="F454" t="s">
        <v>86</v>
      </c>
      <c r="G454">
        <v>4.4120016353835501E-2</v>
      </c>
      <c r="H454">
        <v>2E+20</v>
      </c>
      <c r="I454">
        <v>0</v>
      </c>
      <c r="J454">
        <v>2</v>
      </c>
      <c r="K454">
        <v>0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30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0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7.8516062990880695E-2</v>
      </c>
      <c r="U454" s="5">
        <f>IF((ContinuousStatsTable[[#This Row],[RepsRequested]]&gt;1),ContinuousStatsTable[[#This Row],[HalfWidth]],ContinuousStatsTable[[#This Row],[BatchMeansHalfWidth]])</f>
        <v>7.7862990748262884E-3</v>
      </c>
    </row>
    <row r="455" spans="1:21" x14ac:dyDescent="0.25">
      <c r="A455" t="s">
        <v>68</v>
      </c>
      <c r="B455" t="s">
        <v>70</v>
      </c>
      <c r="C455">
        <v>29</v>
      </c>
      <c r="D455" t="s">
        <v>92</v>
      </c>
      <c r="E455" t="s">
        <v>99</v>
      </c>
      <c r="F455" t="s">
        <v>86</v>
      </c>
      <c r="G455">
        <v>6.1692054914252399E-2</v>
      </c>
      <c r="H455">
        <v>2E+20</v>
      </c>
      <c r="I455">
        <v>0</v>
      </c>
      <c r="J455">
        <v>2</v>
      </c>
      <c r="K455">
        <v>0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30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0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0.13654526635771</v>
      </c>
      <c r="U455" s="5">
        <f>IF((ContinuousStatsTable[[#This Row],[RepsRequested]]&gt;1),ContinuousStatsTable[[#This Row],[HalfWidth]],ContinuousStatsTable[[#This Row],[BatchMeansHalfWidth]])</f>
        <v>1.2216139820952973E-2</v>
      </c>
    </row>
    <row r="456" spans="1:21" x14ac:dyDescent="0.25">
      <c r="A456" t="s">
        <v>68</v>
      </c>
      <c r="B456" t="s">
        <v>70</v>
      </c>
      <c r="C456">
        <v>29</v>
      </c>
      <c r="D456" t="s">
        <v>94</v>
      </c>
      <c r="E456" t="s">
        <v>99</v>
      </c>
      <c r="F456" t="s">
        <v>86</v>
      </c>
      <c r="G456">
        <v>0.290205874577117</v>
      </c>
      <c r="H456">
        <v>2E+20</v>
      </c>
      <c r="I456">
        <v>0</v>
      </c>
      <c r="J456">
        <v>2</v>
      </c>
      <c r="K456">
        <v>0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30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9.0453284135870501E-3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0.39547622058287801</v>
      </c>
      <c r="U456" s="5">
        <f>IF((ContinuousStatsTable[[#This Row],[RepsRequested]]&gt;1),ContinuousStatsTable[[#This Row],[HalfWidth]],ContinuousStatsTable[[#This Row],[BatchMeansHalfWidth]])</f>
        <v>3.5836113017914922E-2</v>
      </c>
    </row>
    <row r="457" spans="1:21" x14ac:dyDescent="0.25">
      <c r="A457" t="s">
        <v>68</v>
      </c>
      <c r="B457" t="s">
        <v>70</v>
      </c>
      <c r="C457">
        <v>29</v>
      </c>
      <c r="D457" t="s">
        <v>100</v>
      </c>
      <c r="E457" t="s">
        <v>101</v>
      </c>
      <c r="F457" t="s">
        <v>102</v>
      </c>
      <c r="G457">
        <v>0.58995872822012696</v>
      </c>
      <c r="H457">
        <v>2E+20</v>
      </c>
      <c r="I457">
        <v>0</v>
      </c>
      <c r="J457">
        <v>1</v>
      </c>
      <c r="K457">
        <v>1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30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0.31277577999924699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0.60626731984831705</v>
      </c>
      <c r="U457" s="5">
        <f>IF((ContinuousStatsTable[[#This Row],[RepsRequested]]&gt;1),ContinuousStatsTable[[#This Row],[HalfWidth]],ContinuousStatsTable[[#This Row],[BatchMeansHalfWidth]])</f>
        <v>2.7492927893383642E-2</v>
      </c>
    </row>
    <row r="458" spans="1:21" x14ac:dyDescent="0.25">
      <c r="A458" t="s">
        <v>68</v>
      </c>
      <c r="B458" t="s">
        <v>70</v>
      </c>
      <c r="C458">
        <v>29</v>
      </c>
      <c r="D458" t="s">
        <v>100</v>
      </c>
      <c r="E458" t="s">
        <v>103</v>
      </c>
      <c r="F458" t="s">
        <v>102</v>
      </c>
      <c r="G458">
        <v>0.58995872822012696</v>
      </c>
      <c r="H458">
        <v>2E+20</v>
      </c>
      <c r="I458">
        <v>0</v>
      </c>
      <c r="J458">
        <v>1</v>
      </c>
      <c r="K458">
        <v>1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30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0.31277577999924699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0.60626731984831705</v>
      </c>
      <c r="U458" s="5">
        <f>IF((ContinuousStatsTable[[#This Row],[RepsRequested]]&gt;1),ContinuousStatsTable[[#This Row],[HalfWidth]],ContinuousStatsTable[[#This Row],[BatchMeansHalfWidth]])</f>
        <v>2.7492927893383642E-2</v>
      </c>
    </row>
    <row r="459" spans="1:21" x14ac:dyDescent="0.25">
      <c r="A459" t="s">
        <v>68</v>
      </c>
      <c r="B459" t="s">
        <v>70</v>
      </c>
      <c r="C459">
        <v>29</v>
      </c>
      <c r="D459" t="s">
        <v>100</v>
      </c>
      <c r="E459" t="s">
        <v>104</v>
      </c>
      <c r="F459" t="s">
        <v>102</v>
      </c>
      <c r="G459">
        <v>1</v>
      </c>
      <c r="H459">
        <v>2E+20</v>
      </c>
      <c r="I459">
        <v>1</v>
      </c>
      <c r="J459">
        <v>1</v>
      </c>
      <c r="K459">
        <v>1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30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1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1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1</v>
      </c>
      <c r="U459" s="5">
        <f>IF((ContinuousStatsTable[[#This Row],[RepsRequested]]&gt;1),ContinuousStatsTable[[#This Row],[HalfWidth]],ContinuousStatsTable[[#This Row],[BatchMeansHalfWidth]])</f>
        <v>0</v>
      </c>
    </row>
    <row r="460" spans="1:21" x14ac:dyDescent="0.25">
      <c r="A460" t="s">
        <v>68</v>
      </c>
      <c r="B460" t="s">
        <v>70</v>
      </c>
      <c r="C460">
        <v>29</v>
      </c>
      <c r="D460" t="s">
        <v>105</v>
      </c>
      <c r="E460" t="s">
        <v>101</v>
      </c>
      <c r="F460" t="s">
        <v>102</v>
      </c>
      <c r="G460">
        <v>0.35775345817659199</v>
      </c>
      <c r="H460">
        <v>2E+20</v>
      </c>
      <c r="I460">
        <v>0</v>
      </c>
      <c r="J460">
        <v>1</v>
      </c>
      <c r="K460">
        <v>1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30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0.194735973294278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0.35775345817659199</v>
      </c>
      <c r="U460" s="5">
        <f>IF((ContinuousStatsTable[[#This Row],[RepsRequested]]&gt;1),ContinuousStatsTable[[#This Row],[HalfWidth]],ContinuousStatsTable[[#This Row],[BatchMeansHalfWidth]])</f>
        <v>1.6709279991037516E-2</v>
      </c>
    </row>
    <row r="461" spans="1:21" x14ac:dyDescent="0.25">
      <c r="A461" t="s">
        <v>68</v>
      </c>
      <c r="B461" t="s">
        <v>70</v>
      </c>
      <c r="C461">
        <v>29</v>
      </c>
      <c r="D461" t="s">
        <v>105</v>
      </c>
      <c r="E461" t="s">
        <v>103</v>
      </c>
      <c r="F461" t="s">
        <v>102</v>
      </c>
      <c r="G461">
        <v>0.35775345817659199</v>
      </c>
      <c r="H461">
        <v>2E+20</v>
      </c>
      <c r="I461">
        <v>0</v>
      </c>
      <c r="J461">
        <v>1</v>
      </c>
      <c r="K461">
        <v>1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30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0.194735973294278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0.35775345817659199</v>
      </c>
      <c r="U461" s="5">
        <f>IF((ContinuousStatsTable[[#This Row],[RepsRequested]]&gt;1),ContinuousStatsTable[[#This Row],[HalfWidth]],ContinuousStatsTable[[#This Row],[BatchMeansHalfWidth]])</f>
        <v>1.6709279991037516E-2</v>
      </c>
    </row>
    <row r="462" spans="1:21" x14ac:dyDescent="0.25">
      <c r="A462" t="s">
        <v>68</v>
      </c>
      <c r="B462" t="s">
        <v>70</v>
      </c>
      <c r="C462">
        <v>29</v>
      </c>
      <c r="D462" t="s">
        <v>105</v>
      </c>
      <c r="E462" t="s">
        <v>104</v>
      </c>
      <c r="F462" t="s">
        <v>102</v>
      </c>
      <c r="G462">
        <v>1</v>
      </c>
      <c r="H462">
        <v>2E+20</v>
      </c>
      <c r="I462">
        <v>1</v>
      </c>
      <c r="J462">
        <v>1</v>
      </c>
      <c r="K462">
        <v>1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30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1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1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1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68</v>
      </c>
      <c r="B463" t="s">
        <v>70</v>
      </c>
      <c r="C463">
        <v>29</v>
      </c>
      <c r="D463" t="s">
        <v>106</v>
      </c>
      <c r="E463" t="s">
        <v>101</v>
      </c>
      <c r="F463" t="s">
        <v>102</v>
      </c>
      <c r="G463">
        <v>0.103175045984152</v>
      </c>
      <c r="H463">
        <v>2E+20</v>
      </c>
      <c r="I463">
        <v>0</v>
      </c>
      <c r="J463">
        <v>1</v>
      </c>
      <c r="K463">
        <v>0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30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5.3757894868807901E-2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0.103175045984152</v>
      </c>
      <c r="U463" s="5">
        <f>IF((ContinuousStatsTable[[#This Row],[RepsRequested]]&gt;1),ContinuousStatsTable[[#This Row],[HalfWidth]],ContinuousStatsTable[[#This Row],[BatchMeansHalfWidth]])</f>
        <v>4.9031825474871024E-3</v>
      </c>
    </row>
    <row r="464" spans="1:21" x14ac:dyDescent="0.25">
      <c r="A464" t="s">
        <v>68</v>
      </c>
      <c r="B464" t="s">
        <v>70</v>
      </c>
      <c r="C464">
        <v>29</v>
      </c>
      <c r="D464" t="s">
        <v>106</v>
      </c>
      <c r="E464" t="s">
        <v>103</v>
      </c>
      <c r="F464" t="s">
        <v>102</v>
      </c>
      <c r="G464">
        <v>0.103175045984152</v>
      </c>
      <c r="H464">
        <v>2E+20</v>
      </c>
      <c r="I464">
        <v>0</v>
      </c>
      <c r="J464">
        <v>1</v>
      </c>
      <c r="K464">
        <v>0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30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5.3757894868807901E-2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0.103175045984152</v>
      </c>
      <c r="U464" s="5">
        <f>IF((ContinuousStatsTable[[#This Row],[RepsRequested]]&gt;1),ContinuousStatsTable[[#This Row],[HalfWidth]],ContinuousStatsTable[[#This Row],[BatchMeansHalfWidth]])</f>
        <v>4.9031825474871024E-3</v>
      </c>
    </row>
    <row r="465" spans="1:21" x14ac:dyDescent="0.25">
      <c r="A465" t="s">
        <v>68</v>
      </c>
      <c r="B465" t="s">
        <v>70</v>
      </c>
      <c r="C465">
        <v>29</v>
      </c>
      <c r="D465" t="s">
        <v>106</v>
      </c>
      <c r="E465" t="s">
        <v>104</v>
      </c>
      <c r="F465" t="s">
        <v>102</v>
      </c>
      <c r="G465">
        <v>1</v>
      </c>
      <c r="H465">
        <v>2E+20</v>
      </c>
      <c r="I465">
        <v>1</v>
      </c>
      <c r="J465">
        <v>1</v>
      </c>
      <c r="K465">
        <v>1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30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1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1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1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68</v>
      </c>
      <c r="B466" t="s">
        <v>70</v>
      </c>
      <c r="C466">
        <v>30</v>
      </c>
      <c r="D466" t="s">
        <v>71</v>
      </c>
      <c r="E466" t="s">
        <v>98</v>
      </c>
      <c r="F466" t="s">
        <v>73</v>
      </c>
      <c r="G466">
        <v>1.5190746389571801</v>
      </c>
      <c r="H466">
        <v>2E+20</v>
      </c>
      <c r="I466">
        <v>0</v>
      </c>
      <c r="J466">
        <v>9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Pedido CleintesClientesWIPEntity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30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1.7663501237199533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0.394857522779201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0.1474422221508549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1.02094278585578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2.4343835485437801</v>
      </c>
      <c r="U466" s="5">
        <f>IF((ContinuousStatsTable[[#This Row],[RepsRequested]]&gt;1),ContinuousStatsTable[[#This Row],[HalfWidth]],ContinuousStatsTable[[#This Row],[BatchMeansHalfWidth]])</f>
        <v>0.1474422221508549</v>
      </c>
    </row>
    <row r="467" spans="1:21" x14ac:dyDescent="0.25">
      <c r="A467" t="s">
        <v>68</v>
      </c>
      <c r="B467" t="s">
        <v>70</v>
      </c>
      <c r="C467">
        <v>30</v>
      </c>
      <c r="D467" t="s">
        <v>84</v>
      </c>
      <c r="E467" t="s">
        <v>99</v>
      </c>
      <c r="F467" t="s">
        <v>86</v>
      </c>
      <c r="G467">
        <v>0</v>
      </c>
      <c r="H467">
        <v>2E+20</v>
      </c>
      <c r="I467">
        <v>0</v>
      </c>
      <c r="J467">
        <v>0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Pedido CleintesEmpaque de pedidos.QueueNumber WaitingQueue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30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0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</v>
      </c>
      <c r="U467" s="5">
        <f>IF((ContinuousStatsTable[[#This Row],[RepsRequested]]&gt;1),ContinuousStatsTable[[#This Row],[HalfWidth]],ContinuousStatsTable[[#This Row],[BatchMeansHalfWidth]])</f>
        <v>0</v>
      </c>
    </row>
    <row r="468" spans="1:21" x14ac:dyDescent="0.25">
      <c r="A468" t="s">
        <v>68</v>
      </c>
      <c r="B468" t="s">
        <v>70</v>
      </c>
      <c r="C468">
        <v>30</v>
      </c>
      <c r="D468" t="s">
        <v>87</v>
      </c>
      <c r="E468" t="s">
        <v>99</v>
      </c>
      <c r="F468" t="s">
        <v>86</v>
      </c>
      <c r="G468">
        <v>0.41485581577166603</v>
      </c>
      <c r="H468">
        <v>2E+20</v>
      </c>
      <c r="I468">
        <v>0</v>
      </c>
      <c r="J468">
        <v>3</v>
      </c>
      <c r="K468">
        <v>0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Pedido CleintesEntrega Pedido.Queue1Number WaitingQueue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30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0.48138568380100144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0.11563109739745622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4.3177361368283713E-2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0.273073251721628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0.67472724368415504</v>
      </c>
      <c r="U468" s="5">
        <f>IF((ContinuousStatsTable[[#This Row],[RepsRequested]]&gt;1),ContinuousStatsTable[[#This Row],[HalfWidth]],ContinuousStatsTable[[#This Row],[BatchMeansHalfWidth]])</f>
        <v>4.3177361368283713E-2</v>
      </c>
    </row>
    <row r="469" spans="1:21" x14ac:dyDescent="0.25">
      <c r="A469" t="s">
        <v>68</v>
      </c>
      <c r="B469" t="s">
        <v>70</v>
      </c>
      <c r="C469">
        <v>30</v>
      </c>
      <c r="D469" t="s">
        <v>88</v>
      </c>
      <c r="E469" t="s">
        <v>99</v>
      </c>
      <c r="F469" t="s">
        <v>86</v>
      </c>
      <c r="G469">
        <v>0</v>
      </c>
      <c r="H469">
        <v>2E+20</v>
      </c>
      <c r="I469">
        <v>0</v>
      </c>
      <c r="J469">
        <v>1</v>
      </c>
      <c r="K469">
        <v>0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Pedido CleintesEntrega Pedido.Queue2Number WaitingQueue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30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5.1685581984391664E-6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2.8309359150633942E-5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1.0570888434535787E-5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0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1.55056745953175E-4</v>
      </c>
      <c r="U469" s="5">
        <f>IF((ContinuousStatsTable[[#This Row],[RepsRequested]]&gt;1),ContinuousStatsTable[[#This Row],[HalfWidth]],ContinuousStatsTable[[#This Row],[BatchMeansHalfWidth]])</f>
        <v>1.0570888434535787E-5</v>
      </c>
    </row>
    <row r="470" spans="1:21" x14ac:dyDescent="0.25">
      <c r="A470" t="s">
        <v>68</v>
      </c>
      <c r="B470" t="s">
        <v>70</v>
      </c>
      <c r="C470">
        <v>30</v>
      </c>
      <c r="D470" t="s">
        <v>90</v>
      </c>
      <c r="E470" t="s">
        <v>99</v>
      </c>
      <c r="F470" t="s">
        <v>86</v>
      </c>
      <c r="G470">
        <v>3.5515585807222402E-2</v>
      </c>
      <c r="H470">
        <v>2E+20</v>
      </c>
      <c r="I470">
        <v>0</v>
      </c>
      <c r="J470">
        <v>3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Pedido CleintesOrdnes.QueueNumber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30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3.3699692062373783E-2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2.0852091886937599E-2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7.7862990748262884E-3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7.8516062990880695E-2</v>
      </c>
      <c r="U470" s="5">
        <f>IF((ContinuousStatsTable[[#This Row],[RepsRequested]]&gt;1),ContinuousStatsTable[[#This Row],[HalfWidth]],ContinuousStatsTable[[#This Row],[BatchMeansHalfWidth]])</f>
        <v>7.7862990748262884E-3</v>
      </c>
    </row>
    <row r="471" spans="1:21" x14ac:dyDescent="0.25">
      <c r="A471" t="s">
        <v>68</v>
      </c>
      <c r="B471" t="s">
        <v>70</v>
      </c>
      <c r="C471">
        <v>30</v>
      </c>
      <c r="D471" t="s">
        <v>92</v>
      </c>
      <c r="E471" t="s">
        <v>99</v>
      </c>
      <c r="F471" t="s">
        <v>86</v>
      </c>
      <c r="G471">
        <v>4.0947253934263801E-2</v>
      </c>
      <c r="H471">
        <v>2E+20</v>
      </c>
      <c r="I471">
        <v>0</v>
      </c>
      <c r="J471">
        <v>2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Pedido CleintesPago.QueueNumber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30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5.4630719944156803E-2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3.2715423284183552E-2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1.2216139820952973E-2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0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0.13654526635771</v>
      </c>
      <c r="U471" s="5">
        <f>IF((ContinuousStatsTable[[#This Row],[RepsRequested]]&gt;1),ContinuousStatsTable[[#This Row],[HalfWidth]],ContinuousStatsTable[[#This Row],[BatchMeansHalfWidth]])</f>
        <v>1.2216139820952973E-2</v>
      </c>
    </row>
    <row r="472" spans="1:21" x14ac:dyDescent="0.25">
      <c r="A472" t="s">
        <v>68</v>
      </c>
      <c r="B472" t="s">
        <v>70</v>
      </c>
      <c r="C472">
        <v>30</v>
      </c>
      <c r="D472" t="s">
        <v>94</v>
      </c>
      <c r="E472" t="s">
        <v>99</v>
      </c>
      <c r="F472" t="s">
        <v>86</v>
      </c>
      <c r="G472">
        <v>0.12886450678826999</v>
      </c>
      <c r="H472">
        <v>2E+20</v>
      </c>
      <c r="I472">
        <v>0</v>
      </c>
      <c r="J472">
        <v>3</v>
      </c>
      <c r="K472">
        <v>0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Pedido CleintesPreparar orden.QueueNumber WaitingQueue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30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0.17018024099688309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9.5970873240174628E-2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3.5836113017914922E-2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9.0453284135870501E-3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0.39547622058287801</v>
      </c>
      <c r="U472" s="5">
        <f>IF((ContinuousStatsTable[[#This Row],[RepsRequested]]&gt;1),ContinuousStatsTable[[#This Row],[HalfWidth]],ContinuousStatsTable[[#This Row],[BatchMeansHalfWidth]])</f>
        <v>3.5836113017914922E-2</v>
      </c>
    </row>
    <row r="473" spans="1:21" x14ac:dyDescent="0.25">
      <c r="A473" t="s">
        <v>68</v>
      </c>
      <c r="B473" t="s">
        <v>70</v>
      </c>
      <c r="C473">
        <v>30</v>
      </c>
      <c r="D473" t="s">
        <v>100</v>
      </c>
      <c r="E473" t="s">
        <v>101</v>
      </c>
      <c r="F473" t="s">
        <v>102</v>
      </c>
      <c r="G473">
        <v>0.43325312460847998</v>
      </c>
      <c r="H473">
        <v>2E+20</v>
      </c>
      <c r="I473">
        <v>0</v>
      </c>
      <c r="J473">
        <v>1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Pedido CleintesrPreparadorInstantaneous UtilizationResource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30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0.31277577999924699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0.60626731984831705</v>
      </c>
      <c r="U473" s="5">
        <f>IF((ContinuousStatsTable[[#This Row],[RepsRequested]]&gt;1),ContinuousStatsTable[[#This Row],[HalfWidth]],ContinuousStatsTable[[#This Row],[BatchMeansHalfWidth]])</f>
        <v>2.7492927893383642E-2</v>
      </c>
    </row>
    <row r="474" spans="1:21" x14ac:dyDescent="0.25">
      <c r="A474" t="s">
        <v>68</v>
      </c>
      <c r="B474" t="s">
        <v>70</v>
      </c>
      <c r="C474">
        <v>30</v>
      </c>
      <c r="D474" t="s">
        <v>100</v>
      </c>
      <c r="E474" t="s">
        <v>103</v>
      </c>
      <c r="F474" t="s">
        <v>102</v>
      </c>
      <c r="G474">
        <v>0.43325312460847998</v>
      </c>
      <c r="H474">
        <v>2E+20</v>
      </c>
      <c r="I474">
        <v>0</v>
      </c>
      <c r="J474">
        <v>1</v>
      </c>
      <c r="K474">
        <v>0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Pedido CleintesrPreparadorNumber BusyResource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30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0.48891840079317483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7.3627413122013347E-2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2.7492927893383642E-2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0.31277577999924699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0.60626731984831705</v>
      </c>
      <c r="U474" s="5">
        <f>IF((ContinuousStatsTable[[#This Row],[RepsRequested]]&gt;1),ContinuousStatsTable[[#This Row],[HalfWidth]],ContinuousStatsTable[[#This Row],[BatchMeansHalfWidth]])</f>
        <v>2.7492927893383642E-2</v>
      </c>
    </row>
    <row r="475" spans="1:21" x14ac:dyDescent="0.25">
      <c r="A475" t="s">
        <v>68</v>
      </c>
      <c r="B475" t="s">
        <v>70</v>
      </c>
      <c r="C475">
        <v>30</v>
      </c>
      <c r="D475" t="s">
        <v>100</v>
      </c>
      <c r="E475" t="s">
        <v>104</v>
      </c>
      <c r="F475" t="s">
        <v>102</v>
      </c>
      <c r="G475">
        <v>1</v>
      </c>
      <c r="H475">
        <v>2E+20</v>
      </c>
      <c r="I475">
        <v>1</v>
      </c>
      <c r="J475">
        <v>1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Pedido CleintesrPreparadorNumber ScheduledResource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30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1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1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1</v>
      </c>
      <c r="U475" s="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68</v>
      </c>
      <c r="B476" t="s">
        <v>70</v>
      </c>
      <c r="C476">
        <v>30</v>
      </c>
      <c r="D476" t="s">
        <v>105</v>
      </c>
      <c r="E476" t="s">
        <v>101</v>
      </c>
      <c r="F476" t="s">
        <v>102</v>
      </c>
      <c r="G476">
        <v>0.25425656625457099</v>
      </c>
      <c r="H476">
        <v>2E+20</v>
      </c>
      <c r="I476">
        <v>0</v>
      </c>
      <c r="J476">
        <v>1</v>
      </c>
      <c r="K476">
        <v>0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Pedido CleintesrPrimerTrabajadorInstantaneous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30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0.194735973294278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0.35775345817659199</v>
      </c>
      <c r="U476" s="5">
        <f>IF((ContinuousStatsTable[[#This Row],[RepsRequested]]&gt;1),ContinuousStatsTable[[#This Row],[HalfWidth]],ContinuousStatsTable[[#This Row],[BatchMeansHalfWidth]])</f>
        <v>1.6709279991037516E-2</v>
      </c>
    </row>
    <row r="477" spans="1:21" x14ac:dyDescent="0.25">
      <c r="A477" t="s">
        <v>68</v>
      </c>
      <c r="B477" t="s">
        <v>70</v>
      </c>
      <c r="C477">
        <v>30</v>
      </c>
      <c r="D477" t="s">
        <v>105</v>
      </c>
      <c r="E477" t="s">
        <v>103</v>
      </c>
      <c r="F477" t="s">
        <v>102</v>
      </c>
      <c r="G477">
        <v>0.25425656625457099</v>
      </c>
      <c r="H477">
        <v>2E+20</v>
      </c>
      <c r="I477">
        <v>0</v>
      </c>
      <c r="J477">
        <v>1</v>
      </c>
      <c r="K477">
        <v>0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Pedido CleintesrPrimerTrabajadorNumber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30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0.28976365927997022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4.4748273652133699E-2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1.6709279991037516E-2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0.194735973294278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0.35775345817659199</v>
      </c>
      <c r="U477" s="5">
        <f>IF((ContinuousStatsTable[[#This Row],[RepsRequested]]&gt;1),ContinuousStatsTable[[#This Row],[HalfWidth]],ContinuousStatsTable[[#This Row],[BatchMeansHalfWidth]])</f>
        <v>1.6709279991037516E-2</v>
      </c>
    </row>
    <row r="478" spans="1:21" x14ac:dyDescent="0.25">
      <c r="A478" t="s">
        <v>68</v>
      </c>
      <c r="B478" t="s">
        <v>70</v>
      </c>
      <c r="C478">
        <v>30</v>
      </c>
      <c r="D478" t="s">
        <v>105</v>
      </c>
      <c r="E478" t="s">
        <v>104</v>
      </c>
      <c r="F478" t="s">
        <v>102</v>
      </c>
      <c r="G478">
        <v>1</v>
      </c>
      <c r="H478">
        <v>2E+20</v>
      </c>
      <c r="I478">
        <v>1</v>
      </c>
      <c r="J478">
        <v>1</v>
      </c>
      <c r="K478">
        <v>1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Pedido CleintesrPrimerTrabajadorNumber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30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1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1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1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68</v>
      </c>
      <c r="B479" t="s">
        <v>70</v>
      </c>
      <c r="C479">
        <v>30</v>
      </c>
      <c r="D479" t="s">
        <v>106</v>
      </c>
      <c r="E479" t="s">
        <v>101</v>
      </c>
      <c r="F479" t="s">
        <v>102</v>
      </c>
      <c r="G479">
        <v>7.0460595264235801E-2</v>
      </c>
      <c r="H479">
        <v>2E+20</v>
      </c>
      <c r="I479">
        <v>0</v>
      </c>
      <c r="J479">
        <v>1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Pedido CleintesrSegundoTrabajadorInstantaneous UtilizationResource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30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5.3757894868807901E-2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0.103175045984152</v>
      </c>
      <c r="U479" s="5">
        <f>IF((ContinuousStatsTable[[#This Row],[RepsRequested]]&gt;1),ContinuousStatsTable[[#This Row],[HalfWidth]],ContinuousStatsTable[[#This Row],[BatchMeansHalfWidth]])</f>
        <v>4.9031825474871024E-3</v>
      </c>
    </row>
    <row r="480" spans="1:21" x14ac:dyDescent="0.25">
      <c r="A480" t="s">
        <v>68</v>
      </c>
      <c r="B480" t="s">
        <v>70</v>
      </c>
      <c r="C480">
        <v>30</v>
      </c>
      <c r="D480" t="s">
        <v>106</v>
      </c>
      <c r="E480" t="s">
        <v>103</v>
      </c>
      <c r="F480" t="s">
        <v>102</v>
      </c>
      <c r="G480">
        <v>7.0460595264235801E-2</v>
      </c>
      <c r="H480">
        <v>2E+20</v>
      </c>
      <c r="I480">
        <v>0</v>
      </c>
      <c r="J480">
        <v>1</v>
      </c>
      <c r="K480">
        <v>0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Pedido CleintesrSegundoTrabajadorNumber BusyResource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30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8.2588852761398115E-2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1.3130964022328008E-2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4.9031825474871024E-3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5.3757894868807901E-2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0.103175045984152</v>
      </c>
      <c r="U480" s="5">
        <f>IF((ContinuousStatsTable[[#This Row],[RepsRequested]]&gt;1),ContinuousStatsTable[[#This Row],[HalfWidth]],ContinuousStatsTable[[#This Row],[BatchMeansHalfWidth]])</f>
        <v>4.9031825474871024E-3</v>
      </c>
    </row>
    <row r="481" spans="1:21" x14ac:dyDescent="0.25">
      <c r="A481" t="s">
        <v>68</v>
      </c>
      <c r="B481" t="s">
        <v>70</v>
      </c>
      <c r="C481">
        <v>30</v>
      </c>
      <c r="D481" t="s">
        <v>106</v>
      </c>
      <c r="E481" t="s">
        <v>104</v>
      </c>
      <c r="F481" t="s">
        <v>102</v>
      </c>
      <c r="G481">
        <v>1</v>
      </c>
      <c r="H481">
        <v>2E+20</v>
      </c>
      <c r="I481">
        <v>1</v>
      </c>
      <c r="J481">
        <v>1</v>
      </c>
      <c r="K481">
        <v>1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Pedido CleintesrSegundoTrabajadorNumber ScheduledResource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30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1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0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1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1</v>
      </c>
      <c r="U48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481">
    <cfRule type="expression" dxfId="11" priority="9">
      <formula>H2=200000000000000000000</formula>
    </cfRule>
  </conditionalFormatting>
  <conditionalFormatting sqref="H2:H481">
    <cfRule type="expression" dxfId="10" priority="7">
      <formula>H2=300000000000000000000</formula>
    </cfRule>
  </conditionalFormatting>
  <conditionalFormatting sqref="M2:U481">
    <cfRule type="expression" dxfId="9" priority="5">
      <formula>MOD(ROW(),2)=0</formula>
    </cfRule>
  </conditionalFormatting>
  <conditionalFormatting sqref="U2:U48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81 U2:U48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751"/>
  <sheetViews>
    <sheetView workbookViewId="0">
      <selection activeCell="A2" sqref="A2:H31"/>
    </sheetView>
  </sheetViews>
  <sheetFormatPr defaultRowHeight="15" x14ac:dyDescent="0.25"/>
  <cols>
    <col min="1" max="1" width="15.140625" bestFit="1" customWidth="1"/>
    <col min="2" max="2" width="22.28515625" bestFit="1" customWidth="1"/>
    <col min="3" max="3" width="13.28515625" bestFit="1" customWidth="1"/>
    <col min="4" max="4" width="38.8554687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107</v>
      </c>
      <c r="E2" t="s">
        <v>108</v>
      </c>
      <c r="F2" t="s">
        <v>73</v>
      </c>
      <c r="G2">
        <v>78</v>
      </c>
      <c r="H2">
        <v>0</v>
      </c>
      <c r="I2" t="str">
        <f>OutputTable[[#This Row],[ProjectName]]&amp;OutputTable[[#This Row],[Name]]&amp;OutputTable[[#This Row],[Type]]&amp;OutputTable[[#This Row],[Source]]</f>
        <v>Pedido CleintesClientes.NumberInNumber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118.5</v>
      </c>
      <c r="L2" cm="1">
        <f t="array" ref="L2">IFERROR(_xlfn.STDEV.S(IF((OutputTable[GroupByKey]=OutputTable[[#This Row],[GroupByKey]]),(OutputTable[GroupByKey]=OutputTable[[#This Row],[GroupByKey]])*OutputTable[RecordedValue])),0)</f>
        <v>18.009097317936192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2" cm="1">
        <f t="array" ref="O2">MIN(IF((OutputTable[GroupByKey]=OutputTable[[#This Row],[GroupByKey]]),(OutputTable[GroupByKey]=OutputTable[[#This Row],[GroupByKey]])*OutputTable[RecordedValue]))</f>
        <v>78</v>
      </c>
      <c r="P2" cm="1">
        <f t="array" ref="P2">MAX(IF((OutputTable[GroupByKey]=OutputTable[[#This Row],[GroupByKey]]),(OutputTable[GroupByKey]=OutputTable[[#This Row],[GroupByKey]])*OutputTable[RecordedValue]))</f>
        <v>147</v>
      </c>
    </row>
    <row r="3" spans="1:16" x14ac:dyDescent="0.25">
      <c r="A3" t="s">
        <v>68</v>
      </c>
      <c r="B3" t="s">
        <v>70</v>
      </c>
      <c r="C3">
        <v>1</v>
      </c>
      <c r="D3" t="s">
        <v>109</v>
      </c>
      <c r="E3" t="s">
        <v>110</v>
      </c>
      <c r="F3" t="s">
        <v>73</v>
      </c>
      <c r="G3">
        <v>72</v>
      </c>
      <c r="H3">
        <v>0</v>
      </c>
      <c r="I3" t="str">
        <f>OutputTable[[#This Row],[ProjectName]]&amp;OutputTable[[#This Row],[Name]]&amp;OutputTable[[#This Row],[Type]]&amp;OutputTable[[#This Row],[Source]]</f>
        <v>Pedido CleintesClientes.NumberOutNumber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116.6</v>
      </c>
      <c r="L3" cm="1">
        <f t="array" ref="L3">IFERROR(_xlfn.STDEV.S(IF((OutputTable[GroupByKey]=OutputTable[[#This Row],[GroupByKey]]),(OutputTable[GroupByKey]=OutputTable[[#This Row],[GroupByKey]])*OutputTable[RecordedValue])),0)</f>
        <v>18.252255410940514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3" cm="1">
        <f t="array" ref="O3">MIN(IF((OutputTable[GroupByKey]=OutputTable[[#This Row],[GroupByKey]]),(OutputTable[GroupByKey]=OutputTable[[#This Row],[GroupByKey]])*OutputTable[RecordedValue]))</f>
        <v>72</v>
      </c>
      <c r="P3" cm="1">
        <f t="array" ref="P3">MAX(IF((OutputTable[GroupByKey]=OutputTable[[#This Row],[GroupByKey]]),(OutputTable[GroupByKey]=OutputTable[[#This Row],[GroupByKey]])*OutputTable[RecordedValue]))</f>
        <v>147</v>
      </c>
    </row>
    <row r="4" spans="1:16" x14ac:dyDescent="0.25">
      <c r="A4" t="s">
        <v>68</v>
      </c>
      <c r="B4" t="s">
        <v>70</v>
      </c>
      <c r="C4">
        <v>1</v>
      </c>
      <c r="D4" t="s">
        <v>111</v>
      </c>
      <c r="E4" t="s">
        <v>112</v>
      </c>
      <c r="F4" t="s">
        <v>81</v>
      </c>
      <c r="G4">
        <v>12.812268330404599</v>
      </c>
      <c r="H4">
        <v>0</v>
      </c>
      <c r="I4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19.806808580201274</v>
      </c>
      <c r="L4" cm="1">
        <f t="array" ref="L4">IFERROR(_xlfn.STDEV.S(IF((OutputTable[GroupByKey]=OutputTable[[#This Row],[GroupByKey]]),(OutputTable[GroupByKey]=OutputTable[[#This Row],[GroupByKey]])*OutputTable[RecordedValue])),0)</f>
        <v>3.1624794742170024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4" cm="1">
        <f t="array" ref="O4">MIN(IF((OutputTable[GroupByKey]=OutputTable[[#This Row],[GroupByKey]]),(OutputTable[GroupByKey]=OutputTable[[#This Row],[GroupByKey]])*OutputTable[RecordedValue]))</f>
        <v>12.812268330404599</v>
      </c>
      <c r="P4" cm="1">
        <f t="array" ref="P4">MAX(IF((OutputTable[GroupByKey]=OutputTable[[#This Row],[GroupByKey]]),(OutputTable[GroupByKey]=OutputTable[[#This Row],[GroupByKey]])*OutputTable[RecordedValue]))</f>
        <v>24.762011036196501</v>
      </c>
    </row>
    <row r="5" spans="1:16" x14ac:dyDescent="0.25">
      <c r="A5" t="s">
        <v>68</v>
      </c>
      <c r="B5" t="s">
        <v>70</v>
      </c>
      <c r="C5">
        <v>1</v>
      </c>
      <c r="D5" t="s">
        <v>113</v>
      </c>
      <c r="E5" t="s">
        <v>114</v>
      </c>
      <c r="F5" t="s">
        <v>81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68</v>
      </c>
      <c r="B6" t="s">
        <v>70</v>
      </c>
      <c r="C6">
        <v>1</v>
      </c>
      <c r="D6" t="s">
        <v>115</v>
      </c>
      <c r="E6" t="s">
        <v>108</v>
      </c>
      <c r="F6" t="s">
        <v>81</v>
      </c>
      <c r="G6">
        <v>25</v>
      </c>
      <c r="H6">
        <v>0</v>
      </c>
      <c r="I6" t="str">
        <f>OutputTable[[#This Row],[ProjectName]]&amp;OutputTable[[#This Row],[Name]]&amp;OutputTable[[#This Row],[Type]]&amp;OutputTable[[#This Row],[Source]]</f>
        <v>Pedido CleintesEmpaque de pedidos Number InNumber InProcess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38.93333333333333</v>
      </c>
      <c r="L6" cm="1">
        <f t="array" ref="L6">IFERROR(_xlfn.STDEV.S(IF((OutputTable[GroupByKey]=OutputTable[[#This Row],[GroupByKey]]),(OutputTable[GroupByKey]=OutputTable[[#This Row],[GroupByKey]])*OutputTable[RecordedValue])),0)</f>
        <v>5.9765826548191505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" cm="1">
        <f t="array" ref="O6">MIN(IF((OutputTable[GroupByKey]=OutputTable[[#This Row],[GroupByKey]]),(OutputTable[GroupByKey]=OutputTable[[#This Row],[GroupByKey]])*OutputTable[RecordedValue]))</f>
        <v>25</v>
      </c>
      <c r="P6" cm="1">
        <f t="array" ref="P6">MAX(IF((OutputTable[GroupByKey]=OutputTable[[#This Row],[GroupByKey]]),(OutputTable[GroupByKey]=OutputTable[[#This Row],[GroupByKey]])*OutputTable[RecordedValue]))</f>
        <v>49</v>
      </c>
    </row>
    <row r="7" spans="1:16" x14ac:dyDescent="0.25">
      <c r="A7" t="s">
        <v>68</v>
      </c>
      <c r="B7" t="s">
        <v>70</v>
      </c>
      <c r="C7">
        <v>1</v>
      </c>
      <c r="D7" t="s">
        <v>116</v>
      </c>
      <c r="E7" t="s">
        <v>110</v>
      </c>
      <c r="F7" t="s">
        <v>81</v>
      </c>
      <c r="G7">
        <v>24</v>
      </c>
      <c r="H7">
        <v>0</v>
      </c>
      <c r="I7" t="str">
        <f>OutputTable[[#This Row],[ProjectName]]&amp;OutputTable[[#This Row],[Name]]&amp;OutputTable[[#This Row],[Type]]&amp;OutputTable[[#This Row],[Source]]</f>
        <v>Pedido CleintesEmpaque de pedidos Number OutNumber OutProcess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38.866666666666667</v>
      </c>
      <c r="L7" cm="1">
        <f t="array" ref="L7">IFERROR(_xlfn.STDEV.S(IF((OutputTable[GroupByKey]=OutputTable[[#This Row],[GroupByKey]]),(OutputTable[GroupByKey]=OutputTable[[#This Row],[GroupByKey]])*OutputTable[RecordedValue])),0)</f>
        <v>6.0840851369801694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7" cm="1">
        <f t="array" ref="O7">MIN(IF((OutputTable[GroupByKey]=OutputTable[[#This Row],[GroupByKey]]),(OutputTable[GroupByKey]=OutputTable[[#This Row],[GroupByKey]])*OutputTable[RecordedValue]))</f>
        <v>24</v>
      </c>
      <c r="P7" cm="1">
        <f t="array" ref="P7">MAX(IF((OutputTable[GroupByKey]=OutputTable[[#This Row],[GroupByKey]]),(OutputTable[GroupByKey]=OutputTable[[#This Row],[GroupByKey]])*OutputTable[RecordedValue]))</f>
        <v>49</v>
      </c>
    </row>
    <row r="8" spans="1:16" x14ac:dyDescent="0.25">
      <c r="A8" t="s">
        <v>68</v>
      </c>
      <c r="B8" t="s">
        <v>70</v>
      </c>
      <c r="C8">
        <v>1</v>
      </c>
      <c r="D8" t="s">
        <v>117</v>
      </c>
      <c r="E8" t="s">
        <v>112</v>
      </c>
      <c r="F8" t="s">
        <v>81</v>
      </c>
      <c r="G8">
        <v>26.106281767804099</v>
      </c>
      <c r="H8">
        <v>0</v>
      </c>
      <c r="I8" t="str">
        <f>OutputTable[[#This Row],[ProjectName]]&amp;OutputTable[[#This Row],[Name]]&amp;OutputTable[[#This Row],[Type]]&amp;OutputTable[[#This Row],[Source]]</f>
        <v>Pedido CleintesOrdnes Accum VA TimeAccum VA TimeProcess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39.878126992056487</v>
      </c>
      <c r="L8" cm="1">
        <f t="array" ref="L8">IFERROR(_xlfn.STDEV.S(IF((OutputTable[GroupByKey]=OutputTable[[#This Row],[GroupByKey]]),(OutputTable[GroupByKey]=OutputTable[[#This Row],[GroupByKey]])*OutputTable[RecordedValue])),0)</f>
        <v>6.1068580319474277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8" cm="1">
        <f t="array" ref="O8">MIN(IF((OutputTable[GroupByKey]=OutputTable[[#This Row],[GroupByKey]]),(OutputTable[GroupByKey]=OutputTable[[#This Row],[GroupByKey]])*OutputTable[RecordedValue]))</f>
        <v>26.106281767804099</v>
      </c>
      <c r="P8" cm="1">
        <f t="array" ref="P8">MAX(IF((OutputTable[GroupByKey]=OutputTable[[#This Row],[GroupByKey]]),(OutputTable[GroupByKey]=OutputTable[[#This Row],[GroupByKey]])*OutputTable[RecordedValue]))</f>
        <v>48.706388790541098</v>
      </c>
    </row>
    <row r="9" spans="1:16" x14ac:dyDescent="0.25">
      <c r="A9" t="s">
        <v>68</v>
      </c>
      <c r="B9" t="s">
        <v>70</v>
      </c>
      <c r="C9">
        <v>1</v>
      </c>
      <c r="D9" t="s">
        <v>118</v>
      </c>
      <c r="E9" t="s">
        <v>114</v>
      </c>
      <c r="F9" t="s">
        <v>81</v>
      </c>
      <c r="G9">
        <v>1.2884424067637501</v>
      </c>
      <c r="H9">
        <v>0</v>
      </c>
      <c r="I9" t="str">
        <f>OutputTable[[#This Row],[ProjectName]]&amp;OutputTable[[#This Row],[Name]]&amp;OutputTable[[#This Row],[Type]]&amp;OutputTable[[#This Row],[Source]]</f>
        <v>Pedido CleintesOrdnes Accum Wait TimeAccum Wait TimeProcess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7.9804799821754404</v>
      </c>
      <c r="L9" cm="1">
        <f t="array" ref="L9">IFERROR(_xlfn.STDEV.S(IF((OutputTable[GroupByKey]=OutputTable[[#This Row],[GroupByKey]]),(OutputTable[GroupByKey]=OutputTable[[#This Row],[GroupByKey]])*OutputTable[RecordedValue])),0)</f>
        <v>4.8950382198155014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9" cm="1">
        <f t="array" ref="O9">MIN(IF((OutputTable[GroupByKey]=OutputTable[[#This Row],[GroupByKey]]),(OutputTable[GroupByKey]=OutputTable[[#This Row],[GroupByKey]])*OutputTable[RecordedValue]))</f>
        <v>0</v>
      </c>
      <c r="P9" cm="1">
        <f t="array" ref="P9">MAX(IF((OutputTable[GroupByKey]=OutputTable[[#This Row],[GroupByKey]]),(OutputTable[GroupByKey]=OutputTable[[#This Row],[GroupByKey]])*OutputTable[RecordedValue]))</f>
        <v>18.843855117811401</v>
      </c>
    </row>
    <row r="10" spans="1:16" x14ac:dyDescent="0.25">
      <c r="A10" t="s">
        <v>68</v>
      </c>
      <c r="B10" t="s">
        <v>70</v>
      </c>
      <c r="C10">
        <v>1</v>
      </c>
      <c r="D10" t="s">
        <v>119</v>
      </c>
      <c r="E10" t="s">
        <v>108</v>
      </c>
      <c r="F10" t="s">
        <v>81</v>
      </c>
      <c r="G10">
        <v>27</v>
      </c>
      <c r="H10">
        <v>0</v>
      </c>
      <c r="I10" t="str">
        <f>OutputTable[[#This Row],[ProjectName]]&amp;OutputTable[[#This Row],[Name]]&amp;OutputTable[[#This Row],[Type]]&amp;OutputTable[[#This Row],[Source]]</f>
        <v>Pedido CleintesOrdnes Number InNumber InProcess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39.9</v>
      </c>
      <c r="L10" cm="1">
        <f t="array" ref="L10">IFERROR(_xlfn.STDEV.S(IF((OutputTable[GroupByKey]=OutputTable[[#This Row],[GroupByKey]]),(OutputTable[GroupByKey]=OutputTable[[#This Row],[GroupByKey]])*OutputTable[RecordedValue])),0)</f>
        <v>6.0648791101463475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10" cm="1">
        <f t="array" ref="O10">MIN(IF((OutputTable[GroupByKey]=OutputTable[[#This Row],[GroupByKey]]),(OutputTable[GroupByKey]=OutputTable[[#This Row],[GroupByKey]])*OutputTable[RecordedValue]))</f>
        <v>27</v>
      </c>
      <c r="P10" cm="1">
        <f t="array" ref="P10">MAX(IF((OutputTable[GroupByKey]=OutputTable[[#This Row],[GroupByKey]]),(OutputTable[GroupByKey]=OutputTable[[#This Row],[GroupByKey]])*OutputTable[RecordedValue]))</f>
        <v>49</v>
      </c>
    </row>
    <row r="11" spans="1:16" x14ac:dyDescent="0.25">
      <c r="A11" t="s">
        <v>68</v>
      </c>
      <c r="B11" t="s">
        <v>70</v>
      </c>
      <c r="C11">
        <v>1</v>
      </c>
      <c r="D11" t="s">
        <v>120</v>
      </c>
      <c r="E11" t="s">
        <v>110</v>
      </c>
      <c r="F11" t="s">
        <v>81</v>
      </c>
      <c r="G11">
        <v>26</v>
      </c>
      <c r="H11">
        <v>0</v>
      </c>
      <c r="I11" t="str">
        <f>OutputTable[[#This Row],[ProjectName]]&amp;OutputTable[[#This Row],[Name]]&amp;OutputTable[[#This Row],[Type]]&amp;OutputTable[[#This Row],[Source]]</f>
        <v>Pedido CleintesOrdnes Number OutNumber OutProcess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39.666666666666664</v>
      </c>
      <c r="L11" cm="1">
        <f t="array" ref="L11">IFERROR(_xlfn.STDEV.S(IF((OutputTable[GroupByKey]=OutputTable[[#This Row],[GroupByKey]]),(OutputTable[GroupByKey]=OutputTable[[#This Row],[GroupByKey]])*OutputTable[RecordedValue])),0)</f>
        <v>6.0477030882540914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1" cm="1">
        <f t="array" ref="O11">MIN(IF((OutputTable[GroupByKey]=OutputTable[[#This Row],[GroupByKey]]),(OutputTable[GroupByKey]=OutputTable[[#This Row],[GroupByKey]])*OutputTable[RecordedValue]))</f>
        <v>26</v>
      </c>
      <c r="P11" cm="1">
        <f t="array" ref="P11">MAX(IF((OutputTable[GroupByKey]=OutputTable[[#This Row],[GroupByKey]]),(OutputTable[GroupByKey]=OutputTable[[#This Row],[GroupByKey]])*OutputTable[RecordedValue]))</f>
        <v>49</v>
      </c>
    </row>
    <row r="12" spans="1:16" x14ac:dyDescent="0.25">
      <c r="A12" t="s">
        <v>68</v>
      </c>
      <c r="B12" t="s">
        <v>70</v>
      </c>
      <c r="C12">
        <v>1</v>
      </c>
      <c r="D12" t="s">
        <v>121</v>
      </c>
      <c r="E12" t="s">
        <v>112</v>
      </c>
      <c r="F12" t="s">
        <v>81</v>
      </c>
      <c r="G12">
        <v>19.573210250889101</v>
      </c>
      <c r="H12">
        <v>0</v>
      </c>
      <c r="I12" t="str">
        <f>OutputTable[[#This Row],[ProjectName]]&amp;OutputTable[[#This Row],[Name]]&amp;OutputTable[[#This Row],[Type]]&amp;OutputTable[[#This Row],[Source]]</f>
        <v>Pedido CleintesPago Accum VA TimeAccum VA TimeProcess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29.486262713858675</v>
      </c>
      <c r="L12" cm="1">
        <f t="array" ref="L12">IFERROR(_xlfn.STDEV.S(IF((OutputTable[GroupByKey]=OutputTable[[#This Row],[GroupByKey]]),(OutputTable[GroupByKey]=OutputTable[[#This Row],[GroupByKey]])*OutputTable[RecordedValue])),0)</f>
        <v>4.747176664010901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12" cm="1">
        <f t="array" ref="O12">MIN(IF((OutputTable[GroupByKey]=OutputTable[[#This Row],[GroupByKey]]),(OutputTable[GroupByKey]=OutputTable[[#This Row],[GroupByKey]])*OutputTable[RecordedValue]))</f>
        <v>19.573210250889101</v>
      </c>
      <c r="P12" cm="1">
        <f t="array" ref="P12">MAX(IF((OutputTable[GroupByKey]=OutputTable[[#This Row],[GroupByKey]]),(OutputTable[GroupByKey]=OutputTable[[#This Row],[GroupByKey]])*OutputTable[RecordedValue]))</f>
        <v>37.056974462114901</v>
      </c>
    </row>
    <row r="13" spans="1:16" x14ac:dyDescent="0.25">
      <c r="A13" t="s">
        <v>68</v>
      </c>
      <c r="B13" t="s">
        <v>70</v>
      </c>
      <c r="C13">
        <v>1</v>
      </c>
      <c r="D13" t="s">
        <v>122</v>
      </c>
      <c r="E13" t="s">
        <v>114</v>
      </c>
      <c r="F13" t="s">
        <v>81</v>
      </c>
      <c r="G13">
        <v>3.7166415884341499</v>
      </c>
      <c r="H13">
        <v>0</v>
      </c>
      <c r="I13" t="str">
        <f>OutputTable[[#This Row],[ProjectName]]&amp;OutputTable[[#This Row],[Name]]&amp;OutputTable[[#This Row],[Type]]&amp;OutputTable[[#This Row],[Source]]</f>
        <v>Pedido CleintesPago Accum Wait TimeAccum Wait TimeProcess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13.025761997568024</v>
      </c>
      <c r="L13" cm="1">
        <f t="array" ref="L13">IFERROR(_xlfn.STDEV.S(IF((OutputTable[GroupByKey]=OutputTable[[#This Row],[GroupByKey]]),(OutputTable[GroupByKey]=OutputTable[[#This Row],[GroupByKey]])*OutputTable[RecordedValue])),0)</f>
        <v>7.8467935605388783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13" cm="1">
        <f t="array" ref="O13">MIN(IF((OutputTable[GroupByKey]=OutputTable[[#This Row],[GroupByKey]]),(OutputTable[GroupByKey]=OutputTable[[#This Row],[GroupByKey]])*OutputTable[RecordedValue]))</f>
        <v>0</v>
      </c>
      <c r="P13" cm="1">
        <f t="array" ref="P13">MAX(IF((OutputTable[GroupByKey]=OutputTable[[#This Row],[GroupByKey]]),(OutputTable[GroupByKey]=OutputTable[[#This Row],[GroupByKey]])*OutputTable[RecordedValue]))</f>
        <v>32.770863925850499</v>
      </c>
    </row>
    <row r="14" spans="1:16" x14ac:dyDescent="0.25">
      <c r="A14" t="s">
        <v>68</v>
      </c>
      <c r="B14" t="s">
        <v>70</v>
      </c>
      <c r="C14">
        <v>1</v>
      </c>
      <c r="D14" t="s">
        <v>123</v>
      </c>
      <c r="E14" t="s">
        <v>108</v>
      </c>
      <c r="F14" t="s">
        <v>81</v>
      </c>
      <c r="G14">
        <v>26</v>
      </c>
      <c r="H14">
        <v>0</v>
      </c>
      <c r="I14" t="str">
        <f>OutputTable[[#This Row],[ProjectName]]&amp;OutputTable[[#This Row],[Name]]&amp;OutputTable[[#This Row],[Type]]&amp;OutputTable[[#This Row],[Source]]</f>
        <v>Pedido CleintesPago Number InNumber InProcess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39.666666666666664</v>
      </c>
      <c r="L14" cm="1">
        <f t="array" ref="L14">IFERROR(_xlfn.STDEV.S(IF((OutputTable[GroupByKey]=OutputTable[[#This Row],[GroupByKey]]),(OutputTable[GroupByKey]=OutputTable[[#This Row],[GroupByKey]])*OutputTable[RecordedValue])),0)</f>
        <v>6.0477030882540914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4" cm="1">
        <f t="array" ref="O14">MIN(IF((OutputTable[GroupByKey]=OutputTable[[#This Row],[GroupByKey]]),(OutputTable[GroupByKey]=OutputTable[[#This Row],[GroupByKey]])*OutputTable[RecordedValue]))</f>
        <v>26</v>
      </c>
      <c r="P14" cm="1">
        <f t="array" ref="P14">MAX(IF((OutputTable[GroupByKey]=OutputTable[[#This Row],[GroupByKey]]),(OutputTable[GroupByKey]=OutputTable[[#This Row],[GroupByKey]])*OutputTable[RecordedValue]))</f>
        <v>49</v>
      </c>
    </row>
    <row r="15" spans="1:16" x14ac:dyDescent="0.25">
      <c r="A15" t="s">
        <v>68</v>
      </c>
      <c r="B15" t="s">
        <v>70</v>
      </c>
      <c r="C15">
        <v>1</v>
      </c>
      <c r="D15" t="s">
        <v>124</v>
      </c>
      <c r="E15" t="s">
        <v>110</v>
      </c>
      <c r="F15" t="s">
        <v>81</v>
      </c>
      <c r="G15">
        <v>26</v>
      </c>
      <c r="H15">
        <v>0</v>
      </c>
      <c r="I15" t="str">
        <f>OutputTable[[#This Row],[ProjectName]]&amp;OutputTable[[#This Row],[Name]]&amp;OutputTable[[#This Row],[Type]]&amp;OutputTable[[#This Row],[Source]]</f>
        <v>Pedido CleintesPago Number OutNumber OutProcess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39.43333333333333</v>
      </c>
      <c r="L15" cm="1">
        <f t="array" ref="L15">IFERROR(_xlfn.STDEV.S(IF((OutputTable[GroupByKey]=OutputTable[[#This Row],[GroupByKey]]),(OutputTable[GroupByKey]=OutputTable[[#This Row],[GroupByKey]])*OutputTable[RecordedValue])),0)</f>
        <v>5.9171482724502509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15" cm="1">
        <f t="array" ref="O15">MIN(IF((OutputTable[GroupByKey]=OutputTable[[#This Row],[GroupByKey]]),(OutputTable[GroupByKey]=OutputTable[[#This Row],[GroupByKey]])*OutputTable[RecordedValue]))</f>
        <v>26</v>
      </c>
      <c r="P15" cm="1">
        <f t="array" ref="P15">MAX(IF((OutputTable[GroupByKey]=OutputTable[[#This Row],[GroupByKey]]),(OutputTable[GroupByKey]=OutputTable[[#This Row],[GroupByKey]])*OutputTable[RecordedValue]))</f>
        <v>49</v>
      </c>
    </row>
    <row r="16" spans="1:16" x14ac:dyDescent="0.25">
      <c r="A16" t="s">
        <v>68</v>
      </c>
      <c r="B16" t="s">
        <v>70</v>
      </c>
      <c r="C16">
        <v>1</v>
      </c>
      <c r="D16" t="s">
        <v>125</v>
      </c>
      <c r="E16" t="s">
        <v>112</v>
      </c>
      <c r="F16" t="s">
        <v>81</v>
      </c>
      <c r="G16">
        <v>74.976560761710004</v>
      </c>
      <c r="H16">
        <v>0</v>
      </c>
      <c r="I16" t="str">
        <f>OutputTable[[#This Row],[ProjectName]]&amp;OutputTable[[#This Row],[Name]]&amp;OutputTable[[#This Row],[Type]]&amp;OutputTable[[#This Row],[Source]]</f>
        <v>Pedido CleintesPreparar orden Accum VA TimeAccum VA TimeProcess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116.64263458387505</v>
      </c>
      <c r="L16" cm="1">
        <f t="array" ref="L16">IFERROR(_xlfn.STDEV.S(IF((OutputTable[GroupByKey]=OutputTable[[#This Row],[GroupByKey]]),(OutputTable[GroupByKey]=OutputTable[[#This Row],[GroupByKey]])*OutputTable[RecordedValue])),0)</f>
        <v>17.825477946659205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16" cm="1">
        <f t="array" ref="O16">MIN(IF((OutputTable[GroupByKey]=OutputTable[[#This Row],[GroupByKey]]),(OutputTable[GroupByKey]=OutputTable[[#This Row],[GroupByKey]])*OutputTable[RecordedValue]))</f>
        <v>74.976560761710004</v>
      </c>
      <c r="P16" cm="1">
        <f t="array" ref="P16">MAX(IF((OutputTable[GroupByKey]=OutputTable[[#This Row],[GroupByKey]]),(OutputTable[GroupByKey]=OutputTable[[#This Row],[GroupByKey]])*OutputTable[RecordedValue]))</f>
        <v>145.504156763596</v>
      </c>
    </row>
    <row r="17" spans="1:16" x14ac:dyDescent="0.25">
      <c r="A17" t="s">
        <v>68</v>
      </c>
      <c r="B17" t="s">
        <v>70</v>
      </c>
      <c r="C17">
        <v>1</v>
      </c>
      <c r="D17" t="s">
        <v>126</v>
      </c>
      <c r="E17" t="s">
        <v>114</v>
      </c>
      <c r="F17" t="s">
        <v>81</v>
      </c>
      <c r="G17">
        <v>11.0717636169123</v>
      </c>
      <c r="H17">
        <v>0</v>
      </c>
      <c r="I17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39.900972800228722</v>
      </c>
      <c r="L17" cm="1">
        <f t="array" ref="L17">IFERROR(_xlfn.STDEV.S(IF((OutputTable[GroupByKey]=OutputTable[[#This Row],[GroupByKey]]),(OutputTable[GroupByKey]=OutputTable[[#This Row],[GroupByKey]])*OutputTable[RecordedValue])),0)</f>
        <v>22.922906975864144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17" cm="1">
        <f t="array" ref="O17">MIN(IF((OutputTable[GroupByKey]=OutputTable[[#This Row],[GroupByKey]]),(OutputTable[GroupByKey]=OutputTable[[#This Row],[GroupByKey]])*OutputTable[RecordedValue]))</f>
        <v>2.1708788192608899</v>
      </c>
      <c r="P17" cm="1">
        <f t="array" ref="P17">MAX(IF((OutputTable[GroupByKey]=OutputTable[[#This Row],[GroupByKey]]),(OutputTable[GroupByKey]=OutputTable[[#This Row],[GroupByKey]])*OutputTable[RecordedValue]))</f>
        <v>94.9142929398908</v>
      </c>
    </row>
    <row r="18" spans="1:16" x14ac:dyDescent="0.25">
      <c r="A18" t="s">
        <v>68</v>
      </c>
      <c r="B18" t="s">
        <v>70</v>
      </c>
      <c r="C18">
        <v>1</v>
      </c>
      <c r="D18" t="s">
        <v>127</v>
      </c>
      <c r="E18" t="s">
        <v>108</v>
      </c>
      <c r="F18" t="s">
        <v>81</v>
      </c>
      <c r="G18">
        <v>26</v>
      </c>
      <c r="H18">
        <v>0</v>
      </c>
      <c r="I18" t="str">
        <f>OutputTable[[#This Row],[ProjectName]]&amp;OutputTable[[#This Row],[Name]]&amp;OutputTable[[#This Row],[Type]]&amp;OutputTable[[#This Row],[Source]]</f>
        <v>Pedido CleintesPreparar orden Number InNumber InProcess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39.666666666666664</v>
      </c>
      <c r="L18" cm="1">
        <f t="array" ref="L18">IFERROR(_xlfn.STDEV.S(IF((OutputTable[GroupByKey]=OutputTable[[#This Row],[GroupByKey]]),(OutputTable[GroupByKey]=OutputTable[[#This Row],[GroupByKey]])*OutputTable[RecordedValue])),0)</f>
        <v>6.0477030882540914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8" cm="1">
        <f t="array" ref="O18">MIN(IF((OutputTable[GroupByKey]=OutputTable[[#This Row],[GroupByKey]]),(OutputTable[GroupByKey]=OutputTable[[#This Row],[GroupByKey]])*OutputTable[RecordedValue]))</f>
        <v>26</v>
      </c>
      <c r="P18" cm="1">
        <f t="array" ref="P18">MAX(IF((OutputTable[GroupByKey]=OutputTable[[#This Row],[GroupByKey]]),(OutputTable[GroupByKey]=OutputTable[[#This Row],[GroupByKey]])*OutputTable[RecordedValue]))</f>
        <v>49</v>
      </c>
    </row>
    <row r="19" spans="1:16" x14ac:dyDescent="0.25">
      <c r="A19" t="s">
        <v>68</v>
      </c>
      <c r="B19" t="s">
        <v>70</v>
      </c>
      <c r="C19">
        <v>1</v>
      </c>
      <c r="D19" t="s">
        <v>128</v>
      </c>
      <c r="E19" t="s">
        <v>110</v>
      </c>
      <c r="F19" t="s">
        <v>81</v>
      </c>
      <c r="G19">
        <v>25</v>
      </c>
      <c r="H19">
        <v>0</v>
      </c>
      <c r="I19" t="str">
        <f>OutputTable[[#This Row],[ProjectName]]&amp;OutputTable[[#This Row],[Name]]&amp;OutputTable[[#This Row],[Type]]&amp;OutputTable[[#This Row],[Source]]</f>
        <v>Pedido CleintesPreparar orden Number OutNumber OutProcess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38.93333333333333</v>
      </c>
      <c r="L19" cm="1">
        <f t="array" ref="L19">IFERROR(_xlfn.STDEV.S(IF((OutputTable[GroupByKey]=OutputTable[[#This Row],[GroupByKey]]),(OutputTable[GroupByKey]=OutputTable[[#This Row],[GroupByKey]])*OutputTable[RecordedValue])),0)</f>
        <v>5.9765826548191505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9" cm="1">
        <f t="array" ref="O19">MIN(IF((OutputTable[GroupByKey]=OutputTable[[#This Row],[GroupByKey]]),(OutputTable[GroupByKey]=OutputTable[[#This Row],[GroupByKey]])*OutputTable[RecordedValue]))</f>
        <v>25</v>
      </c>
      <c r="P19" cm="1">
        <f t="array" ref="P19">MAX(IF((OutputTable[GroupByKey]=OutputTable[[#This Row],[GroupByKey]]),(OutputTable[GroupByKey]=OutputTable[[#This Row],[GroupByKey]])*OutputTable[RecordedValue]))</f>
        <v>49</v>
      </c>
    </row>
    <row r="20" spans="1:16" x14ac:dyDescent="0.25">
      <c r="A20" t="s">
        <v>68</v>
      </c>
      <c r="B20" t="s">
        <v>70</v>
      </c>
      <c r="C20">
        <v>1</v>
      </c>
      <c r="D20" t="s">
        <v>129</v>
      </c>
      <c r="E20" t="s">
        <v>110</v>
      </c>
      <c r="F20" t="s">
        <v>130</v>
      </c>
      <c r="G20">
        <v>24</v>
      </c>
      <c r="H20">
        <v>0</v>
      </c>
      <c r="I20" t="str">
        <f>OutputTable[[#This Row],[ProjectName]]&amp;OutputTable[[#This Row],[Name]]&amp;OutputTable[[#This Row],[Type]]&amp;OutputTable[[#This Row],[Source]]</f>
        <v>Pedido CleintesSystem.NumberOutNumber OutSystem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38.866666666666667</v>
      </c>
      <c r="L20" cm="1">
        <f t="array" ref="L20">IFERROR(_xlfn.STDEV.S(IF((OutputTable[GroupByKey]=OutputTable[[#This Row],[GroupByKey]]),(OutputTable[GroupByKey]=OutputTable[[#This Row],[GroupByKey]])*OutputTable[RecordedValue])),0)</f>
        <v>6.0840851369801694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0" cm="1">
        <f t="array" ref="O20">MIN(IF((OutputTable[GroupByKey]=OutputTable[[#This Row],[GroupByKey]]),(OutputTable[GroupByKey]=OutputTable[[#This Row],[GroupByKey]])*OutputTable[RecordedValue]))</f>
        <v>24</v>
      </c>
      <c r="P20" cm="1">
        <f t="array" ref="P20">MAX(IF((OutputTable[GroupByKey]=OutputTable[[#This Row],[GroupByKey]]),(OutputTable[GroupByKey]=OutputTable[[#This Row],[GroupByKey]])*OutputTable[RecordedValue]))</f>
        <v>49</v>
      </c>
    </row>
    <row r="21" spans="1:16" x14ac:dyDescent="0.25">
      <c r="A21" t="s">
        <v>68</v>
      </c>
      <c r="B21" t="s">
        <v>70</v>
      </c>
      <c r="C21">
        <v>1</v>
      </c>
      <c r="D21" t="s">
        <v>131</v>
      </c>
      <c r="E21" t="s">
        <v>132</v>
      </c>
      <c r="F21" t="s">
        <v>102</v>
      </c>
      <c r="G21">
        <v>26</v>
      </c>
      <c r="H21">
        <v>0</v>
      </c>
      <c r="I21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39.4</v>
      </c>
      <c r="L21" cm="1">
        <f t="array" ref="L21">IFERROR(_xlfn.STDEV.S(IF((OutputTable[GroupByKey]=OutputTable[[#This Row],[GroupByKey]]),(OutputTable[GroupByKey]=OutputTable[[#This Row],[GroupByKey]])*OutputTable[RecordedValue])),0)</f>
        <v>5.8757244601014422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21" cm="1">
        <f t="array" ref="O21">MIN(IF((OutputTable[GroupByKey]=OutputTable[[#This Row],[GroupByKey]]),(OutputTable[GroupByKey]=OutputTable[[#This Row],[GroupByKey]])*OutputTable[RecordedValue]))</f>
        <v>26</v>
      </c>
      <c r="P21" cm="1">
        <f t="array" ref="P21">MAX(IF((OutputTable[GroupByKey]=OutputTable[[#This Row],[GroupByKey]]),(OutputTable[GroupByKey]=OutputTable[[#This Row],[GroupByKey]])*OutputTable[RecordedValue]))</f>
        <v>49</v>
      </c>
    </row>
    <row r="22" spans="1:16" x14ac:dyDescent="0.25">
      <c r="A22" t="s">
        <v>68</v>
      </c>
      <c r="B22" t="s">
        <v>70</v>
      </c>
      <c r="C22">
        <v>1</v>
      </c>
      <c r="D22" t="s">
        <v>133</v>
      </c>
      <c r="E22" t="s">
        <v>134</v>
      </c>
      <c r="F22" t="s">
        <v>102</v>
      </c>
      <c r="G22">
        <v>0.31277577999924699</v>
      </c>
      <c r="H22">
        <v>0</v>
      </c>
      <c r="I22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0.48891840079317483</v>
      </c>
      <c r="L22" cm="1">
        <f t="array" ref="L22">IFERROR(_xlfn.STDEV.S(IF((OutputTable[GroupByKey]=OutputTable[[#This Row],[GroupByKey]]),(OutputTable[GroupByKey]=OutputTable[[#This Row],[GroupByKey]])*OutputTable[RecordedValue])),0)</f>
        <v>7.3627413122013347E-2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22" cm="1">
        <f t="array" ref="O22">MIN(IF((OutputTable[GroupByKey]=OutputTable[[#This Row],[GroupByKey]]),(OutputTable[GroupByKey]=OutputTable[[#This Row],[GroupByKey]])*OutputTable[RecordedValue]))</f>
        <v>0.31277577999924699</v>
      </c>
      <c r="P22" cm="1">
        <f t="array" ref="P22">MAX(IF((OutputTable[GroupByKey]=OutputTable[[#This Row],[GroupByKey]]),(OutputTable[GroupByKey]=OutputTable[[#This Row],[GroupByKey]])*OutputTable[RecordedValue]))</f>
        <v>0.60626731984831705</v>
      </c>
    </row>
    <row r="23" spans="1:16" x14ac:dyDescent="0.25">
      <c r="A23" t="s">
        <v>68</v>
      </c>
      <c r="B23" t="s">
        <v>70</v>
      </c>
      <c r="C23">
        <v>1</v>
      </c>
      <c r="D23" t="s">
        <v>135</v>
      </c>
      <c r="E23" t="s">
        <v>132</v>
      </c>
      <c r="F23" t="s">
        <v>102</v>
      </c>
      <c r="G23">
        <v>53</v>
      </c>
      <c r="H23">
        <v>0</v>
      </c>
      <c r="I23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79.466666666666669</v>
      </c>
      <c r="L23" cm="1">
        <f t="array" ref="L23">IFERROR(_xlfn.STDEV.S(IF((OutputTable[GroupByKey]=OutputTable[[#This Row],[GroupByKey]]),(OutputTable[GroupByKey]=OutputTable[[#This Row],[GroupByKey]])*OutputTable[RecordedValue])),0)</f>
        <v>12.016463801753446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23" cm="1">
        <f t="array" ref="O23">MIN(IF((OutputTable[GroupByKey]=OutputTable[[#This Row],[GroupByKey]]),(OutputTable[GroupByKey]=OutputTable[[#This Row],[GroupByKey]])*OutputTable[RecordedValue]))</f>
        <v>53</v>
      </c>
      <c r="P23" cm="1">
        <f t="array" ref="P23">MAX(IF((OutputTable[GroupByKey]=OutputTable[[#This Row],[GroupByKey]]),(OutputTable[GroupByKey]=OutputTable[[#This Row],[GroupByKey]])*OutputTable[RecordedValue]))</f>
        <v>98</v>
      </c>
    </row>
    <row r="24" spans="1:16" x14ac:dyDescent="0.25">
      <c r="A24" t="s">
        <v>68</v>
      </c>
      <c r="B24" t="s">
        <v>70</v>
      </c>
      <c r="C24">
        <v>1</v>
      </c>
      <c r="D24" t="s">
        <v>136</v>
      </c>
      <c r="E24" t="s">
        <v>134</v>
      </c>
      <c r="F24" t="s">
        <v>102</v>
      </c>
      <c r="G24">
        <v>0.194735973294278</v>
      </c>
      <c r="H24">
        <v>0</v>
      </c>
      <c r="I24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0.28976365927997022</v>
      </c>
      <c r="L24" cm="1">
        <f t="array" ref="L24">IFERROR(_xlfn.STDEV.S(IF((OutputTable[GroupByKey]=OutputTable[[#This Row],[GroupByKey]]),(OutputTable[GroupByKey]=OutputTable[[#This Row],[GroupByKey]])*OutputTable[RecordedValue])),0)</f>
        <v>4.4748273652133699E-2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24" cm="1">
        <f t="array" ref="O24">MIN(IF((OutputTable[GroupByKey]=OutputTable[[#This Row],[GroupByKey]]),(OutputTable[GroupByKey]=OutputTable[[#This Row],[GroupByKey]])*OutputTable[RecordedValue]))</f>
        <v>0.194735973294278</v>
      </c>
      <c r="P24" cm="1">
        <f t="array" ref="P24">MAX(IF((OutputTable[GroupByKey]=OutputTable[[#This Row],[GroupByKey]]),(OutputTable[GroupByKey]=OutputTable[[#This Row],[GroupByKey]])*OutputTable[RecordedValue]))</f>
        <v>0.35775345817659199</v>
      </c>
    </row>
    <row r="25" spans="1:16" x14ac:dyDescent="0.25">
      <c r="A25" t="s">
        <v>68</v>
      </c>
      <c r="B25" t="s">
        <v>70</v>
      </c>
      <c r="C25">
        <v>1</v>
      </c>
      <c r="D25" t="s">
        <v>137</v>
      </c>
      <c r="E25" t="s">
        <v>132</v>
      </c>
      <c r="F25" t="s">
        <v>102</v>
      </c>
      <c r="G25">
        <v>25</v>
      </c>
      <c r="H25">
        <v>0</v>
      </c>
      <c r="I2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38.93333333333333</v>
      </c>
      <c r="L25" cm="1">
        <f t="array" ref="L25">IFERROR(_xlfn.STDEV.S(IF((OutputTable[GroupByKey]=OutputTable[[#This Row],[GroupByKey]]),(OutputTable[GroupByKey]=OutputTable[[#This Row],[GroupByKey]])*OutputTable[RecordedValue])),0)</f>
        <v>5.9765826548191505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5" cm="1">
        <f t="array" ref="O25">MIN(IF((OutputTable[GroupByKey]=OutputTable[[#This Row],[GroupByKey]]),(OutputTable[GroupByKey]=OutputTable[[#This Row],[GroupByKey]])*OutputTable[RecordedValue]))</f>
        <v>25</v>
      </c>
      <c r="P25" cm="1">
        <f t="array" ref="P25">MAX(IF((OutputTable[GroupByKey]=OutputTable[[#This Row],[GroupByKey]]),(OutputTable[GroupByKey]=OutputTable[[#This Row],[GroupByKey]])*OutputTable[RecordedValue]))</f>
        <v>49</v>
      </c>
    </row>
    <row r="26" spans="1:16" x14ac:dyDescent="0.25">
      <c r="A26" t="s">
        <v>68</v>
      </c>
      <c r="B26" t="s">
        <v>70</v>
      </c>
      <c r="C26">
        <v>1</v>
      </c>
      <c r="D26" t="s">
        <v>138</v>
      </c>
      <c r="E26" t="s">
        <v>134</v>
      </c>
      <c r="F26" t="s">
        <v>102</v>
      </c>
      <c r="G26">
        <v>5.3757894868807901E-2</v>
      </c>
      <c r="H26">
        <v>0</v>
      </c>
      <c r="I26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8.2588852761398115E-2</v>
      </c>
      <c r="L26" cm="1">
        <f t="array" ref="L26">IFERROR(_xlfn.STDEV.S(IF((OutputTable[GroupByKey]=OutputTable[[#This Row],[GroupByKey]]),(OutputTable[GroupByKey]=OutputTable[[#This Row],[GroupByKey]])*OutputTable[RecordedValue])),0)</f>
        <v>1.3130964022328008E-2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26" cm="1">
        <f t="array" ref="O26">MIN(IF((OutputTable[GroupByKey]=OutputTable[[#This Row],[GroupByKey]]),(OutputTable[GroupByKey]=OutputTable[[#This Row],[GroupByKey]])*OutputTable[RecordedValue]))</f>
        <v>5.3757894868807901E-2</v>
      </c>
      <c r="P26" cm="1">
        <f t="array" ref="P26">MAX(IF((OutputTable[GroupByKey]=OutputTable[[#This Row],[GroupByKey]]),(OutputTable[GroupByKey]=OutputTable[[#This Row],[GroupByKey]])*OutputTable[RecordedValue]))</f>
        <v>0.103175045984152</v>
      </c>
    </row>
    <row r="27" spans="1:16" x14ac:dyDescent="0.25">
      <c r="A27" t="s">
        <v>68</v>
      </c>
      <c r="B27" t="s">
        <v>70</v>
      </c>
      <c r="C27">
        <v>2</v>
      </c>
      <c r="D27" t="s">
        <v>107</v>
      </c>
      <c r="E27" t="s">
        <v>108</v>
      </c>
      <c r="F27" t="s">
        <v>73</v>
      </c>
      <c r="G27">
        <v>123</v>
      </c>
      <c r="H27">
        <v>0</v>
      </c>
      <c r="I27" t="str">
        <f>OutputTable[[#This Row],[ProjectName]]&amp;OutputTable[[#This Row],[Name]]&amp;OutputTable[[#This Row],[Type]]&amp;OutputTable[[#This Row],[Source]]</f>
        <v>Pedido CleintesClientes.NumberInNumber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118.5</v>
      </c>
      <c r="L27" cm="1">
        <f t="array" ref="L27">IFERROR(_xlfn.STDEV.S(IF((OutputTable[GroupByKey]=OutputTable[[#This Row],[GroupByKey]]),(OutputTable[GroupByKey]=OutputTable[[#This Row],[GroupByKey]])*OutputTable[RecordedValue])),0)</f>
        <v>18.009097317936192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27" cm="1">
        <f t="array" ref="O27">MIN(IF((OutputTable[GroupByKey]=OutputTable[[#This Row],[GroupByKey]]),(OutputTable[GroupByKey]=OutputTable[[#This Row],[GroupByKey]])*OutputTable[RecordedValue]))</f>
        <v>78</v>
      </c>
      <c r="P27" cm="1">
        <f t="array" ref="P27">MAX(IF((OutputTable[GroupByKey]=OutputTable[[#This Row],[GroupByKey]]),(OutputTable[GroupByKey]=OutputTable[[#This Row],[GroupByKey]])*OutputTable[RecordedValue]))</f>
        <v>147</v>
      </c>
    </row>
    <row r="28" spans="1:16" x14ac:dyDescent="0.25">
      <c r="A28" t="s">
        <v>68</v>
      </c>
      <c r="B28" t="s">
        <v>70</v>
      </c>
      <c r="C28">
        <v>2</v>
      </c>
      <c r="D28" t="s">
        <v>109</v>
      </c>
      <c r="E28" t="s">
        <v>110</v>
      </c>
      <c r="F28" t="s">
        <v>73</v>
      </c>
      <c r="G28">
        <v>123</v>
      </c>
      <c r="H28">
        <v>0</v>
      </c>
      <c r="I28" t="str">
        <f>OutputTable[[#This Row],[ProjectName]]&amp;OutputTable[[#This Row],[Name]]&amp;OutputTable[[#This Row],[Type]]&amp;OutputTable[[#This Row],[Source]]</f>
        <v>Pedido CleintesClientes.NumberOutNumber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116.6</v>
      </c>
      <c r="L28" cm="1">
        <f t="array" ref="L28">IFERROR(_xlfn.STDEV.S(IF((OutputTable[GroupByKey]=OutputTable[[#This Row],[GroupByKey]]),(OutputTable[GroupByKey]=OutputTable[[#This Row],[GroupByKey]])*OutputTable[RecordedValue])),0)</f>
        <v>18.252255410940514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28" cm="1">
        <f t="array" ref="O28">MIN(IF((OutputTable[GroupByKey]=OutputTable[[#This Row],[GroupByKey]]),(OutputTable[GroupByKey]=OutputTable[[#This Row],[GroupByKey]])*OutputTable[RecordedValue]))</f>
        <v>72</v>
      </c>
      <c r="P28" cm="1">
        <f t="array" ref="P28">MAX(IF((OutputTable[GroupByKey]=OutputTable[[#This Row],[GroupByKey]]),(OutputTable[GroupByKey]=OutputTable[[#This Row],[GroupByKey]])*OutputTable[RecordedValue]))</f>
        <v>147</v>
      </c>
    </row>
    <row r="29" spans="1:16" x14ac:dyDescent="0.25">
      <c r="A29" t="s">
        <v>68</v>
      </c>
      <c r="B29" t="s">
        <v>70</v>
      </c>
      <c r="C29">
        <v>2</v>
      </c>
      <c r="D29" t="s">
        <v>111</v>
      </c>
      <c r="E29" t="s">
        <v>112</v>
      </c>
      <c r="F29" t="s">
        <v>81</v>
      </c>
      <c r="G29">
        <v>20.832465413433301</v>
      </c>
      <c r="H29">
        <v>0</v>
      </c>
      <c r="I29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19.806808580201274</v>
      </c>
      <c r="L29" cm="1">
        <f t="array" ref="L29">IFERROR(_xlfn.STDEV.S(IF((OutputTable[GroupByKey]=OutputTable[[#This Row],[GroupByKey]]),(OutputTable[GroupByKey]=OutputTable[[#This Row],[GroupByKey]])*OutputTable[RecordedValue])),0)</f>
        <v>3.1624794742170024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29" cm="1">
        <f t="array" ref="O29">MIN(IF((OutputTable[GroupByKey]=OutputTable[[#This Row],[GroupByKey]]),(OutputTable[GroupByKey]=OutputTable[[#This Row],[GroupByKey]])*OutputTable[RecordedValue]))</f>
        <v>12.812268330404599</v>
      </c>
      <c r="P29" cm="1">
        <f t="array" ref="P29">MAX(IF((OutputTable[GroupByKey]=OutputTable[[#This Row],[GroupByKey]]),(OutputTable[GroupByKey]=OutputTable[[#This Row],[GroupByKey]])*OutputTable[RecordedValue]))</f>
        <v>24.762011036196501</v>
      </c>
    </row>
    <row r="30" spans="1:16" x14ac:dyDescent="0.25">
      <c r="A30" t="s">
        <v>68</v>
      </c>
      <c r="B30" t="s">
        <v>70</v>
      </c>
      <c r="C30">
        <v>2</v>
      </c>
      <c r="D30" t="s">
        <v>113</v>
      </c>
      <c r="E30" t="s">
        <v>114</v>
      </c>
      <c r="F30" t="s">
        <v>81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0</v>
      </c>
      <c r="P30" cm="1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68</v>
      </c>
      <c r="B31" t="s">
        <v>70</v>
      </c>
      <c r="C31">
        <v>2</v>
      </c>
      <c r="D31" t="s">
        <v>115</v>
      </c>
      <c r="E31" t="s">
        <v>108</v>
      </c>
      <c r="F31" t="s">
        <v>81</v>
      </c>
      <c r="G31">
        <v>41</v>
      </c>
      <c r="H31">
        <v>0</v>
      </c>
      <c r="I31" t="str">
        <f>OutputTable[[#This Row],[ProjectName]]&amp;OutputTable[[#This Row],[Name]]&amp;OutputTable[[#This Row],[Type]]&amp;OutputTable[[#This Row],[Source]]</f>
        <v>Pedido CleintesEmpaque de pedidos Number InNumber InProcess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38.93333333333333</v>
      </c>
      <c r="L31" cm="1">
        <f t="array" ref="L31">IFERROR(_xlfn.STDEV.S(IF((OutputTable[GroupByKey]=OutputTable[[#This Row],[GroupByKey]]),(OutputTable[GroupByKey]=OutputTable[[#This Row],[GroupByKey]])*OutputTable[RecordedValue])),0)</f>
        <v>5.9765826548191505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1" cm="1">
        <f t="array" ref="O31">MIN(IF((OutputTable[GroupByKey]=OutputTable[[#This Row],[GroupByKey]]),(OutputTable[GroupByKey]=OutputTable[[#This Row],[GroupByKey]])*OutputTable[RecordedValue]))</f>
        <v>25</v>
      </c>
      <c r="P31" cm="1">
        <f t="array" ref="P31">MAX(IF((OutputTable[GroupByKey]=OutputTable[[#This Row],[GroupByKey]]),(OutputTable[GroupByKey]=OutputTable[[#This Row],[GroupByKey]])*OutputTable[RecordedValue]))</f>
        <v>49</v>
      </c>
    </row>
    <row r="32" spans="1:16" x14ac:dyDescent="0.25">
      <c r="A32" t="s">
        <v>68</v>
      </c>
      <c r="B32" t="s">
        <v>70</v>
      </c>
      <c r="C32">
        <v>2</v>
      </c>
      <c r="D32" t="s">
        <v>116</v>
      </c>
      <c r="E32" t="s">
        <v>110</v>
      </c>
      <c r="F32" t="s">
        <v>81</v>
      </c>
      <c r="G32">
        <v>41</v>
      </c>
      <c r="H32">
        <v>0</v>
      </c>
      <c r="I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s="5" cm="1">
        <f t="array" ref="K32">IFERROR(AVERAGE(IF((OutputTable[GroupByKey]=OutputTable[[#This Row],[GroupByKey]]),(OutputTable[GroupByKey]=OutputTable[[#This Row],[GroupByKey]])*OutputTable[RecordedValue])),0)</f>
        <v>38.866666666666667</v>
      </c>
      <c r="L32" s="5" cm="1">
        <f t="array" ref="L32">IFERROR(_xlfn.STDEV.S(IF((OutputTable[GroupByKey]=OutputTable[[#This Row],[GroupByKey]]),(OutputTable[GroupByKey]=OutputTable[[#This Row],[GroupByKey]])*OutputTable[RecordedValue])),0)</f>
        <v>6.0840851369801694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2" s="5" cm="1">
        <f t="array" ref="O32">MIN(IF((OutputTable[GroupByKey]=OutputTable[[#This Row],[GroupByKey]]),(OutputTable[GroupByKey]=OutputTable[[#This Row],[GroupByKey]])*OutputTable[RecordedValue]))</f>
        <v>24</v>
      </c>
      <c r="P32" s="5" cm="1">
        <f t="array" ref="P32">MAX(IF((OutputTable[GroupByKey]=OutputTable[[#This Row],[GroupByKey]]),(OutputTable[GroupByKey]=OutputTable[[#This Row],[GroupByKey]])*OutputTable[RecordedValue]))</f>
        <v>49</v>
      </c>
    </row>
    <row r="33" spans="1:16" x14ac:dyDescent="0.25">
      <c r="A33" t="s">
        <v>68</v>
      </c>
      <c r="B33" t="s">
        <v>70</v>
      </c>
      <c r="C33">
        <v>2</v>
      </c>
      <c r="D33" t="s">
        <v>117</v>
      </c>
      <c r="E33" t="s">
        <v>112</v>
      </c>
      <c r="F33" t="s">
        <v>81</v>
      </c>
      <c r="G33">
        <v>42.570295271275597</v>
      </c>
      <c r="H33">
        <v>0</v>
      </c>
      <c r="I33" s="5" t="str">
        <f>OutputTable[[#This Row],[ProjectName]]&amp;OutputTable[[#This Row],[Name]]&amp;OutputTable[[#This Row],[Type]]&amp;OutputTable[[#This Row],[Source]]</f>
        <v>Pedido CleintesOrdnes Accum VA TimeAccum VA TimeProcess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s="5" cm="1">
        <f t="array" ref="K33">IFERROR(AVERAGE(IF((OutputTable[GroupByKey]=OutputTable[[#This Row],[GroupByKey]]),(OutputTable[GroupByKey]=OutputTable[[#This Row],[GroupByKey]])*OutputTable[RecordedValue])),0)</f>
        <v>39.878126992056487</v>
      </c>
      <c r="L33" s="5" cm="1">
        <f t="array" ref="L33">IFERROR(_xlfn.STDEV.S(IF((OutputTable[GroupByKey]=OutputTable[[#This Row],[GroupByKey]]),(OutputTable[GroupByKey]=OutputTable[[#This Row],[GroupByKey]])*OutputTable[RecordedValue])),0)</f>
        <v>6.1068580319474277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33" s="5" cm="1">
        <f t="array" ref="O33">MIN(IF((OutputTable[GroupByKey]=OutputTable[[#This Row],[GroupByKey]]),(OutputTable[GroupByKey]=OutputTable[[#This Row],[GroupByKey]])*OutputTable[RecordedValue]))</f>
        <v>26.106281767804099</v>
      </c>
      <c r="P33" s="5" cm="1">
        <f t="array" ref="P33">MAX(IF((OutputTable[GroupByKey]=OutputTable[[#This Row],[GroupByKey]]),(OutputTable[GroupByKey]=OutputTable[[#This Row],[GroupByKey]])*OutputTable[RecordedValue]))</f>
        <v>48.706388790541098</v>
      </c>
    </row>
    <row r="34" spans="1:16" x14ac:dyDescent="0.25">
      <c r="A34" t="s">
        <v>68</v>
      </c>
      <c r="B34" t="s">
        <v>70</v>
      </c>
      <c r="C34">
        <v>2</v>
      </c>
      <c r="D34" t="s">
        <v>118</v>
      </c>
      <c r="E34" t="s">
        <v>114</v>
      </c>
      <c r="F34" t="s">
        <v>81</v>
      </c>
      <c r="G34">
        <v>4.74206800024775</v>
      </c>
      <c r="H34">
        <v>0</v>
      </c>
      <c r="I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s="5" cm="1">
        <f t="array" ref="K34">IFERROR(AVERAGE(IF((OutputTable[GroupByKey]=OutputTable[[#This Row],[GroupByKey]]),(OutputTable[GroupByKey]=OutputTable[[#This Row],[GroupByKey]])*OutputTable[RecordedValue])),0)</f>
        <v>7.9804799821754404</v>
      </c>
      <c r="L34" s="5" cm="1">
        <f t="array" ref="L34">IFERROR(_xlfn.STDEV.S(IF((OutputTable[GroupByKey]=OutputTable[[#This Row],[GroupByKey]]),(OutputTable[GroupByKey]=OutputTable[[#This Row],[GroupByKey]])*OutputTable[RecordedValue])),0)</f>
        <v>4.8950382198155014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34" s="5" cm="1">
        <f t="array" ref="O34">MIN(IF((OutputTable[GroupByKey]=OutputTable[[#This Row],[GroupByKey]]),(OutputTable[GroupByKey]=OutputTable[[#This Row],[GroupByKey]])*OutputTable[RecordedValue]))</f>
        <v>0</v>
      </c>
      <c r="P34" s="5" cm="1">
        <f t="array" ref="P34">MAX(IF((OutputTable[GroupByKey]=OutputTable[[#This Row],[GroupByKey]]),(OutputTable[GroupByKey]=OutputTable[[#This Row],[GroupByKey]])*OutputTable[RecordedValue]))</f>
        <v>18.843855117811401</v>
      </c>
    </row>
    <row r="35" spans="1:16" x14ac:dyDescent="0.25">
      <c r="A35" t="s">
        <v>68</v>
      </c>
      <c r="B35" t="s">
        <v>70</v>
      </c>
      <c r="C35">
        <v>2</v>
      </c>
      <c r="D35" t="s">
        <v>119</v>
      </c>
      <c r="E35" t="s">
        <v>108</v>
      </c>
      <c r="F35" t="s">
        <v>81</v>
      </c>
      <c r="G35">
        <v>41</v>
      </c>
      <c r="H35">
        <v>0</v>
      </c>
      <c r="I35" s="5" t="str">
        <f>OutputTable[[#This Row],[ProjectName]]&amp;OutputTable[[#This Row],[Name]]&amp;OutputTable[[#This Row],[Type]]&amp;OutputTable[[#This Row],[Source]]</f>
        <v>Pedido CleintesOrdnes Number InNumber InProcess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s="5" cm="1">
        <f t="array" ref="K35">IFERROR(AVERAGE(IF((OutputTable[GroupByKey]=OutputTable[[#This Row],[GroupByKey]]),(OutputTable[GroupByKey]=OutputTable[[#This Row],[GroupByKey]])*OutputTable[RecordedValue])),0)</f>
        <v>39.9</v>
      </c>
      <c r="L35" s="5" cm="1">
        <f t="array" ref="L35">IFERROR(_xlfn.STDEV.S(IF((OutputTable[GroupByKey]=OutputTable[[#This Row],[GroupByKey]]),(OutputTable[GroupByKey]=OutputTable[[#This Row],[GroupByKey]])*OutputTable[RecordedValue])),0)</f>
        <v>6.0648791101463475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35" s="5" cm="1">
        <f t="array" ref="O35">MIN(IF((OutputTable[GroupByKey]=OutputTable[[#This Row],[GroupByKey]]),(OutputTable[GroupByKey]=OutputTable[[#This Row],[GroupByKey]])*OutputTable[RecordedValue]))</f>
        <v>27</v>
      </c>
      <c r="P35" s="5" cm="1">
        <f t="array" ref="P35">MAX(IF((OutputTable[GroupByKey]=OutputTable[[#This Row],[GroupByKey]]),(OutputTable[GroupByKey]=OutputTable[[#This Row],[GroupByKey]])*OutputTable[RecordedValue]))</f>
        <v>49</v>
      </c>
    </row>
    <row r="36" spans="1:16" x14ac:dyDescent="0.25">
      <c r="A36" t="s">
        <v>68</v>
      </c>
      <c r="B36" t="s">
        <v>70</v>
      </c>
      <c r="C36">
        <v>2</v>
      </c>
      <c r="D36" t="s">
        <v>120</v>
      </c>
      <c r="E36" t="s">
        <v>110</v>
      </c>
      <c r="F36" t="s">
        <v>81</v>
      </c>
      <c r="G36">
        <v>41</v>
      </c>
      <c r="H36">
        <v>0</v>
      </c>
      <c r="I36" s="5" t="str">
        <f>OutputTable[[#This Row],[ProjectName]]&amp;OutputTable[[#This Row],[Name]]&amp;OutputTable[[#This Row],[Type]]&amp;OutputTable[[#This Row],[Source]]</f>
        <v>Pedido CleintesOrdnes Number OutNumber OutProcess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s="5" cm="1">
        <f t="array" ref="K36">IFERROR(AVERAGE(IF((OutputTable[GroupByKey]=OutputTable[[#This Row],[GroupByKey]]),(OutputTable[GroupByKey]=OutputTable[[#This Row],[GroupByKey]])*OutputTable[RecordedValue])),0)</f>
        <v>39.666666666666664</v>
      </c>
      <c r="L36" s="5" cm="1">
        <f t="array" ref="L36">IFERROR(_xlfn.STDEV.S(IF((OutputTable[GroupByKey]=OutputTable[[#This Row],[GroupByKey]]),(OutputTable[GroupByKey]=OutputTable[[#This Row],[GroupByKey]])*OutputTable[RecordedValue])),0)</f>
        <v>6.0477030882540914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6" s="5" cm="1">
        <f t="array" ref="O36">MIN(IF((OutputTable[GroupByKey]=OutputTable[[#This Row],[GroupByKey]]),(OutputTable[GroupByKey]=OutputTable[[#This Row],[GroupByKey]])*OutputTable[RecordedValue]))</f>
        <v>26</v>
      </c>
      <c r="P36" s="5" cm="1">
        <f t="array" ref="P36">MAX(IF((OutputTable[GroupByKey]=OutputTable[[#This Row],[GroupByKey]]),(OutputTable[GroupByKey]=OutputTable[[#This Row],[GroupByKey]])*OutputTable[RecordedValue]))</f>
        <v>49</v>
      </c>
    </row>
    <row r="37" spans="1:16" x14ac:dyDescent="0.25">
      <c r="A37" t="s">
        <v>68</v>
      </c>
      <c r="B37" t="s">
        <v>70</v>
      </c>
      <c r="C37">
        <v>2</v>
      </c>
      <c r="D37" t="s">
        <v>121</v>
      </c>
      <c r="E37" t="s">
        <v>112</v>
      </c>
      <c r="F37" t="s">
        <v>81</v>
      </c>
      <c r="G37">
        <v>30.321596947063298</v>
      </c>
      <c r="H37">
        <v>0</v>
      </c>
      <c r="I37" s="5" t="str">
        <f>OutputTable[[#This Row],[ProjectName]]&amp;OutputTable[[#This Row],[Name]]&amp;OutputTable[[#This Row],[Type]]&amp;OutputTable[[#This Row],[Source]]</f>
        <v>Pedido CleintesPago Accum VA TimeAccum VA TimeProcess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s="5" cm="1">
        <f t="array" ref="K37">IFERROR(AVERAGE(IF((OutputTable[GroupByKey]=OutputTable[[#This Row],[GroupByKey]]),(OutputTable[GroupByKey]=OutputTable[[#This Row],[GroupByKey]])*OutputTable[RecordedValue])),0)</f>
        <v>29.486262713858675</v>
      </c>
      <c r="L37" s="5" cm="1">
        <f t="array" ref="L37">IFERROR(_xlfn.STDEV.S(IF((OutputTable[GroupByKey]=OutputTable[[#This Row],[GroupByKey]]),(OutputTable[GroupByKey]=OutputTable[[#This Row],[GroupByKey]])*OutputTable[RecordedValue])),0)</f>
        <v>4.747176664010901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37" s="5" cm="1">
        <f t="array" ref="O37">MIN(IF((OutputTable[GroupByKey]=OutputTable[[#This Row],[GroupByKey]]),(OutputTable[GroupByKey]=OutputTable[[#This Row],[GroupByKey]])*OutputTable[RecordedValue]))</f>
        <v>19.573210250889101</v>
      </c>
      <c r="P37" s="5" cm="1">
        <f t="array" ref="P37">MAX(IF((OutputTable[GroupByKey]=OutputTable[[#This Row],[GroupByKey]]),(OutputTable[GroupByKey]=OutputTable[[#This Row],[GroupByKey]])*OutputTable[RecordedValue]))</f>
        <v>37.056974462114901</v>
      </c>
    </row>
    <row r="38" spans="1:16" x14ac:dyDescent="0.25">
      <c r="A38" t="s">
        <v>68</v>
      </c>
      <c r="B38" t="s">
        <v>70</v>
      </c>
      <c r="C38">
        <v>2</v>
      </c>
      <c r="D38" t="s">
        <v>122</v>
      </c>
      <c r="E38" t="s">
        <v>114</v>
      </c>
      <c r="F38" t="s">
        <v>81</v>
      </c>
      <c r="G38">
        <v>9.5689579585440399</v>
      </c>
      <c r="H38">
        <v>0</v>
      </c>
      <c r="I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s="5" cm="1">
        <f t="array" ref="K38">IFERROR(AVERAGE(IF((OutputTable[GroupByKey]=OutputTable[[#This Row],[GroupByKey]]),(OutputTable[GroupByKey]=OutputTable[[#This Row],[GroupByKey]])*OutputTable[RecordedValue])),0)</f>
        <v>13.025761997568024</v>
      </c>
      <c r="L38" s="5" cm="1">
        <f t="array" ref="L38">IFERROR(_xlfn.STDEV.S(IF((OutputTable[GroupByKey]=OutputTable[[#This Row],[GroupByKey]]),(OutputTable[GroupByKey]=OutputTable[[#This Row],[GroupByKey]])*OutputTable[RecordedValue])),0)</f>
        <v>7.8467935605388783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38" s="5" cm="1">
        <f t="array" ref="O38">MIN(IF((OutputTable[GroupByKey]=OutputTable[[#This Row],[GroupByKey]]),(OutputTable[GroupByKey]=OutputTable[[#This Row],[GroupByKey]])*OutputTable[RecordedValue]))</f>
        <v>0</v>
      </c>
      <c r="P38" s="5" cm="1">
        <f t="array" ref="P38">MAX(IF((OutputTable[GroupByKey]=OutputTable[[#This Row],[GroupByKey]]),(OutputTable[GroupByKey]=OutputTable[[#This Row],[GroupByKey]])*OutputTable[RecordedValue]))</f>
        <v>32.770863925850499</v>
      </c>
    </row>
    <row r="39" spans="1:16" x14ac:dyDescent="0.25">
      <c r="A39" t="s">
        <v>68</v>
      </c>
      <c r="B39" t="s">
        <v>70</v>
      </c>
      <c r="C39">
        <v>2</v>
      </c>
      <c r="D39" t="s">
        <v>123</v>
      </c>
      <c r="E39" t="s">
        <v>108</v>
      </c>
      <c r="F39" t="s">
        <v>81</v>
      </c>
      <c r="G39">
        <v>41</v>
      </c>
      <c r="H39">
        <v>0</v>
      </c>
      <c r="I39" s="5" t="str">
        <f>OutputTable[[#This Row],[ProjectName]]&amp;OutputTable[[#This Row],[Name]]&amp;OutputTable[[#This Row],[Type]]&amp;OutputTable[[#This Row],[Source]]</f>
        <v>Pedido CleintesPago Number InNumber InProcess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s="5" cm="1">
        <f t="array" ref="K39">IFERROR(AVERAGE(IF((OutputTable[GroupByKey]=OutputTable[[#This Row],[GroupByKey]]),(OutputTable[GroupByKey]=OutputTable[[#This Row],[GroupByKey]])*OutputTable[RecordedValue])),0)</f>
        <v>39.666666666666664</v>
      </c>
      <c r="L39" s="5" cm="1">
        <f t="array" ref="L39">IFERROR(_xlfn.STDEV.S(IF((OutputTable[GroupByKey]=OutputTable[[#This Row],[GroupByKey]]),(OutputTable[GroupByKey]=OutputTable[[#This Row],[GroupByKey]])*OutputTable[RecordedValue])),0)</f>
        <v>6.0477030882540914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9" s="5" cm="1">
        <f t="array" ref="O39">MIN(IF((OutputTable[GroupByKey]=OutputTable[[#This Row],[GroupByKey]]),(OutputTable[GroupByKey]=OutputTable[[#This Row],[GroupByKey]])*OutputTable[RecordedValue]))</f>
        <v>26</v>
      </c>
      <c r="P39" s="5" cm="1">
        <f t="array" ref="P39">MAX(IF((OutputTable[GroupByKey]=OutputTable[[#This Row],[GroupByKey]]),(OutputTable[GroupByKey]=OutputTable[[#This Row],[GroupByKey]])*OutputTable[RecordedValue]))</f>
        <v>49</v>
      </c>
    </row>
    <row r="40" spans="1:16" x14ac:dyDescent="0.25">
      <c r="A40" t="s">
        <v>68</v>
      </c>
      <c r="B40" t="s">
        <v>70</v>
      </c>
      <c r="C40">
        <v>2</v>
      </c>
      <c r="D40" t="s">
        <v>124</v>
      </c>
      <c r="E40" t="s">
        <v>110</v>
      </c>
      <c r="F40" t="s">
        <v>81</v>
      </c>
      <c r="G40">
        <v>41</v>
      </c>
      <c r="H40">
        <v>0</v>
      </c>
      <c r="I40" s="5" t="str">
        <f>OutputTable[[#This Row],[ProjectName]]&amp;OutputTable[[#This Row],[Name]]&amp;OutputTable[[#This Row],[Type]]&amp;OutputTable[[#This Row],[Source]]</f>
        <v>Pedido CleintesPago Number OutNumber OutProcess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s="5" cm="1">
        <f t="array" ref="K40">IFERROR(AVERAGE(IF((OutputTable[GroupByKey]=OutputTable[[#This Row],[GroupByKey]]),(OutputTable[GroupByKey]=OutputTable[[#This Row],[GroupByKey]])*OutputTable[RecordedValue])),0)</f>
        <v>39.43333333333333</v>
      </c>
      <c r="L40" s="5" cm="1">
        <f t="array" ref="L40">IFERROR(_xlfn.STDEV.S(IF((OutputTable[GroupByKey]=OutputTable[[#This Row],[GroupByKey]]),(OutputTable[GroupByKey]=OutputTable[[#This Row],[GroupByKey]])*OutputTable[RecordedValue])),0)</f>
        <v>5.9171482724502509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40" s="5" cm="1">
        <f t="array" ref="O40">MIN(IF((OutputTable[GroupByKey]=OutputTable[[#This Row],[GroupByKey]]),(OutputTable[GroupByKey]=OutputTable[[#This Row],[GroupByKey]])*OutputTable[RecordedValue]))</f>
        <v>26</v>
      </c>
      <c r="P40" s="5" cm="1">
        <f t="array" ref="P40">MAX(IF((OutputTable[GroupByKey]=OutputTable[[#This Row],[GroupByKey]]),(OutputTable[GroupByKey]=OutputTable[[#This Row],[GroupByKey]])*OutputTable[RecordedValue]))</f>
        <v>49</v>
      </c>
    </row>
    <row r="41" spans="1:16" x14ac:dyDescent="0.25">
      <c r="A41" t="s">
        <v>68</v>
      </c>
      <c r="B41" t="s">
        <v>70</v>
      </c>
      <c r="C41">
        <v>2</v>
      </c>
      <c r="D41" t="s">
        <v>125</v>
      </c>
      <c r="E41" t="s">
        <v>112</v>
      </c>
      <c r="F41" t="s">
        <v>81</v>
      </c>
      <c r="G41">
        <v>121.910998327518</v>
      </c>
      <c r="H41">
        <v>0</v>
      </c>
      <c r="I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s="5" cm="1">
        <f t="array" ref="K41">IFERROR(AVERAGE(IF((OutputTable[GroupByKey]=OutputTable[[#This Row],[GroupByKey]]),(OutputTable[GroupByKey]=OutputTable[[#This Row],[GroupByKey]])*OutputTable[RecordedValue])),0)</f>
        <v>116.64263458387505</v>
      </c>
      <c r="L41" s="5" cm="1">
        <f t="array" ref="L41">IFERROR(_xlfn.STDEV.S(IF((OutputTable[GroupByKey]=OutputTable[[#This Row],[GroupByKey]]),(OutputTable[GroupByKey]=OutputTable[[#This Row],[GroupByKey]])*OutputTable[RecordedValue])),0)</f>
        <v>17.825477946659205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41" s="5" cm="1">
        <f t="array" ref="O41">MIN(IF((OutputTable[GroupByKey]=OutputTable[[#This Row],[GroupByKey]]),(OutputTable[GroupByKey]=OutputTable[[#This Row],[GroupByKey]])*OutputTable[RecordedValue]))</f>
        <v>74.976560761710004</v>
      </c>
      <c r="P41" s="5" cm="1">
        <f t="array" ref="P41">MAX(IF((OutputTable[GroupByKey]=OutputTable[[#This Row],[GroupByKey]]),(OutputTable[GroupByKey]=OutputTable[[#This Row],[GroupByKey]])*OutputTable[RecordedValue]))</f>
        <v>145.504156763596</v>
      </c>
    </row>
    <row r="42" spans="1:16" x14ac:dyDescent="0.25">
      <c r="A42" t="s">
        <v>68</v>
      </c>
      <c r="B42" t="s">
        <v>70</v>
      </c>
      <c r="C42">
        <v>2</v>
      </c>
      <c r="D42" t="s">
        <v>126</v>
      </c>
      <c r="E42" t="s">
        <v>114</v>
      </c>
      <c r="F42" t="s">
        <v>81</v>
      </c>
      <c r="G42">
        <v>30.244268674839098</v>
      </c>
      <c r="H42">
        <v>0</v>
      </c>
      <c r="I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s="5" cm="1">
        <f t="array" ref="K42">IFERROR(AVERAGE(IF((OutputTable[GroupByKey]=OutputTable[[#This Row],[GroupByKey]]),(OutputTable[GroupByKey]=OutputTable[[#This Row],[GroupByKey]])*OutputTable[RecordedValue])),0)</f>
        <v>39.900972800228722</v>
      </c>
      <c r="L42" s="5" cm="1">
        <f t="array" ref="L42">IFERROR(_xlfn.STDEV.S(IF((OutputTable[GroupByKey]=OutputTable[[#This Row],[GroupByKey]]),(OutputTable[GroupByKey]=OutputTable[[#This Row],[GroupByKey]])*OutputTable[RecordedValue])),0)</f>
        <v>22.922906975864144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42" s="5" cm="1">
        <f t="array" ref="O42">MIN(IF((OutputTable[GroupByKey]=OutputTable[[#This Row],[GroupByKey]]),(OutputTable[GroupByKey]=OutputTable[[#This Row],[GroupByKey]])*OutputTable[RecordedValue]))</f>
        <v>2.1708788192608899</v>
      </c>
      <c r="P42" s="5" cm="1">
        <f t="array" ref="P42">MAX(IF((OutputTable[GroupByKey]=OutputTable[[#This Row],[GroupByKey]]),(OutputTable[GroupByKey]=OutputTable[[#This Row],[GroupByKey]])*OutputTable[RecordedValue]))</f>
        <v>94.9142929398908</v>
      </c>
    </row>
    <row r="43" spans="1:16" x14ac:dyDescent="0.25">
      <c r="A43" t="s">
        <v>68</v>
      </c>
      <c r="B43" t="s">
        <v>70</v>
      </c>
      <c r="C43">
        <v>2</v>
      </c>
      <c r="D43" t="s">
        <v>127</v>
      </c>
      <c r="E43" t="s">
        <v>108</v>
      </c>
      <c r="F43" t="s">
        <v>81</v>
      </c>
      <c r="G43">
        <v>41</v>
      </c>
      <c r="H43">
        <v>0</v>
      </c>
      <c r="I43" s="5" t="str">
        <f>OutputTable[[#This Row],[ProjectName]]&amp;OutputTable[[#This Row],[Name]]&amp;OutputTable[[#This Row],[Type]]&amp;OutputTable[[#This Row],[Source]]</f>
        <v>Pedido CleintesPreparar orden Number InNumber InProcess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s="5" cm="1">
        <f t="array" ref="K43">IFERROR(AVERAGE(IF((OutputTable[GroupByKey]=OutputTable[[#This Row],[GroupByKey]]),(OutputTable[GroupByKey]=OutputTable[[#This Row],[GroupByKey]])*OutputTable[RecordedValue])),0)</f>
        <v>39.666666666666664</v>
      </c>
      <c r="L43" s="5" cm="1">
        <f t="array" ref="L43">IFERROR(_xlfn.STDEV.S(IF((OutputTable[GroupByKey]=OutputTable[[#This Row],[GroupByKey]]),(OutputTable[GroupByKey]=OutputTable[[#This Row],[GroupByKey]])*OutputTable[RecordedValue])),0)</f>
        <v>6.0477030882540914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3" s="5" cm="1">
        <f t="array" ref="O43">MIN(IF((OutputTable[GroupByKey]=OutputTable[[#This Row],[GroupByKey]]),(OutputTable[GroupByKey]=OutputTable[[#This Row],[GroupByKey]])*OutputTable[RecordedValue]))</f>
        <v>26</v>
      </c>
      <c r="P43" s="5" cm="1">
        <f t="array" ref="P43">MAX(IF((OutputTable[GroupByKey]=OutputTable[[#This Row],[GroupByKey]]),(OutputTable[GroupByKey]=OutputTable[[#This Row],[GroupByKey]])*OutputTable[RecordedValue]))</f>
        <v>49</v>
      </c>
    </row>
    <row r="44" spans="1:16" x14ac:dyDescent="0.25">
      <c r="A44" t="s">
        <v>68</v>
      </c>
      <c r="B44" t="s">
        <v>70</v>
      </c>
      <c r="C44">
        <v>2</v>
      </c>
      <c r="D44" t="s">
        <v>128</v>
      </c>
      <c r="E44" t="s">
        <v>110</v>
      </c>
      <c r="F44" t="s">
        <v>81</v>
      </c>
      <c r="G44">
        <v>41</v>
      </c>
      <c r="H44">
        <v>0</v>
      </c>
      <c r="I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s="5" cm="1">
        <f t="array" ref="K44">IFERROR(AVERAGE(IF((OutputTable[GroupByKey]=OutputTable[[#This Row],[GroupByKey]]),(OutputTable[GroupByKey]=OutputTable[[#This Row],[GroupByKey]])*OutputTable[RecordedValue])),0)</f>
        <v>38.93333333333333</v>
      </c>
      <c r="L44" s="5" cm="1">
        <f t="array" ref="L44">IFERROR(_xlfn.STDEV.S(IF((OutputTable[GroupByKey]=OutputTable[[#This Row],[GroupByKey]]),(OutputTable[GroupByKey]=OutputTable[[#This Row],[GroupByKey]])*OutputTable[RecordedValue])),0)</f>
        <v>5.9765826548191505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4" s="5" cm="1">
        <f t="array" ref="O44">MIN(IF((OutputTable[GroupByKey]=OutputTable[[#This Row],[GroupByKey]]),(OutputTable[GroupByKey]=OutputTable[[#This Row],[GroupByKey]])*OutputTable[RecordedValue]))</f>
        <v>25</v>
      </c>
      <c r="P44" s="5" cm="1">
        <f t="array" ref="P44">MAX(IF((OutputTable[GroupByKey]=OutputTable[[#This Row],[GroupByKey]]),(OutputTable[GroupByKey]=OutputTable[[#This Row],[GroupByKey]])*OutputTable[RecordedValue]))</f>
        <v>49</v>
      </c>
    </row>
    <row r="45" spans="1:16" x14ac:dyDescent="0.25">
      <c r="A45" t="s">
        <v>68</v>
      </c>
      <c r="B45" t="s">
        <v>70</v>
      </c>
      <c r="C45">
        <v>2</v>
      </c>
      <c r="D45" t="s">
        <v>129</v>
      </c>
      <c r="E45" t="s">
        <v>110</v>
      </c>
      <c r="F45" t="s">
        <v>130</v>
      </c>
      <c r="G45">
        <v>41</v>
      </c>
      <c r="H45">
        <v>0</v>
      </c>
      <c r="I45" s="5" t="str">
        <f>OutputTable[[#This Row],[ProjectName]]&amp;OutputTable[[#This Row],[Name]]&amp;OutputTable[[#This Row],[Type]]&amp;OutputTable[[#This Row],[Source]]</f>
        <v>Pedido CleintesSystem.NumberOutNumber OutSystem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s="5" cm="1">
        <f t="array" ref="K45">IFERROR(AVERAGE(IF((OutputTable[GroupByKey]=OutputTable[[#This Row],[GroupByKey]]),(OutputTable[GroupByKey]=OutputTable[[#This Row],[GroupByKey]])*OutputTable[RecordedValue])),0)</f>
        <v>38.866666666666667</v>
      </c>
      <c r="L45" s="5" cm="1">
        <f t="array" ref="L45">IFERROR(_xlfn.STDEV.S(IF((OutputTable[GroupByKey]=OutputTable[[#This Row],[GroupByKey]]),(OutputTable[GroupByKey]=OutputTable[[#This Row],[GroupByKey]])*OutputTable[RecordedValue])),0)</f>
        <v>6.0840851369801694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5" s="5" cm="1">
        <f t="array" ref="O45">MIN(IF((OutputTable[GroupByKey]=OutputTable[[#This Row],[GroupByKey]]),(OutputTable[GroupByKey]=OutputTable[[#This Row],[GroupByKey]])*OutputTable[RecordedValue]))</f>
        <v>24</v>
      </c>
      <c r="P45" s="5" cm="1">
        <f t="array" ref="P45">MAX(IF((OutputTable[GroupByKey]=OutputTable[[#This Row],[GroupByKey]]),(OutputTable[GroupByKey]=OutputTable[[#This Row],[GroupByKey]])*OutputTable[RecordedValue]))</f>
        <v>49</v>
      </c>
    </row>
    <row r="46" spans="1:16" x14ac:dyDescent="0.25">
      <c r="A46" t="s">
        <v>68</v>
      </c>
      <c r="B46" t="s">
        <v>70</v>
      </c>
      <c r="C46">
        <v>2</v>
      </c>
      <c r="D46" t="s">
        <v>131</v>
      </c>
      <c r="E46" t="s">
        <v>132</v>
      </c>
      <c r="F46" t="s">
        <v>102</v>
      </c>
      <c r="G46">
        <v>41</v>
      </c>
      <c r="H46">
        <v>0</v>
      </c>
      <c r="I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s="5" cm="1">
        <f t="array" ref="K46">IFERROR(AVERAGE(IF((OutputTable[GroupByKey]=OutputTable[[#This Row],[GroupByKey]]),(OutputTable[GroupByKey]=OutputTable[[#This Row],[GroupByKey]])*OutputTable[RecordedValue])),0)</f>
        <v>39.4</v>
      </c>
      <c r="L46" s="5" cm="1">
        <f t="array" ref="L46">IFERROR(_xlfn.STDEV.S(IF((OutputTable[GroupByKey]=OutputTable[[#This Row],[GroupByKey]]),(OutputTable[GroupByKey]=OutputTable[[#This Row],[GroupByKey]])*OutputTable[RecordedValue])),0)</f>
        <v>5.8757244601014422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46" s="5" cm="1">
        <f t="array" ref="O46">MIN(IF((OutputTable[GroupByKey]=OutputTable[[#This Row],[GroupByKey]]),(OutputTable[GroupByKey]=OutputTable[[#This Row],[GroupByKey]])*OutputTable[RecordedValue]))</f>
        <v>26</v>
      </c>
      <c r="P46" s="5" cm="1">
        <f t="array" ref="P46">MAX(IF((OutputTable[GroupByKey]=OutputTable[[#This Row],[GroupByKey]]),(OutputTable[GroupByKey]=OutputTable[[#This Row],[GroupByKey]])*OutputTable[RecordedValue]))</f>
        <v>49</v>
      </c>
    </row>
    <row r="47" spans="1:16" x14ac:dyDescent="0.25">
      <c r="A47" t="s">
        <v>68</v>
      </c>
      <c r="B47" t="s">
        <v>70</v>
      </c>
      <c r="C47">
        <v>2</v>
      </c>
      <c r="D47" t="s">
        <v>133</v>
      </c>
      <c r="E47" t="s">
        <v>134</v>
      </c>
      <c r="F47" t="s">
        <v>102</v>
      </c>
      <c r="G47">
        <v>0.50796249303132301</v>
      </c>
      <c r="H47">
        <v>0</v>
      </c>
      <c r="I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s="5" cm="1">
        <f t="array" ref="K47">IFERROR(AVERAGE(IF((OutputTable[GroupByKey]=OutputTable[[#This Row],[GroupByKey]]),(OutputTable[GroupByKey]=OutputTable[[#This Row],[GroupByKey]])*OutputTable[RecordedValue])),0)</f>
        <v>0.48891840079317483</v>
      </c>
      <c r="L47" s="5" cm="1">
        <f t="array" ref="L47">IFERROR(_xlfn.STDEV.S(IF((OutputTable[GroupByKey]=OutputTable[[#This Row],[GroupByKey]]),(OutputTable[GroupByKey]=OutputTable[[#This Row],[GroupByKey]])*OutputTable[RecordedValue])),0)</f>
        <v>7.3627413122013347E-2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47" s="5" cm="1">
        <f t="array" ref="O47">MIN(IF((OutputTable[GroupByKey]=OutputTable[[#This Row],[GroupByKey]]),(OutputTable[GroupByKey]=OutputTable[[#This Row],[GroupByKey]])*OutputTable[RecordedValue]))</f>
        <v>0.31277577999924699</v>
      </c>
      <c r="P47" s="5" cm="1">
        <f t="array" ref="P47">MAX(IF((OutputTable[GroupByKey]=OutputTable[[#This Row],[GroupByKey]]),(OutputTable[GroupByKey]=OutputTable[[#This Row],[GroupByKey]])*OutputTable[RecordedValue]))</f>
        <v>0.60626731984831705</v>
      </c>
    </row>
    <row r="48" spans="1:16" x14ac:dyDescent="0.25">
      <c r="A48" t="s">
        <v>68</v>
      </c>
      <c r="B48" t="s">
        <v>70</v>
      </c>
      <c r="C48">
        <v>2</v>
      </c>
      <c r="D48" t="s">
        <v>135</v>
      </c>
      <c r="E48" t="s">
        <v>132</v>
      </c>
      <c r="F48" t="s">
        <v>102</v>
      </c>
      <c r="G48">
        <v>82</v>
      </c>
      <c r="H48">
        <v>0</v>
      </c>
      <c r="I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s="5" cm="1">
        <f t="array" ref="K48">IFERROR(AVERAGE(IF((OutputTable[GroupByKey]=OutputTable[[#This Row],[GroupByKey]]),(OutputTable[GroupByKey]=OutputTable[[#This Row],[GroupByKey]])*OutputTable[RecordedValue])),0)</f>
        <v>79.466666666666669</v>
      </c>
      <c r="L48" s="5" cm="1">
        <f t="array" ref="L48">IFERROR(_xlfn.STDEV.S(IF((OutputTable[GroupByKey]=OutputTable[[#This Row],[GroupByKey]]),(OutputTable[GroupByKey]=OutputTable[[#This Row],[GroupByKey]])*OutputTable[RecordedValue])),0)</f>
        <v>12.016463801753446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48" s="5" cm="1">
        <f t="array" ref="O48">MIN(IF((OutputTable[GroupByKey]=OutputTable[[#This Row],[GroupByKey]]),(OutputTable[GroupByKey]=OutputTable[[#This Row],[GroupByKey]])*OutputTable[RecordedValue]))</f>
        <v>53</v>
      </c>
      <c r="P48" s="5" cm="1">
        <f t="array" ref="P48">MAX(IF((OutputTable[GroupByKey]=OutputTable[[#This Row],[GroupByKey]]),(OutputTable[GroupByKey]=OutputTable[[#This Row],[GroupByKey]])*OutputTable[RecordedValue]))</f>
        <v>98</v>
      </c>
    </row>
    <row r="49" spans="1:16" x14ac:dyDescent="0.25">
      <c r="A49" t="s">
        <v>68</v>
      </c>
      <c r="B49" t="s">
        <v>70</v>
      </c>
      <c r="C49">
        <v>2</v>
      </c>
      <c r="D49" t="s">
        <v>136</v>
      </c>
      <c r="E49" t="s">
        <v>134</v>
      </c>
      <c r="F49" t="s">
        <v>102</v>
      </c>
      <c r="G49">
        <v>0.30371621757641198</v>
      </c>
      <c r="H49">
        <v>0</v>
      </c>
      <c r="I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s="5" cm="1">
        <f t="array" ref="K49">IFERROR(AVERAGE(IF((OutputTable[GroupByKey]=OutputTable[[#This Row],[GroupByKey]]),(OutputTable[GroupByKey]=OutputTable[[#This Row],[GroupByKey]])*OutputTable[RecordedValue])),0)</f>
        <v>0.28976365927997022</v>
      </c>
      <c r="L49" s="5" cm="1">
        <f t="array" ref="L49">IFERROR(_xlfn.STDEV.S(IF((OutputTable[GroupByKey]=OutputTable[[#This Row],[GroupByKey]]),(OutputTable[GroupByKey]=OutputTable[[#This Row],[GroupByKey]])*OutputTable[RecordedValue])),0)</f>
        <v>4.4748273652133699E-2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49" s="5" cm="1">
        <f t="array" ref="O49">MIN(IF((OutputTable[GroupByKey]=OutputTable[[#This Row],[GroupByKey]]),(OutputTable[GroupByKey]=OutputTable[[#This Row],[GroupByKey]])*OutputTable[RecordedValue]))</f>
        <v>0.194735973294278</v>
      </c>
      <c r="P49" s="5" cm="1">
        <f t="array" ref="P49">MAX(IF((OutputTable[GroupByKey]=OutputTable[[#This Row],[GroupByKey]]),(OutputTable[GroupByKey]=OutputTable[[#This Row],[GroupByKey]])*OutputTable[RecordedValue]))</f>
        <v>0.35775345817659199</v>
      </c>
    </row>
    <row r="50" spans="1:16" x14ac:dyDescent="0.25">
      <c r="A50" t="s">
        <v>68</v>
      </c>
      <c r="B50" t="s">
        <v>70</v>
      </c>
      <c r="C50">
        <v>2</v>
      </c>
      <c r="D50" t="s">
        <v>137</v>
      </c>
      <c r="E50" t="s">
        <v>132</v>
      </c>
      <c r="F50" t="s">
        <v>102</v>
      </c>
      <c r="G50">
        <v>41</v>
      </c>
      <c r="H50">
        <v>0</v>
      </c>
      <c r="I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s="5" cm="1">
        <f t="array" ref="K50">IFERROR(AVERAGE(IF((OutputTable[GroupByKey]=OutputTable[[#This Row],[GroupByKey]]),(OutputTable[GroupByKey]=OutputTable[[#This Row],[GroupByKey]])*OutputTable[RecordedValue])),0)</f>
        <v>38.93333333333333</v>
      </c>
      <c r="L50" s="5" cm="1">
        <f t="array" ref="L50">IFERROR(_xlfn.STDEV.S(IF((OutputTable[GroupByKey]=OutputTable[[#This Row],[GroupByKey]]),(OutputTable[GroupByKey]=OutputTable[[#This Row],[GroupByKey]])*OutputTable[RecordedValue])),0)</f>
        <v>5.9765826548191505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0" s="5" cm="1">
        <f t="array" ref="O50">MIN(IF((OutputTable[GroupByKey]=OutputTable[[#This Row],[GroupByKey]]),(OutputTable[GroupByKey]=OutputTable[[#This Row],[GroupByKey]])*OutputTable[RecordedValue]))</f>
        <v>25</v>
      </c>
      <c r="P50" s="5" cm="1">
        <f t="array" ref="P50">MAX(IF((OutputTable[GroupByKey]=OutputTable[[#This Row],[GroupByKey]]),(OutputTable[GroupByKey]=OutputTable[[#This Row],[GroupByKey]])*OutputTable[RecordedValue]))</f>
        <v>49</v>
      </c>
    </row>
    <row r="51" spans="1:16" x14ac:dyDescent="0.25">
      <c r="A51" t="s">
        <v>68</v>
      </c>
      <c r="B51" t="s">
        <v>70</v>
      </c>
      <c r="C51">
        <v>2</v>
      </c>
      <c r="D51" t="s">
        <v>138</v>
      </c>
      <c r="E51" t="s">
        <v>134</v>
      </c>
      <c r="F51" t="s">
        <v>102</v>
      </c>
      <c r="G51">
        <v>8.6801939222638902E-2</v>
      </c>
      <c r="H51">
        <v>0</v>
      </c>
      <c r="I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s="5" cm="1">
        <f t="array" ref="K51">IFERROR(AVERAGE(IF((OutputTable[GroupByKey]=OutputTable[[#This Row],[GroupByKey]]),(OutputTable[GroupByKey]=OutputTable[[#This Row],[GroupByKey]])*OutputTable[RecordedValue])),0)</f>
        <v>8.2588852761398115E-2</v>
      </c>
      <c r="L51" s="5" cm="1">
        <f t="array" ref="L51">IFERROR(_xlfn.STDEV.S(IF((OutputTable[GroupByKey]=OutputTable[[#This Row],[GroupByKey]]),(OutputTable[GroupByKey]=OutputTable[[#This Row],[GroupByKey]])*OutputTable[RecordedValue])),0)</f>
        <v>1.3130964022328008E-2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51" s="5" cm="1">
        <f t="array" ref="O51">MIN(IF((OutputTable[GroupByKey]=OutputTable[[#This Row],[GroupByKey]]),(OutputTable[GroupByKey]=OutputTable[[#This Row],[GroupByKey]])*OutputTable[RecordedValue]))</f>
        <v>5.3757894868807901E-2</v>
      </c>
      <c r="P51" s="5" cm="1">
        <f t="array" ref="P51">MAX(IF((OutputTable[GroupByKey]=OutputTable[[#This Row],[GroupByKey]]),(OutputTable[GroupByKey]=OutputTable[[#This Row],[GroupByKey]])*OutputTable[RecordedValue]))</f>
        <v>0.103175045984152</v>
      </c>
    </row>
    <row r="52" spans="1:16" x14ac:dyDescent="0.25">
      <c r="A52" t="s">
        <v>68</v>
      </c>
      <c r="B52" t="s">
        <v>70</v>
      </c>
      <c r="C52">
        <v>3</v>
      </c>
      <c r="D52" t="s">
        <v>107</v>
      </c>
      <c r="E52" t="s">
        <v>108</v>
      </c>
      <c r="F52" t="s">
        <v>73</v>
      </c>
      <c r="G52">
        <v>141</v>
      </c>
      <c r="H52">
        <v>0</v>
      </c>
      <c r="I52" s="5" t="str">
        <f>OutputTable[[#This Row],[ProjectName]]&amp;OutputTable[[#This Row],[Name]]&amp;OutputTable[[#This Row],[Type]]&amp;OutputTable[[#This Row],[Source]]</f>
        <v>Pedido CleintesClientes.NumberInNumber InEntity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s="5" cm="1">
        <f t="array" ref="K52">IFERROR(AVERAGE(IF((OutputTable[GroupByKey]=OutputTable[[#This Row],[GroupByKey]]),(OutputTable[GroupByKey]=OutputTable[[#This Row],[GroupByKey]])*OutputTable[RecordedValue])),0)</f>
        <v>118.5</v>
      </c>
      <c r="L52" s="5" cm="1">
        <f t="array" ref="L52">IFERROR(_xlfn.STDEV.S(IF((OutputTable[GroupByKey]=OutputTable[[#This Row],[GroupByKey]]),(OutputTable[GroupByKey]=OutputTable[[#This Row],[GroupByKey]])*OutputTable[RecordedValue])),0)</f>
        <v>18.009097317936192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52" s="5" cm="1">
        <f t="array" ref="O52">MIN(IF((OutputTable[GroupByKey]=OutputTable[[#This Row],[GroupByKey]]),(OutputTable[GroupByKey]=OutputTable[[#This Row],[GroupByKey]])*OutputTable[RecordedValue]))</f>
        <v>78</v>
      </c>
      <c r="P52" s="5" cm="1">
        <f t="array" ref="P52">MAX(IF((OutputTable[GroupByKey]=OutputTable[[#This Row],[GroupByKey]]),(OutputTable[GroupByKey]=OutputTable[[#This Row],[GroupByKey]])*OutputTable[RecordedValue]))</f>
        <v>147</v>
      </c>
    </row>
    <row r="53" spans="1:16" x14ac:dyDescent="0.25">
      <c r="A53" t="s">
        <v>68</v>
      </c>
      <c r="B53" t="s">
        <v>70</v>
      </c>
      <c r="C53">
        <v>3</v>
      </c>
      <c r="D53" t="s">
        <v>109</v>
      </c>
      <c r="E53" t="s">
        <v>110</v>
      </c>
      <c r="F53" t="s">
        <v>73</v>
      </c>
      <c r="G53">
        <v>141</v>
      </c>
      <c r="H53">
        <v>0</v>
      </c>
      <c r="I53" s="5" t="str">
        <f>OutputTable[[#This Row],[ProjectName]]&amp;OutputTable[[#This Row],[Name]]&amp;OutputTable[[#This Row],[Type]]&amp;OutputTable[[#This Row],[Source]]</f>
        <v>Pedido CleintesClientes.NumberOutNumber OutEntity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s="5" cm="1">
        <f t="array" ref="K53">IFERROR(AVERAGE(IF((OutputTable[GroupByKey]=OutputTable[[#This Row],[GroupByKey]]),(OutputTable[GroupByKey]=OutputTable[[#This Row],[GroupByKey]])*OutputTable[RecordedValue])),0)</f>
        <v>116.6</v>
      </c>
      <c r="L53" s="5" cm="1">
        <f t="array" ref="L53">IFERROR(_xlfn.STDEV.S(IF((OutputTable[GroupByKey]=OutputTable[[#This Row],[GroupByKey]]),(OutputTable[GroupByKey]=OutputTable[[#This Row],[GroupByKey]])*OutputTable[RecordedValue])),0)</f>
        <v>18.252255410940514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53" s="5" cm="1">
        <f t="array" ref="O53">MIN(IF((OutputTable[GroupByKey]=OutputTable[[#This Row],[GroupByKey]]),(OutputTable[GroupByKey]=OutputTable[[#This Row],[GroupByKey]])*OutputTable[RecordedValue]))</f>
        <v>72</v>
      </c>
      <c r="P53" s="5" cm="1">
        <f t="array" ref="P53">MAX(IF((OutputTable[GroupByKey]=OutputTable[[#This Row],[GroupByKey]]),(OutputTable[GroupByKey]=OutputTable[[#This Row],[GroupByKey]])*OutputTable[RecordedValue]))</f>
        <v>147</v>
      </c>
    </row>
    <row r="54" spans="1:16" x14ac:dyDescent="0.25">
      <c r="A54" t="s">
        <v>68</v>
      </c>
      <c r="B54" t="s">
        <v>70</v>
      </c>
      <c r="C54">
        <v>3</v>
      </c>
      <c r="D54" t="s">
        <v>111</v>
      </c>
      <c r="E54" t="s">
        <v>112</v>
      </c>
      <c r="F54" t="s">
        <v>81</v>
      </c>
      <c r="G54">
        <v>23.720941658085898</v>
      </c>
      <c r="H54">
        <v>0</v>
      </c>
      <c r="I5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s="5" cm="1">
        <f t="array" ref="K54">IFERROR(AVERAGE(IF((OutputTable[GroupByKey]=OutputTable[[#This Row],[GroupByKey]]),(OutputTable[GroupByKey]=OutputTable[[#This Row],[GroupByKey]])*OutputTable[RecordedValue])),0)</f>
        <v>19.806808580201274</v>
      </c>
      <c r="L54" s="5" cm="1">
        <f t="array" ref="L54">IFERROR(_xlfn.STDEV.S(IF((OutputTable[GroupByKey]=OutputTable[[#This Row],[GroupByKey]]),(OutputTable[GroupByKey]=OutputTable[[#This Row],[GroupByKey]])*OutputTable[RecordedValue])),0)</f>
        <v>3.1624794742170024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54" s="5" cm="1">
        <f t="array" ref="O54">MIN(IF((OutputTable[GroupByKey]=OutputTable[[#This Row],[GroupByKey]]),(OutputTable[GroupByKey]=OutputTable[[#This Row],[GroupByKey]])*OutputTable[RecordedValue]))</f>
        <v>12.812268330404599</v>
      </c>
      <c r="P54" s="5" cm="1">
        <f t="array" ref="P54">MAX(IF((OutputTable[GroupByKey]=OutputTable[[#This Row],[GroupByKey]]),(OutputTable[GroupByKey]=OutputTable[[#This Row],[GroupByKey]])*OutputTable[RecordedValue]))</f>
        <v>24.762011036196501</v>
      </c>
    </row>
    <row r="55" spans="1:16" x14ac:dyDescent="0.25">
      <c r="A55" t="s">
        <v>68</v>
      </c>
      <c r="B55" t="s">
        <v>70</v>
      </c>
      <c r="C55">
        <v>3</v>
      </c>
      <c r="D55" t="s">
        <v>113</v>
      </c>
      <c r="E55" t="s">
        <v>114</v>
      </c>
      <c r="F55" t="s">
        <v>81</v>
      </c>
      <c r="G55">
        <v>0</v>
      </c>
      <c r="H55">
        <v>0</v>
      </c>
      <c r="I5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s="5" cm="1">
        <f t="array" ref="K55">IFERROR(AVERAGE(IF((OutputTable[GroupByKey]=OutputTable[[#This Row],[GroupByKey]]),(OutputTable[GroupByKey]=OutputTable[[#This Row],[GroupByKey]])*OutputTable[RecordedValue])),0)</f>
        <v>0</v>
      </c>
      <c r="L55" s="5" cm="1">
        <f t="array" ref="L55">IFERROR(_xlfn.STDEV.S(IF((OutputTable[GroupByKey]=OutputTable[[#This Row],[GroupByKey]]),(OutputTable[GroupByKey]=OutputTable[[#This Row],[GroupByKey]])*OutputTable[RecordedValue])),0)</f>
        <v>0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" s="5" cm="1">
        <f t="array" ref="O55">MIN(IF((OutputTable[GroupByKey]=OutputTable[[#This Row],[GroupByKey]]),(OutputTable[GroupByKey]=OutputTable[[#This Row],[GroupByKey]])*OutputTable[RecordedValue]))</f>
        <v>0</v>
      </c>
      <c r="P55" s="5" cm="1">
        <f t="array" ref="P55">MAX(IF((OutputTable[GroupByKey]=OutputTable[[#This Row],[GroupByKey]]),(OutputTable[GroupByKey]=OutputTable[[#This Row],[GroupByKey]])*OutputTable[RecordedValue]))</f>
        <v>0</v>
      </c>
    </row>
    <row r="56" spans="1:16" x14ac:dyDescent="0.25">
      <c r="A56" t="s">
        <v>68</v>
      </c>
      <c r="B56" t="s">
        <v>70</v>
      </c>
      <c r="C56">
        <v>3</v>
      </c>
      <c r="D56" t="s">
        <v>115</v>
      </c>
      <c r="E56" t="s">
        <v>108</v>
      </c>
      <c r="F56" t="s">
        <v>81</v>
      </c>
      <c r="G56">
        <v>47</v>
      </c>
      <c r="H56">
        <v>0</v>
      </c>
      <c r="I5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s="5" cm="1">
        <f t="array" ref="K56">IFERROR(AVERAGE(IF((OutputTable[GroupByKey]=OutputTable[[#This Row],[GroupByKey]]),(OutputTable[GroupByKey]=OutputTable[[#This Row],[GroupByKey]])*OutputTable[RecordedValue])),0)</f>
        <v>38.93333333333333</v>
      </c>
      <c r="L56" s="5" cm="1">
        <f t="array" ref="L56">IFERROR(_xlfn.STDEV.S(IF((OutputTable[GroupByKey]=OutputTable[[#This Row],[GroupByKey]]),(OutputTable[GroupByKey]=OutputTable[[#This Row],[GroupByKey]])*OutputTable[RecordedValue])),0)</f>
        <v>5.9765826548191505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6" s="5" cm="1">
        <f t="array" ref="O56">MIN(IF((OutputTable[GroupByKey]=OutputTable[[#This Row],[GroupByKey]]),(OutputTable[GroupByKey]=OutputTable[[#This Row],[GroupByKey]])*OutputTable[RecordedValue]))</f>
        <v>25</v>
      </c>
      <c r="P56" s="5" cm="1">
        <f t="array" ref="P56">MAX(IF((OutputTable[GroupByKey]=OutputTable[[#This Row],[GroupByKey]]),(OutputTable[GroupByKey]=OutputTable[[#This Row],[GroupByKey]])*OutputTable[RecordedValue]))</f>
        <v>49</v>
      </c>
    </row>
    <row r="57" spans="1:16" x14ac:dyDescent="0.25">
      <c r="A57" t="s">
        <v>68</v>
      </c>
      <c r="B57" t="s">
        <v>70</v>
      </c>
      <c r="C57">
        <v>3</v>
      </c>
      <c r="D57" t="s">
        <v>116</v>
      </c>
      <c r="E57" t="s">
        <v>110</v>
      </c>
      <c r="F57" t="s">
        <v>81</v>
      </c>
      <c r="G57">
        <v>47</v>
      </c>
      <c r="H57">
        <v>0</v>
      </c>
      <c r="I5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s="5" cm="1">
        <f t="array" ref="K57">IFERROR(AVERAGE(IF((OutputTable[GroupByKey]=OutputTable[[#This Row],[GroupByKey]]),(OutputTable[GroupByKey]=OutputTable[[#This Row],[GroupByKey]])*OutputTable[RecordedValue])),0)</f>
        <v>38.866666666666667</v>
      </c>
      <c r="L57" s="5" cm="1">
        <f t="array" ref="L57">IFERROR(_xlfn.STDEV.S(IF((OutputTable[GroupByKey]=OutputTable[[#This Row],[GroupByKey]]),(OutputTable[GroupByKey]=OutputTable[[#This Row],[GroupByKey]])*OutputTable[RecordedValue])),0)</f>
        <v>6.0840851369801694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7" s="5" cm="1">
        <f t="array" ref="O57">MIN(IF((OutputTable[GroupByKey]=OutputTable[[#This Row],[GroupByKey]]),(OutputTable[GroupByKey]=OutputTable[[#This Row],[GroupByKey]])*OutputTable[RecordedValue]))</f>
        <v>24</v>
      </c>
      <c r="P57" s="5" cm="1">
        <f t="array" ref="P57">MAX(IF((OutputTable[GroupByKey]=OutputTable[[#This Row],[GroupByKey]]),(OutputTable[GroupByKey]=OutputTable[[#This Row],[GroupByKey]])*OutputTable[RecordedValue]))</f>
        <v>49</v>
      </c>
    </row>
    <row r="58" spans="1:16" x14ac:dyDescent="0.25">
      <c r="A58" t="s">
        <v>68</v>
      </c>
      <c r="B58" t="s">
        <v>70</v>
      </c>
      <c r="C58">
        <v>3</v>
      </c>
      <c r="D58" t="s">
        <v>117</v>
      </c>
      <c r="E58" t="s">
        <v>112</v>
      </c>
      <c r="F58" t="s">
        <v>81</v>
      </c>
      <c r="G58">
        <v>46.741655931576702</v>
      </c>
      <c r="H58">
        <v>0</v>
      </c>
      <c r="I58" s="5" t="str">
        <f>OutputTable[[#This Row],[ProjectName]]&amp;OutputTable[[#This Row],[Name]]&amp;OutputTable[[#This Row],[Type]]&amp;OutputTable[[#This Row],[Source]]</f>
        <v>Pedido CleintesOrdnes Accum VA TimeAccum VA TimeProcess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s="5" cm="1">
        <f t="array" ref="K58">IFERROR(AVERAGE(IF((OutputTable[GroupByKey]=OutputTable[[#This Row],[GroupByKey]]),(OutputTable[GroupByKey]=OutputTable[[#This Row],[GroupByKey]])*OutputTable[RecordedValue])),0)</f>
        <v>39.878126992056487</v>
      </c>
      <c r="L58" s="5" cm="1">
        <f t="array" ref="L58">IFERROR(_xlfn.STDEV.S(IF((OutputTable[GroupByKey]=OutputTable[[#This Row],[GroupByKey]]),(OutputTable[GroupByKey]=OutputTable[[#This Row],[GroupByKey]])*OutputTable[RecordedValue])),0)</f>
        <v>6.1068580319474277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58" s="5" cm="1">
        <f t="array" ref="O58">MIN(IF((OutputTable[GroupByKey]=OutputTable[[#This Row],[GroupByKey]]),(OutputTable[GroupByKey]=OutputTable[[#This Row],[GroupByKey]])*OutputTable[RecordedValue]))</f>
        <v>26.106281767804099</v>
      </c>
      <c r="P58" s="5" cm="1">
        <f t="array" ref="P58">MAX(IF((OutputTable[GroupByKey]=OutputTable[[#This Row],[GroupByKey]]),(OutputTable[GroupByKey]=OutputTable[[#This Row],[GroupByKey]])*OutputTable[RecordedValue]))</f>
        <v>48.706388790541098</v>
      </c>
    </row>
    <row r="59" spans="1:16" x14ac:dyDescent="0.25">
      <c r="A59" t="s">
        <v>68</v>
      </c>
      <c r="B59" t="s">
        <v>70</v>
      </c>
      <c r="C59">
        <v>3</v>
      </c>
      <c r="D59" t="s">
        <v>118</v>
      </c>
      <c r="E59" t="s">
        <v>114</v>
      </c>
      <c r="F59" t="s">
        <v>81</v>
      </c>
      <c r="G59">
        <v>18.843855117811401</v>
      </c>
      <c r="H59">
        <v>0</v>
      </c>
      <c r="I5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s="5" cm="1">
        <f t="array" ref="K59">IFERROR(AVERAGE(IF((OutputTable[GroupByKey]=OutputTable[[#This Row],[GroupByKey]]),(OutputTable[GroupByKey]=OutputTable[[#This Row],[GroupByKey]])*OutputTable[RecordedValue])),0)</f>
        <v>7.9804799821754404</v>
      </c>
      <c r="L59" s="5" cm="1">
        <f t="array" ref="L59">IFERROR(_xlfn.STDEV.S(IF((OutputTable[GroupByKey]=OutputTable[[#This Row],[GroupByKey]]),(OutputTable[GroupByKey]=OutputTable[[#This Row],[GroupByKey]])*OutputTable[RecordedValue])),0)</f>
        <v>4.8950382198155014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59" s="5" cm="1">
        <f t="array" ref="O59">MIN(IF((OutputTable[GroupByKey]=OutputTable[[#This Row],[GroupByKey]]),(OutputTable[GroupByKey]=OutputTable[[#This Row],[GroupByKey]])*OutputTable[RecordedValue]))</f>
        <v>0</v>
      </c>
      <c r="P59" s="5" cm="1">
        <f t="array" ref="P59">MAX(IF((OutputTable[GroupByKey]=OutputTable[[#This Row],[GroupByKey]]),(OutputTable[GroupByKey]=OutputTable[[#This Row],[GroupByKey]])*OutputTable[RecordedValue]))</f>
        <v>18.843855117811401</v>
      </c>
    </row>
    <row r="60" spans="1:16" x14ac:dyDescent="0.25">
      <c r="A60" t="s">
        <v>68</v>
      </c>
      <c r="B60" t="s">
        <v>70</v>
      </c>
      <c r="C60">
        <v>3</v>
      </c>
      <c r="D60" t="s">
        <v>119</v>
      </c>
      <c r="E60" t="s">
        <v>108</v>
      </c>
      <c r="F60" t="s">
        <v>81</v>
      </c>
      <c r="G60">
        <v>47</v>
      </c>
      <c r="H60">
        <v>0</v>
      </c>
      <c r="I60" s="5" t="str">
        <f>OutputTable[[#This Row],[ProjectName]]&amp;OutputTable[[#This Row],[Name]]&amp;OutputTable[[#This Row],[Type]]&amp;OutputTable[[#This Row],[Source]]</f>
        <v>Pedido CleintesOrdnes Number InNumber InProcess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s="5" cm="1">
        <f t="array" ref="K60">IFERROR(AVERAGE(IF((OutputTable[GroupByKey]=OutputTable[[#This Row],[GroupByKey]]),(OutputTable[GroupByKey]=OutputTable[[#This Row],[GroupByKey]])*OutputTable[RecordedValue])),0)</f>
        <v>39.9</v>
      </c>
      <c r="L60" s="5" cm="1">
        <f t="array" ref="L60">IFERROR(_xlfn.STDEV.S(IF((OutputTable[GroupByKey]=OutputTable[[#This Row],[GroupByKey]]),(OutputTable[GroupByKey]=OutputTable[[#This Row],[GroupByKey]])*OutputTable[RecordedValue])),0)</f>
        <v>6.0648791101463475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60" s="5" cm="1">
        <f t="array" ref="O60">MIN(IF((OutputTable[GroupByKey]=OutputTable[[#This Row],[GroupByKey]]),(OutputTable[GroupByKey]=OutputTable[[#This Row],[GroupByKey]])*OutputTable[RecordedValue]))</f>
        <v>27</v>
      </c>
      <c r="P60" s="5" cm="1">
        <f t="array" ref="P60">MAX(IF((OutputTable[GroupByKey]=OutputTable[[#This Row],[GroupByKey]]),(OutputTable[GroupByKey]=OutputTable[[#This Row],[GroupByKey]])*OutputTable[RecordedValue]))</f>
        <v>49</v>
      </c>
    </row>
    <row r="61" spans="1:16" x14ac:dyDescent="0.25">
      <c r="A61" t="s">
        <v>68</v>
      </c>
      <c r="B61" t="s">
        <v>70</v>
      </c>
      <c r="C61">
        <v>3</v>
      </c>
      <c r="D61" t="s">
        <v>120</v>
      </c>
      <c r="E61" t="s">
        <v>110</v>
      </c>
      <c r="F61" t="s">
        <v>81</v>
      </c>
      <c r="G61">
        <v>47</v>
      </c>
      <c r="H61">
        <v>0</v>
      </c>
      <c r="I61" s="5" t="str">
        <f>OutputTable[[#This Row],[ProjectName]]&amp;OutputTable[[#This Row],[Name]]&amp;OutputTable[[#This Row],[Type]]&amp;OutputTable[[#This Row],[Source]]</f>
        <v>Pedido CleintesOrdnes Number OutNumber OutProcess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s="5" cm="1">
        <f t="array" ref="K61">IFERROR(AVERAGE(IF((OutputTable[GroupByKey]=OutputTable[[#This Row],[GroupByKey]]),(OutputTable[GroupByKey]=OutputTable[[#This Row],[GroupByKey]])*OutputTable[RecordedValue])),0)</f>
        <v>39.666666666666664</v>
      </c>
      <c r="L61" s="5" cm="1">
        <f t="array" ref="L61">IFERROR(_xlfn.STDEV.S(IF((OutputTable[GroupByKey]=OutputTable[[#This Row],[GroupByKey]]),(OutputTable[GroupByKey]=OutputTable[[#This Row],[GroupByKey]])*OutputTable[RecordedValue])),0)</f>
        <v>6.0477030882540914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1" s="5" cm="1">
        <f t="array" ref="O61">MIN(IF((OutputTable[GroupByKey]=OutputTable[[#This Row],[GroupByKey]]),(OutputTable[GroupByKey]=OutputTable[[#This Row],[GroupByKey]])*OutputTable[RecordedValue]))</f>
        <v>26</v>
      </c>
      <c r="P61" s="5" cm="1">
        <f t="array" ref="P61">MAX(IF((OutputTable[GroupByKey]=OutputTable[[#This Row],[GroupByKey]]),(OutputTable[GroupByKey]=OutputTable[[#This Row],[GroupByKey]])*OutputTable[RecordedValue]))</f>
        <v>49</v>
      </c>
    </row>
    <row r="62" spans="1:16" x14ac:dyDescent="0.25">
      <c r="A62" t="s">
        <v>68</v>
      </c>
      <c r="B62" t="s">
        <v>70</v>
      </c>
      <c r="C62">
        <v>3</v>
      </c>
      <c r="D62" t="s">
        <v>121</v>
      </c>
      <c r="E62" t="s">
        <v>112</v>
      </c>
      <c r="F62" t="s">
        <v>81</v>
      </c>
      <c r="G62">
        <v>36.664484869369197</v>
      </c>
      <c r="H62">
        <v>0</v>
      </c>
      <c r="I62" s="5" t="str">
        <f>OutputTable[[#This Row],[ProjectName]]&amp;OutputTable[[#This Row],[Name]]&amp;OutputTable[[#This Row],[Type]]&amp;OutputTable[[#This Row],[Source]]</f>
        <v>Pedido CleintesPago Accum VA TimeAccum VA TimeProcess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s="5" cm="1">
        <f t="array" ref="K62">IFERROR(AVERAGE(IF((OutputTable[GroupByKey]=OutputTable[[#This Row],[GroupByKey]]),(OutputTable[GroupByKey]=OutputTable[[#This Row],[GroupByKey]])*OutputTable[RecordedValue])),0)</f>
        <v>29.486262713858675</v>
      </c>
      <c r="L62" s="5" cm="1">
        <f t="array" ref="L62">IFERROR(_xlfn.STDEV.S(IF((OutputTable[GroupByKey]=OutputTable[[#This Row],[GroupByKey]]),(OutputTable[GroupByKey]=OutputTable[[#This Row],[GroupByKey]])*OutputTable[RecordedValue])),0)</f>
        <v>4.747176664010901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62" s="5" cm="1">
        <f t="array" ref="O62">MIN(IF((OutputTable[GroupByKey]=OutputTable[[#This Row],[GroupByKey]]),(OutputTable[GroupByKey]=OutputTable[[#This Row],[GroupByKey]])*OutputTable[RecordedValue]))</f>
        <v>19.573210250889101</v>
      </c>
      <c r="P62" s="5" cm="1">
        <f t="array" ref="P62">MAX(IF((OutputTable[GroupByKey]=OutputTable[[#This Row],[GroupByKey]]),(OutputTable[GroupByKey]=OutputTable[[#This Row],[GroupByKey]])*OutputTable[RecordedValue]))</f>
        <v>37.056974462114901</v>
      </c>
    </row>
    <row r="63" spans="1:16" x14ac:dyDescent="0.25">
      <c r="A63" t="s">
        <v>68</v>
      </c>
      <c r="B63" t="s">
        <v>70</v>
      </c>
      <c r="C63">
        <v>3</v>
      </c>
      <c r="D63" t="s">
        <v>122</v>
      </c>
      <c r="E63" t="s">
        <v>114</v>
      </c>
      <c r="F63" t="s">
        <v>81</v>
      </c>
      <c r="G63">
        <v>30.155739782874701</v>
      </c>
      <c r="H63">
        <v>0</v>
      </c>
      <c r="I63" s="5" t="str">
        <f>OutputTable[[#This Row],[ProjectName]]&amp;OutputTable[[#This Row],[Name]]&amp;OutputTable[[#This Row],[Type]]&amp;OutputTable[[#This Row],[Source]]</f>
        <v>Pedido CleintesPago Accum Wait TimeAccum Wait TimeProcess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s="5" cm="1">
        <f t="array" ref="K63">IFERROR(AVERAGE(IF((OutputTable[GroupByKey]=OutputTable[[#This Row],[GroupByKey]]),(OutputTable[GroupByKey]=OutputTable[[#This Row],[GroupByKey]])*OutputTable[RecordedValue])),0)</f>
        <v>13.025761997568024</v>
      </c>
      <c r="L63" s="5" cm="1">
        <f t="array" ref="L63">IFERROR(_xlfn.STDEV.S(IF((OutputTable[GroupByKey]=OutputTable[[#This Row],[GroupByKey]]),(OutputTable[GroupByKey]=OutputTable[[#This Row],[GroupByKey]])*OutputTable[RecordedValue])),0)</f>
        <v>7.8467935605388783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63" s="5" cm="1">
        <f t="array" ref="O63">MIN(IF((OutputTable[GroupByKey]=OutputTable[[#This Row],[GroupByKey]]),(OutputTable[GroupByKey]=OutputTable[[#This Row],[GroupByKey]])*OutputTable[RecordedValue]))</f>
        <v>0</v>
      </c>
      <c r="P63" s="5" cm="1">
        <f t="array" ref="P63">MAX(IF((OutputTable[GroupByKey]=OutputTable[[#This Row],[GroupByKey]]),(OutputTable[GroupByKey]=OutputTable[[#This Row],[GroupByKey]])*OutputTable[RecordedValue]))</f>
        <v>32.770863925850499</v>
      </c>
    </row>
    <row r="64" spans="1:16" x14ac:dyDescent="0.25">
      <c r="A64" t="s">
        <v>68</v>
      </c>
      <c r="B64" t="s">
        <v>70</v>
      </c>
      <c r="C64">
        <v>3</v>
      </c>
      <c r="D64" t="s">
        <v>123</v>
      </c>
      <c r="E64" t="s">
        <v>108</v>
      </c>
      <c r="F64" t="s">
        <v>81</v>
      </c>
      <c r="G64">
        <v>47</v>
      </c>
      <c r="H64">
        <v>0</v>
      </c>
      <c r="I64" s="5" t="str">
        <f>OutputTable[[#This Row],[ProjectName]]&amp;OutputTable[[#This Row],[Name]]&amp;OutputTable[[#This Row],[Type]]&amp;OutputTable[[#This Row],[Source]]</f>
        <v>Pedido CleintesPago Number InNumber InProcess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s="5" cm="1">
        <f t="array" ref="K64">IFERROR(AVERAGE(IF((OutputTable[GroupByKey]=OutputTable[[#This Row],[GroupByKey]]),(OutputTable[GroupByKey]=OutputTable[[#This Row],[GroupByKey]])*OutputTable[RecordedValue])),0)</f>
        <v>39.666666666666664</v>
      </c>
      <c r="L64" s="5" cm="1">
        <f t="array" ref="L64">IFERROR(_xlfn.STDEV.S(IF((OutputTable[GroupByKey]=OutputTable[[#This Row],[GroupByKey]]),(OutputTable[GroupByKey]=OutputTable[[#This Row],[GroupByKey]])*OutputTable[RecordedValue])),0)</f>
        <v>6.0477030882540914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4" s="5" cm="1">
        <f t="array" ref="O64">MIN(IF((OutputTable[GroupByKey]=OutputTable[[#This Row],[GroupByKey]]),(OutputTable[GroupByKey]=OutputTable[[#This Row],[GroupByKey]])*OutputTable[RecordedValue]))</f>
        <v>26</v>
      </c>
      <c r="P64" s="5" cm="1">
        <f t="array" ref="P64">MAX(IF((OutputTable[GroupByKey]=OutputTable[[#This Row],[GroupByKey]]),(OutputTable[GroupByKey]=OutputTable[[#This Row],[GroupByKey]])*OutputTable[RecordedValue]))</f>
        <v>49</v>
      </c>
    </row>
    <row r="65" spans="1:16" x14ac:dyDescent="0.25">
      <c r="A65" t="s">
        <v>68</v>
      </c>
      <c r="B65" t="s">
        <v>70</v>
      </c>
      <c r="C65">
        <v>3</v>
      </c>
      <c r="D65" t="s">
        <v>124</v>
      </c>
      <c r="E65" t="s">
        <v>110</v>
      </c>
      <c r="F65" t="s">
        <v>81</v>
      </c>
      <c r="G65">
        <v>47</v>
      </c>
      <c r="H65">
        <v>0</v>
      </c>
      <c r="I65" s="5" t="str">
        <f>OutputTable[[#This Row],[ProjectName]]&amp;OutputTable[[#This Row],[Name]]&amp;OutputTable[[#This Row],[Type]]&amp;OutputTable[[#This Row],[Source]]</f>
        <v>Pedido CleintesPago Number OutNumber OutProcess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s="5" cm="1">
        <f t="array" ref="K65">IFERROR(AVERAGE(IF((OutputTable[GroupByKey]=OutputTable[[#This Row],[GroupByKey]]),(OutputTable[GroupByKey]=OutputTable[[#This Row],[GroupByKey]])*OutputTable[RecordedValue])),0)</f>
        <v>39.43333333333333</v>
      </c>
      <c r="L65" s="5" cm="1">
        <f t="array" ref="L65">IFERROR(_xlfn.STDEV.S(IF((OutputTable[GroupByKey]=OutputTable[[#This Row],[GroupByKey]]),(OutputTable[GroupByKey]=OutputTable[[#This Row],[GroupByKey]])*OutputTable[RecordedValue])),0)</f>
        <v>5.9171482724502509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65" s="5" cm="1">
        <f t="array" ref="O65">MIN(IF((OutputTable[GroupByKey]=OutputTable[[#This Row],[GroupByKey]]),(OutputTable[GroupByKey]=OutputTable[[#This Row],[GroupByKey]])*OutputTable[RecordedValue]))</f>
        <v>26</v>
      </c>
      <c r="P65" s="5" cm="1">
        <f t="array" ref="P65">MAX(IF((OutputTable[GroupByKey]=OutputTable[[#This Row],[GroupByKey]]),(OutputTable[GroupByKey]=OutputTable[[#This Row],[GroupByKey]])*OutputTable[RecordedValue]))</f>
        <v>49</v>
      </c>
    </row>
    <row r="66" spans="1:16" x14ac:dyDescent="0.25">
      <c r="A66" t="s">
        <v>68</v>
      </c>
      <c r="B66" t="s">
        <v>70</v>
      </c>
      <c r="C66">
        <v>3</v>
      </c>
      <c r="D66" t="s">
        <v>125</v>
      </c>
      <c r="E66" t="s">
        <v>112</v>
      </c>
      <c r="F66" t="s">
        <v>81</v>
      </c>
      <c r="G66">
        <v>140.429262232745</v>
      </c>
      <c r="H66">
        <v>0</v>
      </c>
      <c r="I6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s="5" cm="1">
        <f t="array" ref="K66">IFERROR(AVERAGE(IF((OutputTable[GroupByKey]=OutputTable[[#This Row],[GroupByKey]]),(OutputTable[GroupByKey]=OutputTable[[#This Row],[GroupByKey]])*OutputTable[RecordedValue])),0)</f>
        <v>116.64263458387505</v>
      </c>
      <c r="L66" s="5" cm="1">
        <f t="array" ref="L66">IFERROR(_xlfn.STDEV.S(IF((OutputTable[GroupByKey]=OutputTable[[#This Row],[GroupByKey]]),(OutputTable[GroupByKey]=OutputTable[[#This Row],[GroupByKey]])*OutputTable[RecordedValue])),0)</f>
        <v>17.825477946659205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66" s="5" cm="1">
        <f t="array" ref="O66">MIN(IF((OutputTable[GroupByKey]=OutputTable[[#This Row],[GroupByKey]]),(OutputTable[GroupByKey]=OutputTable[[#This Row],[GroupByKey]])*OutputTable[RecordedValue]))</f>
        <v>74.976560761710004</v>
      </c>
      <c r="P66" s="5" cm="1">
        <f t="array" ref="P66">MAX(IF((OutputTable[GroupByKey]=OutputTable[[#This Row],[GroupByKey]]),(OutputTable[GroupByKey]=OutputTable[[#This Row],[GroupByKey]])*OutputTable[RecordedValue]))</f>
        <v>145.504156763596</v>
      </c>
    </row>
    <row r="67" spans="1:16" x14ac:dyDescent="0.25">
      <c r="A67" t="s">
        <v>68</v>
      </c>
      <c r="B67" t="s">
        <v>70</v>
      </c>
      <c r="C67">
        <v>3</v>
      </c>
      <c r="D67" t="s">
        <v>126</v>
      </c>
      <c r="E67" t="s">
        <v>114</v>
      </c>
      <c r="F67" t="s">
        <v>81</v>
      </c>
      <c r="G67">
        <v>79.640551062181203</v>
      </c>
      <c r="H67">
        <v>0</v>
      </c>
      <c r="I6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s="5" cm="1">
        <f t="array" ref="K67">IFERROR(AVERAGE(IF((OutputTable[GroupByKey]=OutputTable[[#This Row],[GroupByKey]]),(OutputTable[GroupByKey]=OutputTable[[#This Row],[GroupByKey]])*OutputTable[RecordedValue])),0)</f>
        <v>39.900972800228722</v>
      </c>
      <c r="L67" s="5" cm="1">
        <f t="array" ref="L67">IFERROR(_xlfn.STDEV.S(IF((OutputTable[GroupByKey]=OutputTable[[#This Row],[GroupByKey]]),(OutputTable[GroupByKey]=OutputTable[[#This Row],[GroupByKey]])*OutputTable[RecordedValue])),0)</f>
        <v>22.922906975864144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67" s="5" cm="1">
        <f t="array" ref="O67">MIN(IF((OutputTable[GroupByKey]=OutputTable[[#This Row],[GroupByKey]]),(OutputTable[GroupByKey]=OutputTable[[#This Row],[GroupByKey]])*OutputTable[RecordedValue]))</f>
        <v>2.1708788192608899</v>
      </c>
      <c r="P67" s="5" cm="1">
        <f t="array" ref="P67">MAX(IF((OutputTable[GroupByKey]=OutputTable[[#This Row],[GroupByKey]]),(OutputTable[GroupByKey]=OutputTable[[#This Row],[GroupByKey]])*OutputTable[RecordedValue]))</f>
        <v>94.9142929398908</v>
      </c>
    </row>
    <row r="68" spans="1:16" x14ac:dyDescent="0.25">
      <c r="A68" t="s">
        <v>68</v>
      </c>
      <c r="B68" t="s">
        <v>70</v>
      </c>
      <c r="C68">
        <v>3</v>
      </c>
      <c r="D68" t="s">
        <v>127</v>
      </c>
      <c r="E68" t="s">
        <v>108</v>
      </c>
      <c r="F68" t="s">
        <v>81</v>
      </c>
      <c r="G68">
        <v>47</v>
      </c>
      <c r="H68">
        <v>0</v>
      </c>
      <c r="I68" s="5" t="str">
        <f>OutputTable[[#This Row],[ProjectName]]&amp;OutputTable[[#This Row],[Name]]&amp;OutputTable[[#This Row],[Type]]&amp;OutputTable[[#This Row],[Source]]</f>
        <v>Pedido CleintesPreparar orden Number InNumber InProcess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s="5" cm="1">
        <f t="array" ref="K68">IFERROR(AVERAGE(IF((OutputTable[GroupByKey]=OutputTable[[#This Row],[GroupByKey]]),(OutputTable[GroupByKey]=OutputTable[[#This Row],[GroupByKey]])*OutputTable[RecordedValue])),0)</f>
        <v>39.666666666666664</v>
      </c>
      <c r="L68" s="5" cm="1">
        <f t="array" ref="L68">IFERROR(_xlfn.STDEV.S(IF((OutputTable[GroupByKey]=OutputTable[[#This Row],[GroupByKey]]),(OutputTable[GroupByKey]=OutputTable[[#This Row],[GroupByKey]])*OutputTable[RecordedValue])),0)</f>
        <v>6.0477030882540914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8" s="5" cm="1">
        <f t="array" ref="O68">MIN(IF((OutputTable[GroupByKey]=OutputTable[[#This Row],[GroupByKey]]),(OutputTable[GroupByKey]=OutputTable[[#This Row],[GroupByKey]])*OutputTable[RecordedValue]))</f>
        <v>26</v>
      </c>
      <c r="P68" s="5" cm="1">
        <f t="array" ref="P68">MAX(IF((OutputTable[GroupByKey]=OutputTable[[#This Row],[GroupByKey]]),(OutputTable[GroupByKey]=OutputTable[[#This Row],[GroupByKey]])*OutputTable[RecordedValue]))</f>
        <v>49</v>
      </c>
    </row>
    <row r="69" spans="1:16" x14ac:dyDescent="0.25">
      <c r="A69" t="s">
        <v>68</v>
      </c>
      <c r="B69" t="s">
        <v>70</v>
      </c>
      <c r="C69">
        <v>3</v>
      </c>
      <c r="D69" t="s">
        <v>128</v>
      </c>
      <c r="E69" t="s">
        <v>110</v>
      </c>
      <c r="F69" t="s">
        <v>81</v>
      </c>
      <c r="G69">
        <v>47</v>
      </c>
      <c r="H69">
        <v>0</v>
      </c>
      <c r="I69" s="5" t="str">
        <f>OutputTable[[#This Row],[ProjectName]]&amp;OutputTable[[#This Row],[Name]]&amp;OutputTable[[#This Row],[Type]]&amp;OutputTable[[#This Row],[Source]]</f>
        <v>Pedido CleintesPreparar orden Number OutNumber OutProcess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s="5" cm="1">
        <f t="array" ref="K69">IFERROR(AVERAGE(IF((OutputTable[GroupByKey]=OutputTable[[#This Row],[GroupByKey]]),(OutputTable[GroupByKey]=OutputTable[[#This Row],[GroupByKey]])*OutputTable[RecordedValue])),0)</f>
        <v>38.93333333333333</v>
      </c>
      <c r="L69" s="5" cm="1">
        <f t="array" ref="L69">IFERROR(_xlfn.STDEV.S(IF((OutputTable[GroupByKey]=OutputTable[[#This Row],[GroupByKey]]),(OutputTable[GroupByKey]=OutputTable[[#This Row],[GroupByKey]])*OutputTable[RecordedValue])),0)</f>
        <v>5.9765826548191505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9" s="5" cm="1">
        <f t="array" ref="O69">MIN(IF((OutputTable[GroupByKey]=OutputTable[[#This Row],[GroupByKey]]),(OutputTable[GroupByKey]=OutputTable[[#This Row],[GroupByKey]])*OutputTable[RecordedValue]))</f>
        <v>25</v>
      </c>
      <c r="P69" s="5" cm="1">
        <f t="array" ref="P69">MAX(IF((OutputTable[GroupByKey]=OutputTable[[#This Row],[GroupByKey]]),(OutputTable[GroupByKey]=OutputTable[[#This Row],[GroupByKey]])*OutputTable[RecordedValue]))</f>
        <v>49</v>
      </c>
    </row>
    <row r="70" spans="1:16" x14ac:dyDescent="0.25">
      <c r="A70" t="s">
        <v>68</v>
      </c>
      <c r="B70" t="s">
        <v>70</v>
      </c>
      <c r="C70">
        <v>3</v>
      </c>
      <c r="D70" t="s">
        <v>129</v>
      </c>
      <c r="E70" t="s">
        <v>110</v>
      </c>
      <c r="F70" t="s">
        <v>130</v>
      </c>
      <c r="G70">
        <v>47</v>
      </c>
      <c r="H70">
        <v>0</v>
      </c>
      <c r="I70" s="5" t="str">
        <f>OutputTable[[#This Row],[ProjectName]]&amp;OutputTable[[#This Row],[Name]]&amp;OutputTable[[#This Row],[Type]]&amp;OutputTable[[#This Row],[Source]]</f>
        <v>Pedido CleintesSystem.NumberOutNumber OutSystem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s="5" cm="1">
        <f t="array" ref="K70">IFERROR(AVERAGE(IF((OutputTable[GroupByKey]=OutputTable[[#This Row],[GroupByKey]]),(OutputTable[GroupByKey]=OutputTable[[#This Row],[GroupByKey]])*OutputTable[RecordedValue])),0)</f>
        <v>38.866666666666667</v>
      </c>
      <c r="L70" s="5" cm="1">
        <f t="array" ref="L70">IFERROR(_xlfn.STDEV.S(IF((OutputTable[GroupByKey]=OutputTable[[#This Row],[GroupByKey]]),(OutputTable[GroupByKey]=OutputTable[[#This Row],[GroupByKey]])*OutputTable[RecordedValue])),0)</f>
        <v>6.0840851369801694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70" s="5" cm="1">
        <f t="array" ref="O70">MIN(IF((OutputTable[GroupByKey]=OutputTable[[#This Row],[GroupByKey]]),(OutputTable[GroupByKey]=OutputTable[[#This Row],[GroupByKey]])*OutputTable[RecordedValue]))</f>
        <v>24</v>
      </c>
      <c r="P70" s="5" cm="1">
        <f t="array" ref="P70">MAX(IF((OutputTable[GroupByKey]=OutputTable[[#This Row],[GroupByKey]]),(OutputTable[GroupByKey]=OutputTable[[#This Row],[GroupByKey]])*OutputTable[RecordedValue]))</f>
        <v>49</v>
      </c>
    </row>
    <row r="71" spans="1:16" x14ac:dyDescent="0.25">
      <c r="A71" t="s">
        <v>68</v>
      </c>
      <c r="B71" t="s">
        <v>70</v>
      </c>
      <c r="C71">
        <v>3</v>
      </c>
      <c r="D71" t="s">
        <v>131</v>
      </c>
      <c r="E71" t="s">
        <v>132</v>
      </c>
      <c r="F71" t="s">
        <v>102</v>
      </c>
      <c r="G71">
        <v>47</v>
      </c>
      <c r="H71">
        <v>0</v>
      </c>
      <c r="I7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s="5" cm="1">
        <f t="array" ref="K71">IFERROR(AVERAGE(IF((OutputTable[GroupByKey]=OutputTable[[#This Row],[GroupByKey]]),(OutputTable[GroupByKey]=OutputTable[[#This Row],[GroupByKey]])*OutputTable[RecordedValue])),0)</f>
        <v>39.4</v>
      </c>
      <c r="L71" s="5" cm="1">
        <f t="array" ref="L71">IFERROR(_xlfn.STDEV.S(IF((OutputTable[GroupByKey]=OutputTable[[#This Row],[GroupByKey]]),(OutputTable[GroupByKey]=OutputTable[[#This Row],[GroupByKey]])*OutputTable[RecordedValue])),0)</f>
        <v>5.8757244601014422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71" s="5" cm="1">
        <f t="array" ref="O71">MIN(IF((OutputTable[GroupByKey]=OutputTable[[#This Row],[GroupByKey]]),(OutputTable[GroupByKey]=OutputTable[[#This Row],[GroupByKey]])*OutputTable[RecordedValue]))</f>
        <v>26</v>
      </c>
      <c r="P71" s="5" cm="1">
        <f t="array" ref="P71">MAX(IF((OutputTable[GroupByKey]=OutputTable[[#This Row],[GroupByKey]]),(OutputTable[GroupByKey]=OutputTable[[#This Row],[GroupByKey]])*OutputTable[RecordedValue]))</f>
        <v>49</v>
      </c>
    </row>
    <row r="72" spans="1:16" x14ac:dyDescent="0.25">
      <c r="A72" t="s">
        <v>68</v>
      </c>
      <c r="B72" t="s">
        <v>70</v>
      </c>
      <c r="C72">
        <v>3</v>
      </c>
      <c r="D72" t="s">
        <v>133</v>
      </c>
      <c r="E72" t="s">
        <v>134</v>
      </c>
      <c r="F72" t="s">
        <v>102</v>
      </c>
      <c r="G72">
        <v>0.58512192596977297</v>
      </c>
      <c r="H72">
        <v>0</v>
      </c>
      <c r="I7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s="5" cm="1">
        <f t="array" ref="K72">IFERROR(AVERAGE(IF((OutputTable[GroupByKey]=OutputTable[[#This Row],[GroupByKey]]),(OutputTable[GroupByKey]=OutputTable[[#This Row],[GroupByKey]])*OutputTable[RecordedValue])),0)</f>
        <v>0.48891840079317483</v>
      </c>
      <c r="L72" s="5" cm="1">
        <f t="array" ref="L72">IFERROR(_xlfn.STDEV.S(IF((OutputTable[GroupByKey]=OutputTable[[#This Row],[GroupByKey]]),(OutputTable[GroupByKey]=OutputTable[[#This Row],[GroupByKey]])*OutputTable[RecordedValue])),0)</f>
        <v>7.3627413122013347E-2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72" s="5" cm="1">
        <f t="array" ref="O72">MIN(IF((OutputTable[GroupByKey]=OutputTable[[#This Row],[GroupByKey]]),(OutputTable[GroupByKey]=OutputTable[[#This Row],[GroupByKey]])*OutputTable[RecordedValue]))</f>
        <v>0.31277577999924699</v>
      </c>
      <c r="P72" s="5" cm="1">
        <f t="array" ref="P72">MAX(IF((OutputTable[GroupByKey]=OutputTable[[#This Row],[GroupByKey]]),(OutputTable[GroupByKey]=OutputTable[[#This Row],[GroupByKey]])*OutputTable[RecordedValue]))</f>
        <v>0.60626731984831705</v>
      </c>
    </row>
    <row r="73" spans="1:16" x14ac:dyDescent="0.25">
      <c r="A73" t="s">
        <v>68</v>
      </c>
      <c r="B73" t="s">
        <v>70</v>
      </c>
      <c r="C73">
        <v>3</v>
      </c>
      <c r="D73" t="s">
        <v>135</v>
      </c>
      <c r="E73" t="s">
        <v>132</v>
      </c>
      <c r="F73" t="s">
        <v>102</v>
      </c>
      <c r="G73">
        <v>94</v>
      </c>
      <c r="H73">
        <v>0</v>
      </c>
      <c r="I7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s="5" cm="1">
        <f t="array" ref="K73">IFERROR(AVERAGE(IF((OutputTable[GroupByKey]=OutputTable[[#This Row],[GroupByKey]]),(OutputTable[GroupByKey]=OutputTable[[#This Row],[GroupByKey]])*OutputTable[RecordedValue])),0)</f>
        <v>79.466666666666669</v>
      </c>
      <c r="L73" s="5" cm="1">
        <f t="array" ref="L73">IFERROR(_xlfn.STDEV.S(IF((OutputTable[GroupByKey]=OutputTable[[#This Row],[GroupByKey]]),(OutputTable[GroupByKey]=OutputTable[[#This Row],[GroupByKey]])*OutputTable[RecordedValue])),0)</f>
        <v>12.016463801753446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73" s="5" cm="1">
        <f t="array" ref="O73">MIN(IF((OutputTable[GroupByKey]=OutputTable[[#This Row],[GroupByKey]]),(OutputTable[GroupByKey]=OutputTable[[#This Row],[GroupByKey]])*OutputTable[RecordedValue]))</f>
        <v>53</v>
      </c>
      <c r="P73" s="5" cm="1">
        <f t="array" ref="P73">MAX(IF((OutputTable[GroupByKey]=OutputTable[[#This Row],[GroupByKey]]),(OutputTable[GroupByKey]=OutputTable[[#This Row],[GroupByKey]])*OutputTable[RecordedValue]))</f>
        <v>98</v>
      </c>
    </row>
    <row r="74" spans="1:16" x14ac:dyDescent="0.25">
      <c r="A74" t="s">
        <v>68</v>
      </c>
      <c r="B74" t="s">
        <v>70</v>
      </c>
      <c r="C74">
        <v>3</v>
      </c>
      <c r="D74" t="s">
        <v>136</v>
      </c>
      <c r="E74" t="s">
        <v>134</v>
      </c>
      <c r="F74" t="s">
        <v>102</v>
      </c>
      <c r="G74">
        <v>0.34752558667060801</v>
      </c>
      <c r="H74">
        <v>0</v>
      </c>
      <c r="I7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s="5" cm="1">
        <f t="array" ref="K74">IFERROR(AVERAGE(IF((OutputTable[GroupByKey]=OutputTable[[#This Row],[GroupByKey]]),(OutputTable[GroupByKey]=OutputTable[[#This Row],[GroupByKey]])*OutputTable[RecordedValue])),0)</f>
        <v>0.28976365927997022</v>
      </c>
      <c r="L74" s="5" cm="1">
        <f t="array" ref="L74">IFERROR(_xlfn.STDEV.S(IF((OutputTable[GroupByKey]=OutputTable[[#This Row],[GroupByKey]]),(OutputTable[GroupByKey]=OutputTable[[#This Row],[GroupByKey]])*OutputTable[RecordedValue])),0)</f>
        <v>4.4748273652133699E-2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74" s="5" cm="1">
        <f t="array" ref="O74">MIN(IF((OutputTable[GroupByKey]=OutputTable[[#This Row],[GroupByKey]]),(OutputTable[GroupByKey]=OutputTable[[#This Row],[GroupByKey]])*OutputTable[RecordedValue]))</f>
        <v>0.194735973294278</v>
      </c>
      <c r="P74" s="5" cm="1">
        <f t="array" ref="P74">MAX(IF((OutputTable[GroupByKey]=OutputTable[[#This Row],[GroupByKey]]),(OutputTable[GroupByKey]=OutputTable[[#This Row],[GroupByKey]])*OutputTable[RecordedValue]))</f>
        <v>0.35775345817659199</v>
      </c>
    </row>
    <row r="75" spans="1:16" x14ac:dyDescent="0.25">
      <c r="A75" t="s">
        <v>68</v>
      </c>
      <c r="B75" t="s">
        <v>70</v>
      </c>
      <c r="C75">
        <v>3</v>
      </c>
      <c r="D75" t="s">
        <v>137</v>
      </c>
      <c r="E75" t="s">
        <v>132</v>
      </c>
      <c r="F75" t="s">
        <v>102</v>
      </c>
      <c r="G75">
        <v>47</v>
      </c>
      <c r="H75">
        <v>0</v>
      </c>
      <c r="I7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s="5" cm="1">
        <f t="array" ref="K75">IFERROR(AVERAGE(IF((OutputTable[GroupByKey]=OutputTable[[#This Row],[GroupByKey]]),(OutputTable[GroupByKey]=OutputTable[[#This Row],[GroupByKey]])*OutputTable[RecordedValue])),0)</f>
        <v>38.93333333333333</v>
      </c>
      <c r="L75" s="5" cm="1">
        <f t="array" ref="L75">IFERROR(_xlfn.STDEV.S(IF((OutputTable[GroupByKey]=OutputTable[[#This Row],[GroupByKey]]),(OutputTable[GroupByKey]=OutputTable[[#This Row],[GroupByKey]])*OutputTable[RecordedValue])),0)</f>
        <v>5.9765826548191505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5" s="5" cm="1">
        <f t="array" ref="O75">MIN(IF((OutputTable[GroupByKey]=OutputTable[[#This Row],[GroupByKey]]),(OutputTable[GroupByKey]=OutputTable[[#This Row],[GroupByKey]])*OutputTable[RecordedValue]))</f>
        <v>25</v>
      </c>
      <c r="P75" s="5" cm="1">
        <f t="array" ref="P75">MAX(IF((OutputTable[GroupByKey]=OutputTable[[#This Row],[GroupByKey]]),(OutputTable[GroupByKey]=OutputTable[[#This Row],[GroupByKey]])*OutputTable[RecordedValue]))</f>
        <v>49</v>
      </c>
    </row>
    <row r="76" spans="1:16" x14ac:dyDescent="0.25">
      <c r="A76" t="s">
        <v>68</v>
      </c>
      <c r="B76" t="s">
        <v>70</v>
      </c>
      <c r="C76">
        <v>3</v>
      </c>
      <c r="D76" t="s">
        <v>138</v>
      </c>
      <c r="E76" t="s">
        <v>134</v>
      </c>
      <c r="F76" t="s">
        <v>102</v>
      </c>
      <c r="G76">
        <v>9.8837256908690996E-2</v>
      </c>
      <c r="H76">
        <v>0</v>
      </c>
      <c r="I7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s="5" cm="1">
        <f t="array" ref="K76">IFERROR(AVERAGE(IF((OutputTable[GroupByKey]=OutputTable[[#This Row],[GroupByKey]]),(OutputTable[GroupByKey]=OutputTable[[#This Row],[GroupByKey]])*OutputTable[RecordedValue])),0)</f>
        <v>8.2588852761398115E-2</v>
      </c>
      <c r="L76" s="5" cm="1">
        <f t="array" ref="L76">IFERROR(_xlfn.STDEV.S(IF((OutputTable[GroupByKey]=OutputTable[[#This Row],[GroupByKey]]),(OutputTable[GroupByKey]=OutputTable[[#This Row],[GroupByKey]])*OutputTable[RecordedValue])),0)</f>
        <v>1.3130964022328008E-2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76" s="5" cm="1">
        <f t="array" ref="O76">MIN(IF((OutputTable[GroupByKey]=OutputTable[[#This Row],[GroupByKey]]),(OutputTable[GroupByKey]=OutputTable[[#This Row],[GroupByKey]])*OutputTable[RecordedValue]))</f>
        <v>5.3757894868807901E-2</v>
      </c>
      <c r="P76" s="5" cm="1">
        <f t="array" ref="P76">MAX(IF((OutputTable[GroupByKey]=OutputTable[[#This Row],[GroupByKey]]),(OutputTable[GroupByKey]=OutputTable[[#This Row],[GroupByKey]])*OutputTable[RecordedValue]))</f>
        <v>0.103175045984152</v>
      </c>
    </row>
    <row r="77" spans="1:16" x14ac:dyDescent="0.25">
      <c r="A77" t="s">
        <v>68</v>
      </c>
      <c r="B77" t="s">
        <v>70</v>
      </c>
      <c r="C77">
        <v>4</v>
      </c>
      <c r="D77" t="s">
        <v>107</v>
      </c>
      <c r="E77" t="s">
        <v>108</v>
      </c>
      <c r="F77" t="s">
        <v>73</v>
      </c>
      <c r="G77">
        <v>99</v>
      </c>
      <c r="H77">
        <v>0</v>
      </c>
      <c r="I77" s="5" t="str">
        <f>OutputTable[[#This Row],[ProjectName]]&amp;OutputTable[[#This Row],[Name]]&amp;OutputTable[[#This Row],[Type]]&amp;OutputTable[[#This Row],[Source]]</f>
        <v>Pedido CleintesClientes.NumberInNumber InEntity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s="5" cm="1">
        <f t="array" ref="K77">IFERROR(AVERAGE(IF((OutputTable[GroupByKey]=OutputTable[[#This Row],[GroupByKey]]),(OutputTable[GroupByKey]=OutputTable[[#This Row],[GroupByKey]])*OutputTable[RecordedValue])),0)</f>
        <v>118.5</v>
      </c>
      <c r="L77" s="5" cm="1">
        <f t="array" ref="L77">IFERROR(_xlfn.STDEV.S(IF((OutputTable[GroupByKey]=OutputTable[[#This Row],[GroupByKey]]),(OutputTable[GroupByKey]=OutputTable[[#This Row],[GroupByKey]])*OutputTable[RecordedValue])),0)</f>
        <v>18.009097317936192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77" s="5" cm="1">
        <f t="array" ref="O77">MIN(IF((OutputTable[GroupByKey]=OutputTable[[#This Row],[GroupByKey]]),(OutputTable[GroupByKey]=OutputTable[[#This Row],[GroupByKey]])*OutputTable[RecordedValue]))</f>
        <v>78</v>
      </c>
      <c r="P77" s="5" cm="1">
        <f t="array" ref="P77">MAX(IF((OutputTable[GroupByKey]=OutputTable[[#This Row],[GroupByKey]]),(OutputTable[GroupByKey]=OutputTable[[#This Row],[GroupByKey]])*OutputTable[RecordedValue]))</f>
        <v>147</v>
      </c>
    </row>
    <row r="78" spans="1:16" x14ac:dyDescent="0.25">
      <c r="A78" t="s">
        <v>68</v>
      </c>
      <c r="B78" t="s">
        <v>70</v>
      </c>
      <c r="C78">
        <v>4</v>
      </c>
      <c r="D78" t="s">
        <v>109</v>
      </c>
      <c r="E78" t="s">
        <v>110</v>
      </c>
      <c r="F78" t="s">
        <v>73</v>
      </c>
      <c r="G78">
        <v>99</v>
      </c>
      <c r="H78">
        <v>0</v>
      </c>
      <c r="I78" s="5" t="str">
        <f>OutputTable[[#This Row],[ProjectName]]&amp;OutputTable[[#This Row],[Name]]&amp;OutputTable[[#This Row],[Type]]&amp;OutputTable[[#This Row],[Source]]</f>
        <v>Pedido CleintesClientes.NumberOutNumber OutEntity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s="5" cm="1">
        <f t="array" ref="K78">IFERROR(AVERAGE(IF((OutputTable[GroupByKey]=OutputTable[[#This Row],[GroupByKey]]),(OutputTable[GroupByKey]=OutputTable[[#This Row],[GroupByKey]])*OutputTable[RecordedValue])),0)</f>
        <v>116.6</v>
      </c>
      <c r="L78" s="5" cm="1">
        <f t="array" ref="L78">IFERROR(_xlfn.STDEV.S(IF((OutputTable[GroupByKey]=OutputTable[[#This Row],[GroupByKey]]),(OutputTable[GroupByKey]=OutputTable[[#This Row],[GroupByKey]])*OutputTable[RecordedValue])),0)</f>
        <v>18.252255410940514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78" s="5" cm="1">
        <f t="array" ref="O78">MIN(IF((OutputTable[GroupByKey]=OutputTable[[#This Row],[GroupByKey]]),(OutputTable[GroupByKey]=OutputTable[[#This Row],[GroupByKey]])*OutputTable[RecordedValue]))</f>
        <v>72</v>
      </c>
      <c r="P78" s="5" cm="1">
        <f t="array" ref="P78">MAX(IF((OutputTable[GroupByKey]=OutputTable[[#This Row],[GroupByKey]]),(OutputTable[GroupByKey]=OutputTable[[#This Row],[GroupByKey]])*OutputTable[RecordedValue]))</f>
        <v>147</v>
      </c>
    </row>
    <row r="79" spans="1:16" x14ac:dyDescent="0.25">
      <c r="A79" t="s">
        <v>68</v>
      </c>
      <c r="B79" t="s">
        <v>70</v>
      </c>
      <c r="C79">
        <v>4</v>
      </c>
      <c r="D79" t="s">
        <v>111</v>
      </c>
      <c r="E79" t="s">
        <v>112</v>
      </c>
      <c r="F79" t="s">
        <v>81</v>
      </c>
      <c r="G79">
        <v>17.129752963064998</v>
      </c>
      <c r="H79">
        <v>0</v>
      </c>
      <c r="I7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s="5" cm="1">
        <f t="array" ref="K79">IFERROR(AVERAGE(IF((OutputTable[GroupByKey]=OutputTable[[#This Row],[GroupByKey]]),(OutputTable[GroupByKey]=OutputTable[[#This Row],[GroupByKey]])*OutputTable[RecordedValue])),0)</f>
        <v>19.806808580201274</v>
      </c>
      <c r="L79" s="5" cm="1">
        <f t="array" ref="L79">IFERROR(_xlfn.STDEV.S(IF((OutputTable[GroupByKey]=OutputTable[[#This Row],[GroupByKey]]),(OutputTable[GroupByKey]=OutputTable[[#This Row],[GroupByKey]])*OutputTable[RecordedValue])),0)</f>
        <v>3.1624794742170024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79" s="5" cm="1">
        <f t="array" ref="O79">MIN(IF((OutputTable[GroupByKey]=OutputTable[[#This Row],[GroupByKey]]),(OutputTable[GroupByKey]=OutputTable[[#This Row],[GroupByKey]])*OutputTable[RecordedValue]))</f>
        <v>12.812268330404599</v>
      </c>
      <c r="P79" s="5" cm="1">
        <f t="array" ref="P79">MAX(IF((OutputTable[GroupByKey]=OutputTable[[#This Row],[GroupByKey]]),(OutputTable[GroupByKey]=OutputTable[[#This Row],[GroupByKey]])*OutputTable[RecordedValue]))</f>
        <v>24.762011036196501</v>
      </c>
    </row>
    <row r="80" spans="1:16" x14ac:dyDescent="0.25">
      <c r="A80" t="s">
        <v>68</v>
      </c>
      <c r="B80" t="s">
        <v>70</v>
      </c>
      <c r="C80">
        <v>4</v>
      </c>
      <c r="D80" t="s">
        <v>113</v>
      </c>
      <c r="E80" t="s">
        <v>114</v>
      </c>
      <c r="F80" t="s">
        <v>81</v>
      </c>
      <c r="G80">
        <v>0</v>
      </c>
      <c r="H80">
        <v>0</v>
      </c>
      <c r="I8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s="5" cm="1">
        <f t="array" ref="K80">IFERROR(AVERAGE(IF((OutputTable[GroupByKey]=OutputTable[[#This Row],[GroupByKey]]),(OutputTable[GroupByKey]=OutputTable[[#This Row],[GroupByKey]])*OutputTable[RecordedValue])),0)</f>
        <v>0</v>
      </c>
      <c r="L80" s="5" cm="1">
        <f t="array" ref="L80">IFERROR(_xlfn.STDEV.S(IF((OutputTable[GroupByKey]=OutputTable[[#This Row],[GroupByKey]]),(OutputTable[GroupByKey]=OutputTable[[#This Row],[GroupByKey]])*OutputTable[RecordedValue])),0)</f>
        <v>0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" s="5" cm="1">
        <f t="array" ref="O80">MIN(IF((OutputTable[GroupByKey]=OutputTable[[#This Row],[GroupByKey]]),(OutputTable[GroupByKey]=OutputTable[[#This Row],[GroupByKey]])*OutputTable[RecordedValue]))</f>
        <v>0</v>
      </c>
      <c r="P80" s="5" cm="1">
        <f t="array" ref="P80">MAX(IF((OutputTable[GroupByKey]=OutputTable[[#This Row],[GroupByKey]]),(OutputTable[GroupByKey]=OutputTable[[#This Row],[GroupByKey]])*OutputTable[RecordedValue]))</f>
        <v>0</v>
      </c>
    </row>
    <row r="81" spans="1:16" x14ac:dyDescent="0.25">
      <c r="A81" t="s">
        <v>68</v>
      </c>
      <c r="B81" t="s">
        <v>70</v>
      </c>
      <c r="C81">
        <v>4</v>
      </c>
      <c r="D81" t="s">
        <v>115</v>
      </c>
      <c r="E81" t="s">
        <v>108</v>
      </c>
      <c r="F81" t="s">
        <v>81</v>
      </c>
      <c r="G81">
        <v>33</v>
      </c>
      <c r="H81">
        <v>0</v>
      </c>
      <c r="I8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s="5" cm="1">
        <f t="array" ref="K81">IFERROR(AVERAGE(IF((OutputTable[GroupByKey]=OutputTable[[#This Row],[GroupByKey]]),(OutputTable[GroupByKey]=OutputTable[[#This Row],[GroupByKey]])*OutputTable[RecordedValue])),0)</f>
        <v>38.93333333333333</v>
      </c>
      <c r="L81" s="5" cm="1">
        <f t="array" ref="L81">IFERROR(_xlfn.STDEV.S(IF((OutputTable[GroupByKey]=OutputTable[[#This Row],[GroupByKey]]),(OutputTable[GroupByKey]=OutputTable[[#This Row],[GroupByKey]])*OutputTable[RecordedValue])),0)</f>
        <v>5.9765826548191505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81" s="5" cm="1">
        <f t="array" ref="O81">MIN(IF((OutputTable[GroupByKey]=OutputTable[[#This Row],[GroupByKey]]),(OutputTable[GroupByKey]=OutputTable[[#This Row],[GroupByKey]])*OutputTable[RecordedValue]))</f>
        <v>25</v>
      </c>
      <c r="P81" s="5" cm="1">
        <f t="array" ref="P81">MAX(IF((OutputTable[GroupByKey]=OutputTable[[#This Row],[GroupByKey]]),(OutputTable[GroupByKey]=OutputTable[[#This Row],[GroupByKey]])*OutputTable[RecordedValue]))</f>
        <v>49</v>
      </c>
    </row>
    <row r="82" spans="1:16" x14ac:dyDescent="0.25">
      <c r="A82" t="s">
        <v>68</v>
      </c>
      <c r="B82" t="s">
        <v>70</v>
      </c>
      <c r="C82">
        <v>4</v>
      </c>
      <c r="D82" t="s">
        <v>116</v>
      </c>
      <c r="E82" t="s">
        <v>110</v>
      </c>
      <c r="F82" t="s">
        <v>81</v>
      </c>
      <c r="G82">
        <v>33</v>
      </c>
      <c r="H82">
        <v>0</v>
      </c>
      <c r="I8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s="5" cm="1">
        <f t="array" ref="K82">IFERROR(AVERAGE(IF((OutputTable[GroupByKey]=OutputTable[[#This Row],[GroupByKey]]),(OutputTable[GroupByKey]=OutputTable[[#This Row],[GroupByKey]])*OutputTable[RecordedValue])),0)</f>
        <v>38.866666666666667</v>
      </c>
      <c r="L82" s="5" cm="1">
        <f t="array" ref="L82">IFERROR(_xlfn.STDEV.S(IF((OutputTable[GroupByKey]=OutputTable[[#This Row],[GroupByKey]]),(OutputTable[GroupByKey]=OutputTable[[#This Row],[GroupByKey]])*OutputTable[RecordedValue])),0)</f>
        <v>6.0840851369801694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82" s="5" cm="1">
        <f t="array" ref="O82">MIN(IF((OutputTable[GroupByKey]=OutputTable[[#This Row],[GroupByKey]]),(OutputTable[GroupByKey]=OutputTable[[#This Row],[GroupByKey]])*OutputTable[RecordedValue]))</f>
        <v>24</v>
      </c>
      <c r="P82" s="5" cm="1">
        <f t="array" ref="P82">MAX(IF((OutputTable[GroupByKey]=OutputTable[[#This Row],[GroupByKey]]),(OutputTable[GroupByKey]=OutputTable[[#This Row],[GroupByKey]])*OutputTable[RecordedValue]))</f>
        <v>49</v>
      </c>
    </row>
    <row r="83" spans="1:16" x14ac:dyDescent="0.25">
      <c r="A83" t="s">
        <v>68</v>
      </c>
      <c r="B83" t="s">
        <v>70</v>
      </c>
      <c r="C83">
        <v>4</v>
      </c>
      <c r="D83" t="s">
        <v>117</v>
      </c>
      <c r="E83" t="s">
        <v>112</v>
      </c>
      <c r="F83" t="s">
        <v>81</v>
      </c>
      <c r="G83">
        <v>32.979228338845701</v>
      </c>
      <c r="H83">
        <v>0</v>
      </c>
      <c r="I83" s="5" t="str">
        <f>OutputTable[[#This Row],[ProjectName]]&amp;OutputTable[[#This Row],[Name]]&amp;OutputTable[[#This Row],[Type]]&amp;OutputTable[[#This Row],[Source]]</f>
        <v>Pedido CleintesOrdnes Accum VA TimeAccum VA TimeProcess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s="5" cm="1">
        <f t="array" ref="K83">IFERROR(AVERAGE(IF((OutputTable[GroupByKey]=OutputTable[[#This Row],[GroupByKey]]),(OutputTable[GroupByKey]=OutputTable[[#This Row],[GroupByKey]])*OutputTable[RecordedValue])),0)</f>
        <v>39.878126992056487</v>
      </c>
      <c r="L83" s="5" cm="1">
        <f t="array" ref="L83">IFERROR(_xlfn.STDEV.S(IF((OutputTable[GroupByKey]=OutputTable[[#This Row],[GroupByKey]]),(OutputTable[GroupByKey]=OutputTable[[#This Row],[GroupByKey]])*OutputTable[RecordedValue])),0)</f>
        <v>6.1068580319474277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83" s="5" cm="1">
        <f t="array" ref="O83">MIN(IF((OutputTable[GroupByKey]=OutputTable[[#This Row],[GroupByKey]]),(OutputTable[GroupByKey]=OutputTable[[#This Row],[GroupByKey]])*OutputTable[RecordedValue]))</f>
        <v>26.106281767804099</v>
      </c>
      <c r="P83" s="5" cm="1">
        <f t="array" ref="P83">MAX(IF((OutputTable[GroupByKey]=OutputTable[[#This Row],[GroupByKey]]),(OutputTable[GroupByKey]=OutputTable[[#This Row],[GroupByKey]])*OutputTable[RecordedValue]))</f>
        <v>48.706388790541098</v>
      </c>
    </row>
    <row r="84" spans="1:16" x14ac:dyDescent="0.25">
      <c r="A84" t="s">
        <v>68</v>
      </c>
      <c r="B84" t="s">
        <v>70</v>
      </c>
      <c r="C84">
        <v>4</v>
      </c>
      <c r="D84" t="s">
        <v>118</v>
      </c>
      <c r="E84" t="s">
        <v>114</v>
      </c>
      <c r="F84" t="s">
        <v>81</v>
      </c>
      <c r="G84">
        <v>1.5637566322172201</v>
      </c>
      <c r="H84">
        <v>0</v>
      </c>
      <c r="I8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s="5" cm="1">
        <f t="array" ref="K84">IFERROR(AVERAGE(IF((OutputTable[GroupByKey]=OutputTable[[#This Row],[GroupByKey]]),(OutputTable[GroupByKey]=OutputTable[[#This Row],[GroupByKey]])*OutputTable[RecordedValue])),0)</f>
        <v>7.9804799821754404</v>
      </c>
      <c r="L84" s="5" cm="1">
        <f t="array" ref="L84">IFERROR(_xlfn.STDEV.S(IF((OutputTable[GroupByKey]=OutputTable[[#This Row],[GroupByKey]]),(OutputTable[GroupByKey]=OutputTable[[#This Row],[GroupByKey]])*OutputTable[RecordedValue])),0)</f>
        <v>4.8950382198155014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84" s="5" cm="1">
        <f t="array" ref="O84">MIN(IF((OutputTable[GroupByKey]=OutputTable[[#This Row],[GroupByKey]]),(OutputTable[GroupByKey]=OutputTable[[#This Row],[GroupByKey]])*OutputTable[RecordedValue]))</f>
        <v>0</v>
      </c>
      <c r="P84" s="5" cm="1">
        <f t="array" ref="P84">MAX(IF((OutputTable[GroupByKey]=OutputTable[[#This Row],[GroupByKey]]),(OutputTable[GroupByKey]=OutputTable[[#This Row],[GroupByKey]])*OutputTable[RecordedValue]))</f>
        <v>18.843855117811401</v>
      </c>
    </row>
    <row r="85" spans="1:16" x14ac:dyDescent="0.25">
      <c r="A85" t="s">
        <v>68</v>
      </c>
      <c r="B85" t="s">
        <v>70</v>
      </c>
      <c r="C85">
        <v>4</v>
      </c>
      <c r="D85" t="s">
        <v>119</v>
      </c>
      <c r="E85" t="s">
        <v>108</v>
      </c>
      <c r="F85" t="s">
        <v>81</v>
      </c>
      <c r="G85">
        <v>33</v>
      </c>
      <c r="H85">
        <v>0</v>
      </c>
      <c r="I85" s="5" t="str">
        <f>OutputTable[[#This Row],[ProjectName]]&amp;OutputTable[[#This Row],[Name]]&amp;OutputTable[[#This Row],[Type]]&amp;OutputTable[[#This Row],[Source]]</f>
        <v>Pedido CleintesOrdnes Number InNumber InProcess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s="5" cm="1">
        <f t="array" ref="K85">IFERROR(AVERAGE(IF((OutputTable[GroupByKey]=OutputTable[[#This Row],[GroupByKey]]),(OutputTable[GroupByKey]=OutputTable[[#This Row],[GroupByKey]])*OutputTable[RecordedValue])),0)</f>
        <v>39.9</v>
      </c>
      <c r="L85" s="5" cm="1">
        <f t="array" ref="L85">IFERROR(_xlfn.STDEV.S(IF((OutputTable[GroupByKey]=OutputTable[[#This Row],[GroupByKey]]),(OutputTable[GroupByKey]=OutputTable[[#This Row],[GroupByKey]])*OutputTable[RecordedValue])),0)</f>
        <v>6.0648791101463475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85" s="5" cm="1">
        <f t="array" ref="O85">MIN(IF((OutputTable[GroupByKey]=OutputTable[[#This Row],[GroupByKey]]),(OutputTable[GroupByKey]=OutputTable[[#This Row],[GroupByKey]])*OutputTable[RecordedValue]))</f>
        <v>27</v>
      </c>
      <c r="P85" s="5" cm="1">
        <f t="array" ref="P85">MAX(IF((OutputTable[GroupByKey]=OutputTable[[#This Row],[GroupByKey]]),(OutputTable[GroupByKey]=OutputTable[[#This Row],[GroupByKey]])*OutputTable[RecordedValue]))</f>
        <v>49</v>
      </c>
    </row>
    <row r="86" spans="1:16" x14ac:dyDescent="0.25">
      <c r="A86" t="s">
        <v>68</v>
      </c>
      <c r="B86" t="s">
        <v>70</v>
      </c>
      <c r="C86">
        <v>4</v>
      </c>
      <c r="D86" t="s">
        <v>120</v>
      </c>
      <c r="E86" t="s">
        <v>110</v>
      </c>
      <c r="F86" t="s">
        <v>81</v>
      </c>
      <c r="G86">
        <v>33</v>
      </c>
      <c r="H86">
        <v>0</v>
      </c>
      <c r="I86" s="5" t="str">
        <f>OutputTable[[#This Row],[ProjectName]]&amp;OutputTable[[#This Row],[Name]]&amp;OutputTable[[#This Row],[Type]]&amp;OutputTable[[#This Row],[Source]]</f>
        <v>Pedido CleintesOrdnes Number OutNumber OutProcess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s="5" cm="1">
        <f t="array" ref="K86">IFERROR(AVERAGE(IF((OutputTable[GroupByKey]=OutputTable[[#This Row],[GroupByKey]]),(OutputTable[GroupByKey]=OutputTable[[#This Row],[GroupByKey]])*OutputTable[RecordedValue])),0)</f>
        <v>39.666666666666664</v>
      </c>
      <c r="L86" s="5" cm="1">
        <f t="array" ref="L86">IFERROR(_xlfn.STDEV.S(IF((OutputTable[GroupByKey]=OutputTable[[#This Row],[GroupByKey]]),(OutputTable[GroupByKey]=OutputTable[[#This Row],[GroupByKey]])*OutputTable[RecordedValue])),0)</f>
        <v>6.0477030882540914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86" s="5" cm="1">
        <f t="array" ref="O86">MIN(IF((OutputTable[GroupByKey]=OutputTable[[#This Row],[GroupByKey]]),(OutputTable[GroupByKey]=OutputTable[[#This Row],[GroupByKey]])*OutputTable[RecordedValue]))</f>
        <v>26</v>
      </c>
      <c r="P86" s="5" cm="1">
        <f t="array" ref="P86">MAX(IF((OutputTable[GroupByKey]=OutputTable[[#This Row],[GroupByKey]]),(OutputTable[GroupByKey]=OutputTable[[#This Row],[GroupByKey]])*OutputTable[RecordedValue]))</f>
        <v>49</v>
      </c>
    </row>
    <row r="87" spans="1:16" x14ac:dyDescent="0.25">
      <c r="A87" t="s">
        <v>68</v>
      </c>
      <c r="B87" t="s">
        <v>70</v>
      </c>
      <c r="C87">
        <v>4</v>
      </c>
      <c r="D87" t="s">
        <v>121</v>
      </c>
      <c r="E87" t="s">
        <v>112</v>
      </c>
      <c r="F87" t="s">
        <v>81</v>
      </c>
      <c r="G87">
        <v>22.935188929326301</v>
      </c>
      <c r="H87">
        <v>0</v>
      </c>
      <c r="I87" s="5" t="str">
        <f>OutputTable[[#This Row],[ProjectName]]&amp;OutputTable[[#This Row],[Name]]&amp;OutputTable[[#This Row],[Type]]&amp;OutputTable[[#This Row],[Source]]</f>
        <v>Pedido CleintesPago Accum VA TimeAccum VA TimeProcess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s="5" cm="1">
        <f t="array" ref="K87">IFERROR(AVERAGE(IF((OutputTable[GroupByKey]=OutputTable[[#This Row],[GroupByKey]]),(OutputTable[GroupByKey]=OutputTable[[#This Row],[GroupByKey]])*OutputTable[RecordedValue])),0)</f>
        <v>29.486262713858675</v>
      </c>
      <c r="L87" s="5" cm="1">
        <f t="array" ref="L87">IFERROR(_xlfn.STDEV.S(IF((OutputTable[GroupByKey]=OutputTable[[#This Row],[GroupByKey]]),(OutputTable[GroupByKey]=OutputTable[[#This Row],[GroupByKey]])*OutputTable[RecordedValue])),0)</f>
        <v>4.747176664010901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87" s="5" cm="1">
        <f t="array" ref="O87">MIN(IF((OutputTable[GroupByKey]=OutputTable[[#This Row],[GroupByKey]]),(OutputTable[GroupByKey]=OutputTable[[#This Row],[GroupByKey]])*OutputTable[RecordedValue]))</f>
        <v>19.573210250889101</v>
      </c>
      <c r="P87" s="5" cm="1">
        <f t="array" ref="P87">MAX(IF((OutputTable[GroupByKey]=OutputTable[[#This Row],[GroupByKey]]),(OutputTable[GroupByKey]=OutputTable[[#This Row],[GroupByKey]])*OutputTable[RecordedValue]))</f>
        <v>37.056974462114901</v>
      </c>
    </row>
    <row r="88" spans="1:16" x14ac:dyDescent="0.25">
      <c r="A88" t="s">
        <v>68</v>
      </c>
      <c r="B88" t="s">
        <v>70</v>
      </c>
      <c r="C88">
        <v>4</v>
      </c>
      <c r="D88" t="s">
        <v>122</v>
      </c>
      <c r="E88" t="s">
        <v>114</v>
      </c>
      <c r="F88" t="s">
        <v>81</v>
      </c>
      <c r="G88">
        <v>5.0902027934639902</v>
      </c>
      <c r="H88">
        <v>0</v>
      </c>
      <c r="I88" s="5" t="str">
        <f>OutputTable[[#This Row],[ProjectName]]&amp;OutputTable[[#This Row],[Name]]&amp;OutputTable[[#This Row],[Type]]&amp;OutputTable[[#This Row],[Source]]</f>
        <v>Pedido CleintesPago Accum Wait TimeAccum Wait TimeProcess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s="5" cm="1">
        <f t="array" ref="K88">IFERROR(AVERAGE(IF((OutputTable[GroupByKey]=OutputTable[[#This Row],[GroupByKey]]),(OutputTable[GroupByKey]=OutputTable[[#This Row],[GroupByKey]])*OutputTable[RecordedValue])),0)</f>
        <v>13.025761997568024</v>
      </c>
      <c r="L88" s="5" cm="1">
        <f t="array" ref="L88">IFERROR(_xlfn.STDEV.S(IF((OutputTable[GroupByKey]=OutputTable[[#This Row],[GroupByKey]]),(OutputTable[GroupByKey]=OutputTable[[#This Row],[GroupByKey]])*OutputTable[RecordedValue])),0)</f>
        <v>7.8467935605388783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88" s="5" cm="1">
        <f t="array" ref="O88">MIN(IF((OutputTable[GroupByKey]=OutputTable[[#This Row],[GroupByKey]]),(OutputTable[GroupByKey]=OutputTable[[#This Row],[GroupByKey]])*OutputTable[RecordedValue]))</f>
        <v>0</v>
      </c>
      <c r="P88" s="5" cm="1">
        <f t="array" ref="P88">MAX(IF((OutputTable[GroupByKey]=OutputTable[[#This Row],[GroupByKey]]),(OutputTable[GroupByKey]=OutputTable[[#This Row],[GroupByKey]])*OutputTable[RecordedValue]))</f>
        <v>32.770863925850499</v>
      </c>
    </row>
    <row r="89" spans="1:16" x14ac:dyDescent="0.25">
      <c r="A89" t="s">
        <v>68</v>
      </c>
      <c r="B89" t="s">
        <v>70</v>
      </c>
      <c r="C89">
        <v>4</v>
      </c>
      <c r="D89" t="s">
        <v>123</v>
      </c>
      <c r="E89" t="s">
        <v>108</v>
      </c>
      <c r="F89" t="s">
        <v>81</v>
      </c>
      <c r="G89">
        <v>33</v>
      </c>
      <c r="H89">
        <v>0</v>
      </c>
      <c r="I89" s="5" t="str">
        <f>OutputTable[[#This Row],[ProjectName]]&amp;OutputTable[[#This Row],[Name]]&amp;OutputTable[[#This Row],[Type]]&amp;OutputTable[[#This Row],[Source]]</f>
        <v>Pedido CleintesPago Number InNumber InProcess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s="5" cm="1">
        <f t="array" ref="K89">IFERROR(AVERAGE(IF((OutputTable[GroupByKey]=OutputTable[[#This Row],[GroupByKey]]),(OutputTable[GroupByKey]=OutputTable[[#This Row],[GroupByKey]])*OutputTable[RecordedValue])),0)</f>
        <v>39.666666666666664</v>
      </c>
      <c r="L89" s="5" cm="1">
        <f t="array" ref="L89">IFERROR(_xlfn.STDEV.S(IF((OutputTable[GroupByKey]=OutputTable[[#This Row],[GroupByKey]]),(OutputTable[GroupByKey]=OutputTable[[#This Row],[GroupByKey]])*OutputTable[RecordedValue])),0)</f>
        <v>6.0477030882540914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89" s="5" cm="1">
        <f t="array" ref="O89">MIN(IF((OutputTable[GroupByKey]=OutputTable[[#This Row],[GroupByKey]]),(OutputTable[GroupByKey]=OutputTable[[#This Row],[GroupByKey]])*OutputTable[RecordedValue]))</f>
        <v>26</v>
      </c>
      <c r="P89" s="5" cm="1">
        <f t="array" ref="P89">MAX(IF((OutputTable[GroupByKey]=OutputTable[[#This Row],[GroupByKey]]),(OutputTable[GroupByKey]=OutputTable[[#This Row],[GroupByKey]])*OutputTable[RecordedValue]))</f>
        <v>49</v>
      </c>
    </row>
    <row r="90" spans="1:16" x14ac:dyDescent="0.25">
      <c r="A90" t="s">
        <v>68</v>
      </c>
      <c r="B90" t="s">
        <v>70</v>
      </c>
      <c r="C90">
        <v>4</v>
      </c>
      <c r="D90" t="s">
        <v>124</v>
      </c>
      <c r="E90" t="s">
        <v>110</v>
      </c>
      <c r="F90" t="s">
        <v>81</v>
      </c>
      <c r="G90">
        <v>33</v>
      </c>
      <c r="H90">
        <v>0</v>
      </c>
      <c r="I90" s="5" t="str">
        <f>OutputTable[[#This Row],[ProjectName]]&amp;OutputTable[[#This Row],[Name]]&amp;OutputTable[[#This Row],[Type]]&amp;OutputTable[[#This Row],[Source]]</f>
        <v>Pedido CleintesPago Number OutNumber OutProcess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s="5" cm="1">
        <f t="array" ref="K90">IFERROR(AVERAGE(IF((OutputTable[GroupByKey]=OutputTable[[#This Row],[GroupByKey]]),(OutputTable[GroupByKey]=OutputTable[[#This Row],[GroupByKey]])*OutputTable[RecordedValue])),0)</f>
        <v>39.43333333333333</v>
      </c>
      <c r="L90" s="5" cm="1">
        <f t="array" ref="L90">IFERROR(_xlfn.STDEV.S(IF((OutputTable[GroupByKey]=OutputTable[[#This Row],[GroupByKey]]),(OutputTable[GroupByKey]=OutputTable[[#This Row],[GroupByKey]])*OutputTable[RecordedValue])),0)</f>
        <v>5.9171482724502509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90" s="5" cm="1">
        <f t="array" ref="O90">MIN(IF((OutputTable[GroupByKey]=OutputTable[[#This Row],[GroupByKey]]),(OutputTable[GroupByKey]=OutputTable[[#This Row],[GroupByKey]])*OutputTable[RecordedValue]))</f>
        <v>26</v>
      </c>
      <c r="P90" s="5" cm="1">
        <f t="array" ref="P90">MAX(IF((OutputTable[GroupByKey]=OutputTable[[#This Row],[GroupByKey]]),(OutputTable[GroupByKey]=OutputTable[[#This Row],[GroupByKey]])*OutputTable[RecordedValue]))</f>
        <v>49</v>
      </c>
    </row>
    <row r="91" spans="1:16" x14ac:dyDescent="0.25">
      <c r="A91" t="s">
        <v>68</v>
      </c>
      <c r="B91" t="s">
        <v>70</v>
      </c>
      <c r="C91">
        <v>4</v>
      </c>
      <c r="D91" t="s">
        <v>125</v>
      </c>
      <c r="E91" t="s">
        <v>112</v>
      </c>
      <c r="F91" t="s">
        <v>81</v>
      </c>
      <c r="G91">
        <v>100.30972838651699</v>
      </c>
      <c r="H91">
        <v>0</v>
      </c>
      <c r="I9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s="5" cm="1">
        <f t="array" ref="K91">IFERROR(AVERAGE(IF((OutputTable[GroupByKey]=OutputTable[[#This Row],[GroupByKey]]),(OutputTable[GroupByKey]=OutputTable[[#This Row],[GroupByKey]])*OutputTable[RecordedValue])),0)</f>
        <v>116.64263458387505</v>
      </c>
      <c r="L91" s="5" cm="1">
        <f t="array" ref="L91">IFERROR(_xlfn.STDEV.S(IF((OutputTable[GroupByKey]=OutputTable[[#This Row],[GroupByKey]]),(OutputTable[GroupByKey]=OutputTable[[#This Row],[GroupByKey]])*OutputTable[RecordedValue])),0)</f>
        <v>17.825477946659205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91" s="5" cm="1">
        <f t="array" ref="O91">MIN(IF((OutputTable[GroupByKey]=OutputTable[[#This Row],[GroupByKey]]),(OutputTable[GroupByKey]=OutputTable[[#This Row],[GroupByKey]])*OutputTable[RecordedValue]))</f>
        <v>74.976560761710004</v>
      </c>
      <c r="P91" s="5" cm="1">
        <f t="array" ref="P91">MAX(IF((OutputTable[GroupByKey]=OutputTable[[#This Row],[GroupByKey]]),(OutputTable[GroupByKey]=OutputTable[[#This Row],[GroupByKey]])*OutputTable[RecordedValue]))</f>
        <v>145.504156763596</v>
      </c>
    </row>
    <row r="92" spans="1:16" x14ac:dyDescent="0.25">
      <c r="A92" t="s">
        <v>68</v>
      </c>
      <c r="B92" t="s">
        <v>70</v>
      </c>
      <c r="C92">
        <v>4</v>
      </c>
      <c r="D92" t="s">
        <v>126</v>
      </c>
      <c r="E92" t="s">
        <v>114</v>
      </c>
      <c r="F92" t="s">
        <v>81</v>
      </c>
      <c r="G92">
        <v>14.994312564863799</v>
      </c>
      <c r="H92">
        <v>0</v>
      </c>
      <c r="I9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s="5" cm="1">
        <f t="array" ref="K92">IFERROR(AVERAGE(IF((OutputTable[GroupByKey]=OutputTable[[#This Row],[GroupByKey]]),(OutputTable[GroupByKey]=OutputTable[[#This Row],[GroupByKey]])*OutputTable[RecordedValue])),0)</f>
        <v>39.900972800228722</v>
      </c>
      <c r="L92" s="5" cm="1">
        <f t="array" ref="L92">IFERROR(_xlfn.STDEV.S(IF((OutputTable[GroupByKey]=OutputTable[[#This Row],[GroupByKey]]),(OutputTable[GroupByKey]=OutputTable[[#This Row],[GroupByKey]])*OutputTable[RecordedValue])),0)</f>
        <v>22.922906975864144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92" s="5" cm="1">
        <f t="array" ref="O92">MIN(IF((OutputTable[GroupByKey]=OutputTable[[#This Row],[GroupByKey]]),(OutputTable[GroupByKey]=OutputTable[[#This Row],[GroupByKey]])*OutputTable[RecordedValue]))</f>
        <v>2.1708788192608899</v>
      </c>
      <c r="P92" s="5" cm="1">
        <f t="array" ref="P92">MAX(IF((OutputTable[GroupByKey]=OutputTable[[#This Row],[GroupByKey]]),(OutputTable[GroupByKey]=OutputTable[[#This Row],[GroupByKey]])*OutputTable[RecordedValue]))</f>
        <v>94.9142929398908</v>
      </c>
    </row>
    <row r="93" spans="1:16" x14ac:dyDescent="0.25">
      <c r="A93" t="s">
        <v>68</v>
      </c>
      <c r="B93" t="s">
        <v>70</v>
      </c>
      <c r="C93">
        <v>4</v>
      </c>
      <c r="D93" t="s">
        <v>127</v>
      </c>
      <c r="E93" t="s">
        <v>108</v>
      </c>
      <c r="F93" t="s">
        <v>81</v>
      </c>
      <c r="G93">
        <v>33</v>
      </c>
      <c r="H93">
        <v>0</v>
      </c>
      <c r="I93" s="5" t="str">
        <f>OutputTable[[#This Row],[ProjectName]]&amp;OutputTable[[#This Row],[Name]]&amp;OutputTable[[#This Row],[Type]]&amp;OutputTable[[#This Row],[Source]]</f>
        <v>Pedido CleintesPreparar orden Number InNumber InProcess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s="5" cm="1">
        <f t="array" ref="K93">IFERROR(AVERAGE(IF((OutputTable[GroupByKey]=OutputTable[[#This Row],[GroupByKey]]),(OutputTable[GroupByKey]=OutputTable[[#This Row],[GroupByKey]])*OutputTable[RecordedValue])),0)</f>
        <v>39.666666666666664</v>
      </c>
      <c r="L93" s="5" cm="1">
        <f t="array" ref="L93">IFERROR(_xlfn.STDEV.S(IF((OutputTable[GroupByKey]=OutputTable[[#This Row],[GroupByKey]]),(OutputTable[GroupByKey]=OutputTable[[#This Row],[GroupByKey]])*OutputTable[RecordedValue])),0)</f>
        <v>6.0477030882540914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93" s="5" cm="1">
        <f t="array" ref="O93">MIN(IF((OutputTable[GroupByKey]=OutputTable[[#This Row],[GroupByKey]]),(OutputTable[GroupByKey]=OutputTable[[#This Row],[GroupByKey]])*OutputTable[RecordedValue]))</f>
        <v>26</v>
      </c>
      <c r="P93" s="5" cm="1">
        <f t="array" ref="P93">MAX(IF((OutputTable[GroupByKey]=OutputTable[[#This Row],[GroupByKey]]),(OutputTable[GroupByKey]=OutputTable[[#This Row],[GroupByKey]])*OutputTable[RecordedValue]))</f>
        <v>49</v>
      </c>
    </row>
    <row r="94" spans="1:16" x14ac:dyDescent="0.25">
      <c r="A94" t="s">
        <v>68</v>
      </c>
      <c r="B94" t="s">
        <v>70</v>
      </c>
      <c r="C94">
        <v>4</v>
      </c>
      <c r="D94" t="s">
        <v>128</v>
      </c>
      <c r="E94" t="s">
        <v>110</v>
      </c>
      <c r="F94" t="s">
        <v>81</v>
      </c>
      <c r="G94">
        <v>33</v>
      </c>
      <c r="H94">
        <v>0</v>
      </c>
      <c r="I94" s="5" t="str">
        <f>OutputTable[[#This Row],[ProjectName]]&amp;OutputTable[[#This Row],[Name]]&amp;OutputTable[[#This Row],[Type]]&amp;OutputTable[[#This Row],[Source]]</f>
        <v>Pedido CleintesPreparar orden Number OutNumber OutProcess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s="5" cm="1">
        <f t="array" ref="K94">IFERROR(AVERAGE(IF((OutputTable[GroupByKey]=OutputTable[[#This Row],[GroupByKey]]),(OutputTable[GroupByKey]=OutputTable[[#This Row],[GroupByKey]])*OutputTable[RecordedValue])),0)</f>
        <v>38.93333333333333</v>
      </c>
      <c r="L94" s="5" cm="1">
        <f t="array" ref="L94">IFERROR(_xlfn.STDEV.S(IF((OutputTable[GroupByKey]=OutputTable[[#This Row],[GroupByKey]]),(OutputTable[GroupByKey]=OutputTable[[#This Row],[GroupByKey]])*OutputTable[RecordedValue])),0)</f>
        <v>5.9765826548191505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94" s="5" cm="1">
        <f t="array" ref="O94">MIN(IF((OutputTable[GroupByKey]=OutputTable[[#This Row],[GroupByKey]]),(OutputTable[GroupByKey]=OutputTable[[#This Row],[GroupByKey]])*OutputTable[RecordedValue]))</f>
        <v>25</v>
      </c>
      <c r="P94" s="5" cm="1">
        <f t="array" ref="P94">MAX(IF((OutputTable[GroupByKey]=OutputTable[[#This Row],[GroupByKey]]),(OutputTable[GroupByKey]=OutputTable[[#This Row],[GroupByKey]])*OutputTable[RecordedValue]))</f>
        <v>49</v>
      </c>
    </row>
    <row r="95" spans="1:16" x14ac:dyDescent="0.25">
      <c r="A95" t="s">
        <v>68</v>
      </c>
      <c r="B95" t="s">
        <v>70</v>
      </c>
      <c r="C95">
        <v>4</v>
      </c>
      <c r="D95" t="s">
        <v>129</v>
      </c>
      <c r="E95" t="s">
        <v>110</v>
      </c>
      <c r="F95" t="s">
        <v>130</v>
      </c>
      <c r="G95">
        <v>33</v>
      </c>
      <c r="H95">
        <v>0</v>
      </c>
      <c r="I95" s="5" t="str">
        <f>OutputTable[[#This Row],[ProjectName]]&amp;OutputTable[[#This Row],[Name]]&amp;OutputTable[[#This Row],[Type]]&amp;OutputTable[[#This Row],[Source]]</f>
        <v>Pedido CleintesSystem.NumberOutNumber OutSystem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s="5" cm="1">
        <f t="array" ref="K95">IFERROR(AVERAGE(IF((OutputTable[GroupByKey]=OutputTable[[#This Row],[GroupByKey]]),(OutputTable[GroupByKey]=OutputTable[[#This Row],[GroupByKey]])*OutputTable[RecordedValue])),0)</f>
        <v>38.866666666666667</v>
      </c>
      <c r="L95" s="5" cm="1">
        <f t="array" ref="L95">IFERROR(_xlfn.STDEV.S(IF((OutputTable[GroupByKey]=OutputTable[[#This Row],[GroupByKey]]),(OutputTable[GroupByKey]=OutputTable[[#This Row],[GroupByKey]])*OutputTable[RecordedValue])),0)</f>
        <v>6.0840851369801694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95" s="5" cm="1">
        <f t="array" ref="O95">MIN(IF((OutputTable[GroupByKey]=OutputTable[[#This Row],[GroupByKey]]),(OutputTable[GroupByKey]=OutputTable[[#This Row],[GroupByKey]])*OutputTable[RecordedValue]))</f>
        <v>24</v>
      </c>
      <c r="P95" s="5" cm="1">
        <f t="array" ref="P95">MAX(IF((OutputTable[GroupByKey]=OutputTable[[#This Row],[GroupByKey]]),(OutputTable[GroupByKey]=OutputTable[[#This Row],[GroupByKey]])*OutputTable[RecordedValue]))</f>
        <v>49</v>
      </c>
    </row>
    <row r="96" spans="1:16" x14ac:dyDescent="0.25">
      <c r="A96" t="s">
        <v>68</v>
      </c>
      <c r="B96" t="s">
        <v>70</v>
      </c>
      <c r="C96">
        <v>4</v>
      </c>
      <c r="D96" t="s">
        <v>131</v>
      </c>
      <c r="E96" t="s">
        <v>132</v>
      </c>
      <c r="F96" t="s">
        <v>102</v>
      </c>
      <c r="G96">
        <v>33</v>
      </c>
      <c r="H96">
        <v>0</v>
      </c>
      <c r="I9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s="5" cm="1">
        <f t="array" ref="K96">IFERROR(AVERAGE(IF((OutputTable[GroupByKey]=OutputTable[[#This Row],[GroupByKey]]),(OutputTable[GroupByKey]=OutputTable[[#This Row],[GroupByKey]])*OutputTable[RecordedValue])),0)</f>
        <v>39.4</v>
      </c>
      <c r="L96" s="5" cm="1">
        <f t="array" ref="L96">IFERROR(_xlfn.STDEV.S(IF((OutputTable[GroupByKey]=OutputTable[[#This Row],[GroupByKey]]),(OutputTable[GroupByKey]=OutputTable[[#This Row],[GroupByKey]])*OutputTable[RecordedValue])),0)</f>
        <v>5.8757244601014422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96" s="5" cm="1">
        <f t="array" ref="O96">MIN(IF((OutputTable[GroupByKey]=OutputTable[[#This Row],[GroupByKey]]),(OutputTable[GroupByKey]=OutputTable[[#This Row],[GroupByKey]])*OutputTable[RecordedValue]))</f>
        <v>26</v>
      </c>
      <c r="P96" s="5" cm="1">
        <f t="array" ref="P96">MAX(IF((OutputTable[GroupByKey]=OutputTable[[#This Row],[GroupByKey]]),(OutputTable[GroupByKey]=OutputTable[[#This Row],[GroupByKey]])*OutputTable[RecordedValue]))</f>
        <v>49</v>
      </c>
    </row>
    <row r="97" spans="1:16" x14ac:dyDescent="0.25">
      <c r="A97" t="s">
        <v>68</v>
      </c>
      <c r="B97" t="s">
        <v>70</v>
      </c>
      <c r="C97">
        <v>4</v>
      </c>
      <c r="D97" t="s">
        <v>133</v>
      </c>
      <c r="E97" t="s">
        <v>134</v>
      </c>
      <c r="F97" t="s">
        <v>102</v>
      </c>
      <c r="G97">
        <v>0.41795720161048699</v>
      </c>
      <c r="H97">
        <v>0</v>
      </c>
      <c r="I9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s="5" cm="1">
        <f t="array" ref="K97">IFERROR(AVERAGE(IF((OutputTable[GroupByKey]=OutputTable[[#This Row],[GroupByKey]]),(OutputTable[GroupByKey]=OutputTable[[#This Row],[GroupByKey]])*OutputTable[RecordedValue])),0)</f>
        <v>0.48891840079317483</v>
      </c>
      <c r="L97" s="5" cm="1">
        <f t="array" ref="L97">IFERROR(_xlfn.STDEV.S(IF((OutputTable[GroupByKey]=OutputTable[[#This Row],[GroupByKey]]),(OutputTable[GroupByKey]=OutputTable[[#This Row],[GroupByKey]])*OutputTable[RecordedValue])),0)</f>
        <v>7.3627413122013347E-2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97" s="5" cm="1">
        <f t="array" ref="O97">MIN(IF((OutputTable[GroupByKey]=OutputTable[[#This Row],[GroupByKey]]),(OutputTable[GroupByKey]=OutputTable[[#This Row],[GroupByKey]])*OutputTable[RecordedValue]))</f>
        <v>0.31277577999924699</v>
      </c>
      <c r="P97" s="5" cm="1">
        <f t="array" ref="P97">MAX(IF((OutputTable[GroupByKey]=OutputTable[[#This Row],[GroupByKey]]),(OutputTable[GroupByKey]=OutputTable[[#This Row],[GroupByKey]])*OutputTable[RecordedValue]))</f>
        <v>0.60626731984831705</v>
      </c>
    </row>
    <row r="98" spans="1:16" x14ac:dyDescent="0.25">
      <c r="A98" t="s">
        <v>68</v>
      </c>
      <c r="B98" t="s">
        <v>70</v>
      </c>
      <c r="C98">
        <v>4</v>
      </c>
      <c r="D98" t="s">
        <v>135</v>
      </c>
      <c r="E98" t="s">
        <v>132</v>
      </c>
      <c r="F98" t="s">
        <v>102</v>
      </c>
      <c r="G98">
        <v>66</v>
      </c>
      <c r="H98">
        <v>0</v>
      </c>
      <c r="I9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s="5" cm="1">
        <f t="array" ref="K98">IFERROR(AVERAGE(IF((OutputTable[GroupByKey]=OutputTable[[#This Row],[GroupByKey]]),(OutputTable[GroupByKey]=OutputTable[[#This Row],[GroupByKey]])*OutputTable[RecordedValue])),0)</f>
        <v>79.466666666666669</v>
      </c>
      <c r="L98" s="5" cm="1">
        <f t="array" ref="L98">IFERROR(_xlfn.STDEV.S(IF((OutputTable[GroupByKey]=OutputTable[[#This Row],[GroupByKey]]),(OutputTable[GroupByKey]=OutputTable[[#This Row],[GroupByKey]])*OutputTable[RecordedValue])),0)</f>
        <v>12.016463801753446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98" s="5" cm="1">
        <f t="array" ref="O98">MIN(IF((OutputTable[GroupByKey]=OutputTable[[#This Row],[GroupByKey]]),(OutputTable[GroupByKey]=OutputTable[[#This Row],[GroupByKey]])*OutputTable[RecordedValue]))</f>
        <v>53</v>
      </c>
      <c r="P98" s="5" cm="1">
        <f t="array" ref="P98">MAX(IF((OutputTable[GroupByKey]=OutputTable[[#This Row],[GroupByKey]]),(OutputTable[GroupByKey]=OutputTable[[#This Row],[GroupByKey]])*OutputTable[RecordedValue]))</f>
        <v>98</v>
      </c>
    </row>
    <row r="99" spans="1:16" x14ac:dyDescent="0.25">
      <c r="A99" t="s">
        <v>68</v>
      </c>
      <c r="B99" t="s">
        <v>70</v>
      </c>
      <c r="C99">
        <v>4</v>
      </c>
      <c r="D99" t="s">
        <v>136</v>
      </c>
      <c r="E99" t="s">
        <v>134</v>
      </c>
      <c r="F99" t="s">
        <v>102</v>
      </c>
      <c r="G99">
        <v>0.23297673861738399</v>
      </c>
      <c r="H99">
        <v>0</v>
      </c>
      <c r="I9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s="5" cm="1">
        <f t="array" ref="K99">IFERROR(AVERAGE(IF((OutputTable[GroupByKey]=OutputTable[[#This Row],[GroupByKey]]),(OutputTable[GroupByKey]=OutputTable[[#This Row],[GroupByKey]])*OutputTable[RecordedValue])),0)</f>
        <v>0.28976365927997022</v>
      </c>
      <c r="L99" s="5" cm="1">
        <f t="array" ref="L99">IFERROR(_xlfn.STDEV.S(IF((OutputTable[GroupByKey]=OutputTable[[#This Row],[GroupByKey]]),(OutputTable[GroupByKey]=OutputTable[[#This Row],[GroupByKey]])*OutputTable[RecordedValue])),0)</f>
        <v>4.4748273652133699E-2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99" s="5" cm="1">
        <f t="array" ref="O99">MIN(IF((OutputTable[GroupByKey]=OutputTable[[#This Row],[GroupByKey]]),(OutputTable[GroupByKey]=OutputTable[[#This Row],[GroupByKey]])*OutputTable[RecordedValue]))</f>
        <v>0.194735973294278</v>
      </c>
      <c r="P99" s="5" cm="1">
        <f t="array" ref="P99">MAX(IF((OutputTable[GroupByKey]=OutputTable[[#This Row],[GroupByKey]]),(OutputTable[GroupByKey]=OutputTable[[#This Row],[GroupByKey]])*OutputTable[RecordedValue]))</f>
        <v>0.35775345817659199</v>
      </c>
    </row>
    <row r="100" spans="1:16" x14ac:dyDescent="0.25">
      <c r="A100" t="s">
        <v>68</v>
      </c>
      <c r="B100" t="s">
        <v>70</v>
      </c>
      <c r="C100">
        <v>4</v>
      </c>
      <c r="D100" t="s">
        <v>137</v>
      </c>
      <c r="E100" t="s">
        <v>132</v>
      </c>
      <c r="F100" t="s">
        <v>102</v>
      </c>
      <c r="G100">
        <v>33</v>
      </c>
      <c r="H100">
        <v>0</v>
      </c>
      <c r="I10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s="5" cm="1">
        <f t="array" ref="K100">IFERROR(AVERAGE(IF((OutputTable[GroupByKey]=OutputTable[[#This Row],[GroupByKey]]),(OutputTable[GroupByKey]=OutputTable[[#This Row],[GroupByKey]])*OutputTable[RecordedValue])),0)</f>
        <v>38.93333333333333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5.9765826548191505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00" s="5" cm="1">
        <f t="array" ref="O100">MIN(IF((OutputTable[GroupByKey]=OutputTable[[#This Row],[GroupByKey]]),(OutputTable[GroupByKey]=OutputTable[[#This Row],[GroupByKey]])*OutputTable[RecordedValue]))</f>
        <v>25</v>
      </c>
      <c r="P100" s="5" cm="1">
        <f t="array" ref="P100">MAX(IF((OutputTable[GroupByKey]=OutputTable[[#This Row],[GroupByKey]]),(OutputTable[GroupByKey]=OutputTable[[#This Row],[GroupByKey]])*OutputTable[RecordedValue]))</f>
        <v>49</v>
      </c>
    </row>
    <row r="101" spans="1:16" x14ac:dyDescent="0.25">
      <c r="A101" t="s">
        <v>68</v>
      </c>
      <c r="B101" t="s">
        <v>70</v>
      </c>
      <c r="C101">
        <v>4</v>
      </c>
      <c r="D101" t="s">
        <v>138</v>
      </c>
      <c r="E101" t="s">
        <v>134</v>
      </c>
      <c r="F101" t="s">
        <v>102</v>
      </c>
      <c r="G101">
        <v>7.1373970679437404E-2</v>
      </c>
      <c r="H101">
        <v>0</v>
      </c>
      <c r="I10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s="5" cm="1">
        <f t="array" ref="K101">IFERROR(AVERAGE(IF((OutputTable[GroupByKey]=OutputTable[[#This Row],[GroupByKey]]),(OutputTable[GroupByKey]=OutputTable[[#This Row],[GroupByKey]])*OutputTable[RecordedValue])),0)</f>
        <v>8.2588852761398115E-2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1.3130964022328008E-2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101" s="5" cm="1">
        <f t="array" ref="O101">MIN(IF((OutputTable[GroupByKey]=OutputTable[[#This Row],[GroupByKey]]),(OutputTable[GroupByKey]=OutputTable[[#This Row],[GroupByKey]])*OutputTable[RecordedValue]))</f>
        <v>5.3757894868807901E-2</v>
      </c>
      <c r="P101" s="5" cm="1">
        <f t="array" ref="P101">MAX(IF((OutputTable[GroupByKey]=OutputTable[[#This Row],[GroupByKey]]),(OutputTable[GroupByKey]=OutputTable[[#This Row],[GroupByKey]])*OutputTable[RecordedValue]))</f>
        <v>0.103175045984152</v>
      </c>
    </row>
    <row r="102" spans="1:16" x14ac:dyDescent="0.25">
      <c r="A102" t="s">
        <v>68</v>
      </c>
      <c r="B102" t="s">
        <v>70</v>
      </c>
      <c r="C102">
        <v>5</v>
      </c>
      <c r="D102" t="s">
        <v>107</v>
      </c>
      <c r="E102" t="s">
        <v>108</v>
      </c>
      <c r="F102" t="s">
        <v>73</v>
      </c>
      <c r="G102">
        <v>137</v>
      </c>
      <c r="H102">
        <v>0</v>
      </c>
      <c r="I102" s="5" t="str">
        <f>OutputTable[[#This Row],[ProjectName]]&amp;OutputTable[[#This Row],[Name]]&amp;OutputTable[[#This Row],[Type]]&amp;OutputTable[[#This Row],[Source]]</f>
        <v>Pedido CleintesClientes.NumberInNumber InEntity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s="5" cm="1">
        <f t="array" ref="K102">IFERROR(AVERAGE(IF((OutputTable[GroupByKey]=OutputTable[[#This Row],[GroupByKey]]),(OutputTable[GroupByKey]=OutputTable[[#This Row],[GroupByKey]])*OutputTable[RecordedValue])),0)</f>
        <v>118.5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18.009097317936192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102" s="5" cm="1">
        <f t="array" ref="O102">MIN(IF((OutputTable[GroupByKey]=OutputTable[[#This Row],[GroupByKey]]),(OutputTable[GroupByKey]=OutputTable[[#This Row],[GroupByKey]])*OutputTable[RecordedValue]))</f>
        <v>78</v>
      </c>
      <c r="P102" s="5" cm="1">
        <f t="array" ref="P102">MAX(IF((OutputTable[GroupByKey]=OutputTable[[#This Row],[GroupByKey]]),(OutputTable[GroupByKey]=OutputTable[[#This Row],[GroupByKey]])*OutputTable[RecordedValue]))</f>
        <v>147</v>
      </c>
    </row>
    <row r="103" spans="1:16" x14ac:dyDescent="0.25">
      <c r="A103" t="s">
        <v>68</v>
      </c>
      <c r="B103" t="s">
        <v>70</v>
      </c>
      <c r="C103">
        <v>5</v>
      </c>
      <c r="D103" t="s">
        <v>109</v>
      </c>
      <c r="E103" t="s">
        <v>110</v>
      </c>
      <c r="F103" t="s">
        <v>73</v>
      </c>
      <c r="G103">
        <v>135</v>
      </c>
      <c r="H103">
        <v>0</v>
      </c>
      <c r="I103" s="5" t="str">
        <f>OutputTable[[#This Row],[ProjectName]]&amp;OutputTable[[#This Row],[Name]]&amp;OutputTable[[#This Row],[Type]]&amp;OutputTable[[#This Row],[Source]]</f>
        <v>Pedido CleintesClientes.NumberOutNumber OutEntity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s="5" cm="1">
        <f t="array" ref="K103">IFERROR(AVERAGE(IF((OutputTable[GroupByKey]=OutputTable[[#This Row],[GroupByKey]]),(OutputTable[GroupByKey]=OutputTable[[#This Row],[GroupByKey]])*OutputTable[RecordedValue])),0)</f>
        <v>116.6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18.252255410940514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103" s="5" cm="1">
        <f t="array" ref="O103">MIN(IF((OutputTable[GroupByKey]=OutputTable[[#This Row],[GroupByKey]]),(OutputTable[GroupByKey]=OutputTable[[#This Row],[GroupByKey]])*OutputTable[RecordedValue]))</f>
        <v>72</v>
      </c>
      <c r="P103" s="5" cm="1">
        <f t="array" ref="P103">MAX(IF((OutputTable[GroupByKey]=OutputTable[[#This Row],[GroupByKey]]),(OutputTable[GroupByKey]=OutputTable[[#This Row],[GroupByKey]])*OutputTable[RecordedValue]))</f>
        <v>147</v>
      </c>
    </row>
    <row r="104" spans="1:16" x14ac:dyDescent="0.25">
      <c r="A104" t="s">
        <v>68</v>
      </c>
      <c r="B104" t="s">
        <v>70</v>
      </c>
      <c r="C104">
        <v>5</v>
      </c>
      <c r="D104" t="s">
        <v>111</v>
      </c>
      <c r="E104" t="s">
        <v>112</v>
      </c>
      <c r="F104" t="s">
        <v>81</v>
      </c>
      <c r="G104">
        <v>22.355355359973299</v>
      </c>
      <c r="H104">
        <v>0</v>
      </c>
      <c r="I10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s="5" cm="1">
        <f t="array" ref="K104">IFERROR(AVERAGE(IF((OutputTable[GroupByKey]=OutputTable[[#This Row],[GroupByKey]]),(OutputTable[GroupByKey]=OutputTable[[#This Row],[GroupByKey]])*OutputTable[RecordedValue])),0)</f>
        <v>19.806808580201274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3.1624794742170024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104" s="5" cm="1">
        <f t="array" ref="O104">MIN(IF((OutputTable[GroupByKey]=OutputTable[[#This Row],[GroupByKey]]),(OutputTable[GroupByKey]=OutputTable[[#This Row],[GroupByKey]])*OutputTable[RecordedValue]))</f>
        <v>12.812268330404599</v>
      </c>
      <c r="P104" s="5" cm="1">
        <f t="array" ref="P104">MAX(IF((OutputTable[GroupByKey]=OutputTable[[#This Row],[GroupByKey]]),(OutputTable[GroupByKey]=OutputTable[[#This Row],[GroupByKey]])*OutputTable[RecordedValue]))</f>
        <v>24.762011036196501</v>
      </c>
    </row>
    <row r="105" spans="1:16" x14ac:dyDescent="0.25">
      <c r="A105" t="s">
        <v>68</v>
      </c>
      <c r="B105" t="s">
        <v>70</v>
      </c>
      <c r="C105">
        <v>5</v>
      </c>
      <c r="D105" t="s">
        <v>113</v>
      </c>
      <c r="E105" t="s">
        <v>114</v>
      </c>
      <c r="F105" t="s">
        <v>81</v>
      </c>
      <c r="G105">
        <v>0</v>
      </c>
      <c r="H105">
        <v>0</v>
      </c>
      <c r="I10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s="5" cm="1">
        <f t="array" ref="K105">IFERROR(AVERAGE(IF((OutputTable[GroupByKey]=OutputTable[[#This Row],[GroupByKey]]),(OutputTable[GroupByKey]=OutputTable[[#This Row],[GroupByKey]])*OutputTable[RecordedValue])),0)</f>
        <v>0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" s="5" cm="1">
        <f t="array" ref="O105">MIN(IF((OutputTable[GroupByKey]=OutputTable[[#This Row],[GroupByKey]]),(OutputTable[GroupByKey]=OutputTable[[#This Row],[GroupByKey]])*OutputTable[RecordedValue]))</f>
        <v>0</v>
      </c>
      <c r="P105" s="5" cm="1">
        <f t="array" ref="P105">MAX(IF((OutputTable[GroupByKey]=OutputTable[[#This Row],[GroupByKey]]),(OutputTable[GroupByKey]=OutputTable[[#This Row],[GroupByKey]])*OutputTable[RecordedValue]))</f>
        <v>0</v>
      </c>
    </row>
    <row r="106" spans="1:16" x14ac:dyDescent="0.25">
      <c r="A106" t="s">
        <v>68</v>
      </c>
      <c r="B106" t="s">
        <v>70</v>
      </c>
      <c r="C106">
        <v>5</v>
      </c>
      <c r="D106" t="s">
        <v>115</v>
      </c>
      <c r="E106" t="s">
        <v>108</v>
      </c>
      <c r="F106" t="s">
        <v>81</v>
      </c>
      <c r="G106">
        <v>45</v>
      </c>
      <c r="H106">
        <v>0</v>
      </c>
      <c r="I10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s="5" cm="1">
        <f t="array" ref="K106">IFERROR(AVERAGE(IF((OutputTable[GroupByKey]=OutputTable[[#This Row],[GroupByKey]]),(OutputTable[GroupByKey]=OutputTable[[#This Row],[GroupByKey]])*OutputTable[RecordedValue])),0)</f>
        <v>38.93333333333333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5.9765826548191505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06" s="5" cm="1">
        <f t="array" ref="O106">MIN(IF((OutputTable[GroupByKey]=OutputTable[[#This Row],[GroupByKey]]),(OutputTable[GroupByKey]=OutputTable[[#This Row],[GroupByKey]])*OutputTable[RecordedValue]))</f>
        <v>25</v>
      </c>
      <c r="P106" s="5" cm="1">
        <f t="array" ref="P106">MAX(IF((OutputTable[GroupByKey]=OutputTable[[#This Row],[GroupByKey]]),(OutputTable[GroupByKey]=OutputTable[[#This Row],[GroupByKey]])*OutputTable[RecordedValue]))</f>
        <v>49</v>
      </c>
    </row>
    <row r="107" spans="1:16" x14ac:dyDescent="0.25">
      <c r="A107" t="s">
        <v>68</v>
      </c>
      <c r="B107" t="s">
        <v>70</v>
      </c>
      <c r="C107">
        <v>5</v>
      </c>
      <c r="D107" t="s">
        <v>116</v>
      </c>
      <c r="E107" t="s">
        <v>110</v>
      </c>
      <c r="F107" t="s">
        <v>81</v>
      </c>
      <c r="G107">
        <v>45</v>
      </c>
      <c r="H107">
        <v>0</v>
      </c>
      <c r="I10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s="5" cm="1">
        <f t="array" ref="K107">IFERROR(AVERAGE(IF((OutputTable[GroupByKey]=OutputTable[[#This Row],[GroupByKey]]),(OutputTable[GroupByKey]=OutputTable[[#This Row],[GroupByKey]])*OutputTable[RecordedValue])),0)</f>
        <v>38.866666666666667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6.0840851369801694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07" s="5" cm="1">
        <f t="array" ref="O107">MIN(IF((OutputTable[GroupByKey]=OutputTable[[#This Row],[GroupByKey]]),(OutputTable[GroupByKey]=OutputTable[[#This Row],[GroupByKey]])*OutputTable[RecordedValue]))</f>
        <v>24</v>
      </c>
      <c r="P107" s="5" cm="1">
        <f t="array" ref="P107">MAX(IF((OutputTable[GroupByKey]=OutputTable[[#This Row],[GroupByKey]]),(OutputTable[GroupByKey]=OutputTable[[#This Row],[GroupByKey]])*OutputTable[RecordedValue]))</f>
        <v>49</v>
      </c>
    </row>
    <row r="108" spans="1:16" x14ac:dyDescent="0.25">
      <c r="A108" t="s">
        <v>68</v>
      </c>
      <c r="B108" t="s">
        <v>70</v>
      </c>
      <c r="C108">
        <v>5</v>
      </c>
      <c r="D108" t="s">
        <v>117</v>
      </c>
      <c r="E108" t="s">
        <v>112</v>
      </c>
      <c r="F108" t="s">
        <v>81</v>
      </c>
      <c r="G108">
        <v>44.557803471707999</v>
      </c>
      <c r="H108">
        <v>0</v>
      </c>
      <c r="I108" s="5" t="str">
        <f>OutputTable[[#This Row],[ProjectName]]&amp;OutputTable[[#This Row],[Name]]&amp;OutputTable[[#This Row],[Type]]&amp;OutputTable[[#This Row],[Source]]</f>
        <v>Pedido CleintesOrdnes Accum VA TimeAccum VA TimeProcess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s="5" cm="1">
        <f t="array" ref="K108">IFERROR(AVERAGE(IF((OutputTable[GroupByKey]=OutputTable[[#This Row],[GroupByKey]]),(OutputTable[GroupByKey]=OutputTable[[#This Row],[GroupByKey]])*OutputTable[RecordedValue])),0)</f>
        <v>39.878126992056487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6.1068580319474277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108" s="5" cm="1">
        <f t="array" ref="O108">MIN(IF((OutputTable[GroupByKey]=OutputTable[[#This Row],[GroupByKey]]),(OutputTable[GroupByKey]=OutputTable[[#This Row],[GroupByKey]])*OutputTable[RecordedValue]))</f>
        <v>26.106281767804099</v>
      </c>
      <c r="P108" s="5" cm="1">
        <f t="array" ref="P108">MAX(IF((OutputTable[GroupByKey]=OutputTable[[#This Row],[GroupByKey]]),(OutputTable[GroupByKey]=OutputTable[[#This Row],[GroupByKey]])*OutputTable[RecordedValue]))</f>
        <v>48.706388790541098</v>
      </c>
    </row>
    <row r="109" spans="1:16" x14ac:dyDescent="0.25">
      <c r="A109" t="s">
        <v>68</v>
      </c>
      <c r="B109" t="s">
        <v>70</v>
      </c>
      <c r="C109">
        <v>5</v>
      </c>
      <c r="D109" t="s">
        <v>118</v>
      </c>
      <c r="E109" t="s">
        <v>114</v>
      </c>
      <c r="F109" t="s">
        <v>81</v>
      </c>
      <c r="G109">
        <v>11.1140750425403</v>
      </c>
      <c r="H109">
        <v>0</v>
      </c>
      <c r="I10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s="5" cm="1">
        <f t="array" ref="K109">IFERROR(AVERAGE(IF((OutputTable[GroupByKey]=OutputTable[[#This Row],[GroupByKey]]),(OutputTable[GroupByKey]=OutputTable[[#This Row],[GroupByKey]])*OutputTable[RecordedValue])),0)</f>
        <v>7.9804799821754404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4.8950382198155014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18.843855117811401</v>
      </c>
    </row>
    <row r="110" spans="1:16" x14ac:dyDescent="0.25">
      <c r="A110" t="s">
        <v>68</v>
      </c>
      <c r="B110" t="s">
        <v>70</v>
      </c>
      <c r="C110">
        <v>5</v>
      </c>
      <c r="D110" t="s">
        <v>119</v>
      </c>
      <c r="E110" t="s">
        <v>108</v>
      </c>
      <c r="F110" t="s">
        <v>81</v>
      </c>
      <c r="G110">
        <v>46</v>
      </c>
      <c r="H110">
        <v>0</v>
      </c>
      <c r="I110" s="5" t="str">
        <f>OutputTable[[#This Row],[ProjectName]]&amp;OutputTable[[#This Row],[Name]]&amp;OutputTable[[#This Row],[Type]]&amp;OutputTable[[#This Row],[Source]]</f>
        <v>Pedido CleintesOrdnes Number InNumber InProcess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s="5" cm="1">
        <f t="array" ref="K110">IFERROR(AVERAGE(IF((OutputTable[GroupByKey]=OutputTable[[#This Row],[GroupByKey]]),(OutputTable[GroupByKey]=OutputTable[[#This Row],[GroupByKey]])*OutputTable[RecordedValue])),0)</f>
        <v>39.9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6.0648791101463475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110" s="5" cm="1">
        <f t="array" ref="O110">MIN(IF((OutputTable[GroupByKey]=OutputTable[[#This Row],[GroupByKey]]),(OutputTable[GroupByKey]=OutputTable[[#This Row],[GroupByKey]])*OutputTable[RecordedValue]))</f>
        <v>27</v>
      </c>
      <c r="P110" s="5" cm="1">
        <f t="array" ref="P110">MAX(IF((OutputTable[GroupByKey]=OutputTable[[#This Row],[GroupByKey]]),(OutputTable[GroupByKey]=OutputTable[[#This Row],[GroupByKey]])*OutputTable[RecordedValue]))</f>
        <v>49</v>
      </c>
    </row>
    <row r="111" spans="1:16" x14ac:dyDescent="0.25">
      <c r="A111" t="s">
        <v>68</v>
      </c>
      <c r="B111" t="s">
        <v>70</v>
      </c>
      <c r="C111">
        <v>5</v>
      </c>
      <c r="D111" t="s">
        <v>120</v>
      </c>
      <c r="E111" t="s">
        <v>110</v>
      </c>
      <c r="F111" t="s">
        <v>81</v>
      </c>
      <c r="G111">
        <v>46</v>
      </c>
      <c r="H111">
        <v>0</v>
      </c>
      <c r="I111" s="5" t="str">
        <f>OutputTable[[#This Row],[ProjectName]]&amp;OutputTable[[#This Row],[Name]]&amp;OutputTable[[#This Row],[Type]]&amp;OutputTable[[#This Row],[Source]]</f>
        <v>Pedido CleintesOrdnes Number OutNumber OutProcess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s="5" cm="1">
        <f t="array" ref="K111">IFERROR(AVERAGE(IF((OutputTable[GroupByKey]=OutputTable[[#This Row],[GroupByKey]]),(OutputTable[GroupByKey]=OutputTable[[#This Row],[GroupByKey]])*OutputTable[RecordedValue])),0)</f>
        <v>39.666666666666664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6.0477030882540914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11" s="5" cm="1">
        <f t="array" ref="O111">MIN(IF((OutputTable[GroupByKey]=OutputTable[[#This Row],[GroupByKey]]),(OutputTable[GroupByKey]=OutputTable[[#This Row],[GroupByKey]])*OutputTable[RecordedValue]))</f>
        <v>26</v>
      </c>
      <c r="P111" s="5" cm="1">
        <f t="array" ref="P111">MAX(IF((OutputTable[GroupByKey]=OutputTable[[#This Row],[GroupByKey]]),(OutputTable[GroupByKey]=OutputTable[[#This Row],[GroupByKey]])*OutputTable[RecordedValue]))</f>
        <v>49</v>
      </c>
    </row>
    <row r="112" spans="1:16" x14ac:dyDescent="0.25">
      <c r="A112" t="s">
        <v>68</v>
      </c>
      <c r="B112" t="s">
        <v>70</v>
      </c>
      <c r="C112">
        <v>5</v>
      </c>
      <c r="D112" t="s">
        <v>121</v>
      </c>
      <c r="E112" t="s">
        <v>112</v>
      </c>
      <c r="F112" t="s">
        <v>81</v>
      </c>
      <c r="G112">
        <v>32.398616550523897</v>
      </c>
      <c r="H112">
        <v>0</v>
      </c>
      <c r="I112" s="5" t="str">
        <f>OutputTable[[#This Row],[ProjectName]]&amp;OutputTable[[#This Row],[Name]]&amp;OutputTable[[#This Row],[Type]]&amp;OutputTable[[#This Row],[Source]]</f>
        <v>Pedido CleintesPago Accum VA TimeAccum VA TimeProcess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29.486262713858675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4.747176664010901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112" s="5" cm="1">
        <f t="array" ref="O112">MIN(IF((OutputTable[GroupByKey]=OutputTable[[#This Row],[GroupByKey]]),(OutputTable[GroupByKey]=OutputTable[[#This Row],[GroupByKey]])*OutputTable[RecordedValue]))</f>
        <v>19.573210250889101</v>
      </c>
      <c r="P112" s="5" cm="1">
        <f t="array" ref="P112">MAX(IF((OutputTable[GroupByKey]=OutputTable[[#This Row],[GroupByKey]]),(OutputTable[GroupByKey]=OutputTable[[#This Row],[GroupByKey]])*OutputTable[RecordedValue]))</f>
        <v>37.056974462114901</v>
      </c>
    </row>
    <row r="113" spans="1:16" x14ac:dyDescent="0.25">
      <c r="A113" t="s">
        <v>68</v>
      </c>
      <c r="B113" t="s">
        <v>70</v>
      </c>
      <c r="C113">
        <v>5</v>
      </c>
      <c r="D113" t="s">
        <v>122</v>
      </c>
      <c r="E113" t="s">
        <v>114</v>
      </c>
      <c r="F113" t="s">
        <v>81</v>
      </c>
      <c r="G113">
        <v>20.138560036343002</v>
      </c>
      <c r="H113">
        <v>0</v>
      </c>
      <c r="I113" s="5" t="str">
        <f>OutputTable[[#This Row],[ProjectName]]&amp;OutputTable[[#This Row],[Name]]&amp;OutputTable[[#This Row],[Type]]&amp;OutputTable[[#This Row],[Source]]</f>
        <v>Pedido CleintesPago Accum Wait TimeAccum Wait TimeProcess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13.025761997568024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7.8467935605388783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113" s="5" cm="1">
        <f t="array" ref="O113">MIN(IF((OutputTable[GroupByKey]=OutputTable[[#This Row],[GroupByKey]]),(OutputTable[GroupByKey]=OutputTable[[#This Row],[GroupByKey]])*OutputTable[RecordedValue]))</f>
        <v>0</v>
      </c>
      <c r="P113" s="5" cm="1">
        <f t="array" ref="P113">MAX(IF((OutputTable[GroupByKey]=OutputTable[[#This Row],[GroupByKey]]),(OutputTable[GroupByKey]=OutputTable[[#This Row],[GroupByKey]])*OutputTable[RecordedValue]))</f>
        <v>32.770863925850499</v>
      </c>
    </row>
    <row r="114" spans="1:16" x14ac:dyDescent="0.25">
      <c r="A114" t="s">
        <v>68</v>
      </c>
      <c r="B114" t="s">
        <v>70</v>
      </c>
      <c r="C114">
        <v>5</v>
      </c>
      <c r="D114" t="s">
        <v>123</v>
      </c>
      <c r="E114" t="s">
        <v>108</v>
      </c>
      <c r="F114" t="s">
        <v>81</v>
      </c>
      <c r="G114">
        <v>46</v>
      </c>
      <c r="H114">
        <v>0</v>
      </c>
      <c r="I114" s="5" t="str">
        <f>OutputTable[[#This Row],[ProjectName]]&amp;OutputTable[[#This Row],[Name]]&amp;OutputTable[[#This Row],[Type]]&amp;OutputTable[[#This Row],[Source]]</f>
        <v>Pedido CleintesPago Number InNumber InProcess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39.666666666666664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6.0477030882540914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14" s="5" cm="1">
        <f t="array" ref="O114">MIN(IF((OutputTable[GroupByKey]=OutputTable[[#This Row],[GroupByKey]]),(OutputTable[GroupByKey]=OutputTable[[#This Row],[GroupByKey]])*OutputTable[RecordedValue]))</f>
        <v>26</v>
      </c>
      <c r="P114" s="5" cm="1">
        <f t="array" ref="P114">MAX(IF((OutputTable[GroupByKey]=OutputTable[[#This Row],[GroupByKey]]),(OutputTable[GroupByKey]=OutputTable[[#This Row],[GroupByKey]])*OutputTable[RecordedValue]))</f>
        <v>49</v>
      </c>
    </row>
    <row r="115" spans="1:16" x14ac:dyDescent="0.25">
      <c r="A115" t="s">
        <v>68</v>
      </c>
      <c r="B115" t="s">
        <v>70</v>
      </c>
      <c r="C115">
        <v>5</v>
      </c>
      <c r="D115" t="s">
        <v>124</v>
      </c>
      <c r="E115" t="s">
        <v>110</v>
      </c>
      <c r="F115" t="s">
        <v>81</v>
      </c>
      <c r="G115">
        <v>46</v>
      </c>
      <c r="H115">
        <v>0</v>
      </c>
      <c r="I115" s="5" t="str">
        <f>OutputTable[[#This Row],[ProjectName]]&amp;OutputTable[[#This Row],[Name]]&amp;OutputTable[[#This Row],[Type]]&amp;OutputTable[[#This Row],[Source]]</f>
        <v>Pedido CleintesPago Number OutNumber OutProcess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39.43333333333333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5.9171482724502509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115" s="5" cm="1">
        <f t="array" ref="O115">MIN(IF((OutputTable[GroupByKey]=OutputTable[[#This Row],[GroupByKey]]),(OutputTable[GroupByKey]=OutputTable[[#This Row],[GroupByKey]])*OutputTable[RecordedValue]))</f>
        <v>26</v>
      </c>
      <c r="P115" s="5" cm="1">
        <f t="array" ref="P115">MAX(IF((OutputTable[GroupByKey]=OutputTable[[#This Row],[GroupByKey]]),(OutputTable[GroupByKey]=OutputTable[[#This Row],[GroupByKey]])*OutputTable[RecordedValue]))</f>
        <v>49</v>
      </c>
    </row>
    <row r="116" spans="1:16" x14ac:dyDescent="0.25">
      <c r="A116" t="s">
        <v>68</v>
      </c>
      <c r="B116" t="s">
        <v>70</v>
      </c>
      <c r="C116">
        <v>5</v>
      </c>
      <c r="D116" t="s">
        <v>125</v>
      </c>
      <c r="E116" t="s">
        <v>112</v>
      </c>
      <c r="F116" t="s">
        <v>81</v>
      </c>
      <c r="G116">
        <v>134.40775491822399</v>
      </c>
      <c r="H116">
        <v>0</v>
      </c>
      <c r="I11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116.64263458387505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17.825477946659205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116" s="5" cm="1">
        <f t="array" ref="O116">MIN(IF((OutputTable[GroupByKey]=OutputTable[[#This Row],[GroupByKey]]),(OutputTable[GroupByKey]=OutputTable[[#This Row],[GroupByKey]])*OutputTable[RecordedValue]))</f>
        <v>74.976560761710004</v>
      </c>
      <c r="P116" s="5" cm="1">
        <f t="array" ref="P116">MAX(IF((OutputTable[GroupByKey]=OutputTable[[#This Row],[GroupByKey]]),(OutputTable[GroupByKey]=OutputTable[[#This Row],[GroupByKey]])*OutputTable[RecordedValue]))</f>
        <v>145.504156763596</v>
      </c>
    </row>
    <row r="117" spans="1:16" x14ac:dyDescent="0.25">
      <c r="A117" t="s">
        <v>68</v>
      </c>
      <c r="B117" t="s">
        <v>70</v>
      </c>
      <c r="C117">
        <v>5</v>
      </c>
      <c r="D117" t="s">
        <v>126</v>
      </c>
      <c r="E117" t="s">
        <v>114</v>
      </c>
      <c r="F117" t="s">
        <v>81</v>
      </c>
      <c r="G117">
        <v>79.003208169406804</v>
      </c>
      <c r="H117">
        <v>0</v>
      </c>
      <c r="I11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39.900972800228722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22.922906975864144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117" s="5" cm="1">
        <f t="array" ref="O117">MIN(IF((OutputTable[GroupByKey]=OutputTable[[#This Row],[GroupByKey]]),(OutputTable[GroupByKey]=OutputTable[[#This Row],[GroupByKey]])*OutputTable[RecordedValue]))</f>
        <v>2.1708788192608899</v>
      </c>
      <c r="P117" s="5" cm="1">
        <f t="array" ref="P117">MAX(IF((OutputTable[GroupByKey]=OutputTable[[#This Row],[GroupByKey]]),(OutputTable[GroupByKey]=OutputTable[[#This Row],[GroupByKey]])*OutputTable[RecordedValue]))</f>
        <v>94.9142929398908</v>
      </c>
    </row>
    <row r="118" spans="1:16" x14ac:dyDescent="0.25">
      <c r="A118" t="s">
        <v>68</v>
      </c>
      <c r="B118" t="s">
        <v>70</v>
      </c>
      <c r="C118">
        <v>5</v>
      </c>
      <c r="D118" t="s">
        <v>127</v>
      </c>
      <c r="E118" t="s">
        <v>108</v>
      </c>
      <c r="F118" t="s">
        <v>81</v>
      </c>
      <c r="G118">
        <v>46</v>
      </c>
      <c r="H118">
        <v>0</v>
      </c>
      <c r="I118" s="5" t="str">
        <f>OutputTable[[#This Row],[ProjectName]]&amp;OutputTable[[#This Row],[Name]]&amp;OutputTable[[#This Row],[Type]]&amp;OutputTable[[#This Row],[Source]]</f>
        <v>Pedido CleintesPreparar orden Number InNumber InProcess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39.666666666666664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6.0477030882540914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18" s="5" cm="1">
        <f t="array" ref="O118">MIN(IF((OutputTable[GroupByKey]=OutputTable[[#This Row],[GroupByKey]]),(OutputTable[GroupByKey]=OutputTable[[#This Row],[GroupByKey]])*OutputTable[RecordedValue]))</f>
        <v>26</v>
      </c>
      <c r="P118" s="5" cm="1">
        <f t="array" ref="P118">MAX(IF((OutputTable[GroupByKey]=OutputTable[[#This Row],[GroupByKey]]),(OutputTable[GroupByKey]=OutputTable[[#This Row],[GroupByKey]])*OutputTable[RecordedValue]))</f>
        <v>49</v>
      </c>
    </row>
    <row r="119" spans="1:16" x14ac:dyDescent="0.25">
      <c r="A119" t="s">
        <v>68</v>
      </c>
      <c r="B119" t="s">
        <v>70</v>
      </c>
      <c r="C119">
        <v>5</v>
      </c>
      <c r="D119" t="s">
        <v>128</v>
      </c>
      <c r="E119" t="s">
        <v>110</v>
      </c>
      <c r="F119" t="s">
        <v>81</v>
      </c>
      <c r="G119">
        <v>45</v>
      </c>
      <c r="H119">
        <v>0</v>
      </c>
      <c r="I119" s="5" t="str">
        <f>OutputTable[[#This Row],[ProjectName]]&amp;OutputTable[[#This Row],[Name]]&amp;OutputTable[[#This Row],[Type]]&amp;OutputTable[[#This Row],[Source]]</f>
        <v>Pedido CleintesPreparar orden Number OutNumber OutProcess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38.93333333333333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5.9765826548191505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19" s="5" cm="1">
        <f t="array" ref="O119">MIN(IF((OutputTable[GroupByKey]=OutputTable[[#This Row],[GroupByKey]]),(OutputTable[GroupByKey]=OutputTable[[#This Row],[GroupByKey]])*OutputTable[RecordedValue]))</f>
        <v>25</v>
      </c>
      <c r="P119" s="5" cm="1">
        <f t="array" ref="P119">MAX(IF((OutputTable[GroupByKey]=OutputTable[[#This Row],[GroupByKey]]),(OutputTable[GroupByKey]=OutputTable[[#This Row],[GroupByKey]])*OutputTable[RecordedValue]))</f>
        <v>49</v>
      </c>
    </row>
    <row r="120" spans="1:16" x14ac:dyDescent="0.25">
      <c r="A120" t="s">
        <v>68</v>
      </c>
      <c r="B120" t="s">
        <v>70</v>
      </c>
      <c r="C120">
        <v>5</v>
      </c>
      <c r="D120" t="s">
        <v>129</v>
      </c>
      <c r="E120" t="s">
        <v>110</v>
      </c>
      <c r="F120" t="s">
        <v>130</v>
      </c>
      <c r="G120">
        <v>45</v>
      </c>
      <c r="H120">
        <v>0</v>
      </c>
      <c r="I120" s="5" t="str">
        <f>OutputTable[[#This Row],[ProjectName]]&amp;OutputTable[[#This Row],[Name]]&amp;OutputTable[[#This Row],[Type]]&amp;OutputTable[[#This Row],[Source]]</f>
        <v>Pedido CleintesSystem.NumberOutNumber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38.866666666666667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6.0840851369801694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20" s="5" cm="1">
        <f t="array" ref="O120">MIN(IF((OutputTable[GroupByKey]=OutputTable[[#This Row],[GroupByKey]]),(OutputTable[GroupByKey]=OutputTable[[#This Row],[GroupByKey]])*OutputTable[RecordedValue]))</f>
        <v>24</v>
      </c>
      <c r="P120" s="5" cm="1">
        <f t="array" ref="P120">MAX(IF((OutputTable[GroupByKey]=OutputTable[[#This Row],[GroupByKey]]),(OutputTable[GroupByKey]=OutputTable[[#This Row],[GroupByKey]])*OutputTable[RecordedValue]))</f>
        <v>49</v>
      </c>
    </row>
    <row r="121" spans="1:16" x14ac:dyDescent="0.25">
      <c r="A121" t="s">
        <v>68</v>
      </c>
      <c r="B121" t="s">
        <v>70</v>
      </c>
      <c r="C121">
        <v>5</v>
      </c>
      <c r="D121" t="s">
        <v>131</v>
      </c>
      <c r="E121" t="s">
        <v>132</v>
      </c>
      <c r="F121" t="s">
        <v>102</v>
      </c>
      <c r="G121">
        <v>46</v>
      </c>
      <c r="H121">
        <v>0</v>
      </c>
      <c r="I12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39.4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5.8757244601014422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121" s="5" cm="1">
        <f t="array" ref="O121">MIN(IF((OutputTable[GroupByKey]=OutputTable[[#This Row],[GroupByKey]]),(OutputTable[GroupByKey]=OutputTable[[#This Row],[GroupByKey]])*OutputTable[RecordedValue]))</f>
        <v>26</v>
      </c>
      <c r="P121" s="5" cm="1">
        <f t="array" ref="P121">MAX(IF((OutputTable[GroupByKey]=OutputTable[[#This Row],[GroupByKey]]),(OutputTable[GroupByKey]=OutputTable[[#This Row],[GroupByKey]])*OutputTable[RecordedValue]))</f>
        <v>49</v>
      </c>
    </row>
    <row r="122" spans="1:16" x14ac:dyDescent="0.25">
      <c r="A122" t="s">
        <v>68</v>
      </c>
      <c r="B122" t="s">
        <v>70</v>
      </c>
      <c r="C122">
        <v>5</v>
      </c>
      <c r="D122" t="s">
        <v>133</v>
      </c>
      <c r="E122" t="s">
        <v>134</v>
      </c>
      <c r="F122" t="s">
        <v>102</v>
      </c>
      <c r="G122">
        <v>0.56445211209023904</v>
      </c>
      <c r="H122">
        <v>0</v>
      </c>
      <c r="I12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0.48891840079317483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7.3627413122013347E-2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122" s="5" cm="1">
        <f t="array" ref="O122">MIN(IF((OutputTable[GroupByKey]=OutputTable[[#This Row],[GroupByKey]]),(OutputTable[GroupByKey]=OutputTable[[#This Row],[GroupByKey]])*OutputTable[RecordedValue]))</f>
        <v>0.31277577999924699</v>
      </c>
      <c r="P122" s="5" cm="1">
        <f t="array" ref="P122">MAX(IF((OutputTable[GroupByKey]=OutputTable[[#This Row],[GroupByKey]]),(OutputTable[GroupByKey]=OutputTable[[#This Row],[GroupByKey]])*OutputTable[RecordedValue]))</f>
        <v>0.60626731984831705</v>
      </c>
    </row>
    <row r="123" spans="1:16" x14ac:dyDescent="0.25">
      <c r="A123" t="s">
        <v>68</v>
      </c>
      <c r="B123" t="s">
        <v>70</v>
      </c>
      <c r="C123">
        <v>5</v>
      </c>
      <c r="D123" t="s">
        <v>135</v>
      </c>
      <c r="E123" t="s">
        <v>132</v>
      </c>
      <c r="F123" t="s">
        <v>102</v>
      </c>
      <c r="G123">
        <v>92</v>
      </c>
      <c r="H123">
        <v>0</v>
      </c>
      <c r="I12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79.466666666666669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12.016463801753446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123" s="5" cm="1">
        <f t="array" ref="O123">MIN(IF((OutputTable[GroupByKey]=OutputTable[[#This Row],[GroupByKey]]),(OutputTable[GroupByKey]=OutputTable[[#This Row],[GroupByKey]])*OutputTable[RecordedValue]))</f>
        <v>53</v>
      </c>
      <c r="P123" s="5" cm="1">
        <f t="array" ref="P123">MAX(IF((OutputTable[GroupByKey]=OutputTable[[#This Row],[GroupByKey]]),(OutputTable[GroupByKey]=OutputTable[[#This Row],[GroupByKey]])*OutputTable[RecordedValue]))</f>
        <v>98</v>
      </c>
    </row>
    <row r="124" spans="1:16" x14ac:dyDescent="0.25">
      <c r="A124" t="s">
        <v>68</v>
      </c>
      <c r="B124" t="s">
        <v>70</v>
      </c>
      <c r="C124">
        <v>5</v>
      </c>
      <c r="D124" t="s">
        <v>136</v>
      </c>
      <c r="E124" t="s">
        <v>134</v>
      </c>
      <c r="F124" t="s">
        <v>102</v>
      </c>
      <c r="G124">
        <v>0.32065175009263303</v>
      </c>
      <c r="H124">
        <v>0</v>
      </c>
      <c r="I12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0.28976365927997022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4.4748273652133699E-2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124" s="5" cm="1">
        <f t="array" ref="O124">MIN(IF((OutputTable[GroupByKey]=OutputTable[[#This Row],[GroupByKey]]),(OutputTable[GroupByKey]=OutputTable[[#This Row],[GroupByKey]])*OutputTable[RecordedValue]))</f>
        <v>0.194735973294278</v>
      </c>
      <c r="P124" s="5" cm="1">
        <f t="array" ref="P124">MAX(IF((OutputTable[GroupByKey]=OutputTable[[#This Row],[GroupByKey]]),(OutputTable[GroupByKey]=OutputTable[[#This Row],[GroupByKey]])*OutputTable[RecordedValue]))</f>
        <v>0.35775345817659199</v>
      </c>
    </row>
    <row r="125" spans="1:16" x14ac:dyDescent="0.25">
      <c r="A125" t="s">
        <v>68</v>
      </c>
      <c r="B125" t="s">
        <v>70</v>
      </c>
      <c r="C125">
        <v>5</v>
      </c>
      <c r="D125" t="s">
        <v>137</v>
      </c>
      <c r="E125" t="s">
        <v>132</v>
      </c>
      <c r="F125" t="s">
        <v>102</v>
      </c>
      <c r="G125">
        <v>45</v>
      </c>
      <c r="H125">
        <v>0</v>
      </c>
      <c r="I12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38.93333333333333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5.9765826548191505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25" s="5" cm="1">
        <f t="array" ref="O125">MIN(IF((OutputTable[GroupByKey]=OutputTable[[#This Row],[GroupByKey]]),(OutputTable[GroupByKey]=OutputTable[[#This Row],[GroupByKey]])*OutputTable[RecordedValue]))</f>
        <v>25</v>
      </c>
      <c r="P125" s="5" cm="1">
        <f t="array" ref="P125">MAX(IF((OutputTable[GroupByKey]=OutputTable[[#This Row],[GroupByKey]]),(OutputTable[GroupByKey]=OutputTable[[#This Row],[GroupByKey]])*OutputTable[RecordedValue]))</f>
        <v>49</v>
      </c>
    </row>
    <row r="126" spans="1:16" x14ac:dyDescent="0.25">
      <c r="A126" t="s">
        <v>68</v>
      </c>
      <c r="B126" t="s">
        <v>70</v>
      </c>
      <c r="C126">
        <v>5</v>
      </c>
      <c r="D126" t="s">
        <v>138</v>
      </c>
      <c r="E126" t="s">
        <v>134</v>
      </c>
      <c r="F126" t="s">
        <v>102</v>
      </c>
      <c r="G126">
        <v>9.3147313999888598E-2</v>
      </c>
      <c r="H126">
        <v>0</v>
      </c>
      <c r="I12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8.2588852761398115E-2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1.3130964022328008E-2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126" s="5" cm="1">
        <f t="array" ref="O126">MIN(IF((OutputTable[GroupByKey]=OutputTable[[#This Row],[GroupByKey]]),(OutputTable[GroupByKey]=OutputTable[[#This Row],[GroupByKey]])*OutputTable[RecordedValue]))</f>
        <v>5.3757894868807901E-2</v>
      </c>
      <c r="P126" s="5" cm="1">
        <f t="array" ref="P126">MAX(IF((OutputTable[GroupByKey]=OutputTable[[#This Row],[GroupByKey]]),(OutputTable[GroupByKey]=OutputTable[[#This Row],[GroupByKey]])*OutputTable[RecordedValue]))</f>
        <v>0.103175045984152</v>
      </c>
    </row>
    <row r="127" spans="1:16" x14ac:dyDescent="0.25">
      <c r="A127" t="s">
        <v>68</v>
      </c>
      <c r="B127" t="s">
        <v>70</v>
      </c>
      <c r="C127">
        <v>6</v>
      </c>
      <c r="D127" t="s">
        <v>107</v>
      </c>
      <c r="E127" t="s">
        <v>108</v>
      </c>
      <c r="F127" t="s">
        <v>73</v>
      </c>
      <c r="G127">
        <v>117</v>
      </c>
      <c r="H127">
        <v>0</v>
      </c>
      <c r="I127" s="5" t="str">
        <f>OutputTable[[#This Row],[ProjectName]]&amp;OutputTable[[#This Row],[Name]]&amp;OutputTable[[#This Row],[Type]]&amp;OutputTable[[#This Row],[Source]]</f>
        <v>Pedido CleintesClientes.NumberInNumber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118.5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18.009097317936192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127" s="5" cm="1">
        <f t="array" ref="O127">MIN(IF((OutputTable[GroupByKey]=OutputTable[[#This Row],[GroupByKey]]),(OutputTable[GroupByKey]=OutputTable[[#This Row],[GroupByKey]])*OutputTable[RecordedValue]))</f>
        <v>78</v>
      </c>
      <c r="P127" s="5" cm="1">
        <f t="array" ref="P127">MAX(IF((OutputTable[GroupByKey]=OutputTable[[#This Row],[GroupByKey]]),(OutputTable[GroupByKey]=OutputTable[[#This Row],[GroupByKey]])*OutputTable[RecordedValue]))</f>
        <v>147</v>
      </c>
    </row>
    <row r="128" spans="1:16" x14ac:dyDescent="0.25">
      <c r="A128" t="s">
        <v>68</v>
      </c>
      <c r="B128" t="s">
        <v>70</v>
      </c>
      <c r="C128">
        <v>6</v>
      </c>
      <c r="D128" t="s">
        <v>109</v>
      </c>
      <c r="E128" t="s">
        <v>110</v>
      </c>
      <c r="F128" t="s">
        <v>73</v>
      </c>
      <c r="G128">
        <v>117</v>
      </c>
      <c r="H128">
        <v>0</v>
      </c>
      <c r="I128" s="5" t="str">
        <f>OutputTable[[#This Row],[ProjectName]]&amp;OutputTable[[#This Row],[Name]]&amp;OutputTable[[#This Row],[Type]]&amp;OutputTable[[#This Row],[Source]]</f>
        <v>Pedido CleintesClientes.NumberOutNumber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116.6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18.252255410940514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128" s="5" cm="1">
        <f t="array" ref="O128">MIN(IF((OutputTable[GroupByKey]=OutputTable[[#This Row],[GroupByKey]]),(OutputTable[GroupByKey]=OutputTable[[#This Row],[GroupByKey]])*OutputTable[RecordedValue]))</f>
        <v>72</v>
      </c>
      <c r="P128" s="5" cm="1">
        <f t="array" ref="P128">MAX(IF((OutputTable[GroupByKey]=OutputTable[[#This Row],[GroupByKey]]),(OutputTable[GroupByKey]=OutputTable[[#This Row],[GroupByKey]])*OutputTable[RecordedValue]))</f>
        <v>147</v>
      </c>
    </row>
    <row r="129" spans="1:16" x14ac:dyDescent="0.25">
      <c r="A129" t="s">
        <v>68</v>
      </c>
      <c r="B129" t="s">
        <v>70</v>
      </c>
      <c r="C129">
        <v>6</v>
      </c>
      <c r="D129" t="s">
        <v>111</v>
      </c>
      <c r="E129" t="s">
        <v>112</v>
      </c>
      <c r="F129" t="s">
        <v>81</v>
      </c>
      <c r="G129">
        <v>20.544283003704798</v>
      </c>
      <c r="H129">
        <v>0</v>
      </c>
      <c r="I12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19.806808580201274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3.1624794742170024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129" s="5" cm="1">
        <f t="array" ref="O129">MIN(IF((OutputTable[GroupByKey]=OutputTable[[#This Row],[GroupByKey]]),(OutputTable[GroupByKey]=OutputTable[[#This Row],[GroupByKey]])*OutputTable[RecordedValue]))</f>
        <v>12.812268330404599</v>
      </c>
      <c r="P129" s="5" cm="1">
        <f t="array" ref="P129">MAX(IF((OutputTable[GroupByKey]=OutputTable[[#This Row],[GroupByKey]]),(OutputTable[GroupByKey]=OutputTable[[#This Row],[GroupByKey]])*OutputTable[RecordedValue]))</f>
        <v>24.762011036196501</v>
      </c>
    </row>
    <row r="130" spans="1:16" x14ac:dyDescent="0.25">
      <c r="A130" t="s">
        <v>68</v>
      </c>
      <c r="B130" t="s">
        <v>70</v>
      </c>
      <c r="C130">
        <v>6</v>
      </c>
      <c r="D130" t="s">
        <v>113</v>
      </c>
      <c r="E130" t="s">
        <v>114</v>
      </c>
      <c r="F130" t="s">
        <v>81</v>
      </c>
      <c r="G130">
        <v>0</v>
      </c>
      <c r="H130">
        <v>0</v>
      </c>
      <c r="I13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 cm="1">
        <f t="array" ref="O130">MIN(IF((OutputTable[GroupByKey]=OutputTable[[#This Row],[GroupByKey]]),(OutputTable[GroupByKey]=OutputTable[[#This Row],[GroupByKey]])*OutputTable[RecordedValue]))</f>
        <v>0</v>
      </c>
      <c r="P130" s="5" cm="1">
        <f t="array" ref="P130">MAX(IF((OutputTable[GroupByKey]=OutputTable[[#This Row],[GroupByKey]]),(OutputTable[GroupByKey]=OutputTable[[#This Row],[GroupByKey]])*OutputTable[RecordedValue]))</f>
        <v>0</v>
      </c>
    </row>
    <row r="131" spans="1:16" x14ac:dyDescent="0.25">
      <c r="A131" t="s">
        <v>68</v>
      </c>
      <c r="B131" t="s">
        <v>70</v>
      </c>
      <c r="C131">
        <v>6</v>
      </c>
      <c r="D131" t="s">
        <v>115</v>
      </c>
      <c r="E131" t="s">
        <v>108</v>
      </c>
      <c r="F131" t="s">
        <v>81</v>
      </c>
      <c r="G131">
        <v>39</v>
      </c>
      <c r="H131">
        <v>0</v>
      </c>
      <c r="I13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38.93333333333333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5.9765826548191505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31" s="5" cm="1">
        <f t="array" ref="O131">MIN(IF((OutputTable[GroupByKey]=OutputTable[[#This Row],[GroupByKey]]),(OutputTable[GroupByKey]=OutputTable[[#This Row],[GroupByKey]])*OutputTable[RecordedValue]))</f>
        <v>25</v>
      </c>
      <c r="P131" s="5" cm="1">
        <f t="array" ref="P131">MAX(IF((OutputTable[GroupByKey]=OutputTable[[#This Row],[GroupByKey]]),(OutputTable[GroupByKey]=OutputTable[[#This Row],[GroupByKey]])*OutputTable[RecordedValue]))</f>
        <v>49</v>
      </c>
    </row>
    <row r="132" spans="1:16" x14ac:dyDescent="0.25">
      <c r="A132" t="s">
        <v>68</v>
      </c>
      <c r="B132" t="s">
        <v>70</v>
      </c>
      <c r="C132">
        <v>6</v>
      </c>
      <c r="D132" t="s">
        <v>116</v>
      </c>
      <c r="E132" t="s">
        <v>110</v>
      </c>
      <c r="F132" t="s">
        <v>81</v>
      </c>
      <c r="G132">
        <v>39</v>
      </c>
      <c r="H132">
        <v>0</v>
      </c>
      <c r="I1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38.866666666666667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6.0840851369801694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32" s="5" cm="1">
        <f t="array" ref="O132">MIN(IF((OutputTable[GroupByKey]=OutputTable[[#This Row],[GroupByKey]]),(OutputTable[GroupByKey]=OutputTable[[#This Row],[GroupByKey]])*OutputTable[RecordedValue]))</f>
        <v>24</v>
      </c>
      <c r="P132" s="5" cm="1">
        <f t="array" ref="P132">MAX(IF((OutputTable[GroupByKey]=OutputTable[[#This Row],[GroupByKey]]),(OutputTable[GroupByKey]=OutputTable[[#This Row],[GroupByKey]])*OutputTable[RecordedValue]))</f>
        <v>49</v>
      </c>
    </row>
    <row r="133" spans="1:16" x14ac:dyDescent="0.25">
      <c r="A133" t="s">
        <v>68</v>
      </c>
      <c r="B133" t="s">
        <v>70</v>
      </c>
      <c r="C133">
        <v>6</v>
      </c>
      <c r="D133" t="s">
        <v>117</v>
      </c>
      <c r="E133" t="s">
        <v>112</v>
      </c>
      <c r="F133" t="s">
        <v>81</v>
      </c>
      <c r="G133">
        <v>39.065115502401298</v>
      </c>
      <c r="H133">
        <v>0</v>
      </c>
      <c r="I133" s="5" t="str">
        <f>OutputTable[[#This Row],[ProjectName]]&amp;OutputTable[[#This Row],[Name]]&amp;OutputTable[[#This Row],[Type]]&amp;OutputTable[[#This Row],[Source]]</f>
        <v>Pedido CleintesOrdnes Accum VA TimeAccum VA TimeProcess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39.878126992056487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6.1068580319474277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133" s="5" cm="1">
        <f t="array" ref="O133">MIN(IF((OutputTable[GroupByKey]=OutputTable[[#This Row],[GroupByKey]]),(OutputTable[GroupByKey]=OutputTable[[#This Row],[GroupByKey]])*OutputTable[RecordedValue]))</f>
        <v>26.106281767804099</v>
      </c>
      <c r="P133" s="5" cm="1">
        <f t="array" ref="P133">MAX(IF((OutputTable[GroupByKey]=OutputTable[[#This Row],[GroupByKey]]),(OutputTable[GroupByKey]=OutputTable[[#This Row],[GroupByKey]])*OutputTable[RecordedValue]))</f>
        <v>48.706388790541098</v>
      </c>
    </row>
    <row r="134" spans="1:16" x14ac:dyDescent="0.25">
      <c r="A134" t="s">
        <v>68</v>
      </c>
      <c r="B134" t="s">
        <v>70</v>
      </c>
      <c r="C134">
        <v>6</v>
      </c>
      <c r="D134" t="s">
        <v>118</v>
      </c>
      <c r="E134" t="s">
        <v>114</v>
      </c>
      <c r="F134" t="s">
        <v>81</v>
      </c>
      <c r="G134">
        <v>6.61795218264204</v>
      </c>
      <c r="H134">
        <v>0</v>
      </c>
      <c r="I1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7.9804799821754404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4.8950382198155014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134" s="5" cm="1">
        <f t="array" ref="O134">MIN(IF((OutputTable[GroupByKey]=OutputTable[[#This Row],[GroupByKey]]),(OutputTable[GroupByKey]=OutputTable[[#This Row],[GroupByKey]])*OutputTable[RecordedValue]))</f>
        <v>0</v>
      </c>
      <c r="P134" s="5" cm="1">
        <f t="array" ref="P134">MAX(IF((OutputTable[GroupByKey]=OutputTable[[#This Row],[GroupByKey]]),(OutputTable[GroupByKey]=OutputTable[[#This Row],[GroupByKey]])*OutputTable[RecordedValue]))</f>
        <v>18.843855117811401</v>
      </c>
    </row>
    <row r="135" spans="1:16" x14ac:dyDescent="0.25">
      <c r="A135" t="s">
        <v>68</v>
      </c>
      <c r="B135" t="s">
        <v>70</v>
      </c>
      <c r="C135">
        <v>6</v>
      </c>
      <c r="D135" t="s">
        <v>119</v>
      </c>
      <c r="E135" t="s">
        <v>108</v>
      </c>
      <c r="F135" t="s">
        <v>81</v>
      </c>
      <c r="G135">
        <v>39</v>
      </c>
      <c r="H135">
        <v>0</v>
      </c>
      <c r="I135" s="5" t="str">
        <f>OutputTable[[#This Row],[ProjectName]]&amp;OutputTable[[#This Row],[Name]]&amp;OutputTable[[#This Row],[Type]]&amp;OutputTable[[#This Row],[Source]]</f>
        <v>Pedido CleintesOrdnes Number InNumber InProcess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39.9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6.0648791101463475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135" s="5" cm="1">
        <f t="array" ref="O135">MIN(IF((OutputTable[GroupByKey]=OutputTable[[#This Row],[GroupByKey]]),(OutputTable[GroupByKey]=OutputTable[[#This Row],[GroupByKey]])*OutputTable[RecordedValue]))</f>
        <v>27</v>
      </c>
      <c r="P135" s="5" cm="1">
        <f t="array" ref="P135">MAX(IF((OutputTable[GroupByKey]=OutputTable[[#This Row],[GroupByKey]]),(OutputTable[GroupByKey]=OutputTable[[#This Row],[GroupByKey]])*OutputTable[RecordedValue]))</f>
        <v>49</v>
      </c>
    </row>
    <row r="136" spans="1:16" x14ac:dyDescent="0.25">
      <c r="A136" t="s">
        <v>68</v>
      </c>
      <c r="B136" t="s">
        <v>70</v>
      </c>
      <c r="C136">
        <v>6</v>
      </c>
      <c r="D136" t="s">
        <v>120</v>
      </c>
      <c r="E136" t="s">
        <v>110</v>
      </c>
      <c r="F136" t="s">
        <v>81</v>
      </c>
      <c r="G136">
        <v>39</v>
      </c>
      <c r="H136">
        <v>0</v>
      </c>
      <c r="I136" s="5" t="str">
        <f>OutputTable[[#This Row],[ProjectName]]&amp;OutputTable[[#This Row],[Name]]&amp;OutputTable[[#This Row],[Type]]&amp;OutputTable[[#This Row],[Source]]</f>
        <v>Pedido CleintesOrdnes Number OutNumber OutProcess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39.666666666666664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6.0477030882540914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36" s="5" cm="1">
        <f t="array" ref="O136">MIN(IF((OutputTable[GroupByKey]=OutputTable[[#This Row],[GroupByKey]]),(OutputTable[GroupByKey]=OutputTable[[#This Row],[GroupByKey]])*OutputTable[RecordedValue]))</f>
        <v>26</v>
      </c>
      <c r="P136" s="5" cm="1">
        <f t="array" ref="P136">MAX(IF((OutputTable[GroupByKey]=OutputTable[[#This Row],[GroupByKey]]),(OutputTable[GroupByKey]=OutputTable[[#This Row],[GroupByKey]])*OutputTable[RecordedValue]))</f>
        <v>49</v>
      </c>
    </row>
    <row r="137" spans="1:16" x14ac:dyDescent="0.25">
      <c r="A137" t="s">
        <v>68</v>
      </c>
      <c r="B137" t="s">
        <v>70</v>
      </c>
      <c r="C137">
        <v>6</v>
      </c>
      <c r="D137" t="s">
        <v>121</v>
      </c>
      <c r="E137" t="s">
        <v>112</v>
      </c>
      <c r="F137" t="s">
        <v>81</v>
      </c>
      <c r="G137">
        <v>27.443144393627001</v>
      </c>
      <c r="H137">
        <v>0</v>
      </c>
      <c r="I137" s="5" t="str">
        <f>OutputTable[[#This Row],[ProjectName]]&amp;OutputTable[[#This Row],[Name]]&amp;OutputTable[[#This Row],[Type]]&amp;OutputTable[[#This Row],[Source]]</f>
        <v>Pedido CleintesPago Accum VA TimeAccum VA TimeProcess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29.486262713858675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4.747176664010901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137" s="5" cm="1">
        <f t="array" ref="O137">MIN(IF((OutputTable[GroupByKey]=OutputTable[[#This Row],[GroupByKey]]),(OutputTable[GroupByKey]=OutputTable[[#This Row],[GroupByKey]])*OutputTable[RecordedValue]))</f>
        <v>19.573210250889101</v>
      </c>
      <c r="P137" s="5" cm="1">
        <f t="array" ref="P137">MAX(IF((OutputTable[GroupByKey]=OutputTable[[#This Row],[GroupByKey]]),(OutputTable[GroupByKey]=OutputTable[[#This Row],[GroupByKey]])*OutputTable[RecordedValue]))</f>
        <v>37.056974462114901</v>
      </c>
    </row>
    <row r="138" spans="1:16" x14ac:dyDescent="0.25">
      <c r="A138" t="s">
        <v>68</v>
      </c>
      <c r="B138" t="s">
        <v>70</v>
      </c>
      <c r="C138">
        <v>6</v>
      </c>
      <c r="D138" t="s">
        <v>122</v>
      </c>
      <c r="E138" t="s">
        <v>114</v>
      </c>
      <c r="F138" t="s">
        <v>81</v>
      </c>
      <c r="G138">
        <v>7.7645960526348299</v>
      </c>
      <c r="H138">
        <v>0</v>
      </c>
      <c r="I1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13.025761997568024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7.8467935605388783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138" s="5" cm="1">
        <f t="array" ref="O138">MIN(IF((OutputTable[GroupByKey]=OutputTable[[#This Row],[GroupByKey]]),(OutputTable[GroupByKey]=OutputTable[[#This Row],[GroupByKey]])*OutputTable[RecordedValue]))</f>
        <v>0</v>
      </c>
      <c r="P138" s="5" cm="1">
        <f t="array" ref="P138">MAX(IF((OutputTable[GroupByKey]=OutputTable[[#This Row],[GroupByKey]]),(OutputTable[GroupByKey]=OutputTable[[#This Row],[GroupByKey]])*OutputTable[RecordedValue]))</f>
        <v>32.770863925850499</v>
      </c>
    </row>
    <row r="139" spans="1:16" x14ac:dyDescent="0.25">
      <c r="A139" t="s">
        <v>68</v>
      </c>
      <c r="B139" t="s">
        <v>70</v>
      </c>
      <c r="C139">
        <v>6</v>
      </c>
      <c r="D139" t="s">
        <v>123</v>
      </c>
      <c r="E139" t="s">
        <v>108</v>
      </c>
      <c r="F139" t="s">
        <v>81</v>
      </c>
      <c r="G139">
        <v>39</v>
      </c>
      <c r="H139">
        <v>0</v>
      </c>
      <c r="I139" s="5" t="str">
        <f>OutputTable[[#This Row],[ProjectName]]&amp;OutputTable[[#This Row],[Name]]&amp;OutputTable[[#This Row],[Type]]&amp;OutputTable[[#This Row],[Source]]</f>
        <v>Pedido CleintesPago Number InNumber InProcess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39.666666666666664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6.0477030882540914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39" s="5" cm="1">
        <f t="array" ref="O139">MIN(IF((OutputTable[GroupByKey]=OutputTable[[#This Row],[GroupByKey]]),(OutputTable[GroupByKey]=OutputTable[[#This Row],[GroupByKey]])*OutputTable[RecordedValue]))</f>
        <v>26</v>
      </c>
      <c r="P139" s="5" cm="1">
        <f t="array" ref="P139">MAX(IF((OutputTable[GroupByKey]=OutputTable[[#This Row],[GroupByKey]]),(OutputTable[GroupByKey]=OutputTable[[#This Row],[GroupByKey]])*OutputTable[RecordedValue]))</f>
        <v>49</v>
      </c>
    </row>
    <row r="140" spans="1:16" x14ac:dyDescent="0.25">
      <c r="A140" t="s">
        <v>68</v>
      </c>
      <c r="B140" t="s">
        <v>70</v>
      </c>
      <c r="C140">
        <v>6</v>
      </c>
      <c r="D140" t="s">
        <v>124</v>
      </c>
      <c r="E140" t="s">
        <v>110</v>
      </c>
      <c r="F140" t="s">
        <v>81</v>
      </c>
      <c r="G140">
        <v>39</v>
      </c>
      <c r="H140">
        <v>0</v>
      </c>
      <c r="I140" s="5" t="str">
        <f>OutputTable[[#This Row],[ProjectName]]&amp;OutputTable[[#This Row],[Name]]&amp;OutputTable[[#This Row],[Type]]&amp;OutputTable[[#This Row],[Source]]</f>
        <v>Pedido CleintesPago Number OutNumber OutProcess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39.43333333333333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5.9171482724502509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140" s="5" cm="1">
        <f t="array" ref="O140">MIN(IF((OutputTable[GroupByKey]=OutputTable[[#This Row],[GroupByKey]]),(OutputTable[GroupByKey]=OutputTable[[#This Row],[GroupByKey]])*OutputTable[RecordedValue]))</f>
        <v>26</v>
      </c>
      <c r="P140" s="5" cm="1">
        <f t="array" ref="P140">MAX(IF((OutputTable[GroupByKey]=OutputTable[[#This Row],[GroupByKey]]),(OutputTable[GroupByKey]=OutputTable[[#This Row],[GroupByKey]])*OutputTable[RecordedValue]))</f>
        <v>49</v>
      </c>
    </row>
    <row r="141" spans="1:16" x14ac:dyDescent="0.25">
      <c r="A141" t="s">
        <v>68</v>
      </c>
      <c r="B141" t="s">
        <v>70</v>
      </c>
      <c r="C141">
        <v>6</v>
      </c>
      <c r="D141" t="s">
        <v>125</v>
      </c>
      <c r="E141" t="s">
        <v>112</v>
      </c>
      <c r="F141" t="s">
        <v>81</v>
      </c>
      <c r="G141">
        <v>119.263063952322</v>
      </c>
      <c r="H141">
        <v>0</v>
      </c>
      <c r="I1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116.64263458387505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17.825477946659205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141" s="5" cm="1">
        <f t="array" ref="O141">MIN(IF((OutputTable[GroupByKey]=OutputTable[[#This Row],[GroupByKey]]),(OutputTable[GroupByKey]=OutputTable[[#This Row],[GroupByKey]])*OutputTable[RecordedValue]))</f>
        <v>74.976560761710004</v>
      </c>
      <c r="P141" s="5" cm="1">
        <f t="array" ref="P141">MAX(IF((OutputTable[GroupByKey]=OutputTable[[#This Row],[GroupByKey]]),(OutputTable[GroupByKey]=OutputTable[[#This Row],[GroupByKey]])*OutputTable[RecordedValue]))</f>
        <v>145.504156763596</v>
      </c>
    </row>
    <row r="142" spans="1:16" x14ac:dyDescent="0.25">
      <c r="A142" t="s">
        <v>68</v>
      </c>
      <c r="B142" t="s">
        <v>70</v>
      </c>
      <c r="C142">
        <v>6</v>
      </c>
      <c r="D142" t="s">
        <v>126</v>
      </c>
      <c r="E142" t="s">
        <v>114</v>
      </c>
      <c r="F142" t="s">
        <v>81</v>
      </c>
      <c r="G142">
        <v>37.6531700953552</v>
      </c>
      <c r="H142">
        <v>0</v>
      </c>
      <c r="I1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39.900972800228722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22.922906975864144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142" s="5" cm="1">
        <f t="array" ref="O142">MIN(IF((OutputTable[GroupByKey]=OutputTable[[#This Row],[GroupByKey]]),(OutputTable[GroupByKey]=OutputTable[[#This Row],[GroupByKey]])*OutputTable[RecordedValue]))</f>
        <v>2.1708788192608899</v>
      </c>
      <c r="P142" s="5" cm="1">
        <f t="array" ref="P142">MAX(IF((OutputTable[GroupByKey]=OutputTable[[#This Row],[GroupByKey]]),(OutputTable[GroupByKey]=OutputTable[[#This Row],[GroupByKey]])*OutputTable[RecordedValue]))</f>
        <v>94.9142929398908</v>
      </c>
    </row>
    <row r="143" spans="1:16" x14ac:dyDescent="0.25">
      <c r="A143" t="s">
        <v>68</v>
      </c>
      <c r="B143" t="s">
        <v>70</v>
      </c>
      <c r="C143">
        <v>6</v>
      </c>
      <c r="D143" t="s">
        <v>127</v>
      </c>
      <c r="E143" t="s">
        <v>108</v>
      </c>
      <c r="F143" t="s">
        <v>81</v>
      </c>
      <c r="G143">
        <v>39</v>
      </c>
      <c r="H143">
        <v>0</v>
      </c>
      <c r="I143" s="5" t="str">
        <f>OutputTable[[#This Row],[ProjectName]]&amp;OutputTable[[#This Row],[Name]]&amp;OutputTable[[#This Row],[Type]]&amp;OutputTable[[#This Row],[Source]]</f>
        <v>Pedido CleintesPreparar orden Number InNumber InProcess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39.666666666666664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6.0477030882540914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43" s="5" cm="1">
        <f t="array" ref="O143">MIN(IF((OutputTable[GroupByKey]=OutputTable[[#This Row],[GroupByKey]]),(OutputTable[GroupByKey]=OutputTable[[#This Row],[GroupByKey]])*OutputTable[RecordedValue]))</f>
        <v>26</v>
      </c>
      <c r="P143" s="5" cm="1">
        <f t="array" ref="P143">MAX(IF((OutputTable[GroupByKey]=OutputTable[[#This Row],[GroupByKey]]),(OutputTable[GroupByKey]=OutputTable[[#This Row],[GroupByKey]])*OutputTable[RecordedValue]))</f>
        <v>49</v>
      </c>
    </row>
    <row r="144" spans="1:16" x14ac:dyDescent="0.25">
      <c r="A144" t="s">
        <v>68</v>
      </c>
      <c r="B144" t="s">
        <v>70</v>
      </c>
      <c r="C144">
        <v>6</v>
      </c>
      <c r="D144" t="s">
        <v>128</v>
      </c>
      <c r="E144" t="s">
        <v>110</v>
      </c>
      <c r="F144" t="s">
        <v>81</v>
      </c>
      <c r="G144">
        <v>39</v>
      </c>
      <c r="H144">
        <v>0</v>
      </c>
      <c r="I1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38.93333333333333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5.9765826548191505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44" s="5" cm="1">
        <f t="array" ref="O144">MIN(IF((OutputTable[GroupByKey]=OutputTable[[#This Row],[GroupByKey]]),(OutputTable[GroupByKey]=OutputTable[[#This Row],[GroupByKey]])*OutputTable[RecordedValue]))</f>
        <v>25</v>
      </c>
      <c r="P144" s="5" cm="1">
        <f t="array" ref="P144">MAX(IF((OutputTable[GroupByKey]=OutputTable[[#This Row],[GroupByKey]]),(OutputTable[GroupByKey]=OutputTable[[#This Row],[GroupByKey]])*OutputTable[RecordedValue]))</f>
        <v>49</v>
      </c>
    </row>
    <row r="145" spans="1:16" x14ac:dyDescent="0.25">
      <c r="A145" t="s">
        <v>68</v>
      </c>
      <c r="B145" t="s">
        <v>70</v>
      </c>
      <c r="C145">
        <v>6</v>
      </c>
      <c r="D145" t="s">
        <v>129</v>
      </c>
      <c r="E145" t="s">
        <v>110</v>
      </c>
      <c r="F145" t="s">
        <v>130</v>
      </c>
      <c r="G145">
        <v>39</v>
      </c>
      <c r="H145">
        <v>0</v>
      </c>
      <c r="I145" s="5" t="str">
        <f>OutputTable[[#This Row],[ProjectName]]&amp;OutputTable[[#This Row],[Name]]&amp;OutputTable[[#This Row],[Type]]&amp;OutputTable[[#This Row],[Source]]</f>
        <v>Pedido CleintesSystem.NumberOutNumber OutSystem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38.866666666666667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6.0840851369801694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45" s="5" cm="1">
        <f t="array" ref="O145">MIN(IF((OutputTable[GroupByKey]=OutputTable[[#This Row],[GroupByKey]]),(OutputTable[GroupByKey]=OutputTable[[#This Row],[GroupByKey]])*OutputTable[RecordedValue]))</f>
        <v>24</v>
      </c>
      <c r="P145" s="5" cm="1">
        <f t="array" ref="P145">MAX(IF((OutputTable[GroupByKey]=OutputTable[[#This Row],[GroupByKey]]),(OutputTable[GroupByKey]=OutputTable[[#This Row],[GroupByKey]])*OutputTable[RecordedValue]))</f>
        <v>49</v>
      </c>
    </row>
    <row r="146" spans="1:16" x14ac:dyDescent="0.25">
      <c r="A146" t="s">
        <v>68</v>
      </c>
      <c r="B146" t="s">
        <v>70</v>
      </c>
      <c r="C146">
        <v>6</v>
      </c>
      <c r="D146" t="s">
        <v>131</v>
      </c>
      <c r="E146" t="s">
        <v>132</v>
      </c>
      <c r="F146" t="s">
        <v>102</v>
      </c>
      <c r="G146">
        <v>39</v>
      </c>
      <c r="H146">
        <v>0</v>
      </c>
      <c r="I1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39.4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5.8757244601014422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146" s="5" cm="1">
        <f t="array" ref="O146">MIN(IF((OutputTable[GroupByKey]=OutputTable[[#This Row],[GroupByKey]]),(OutputTable[GroupByKey]=OutputTable[[#This Row],[GroupByKey]])*OutputTable[RecordedValue]))</f>
        <v>26</v>
      </c>
      <c r="P146" s="5" cm="1">
        <f t="array" ref="P146">MAX(IF((OutputTable[GroupByKey]=OutputTable[[#This Row],[GroupByKey]]),(OutputTable[GroupByKey]=OutputTable[[#This Row],[GroupByKey]])*OutputTable[RecordedValue]))</f>
        <v>49</v>
      </c>
    </row>
    <row r="147" spans="1:16" x14ac:dyDescent="0.25">
      <c r="A147" t="s">
        <v>68</v>
      </c>
      <c r="B147" t="s">
        <v>70</v>
      </c>
      <c r="C147">
        <v>6</v>
      </c>
      <c r="D147" t="s">
        <v>133</v>
      </c>
      <c r="E147" t="s">
        <v>134</v>
      </c>
      <c r="F147" t="s">
        <v>102</v>
      </c>
      <c r="G147">
        <v>0.49692943313467602</v>
      </c>
      <c r="H147">
        <v>0</v>
      </c>
      <c r="I1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0.48891840079317483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7.3627413122013347E-2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147" s="5" cm="1">
        <f t="array" ref="O147">MIN(IF((OutputTable[GroupByKey]=OutputTable[[#This Row],[GroupByKey]]),(OutputTable[GroupByKey]=OutputTable[[#This Row],[GroupByKey]])*OutputTable[RecordedValue]))</f>
        <v>0.31277577999924699</v>
      </c>
      <c r="P147" s="5" cm="1">
        <f t="array" ref="P147">MAX(IF((OutputTable[GroupByKey]=OutputTable[[#This Row],[GroupByKey]]),(OutputTable[GroupByKey]=OutputTable[[#This Row],[GroupByKey]])*OutputTable[RecordedValue]))</f>
        <v>0.60626731984831705</v>
      </c>
    </row>
    <row r="148" spans="1:16" x14ac:dyDescent="0.25">
      <c r="A148" t="s">
        <v>68</v>
      </c>
      <c r="B148" t="s">
        <v>70</v>
      </c>
      <c r="C148">
        <v>6</v>
      </c>
      <c r="D148" t="s">
        <v>135</v>
      </c>
      <c r="E148" t="s">
        <v>132</v>
      </c>
      <c r="F148" t="s">
        <v>102</v>
      </c>
      <c r="G148">
        <v>78</v>
      </c>
      <c r="H148">
        <v>0</v>
      </c>
      <c r="I1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79.466666666666669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12.016463801753446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148" s="5" cm="1">
        <f t="array" ref="O148">MIN(IF((OutputTable[GroupByKey]=OutputTable[[#This Row],[GroupByKey]]),(OutputTable[GroupByKey]=OutputTable[[#This Row],[GroupByKey]])*OutputTable[RecordedValue]))</f>
        <v>53</v>
      </c>
      <c r="P148" s="5" cm="1">
        <f t="array" ref="P148">MAX(IF((OutputTable[GroupByKey]=OutputTable[[#This Row],[GroupByKey]]),(OutputTable[GroupByKey]=OutputTable[[#This Row],[GroupByKey]])*OutputTable[RecordedValue]))</f>
        <v>98</v>
      </c>
    </row>
    <row r="149" spans="1:16" x14ac:dyDescent="0.25">
      <c r="A149" t="s">
        <v>68</v>
      </c>
      <c r="B149" t="s">
        <v>70</v>
      </c>
      <c r="C149">
        <v>6</v>
      </c>
      <c r="D149" t="s">
        <v>136</v>
      </c>
      <c r="E149" t="s">
        <v>134</v>
      </c>
      <c r="F149" t="s">
        <v>102</v>
      </c>
      <c r="G149">
        <v>0.27711774956678498</v>
      </c>
      <c r="H149">
        <v>0</v>
      </c>
      <c r="I1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0.28976365927997022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4.4748273652133699E-2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149" s="5" cm="1">
        <f t="array" ref="O149">MIN(IF((OutputTable[GroupByKey]=OutputTable[[#This Row],[GroupByKey]]),(OutputTable[GroupByKey]=OutputTable[[#This Row],[GroupByKey]])*OutputTable[RecordedValue]))</f>
        <v>0.194735973294278</v>
      </c>
      <c r="P149" s="5" cm="1">
        <f t="array" ref="P149">MAX(IF((OutputTable[GroupByKey]=OutputTable[[#This Row],[GroupByKey]]),(OutputTable[GroupByKey]=OutputTable[[#This Row],[GroupByKey]])*OutputTable[RecordedValue]))</f>
        <v>0.35775345817659199</v>
      </c>
    </row>
    <row r="150" spans="1:16" x14ac:dyDescent="0.25">
      <c r="A150" t="s">
        <v>68</v>
      </c>
      <c r="B150" t="s">
        <v>70</v>
      </c>
      <c r="C150">
        <v>6</v>
      </c>
      <c r="D150" t="s">
        <v>137</v>
      </c>
      <c r="E150" t="s">
        <v>132</v>
      </c>
      <c r="F150" t="s">
        <v>102</v>
      </c>
      <c r="G150">
        <v>39</v>
      </c>
      <c r="H150">
        <v>0</v>
      </c>
      <c r="I1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38.93333333333333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5.9765826548191505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50" s="5" cm="1">
        <f t="array" ref="O150">MIN(IF((OutputTable[GroupByKey]=OutputTable[[#This Row],[GroupByKey]]),(OutputTable[GroupByKey]=OutputTable[[#This Row],[GroupByKey]])*OutputTable[RecordedValue]))</f>
        <v>25</v>
      </c>
      <c r="P150" s="5" cm="1">
        <f t="array" ref="P150">MAX(IF((OutputTable[GroupByKey]=OutputTable[[#This Row],[GroupByKey]]),(OutputTable[GroupByKey]=OutputTable[[#This Row],[GroupByKey]])*OutputTable[RecordedValue]))</f>
        <v>49</v>
      </c>
    </row>
    <row r="151" spans="1:16" x14ac:dyDescent="0.25">
      <c r="A151" t="s">
        <v>68</v>
      </c>
      <c r="B151" t="s">
        <v>70</v>
      </c>
      <c r="C151">
        <v>6</v>
      </c>
      <c r="D151" t="s">
        <v>138</v>
      </c>
      <c r="E151" t="s">
        <v>134</v>
      </c>
      <c r="F151" t="s">
        <v>102</v>
      </c>
      <c r="G151">
        <v>8.5601179182103498E-2</v>
      </c>
      <c r="H151">
        <v>0</v>
      </c>
      <c r="I1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8.2588852761398115E-2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1.3130964022328008E-2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151" s="5" cm="1">
        <f t="array" ref="O151">MIN(IF((OutputTable[GroupByKey]=OutputTable[[#This Row],[GroupByKey]]),(OutputTable[GroupByKey]=OutputTable[[#This Row],[GroupByKey]])*OutputTable[RecordedValue]))</f>
        <v>5.3757894868807901E-2</v>
      </c>
      <c r="P151" s="5" cm="1">
        <f t="array" ref="P151">MAX(IF((OutputTable[GroupByKey]=OutputTable[[#This Row],[GroupByKey]]),(OutputTable[GroupByKey]=OutputTable[[#This Row],[GroupByKey]])*OutputTable[RecordedValue]))</f>
        <v>0.103175045984152</v>
      </c>
    </row>
    <row r="152" spans="1:16" x14ac:dyDescent="0.25">
      <c r="A152" t="s">
        <v>68</v>
      </c>
      <c r="B152" t="s">
        <v>70</v>
      </c>
      <c r="C152">
        <v>7</v>
      </c>
      <c r="D152" t="s">
        <v>107</v>
      </c>
      <c r="E152" t="s">
        <v>108</v>
      </c>
      <c r="F152" t="s">
        <v>73</v>
      </c>
      <c r="G152">
        <v>114</v>
      </c>
      <c r="H152">
        <v>0</v>
      </c>
      <c r="I152" s="5" t="str">
        <f>OutputTable[[#This Row],[ProjectName]]&amp;OutputTable[[#This Row],[Name]]&amp;OutputTable[[#This Row],[Type]]&amp;OutputTable[[#This Row],[Source]]</f>
        <v>Pedido CleintesClientes.NumberInNumber InEntity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30</v>
      </c>
      <c r="K152" s="5" cm="1">
        <f t="array" ref="K152">IFERROR(AVERAGE(IF((OutputTable[GroupByKey]=OutputTable[[#This Row],[GroupByKey]]),(OutputTable[GroupByKey]=OutputTable[[#This Row],[GroupByKey]])*OutputTable[RecordedValue])),0)</f>
        <v>118.5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18.009097317936192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152" s="5" cm="1">
        <f t="array" ref="O152">MIN(IF((OutputTable[GroupByKey]=OutputTable[[#This Row],[GroupByKey]]),(OutputTable[GroupByKey]=OutputTable[[#This Row],[GroupByKey]])*OutputTable[RecordedValue]))</f>
        <v>78</v>
      </c>
      <c r="P152" s="5" cm="1">
        <f t="array" ref="P152">MAX(IF((OutputTable[GroupByKey]=OutputTable[[#This Row],[GroupByKey]]),(OutputTable[GroupByKey]=OutputTable[[#This Row],[GroupByKey]])*OutputTable[RecordedValue]))</f>
        <v>147</v>
      </c>
    </row>
    <row r="153" spans="1:16" x14ac:dyDescent="0.25">
      <c r="A153" t="s">
        <v>68</v>
      </c>
      <c r="B153" t="s">
        <v>70</v>
      </c>
      <c r="C153">
        <v>7</v>
      </c>
      <c r="D153" t="s">
        <v>109</v>
      </c>
      <c r="E153" t="s">
        <v>110</v>
      </c>
      <c r="F153" t="s">
        <v>73</v>
      </c>
      <c r="G153">
        <v>114</v>
      </c>
      <c r="H153">
        <v>0</v>
      </c>
      <c r="I153" s="5" t="str">
        <f>OutputTable[[#This Row],[ProjectName]]&amp;OutputTable[[#This Row],[Name]]&amp;OutputTable[[#This Row],[Type]]&amp;OutputTable[[#This Row],[Source]]</f>
        <v>Pedido CleintesClientes.NumberOutNumber OutEntity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30</v>
      </c>
      <c r="K153" s="5" cm="1">
        <f t="array" ref="K153">IFERROR(AVERAGE(IF((OutputTable[GroupByKey]=OutputTable[[#This Row],[GroupByKey]]),(OutputTable[GroupByKey]=OutputTable[[#This Row],[GroupByKey]])*OutputTable[RecordedValue])),0)</f>
        <v>116.6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18.252255410940514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153" s="5" cm="1">
        <f t="array" ref="O153">MIN(IF((OutputTable[GroupByKey]=OutputTable[[#This Row],[GroupByKey]]),(OutputTable[GroupByKey]=OutputTable[[#This Row],[GroupByKey]])*OutputTable[RecordedValue]))</f>
        <v>72</v>
      </c>
      <c r="P153" s="5" cm="1">
        <f t="array" ref="P153">MAX(IF((OutputTable[GroupByKey]=OutputTable[[#This Row],[GroupByKey]]),(OutputTable[GroupByKey]=OutputTable[[#This Row],[GroupByKey]])*OutputTable[RecordedValue]))</f>
        <v>147</v>
      </c>
    </row>
    <row r="154" spans="1:16" x14ac:dyDescent="0.25">
      <c r="A154" t="s">
        <v>68</v>
      </c>
      <c r="B154" t="s">
        <v>70</v>
      </c>
      <c r="C154">
        <v>7</v>
      </c>
      <c r="D154" t="s">
        <v>111</v>
      </c>
      <c r="E154" t="s">
        <v>112</v>
      </c>
      <c r="F154" t="s">
        <v>81</v>
      </c>
      <c r="G154">
        <v>20.8523064580694</v>
      </c>
      <c r="H154">
        <v>0</v>
      </c>
      <c r="I15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30</v>
      </c>
      <c r="K154" s="5" cm="1">
        <f t="array" ref="K154">IFERROR(AVERAGE(IF((OutputTable[GroupByKey]=OutputTable[[#This Row],[GroupByKey]]),(OutputTable[GroupByKey]=OutputTable[[#This Row],[GroupByKey]])*OutputTable[RecordedValue])),0)</f>
        <v>19.806808580201274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3.1624794742170024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154" s="5" cm="1">
        <f t="array" ref="O154">MIN(IF((OutputTable[GroupByKey]=OutputTable[[#This Row],[GroupByKey]]),(OutputTable[GroupByKey]=OutputTable[[#This Row],[GroupByKey]])*OutputTable[RecordedValue]))</f>
        <v>12.812268330404599</v>
      </c>
      <c r="P154" s="5" cm="1">
        <f t="array" ref="P154">MAX(IF((OutputTable[GroupByKey]=OutputTable[[#This Row],[GroupByKey]]),(OutputTable[GroupByKey]=OutputTable[[#This Row],[GroupByKey]])*OutputTable[RecordedValue]))</f>
        <v>24.762011036196501</v>
      </c>
    </row>
    <row r="155" spans="1:16" x14ac:dyDescent="0.25">
      <c r="A155" t="s">
        <v>68</v>
      </c>
      <c r="B155" t="s">
        <v>70</v>
      </c>
      <c r="C155">
        <v>7</v>
      </c>
      <c r="D155" t="s">
        <v>113</v>
      </c>
      <c r="E155" t="s">
        <v>114</v>
      </c>
      <c r="F155" t="s">
        <v>81</v>
      </c>
      <c r="G155">
        <v>0</v>
      </c>
      <c r="H155">
        <v>0</v>
      </c>
      <c r="I15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30</v>
      </c>
      <c r="K155" s="5" cm="1">
        <f t="array" ref="K155">IFERROR(AVERAGE(IF((OutputTable[GroupByKey]=OutputTable[[#This Row],[GroupByKey]]),(OutputTable[GroupByKey]=OutputTable[[#This Row],[GroupByKey]])*OutputTable[RecordedValue])),0)</f>
        <v>0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" s="5" cm="1">
        <f t="array" ref="O155">MIN(IF((OutputTable[GroupByKey]=OutputTable[[#This Row],[GroupByKey]]),(OutputTable[GroupByKey]=OutputTable[[#This Row],[GroupByKey]])*OutputTable[RecordedValue]))</f>
        <v>0</v>
      </c>
      <c r="P155" s="5" cm="1">
        <f t="array" ref="P155">MAX(IF((OutputTable[GroupByKey]=OutputTable[[#This Row],[GroupByKey]]),(OutputTable[GroupByKey]=OutputTable[[#This Row],[GroupByKey]])*OutputTable[RecordedValue]))</f>
        <v>0</v>
      </c>
    </row>
    <row r="156" spans="1:16" x14ac:dyDescent="0.25">
      <c r="A156" t="s">
        <v>68</v>
      </c>
      <c r="B156" t="s">
        <v>70</v>
      </c>
      <c r="C156">
        <v>7</v>
      </c>
      <c r="D156" t="s">
        <v>115</v>
      </c>
      <c r="E156" t="s">
        <v>108</v>
      </c>
      <c r="F156" t="s">
        <v>81</v>
      </c>
      <c r="G156">
        <v>38</v>
      </c>
      <c r="H156">
        <v>0</v>
      </c>
      <c r="I15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30</v>
      </c>
      <c r="K156" s="5" cm="1">
        <f t="array" ref="K156">IFERROR(AVERAGE(IF((OutputTable[GroupByKey]=OutputTable[[#This Row],[GroupByKey]]),(OutputTable[GroupByKey]=OutputTable[[#This Row],[GroupByKey]])*OutputTable[RecordedValue])),0)</f>
        <v>38.93333333333333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5.9765826548191505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56" s="5" cm="1">
        <f t="array" ref="O156">MIN(IF((OutputTable[GroupByKey]=OutputTable[[#This Row],[GroupByKey]]),(OutputTable[GroupByKey]=OutputTable[[#This Row],[GroupByKey]])*OutputTable[RecordedValue]))</f>
        <v>25</v>
      </c>
      <c r="P156" s="5" cm="1">
        <f t="array" ref="P156">MAX(IF((OutputTable[GroupByKey]=OutputTable[[#This Row],[GroupByKey]]),(OutputTable[GroupByKey]=OutputTable[[#This Row],[GroupByKey]])*OutputTable[RecordedValue]))</f>
        <v>49</v>
      </c>
    </row>
    <row r="157" spans="1:16" x14ac:dyDescent="0.25">
      <c r="A157" t="s">
        <v>68</v>
      </c>
      <c r="B157" t="s">
        <v>70</v>
      </c>
      <c r="C157">
        <v>7</v>
      </c>
      <c r="D157" t="s">
        <v>116</v>
      </c>
      <c r="E157" t="s">
        <v>110</v>
      </c>
      <c r="F157" t="s">
        <v>81</v>
      </c>
      <c r="G157">
        <v>38</v>
      </c>
      <c r="H157">
        <v>0</v>
      </c>
      <c r="I15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30</v>
      </c>
      <c r="K157" s="5" cm="1">
        <f t="array" ref="K157">IFERROR(AVERAGE(IF((OutputTable[GroupByKey]=OutputTable[[#This Row],[GroupByKey]]),(OutputTable[GroupByKey]=OutputTable[[#This Row],[GroupByKey]])*OutputTable[RecordedValue])),0)</f>
        <v>38.866666666666667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6.0840851369801694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57" s="5" cm="1">
        <f t="array" ref="O157">MIN(IF((OutputTable[GroupByKey]=OutputTable[[#This Row],[GroupByKey]]),(OutputTable[GroupByKey]=OutputTable[[#This Row],[GroupByKey]])*OutputTable[RecordedValue]))</f>
        <v>24</v>
      </c>
      <c r="P157" s="5" cm="1">
        <f t="array" ref="P157">MAX(IF((OutputTable[GroupByKey]=OutputTable[[#This Row],[GroupByKey]]),(OutputTable[GroupByKey]=OutputTable[[#This Row],[GroupByKey]])*OutputTable[RecordedValue]))</f>
        <v>49</v>
      </c>
    </row>
    <row r="158" spans="1:16" x14ac:dyDescent="0.25">
      <c r="A158" t="s">
        <v>68</v>
      </c>
      <c r="B158" t="s">
        <v>70</v>
      </c>
      <c r="C158">
        <v>7</v>
      </c>
      <c r="D158" t="s">
        <v>117</v>
      </c>
      <c r="E158" t="s">
        <v>112</v>
      </c>
      <c r="F158" t="s">
        <v>81</v>
      </c>
      <c r="G158">
        <v>37.079921221757203</v>
      </c>
      <c r="H158">
        <v>0</v>
      </c>
      <c r="I158" s="5" t="str">
        <f>OutputTable[[#This Row],[ProjectName]]&amp;OutputTable[[#This Row],[Name]]&amp;OutputTable[[#This Row],[Type]]&amp;OutputTable[[#This Row],[Source]]</f>
        <v>Pedido CleintesOrdnes Accum VA TimeAccum VA TimeProcess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30</v>
      </c>
      <c r="K158" s="5" cm="1">
        <f t="array" ref="K158">IFERROR(AVERAGE(IF((OutputTable[GroupByKey]=OutputTable[[#This Row],[GroupByKey]]),(OutputTable[GroupByKey]=OutputTable[[#This Row],[GroupByKey]])*OutputTable[RecordedValue])),0)</f>
        <v>39.878126992056487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6.1068580319474277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158" s="5" cm="1">
        <f t="array" ref="O158">MIN(IF((OutputTable[GroupByKey]=OutputTable[[#This Row],[GroupByKey]]),(OutputTable[GroupByKey]=OutputTable[[#This Row],[GroupByKey]])*OutputTable[RecordedValue]))</f>
        <v>26.106281767804099</v>
      </c>
      <c r="P158" s="5" cm="1">
        <f t="array" ref="P158">MAX(IF((OutputTable[GroupByKey]=OutputTable[[#This Row],[GroupByKey]]),(OutputTable[GroupByKey]=OutputTable[[#This Row],[GroupByKey]])*OutputTable[RecordedValue]))</f>
        <v>48.706388790541098</v>
      </c>
    </row>
    <row r="159" spans="1:16" x14ac:dyDescent="0.25">
      <c r="A159" t="s">
        <v>68</v>
      </c>
      <c r="B159" t="s">
        <v>70</v>
      </c>
      <c r="C159">
        <v>7</v>
      </c>
      <c r="D159" t="s">
        <v>118</v>
      </c>
      <c r="E159" t="s">
        <v>114</v>
      </c>
      <c r="F159" t="s">
        <v>81</v>
      </c>
      <c r="G159">
        <v>7.17104496913334</v>
      </c>
      <c r="H159">
        <v>0</v>
      </c>
      <c r="I15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30</v>
      </c>
      <c r="K159" s="5" cm="1">
        <f t="array" ref="K159">IFERROR(AVERAGE(IF((OutputTable[GroupByKey]=OutputTable[[#This Row],[GroupByKey]]),(OutputTable[GroupByKey]=OutputTable[[#This Row],[GroupByKey]])*OutputTable[RecordedValue])),0)</f>
        <v>7.9804799821754404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4.8950382198155014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159" s="5" cm="1">
        <f t="array" ref="O159">MIN(IF((OutputTable[GroupByKey]=OutputTable[[#This Row],[GroupByKey]]),(OutputTable[GroupByKey]=OutputTable[[#This Row],[GroupByKey]])*OutputTable[RecordedValue]))</f>
        <v>0</v>
      </c>
      <c r="P159" s="5" cm="1">
        <f t="array" ref="P159">MAX(IF((OutputTable[GroupByKey]=OutputTable[[#This Row],[GroupByKey]]),(OutputTable[GroupByKey]=OutputTable[[#This Row],[GroupByKey]])*OutputTable[RecordedValue]))</f>
        <v>18.843855117811401</v>
      </c>
    </row>
    <row r="160" spans="1:16" x14ac:dyDescent="0.25">
      <c r="A160" t="s">
        <v>68</v>
      </c>
      <c r="B160" t="s">
        <v>70</v>
      </c>
      <c r="C160">
        <v>7</v>
      </c>
      <c r="D160" t="s">
        <v>119</v>
      </c>
      <c r="E160" t="s">
        <v>108</v>
      </c>
      <c r="F160" t="s">
        <v>81</v>
      </c>
      <c r="G160">
        <v>38</v>
      </c>
      <c r="H160">
        <v>0</v>
      </c>
      <c r="I160" s="5" t="str">
        <f>OutputTable[[#This Row],[ProjectName]]&amp;OutputTable[[#This Row],[Name]]&amp;OutputTable[[#This Row],[Type]]&amp;OutputTable[[#This Row],[Source]]</f>
        <v>Pedido CleintesOrdnes Number InNumber InProcess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30</v>
      </c>
      <c r="K160" s="5" cm="1">
        <f t="array" ref="K160">IFERROR(AVERAGE(IF((OutputTable[GroupByKey]=OutputTable[[#This Row],[GroupByKey]]),(OutputTable[GroupByKey]=OutputTable[[#This Row],[GroupByKey]])*OutputTable[RecordedValue])),0)</f>
        <v>39.9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6.0648791101463475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160" s="5" cm="1">
        <f t="array" ref="O160">MIN(IF((OutputTable[GroupByKey]=OutputTable[[#This Row],[GroupByKey]]),(OutputTable[GroupByKey]=OutputTable[[#This Row],[GroupByKey]])*OutputTable[RecordedValue]))</f>
        <v>27</v>
      </c>
      <c r="P160" s="5" cm="1">
        <f t="array" ref="P160">MAX(IF((OutputTable[GroupByKey]=OutputTable[[#This Row],[GroupByKey]]),(OutputTable[GroupByKey]=OutputTable[[#This Row],[GroupByKey]])*OutputTable[RecordedValue]))</f>
        <v>49</v>
      </c>
    </row>
    <row r="161" spans="1:16" x14ac:dyDescent="0.25">
      <c r="A161" t="s">
        <v>68</v>
      </c>
      <c r="B161" t="s">
        <v>70</v>
      </c>
      <c r="C161">
        <v>7</v>
      </c>
      <c r="D161" t="s">
        <v>120</v>
      </c>
      <c r="E161" t="s">
        <v>110</v>
      </c>
      <c r="F161" t="s">
        <v>81</v>
      </c>
      <c r="G161">
        <v>38</v>
      </c>
      <c r="H161">
        <v>0</v>
      </c>
      <c r="I161" s="5" t="str">
        <f>OutputTable[[#This Row],[ProjectName]]&amp;OutputTable[[#This Row],[Name]]&amp;OutputTable[[#This Row],[Type]]&amp;OutputTable[[#This Row],[Source]]</f>
        <v>Pedido CleintesOrdnes Number OutNumber OutProcess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30</v>
      </c>
      <c r="K161" s="5" cm="1">
        <f t="array" ref="K161">IFERROR(AVERAGE(IF((OutputTable[GroupByKey]=OutputTable[[#This Row],[GroupByKey]]),(OutputTable[GroupByKey]=OutputTable[[#This Row],[GroupByKey]])*OutputTable[RecordedValue])),0)</f>
        <v>39.666666666666664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6.0477030882540914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61" s="5" cm="1">
        <f t="array" ref="O161">MIN(IF((OutputTable[GroupByKey]=OutputTable[[#This Row],[GroupByKey]]),(OutputTable[GroupByKey]=OutputTable[[#This Row],[GroupByKey]])*OutputTable[RecordedValue]))</f>
        <v>26</v>
      </c>
      <c r="P161" s="5" cm="1">
        <f t="array" ref="P161">MAX(IF((OutputTable[GroupByKey]=OutputTable[[#This Row],[GroupByKey]]),(OutputTable[GroupByKey]=OutputTable[[#This Row],[GroupByKey]])*OutputTable[RecordedValue]))</f>
        <v>49</v>
      </c>
    </row>
    <row r="162" spans="1:16" x14ac:dyDescent="0.25">
      <c r="A162" t="s">
        <v>68</v>
      </c>
      <c r="B162" t="s">
        <v>70</v>
      </c>
      <c r="C162">
        <v>7</v>
      </c>
      <c r="D162" t="s">
        <v>121</v>
      </c>
      <c r="E162" t="s">
        <v>112</v>
      </c>
      <c r="F162" t="s">
        <v>81</v>
      </c>
      <c r="G162">
        <v>29.363794860554201</v>
      </c>
      <c r="H162">
        <v>0</v>
      </c>
      <c r="I162" s="5" t="str">
        <f>OutputTable[[#This Row],[ProjectName]]&amp;OutputTable[[#This Row],[Name]]&amp;OutputTable[[#This Row],[Type]]&amp;OutputTable[[#This Row],[Source]]</f>
        <v>Pedido CleintesPago Accum VA TimeAccum VA TimeProcess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30</v>
      </c>
      <c r="K162" s="5" cm="1">
        <f t="array" ref="K162">IFERROR(AVERAGE(IF((OutputTable[GroupByKey]=OutputTable[[#This Row],[GroupByKey]]),(OutputTable[GroupByKey]=OutputTable[[#This Row],[GroupByKey]])*OutputTable[RecordedValue])),0)</f>
        <v>29.486262713858675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4.747176664010901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162" s="5" cm="1">
        <f t="array" ref="O162">MIN(IF((OutputTable[GroupByKey]=OutputTable[[#This Row],[GroupByKey]]),(OutputTable[GroupByKey]=OutputTable[[#This Row],[GroupByKey]])*OutputTable[RecordedValue]))</f>
        <v>19.573210250889101</v>
      </c>
      <c r="P162" s="5" cm="1">
        <f t="array" ref="P162">MAX(IF((OutputTable[GroupByKey]=OutputTable[[#This Row],[GroupByKey]]),(OutputTable[GroupByKey]=OutputTable[[#This Row],[GroupByKey]])*OutputTable[RecordedValue]))</f>
        <v>37.056974462114901</v>
      </c>
    </row>
    <row r="163" spans="1:16" x14ac:dyDescent="0.25">
      <c r="A163" t="s">
        <v>68</v>
      </c>
      <c r="B163" t="s">
        <v>70</v>
      </c>
      <c r="C163">
        <v>7</v>
      </c>
      <c r="D163" t="s">
        <v>122</v>
      </c>
      <c r="E163" t="s">
        <v>114</v>
      </c>
      <c r="F163" t="s">
        <v>81</v>
      </c>
      <c r="G163">
        <v>4.7807872034457102</v>
      </c>
      <c r="H163">
        <v>0</v>
      </c>
      <c r="I163" s="5" t="str">
        <f>OutputTable[[#This Row],[ProjectName]]&amp;OutputTable[[#This Row],[Name]]&amp;OutputTable[[#This Row],[Type]]&amp;OutputTable[[#This Row],[Source]]</f>
        <v>Pedido CleintesPago Accum Wait TimeAccum Wait TimeProcess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30</v>
      </c>
      <c r="K163" s="5" cm="1">
        <f t="array" ref="K163">IFERROR(AVERAGE(IF((OutputTable[GroupByKey]=OutputTable[[#This Row],[GroupByKey]]),(OutputTable[GroupByKey]=OutputTable[[#This Row],[GroupByKey]])*OutputTable[RecordedValue])),0)</f>
        <v>13.025761997568024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7.8467935605388783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163" s="5" cm="1">
        <f t="array" ref="O163">MIN(IF((OutputTable[GroupByKey]=OutputTable[[#This Row],[GroupByKey]]),(OutputTable[GroupByKey]=OutputTable[[#This Row],[GroupByKey]])*OutputTable[RecordedValue]))</f>
        <v>0</v>
      </c>
      <c r="P163" s="5" cm="1">
        <f t="array" ref="P163">MAX(IF((OutputTable[GroupByKey]=OutputTable[[#This Row],[GroupByKey]]),(OutputTable[GroupByKey]=OutputTable[[#This Row],[GroupByKey]])*OutputTable[RecordedValue]))</f>
        <v>32.770863925850499</v>
      </c>
    </row>
    <row r="164" spans="1:16" x14ac:dyDescent="0.25">
      <c r="A164" t="s">
        <v>68</v>
      </c>
      <c r="B164" t="s">
        <v>70</v>
      </c>
      <c r="C164">
        <v>7</v>
      </c>
      <c r="D164" t="s">
        <v>123</v>
      </c>
      <c r="E164" t="s">
        <v>108</v>
      </c>
      <c r="F164" t="s">
        <v>81</v>
      </c>
      <c r="G164">
        <v>38</v>
      </c>
      <c r="H164">
        <v>0</v>
      </c>
      <c r="I164" s="5" t="str">
        <f>OutputTable[[#This Row],[ProjectName]]&amp;OutputTable[[#This Row],[Name]]&amp;OutputTable[[#This Row],[Type]]&amp;OutputTable[[#This Row],[Source]]</f>
        <v>Pedido CleintesPago Number InNumber InProcess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30</v>
      </c>
      <c r="K164" s="5" cm="1">
        <f t="array" ref="K164">IFERROR(AVERAGE(IF((OutputTable[GroupByKey]=OutputTable[[#This Row],[GroupByKey]]),(OutputTable[GroupByKey]=OutputTable[[#This Row],[GroupByKey]])*OutputTable[RecordedValue])),0)</f>
        <v>39.666666666666664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6.0477030882540914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64" s="5" cm="1">
        <f t="array" ref="O164">MIN(IF((OutputTable[GroupByKey]=OutputTable[[#This Row],[GroupByKey]]),(OutputTable[GroupByKey]=OutputTable[[#This Row],[GroupByKey]])*OutputTable[RecordedValue]))</f>
        <v>26</v>
      </c>
      <c r="P164" s="5" cm="1">
        <f t="array" ref="P164">MAX(IF((OutputTable[GroupByKey]=OutputTable[[#This Row],[GroupByKey]]),(OutputTable[GroupByKey]=OutputTable[[#This Row],[GroupByKey]])*OutputTable[RecordedValue]))</f>
        <v>49</v>
      </c>
    </row>
    <row r="165" spans="1:16" x14ac:dyDescent="0.25">
      <c r="A165" t="s">
        <v>68</v>
      </c>
      <c r="B165" t="s">
        <v>70</v>
      </c>
      <c r="C165">
        <v>7</v>
      </c>
      <c r="D165" t="s">
        <v>124</v>
      </c>
      <c r="E165" t="s">
        <v>110</v>
      </c>
      <c r="F165" t="s">
        <v>81</v>
      </c>
      <c r="G165">
        <v>38</v>
      </c>
      <c r="H165">
        <v>0</v>
      </c>
      <c r="I165" s="5" t="str">
        <f>OutputTable[[#This Row],[ProjectName]]&amp;OutputTable[[#This Row],[Name]]&amp;OutputTable[[#This Row],[Type]]&amp;OutputTable[[#This Row],[Source]]</f>
        <v>Pedido CleintesPago Number OutNumber OutProcess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30</v>
      </c>
      <c r="K165" s="5" cm="1">
        <f t="array" ref="K165">IFERROR(AVERAGE(IF((OutputTable[GroupByKey]=OutputTable[[#This Row],[GroupByKey]]),(OutputTable[GroupByKey]=OutputTable[[#This Row],[GroupByKey]])*OutputTable[RecordedValue])),0)</f>
        <v>39.43333333333333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5.9171482724502509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165" s="5" cm="1">
        <f t="array" ref="O165">MIN(IF((OutputTable[GroupByKey]=OutputTable[[#This Row],[GroupByKey]]),(OutputTable[GroupByKey]=OutputTable[[#This Row],[GroupByKey]])*OutputTable[RecordedValue]))</f>
        <v>26</v>
      </c>
      <c r="P165" s="5" cm="1">
        <f t="array" ref="P165">MAX(IF((OutputTable[GroupByKey]=OutputTable[[#This Row],[GroupByKey]]),(OutputTable[GroupByKey]=OutputTable[[#This Row],[GroupByKey]])*OutputTable[RecordedValue]))</f>
        <v>49</v>
      </c>
    </row>
    <row r="166" spans="1:16" x14ac:dyDescent="0.25">
      <c r="A166" t="s">
        <v>68</v>
      </c>
      <c r="B166" t="s">
        <v>70</v>
      </c>
      <c r="C166">
        <v>7</v>
      </c>
      <c r="D166" t="s">
        <v>125</v>
      </c>
      <c r="E166" t="s">
        <v>112</v>
      </c>
      <c r="F166" t="s">
        <v>81</v>
      </c>
      <c r="G166">
        <v>114.45200908520999</v>
      </c>
      <c r="H166">
        <v>0</v>
      </c>
      <c r="I16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30</v>
      </c>
      <c r="K166" s="5" cm="1">
        <f t="array" ref="K166">IFERROR(AVERAGE(IF((OutputTable[GroupByKey]=OutputTable[[#This Row],[GroupByKey]]),(OutputTable[GroupByKey]=OutputTable[[#This Row],[GroupByKey]])*OutputTable[RecordedValue])),0)</f>
        <v>116.64263458387505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17.825477946659205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166" s="5" cm="1">
        <f t="array" ref="O166">MIN(IF((OutputTable[GroupByKey]=OutputTable[[#This Row],[GroupByKey]]),(OutputTable[GroupByKey]=OutputTable[[#This Row],[GroupByKey]])*OutputTable[RecordedValue]))</f>
        <v>74.976560761710004</v>
      </c>
      <c r="P166" s="5" cm="1">
        <f t="array" ref="P166">MAX(IF((OutputTable[GroupByKey]=OutputTable[[#This Row],[GroupByKey]]),(OutputTable[GroupByKey]=OutputTable[[#This Row],[GroupByKey]])*OutputTable[RecordedValue]))</f>
        <v>145.504156763596</v>
      </c>
    </row>
    <row r="167" spans="1:16" x14ac:dyDescent="0.25">
      <c r="A167" t="s">
        <v>68</v>
      </c>
      <c r="B167" t="s">
        <v>70</v>
      </c>
      <c r="C167">
        <v>7</v>
      </c>
      <c r="D167" t="s">
        <v>126</v>
      </c>
      <c r="E167" t="s">
        <v>114</v>
      </c>
      <c r="F167" t="s">
        <v>81</v>
      </c>
      <c r="G167">
        <v>40.312783448134098</v>
      </c>
      <c r="H167">
        <v>0</v>
      </c>
      <c r="I16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30</v>
      </c>
      <c r="K167" s="5" cm="1">
        <f t="array" ref="K167">IFERROR(AVERAGE(IF((OutputTable[GroupByKey]=OutputTable[[#This Row],[GroupByKey]]),(OutputTable[GroupByKey]=OutputTable[[#This Row],[GroupByKey]])*OutputTable[RecordedValue])),0)</f>
        <v>39.900972800228722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22.922906975864144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167" s="5" cm="1">
        <f t="array" ref="O167">MIN(IF((OutputTable[GroupByKey]=OutputTable[[#This Row],[GroupByKey]]),(OutputTable[GroupByKey]=OutputTable[[#This Row],[GroupByKey]])*OutputTable[RecordedValue]))</f>
        <v>2.1708788192608899</v>
      </c>
      <c r="P167" s="5" cm="1">
        <f t="array" ref="P167">MAX(IF((OutputTable[GroupByKey]=OutputTable[[#This Row],[GroupByKey]]),(OutputTable[GroupByKey]=OutputTable[[#This Row],[GroupByKey]])*OutputTable[RecordedValue]))</f>
        <v>94.9142929398908</v>
      </c>
    </row>
    <row r="168" spans="1:16" x14ac:dyDescent="0.25">
      <c r="A168" t="s">
        <v>68</v>
      </c>
      <c r="B168" t="s">
        <v>70</v>
      </c>
      <c r="C168">
        <v>7</v>
      </c>
      <c r="D168" t="s">
        <v>127</v>
      </c>
      <c r="E168" t="s">
        <v>108</v>
      </c>
      <c r="F168" t="s">
        <v>81</v>
      </c>
      <c r="G168">
        <v>38</v>
      </c>
      <c r="H168">
        <v>0</v>
      </c>
      <c r="I168" s="5" t="str">
        <f>OutputTable[[#This Row],[ProjectName]]&amp;OutputTable[[#This Row],[Name]]&amp;OutputTable[[#This Row],[Type]]&amp;OutputTable[[#This Row],[Source]]</f>
        <v>Pedido CleintesPreparar orden Number InNumber InProcess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30</v>
      </c>
      <c r="K168" s="5" cm="1">
        <f t="array" ref="K168">IFERROR(AVERAGE(IF((OutputTable[GroupByKey]=OutputTable[[#This Row],[GroupByKey]]),(OutputTable[GroupByKey]=OutputTable[[#This Row],[GroupByKey]])*OutputTable[RecordedValue])),0)</f>
        <v>39.666666666666664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6.0477030882540914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68" s="5" cm="1">
        <f t="array" ref="O168">MIN(IF((OutputTable[GroupByKey]=OutputTable[[#This Row],[GroupByKey]]),(OutputTable[GroupByKey]=OutputTable[[#This Row],[GroupByKey]])*OutputTable[RecordedValue]))</f>
        <v>26</v>
      </c>
      <c r="P168" s="5" cm="1">
        <f t="array" ref="P168">MAX(IF((OutputTable[GroupByKey]=OutputTable[[#This Row],[GroupByKey]]),(OutputTable[GroupByKey]=OutputTable[[#This Row],[GroupByKey]])*OutputTable[RecordedValue]))</f>
        <v>49</v>
      </c>
    </row>
    <row r="169" spans="1:16" x14ac:dyDescent="0.25">
      <c r="A169" t="s">
        <v>68</v>
      </c>
      <c r="B169" t="s">
        <v>70</v>
      </c>
      <c r="C169">
        <v>7</v>
      </c>
      <c r="D169" t="s">
        <v>128</v>
      </c>
      <c r="E169" t="s">
        <v>110</v>
      </c>
      <c r="F169" t="s">
        <v>81</v>
      </c>
      <c r="G169">
        <v>38</v>
      </c>
      <c r="H169">
        <v>0</v>
      </c>
      <c r="I169" s="5" t="str">
        <f>OutputTable[[#This Row],[ProjectName]]&amp;OutputTable[[#This Row],[Name]]&amp;OutputTable[[#This Row],[Type]]&amp;OutputTable[[#This Row],[Source]]</f>
        <v>Pedido CleintesPreparar orden Number OutNumber OutProcess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30</v>
      </c>
      <c r="K169" s="5" cm="1">
        <f t="array" ref="K169">IFERROR(AVERAGE(IF((OutputTable[GroupByKey]=OutputTable[[#This Row],[GroupByKey]]),(OutputTable[GroupByKey]=OutputTable[[#This Row],[GroupByKey]])*OutputTable[RecordedValue])),0)</f>
        <v>38.93333333333333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5.9765826548191505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69" s="5" cm="1">
        <f t="array" ref="O169">MIN(IF((OutputTable[GroupByKey]=OutputTable[[#This Row],[GroupByKey]]),(OutputTable[GroupByKey]=OutputTable[[#This Row],[GroupByKey]])*OutputTable[RecordedValue]))</f>
        <v>25</v>
      </c>
      <c r="P169" s="5" cm="1">
        <f t="array" ref="P169">MAX(IF((OutputTable[GroupByKey]=OutputTable[[#This Row],[GroupByKey]]),(OutputTable[GroupByKey]=OutputTable[[#This Row],[GroupByKey]])*OutputTable[RecordedValue]))</f>
        <v>49</v>
      </c>
    </row>
    <row r="170" spans="1:16" x14ac:dyDescent="0.25">
      <c r="A170" t="s">
        <v>68</v>
      </c>
      <c r="B170" t="s">
        <v>70</v>
      </c>
      <c r="C170">
        <v>7</v>
      </c>
      <c r="D170" t="s">
        <v>129</v>
      </c>
      <c r="E170" t="s">
        <v>110</v>
      </c>
      <c r="F170" t="s">
        <v>130</v>
      </c>
      <c r="G170">
        <v>38</v>
      </c>
      <c r="H170">
        <v>0</v>
      </c>
      <c r="I170" s="5" t="str">
        <f>OutputTable[[#This Row],[ProjectName]]&amp;OutputTable[[#This Row],[Name]]&amp;OutputTable[[#This Row],[Type]]&amp;OutputTable[[#This Row],[Source]]</f>
        <v>Pedido CleintesSystem.NumberOutNumber OutSystem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30</v>
      </c>
      <c r="K170" s="5" cm="1">
        <f t="array" ref="K170">IFERROR(AVERAGE(IF((OutputTable[GroupByKey]=OutputTable[[#This Row],[GroupByKey]]),(OutputTable[GroupByKey]=OutputTable[[#This Row],[GroupByKey]])*OutputTable[RecordedValue])),0)</f>
        <v>38.866666666666667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6.0840851369801694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70" s="5" cm="1">
        <f t="array" ref="O170">MIN(IF((OutputTable[GroupByKey]=OutputTable[[#This Row],[GroupByKey]]),(OutputTable[GroupByKey]=OutputTable[[#This Row],[GroupByKey]])*OutputTable[RecordedValue]))</f>
        <v>24</v>
      </c>
      <c r="P170" s="5" cm="1">
        <f t="array" ref="P170">MAX(IF((OutputTable[GroupByKey]=OutputTable[[#This Row],[GroupByKey]]),(OutputTable[GroupByKey]=OutputTable[[#This Row],[GroupByKey]])*OutputTable[RecordedValue]))</f>
        <v>49</v>
      </c>
    </row>
    <row r="171" spans="1:16" x14ac:dyDescent="0.25">
      <c r="A171" t="s">
        <v>68</v>
      </c>
      <c r="B171" t="s">
        <v>70</v>
      </c>
      <c r="C171">
        <v>7</v>
      </c>
      <c r="D171" t="s">
        <v>131</v>
      </c>
      <c r="E171" t="s">
        <v>132</v>
      </c>
      <c r="F171" t="s">
        <v>102</v>
      </c>
      <c r="G171">
        <v>38</v>
      </c>
      <c r="H171">
        <v>0</v>
      </c>
      <c r="I17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30</v>
      </c>
      <c r="K171" s="5" cm="1">
        <f t="array" ref="K171">IFERROR(AVERAGE(IF((OutputTable[GroupByKey]=OutputTable[[#This Row],[GroupByKey]]),(OutputTable[GroupByKey]=OutputTable[[#This Row],[GroupByKey]])*OutputTable[RecordedValue])),0)</f>
        <v>39.4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5.8757244601014422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171" s="5" cm="1">
        <f t="array" ref="O171">MIN(IF((OutputTable[GroupByKey]=OutputTable[[#This Row],[GroupByKey]]),(OutputTable[GroupByKey]=OutputTable[[#This Row],[GroupByKey]])*OutputTable[RecordedValue]))</f>
        <v>26</v>
      </c>
      <c r="P171" s="5" cm="1">
        <f t="array" ref="P171">MAX(IF((OutputTable[GroupByKey]=OutputTable[[#This Row],[GroupByKey]]),(OutputTable[GroupByKey]=OutputTable[[#This Row],[GroupByKey]])*OutputTable[RecordedValue]))</f>
        <v>49</v>
      </c>
    </row>
    <row r="172" spans="1:16" x14ac:dyDescent="0.25">
      <c r="A172" t="s">
        <v>68</v>
      </c>
      <c r="B172" t="s">
        <v>70</v>
      </c>
      <c r="C172">
        <v>7</v>
      </c>
      <c r="D172" t="s">
        <v>133</v>
      </c>
      <c r="E172" t="s">
        <v>134</v>
      </c>
      <c r="F172" t="s">
        <v>102</v>
      </c>
      <c r="G172">
        <v>0.47688337118837298</v>
      </c>
      <c r="H172">
        <v>0</v>
      </c>
      <c r="I17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30</v>
      </c>
      <c r="K172" s="5" cm="1">
        <f t="array" ref="K172">IFERROR(AVERAGE(IF((OutputTable[GroupByKey]=OutputTable[[#This Row],[GroupByKey]]),(OutputTable[GroupByKey]=OutputTable[[#This Row],[GroupByKey]])*OutputTable[RecordedValue])),0)</f>
        <v>0.48891840079317483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7.3627413122013347E-2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172" s="5" cm="1">
        <f t="array" ref="O172">MIN(IF((OutputTable[GroupByKey]=OutputTable[[#This Row],[GroupByKey]]),(OutputTable[GroupByKey]=OutputTable[[#This Row],[GroupByKey]])*OutputTable[RecordedValue]))</f>
        <v>0.31277577999924699</v>
      </c>
      <c r="P172" s="5" cm="1">
        <f t="array" ref="P172">MAX(IF((OutputTable[GroupByKey]=OutputTable[[#This Row],[GroupByKey]]),(OutputTable[GroupByKey]=OutputTable[[#This Row],[GroupByKey]])*OutputTable[RecordedValue]))</f>
        <v>0.60626731984831705</v>
      </c>
    </row>
    <row r="173" spans="1:16" x14ac:dyDescent="0.25">
      <c r="A173" t="s">
        <v>68</v>
      </c>
      <c r="B173" t="s">
        <v>70</v>
      </c>
      <c r="C173">
        <v>7</v>
      </c>
      <c r="D173" t="s">
        <v>135</v>
      </c>
      <c r="E173" t="s">
        <v>132</v>
      </c>
      <c r="F173" t="s">
        <v>102</v>
      </c>
      <c r="G173">
        <v>76</v>
      </c>
      <c r="H173">
        <v>0</v>
      </c>
      <c r="I17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30</v>
      </c>
      <c r="K173" s="5" cm="1">
        <f t="array" ref="K173">IFERROR(AVERAGE(IF((OutputTable[GroupByKey]=OutputTable[[#This Row],[GroupByKey]]),(OutputTable[GroupByKey]=OutputTable[[#This Row],[GroupByKey]])*OutputTable[RecordedValue])),0)</f>
        <v>79.466666666666669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12.016463801753446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173" s="5" cm="1">
        <f t="array" ref="O173">MIN(IF((OutputTable[GroupByKey]=OutputTable[[#This Row],[GroupByKey]]),(OutputTable[GroupByKey]=OutputTable[[#This Row],[GroupByKey]])*OutputTable[RecordedValue]))</f>
        <v>53</v>
      </c>
      <c r="P173" s="5" cm="1">
        <f t="array" ref="P173">MAX(IF((OutputTable[GroupByKey]=OutputTable[[#This Row],[GroupByKey]]),(OutputTable[GroupByKey]=OutputTable[[#This Row],[GroupByKey]])*OutputTable[RecordedValue]))</f>
        <v>98</v>
      </c>
    </row>
    <row r="174" spans="1:16" x14ac:dyDescent="0.25">
      <c r="A174" t="s">
        <v>68</v>
      </c>
      <c r="B174" t="s">
        <v>70</v>
      </c>
      <c r="C174">
        <v>7</v>
      </c>
      <c r="D174" t="s">
        <v>136</v>
      </c>
      <c r="E174" t="s">
        <v>134</v>
      </c>
      <c r="F174" t="s">
        <v>102</v>
      </c>
      <c r="G174">
        <v>0.27684881700963099</v>
      </c>
      <c r="H174">
        <v>0</v>
      </c>
      <c r="I17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30</v>
      </c>
      <c r="K174" s="5" cm="1">
        <f t="array" ref="K174">IFERROR(AVERAGE(IF((OutputTable[GroupByKey]=OutputTable[[#This Row],[GroupByKey]]),(OutputTable[GroupByKey]=OutputTable[[#This Row],[GroupByKey]])*OutputTable[RecordedValue])),0)</f>
        <v>0.28976365927997022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4.4748273652133699E-2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174" s="5" cm="1">
        <f t="array" ref="O174">MIN(IF((OutputTable[GroupByKey]=OutputTable[[#This Row],[GroupByKey]]),(OutputTable[GroupByKey]=OutputTable[[#This Row],[GroupByKey]])*OutputTable[RecordedValue]))</f>
        <v>0.194735973294278</v>
      </c>
      <c r="P174" s="5" cm="1">
        <f t="array" ref="P174">MAX(IF((OutputTable[GroupByKey]=OutputTable[[#This Row],[GroupByKey]]),(OutputTable[GroupByKey]=OutputTable[[#This Row],[GroupByKey]])*OutputTable[RecordedValue]))</f>
        <v>0.35775345817659199</v>
      </c>
    </row>
    <row r="175" spans="1:16" x14ac:dyDescent="0.25">
      <c r="A175" t="s">
        <v>68</v>
      </c>
      <c r="B175" t="s">
        <v>70</v>
      </c>
      <c r="C175">
        <v>7</v>
      </c>
      <c r="D175" t="s">
        <v>137</v>
      </c>
      <c r="E175" t="s">
        <v>132</v>
      </c>
      <c r="F175" t="s">
        <v>102</v>
      </c>
      <c r="G175">
        <v>38</v>
      </c>
      <c r="H175">
        <v>0</v>
      </c>
      <c r="I17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30</v>
      </c>
      <c r="K175" s="5" cm="1">
        <f t="array" ref="K175">IFERROR(AVERAGE(IF((OutputTable[GroupByKey]=OutputTable[[#This Row],[GroupByKey]]),(OutputTable[GroupByKey]=OutputTable[[#This Row],[GroupByKey]])*OutputTable[RecordedValue])),0)</f>
        <v>38.93333333333333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5.9765826548191505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75" s="5" cm="1">
        <f t="array" ref="O175">MIN(IF((OutputTable[GroupByKey]=OutputTable[[#This Row],[GroupByKey]]),(OutputTable[GroupByKey]=OutputTable[[#This Row],[GroupByKey]])*OutputTable[RecordedValue]))</f>
        <v>25</v>
      </c>
      <c r="P175" s="5" cm="1">
        <f t="array" ref="P175">MAX(IF((OutputTable[GroupByKey]=OutputTable[[#This Row],[GroupByKey]]),(OutputTable[GroupByKey]=OutputTable[[#This Row],[GroupByKey]])*OutputTable[RecordedValue]))</f>
        <v>49</v>
      </c>
    </row>
    <row r="176" spans="1:16" x14ac:dyDescent="0.25">
      <c r="A176" t="s">
        <v>68</v>
      </c>
      <c r="B176" t="s">
        <v>70</v>
      </c>
      <c r="C176">
        <v>7</v>
      </c>
      <c r="D176" t="s">
        <v>138</v>
      </c>
      <c r="E176" t="s">
        <v>134</v>
      </c>
      <c r="F176" t="s">
        <v>102</v>
      </c>
      <c r="G176">
        <v>8.6884610241955998E-2</v>
      </c>
      <c r="H176">
        <v>0</v>
      </c>
      <c r="I17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30</v>
      </c>
      <c r="K176" s="5" cm="1">
        <f t="array" ref="K176">IFERROR(AVERAGE(IF((OutputTable[GroupByKey]=OutputTable[[#This Row],[GroupByKey]]),(OutputTable[GroupByKey]=OutputTable[[#This Row],[GroupByKey]])*OutputTable[RecordedValue])),0)</f>
        <v>8.2588852761398115E-2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1.3130964022328008E-2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176" s="5" cm="1">
        <f t="array" ref="O176">MIN(IF((OutputTable[GroupByKey]=OutputTable[[#This Row],[GroupByKey]]),(OutputTable[GroupByKey]=OutputTable[[#This Row],[GroupByKey]])*OutputTable[RecordedValue]))</f>
        <v>5.3757894868807901E-2</v>
      </c>
      <c r="P176" s="5" cm="1">
        <f t="array" ref="P176">MAX(IF((OutputTable[GroupByKey]=OutputTable[[#This Row],[GroupByKey]]),(OutputTable[GroupByKey]=OutputTable[[#This Row],[GroupByKey]])*OutputTable[RecordedValue]))</f>
        <v>0.103175045984152</v>
      </c>
    </row>
    <row r="177" spans="1:16" x14ac:dyDescent="0.25">
      <c r="A177" t="s">
        <v>68</v>
      </c>
      <c r="B177" t="s">
        <v>70</v>
      </c>
      <c r="C177">
        <v>8</v>
      </c>
      <c r="D177" t="s">
        <v>107</v>
      </c>
      <c r="E177" t="s">
        <v>108</v>
      </c>
      <c r="F177" t="s">
        <v>73</v>
      </c>
      <c r="G177">
        <v>108</v>
      </c>
      <c r="H177">
        <v>0</v>
      </c>
      <c r="I177" s="5" t="str">
        <f>OutputTable[[#This Row],[ProjectName]]&amp;OutputTable[[#This Row],[Name]]&amp;OutputTable[[#This Row],[Type]]&amp;OutputTable[[#This Row],[Source]]</f>
        <v>Pedido CleintesClientes.NumberInNumber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30</v>
      </c>
      <c r="K177" s="5" cm="1">
        <f t="array" ref="K177">IFERROR(AVERAGE(IF((OutputTable[GroupByKey]=OutputTable[[#This Row],[GroupByKey]]),(OutputTable[GroupByKey]=OutputTable[[#This Row],[GroupByKey]])*OutputTable[RecordedValue])),0)</f>
        <v>118.5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18.009097317936192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177" s="5" cm="1">
        <f t="array" ref="O177">MIN(IF((OutputTable[GroupByKey]=OutputTable[[#This Row],[GroupByKey]]),(OutputTable[GroupByKey]=OutputTable[[#This Row],[GroupByKey]])*OutputTable[RecordedValue]))</f>
        <v>78</v>
      </c>
      <c r="P177" s="5" cm="1">
        <f t="array" ref="P177">MAX(IF((OutputTable[GroupByKey]=OutputTable[[#This Row],[GroupByKey]]),(OutputTable[GroupByKey]=OutputTable[[#This Row],[GroupByKey]])*OutputTable[RecordedValue]))</f>
        <v>147</v>
      </c>
    </row>
    <row r="178" spans="1:16" x14ac:dyDescent="0.25">
      <c r="A178" t="s">
        <v>68</v>
      </c>
      <c r="B178" t="s">
        <v>70</v>
      </c>
      <c r="C178">
        <v>8</v>
      </c>
      <c r="D178" t="s">
        <v>109</v>
      </c>
      <c r="E178" t="s">
        <v>110</v>
      </c>
      <c r="F178" t="s">
        <v>73</v>
      </c>
      <c r="G178">
        <v>102</v>
      </c>
      <c r="H178">
        <v>0</v>
      </c>
      <c r="I178" s="5" t="str">
        <f>OutputTable[[#This Row],[ProjectName]]&amp;OutputTable[[#This Row],[Name]]&amp;OutputTable[[#This Row],[Type]]&amp;OutputTable[[#This Row],[Source]]</f>
        <v>Pedido CleintesClientes.NumberOutNumber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30</v>
      </c>
      <c r="K178" s="5" cm="1">
        <f t="array" ref="K178">IFERROR(AVERAGE(IF((OutputTable[GroupByKey]=OutputTable[[#This Row],[GroupByKey]]),(OutputTable[GroupByKey]=OutputTable[[#This Row],[GroupByKey]])*OutputTable[RecordedValue])),0)</f>
        <v>116.6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18.252255410940514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178" s="5" cm="1">
        <f t="array" ref="O178">MIN(IF((OutputTable[GroupByKey]=OutputTable[[#This Row],[GroupByKey]]),(OutputTable[GroupByKey]=OutputTable[[#This Row],[GroupByKey]])*OutputTable[RecordedValue]))</f>
        <v>72</v>
      </c>
      <c r="P178" s="5" cm="1">
        <f t="array" ref="P178">MAX(IF((OutputTable[GroupByKey]=OutputTable[[#This Row],[GroupByKey]]),(OutputTable[GroupByKey]=OutputTable[[#This Row],[GroupByKey]])*OutputTable[RecordedValue]))</f>
        <v>147</v>
      </c>
    </row>
    <row r="179" spans="1:16" x14ac:dyDescent="0.25">
      <c r="A179" t="s">
        <v>68</v>
      </c>
      <c r="B179" t="s">
        <v>70</v>
      </c>
      <c r="C179">
        <v>8</v>
      </c>
      <c r="D179" t="s">
        <v>111</v>
      </c>
      <c r="E179" t="s">
        <v>112</v>
      </c>
      <c r="F179" t="s">
        <v>81</v>
      </c>
      <c r="G179">
        <v>18.519448094034999</v>
      </c>
      <c r="H179">
        <v>0</v>
      </c>
      <c r="I17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30</v>
      </c>
      <c r="K179" s="5" cm="1">
        <f t="array" ref="K179">IFERROR(AVERAGE(IF((OutputTable[GroupByKey]=OutputTable[[#This Row],[GroupByKey]]),(OutputTable[GroupByKey]=OutputTable[[#This Row],[GroupByKey]])*OutputTable[RecordedValue])),0)</f>
        <v>19.806808580201274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3.1624794742170024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179" s="5" cm="1">
        <f t="array" ref="O179">MIN(IF((OutputTable[GroupByKey]=OutputTable[[#This Row],[GroupByKey]]),(OutputTable[GroupByKey]=OutputTable[[#This Row],[GroupByKey]])*OutputTable[RecordedValue]))</f>
        <v>12.812268330404599</v>
      </c>
      <c r="P179" s="5" cm="1">
        <f t="array" ref="P179">MAX(IF((OutputTable[GroupByKey]=OutputTable[[#This Row],[GroupByKey]]),(OutputTable[GroupByKey]=OutputTable[[#This Row],[GroupByKey]])*OutputTable[RecordedValue]))</f>
        <v>24.762011036196501</v>
      </c>
    </row>
    <row r="180" spans="1:16" x14ac:dyDescent="0.25">
      <c r="A180" t="s">
        <v>68</v>
      </c>
      <c r="B180" t="s">
        <v>70</v>
      </c>
      <c r="C180">
        <v>8</v>
      </c>
      <c r="D180" t="s">
        <v>113</v>
      </c>
      <c r="E180" t="s">
        <v>114</v>
      </c>
      <c r="F180" t="s">
        <v>81</v>
      </c>
      <c r="G180">
        <v>0</v>
      </c>
      <c r="H180">
        <v>0</v>
      </c>
      <c r="I18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30</v>
      </c>
      <c r="K180" s="5" cm="1">
        <f t="array" ref="K180">IFERROR(AVERAGE(IF((OutputTable[GroupByKey]=OutputTable[[#This Row],[GroupByKey]]),(OutputTable[GroupByKey]=OutputTable[[#This Row],[GroupByKey]])*OutputTable[RecordedValue])),0)</f>
        <v>0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" s="5" cm="1">
        <f t="array" ref="O180">MIN(IF((OutputTable[GroupByKey]=OutputTable[[#This Row],[GroupByKey]]),(OutputTable[GroupByKey]=OutputTable[[#This Row],[GroupByKey]])*OutputTable[RecordedValue]))</f>
        <v>0</v>
      </c>
      <c r="P180" s="5" cm="1">
        <f t="array" ref="P180">MAX(IF((OutputTable[GroupByKey]=OutputTable[[#This Row],[GroupByKey]]),(OutputTable[GroupByKey]=OutputTable[[#This Row],[GroupByKey]])*OutputTable[RecordedValue]))</f>
        <v>0</v>
      </c>
    </row>
    <row r="181" spans="1:16" x14ac:dyDescent="0.25">
      <c r="A181" t="s">
        <v>68</v>
      </c>
      <c r="B181" t="s">
        <v>70</v>
      </c>
      <c r="C181">
        <v>8</v>
      </c>
      <c r="D181" t="s">
        <v>115</v>
      </c>
      <c r="E181" t="s">
        <v>108</v>
      </c>
      <c r="F181" t="s">
        <v>81</v>
      </c>
      <c r="G181">
        <v>35</v>
      </c>
      <c r="H181">
        <v>0</v>
      </c>
      <c r="I18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30</v>
      </c>
      <c r="K181" s="5" cm="1">
        <f t="array" ref="K181">IFERROR(AVERAGE(IF((OutputTable[GroupByKey]=OutputTable[[#This Row],[GroupByKey]]),(OutputTable[GroupByKey]=OutputTable[[#This Row],[GroupByKey]])*OutputTable[RecordedValue])),0)</f>
        <v>38.93333333333333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5.9765826548191505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81" s="5" cm="1">
        <f t="array" ref="O181">MIN(IF((OutputTable[GroupByKey]=OutputTable[[#This Row],[GroupByKey]]),(OutputTable[GroupByKey]=OutputTable[[#This Row],[GroupByKey]])*OutputTable[RecordedValue]))</f>
        <v>25</v>
      </c>
      <c r="P181" s="5" cm="1">
        <f t="array" ref="P181">MAX(IF((OutputTable[GroupByKey]=OutputTable[[#This Row],[GroupByKey]]),(OutputTable[GroupByKey]=OutputTable[[#This Row],[GroupByKey]])*OutputTable[RecordedValue]))</f>
        <v>49</v>
      </c>
    </row>
    <row r="182" spans="1:16" x14ac:dyDescent="0.25">
      <c r="A182" t="s">
        <v>68</v>
      </c>
      <c r="B182" t="s">
        <v>70</v>
      </c>
      <c r="C182">
        <v>8</v>
      </c>
      <c r="D182" t="s">
        <v>116</v>
      </c>
      <c r="E182" t="s">
        <v>110</v>
      </c>
      <c r="F182" t="s">
        <v>81</v>
      </c>
      <c r="G182">
        <v>34</v>
      </c>
      <c r="H182">
        <v>0</v>
      </c>
      <c r="I18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30</v>
      </c>
      <c r="K182" s="5" cm="1">
        <f t="array" ref="K182">IFERROR(AVERAGE(IF((OutputTable[GroupByKey]=OutputTable[[#This Row],[GroupByKey]]),(OutputTable[GroupByKey]=OutputTable[[#This Row],[GroupByKey]])*OutputTable[RecordedValue])),0)</f>
        <v>38.866666666666667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6.0840851369801694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82" s="5" cm="1">
        <f t="array" ref="O182">MIN(IF((OutputTable[GroupByKey]=OutputTable[[#This Row],[GroupByKey]]),(OutputTable[GroupByKey]=OutputTable[[#This Row],[GroupByKey]])*OutputTable[RecordedValue]))</f>
        <v>24</v>
      </c>
      <c r="P182" s="5" cm="1">
        <f t="array" ref="P182">MAX(IF((OutputTable[GroupByKey]=OutputTable[[#This Row],[GroupByKey]]),(OutputTable[GroupByKey]=OutputTable[[#This Row],[GroupByKey]])*OutputTable[RecordedValue]))</f>
        <v>49</v>
      </c>
    </row>
    <row r="183" spans="1:16" x14ac:dyDescent="0.25">
      <c r="A183" t="s">
        <v>68</v>
      </c>
      <c r="B183" t="s">
        <v>70</v>
      </c>
      <c r="C183">
        <v>8</v>
      </c>
      <c r="D183" t="s">
        <v>117</v>
      </c>
      <c r="E183" t="s">
        <v>112</v>
      </c>
      <c r="F183" t="s">
        <v>81</v>
      </c>
      <c r="G183">
        <v>36.298591770947098</v>
      </c>
      <c r="H183">
        <v>0</v>
      </c>
      <c r="I183" s="5" t="str">
        <f>OutputTable[[#This Row],[ProjectName]]&amp;OutputTable[[#This Row],[Name]]&amp;OutputTable[[#This Row],[Type]]&amp;OutputTable[[#This Row],[Source]]</f>
        <v>Pedido CleintesOrdnes Accum VA TimeAccum VA TimeProcess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30</v>
      </c>
      <c r="K183" s="5" cm="1">
        <f t="array" ref="K183">IFERROR(AVERAGE(IF((OutputTable[GroupByKey]=OutputTable[[#This Row],[GroupByKey]]),(OutputTable[GroupByKey]=OutputTable[[#This Row],[GroupByKey]])*OutputTable[RecordedValue])),0)</f>
        <v>39.878126992056487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6.1068580319474277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183" s="5" cm="1">
        <f t="array" ref="O183">MIN(IF((OutputTable[GroupByKey]=OutputTable[[#This Row],[GroupByKey]]),(OutputTable[GroupByKey]=OutputTable[[#This Row],[GroupByKey]])*OutputTable[RecordedValue]))</f>
        <v>26.106281767804099</v>
      </c>
      <c r="P183" s="5" cm="1">
        <f t="array" ref="P183">MAX(IF((OutputTable[GroupByKey]=OutputTable[[#This Row],[GroupByKey]]),(OutputTable[GroupByKey]=OutputTable[[#This Row],[GroupByKey]])*OutputTable[RecordedValue]))</f>
        <v>48.706388790541098</v>
      </c>
    </row>
    <row r="184" spans="1:16" x14ac:dyDescent="0.25">
      <c r="A184" t="s">
        <v>68</v>
      </c>
      <c r="B184" t="s">
        <v>70</v>
      </c>
      <c r="C184">
        <v>8</v>
      </c>
      <c r="D184" t="s">
        <v>118</v>
      </c>
      <c r="E184" t="s">
        <v>114</v>
      </c>
      <c r="F184" t="s">
        <v>81</v>
      </c>
      <c r="G184">
        <v>10.6636938794739</v>
      </c>
      <c r="H184">
        <v>0</v>
      </c>
      <c r="I18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30</v>
      </c>
      <c r="K184" s="5" cm="1">
        <f t="array" ref="K184">IFERROR(AVERAGE(IF((OutputTable[GroupByKey]=OutputTable[[#This Row],[GroupByKey]]),(OutputTable[GroupByKey]=OutputTable[[#This Row],[GroupByKey]])*OutputTable[RecordedValue])),0)</f>
        <v>7.9804799821754404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4.8950382198155014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184" s="5" cm="1">
        <f t="array" ref="O184">MIN(IF((OutputTable[GroupByKey]=OutputTable[[#This Row],[GroupByKey]]),(OutputTable[GroupByKey]=OutputTable[[#This Row],[GroupByKey]])*OutputTable[RecordedValue]))</f>
        <v>0</v>
      </c>
      <c r="P184" s="5" cm="1">
        <f t="array" ref="P184">MAX(IF((OutputTable[GroupByKey]=OutputTable[[#This Row],[GroupByKey]]),(OutputTable[GroupByKey]=OutputTable[[#This Row],[GroupByKey]])*OutputTable[RecordedValue]))</f>
        <v>18.843855117811401</v>
      </c>
    </row>
    <row r="185" spans="1:16" x14ac:dyDescent="0.25">
      <c r="A185" t="s">
        <v>68</v>
      </c>
      <c r="B185" t="s">
        <v>70</v>
      </c>
      <c r="C185">
        <v>8</v>
      </c>
      <c r="D185" t="s">
        <v>119</v>
      </c>
      <c r="E185" t="s">
        <v>108</v>
      </c>
      <c r="F185" t="s">
        <v>81</v>
      </c>
      <c r="G185">
        <v>37</v>
      </c>
      <c r="H185">
        <v>0</v>
      </c>
      <c r="I185" s="5" t="str">
        <f>OutputTable[[#This Row],[ProjectName]]&amp;OutputTable[[#This Row],[Name]]&amp;OutputTable[[#This Row],[Type]]&amp;OutputTable[[#This Row],[Source]]</f>
        <v>Pedido CleintesOrdnes Number InNumber InProcess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30</v>
      </c>
      <c r="K185" s="5" cm="1">
        <f t="array" ref="K185">IFERROR(AVERAGE(IF((OutputTable[GroupByKey]=OutputTable[[#This Row],[GroupByKey]]),(OutputTable[GroupByKey]=OutputTable[[#This Row],[GroupByKey]])*OutputTable[RecordedValue])),0)</f>
        <v>39.9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6.0648791101463475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185" s="5" cm="1">
        <f t="array" ref="O185">MIN(IF((OutputTable[GroupByKey]=OutputTable[[#This Row],[GroupByKey]]),(OutputTable[GroupByKey]=OutputTable[[#This Row],[GroupByKey]])*OutputTable[RecordedValue]))</f>
        <v>27</v>
      </c>
      <c r="P185" s="5" cm="1">
        <f t="array" ref="P185">MAX(IF((OutputTable[GroupByKey]=OutputTable[[#This Row],[GroupByKey]]),(OutputTable[GroupByKey]=OutputTable[[#This Row],[GroupByKey]])*OutputTable[RecordedValue]))</f>
        <v>49</v>
      </c>
    </row>
    <row r="186" spans="1:16" x14ac:dyDescent="0.25">
      <c r="A186" t="s">
        <v>68</v>
      </c>
      <c r="B186" t="s">
        <v>70</v>
      </c>
      <c r="C186">
        <v>8</v>
      </c>
      <c r="D186" t="s">
        <v>120</v>
      </c>
      <c r="E186" t="s">
        <v>110</v>
      </c>
      <c r="F186" t="s">
        <v>81</v>
      </c>
      <c r="G186">
        <v>36</v>
      </c>
      <c r="H186">
        <v>0</v>
      </c>
      <c r="I186" s="5" t="str">
        <f>OutputTable[[#This Row],[ProjectName]]&amp;OutputTable[[#This Row],[Name]]&amp;OutputTable[[#This Row],[Type]]&amp;OutputTable[[#This Row],[Source]]</f>
        <v>Pedido CleintesOrdnes Number OutNumber OutProcess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30</v>
      </c>
      <c r="K186" s="5" cm="1">
        <f t="array" ref="K186">IFERROR(AVERAGE(IF((OutputTable[GroupByKey]=OutputTable[[#This Row],[GroupByKey]]),(OutputTable[GroupByKey]=OutputTable[[#This Row],[GroupByKey]])*OutputTable[RecordedValue])),0)</f>
        <v>39.666666666666664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6.0477030882540914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86" s="5" cm="1">
        <f t="array" ref="O186">MIN(IF((OutputTable[GroupByKey]=OutputTable[[#This Row],[GroupByKey]]),(OutputTable[GroupByKey]=OutputTable[[#This Row],[GroupByKey]])*OutputTable[RecordedValue]))</f>
        <v>26</v>
      </c>
      <c r="P186" s="5" cm="1">
        <f t="array" ref="P186">MAX(IF((OutputTable[GroupByKey]=OutputTable[[#This Row],[GroupByKey]]),(OutputTable[GroupByKey]=OutputTable[[#This Row],[GroupByKey]])*OutputTable[RecordedValue]))</f>
        <v>49</v>
      </c>
    </row>
    <row r="187" spans="1:16" x14ac:dyDescent="0.25">
      <c r="A187" t="s">
        <v>68</v>
      </c>
      <c r="B187" t="s">
        <v>70</v>
      </c>
      <c r="C187">
        <v>8</v>
      </c>
      <c r="D187" t="s">
        <v>121</v>
      </c>
      <c r="E187" t="s">
        <v>112</v>
      </c>
      <c r="F187" t="s">
        <v>81</v>
      </c>
      <c r="G187">
        <v>29.117071929496699</v>
      </c>
      <c r="H187">
        <v>0</v>
      </c>
      <c r="I187" s="5" t="str">
        <f>OutputTable[[#This Row],[ProjectName]]&amp;OutputTable[[#This Row],[Name]]&amp;OutputTable[[#This Row],[Type]]&amp;OutputTable[[#This Row],[Source]]</f>
        <v>Pedido CleintesPago Accum VA TimeAccum VA TimeProcess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30</v>
      </c>
      <c r="K187" s="5" cm="1">
        <f t="array" ref="K187">IFERROR(AVERAGE(IF((OutputTable[GroupByKey]=OutputTable[[#This Row],[GroupByKey]]),(OutputTable[GroupByKey]=OutputTable[[#This Row],[GroupByKey]])*OutputTable[RecordedValue])),0)</f>
        <v>29.486262713858675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4.747176664010901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187" s="5" cm="1">
        <f t="array" ref="O187">MIN(IF((OutputTable[GroupByKey]=OutputTable[[#This Row],[GroupByKey]]),(OutputTable[GroupByKey]=OutputTable[[#This Row],[GroupByKey]])*OutputTable[RecordedValue]))</f>
        <v>19.573210250889101</v>
      </c>
      <c r="P187" s="5" cm="1">
        <f t="array" ref="P187">MAX(IF((OutputTable[GroupByKey]=OutputTable[[#This Row],[GroupByKey]]),(OutputTable[GroupByKey]=OutputTable[[#This Row],[GroupByKey]])*OutputTable[RecordedValue]))</f>
        <v>37.056974462114901</v>
      </c>
    </row>
    <row r="188" spans="1:16" x14ac:dyDescent="0.25">
      <c r="A188" t="s">
        <v>68</v>
      </c>
      <c r="B188" t="s">
        <v>70</v>
      </c>
      <c r="C188">
        <v>8</v>
      </c>
      <c r="D188" t="s">
        <v>122</v>
      </c>
      <c r="E188" t="s">
        <v>114</v>
      </c>
      <c r="F188" t="s">
        <v>81</v>
      </c>
      <c r="G188">
        <v>17.770826718075998</v>
      </c>
      <c r="H188">
        <v>0</v>
      </c>
      <c r="I188" s="5" t="str">
        <f>OutputTable[[#This Row],[ProjectName]]&amp;OutputTable[[#This Row],[Name]]&amp;OutputTable[[#This Row],[Type]]&amp;OutputTable[[#This Row],[Source]]</f>
        <v>Pedido CleintesPago Accum Wait TimeAccum Wait TimeProcess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30</v>
      </c>
      <c r="K188" s="5" cm="1">
        <f t="array" ref="K188">IFERROR(AVERAGE(IF((OutputTable[GroupByKey]=OutputTable[[#This Row],[GroupByKey]]),(OutputTable[GroupByKey]=OutputTable[[#This Row],[GroupByKey]])*OutputTable[RecordedValue])),0)</f>
        <v>13.025761997568024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7.8467935605388783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188" s="5" cm="1">
        <f t="array" ref="O188">MIN(IF((OutputTable[GroupByKey]=OutputTable[[#This Row],[GroupByKey]]),(OutputTable[GroupByKey]=OutputTable[[#This Row],[GroupByKey]])*OutputTable[RecordedValue]))</f>
        <v>0</v>
      </c>
      <c r="P188" s="5" cm="1">
        <f t="array" ref="P188">MAX(IF((OutputTable[GroupByKey]=OutputTable[[#This Row],[GroupByKey]]),(OutputTable[GroupByKey]=OutputTable[[#This Row],[GroupByKey]])*OutputTable[RecordedValue]))</f>
        <v>32.770863925850499</v>
      </c>
    </row>
    <row r="189" spans="1:16" x14ac:dyDescent="0.25">
      <c r="A189" t="s">
        <v>68</v>
      </c>
      <c r="B189" t="s">
        <v>70</v>
      </c>
      <c r="C189">
        <v>8</v>
      </c>
      <c r="D189" t="s">
        <v>123</v>
      </c>
      <c r="E189" t="s">
        <v>108</v>
      </c>
      <c r="F189" t="s">
        <v>81</v>
      </c>
      <c r="G189">
        <v>36</v>
      </c>
      <c r="H189">
        <v>0</v>
      </c>
      <c r="I189" s="5" t="str">
        <f>OutputTable[[#This Row],[ProjectName]]&amp;OutputTable[[#This Row],[Name]]&amp;OutputTable[[#This Row],[Type]]&amp;OutputTable[[#This Row],[Source]]</f>
        <v>Pedido CleintesPago Number InNumber InProcess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30</v>
      </c>
      <c r="K189" s="5" cm="1">
        <f t="array" ref="K189">IFERROR(AVERAGE(IF((OutputTable[GroupByKey]=OutputTable[[#This Row],[GroupByKey]]),(OutputTable[GroupByKey]=OutputTable[[#This Row],[GroupByKey]])*OutputTable[RecordedValue])),0)</f>
        <v>39.666666666666664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6.0477030882540914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89" s="5" cm="1">
        <f t="array" ref="O189">MIN(IF((OutputTable[GroupByKey]=OutputTable[[#This Row],[GroupByKey]]),(OutputTable[GroupByKey]=OutputTable[[#This Row],[GroupByKey]])*OutputTable[RecordedValue]))</f>
        <v>26</v>
      </c>
      <c r="P189" s="5" cm="1">
        <f t="array" ref="P189">MAX(IF((OutputTable[GroupByKey]=OutputTable[[#This Row],[GroupByKey]]),(OutputTable[GroupByKey]=OutputTable[[#This Row],[GroupByKey]])*OutputTable[RecordedValue]))</f>
        <v>49</v>
      </c>
    </row>
    <row r="190" spans="1:16" x14ac:dyDescent="0.25">
      <c r="A190" t="s">
        <v>68</v>
      </c>
      <c r="B190" t="s">
        <v>70</v>
      </c>
      <c r="C190">
        <v>8</v>
      </c>
      <c r="D190" t="s">
        <v>124</v>
      </c>
      <c r="E190" t="s">
        <v>110</v>
      </c>
      <c r="F190" t="s">
        <v>81</v>
      </c>
      <c r="G190">
        <v>36</v>
      </c>
      <c r="H190">
        <v>0</v>
      </c>
      <c r="I190" s="5" t="str">
        <f>OutputTable[[#This Row],[ProjectName]]&amp;OutputTable[[#This Row],[Name]]&amp;OutputTable[[#This Row],[Type]]&amp;OutputTable[[#This Row],[Source]]</f>
        <v>Pedido CleintesPago Number OutNumber OutProcess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30</v>
      </c>
      <c r="K190" s="5" cm="1">
        <f t="array" ref="K190">IFERROR(AVERAGE(IF((OutputTable[GroupByKey]=OutputTable[[#This Row],[GroupByKey]]),(OutputTable[GroupByKey]=OutputTable[[#This Row],[GroupByKey]])*OutputTable[RecordedValue])),0)</f>
        <v>39.43333333333333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5.9171482724502509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190" s="5" cm="1">
        <f t="array" ref="O190">MIN(IF((OutputTable[GroupByKey]=OutputTable[[#This Row],[GroupByKey]]),(OutputTable[GroupByKey]=OutputTable[[#This Row],[GroupByKey]])*OutputTable[RecordedValue]))</f>
        <v>26</v>
      </c>
      <c r="P190" s="5" cm="1">
        <f t="array" ref="P190">MAX(IF((OutputTable[GroupByKey]=OutputTable[[#This Row],[GroupByKey]]),(OutputTable[GroupByKey]=OutputTable[[#This Row],[GroupByKey]])*OutputTable[RecordedValue]))</f>
        <v>49</v>
      </c>
    </row>
    <row r="191" spans="1:16" x14ac:dyDescent="0.25">
      <c r="A191" t="s">
        <v>68</v>
      </c>
      <c r="B191" t="s">
        <v>70</v>
      </c>
      <c r="C191">
        <v>8</v>
      </c>
      <c r="D191" t="s">
        <v>125</v>
      </c>
      <c r="E191" t="s">
        <v>112</v>
      </c>
      <c r="F191" t="s">
        <v>81</v>
      </c>
      <c r="G191">
        <v>105.29539500178601</v>
      </c>
      <c r="H191">
        <v>0</v>
      </c>
      <c r="I19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30</v>
      </c>
      <c r="K191" s="5" cm="1">
        <f t="array" ref="K191">IFERROR(AVERAGE(IF((OutputTable[GroupByKey]=OutputTable[[#This Row],[GroupByKey]]),(OutputTable[GroupByKey]=OutputTable[[#This Row],[GroupByKey]])*OutputTable[RecordedValue])),0)</f>
        <v>116.64263458387505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17.825477946659205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191" s="5" cm="1">
        <f t="array" ref="O191">MIN(IF((OutputTable[GroupByKey]=OutputTable[[#This Row],[GroupByKey]]),(OutputTable[GroupByKey]=OutputTable[[#This Row],[GroupByKey]])*OutputTable[RecordedValue]))</f>
        <v>74.976560761710004</v>
      </c>
      <c r="P191" s="5" cm="1">
        <f t="array" ref="P191">MAX(IF((OutputTable[GroupByKey]=OutputTable[[#This Row],[GroupByKey]]),(OutputTable[GroupByKey]=OutputTable[[#This Row],[GroupByKey]])*OutputTable[RecordedValue]))</f>
        <v>145.504156763596</v>
      </c>
    </row>
    <row r="192" spans="1:16" x14ac:dyDescent="0.25">
      <c r="A192" t="s">
        <v>68</v>
      </c>
      <c r="B192" t="s">
        <v>70</v>
      </c>
      <c r="C192">
        <v>8</v>
      </c>
      <c r="D192" t="s">
        <v>126</v>
      </c>
      <c r="E192" t="s">
        <v>114</v>
      </c>
      <c r="F192" t="s">
        <v>81</v>
      </c>
      <c r="G192">
        <v>46.050793889050802</v>
      </c>
      <c r="H192">
        <v>0</v>
      </c>
      <c r="I19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30</v>
      </c>
      <c r="K192" s="5" cm="1">
        <f t="array" ref="K192">IFERROR(AVERAGE(IF((OutputTable[GroupByKey]=OutputTable[[#This Row],[GroupByKey]]),(OutputTable[GroupByKey]=OutputTable[[#This Row],[GroupByKey]])*OutputTable[RecordedValue])),0)</f>
        <v>39.900972800228722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22.922906975864144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192" s="5" cm="1">
        <f t="array" ref="O192">MIN(IF((OutputTable[GroupByKey]=OutputTable[[#This Row],[GroupByKey]]),(OutputTable[GroupByKey]=OutputTable[[#This Row],[GroupByKey]])*OutputTable[RecordedValue]))</f>
        <v>2.1708788192608899</v>
      </c>
      <c r="P192" s="5" cm="1">
        <f t="array" ref="P192">MAX(IF((OutputTable[GroupByKey]=OutputTable[[#This Row],[GroupByKey]]),(OutputTable[GroupByKey]=OutputTable[[#This Row],[GroupByKey]])*OutputTable[RecordedValue]))</f>
        <v>94.9142929398908</v>
      </c>
    </row>
    <row r="193" spans="1:16" x14ac:dyDescent="0.25">
      <c r="A193" t="s">
        <v>68</v>
      </c>
      <c r="B193" t="s">
        <v>70</v>
      </c>
      <c r="C193">
        <v>8</v>
      </c>
      <c r="D193" t="s">
        <v>127</v>
      </c>
      <c r="E193" t="s">
        <v>108</v>
      </c>
      <c r="F193" t="s">
        <v>81</v>
      </c>
      <c r="G193">
        <v>36</v>
      </c>
      <c r="H193">
        <v>0</v>
      </c>
      <c r="I193" s="5" t="str">
        <f>OutputTable[[#This Row],[ProjectName]]&amp;OutputTable[[#This Row],[Name]]&amp;OutputTable[[#This Row],[Type]]&amp;OutputTable[[#This Row],[Source]]</f>
        <v>Pedido CleintesPreparar orden Number InNumber InProcess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30</v>
      </c>
      <c r="K193" s="5" cm="1">
        <f t="array" ref="K193">IFERROR(AVERAGE(IF((OutputTable[GroupByKey]=OutputTable[[#This Row],[GroupByKey]]),(OutputTable[GroupByKey]=OutputTable[[#This Row],[GroupByKey]])*OutputTable[RecordedValue])),0)</f>
        <v>39.666666666666664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6.0477030882540914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193" s="5" cm="1">
        <f t="array" ref="O193">MIN(IF((OutputTable[GroupByKey]=OutputTable[[#This Row],[GroupByKey]]),(OutputTable[GroupByKey]=OutputTable[[#This Row],[GroupByKey]])*OutputTable[RecordedValue]))</f>
        <v>26</v>
      </c>
      <c r="P193" s="5" cm="1">
        <f t="array" ref="P193">MAX(IF((OutputTable[GroupByKey]=OutputTable[[#This Row],[GroupByKey]]),(OutputTable[GroupByKey]=OutputTable[[#This Row],[GroupByKey]])*OutputTable[RecordedValue]))</f>
        <v>49</v>
      </c>
    </row>
    <row r="194" spans="1:16" x14ac:dyDescent="0.25">
      <c r="A194" t="s">
        <v>68</v>
      </c>
      <c r="B194" t="s">
        <v>70</v>
      </c>
      <c r="C194">
        <v>8</v>
      </c>
      <c r="D194" t="s">
        <v>128</v>
      </c>
      <c r="E194" t="s">
        <v>110</v>
      </c>
      <c r="F194" t="s">
        <v>81</v>
      </c>
      <c r="G194">
        <v>35</v>
      </c>
      <c r="H194">
        <v>0</v>
      </c>
      <c r="I194" s="5" t="str">
        <f>OutputTable[[#This Row],[ProjectName]]&amp;OutputTable[[#This Row],[Name]]&amp;OutputTable[[#This Row],[Type]]&amp;OutputTable[[#This Row],[Source]]</f>
        <v>Pedido CleintesPreparar orden Number OutNumber OutProcess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30</v>
      </c>
      <c r="K194" s="5" cm="1">
        <f t="array" ref="K194">IFERROR(AVERAGE(IF((OutputTable[GroupByKey]=OutputTable[[#This Row],[GroupByKey]]),(OutputTable[GroupByKey]=OutputTable[[#This Row],[GroupByKey]])*OutputTable[RecordedValue])),0)</f>
        <v>38.93333333333333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5.9765826548191505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194" s="5" cm="1">
        <f t="array" ref="O194">MIN(IF((OutputTable[GroupByKey]=OutputTable[[#This Row],[GroupByKey]]),(OutputTable[GroupByKey]=OutputTable[[#This Row],[GroupByKey]])*OutputTable[RecordedValue]))</f>
        <v>25</v>
      </c>
      <c r="P194" s="5" cm="1">
        <f t="array" ref="P194">MAX(IF((OutputTable[GroupByKey]=OutputTable[[#This Row],[GroupByKey]]),(OutputTable[GroupByKey]=OutputTable[[#This Row],[GroupByKey]])*OutputTable[RecordedValue]))</f>
        <v>49</v>
      </c>
    </row>
    <row r="195" spans="1:16" x14ac:dyDescent="0.25">
      <c r="A195" t="s">
        <v>68</v>
      </c>
      <c r="B195" t="s">
        <v>70</v>
      </c>
      <c r="C195">
        <v>8</v>
      </c>
      <c r="D195" t="s">
        <v>129</v>
      </c>
      <c r="E195" t="s">
        <v>110</v>
      </c>
      <c r="F195" t="s">
        <v>130</v>
      </c>
      <c r="G195">
        <v>34</v>
      </c>
      <c r="H195">
        <v>0</v>
      </c>
      <c r="I195" s="5" t="str">
        <f>OutputTable[[#This Row],[ProjectName]]&amp;OutputTable[[#This Row],[Name]]&amp;OutputTable[[#This Row],[Type]]&amp;OutputTable[[#This Row],[Source]]</f>
        <v>Pedido CleintesSystem.NumberOutNumber OutSystem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30</v>
      </c>
      <c r="K195" s="5" cm="1">
        <f t="array" ref="K195">IFERROR(AVERAGE(IF((OutputTable[GroupByKey]=OutputTable[[#This Row],[GroupByKey]]),(OutputTable[GroupByKey]=OutputTable[[#This Row],[GroupByKey]])*OutputTable[RecordedValue])),0)</f>
        <v>38.866666666666667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6.0840851369801694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195" s="5" cm="1">
        <f t="array" ref="O195">MIN(IF((OutputTable[GroupByKey]=OutputTable[[#This Row],[GroupByKey]]),(OutputTable[GroupByKey]=OutputTable[[#This Row],[GroupByKey]])*OutputTable[RecordedValue]))</f>
        <v>24</v>
      </c>
      <c r="P195" s="5" cm="1">
        <f t="array" ref="P195">MAX(IF((OutputTable[GroupByKey]=OutputTable[[#This Row],[GroupByKey]]),(OutputTable[GroupByKey]=OutputTable[[#This Row],[GroupByKey]])*OutputTable[RecordedValue]))</f>
        <v>49</v>
      </c>
    </row>
    <row r="196" spans="1:16" x14ac:dyDescent="0.25">
      <c r="A196" t="s">
        <v>68</v>
      </c>
      <c r="B196" t="s">
        <v>70</v>
      </c>
      <c r="C196">
        <v>8</v>
      </c>
      <c r="D196" t="s">
        <v>131</v>
      </c>
      <c r="E196" t="s">
        <v>132</v>
      </c>
      <c r="F196" t="s">
        <v>102</v>
      </c>
      <c r="G196">
        <v>36</v>
      </c>
      <c r="H196">
        <v>0</v>
      </c>
      <c r="I19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30</v>
      </c>
      <c r="K196" s="5" cm="1">
        <f t="array" ref="K196">IFERROR(AVERAGE(IF((OutputTable[GroupByKey]=OutputTable[[#This Row],[GroupByKey]]),(OutputTable[GroupByKey]=OutputTable[[#This Row],[GroupByKey]])*OutputTable[RecordedValue])),0)</f>
        <v>39.4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5.8757244601014422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196" s="5" cm="1">
        <f t="array" ref="O196">MIN(IF((OutputTable[GroupByKey]=OutputTable[[#This Row],[GroupByKey]]),(OutputTable[GroupByKey]=OutputTable[[#This Row],[GroupByKey]])*OutputTable[RecordedValue]))</f>
        <v>26</v>
      </c>
      <c r="P196" s="5" cm="1">
        <f t="array" ref="P196">MAX(IF((OutputTable[GroupByKey]=OutputTable[[#This Row],[GroupByKey]]),(OutputTable[GroupByKey]=OutputTable[[#This Row],[GroupByKey]])*OutputTable[RecordedValue]))</f>
        <v>49</v>
      </c>
    </row>
    <row r="197" spans="1:16" x14ac:dyDescent="0.25">
      <c r="A197" t="s">
        <v>68</v>
      </c>
      <c r="B197" t="s">
        <v>70</v>
      </c>
      <c r="C197">
        <v>8</v>
      </c>
      <c r="D197" t="s">
        <v>133</v>
      </c>
      <c r="E197" t="s">
        <v>134</v>
      </c>
      <c r="F197" t="s">
        <v>102</v>
      </c>
      <c r="G197">
        <v>0.440171879332103</v>
      </c>
      <c r="H197">
        <v>0</v>
      </c>
      <c r="I19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30</v>
      </c>
      <c r="K197" s="5" cm="1">
        <f t="array" ref="K197">IFERROR(AVERAGE(IF((OutputTable[GroupByKey]=OutputTable[[#This Row],[GroupByKey]]),(OutputTable[GroupByKey]=OutputTable[[#This Row],[GroupByKey]])*OutputTable[RecordedValue])),0)</f>
        <v>0.48891840079317483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7.3627413122013347E-2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197" s="5" cm="1">
        <f t="array" ref="O197">MIN(IF((OutputTable[GroupByKey]=OutputTable[[#This Row],[GroupByKey]]),(OutputTable[GroupByKey]=OutputTable[[#This Row],[GroupByKey]])*OutputTable[RecordedValue]))</f>
        <v>0.31277577999924699</v>
      </c>
      <c r="P197" s="5" cm="1">
        <f t="array" ref="P197">MAX(IF((OutputTable[GroupByKey]=OutputTable[[#This Row],[GroupByKey]]),(OutputTable[GroupByKey]=OutputTable[[#This Row],[GroupByKey]])*OutputTable[RecordedValue]))</f>
        <v>0.60626731984831705</v>
      </c>
    </row>
    <row r="198" spans="1:16" x14ac:dyDescent="0.25">
      <c r="A198" t="s">
        <v>68</v>
      </c>
      <c r="B198" t="s">
        <v>70</v>
      </c>
      <c r="C198">
        <v>8</v>
      </c>
      <c r="D198" t="s">
        <v>135</v>
      </c>
      <c r="E198" t="s">
        <v>132</v>
      </c>
      <c r="F198" t="s">
        <v>102</v>
      </c>
      <c r="G198">
        <v>73</v>
      </c>
      <c r="H198">
        <v>0</v>
      </c>
      <c r="I19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30</v>
      </c>
      <c r="K198" s="5" cm="1">
        <f t="array" ref="K198">IFERROR(AVERAGE(IF((OutputTable[GroupByKey]=OutputTable[[#This Row],[GroupByKey]]),(OutputTable[GroupByKey]=OutputTable[[#This Row],[GroupByKey]])*OutputTable[RecordedValue])),0)</f>
        <v>79.466666666666669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12.016463801753446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198" s="5" cm="1">
        <f t="array" ref="O198">MIN(IF((OutputTable[GroupByKey]=OutputTable[[#This Row],[GroupByKey]]),(OutputTable[GroupByKey]=OutputTable[[#This Row],[GroupByKey]])*OutputTable[RecordedValue]))</f>
        <v>53</v>
      </c>
      <c r="P198" s="5" cm="1">
        <f t="array" ref="P198">MAX(IF((OutputTable[GroupByKey]=OutputTable[[#This Row],[GroupByKey]]),(OutputTable[GroupByKey]=OutputTable[[#This Row],[GroupByKey]])*OutputTable[RecordedValue]))</f>
        <v>98</v>
      </c>
    </row>
    <row r="199" spans="1:16" x14ac:dyDescent="0.25">
      <c r="A199" t="s">
        <v>68</v>
      </c>
      <c r="B199" t="s">
        <v>70</v>
      </c>
      <c r="C199">
        <v>8</v>
      </c>
      <c r="D199" t="s">
        <v>136</v>
      </c>
      <c r="E199" t="s">
        <v>134</v>
      </c>
      <c r="F199" t="s">
        <v>102</v>
      </c>
      <c r="G199">
        <v>0.27398625202090898</v>
      </c>
      <c r="H199">
        <v>0</v>
      </c>
      <c r="I19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30</v>
      </c>
      <c r="K199" s="5" cm="1">
        <f t="array" ref="K199">IFERROR(AVERAGE(IF((OutputTable[GroupByKey]=OutputTable[[#This Row],[GroupByKey]]),(OutputTable[GroupByKey]=OutputTable[[#This Row],[GroupByKey]])*OutputTable[RecordedValue])),0)</f>
        <v>0.28976365927997022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4.4748273652133699E-2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199" s="5" cm="1">
        <f t="array" ref="O199">MIN(IF((OutputTable[GroupByKey]=OutputTable[[#This Row],[GroupByKey]]),(OutputTable[GroupByKey]=OutputTable[[#This Row],[GroupByKey]])*OutputTable[RecordedValue]))</f>
        <v>0.194735973294278</v>
      </c>
      <c r="P199" s="5" cm="1">
        <f t="array" ref="P199">MAX(IF((OutputTable[GroupByKey]=OutputTable[[#This Row],[GroupByKey]]),(OutputTable[GroupByKey]=OutputTable[[#This Row],[GroupByKey]])*OutputTable[RecordedValue]))</f>
        <v>0.35775345817659199</v>
      </c>
    </row>
    <row r="200" spans="1:16" x14ac:dyDescent="0.25">
      <c r="A200" t="s">
        <v>68</v>
      </c>
      <c r="B200" t="s">
        <v>70</v>
      </c>
      <c r="C200">
        <v>8</v>
      </c>
      <c r="D200" t="s">
        <v>137</v>
      </c>
      <c r="E200" t="s">
        <v>132</v>
      </c>
      <c r="F200" t="s">
        <v>102</v>
      </c>
      <c r="G200">
        <v>35</v>
      </c>
      <c r="H200">
        <v>0</v>
      </c>
      <c r="I20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30</v>
      </c>
      <c r="K200" s="5" cm="1">
        <f t="array" ref="K200">IFERROR(AVERAGE(IF((OutputTable[GroupByKey]=OutputTable[[#This Row],[GroupByKey]]),(OutputTable[GroupByKey]=OutputTable[[#This Row],[GroupByKey]])*OutputTable[RecordedValue])),0)</f>
        <v>38.93333333333333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5.9765826548191505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00" s="5" cm="1">
        <f t="array" ref="O200">MIN(IF((OutputTable[GroupByKey]=OutputTable[[#This Row],[GroupByKey]]),(OutputTable[GroupByKey]=OutputTable[[#This Row],[GroupByKey]])*OutputTable[RecordedValue]))</f>
        <v>25</v>
      </c>
      <c r="P200" s="5" cm="1">
        <f t="array" ref="P200">MAX(IF((OutputTable[GroupByKey]=OutputTable[[#This Row],[GroupByKey]]),(OutputTable[GroupByKey]=OutputTable[[#This Row],[GroupByKey]])*OutputTable[RecordedValue]))</f>
        <v>49</v>
      </c>
    </row>
    <row r="201" spans="1:16" x14ac:dyDescent="0.25">
      <c r="A201" t="s">
        <v>68</v>
      </c>
      <c r="B201" t="s">
        <v>70</v>
      </c>
      <c r="C201">
        <v>8</v>
      </c>
      <c r="D201" t="s">
        <v>138</v>
      </c>
      <c r="E201" t="s">
        <v>134</v>
      </c>
      <c r="F201" t="s">
        <v>102</v>
      </c>
      <c r="G201">
        <v>7.86054338831427E-2</v>
      </c>
      <c r="H201">
        <v>0</v>
      </c>
      <c r="I20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30</v>
      </c>
      <c r="K201" s="5" cm="1">
        <f t="array" ref="K201">IFERROR(AVERAGE(IF((OutputTable[GroupByKey]=OutputTable[[#This Row],[GroupByKey]]),(OutputTable[GroupByKey]=OutputTable[[#This Row],[GroupByKey]])*OutputTable[RecordedValue])),0)</f>
        <v>8.2588852761398115E-2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1.3130964022328008E-2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201" s="5" cm="1">
        <f t="array" ref="O201">MIN(IF((OutputTable[GroupByKey]=OutputTable[[#This Row],[GroupByKey]]),(OutputTable[GroupByKey]=OutputTable[[#This Row],[GroupByKey]])*OutputTable[RecordedValue]))</f>
        <v>5.3757894868807901E-2</v>
      </c>
      <c r="P201" s="5" cm="1">
        <f t="array" ref="P201">MAX(IF((OutputTable[GroupByKey]=OutputTable[[#This Row],[GroupByKey]]),(OutputTable[GroupByKey]=OutputTable[[#This Row],[GroupByKey]])*OutputTable[RecordedValue]))</f>
        <v>0.103175045984152</v>
      </c>
    </row>
    <row r="202" spans="1:16" x14ac:dyDescent="0.25">
      <c r="A202" t="s">
        <v>68</v>
      </c>
      <c r="B202" t="s">
        <v>70</v>
      </c>
      <c r="C202">
        <v>9</v>
      </c>
      <c r="D202" t="s">
        <v>107</v>
      </c>
      <c r="E202" t="s">
        <v>108</v>
      </c>
      <c r="F202" t="s">
        <v>73</v>
      </c>
      <c r="G202">
        <v>104</v>
      </c>
      <c r="H202">
        <v>0</v>
      </c>
      <c r="I202" s="5" t="str">
        <f>OutputTable[[#This Row],[ProjectName]]&amp;OutputTable[[#This Row],[Name]]&amp;OutputTable[[#This Row],[Type]]&amp;OutputTable[[#This Row],[Source]]</f>
        <v>Pedido CleintesClientes.NumberInNumber InEntity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30</v>
      </c>
      <c r="K202" s="5" cm="1">
        <f t="array" ref="K202">IFERROR(AVERAGE(IF((OutputTable[GroupByKey]=OutputTable[[#This Row],[GroupByKey]]),(OutputTable[GroupByKey]=OutputTable[[#This Row],[GroupByKey]])*OutputTable[RecordedValue])),0)</f>
        <v>118.5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18.009097317936192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202" s="5" cm="1">
        <f t="array" ref="O202">MIN(IF((OutputTable[GroupByKey]=OutputTable[[#This Row],[GroupByKey]]),(OutputTable[GroupByKey]=OutputTable[[#This Row],[GroupByKey]])*OutputTable[RecordedValue]))</f>
        <v>78</v>
      </c>
      <c r="P202" s="5" cm="1">
        <f t="array" ref="P202">MAX(IF((OutputTable[GroupByKey]=OutputTable[[#This Row],[GroupByKey]]),(OutputTable[GroupByKey]=OutputTable[[#This Row],[GroupByKey]])*OutputTable[RecordedValue]))</f>
        <v>147</v>
      </c>
    </row>
    <row r="203" spans="1:16" x14ac:dyDescent="0.25">
      <c r="A203" t="s">
        <v>68</v>
      </c>
      <c r="B203" t="s">
        <v>70</v>
      </c>
      <c r="C203">
        <v>9</v>
      </c>
      <c r="D203" t="s">
        <v>109</v>
      </c>
      <c r="E203" t="s">
        <v>110</v>
      </c>
      <c r="F203" t="s">
        <v>73</v>
      </c>
      <c r="G203">
        <v>102</v>
      </c>
      <c r="H203">
        <v>0</v>
      </c>
      <c r="I203" s="5" t="str">
        <f>OutputTable[[#This Row],[ProjectName]]&amp;OutputTable[[#This Row],[Name]]&amp;OutputTable[[#This Row],[Type]]&amp;OutputTable[[#This Row],[Source]]</f>
        <v>Pedido CleintesClientes.NumberOutNumber OutEntity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30</v>
      </c>
      <c r="K203" s="5" cm="1">
        <f t="array" ref="K203">IFERROR(AVERAGE(IF((OutputTable[GroupByKey]=OutputTable[[#This Row],[GroupByKey]]),(OutputTable[GroupByKey]=OutputTable[[#This Row],[GroupByKey]])*OutputTable[RecordedValue])),0)</f>
        <v>116.6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18.252255410940514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203" s="5" cm="1">
        <f t="array" ref="O203">MIN(IF((OutputTable[GroupByKey]=OutputTable[[#This Row],[GroupByKey]]),(OutputTable[GroupByKey]=OutputTable[[#This Row],[GroupByKey]])*OutputTable[RecordedValue]))</f>
        <v>72</v>
      </c>
      <c r="P203" s="5" cm="1">
        <f t="array" ref="P203">MAX(IF((OutputTable[GroupByKey]=OutputTable[[#This Row],[GroupByKey]]),(OutputTable[GroupByKey]=OutputTable[[#This Row],[GroupByKey]])*OutputTable[RecordedValue]))</f>
        <v>147</v>
      </c>
    </row>
    <row r="204" spans="1:16" x14ac:dyDescent="0.25">
      <c r="A204" t="s">
        <v>68</v>
      </c>
      <c r="B204" t="s">
        <v>70</v>
      </c>
      <c r="C204">
        <v>9</v>
      </c>
      <c r="D204" t="s">
        <v>111</v>
      </c>
      <c r="E204" t="s">
        <v>112</v>
      </c>
      <c r="F204" t="s">
        <v>81</v>
      </c>
      <c r="G204">
        <v>18.382223933975101</v>
      </c>
      <c r="H204">
        <v>0</v>
      </c>
      <c r="I20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30</v>
      </c>
      <c r="K204" s="5" cm="1">
        <f t="array" ref="K204">IFERROR(AVERAGE(IF((OutputTable[GroupByKey]=OutputTable[[#This Row],[GroupByKey]]),(OutputTable[GroupByKey]=OutputTable[[#This Row],[GroupByKey]])*OutputTable[RecordedValue])),0)</f>
        <v>19.806808580201274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3.1624794742170024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204" s="5" cm="1">
        <f t="array" ref="O204">MIN(IF((OutputTable[GroupByKey]=OutputTable[[#This Row],[GroupByKey]]),(OutputTable[GroupByKey]=OutputTable[[#This Row],[GroupByKey]])*OutputTable[RecordedValue]))</f>
        <v>12.812268330404599</v>
      </c>
      <c r="P204" s="5" cm="1">
        <f t="array" ref="P204">MAX(IF((OutputTable[GroupByKey]=OutputTable[[#This Row],[GroupByKey]]),(OutputTable[GroupByKey]=OutputTable[[#This Row],[GroupByKey]])*OutputTable[RecordedValue]))</f>
        <v>24.762011036196501</v>
      </c>
    </row>
    <row r="205" spans="1:16" x14ac:dyDescent="0.25">
      <c r="A205" t="s">
        <v>68</v>
      </c>
      <c r="B205" t="s">
        <v>70</v>
      </c>
      <c r="C205">
        <v>9</v>
      </c>
      <c r="D205" t="s">
        <v>113</v>
      </c>
      <c r="E205" t="s">
        <v>114</v>
      </c>
      <c r="F205" t="s">
        <v>81</v>
      </c>
      <c r="G205">
        <v>0</v>
      </c>
      <c r="H205">
        <v>0</v>
      </c>
      <c r="I20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30</v>
      </c>
      <c r="K205" s="5" cm="1">
        <f t="array" ref="K205">IFERROR(AVERAGE(IF((OutputTable[GroupByKey]=OutputTable[[#This Row],[GroupByKey]]),(OutputTable[GroupByKey]=OutputTable[[#This Row],[GroupByKey]])*OutputTable[RecordedValue])),0)</f>
        <v>0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" s="5" cm="1">
        <f t="array" ref="O205">MIN(IF((OutputTable[GroupByKey]=OutputTable[[#This Row],[GroupByKey]]),(OutputTable[GroupByKey]=OutputTable[[#This Row],[GroupByKey]])*OutputTable[RecordedValue]))</f>
        <v>0</v>
      </c>
      <c r="P205" s="5" cm="1">
        <f t="array" ref="P205">MAX(IF((OutputTable[GroupByKey]=OutputTable[[#This Row],[GroupByKey]]),(OutputTable[GroupByKey]=OutputTable[[#This Row],[GroupByKey]])*OutputTable[RecordedValue]))</f>
        <v>0</v>
      </c>
    </row>
    <row r="206" spans="1:16" x14ac:dyDescent="0.25">
      <c r="A206" t="s">
        <v>68</v>
      </c>
      <c r="B206" t="s">
        <v>70</v>
      </c>
      <c r="C206">
        <v>9</v>
      </c>
      <c r="D206" t="s">
        <v>115</v>
      </c>
      <c r="E206" t="s">
        <v>108</v>
      </c>
      <c r="F206" t="s">
        <v>81</v>
      </c>
      <c r="G206">
        <v>34</v>
      </c>
      <c r="H206">
        <v>0</v>
      </c>
      <c r="I20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30</v>
      </c>
      <c r="K206" s="5" cm="1">
        <f t="array" ref="K206">IFERROR(AVERAGE(IF((OutputTable[GroupByKey]=OutputTable[[#This Row],[GroupByKey]]),(OutputTable[GroupByKey]=OutputTable[[#This Row],[GroupByKey]])*OutputTable[RecordedValue])),0)</f>
        <v>38.93333333333333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5.9765826548191505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06" s="5" cm="1">
        <f t="array" ref="O206">MIN(IF((OutputTable[GroupByKey]=OutputTable[[#This Row],[GroupByKey]]),(OutputTable[GroupByKey]=OutputTable[[#This Row],[GroupByKey]])*OutputTable[RecordedValue]))</f>
        <v>25</v>
      </c>
      <c r="P206" s="5" cm="1">
        <f t="array" ref="P206">MAX(IF((OutputTable[GroupByKey]=OutputTable[[#This Row],[GroupByKey]]),(OutputTable[GroupByKey]=OutputTable[[#This Row],[GroupByKey]])*OutputTable[RecordedValue]))</f>
        <v>49</v>
      </c>
    </row>
    <row r="207" spans="1:16" x14ac:dyDescent="0.25">
      <c r="A207" t="s">
        <v>68</v>
      </c>
      <c r="B207" t="s">
        <v>70</v>
      </c>
      <c r="C207">
        <v>9</v>
      </c>
      <c r="D207" t="s">
        <v>116</v>
      </c>
      <c r="E207" t="s">
        <v>110</v>
      </c>
      <c r="F207" t="s">
        <v>81</v>
      </c>
      <c r="G207">
        <v>34</v>
      </c>
      <c r="H207">
        <v>0</v>
      </c>
      <c r="I20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30</v>
      </c>
      <c r="K207" s="5" cm="1">
        <f t="array" ref="K207">IFERROR(AVERAGE(IF((OutputTable[GroupByKey]=OutputTable[[#This Row],[GroupByKey]]),(OutputTable[GroupByKey]=OutputTable[[#This Row],[GroupByKey]])*OutputTable[RecordedValue])),0)</f>
        <v>38.866666666666667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6.0840851369801694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07" s="5" cm="1">
        <f t="array" ref="O207">MIN(IF((OutputTable[GroupByKey]=OutputTable[[#This Row],[GroupByKey]]),(OutputTable[GroupByKey]=OutputTable[[#This Row],[GroupByKey]])*OutputTable[RecordedValue]))</f>
        <v>24</v>
      </c>
      <c r="P207" s="5" cm="1">
        <f t="array" ref="P207">MAX(IF((OutputTable[GroupByKey]=OutputTable[[#This Row],[GroupByKey]]),(OutputTable[GroupByKey]=OutputTable[[#This Row],[GroupByKey]])*OutputTable[RecordedValue]))</f>
        <v>49</v>
      </c>
    </row>
    <row r="208" spans="1:16" x14ac:dyDescent="0.25">
      <c r="A208" t="s">
        <v>68</v>
      </c>
      <c r="B208" t="s">
        <v>70</v>
      </c>
      <c r="C208">
        <v>9</v>
      </c>
      <c r="D208" t="s">
        <v>117</v>
      </c>
      <c r="E208" t="s">
        <v>112</v>
      </c>
      <c r="F208" t="s">
        <v>81</v>
      </c>
      <c r="G208">
        <v>33.134693823712297</v>
      </c>
      <c r="H208">
        <v>0</v>
      </c>
      <c r="I208" s="5" t="str">
        <f>OutputTable[[#This Row],[ProjectName]]&amp;OutputTable[[#This Row],[Name]]&amp;OutputTable[[#This Row],[Type]]&amp;OutputTable[[#This Row],[Source]]</f>
        <v>Pedido CleintesOrdnes Accum VA TimeAccum VA TimeProcess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30</v>
      </c>
      <c r="K208" s="5" cm="1">
        <f t="array" ref="K208">IFERROR(AVERAGE(IF((OutputTable[GroupByKey]=OutputTable[[#This Row],[GroupByKey]]),(OutputTable[GroupByKey]=OutputTable[[#This Row],[GroupByKey]])*OutputTable[RecordedValue])),0)</f>
        <v>39.878126992056487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6.1068580319474277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208" s="5" cm="1">
        <f t="array" ref="O208">MIN(IF((OutputTable[GroupByKey]=OutputTable[[#This Row],[GroupByKey]]),(OutputTable[GroupByKey]=OutputTable[[#This Row],[GroupByKey]])*OutputTable[RecordedValue]))</f>
        <v>26.106281767804099</v>
      </c>
      <c r="P208" s="5" cm="1">
        <f t="array" ref="P208">MAX(IF((OutputTable[GroupByKey]=OutputTable[[#This Row],[GroupByKey]]),(OutputTable[GroupByKey]=OutputTable[[#This Row],[GroupByKey]])*OutputTable[RecordedValue]))</f>
        <v>48.706388790541098</v>
      </c>
    </row>
    <row r="209" spans="1:16" x14ac:dyDescent="0.25">
      <c r="A209" t="s">
        <v>68</v>
      </c>
      <c r="B209" t="s">
        <v>70</v>
      </c>
      <c r="C209">
        <v>9</v>
      </c>
      <c r="D209" t="s">
        <v>118</v>
      </c>
      <c r="E209" t="s">
        <v>114</v>
      </c>
      <c r="F209" t="s">
        <v>81</v>
      </c>
      <c r="G209">
        <v>3.66739748888094</v>
      </c>
      <c r="H209">
        <v>0</v>
      </c>
      <c r="I20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30</v>
      </c>
      <c r="K209" s="5" cm="1">
        <f t="array" ref="K209">IFERROR(AVERAGE(IF((OutputTable[GroupByKey]=OutputTable[[#This Row],[GroupByKey]]),(OutputTable[GroupByKey]=OutputTable[[#This Row],[GroupByKey]])*OutputTable[RecordedValue])),0)</f>
        <v>7.9804799821754404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4.8950382198155014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209" s="5" cm="1">
        <f t="array" ref="O209">MIN(IF((OutputTable[GroupByKey]=OutputTable[[#This Row],[GroupByKey]]),(OutputTable[GroupByKey]=OutputTable[[#This Row],[GroupByKey]])*OutputTable[RecordedValue]))</f>
        <v>0</v>
      </c>
      <c r="P209" s="5" cm="1">
        <f t="array" ref="P209">MAX(IF((OutputTable[GroupByKey]=OutputTable[[#This Row],[GroupByKey]]),(OutputTable[GroupByKey]=OutputTable[[#This Row],[GroupByKey]])*OutputTable[RecordedValue]))</f>
        <v>18.843855117811401</v>
      </c>
    </row>
    <row r="210" spans="1:16" x14ac:dyDescent="0.25">
      <c r="A210" t="s">
        <v>68</v>
      </c>
      <c r="B210" t="s">
        <v>70</v>
      </c>
      <c r="C210">
        <v>9</v>
      </c>
      <c r="D210" t="s">
        <v>119</v>
      </c>
      <c r="E210" t="s">
        <v>108</v>
      </c>
      <c r="F210" t="s">
        <v>81</v>
      </c>
      <c r="G210">
        <v>35</v>
      </c>
      <c r="H210">
        <v>0</v>
      </c>
      <c r="I210" s="5" t="str">
        <f>OutputTable[[#This Row],[ProjectName]]&amp;OutputTable[[#This Row],[Name]]&amp;OutputTable[[#This Row],[Type]]&amp;OutputTable[[#This Row],[Source]]</f>
        <v>Pedido CleintesOrdnes Number InNumber InProcess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30</v>
      </c>
      <c r="K210" s="5" cm="1">
        <f t="array" ref="K210">IFERROR(AVERAGE(IF((OutputTable[GroupByKey]=OutputTable[[#This Row],[GroupByKey]]),(OutputTable[GroupByKey]=OutputTable[[#This Row],[GroupByKey]])*OutputTable[RecordedValue])),0)</f>
        <v>39.9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6.0648791101463475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210" s="5" cm="1">
        <f t="array" ref="O210">MIN(IF((OutputTable[GroupByKey]=OutputTable[[#This Row],[GroupByKey]]),(OutputTable[GroupByKey]=OutputTable[[#This Row],[GroupByKey]])*OutputTable[RecordedValue]))</f>
        <v>27</v>
      </c>
      <c r="P210" s="5" cm="1">
        <f t="array" ref="P210">MAX(IF((OutputTable[GroupByKey]=OutputTable[[#This Row],[GroupByKey]]),(OutputTable[GroupByKey]=OutputTable[[#This Row],[GroupByKey]])*OutputTable[RecordedValue]))</f>
        <v>49</v>
      </c>
    </row>
    <row r="211" spans="1:16" x14ac:dyDescent="0.25">
      <c r="A211" t="s">
        <v>68</v>
      </c>
      <c r="B211" t="s">
        <v>70</v>
      </c>
      <c r="C211">
        <v>9</v>
      </c>
      <c r="D211" t="s">
        <v>120</v>
      </c>
      <c r="E211" t="s">
        <v>110</v>
      </c>
      <c r="F211" t="s">
        <v>81</v>
      </c>
      <c r="G211">
        <v>35</v>
      </c>
      <c r="H211">
        <v>0</v>
      </c>
      <c r="I211" s="5" t="str">
        <f>OutputTable[[#This Row],[ProjectName]]&amp;OutputTable[[#This Row],[Name]]&amp;OutputTable[[#This Row],[Type]]&amp;OutputTable[[#This Row],[Source]]</f>
        <v>Pedido CleintesOrdnes Number OutNumber OutProcess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30</v>
      </c>
      <c r="K211" s="5" cm="1">
        <f t="array" ref="K211">IFERROR(AVERAGE(IF((OutputTable[GroupByKey]=OutputTable[[#This Row],[GroupByKey]]),(OutputTable[GroupByKey]=OutputTable[[#This Row],[GroupByKey]])*OutputTable[RecordedValue])),0)</f>
        <v>39.666666666666664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6.0477030882540914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11" s="5" cm="1">
        <f t="array" ref="O211">MIN(IF((OutputTable[GroupByKey]=OutputTable[[#This Row],[GroupByKey]]),(OutputTable[GroupByKey]=OutputTable[[#This Row],[GroupByKey]])*OutputTable[RecordedValue]))</f>
        <v>26</v>
      </c>
      <c r="P211" s="5" cm="1">
        <f t="array" ref="P211">MAX(IF((OutputTable[GroupByKey]=OutputTable[[#This Row],[GroupByKey]]),(OutputTable[GroupByKey]=OutputTable[[#This Row],[GroupByKey]])*OutputTable[RecordedValue]))</f>
        <v>49</v>
      </c>
    </row>
    <row r="212" spans="1:16" x14ac:dyDescent="0.25">
      <c r="A212" t="s">
        <v>68</v>
      </c>
      <c r="B212" t="s">
        <v>70</v>
      </c>
      <c r="C212">
        <v>9</v>
      </c>
      <c r="D212" t="s">
        <v>121</v>
      </c>
      <c r="E212" t="s">
        <v>112</v>
      </c>
      <c r="F212" t="s">
        <v>81</v>
      </c>
      <c r="G212">
        <v>25.1996077566411</v>
      </c>
      <c r="H212">
        <v>0</v>
      </c>
      <c r="I212" s="5" t="str">
        <f>OutputTable[[#This Row],[ProjectName]]&amp;OutputTable[[#This Row],[Name]]&amp;OutputTable[[#This Row],[Type]]&amp;OutputTable[[#This Row],[Source]]</f>
        <v>Pedido CleintesPago Accum VA TimeAccum VA TimeProcess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30</v>
      </c>
      <c r="K212" s="5" cm="1">
        <f t="array" ref="K212">IFERROR(AVERAGE(IF((OutputTable[GroupByKey]=OutputTable[[#This Row],[GroupByKey]]),(OutputTable[GroupByKey]=OutputTable[[#This Row],[GroupByKey]])*OutputTable[RecordedValue])),0)</f>
        <v>29.486262713858675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4.747176664010901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212" s="5" cm="1">
        <f t="array" ref="O212">MIN(IF((OutputTable[GroupByKey]=OutputTable[[#This Row],[GroupByKey]]),(OutputTable[GroupByKey]=OutputTable[[#This Row],[GroupByKey]])*OutputTable[RecordedValue]))</f>
        <v>19.573210250889101</v>
      </c>
      <c r="P212" s="5" cm="1">
        <f t="array" ref="P212">MAX(IF((OutputTable[GroupByKey]=OutputTable[[#This Row],[GroupByKey]]),(OutputTable[GroupByKey]=OutputTable[[#This Row],[GroupByKey]])*OutputTable[RecordedValue]))</f>
        <v>37.056974462114901</v>
      </c>
    </row>
    <row r="213" spans="1:16" x14ac:dyDescent="0.25">
      <c r="A213" t="s">
        <v>68</v>
      </c>
      <c r="B213" t="s">
        <v>70</v>
      </c>
      <c r="C213">
        <v>9</v>
      </c>
      <c r="D213" t="s">
        <v>122</v>
      </c>
      <c r="E213" t="s">
        <v>114</v>
      </c>
      <c r="F213" t="s">
        <v>81</v>
      </c>
      <c r="G213">
        <v>8.2591732251653305</v>
      </c>
      <c r="H213">
        <v>0</v>
      </c>
      <c r="I213" s="5" t="str">
        <f>OutputTable[[#This Row],[ProjectName]]&amp;OutputTable[[#This Row],[Name]]&amp;OutputTable[[#This Row],[Type]]&amp;OutputTable[[#This Row],[Source]]</f>
        <v>Pedido CleintesPago Accum Wait TimeAccum Wait TimeProcess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30</v>
      </c>
      <c r="K213" s="5" cm="1">
        <f t="array" ref="K213">IFERROR(AVERAGE(IF((OutputTable[GroupByKey]=OutputTable[[#This Row],[GroupByKey]]),(OutputTable[GroupByKey]=OutputTable[[#This Row],[GroupByKey]])*OutputTable[RecordedValue])),0)</f>
        <v>13.025761997568024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7.8467935605388783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213" s="5" cm="1">
        <f t="array" ref="O213">MIN(IF((OutputTable[GroupByKey]=OutputTable[[#This Row],[GroupByKey]]),(OutputTable[GroupByKey]=OutputTable[[#This Row],[GroupByKey]])*OutputTable[RecordedValue]))</f>
        <v>0</v>
      </c>
      <c r="P213" s="5" cm="1">
        <f t="array" ref="P213">MAX(IF((OutputTable[GroupByKey]=OutputTable[[#This Row],[GroupByKey]]),(OutputTable[GroupByKey]=OutputTable[[#This Row],[GroupByKey]])*OutputTable[RecordedValue]))</f>
        <v>32.770863925850499</v>
      </c>
    </row>
    <row r="214" spans="1:16" x14ac:dyDescent="0.25">
      <c r="A214" t="s">
        <v>68</v>
      </c>
      <c r="B214" t="s">
        <v>70</v>
      </c>
      <c r="C214">
        <v>9</v>
      </c>
      <c r="D214" t="s">
        <v>123</v>
      </c>
      <c r="E214" t="s">
        <v>108</v>
      </c>
      <c r="F214" t="s">
        <v>81</v>
      </c>
      <c r="G214">
        <v>35</v>
      </c>
      <c r="H214">
        <v>0</v>
      </c>
      <c r="I214" s="5" t="str">
        <f>OutputTable[[#This Row],[ProjectName]]&amp;OutputTable[[#This Row],[Name]]&amp;OutputTable[[#This Row],[Type]]&amp;OutputTable[[#This Row],[Source]]</f>
        <v>Pedido CleintesPago Number InNumber InProcess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30</v>
      </c>
      <c r="K214" s="5" cm="1">
        <f t="array" ref="K214">IFERROR(AVERAGE(IF((OutputTable[GroupByKey]=OutputTable[[#This Row],[GroupByKey]]),(OutputTable[GroupByKey]=OutputTable[[#This Row],[GroupByKey]])*OutputTable[RecordedValue])),0)</f>
        <v>39.666666666666664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6.0477030882540914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14" s="5" cm="1">
        <f t="array" ref="O214">MIN(IF((OutputTable[GroupByKey]=OutputTable[[#This Row],[GroupByKey]]),(OutputTable[GroupByKey]=OutputTable[[#This Row],[GroupByKey]])*OutputTable[RecordedValue]))</f>
        <v>26</v>
      </c>
      <c r="P214" s="5" cm="1">
        <f t="array" ref="P214">MAX(IF((OutputTable[GroupByKey]=OutputTable[[#This Row],[GroupByKey]]),(OutputTable[GroupByKey]=OutputTable[[#This Row],[GroupByKey]])*OutputTable[RecordedValue]))</f>
        <v>49</v>
      </c>
    </row>
    <row r="215" spans="1:16" x14ac:dyDescent="0.25">
      <c r="A215" t="s">
        <v>68</v>
      </c>
      <c r="B215" t="s">
        <v>70</v>
      </c>
      <c r="C215">
        <v>9</v>
      </c>
      <c r="D215" t="s">
        <v>124</v>
      </c>
      <c r="E215" t="s">
        <v>110</v>
      </c>
      <c r="F215" t="s">
        <v>81</v>
      </c>
      <c r="G215">
        <v>35</v>
      </c>
      <c r="H215">
        <v>0</v>
      </c>
      <c r="I215" s="5" t="str">
        <f>OutputTable[[#This Row],[ProjectName]]&amp;OutputTable[[#This Row],[Name]]&amp;OutputTable[[#This Row],[Type]]&amp;OutputTable[[#This Row],[Source]]</f>
        <v>Pedido CleintesPago Number OutNumber OutProcess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30</v>
      </c>
      <c r="K215" s="5" cm="1">
        <f t="array" ref="K215">IFERROR(AVERAGE(IF((OutputTable[GroupByKey]=OutputTable[[#This Row],[GroupByKey]]),(OutputTable[GroupByKey]=OutputTable[[#This Row],[GroupByKey]])*OutputTable[RecordedValue])),0)</f>
        <v>39.43333333333333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5.9171482724502509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215" s="5" cm="1">
        <f t="array" ref="O215">MIN(IF((OutputTable[GroupByKey]=OutputTable[[#This Row],[GroupByKey]]),(OutputTable[GroupByKey]=OutputTable[[#This Row],[GroupByKey]])*OutputTable[RecordedValue]))</f>
        <v>26</v>
      </c>
      <c r="P215" s="5" cm="1">
        <f t="array" ref="P215">MAX(IF((OutputTable[GroupByKey]=OutputTable[[#This Row],[GroupByKey]]),(OutputTable[GroupByKey]=OutputTable[[#This Row],[GroupByKey]])*OutputTable[RecordedValue]))</f>
        <v>49</v>
      </c>
    </row>
    <row r="216" spans="1:16" x14ac:dyDescent="0.25">
      <c r="A216" t="s">
        <v>68</v>
      </c>
      <c r="B216" t="s">
        <v>70</v>
      </c>
      <c r="C216">
        <v>9</v>
      </c>
      <c r="D216" t="s">
        <v>125</v>
      </c>
      <c r="E216" t="s">
        <v>112</v>
      </c>
      <c r="F216" t="s">
        <v>81</v>
      </c>
      <c r="G216">
        <v>100.998559125086</v>
      </c>
      <c r="H216">
        <v>0</v>
      </c>
      <c r="I21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30</v>
      </c>
      <c r="K216" s="5" cm="1">
        <f t="array" ref="K216">IFERROR(AVERAGE(IF((OutputTable[GroupByKey]=OutputTable[[#This Row],[GroupByKey]]),(OutputTable[GroupByKey]=OutputTable[[#This Row],[GroupByKey]])*OutputTable[RecordedValue])),0)</f>
        <v>116.64263458387505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17.825477946659205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216" s="5" cm="1">
        <f t="array" ref="O216">MIN(IF((OutputTable[GroupByKey]=OutputTable[[#This Row],[GroupByKey]]),(OutputTable[GroupByKey]=OutputTable[[#This Row],[GroupByKey]])*OutputTable[RecordedValue]))</f>
        <v>74.976560761710004</v>
      </c>
      <c r="P216" s="5" cm="1">
        <f t="array" ref="P216">MAX(IF((OutputTable[GroupByKey]=OutputTable[[#This Row],[GroupByKey]]),(OutputTable[GroupByKey]=OutputTable[[#This Row],[GroupByKey]])*OutputTable[RecordedValue]))</f>
        <v>145.504156763596</v>
      </c>
    </row>
    <row r="217" spans="1:16" x14ac:dyDescent="0.25">
      <c r="A217" t="s">
        <v>68</v>
      </c>
      <c r="B217" t="s">
        <v>70</v>
      </c>
      <c r="C217">
        <v>9</v>
      </c>
      <c r="D217" t="s">
        <v>126</v>
      </c>
      <c r="E217" t="s">
        <v>114</v>
      </c>
      <c r="F217" t="s">
        <v>81</v>
      </c>
      <c r="G217">
        <v>17.307436501911599</v>
      </c>
      <c r="H217">
        <v>0</v>
      </c>
      <c r="I21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30</v>
      </c>
      <c r="K217" s="5" cm="1">
        <f t="array" ref="K217">IFERROR(AVERAGE(IF((OutputTable[GroupByKey]=OutputTable[[#This Row],[GroupByKey]]),(OutputTable[GroupByKey]=OutputTable[[#This Row],[GroupByKey]])*OutputTable[RecordedValue])),0)</f>
        <v>39.900972800228722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22.922906975864144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217" s="5" cm="1">
        <f t="array" ref="O217">MIN(IF((OutputTable[GroupByKey]=OutputTable[[#This Row],[GroupByKey]]),(OutputTable[GroupByKey]=OutputTable[[#This Row],[GroupByKey]])*OutputTable[RecordedValue]))</f>
        <v>2.1708788192608899</v>
      </c>
      <c r="P217" s="5" cm="1">
        <f t="array" ref="P217">MAX(IF((OutputTable[GroupByKey]=OutputTable[[#This Row],[GroupByKey]]),(OutputTable[GroupByKey]=OutputTable[[#This Row],[GroupByKey]])*OutputTable[RecordedValue]))</f>
        <v>94.9142929398908</v>
      </c>
    </row>
    <row r="218" spans="1:16" x14ac:dyDescent="0.25">
      <c r="A218" t="s">
        <v>68</v>
      </c>
      <c r="B218" t="s">
        <v>70</v>
      </c>
      <c r="C218">
        <v>9</v>
      </c>
      <c r="D218" t="s">
        <v>127</v>
      </c>
      <c r="E218" t="s">
        <v>108</v>
      </c>
      <c r="F218" t="s">
        <v>81</v>
      </c>
      <c r="G218">
        <v>35</v>
      </c>
      <c r="H218">
        <v>0</v>
      </c>
      <c r="I218" s="5" t="str">
        <f>OutputTable[[#This Row],[ProjectName]]&amp;OutputTable[[#This Row],[Name]]&amp;OutputTable[[#This Row],[Type]]&amp;OutputTable[[#This Row],[Source]]</f>
        <v>Pedido CleintesPreparar orden Number InNumber InProcess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30</v>
      </c>
      <c r="K218" s="5" cm="1">
        <f t="array" ref="K218">IFERROR(AVERAGE(IF((OutputTable[GroupByKey]=OutputTable[[#This Row],[GroupByKey]]),(OutputTable[GroupByKey]=OutputTable[[#This Row],[GroupByKey]])*OutputTable[RecordedValue])),0)</f>
        <v>39.666666666666664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6.0477030882540914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18" s="5" cm="1">
        <f t="array" ref="O218">MIN(IF((OutputTable[GroupByKey]=OutputTable[[#This Row],[GroupByKey]]),(OutputTable[GroupByKey]=OutputTable[[#This Row],[GroupByKey]])*OutputTable[RecordedValue]))</f>
        <v>26</v>
      </c>
      <c r="P218" s="5" cm="1">
        <f t="array" ref="P218">MAX(IF((OutputTable[GroupByKey]=OutputTable[[#This Row],[GroupByKey]]),(OutputTable[GroupByKey]=OutputTable[[#This Row],[GroupByKey]])*OutputTable[RecordedValue]))</f>
        <v>49</v>
      </c>
    </row>
    <row r="219" spans="1:16" x14ac:dyDescent="0.25">
      <c r="A219" t="s">
        <v>68</v>
      </c>
      <c r="B219" t="s">
        <v>70</v>
      </c>
      <c r="C219">
        <v>9</v>
      </c>
      <c r="D219" t="s">
        <v>128</v>
      </c>
      <c r="E219" t="s">
        <v>110</v>
      </c>
      <c r="F219" t="s">
        <v>81</v>
      </c>
      <c r="G219">
        <v>34</v>
      </c>
      <c r="H219">
        <v>0</v>
      </c>
      <c r="I219" s="5" t="str">
        <f>OutputTable[[#This Row],[ProjectName]]&amp;OutputTable[[#This Row],[Name]]&amp;OutputTable[[#This Row],[Type]]&amp;OutputTable[[#This Row],[Source]]</f>
        <v>Pedido CleintesPreparar orden Number OutNumber OutProcess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30</v>
      </c>
      <c r="K219" s="5" cm="1">
        <f t="array" ref="K219">IFERROR(AVERAGE(IF((OutputTable[GroupByKey]=OutputTable[[#This Row],[GroupByKey]]),(OutputTable[GroupByKey]=OutputTable[[#This Row],[GroupByKey]])*OutputTable[RecordedValue])),0)</f>
        <v>38.93333333333333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5.9765826548191505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19" s="5" cm="1">
        <f t="array" ref="O219">MIN(IF((OutputTable[GroupByKey]=OutputTable[[#This Row],[GroupByKey]]),(OutputTable[GroupByKey]=OutputTable[[#This Row],[GroupByKey]])*OutputTable[RecordedValue]))</f>
        <v>25</v>
      </c>
      <c r="P219" s="5" cm="1">
        <f t="array" ref="P219">MAX(IF((OutputTable[GroupByKey]=OutputTable[[#This Row],[GroupByKey]]),(OutputTable[GroupByKey]=OutputTable[[#This Row],[GroupByKey]])*OutputTable[RecordedValue]))</f>
        <v>49</v>
      </c>
    </row>
    <row r="220" spans="1:16" x14ac:dyDescent="0.25">
      <c r="A220" t="s">
        <v>68</v>
      </c>
      <c r="B220" t="s">
        <v>70</v>
      </c>
      <c r="C220">
        <v>9</v>
      </c>
      <c r="D220" t="s">
        <v>129</v>
      </c>
      <c r="E220" t="s">
        <v>110</v>
      </c>
      <c r="F220" t="s">
        <v>130</v>
      </c>
      <c r="G220">
        <v>34</v>
      </c>
      <c r="H220">
        <v>0</v>
      </c>
      <c r="I220" s="5" t="str">
        <f>OutputTable[[#This Row],[ProjectName]]&amp;OutputTable[[#This Row],[Name]]&amp;OutputTable[[#This Row],[Type]]&amp;OutputTable[[#This Row],[Source]]</f>
        <v>Pedido CleintesSystem.NumberOutNumber OutSystem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30</v>
      </c>
      <c r="K220" s="5" cm="1">
        <f t="array" ref="K220">IFERROR(AVERAGE(IF((OutputTable[GroupByKey]=OutputTable[[#This Row],[GroupByKey]]),(OutputTable[GroupByKey]=OutputTable[[#This Row],[GroupByKey]])*OutputTable[RecordedValue])),0)</f>
        <v>38.866666666666667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6.0840851369801694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20" s="5" cm="1">
        <f t="array" ref="O220">MIN(IF((OutputTable[GroupByKey]=OutputTable[[#This Row],[GroupByKey]]),(OutputTable[GroupByKey]=OutputTable[[#This Row],[GroupByKey]])*OutputTable[RecordedValue]))</f>
        <v>24</v>
      </c>
      <c r="P220" s="5" cm="1">
        <f t="array" ref="P220">MAX(IF((OutputTable[GroupByKey]=OutputTable[[#This Row],[GroupByKey]]),(OutputTable[GroupByKey]=OutputTable[[#This Row],[GroupByKey]])*OutputTable[RecordedValue]))</f>
        <v>49</v>
      </c>
    </row>
    <row r="221" spans="1:16" x14ac:dyDescent="0.25">
      <c r="A221" t="s">
        <v>68</v>
      </c>
      <c r="B221" t="s">
        <v>70</v>
      </c>
      <c r="C221">
        <v>9</v>
      </c>
      <c r="D221" t="s">
        <v>131</v>
      </c>
      <c r="E221" t="s">
        <v>132</v>
      </c>
      <c r="F221" t="s">
        <v>102</v>
      </c>
      <c r="G221">
        <v>35</v>
      </c>
      <c r="H221">
        <v>0</v>
      </c>
      <c r="I22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30</v>
      </c>
      <c r="K221" s="5" cm="1">
        <f t="array" ref="K221">IFERROR(AVERAGE(IF((OutputTable[GroupByKey]=OutputTable[[#This Row],[GroupByKey]]),(OutputTable[GroupByKey]=OutputTable[[#This Row],[GroupByKey]])*OutputTable[RecordedValue])),0)</f>
        <v>39.4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5.8757244601014422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221" s="5" cm="1">
        <f t="array" ref="O221">MIN(IF((OutputTable[GroupByKey]=OutputTable[[#This Row],[GroupByKey]]),(OutputTable[GroupByKey]=OutputTable[[#This Row],[GroupByKey]])*OutputTable[RecordedValue]))</f>
        <v>26</v>
      </c>
      <c r="P221" s="5" cm="1">
        <f t="array" ref="P221">MAX(IF((OutputTable[GroupByKey]=OutputTable[[#This Row],[GroupByKey]]),(OutputTable[GroupByKey]=OutputTable[[#This Row],[GroupByKey]])*OutputTable[RecordedValue]))</f>
        <v>49</v>
      </c>
    </row>
    <row r="222" spans="1:16" x14ac:dyDescent="0.25">
      <c r="A222" t="s">
        <v>68</v>
      </c>
      <c r="B222" t="s">
        <v>70</v>
      </c>
      <c r="C222">
        <v>9</v>
      </c>
      <c r="D222" t="s">
        <v>133</v>
      </c>
      <c r="E222" t="s">
        <v>134</v>
      </c>
      <c r="F222" t="s">
        <v>102</v>
      </c>
      <c r="G222">
        <v>0.43219764849044101</v>
      </c>
      <c r="H222">
        <v>0</v>
      </c>
      <c r="I22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30</v>
      </c>
      <c r="K222" s="5" cm="1">
        <f t="array" ref="K222">IFERROR(AVERAGE(IF((OutputTable[GroupByKey]=OutputTable[[#This Row],[GroupByKey]]),(OutputTable[GroupByKey]=OutputTable[[#This Row],[GroupByKey]])*OutputTable[RecordedValue])),0)</f>
        <v>0.48891840079317483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7.3627413122013347E-2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222" s="5" cm="1">
        <f t="array" ref="O222">MIN(IF((OutputTable[GroupByKey]=OutputTable[[#This Row],[GroupByKey]]),(OutputTable[GroupByKey]=OutputTable[[#This Row],[GroupByKey]])*OutputTable[RecordedValue]))</f>
        <v>0.31277577999924699</v>
      </c>
      <c r="P222" s="5" cm="1">
        <f t="array" ref="P222">MAX(IF((OutputTable[GroupByKey]=OutputTable[[#This Row],[GroupByKey]]),(OutputTable[GroupByKey]=OutputTable[[#This Row],[GroupByKey]])*OutputTable[RecordedValue]))</f>
        <v>0.60626731984831705</v>
      </c>
    </row>
    <row r="223" spans="1:16" x14ac:dyDescent="0.25">
      <c r="A223" t="s">
        <v>68</v>
      </c>
      <c r="B223" t="s">
        <v>70</v>
      </c>
      <c r="C223">
        <v>9</v>
      </c>
      <c r="D223" t="s">
        <v>135</v>
      </c>
      <c r="E223" t="s">
        <v>132</v>
      </c>
      <c r="F223" t="s">
        <v>102</v>
      </c>
      <c r="G223">
        <v>70</v>
      </c>
      <c r="H223">
        <v>0</v>
      </c>
      <c r="I22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30</v>
      </c>
      <c r="K223" s="5" cm="1">
        <f t="array" ref="K223">IFERROR(AVERAGE(IF((OutputTable[GroupByKey]=OutputTable[[#This Row],[GroupByKey]]),(OutputTable[GroupByKey]=OutputTable[[#This Row],[GroupByKey]])*OutputTable[RecordedValue])),0)</f>
        <v>79.466666666666669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12.016463801753446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223" s="5" cm="1">
        <f t="array" ref="O223">MIN(IF((OutputTable[GroupByKey]=OutputTable[[#This Row],[GroupByKey]]),(OutputTable[GroupByKey]=OutputTable[[#This Row],[GroupByKey]])*OutputTable[RecordedValue]))</f>
        <v>53</v>
      </c>
      <c r="P223" s="5" cm="1">
        <f t="array" ref="P223">MAX(IF((OutputTable[GroupByKey]=OutputTable[[#This Row],[GroupByKey]]),(OutputTable[GroupByKey]=OutputTable[[#This Row],[GroupByKey]])*OutputTable[RecordedValue]))</f>
        <v>98</v>
      </c>
    </row>
    <row r="224" spans="1:16" x14ac:dyDescent="0.25">
      <c r="A224" t="s">
        <v>68</v>
      </c>
      <c r="B224" t="s">
        <v>70</v>
      </c>
      <c r="C224">
        <v>9</v>
      </c>
      <c r="D224" t="s">
        <v>136</v>
      </c>
      <c r="E224" t="s">
        <v>134</v>
      </c>
      <c r="F224" t="s">
        <v>102</v>
      </c>
      <c r="G224">
        <v>0.243059589918139</v>
      </c>
      <c r="H224">
        <v>0</v>
      </c>
      <c r="I22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30</v>
      </c>
      <c r="K224" s="5" cm="1">
        <f t="array" ref="K224">IFERROR(AVERAGE(IF((OutputTable[GroupByKey]=OutputTable[[#This Row],[GroupByKey]]),(OutputTable[GroupByKey]=OutputTable[[#This Row],[GroupByKey]])*OutputTable[RecordedValue])),0)</f>
        <v>0.28976365927997022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4.4748273652133699E-2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224" s="5" cm="1">
        <f t="array" ref="O224">MIN(IF((OutputTable[GroupByKey]=OutputTable[[#This Row],[GroupByKey]]),(OutputTable[GroupByKey]=OutputTable[[#This Row],[GroupByKey]])*OutputTable[RecordedValue]))</f>
        <v>0.194735973294278</v>
      </c>
      <c r="P224" s="5" cm="1">
        <f t="array" ref="P224">MAX(IF((OutputTable[GroupByKey]=OutputTable[[#This Row],[GroupByKey]]),(OutputTable[GroupByKey]=OutputTable[[#This Row],[GroupByKey]])*OutputTable[RecordedValue]))</f>
        <v>0.35775345817659199</v>
      </c>
    </row>
    <row r="225" spans="1:16" x14ac:dyDescent="0.25">
      <c r="A225" t="s">
        <v>68</v>
      </c>
      <c r="B225" t="s">
        <v>70</v>
      </c>
      <c r="C225">
        <v>9</v>
      </c>
      <c r="D225" t="s">
        <v>137</v>
      </c>
      <c r="E225" t="s">
        <v>132</v>
      </c>
      <c r="F225" t="s">
        <v>102</v>
      </c>
      <c r="G225">
        <v>34</v>
      </c>
      <c r="H225">
        <v>0</v>
      </c>
      <c r="I22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30</v>
      </c>
      <c r="K225" s="5" cm="1">
        <f t="array" ref="K225">IFERROR(AVERAGE(IF((OutputTable[GroupByKey]=OutputTable[[#This Row],[GroupByKey]]),(OutputTable[GroupByKey]=OutputTable[[#This Row],[GroupByKey]])*OutputTable[RecordedValue])),0)</f>
        <v>38.93333333333333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5.9765826548191505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25" s="5" cm="1">
        <f t="array" ref="O225">MIN(IF((OutputTable[GroupByKey]=OutputTable[[#This Row],[GroupByKey]]),(OutputTable[GroupByKey]=OutputTable[[#This Row],[GroupByKey]])*OutputTable[RecordedValue]))</f>
        <v>25</v>
      </c>
      <c r="P225" s="5" cm="1">
        <f t="array" ref="P225">MAX(IF((OutputTable[GroupByKey]=OutputTable[[#This Row],[GroupByKey]]),(OutputTable[GroupByKey]=OutputTable[[#This Row],[GroupByKey]])*OutputTable[RecordedValue]))</f>
        <v>49</v>
      </c>
    </row>
    <row r="226" spans="1:16" x14ac:dyDescent="0.25">
      <c r="A226" t="s">
        <v>68</v>
      </c>
      <c r="B226" t="s">
        <v>70</v>
      </c>
      <c r="C226">
        <v>9</v>
      </c>
      <c r="D226" t="s">
        <v>138</v>
      </c>
      <c r="E226" t="s">
        <v>134</v>
      </c>
      <c r="F226" t="s">
        <v>102</v>
      </c>
      <c r="G226">
        <v>7.6592599724896404E-2</v>
      </c>
      <c r="H226">
        <v>0</v>
      </c>
      <c r="I22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30</v>
      </c>
      <c r="K226" s="5" cm="1">
        <f t="array" ref="K226">IFERROR(AVERAGE(IF((OutputTable[GroupByKey]=OutputTable[[#This Row],[GroupByKey]]),(OutputTable[GroupByKey]=OutputTable[[#This Row],[GroupByKey]])*OutputTable[RecordedValue])),0)</f>
        <v>8.2588852761398115E-2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1.3130964022328008E-2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226" s="5" cm="1">
        <f t="array" ref="O226">MIN(IF((OutputTable[GroupByKey]=OutputTable[[#This Row],[GroupByKey]]),(OutputTable[GroupByKey]=OutputTable[[#This Row],[GroupByKey]])*OutputTable[RecordedValue]))</f>
        <v>5.3757894868807901E-2</v>
      </c>
      <c r="P226" s="5" cm="1">
        <f t="array" ref="P226">MAX(IF((OutputTable[GroupByKey]=OutputTable[[#This Row],[GroupByKey]]),(OutputTable[GroupByKey]=OutputTable[[#This Row],[GroupByKey]])*OutputTable[RecordedValue]))</f>
        <v>0.103175045984152</v>
      </c>
    </row>
    <row r="227" spans="1:16" x14ac:dyDescent="0.25">
      <c r="A227" t="s">
        <v>68</v>
      </c>
      <c r="B227" t="s">
        <v>70</v>
      </c>
      <c r="C227">
        <v>10</v>
      </c>
      <c r="D227" t="s">
        <v>107</v>
      </c>
      <c r="E227" t="s">
        <v>108</v>
      </c>
      <c r="F227" t="s">
        <v>73</v>
      </c>
      <c r="G227">
        <v>123</v>
      </c>
      <c r="H227">
        <v>0</v>
      </c>
      <c r="I227" s="5" t="str">
        <f>OutputTable[[#This Row],[ProjectName]]&amp;OutputTable[[#This Row],[Name]]&amp;OutputTable[[#This Row],[Type]]&amp;OutputTable[[#This Row],[Source]]</f>
        <v>Pedido CleintesClientes.NumberInNumber InEntity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30</v>
      </c>
      <c r="K227" s="5" cm="1">
        <f t="array" ref="K227">IFERROR(AVERAGE(IF((OutputTable[GroupByKey]=OutputTable[[#This Row],[GroupByKey]]),(OutputTable[GroupByKey]=OutputTable[[#This Row],[GroupByKey]])*OutputTable[RecordedValue])),0)</f>
        <v>118.5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18.009097317936192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227" s="5" cm="1">
        <f t="array" ref="O227">MIN(IF((OutputTable[GroupByKey]=OutputTable[[#This Row],[GroupByKey]]),(OutputTable[GroupByKey]=OutputTable[[#This Row],[GroupByKey]])*OutputTable[RecordedValue]))</f>
        <v>78</v>
      </c>
      <c r="P227" s="5" cm="1">
        <f t="array" ref="P227">MAX(IF((OutputTable[GroupByKey]=OutputTable[[#This Row],[GroupByKey]]),(OutputTable[GroupByKey]=OutputTable[[#This Row],[GroupByKey]])*OutputTable[RecordedValue]))</f>
        <v>147</v>
      </c>
    </row>
    <row r="228" spans="1:16" x14ac:dyDescent="0.25">
      <c r="A228" t="s">
        <v>68</v>
      </c>
      <c r="B228" t="s">
        <v>70</v>
      </c>
      <c r="C228">
        <v>10</v>
      </c>
      <c r="D228" t="s">
        <v>109</v>
      </c>
      <c r="E228" t="s">
        <v>110</v>
      </c>
      <c r="F228" t="s">
        <v>73</v>
      </c>
      <c r="G228">
        <v>123</v>
      </c>
      <c r="H228">
        <v>0</v>
      </c>
      <c r="I228" s="5" t="str">
        <f>OutputTable[[#This Row],[ProjectName]]&amp;OutputTable[[#This Row],[Name]]&amp;OutputTable[[#This Row],[Type]]&amp;OutputTable[[#This Row],[Source]]</f>
        <v>Pedido CleintesClientes.NumberOutNumber OutEntity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30</v>
      </c>
      <c r="K228" s="5" cm="1">
        <f t="array" ref="K228">IFERROR(AVERAGE(IF((OutputTable[GroupByKey]=OutputTable[[#This Row],[GroupByKey]]),(OutputTable[GroupByKey]=OutputTable[[#This Row],[GroupByKey]])*OutputTable[RecordedValue])),0)</f>
        <v>116.6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18.252255410940514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228" s="5" cm="1">
        <f t="array" ref="O228">MIN(IF((OutputTable[GroupByKey]=OutputTable[[#This Row],[GroupByKey]]),(OutputTable[GroupByKey]=OutputTable[[#This Row],[GroupByKey]])*OutputTable[RecordedValue]))</f>
        <v>72</v>
      </c>
      <c r="P228" s="5" cm="1">
        <f t="array" ref="P228">MAX(IF((OutputTable[GroupByKey]=OutputTable[[#This Row],[GroupByKey]]),(OutputTable[GroupByKey]=OutputTable[[#This Row],[GroupByKey]])*OutputTable[RecordedValue]))</f>
        <v>147</v>
      </c>
    </row>
    <row r="229" spans="1:16" x14ac:dyDescent="0.25">
      <c r="A229" t="s">
        <v>68</v>
      </c>
      <c r="B229" t="s">
        <v>70</v>
      </c>
      <c r="C229">
        <v>10</v>
      </c>
      <c r="D229" t="s">
        <v>111</v>
      </c>
      <c r="E229" t="s">
        <v>112</v>
      </c>
      <c r="F229" t="s">
        <v>81</v>
      </c>
      <c r="G229">
        <v>19.088426004147902</v>
      </c>
      <c r="H229">
        <v>0</v>
      </c>
      <c r="I22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30</v>
      </c>
      <c r="K229" s="5" cm="1">
        <f t="array" ref="K229">IFERROR(AVERAGE(IF((OutputTable[GroupByKey]=OutputTable[[#This Row],[GroupByKey]]),(OutputTable[GroupByKey]=OutputTable[[#This Row],[GroupByKey]])*OutputTable[RecordedValue])),0)</f>
        <v>19.806808580201274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3.1624794742170024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229" s="5" cm="1">
        <f t="array" ref="O229">MIN(IF((OutputTable[GroupByKey]=OutputTable[[#This Row],[GroupByKey]]),(OutputTable[GroupByKey]=OutputTable[[#This Row],[GroupByKey]])*OutputTable[RecordedValue]))</f>
        <v>12.812268330404599</v>
      </c>
      <c r="P229" s="5" cm="1">
        <f t="array" ref="P229">MAX(IF((OutputTable[GroupByKey]=OutputTable[[#This Row],[GroupByKey]]),(OutputTable[GroupByKey]=OutputTable[[#This Row],[GroupByKey]])*OutputTable[RecordedValue]))</f>
        <v>24.762011036196501</v>
      </c>
    </row>
    <row r="230" spans="1:16" x14ac:dyDescent="0.25">
      <c r="A230" t="s">
        <v>68</v>
      </c>
      <c r="B230" t="s">
        <v>70</v>
      </c>
      <c r="C230">
        <v>10</v>
      </c>
      <c r="D230" t="s">
        <v>113</v>
      </c>
      <c r="E230" t="s">
        <v>114</v>
      </c>
      <c r="F230" t="s">
        <v>81</v>
      </c>
      <c r="G230">
        <v>0</v>
      </c>
      <c r="H230">
        <v>0</v>
      </c>
      <c r="I23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30</v>
      </c>
      <c r="K230" s="5" cm="1">
        <f t="array" ref="K230">IFERROR(AVERAGE(IF((OutputTable[GroupByKey]=OutputTable[[#This Row],[GroupByKey]]),(OutputTable[GroupByKey]=OutputTable[[#This Row],[GroupByKey]])*OutputTable[RecordedValue])),0)</f>
        <v>0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0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" s="5" cm="1">
        <f t="array" ref="O230">MIN(IF((OutputTable[GroupByKey]=OutputTable[[#This Row],[GroupByKey]]),(OutputTable[GroupByKey]=OutputTable[[#This Row],[GroupByKey]])*OutputTable[RecordedValue]))</f>
        <v>0</v>
      </c>
      <c r="P230" s="5" cm="1">
        <f t="array" ref="P230">MAX(IF((OutputTable[GroupByKey]=OutputTable[[#This Row],[GroupByKey]]),(OutputTable[GroupByKey]=OutputTable[[#This Row],[GroupByKey]])*OutputTable[RecordedValue]))</f>
        <v>0</v>
      </c>
    </row>
    <row r="231" spans="1:16" x14ac:dyDescent="0.25">
      <c r="A231" t="s">
        <v>68</v>
      </c>
      <c r="B231" t="s">
        <v>70</v>
      </c>
      <c r="C231">
        <v>10</v>
      </c>
      <c r="D231" t="s">
        <v>115</v>
      </c>
      <c r="E231" t="s">
        <v>108</v>
      </c>
      <c r="F231" t="s">
        <v>81</v>
      </c>
      <c r="G231">
        <v>41</v>
      </c>
      <c r="H231">
        <v>0</v>
      </c>
      <c r="I23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30</v>
      </c>
      <c r="K231" s="5" cm="1">
        <f t="array" ref="K231">IFERROR(AVERAGE(IF((OutputTable[GroupByKey]=OutputTable[[#This Row],[GroupByKey]]),(OutputTable[GroupByKey]=OutputTable[[#This Row],[GroupByKey]])*OutputTable[RecordedValue])),0)</f>
        <v>38.93333333333333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5.9765826548191505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31" s="5" cm="1">
        <f t="array" ref="O231">MIN(IF((OutputTable[GroupByKey]=OutputTable[[#This Row],[GroupByKey]]),(OutputTable[GroupByKey]=OutputTable[[#This Row],[GroupByKey]])*OutputTable[RecordedValue]))</f>
        <v>25</v>
      </c>
      <c r="P231" s="5" cm="1">
        <f t="array" ref="P231">MAX(IF((OutputTable[GroupByKey]=OutputTable[[#This Row],[GroupByKey]]),(OutputTable[GroupByKey]=OutputTable[[#This Row],[GroupByKey]])*OutputTable[RecordedValue]))</f>
        <v>49</v>
      </c>
    </row>
    <row r="232" spans="1:16" x14ac:dyDescent="0.25">
      <c r="A232" t="s">
        <v>68</v>
      </c>
      <c r="B232" t="s">
        <v>70</v>
      </c>
      <c r="C232">
        <v>10</v>
      </c>
      <c r="D232" t="s">
        <v>116</v>
      </c>
      <c r="E232" t="s">
        <v>110</v>
      </c>
      <c r="F232" t="s">
        <v>81</v>
      </c>
      <c r="G232">
        <v>41</v>
      </c>
      <c r="H232">
        <v>0</v>
      </c>
      <c r="I2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30</v>
      </c>
      <c r="K232" s="5" cm="1">
        <f t="array" ref="K232">IFERROR(AVERAGE(IF((OutputTable[GroupByKey]=OutputTable[[#This Row],[GroupByKey]]),(OutputTable[GroupByKey]=OutputTable[[#This Row],[GroupByKey]])*OutputTable[RecordedValue])),0)</f>
        <v>38.866666666666667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6.0840851369801694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32" s="5" cm="1">
        <f t="array" ref="O232">MIN(IF((OutputTable[GroupByKey]=OutputTable[[#This Row],[GroupByKey]]),(OutputTable[GroupByKey]=OutputTable[[#This Row],[GroupByKey]])*OutputTable[RecordedValue]))</f>
        <v>24</v>
      </c>
      <c r="P232" s="5" cm="1">
        <f t="array" ref="P232">MAX(IF((OutputTable[GroupByKey]=OutputTable[[#This Row],[GroupByKey]]),(OutputTable[GroupByKey]=OutputTable[[#This Row],[GroupByKey]])*OutputTable[RecordedValue]))</f>
        <v>49</v>
      </c>
    </row>
    <row r="233" spans="1:16" x14ac:dyDescent="0.25">
      <c r="A233" t="s">
        <v>68</v>
      </c>
      <c r="B233" t="s">
        <v>70</v>
      </c>
      <c r="C233">
        <v>10</v>
      </c>
      <c r="D233" t="s">
        <v>117</v>
      </c>
      <c r="E233" t="s">
        <v>112</v>
      </c>
      <c r="F233" t="s">
        <v>81</v>
      </c>
      <c r="G233">
        <v>41.603219306191001</v>
      </c>
      <c r="H233">
        <v>0</v>
      </c>
      <c r="I233" s="5" t="str">
        <f>OutputTable[[#This Row],[ProjectName]]&amp;OutputTable[[#This Row],[Name]]&amp;OutputTable[[#This Row],[Type]]&amp;OutputTable[[#This Row],[Source]]</f>
        <v>Pedido CleintesOrdnes Accum VA TimeAccum VA TimeProcess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30</v>
      </c>
      <c r="K233" s="5" cm="1">
        <f t="array" ref="K233">IFERROR(AVERAGE(IF((OutputTable[GroupByKey]=OutputTable[[#This Row],[GroupByKey]]),(OutputTable[GroupByKey]=OutputTable[[#This Row],[GroupByKey]])*OutputTable[RecordedValue])),0)</f>
        <v>39.878126992056487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6.1068580319474277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233" s="5" cm="1">
        <f t="array" ref="O233">MIN(IF((OutputTable[GroupByKey]=OutputTable[[#This Row],[GroupByKey]]),(OutputTable[GroupByKey]=OutputTable[[#This Row],[GroupByKey]])*OutputTable[RecordedValue]))</f>
        <v>26.106281767804099</v>
      </c>
      <c r="P233" s="5" cm="1">
        <f t="array" ref="P233">MAX(IF((OutputTable[GroupByKey]=OutputTable[[#This Row],[GroupByKey]]),(OutputTable[GroupByKey]=OutputTable[[#This Row],[GroupByKey]])*OutputTable[RecordedValue]))</f>
        <v>48.706388790541098</v>
      </c>
    </row>
    <row r="234" spans="1:16" x14ac:dyDescent="0.25">
      <c r="A234" t="s">
        <v>68</v>
      </c>
      <c r="B234" t="s">
        <v>70</v>
      </c>
      <c r="C234">
        <v>10</v>
      </c>
      <c r="D234" t="s">
        <v>118</v>
      </c>
      <c r="E234" t="s">
        <v>114</v>
      </c>
      <c r="F234" t="s">
        <v>81</v>
      </c>
      <c r="G234">
        <v>3.51014972769392</v>
      </c>
      <c r="H234">
        <v>0</v>
      </c>
      <c r="I2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30</v>
      </c>
      <c r="K234" s="5" cm="1">
        <f t="array" ref="K234">IFERROR(AVERAGE(IF((OutputTable[GroupByKey]=OutputTable[[#This Row],[GroupByKey]]),(OutputTable[GroupByKey]=OutputTable[[#This Row],[GroupByKey]])*OutputTable[RecordedValue])),0)</f>
        <v>7.9804799821754404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4.8950382198155014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234" s="5" cm="1">
        <f t="array" ref="O234">MIN(IF((OutputTable[GroupByKey]=OutputTable[[#This Row],[GroupByKey]]),(OutputTable[GroupByKey]=OutputTable[[#This Row],[GroupByKey]])*OutputTable[RecordedValue]))</f>
        <v>0</v>
      </c>
      <c r="P234" s="5" cm="1">
        <f t="array" ref="P234">MAX(IF((OutputTable[GroupByKey]=OutputTable[[#This Row],[GroupByKey]]),(OutputTable[GroupByKey]=OutputTable[[#This Row],[GroupByKey]])*OutputTable[RecordedValue]))</f>
        <v>18.843855117811401</v>
      </c>
    </row>
    <row r="235" spans="1:16" x14ac:dyDescent="0.25">
      <c r="A235" t="s">
        <v>68</v>
      </c>
      <c r="B235" t="s">
        <v>70</v>
      </c>
      <c r="C235">
        <v>10</v>
      </c>
      <c r="D235" t="s">
        <v>119</v>
      </c>
      <c r="E235" t="s">
        <v>108</v>
      </c>
      <c r="F235" t="s">
        <v>81</v>
      </c>
      <c r="G235">
        <v>41</v>
      </c>
      <c r="H235">
        <v>0</v>
      </c>
      <c r="I235" s="5" t="str">
        <f>OutputTable[[#This Row],[ProjectName]]&amp;OutputTable[[#This Row],[Name]]&amp;OutputTable[[#This Row],[Type]]&amp;OutputTable[[#This Row],[Source]]</f>
        <v>Pedido CleintesOrdnes Number InNumber InProcess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30</v>
      </c>
      <c r="K235" s="5" cm="1">
        <f t="array" ref="K235">IFERROR(AVERAGE(IF((OutputTable[GroupByKey]=OutputTable[[#This Row],[GroupByKey]]),(OutputTable[GroupByKey]=OutputTable[[#This Row],[GroupByKey]])*OutputTable[RecordedValue])),0)</f>
        <v>39.9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6.0648791101463475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235" s="5" cm="1">
        <f t="array" ref="O235">MIN(IF((OutputTable[GroupByKey]=OutputTable[[#This Row],[GroupByKey]]),(OutputTable[GroupByKey]=OutputTable[[#This Row],[GroupByKey]])*OutputTable[RecordedValue]))</f>
        <v>27</v>
      </c>
      <c r="P235" s="5" cm="1">
        <f t="array" ref="P235">MAX(IF((OutputTable[GroupByKey]=OutputTable[[#This Row],[GroupByKey]]),(OutputTable[GroupByKey]=OutputTable[[#This Row],[GroupByKey]])*OutputTable[RecordedValue]))</f>
        <v>49</v>
      </c>
    </row>
    <row r="236" spans="1:16" x14ac:dyDescent="0.25">
      <c r="A236" t="s">
        <v>68</v>
      </c>
      <c r="B236" t="s">
        <v>70</v>
      </c>
      <c r="C236">
        <v>10</v>
      </c>
      <c r="D236" t="s">
        <v>120</v>
      </c>
      <c r="E236" t="s">
        <v>110</v>
      </c>
      <c r="F236" t="s">
        <v>81</v>
      </c>
      <c r="G236">
        <v>41</v>
      </c>
      <c r="H236">
        <v>0</v>
      </c>
      <c r="I236" s="5" t="str">
        <f>OutputTable[[#This Row],[ProjectName]]&amp;OutputTable[[#This Row],[Name]]&amp;OutputTable[[#This Row],[Type]]&amp;OutputTable[[#This Row],[Source]]</f>
        <v>Pedido CleintesOrdnes Number OutNumber OutProcess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30</v>
      </c>
      <c r="K236" s="5" cm="1">
        <f t="array" ref="K236">IFERROR(AVERAGE(IF((OutputTable[GroupByKey]=OutputTable[[#This Row],[GroupByKey]]),(OutputTable[GroupByKey]=OutputTable[[#This Row],[GroupByKey]])*OutputTable[RecordedValue])),0)</f>
        <v>39.666666666666664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6.0477030882540914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36" s="5" cm="1">
        <f t="array" ref="O236">MIN(IF((OutputTable[GroupByKey]=OutputTable[[#This Row],[GroupByKey]]),(OutputTable[GroupByKey]=OutputTable[[#This Row],[GroupByKey]])*OutputTable[RecordedValue]))</f>
        <v>26</v>
      </c>
      <c r="P236" s="5" cm="1">
        <f t="array" ref="P236">MAX(IF((OutputTable[GroupByKey]=OutputTable[[#This Row],[GroupByKey]]),(OutputTable[GroupByKey]=OutputTable[[#This Row],[GroupByKey]])*OutputTable[RecordedValue]))</f>
        <v>49</v>
      </c>
    </row>
    <row r="237" spans="1:16" x14ac:dyDescent="0.25">
      <c r="A237" t="s">
        <v>68</v>
      </c>
      <c r="B237" t="s">
        <v>70</v>
      </c>
      <c r="C237">
        <v>10</v>
      </c>
      <c r="D237" t="s">
        <v>121</v>
      </c>
      <c r="E237" t="s">
        <v>112</v>
      </c>
      <c r="F237" t="s">
        <v>81</v>
      </c>
      <c r="G237">
        <v>30.677742316519101</v>
      </c>
      <c r="H237">
        <v>0</v>
      </c>
      <c r="I237" s="5" t="str">
        <f>OutputTable[[#This Row],[ProjectName]]&amp;OutputTable[[#This Row],[Name]]&amp;OutputTable[[#This Row],[Type]]&amp;OutputTable[[#This Row],[Source]]</f>
        <v>Pedido CleintesPago Accum VA TimeAccum VA TimeProcess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30</v>
      </c>
      <c r="K237" s="5" cm="1">
        <f t="array" ref="K237">IFERROR(AVERAGE(IF((OutputTable[GroupByKey]=OutputTable[[#This Row],[GroupByKey]]),(OutputTable[GroupByKey]=OutputTable[[#This Row],[GroupByKey]])*OutputTable[RecordedValue])),0)</f>
        <v>29.486262713858675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4.747176664010901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237" s="5" cm="1">
        <f t="array" ref="O237">MIN(IF((OutputTable[GroupByKey]=OutputTable[[#This Row],[GroupByKey]]),(OutputTable[GroupByKey]=OutputTable[[#This Row],[GroupByKey]])*OutputTable[RecordedValue]))</f>
        <v>19.573210250889101</v>
      </c>
      <c r="P237" s="5" cm="1">
        <f t="array" ref="P237">MAX(IF((OutputTable[GroupByKey]=OutputTable[[#This Row],[GroupByKey]]),(OutputTable[GroupByKey]=OutputTable[[#This Row],[GroupByKey]])*OutputTable[RecordedValue]))</f>
        <v>37.056974462114901</v>
      </c>
    </row>
    <row r="238" spans="1:16" x14ac:dyDescent="0.25">
      <c r="A238" t="s">
        <v>68</v>
      </c>
      <c r="B238" t="s">
        <v>70</v>
      </c>
      <c r="C238">
        <v>10</v>
      </c>
      <c r="D238" t="s">
        <v>122</v>
      </c>
      <c r="E238" t="s">
        <v>114</v>
      </c>
      <c r="F238" t="s">
        <v>81</v>
      </c>
      <c r="G238">
        <v>9.9430073446916794</v>
      </c>
      <c r="H238">
        <v>0</v>
      </c>
      <c r="I2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30</v>
      </c>
      <c r="K238" s="5" cm="1">
        <f t="array" ref="K238">IFERROR(AVERAGE(IF((OutputTable[GroupByKey]=OutputTable[[#This Row],[GroupByKey]]),(OutputTable[GroupByKey]=OutputTable[[#This Row],[GroupByKey]])*OutputTable[RecordedValue])),0)</f>
        <v>13.025761997568024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7.8467935605388783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238" s="5" cm="1">
        <f t="array" ref="O238">MIN(IF((OutputTable[GroupByKey]=OutputTable[[#This Row],[GroupByKey]]),(OutputTable[GroupByKey]=OutputTable[[#This Row],[GroupByKey]])*OutputTable[RecordedValue]))</f>
        <v>0</v>
      </c>
      <c r="P238" s="5" cm="1">
        <f t="array" ref="P238">MAX(IF((OutputTable[GroupByKey]=OutputTable[[#This Row],[GroupByKey]]),(OutputTable[GroupByKey]=OutputTable[[#This Row],[GroupByKey]])*OutputTable[RecordedValue]))</f>
        <v>32.770863925850499</v>
      </c>
    </row>
    <row r="239" spans="1:16" x14ac:dyDescent="0.25">
      <c r="A239" t="s">
        <v>68</v>
      </c>
      <c r="B239" t="s">
        <v>70</v>
      </c>
      <c r="C239">
        <v>10</v>
      </c>
      <c r="D239" t="s">
        <v>123</v>
      </c>
      <c r="E239" t="s">
        <v>108</v>
      </c>
      <c r="F239" t="s">
        <v>81</v>
      </c>
      <c r="G239">
        <v>41</v>
      </c>
      <c r="H239">
        <v>0</v>
      </c>
      <c r="I239" s="5" t="str">
        <f>OutputTable[[#This Row],[ProjectName]]&amp;OutputTable[[#This Row],[Name]]&amp;OutputTable[[#This Row],[Type]]&amp;OutputTable[[#This Row],[Source]]</f>
        <v>Pedido CleintesPago Number InNumber InProcess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30</v>
      </c>
      <c r="K239" s="5" cm="1">
        <f t="array" ref="K239">IFERROR(AVERAGE(IF((OutputTable[GroupByKey]=OutputTable[[#This Row],[GroupByKey]]),(OutputTable[GroupByKey]=OutputTable[[#This Row],[GroupByKey]])*OutputTable[RecordedValue])),0)</f>
        <v>39.666666666666664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6.0477030882540914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39" s="5" cm="1">
        <f t="array" ref="O239">MIN(IF((OutputTable[GroupByKey]=OutputTable[[#This Row],[GroupByKey]]),(OutputTable[GroupByKey]=OutputTable[[#This Row],[GroupByKey]])*OutputTable[RecordedValue]))</f>
        <v>26</v>
      </c>
      <c r="P239" s="5" cm="1">
        <f t="array" ref="P239">MAX(IF((OutputTable[GroupByKey]=OutputTable[[#This Row],[GroupByKey]]),(OutputTable[GroupByKey]=OutputTable[[#This Row],[GroupByKey]])*OutputTable[RecordedValue]))</f>
        <v>49</v>
      </c>
    </row>
    <row r="240" spans="1:16" x14ac:dyDescent="0.25">
      <c r="A240" t="s">
        <v>68</v>
      </c>
      <c r="B240" t="s">
        <v>70</v>
      </c>
      <c r="C240">
        <v>10</v>
      </c>
      <c r="D240" t="s">
        <v>124</v>
      </c>
      <c r="E240" t="s">
        <v>110</v>
      </c>
      <c r="F240" t="s">
        <v>81</v>
      </c>
      <c r="G240">
        <v>41</v>
      </c>
      <c r="H240">
        <v>0</v>
      </c>
      <c r="I240" s="5" t="str">
        <f>OutputTable[[#This Row],[ProjectName]]&amp;OutputTable[[#This Row],[Name]]&amp;OutputTable[[#This Row],[Type]]&amp;OutputTable[[#This Row],[Source]]</f>
        <v>Pedido CleintesPago Number OutNumber OutProcess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30</v>
      </c>
      <c r="K240" s="5" cm="1">
        <f t="array" ref="K240">IFERROR(AVERAGE(IF((OutputTable[GroupByKey]=OutputTable[[#This Row],[GroupByKey]]),(OutputTable[GroupByKey]=OutputTable[[#This Row],[GroupByKey]])*OutputTable[RecordedValue])),0)</f>
        <v>39.43333333333333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5.9171482724502509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240" s="5" cm="1">
        <f t="array" ref="O240">MIN(IF((OutputTable[GroupByKey]=OutputTable[[#This Row],[GroupByKey]]),(OutputTable[GroupByKey]=OutputTable[[#This Row],[GroupByKey]])*OutputTable[RecordedValue]))</f>
        <v>26</v>
      </c>
      <c r="P240" s="5" cm="1">
        <f t="array" ref="P240">MAX(IF((OutputTable[GroupByKey]=OutputTable[[#This Row],[GroupByKey]]),(OutputTable[GroupByKey]=OutputTable[[#This Row],[GroupByKey]])*OutputTable[RecordedValue]))</f>
        <v>49</v>
      </c>
    </row>
    <row r="241" spans="1:16" x14ac:dyDescent="0.25">
      <c r="A241" t="s">
        <v>68</v>
      </c>
      <c r="B241" t="s">
        <v>70</v>
      </c>
      <c r="C241">
        <v>10</v>
      </c>
      <c r="D241" t="s">
        <v>125</v>
      </c>
      <c r="E241" t="s">
        <v>112</v>
      </c>
      <c r="F241" t="s">
        <v>81</v>
      </c>
      <c r="G241">
        <v>120.93665162266601</v>
      </c>
      <c r="H241">
        <v>0</v>
      </c>
      <c r="I2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30</v>
      </c>
      <c r="K241" s="5" cm="1">
        <f t="array" ref="K241">IFERROR(AVERAGE(IF((OutputTable[GroupByKey]=OutputTable[[#This Row],[GroupByKey]]),(OutputTable[GroupByKey]=OutputTable[[#This Row],[GroupByKey]])*OutputTable[RecordedValue])),0)</f>
        <v>116.64263458387505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17.825477946659205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241" s="5" cm="1">
        <f t="array" ref="O241">MIN(IF((OutputTable[GroupByKey]=OutputTable[[#This Row],[GroupByKey]]),(OutputTable[GroupByKey]=OutputTable[[#This Row],[GroupByKey]])*OutputTable[RecordedValue]))</f>
        <v>74.976560761710004</v>
      </c>
      <c r="P241" s="5" cm="1">
        <f t="array" ref="P241">MAX(IF((OutputTable[GroupByKey]=OutputTable[[#This Row],[GroupByKey]]),(OutputTable[GroupByKey]=OutputTable[[#This Row],[GroupByKey]])*OutputTable[RecordedValue]))</f>
        <v>145.504156763596</v>
      </c>
    </row>
    <row r="242" spans="1:16" x14ac:dyDescent="0.25">
      <c r="A242" t="s">
        <v>68</v>
      </c>
      <c r="B242" t="s">
        <v>70</v>
      </c>
      <c r="C242">
        <v>10</v>
      </c>
      <c r="D242" t="s">
        <v>126</v>
      </c>
      <c r="E242" t="s">
        <v>114</v>
      </c>
      <c r="F242" t="s">
        <v>81</v>
      </c>
      <c r="G242">
        <v>22.360849398634802</v>
      </c>
      <c r="H242">
        <v>0</v>
      </c>
      <c r="I2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30</v>
      </c>
      <c r="K242" s="5" cm="1">
        <f t="array" ref="K242">IFERROR(AVERAGE(IF((OutputTable[GroupByKey]=OutputTable[[#This Row],[GroupByKey]]),(OutputTable[GroupByKey]=OutputTable[[#This Row],[GroupByKey]])*OutputTable[RecordedValue])),0)</f>
        <v>39.900972800228722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22.922906975864144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242" s="5" cm="1">
        <f t="array" ref="O242">MIN(IF((OutputTable[GroupByKey]=OutputTable[[#This Row],[GroupByKey]]),(OutputTable[GroupByKey]=OutputTable[[#This Row],[GroupByKey]])*OutputTable[RecordedValue]))</f>
        <v>2.1708788192608899</v>
      </c>
      <c r="P242" s="5" cm="1">
        <f t="array" ref="P242">MAX(IF((OutputTable[GroupByKey]=OutputTable[[#This Row],[GroupByKey]]),(OutputTable[GroupByKey]=OutputTable[[#This Row],[GroupByKey]])*OutputTable[RecordedValue]))</f>
        <v>94.9142929398908</v>
      </c>
    </row>
    <row r="243" spans="1:16" x14ac:dyDescent="0.25">
      <c r="A243" t="s">
        <v>68</v>
      </c>
      <c r="B243" t="s">
        <v>70</v>
      </c>
      <c r="C243">
        <v>10</v>
      </c>
      <c r="D243" t="s">
        <v>127</v>
      </c>
      <c r="E243" t="s">
        <v>108</v>
      </c>
      <c r="F243" t="s">
        <v>81</v>
      </c>
      <c r="G243">
        <v>41</v>
      </c>
      <c r="H243">
        <v>0</v>
      </c>
      <c r="I243" s="5" t="str">
        <f>OutputTable[[#This Row],[ProjectName]]&amp;OutputTable[[#This Row],[Name]]&amp;OutputTable[[#This Row],[Type]]&amp;OutputTable[[#This Row],[Source]]</f>
        <v>Pedido CleintesPreparar orden Number InNumber InProcess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30</v>
      </c>
      <c r="K243" s="5" cm="1">
        <f t="array" ref="K243">IFERROR(AVERAGE(IF((OutputTable[GroupByKey]=OutputTable[[#This Row],[GroupByKey]]),(OutputTable[GroupByKey]=OutputTable[[#This Row],[GroupByKey]])*OutputTable[RecordedValue])),0)</f>
        <v>39.666666666666664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6.0477030882540914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43" s="5" cm="1">
        <f t="array" ref="O243">MIN(IF((OutputTable[GroupByKey]=OutputTable[[#This Row],[GroupByKey]]),(OutputTable[GroupByKey]=OutputTable[[#This Row],[GroupByKey]])*OutputTable[RecordedValue]))</f>
        <v>26</v>
      </c>
      <c r="P243" s="5" cm="1">
        <f t="array" ref="P243">MAX(IF((OutputTable[GroupByKey]=OutputTable[[#This Row],[GroupByKey]]),(OutputTable[GroupByKey]=OutputTable[[#This Row],[GroupByKey]])*OutputTable[RecordedValue]))</f>
        <v>49</v>
      </c>
    </row>
    <row r="244" spans="1:16" x14ac:dyDescent="0.25">
      <c r="A244" t="s">
        <v>68</v>
      </c>
      <c r="B244" t="s">
        <v>70</v>
      </c>
      <c r="C244">
        <v>10</v>
      </c>
      <c r="D244" t="s">
        <v>128</v>
      </c>
      <c r="E244" t="s">
        <v>110</v>
      </c>
      <c r="F244" t="s">
        <v>81</v>
      </c>
      <c r="G244">
        <v>41</v>
      </c>
      <c r="H244">
        <v>0</v>
      </c>
      <c r="I2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30</v>
      </c>
      <c r="K244" s="5" cm="1">
        <f t="array" ref="K244">IFERROR(AVERAGE(IF((OutputTable[GroupByKey]=OutputTable[[#This Row],[GroupByKey]]),(OutputTable[GroupByKey]=OutputTable[[#This Row],[GroupByKey]])*OutputTable[RecordedValue])),0)</f>
        <v>38.93333333333333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5.9765826548191505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44" s="5" cm="1">
        <f t="array" ref="O244">MIN(IF((OutputTable[GroupByKey]=OutputTable[[#This Row],[GroupByKey]]),(OutputTable[GroupByKey]=OutputTable[[#This Row],[GroupByKey]])*OutputTable[RecordedValue]))</f>
        <v>25</v>
      </c>
      <c r="P244" s="5" cm="1">
        <f t="array" ref="P244">MAX(IF((OutputTable[GroupByKey]=OutputTable[[#This Row],[GroupByKey]]),(OutputTable[GroupByKey]=OutputTable[[#This Row],[GroupByKey]])*OutputTable[RecordedValue]))</f>
        <v>49</v>
      </c>
    </row>
    <row r="245" spans="1:16" x14ac:dyDescent="0.25">
      <c r="A245" t="s">
        <v>68</v>
      </c>
      <c r="B245" t="s">
        <v>70</v>
      </c>
      <c r="C245">
        <v>10</v>
      </c>
      <c r="D245" t="s">
        <v>129</v>
      </c>
      <c r="E245" t="s">
        <v>110</v>
      </c>
      <c r="F245" t="s">
        <v>130</v>
      </c>
      <c r="G245">
        <v>41</v>
      </c>
      <c r="H245">
        <v>0</v>
      </c>
      <c r="I245" s="5" t="str">
        <f>OutputTable[[#This Row],[ProjectName]]&amp;OutputTable[[#This Row],[Name]]&amp;OutputTable[[#This Row],[Type]]&amp;OutputTable[[#This Row],[Source]]</f>
        <v>Pedido CleintesSystem.NumberOutNumber OutSystem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30</v>
      </c>
      <c r="K245" s="5" cm="1">
        <f t="array" ref="K245">IFERROR(AVERAGE(IF((OutputTable[GroupByKey]=OutputTable[[#This Row],[GroupByKey]]),(OutputTable[GroupByKey]=OutputTable[[#This Row],[GroupByKey]])*OutputTable[RecordedValue])),0)</f>
        <v>38.866666666666667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6.0840851369801694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45" s="5" cm="1">
        <f t="array" ref="O245">MIN(IF((OutputTable[GroupByKey]=OutputTable[[#This Row],[GroupByKey]]),(OutputTable[GroupByKey]=OutputTable[[#This Row],[GroupByKey]])*OutputTable[RecordedValue]))</f>
        <v>24</v>
      </c>
      <c r="P245" s="5" cm="1">
        <f t="array" ref="P245">MAX(IF((OutputTable[GroupByKey]=OutputTable[[#This Row],[GroupByKey]]),(OutputTable[GroupByKey]=OutputTable[[#This Row],[GroupByKey]])*OutputTable[RecordedValue]))</f>
        <v>49</v>
      </c>
    </row>
    <row r="246" spans="1:16" x14ac:dyDescent="0.25">
      <c r="A246" t="s">
        <v>68</v>
      </c>
      <c r="B246" t="s">
        <v>70</v>
      </c>
      <c r="C246">
        <v>10</v>
      </c>
      <c r="D246" t="s">
        <v>131</v>
      </c>
      <c r="E246" t="s">
        <v>132</v>
      </c>
      <c r="F246" t="s">
        <v>102</v>
      </c>
      <c r="G246">
        <v>41</v>
      </c>
      <c r="H246">
        <v>0</v>
      </c>
      <c r="I2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30</v>
      </c>
      <c r="K246" s="5" cm="1">
        <f t="array" ref="K246">IFERROR(AVERAGE(IF((OutputTable[GroupByKey]=OutputTable[[#This Row],[GroupByKey]]),(OutputTable[GroupByKey]=OutputTable[[#This Row],[GroupByKey]])*OutputTable[RecordedValue])),0)</f>
        <v>39.4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5.8757244601014422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246" s="5" cm="1">
        <f t="array" ref="O246">MIN(IF((OutputTable[GroupByKey]=OutputTable[[#This Row],[GroupByKey]]),(OutputTable[GroupByKey]=OutputTable[[#This Row],[GroupByKey]])*OutputTable[RecordedValue]))</f>
        <v>26</v>
      </c>
      <c r="P246" s="5" cm="1">
        <f t="array" ref="P246">MAX(IF((OutputTable[GroupByKey]=OutputTable[[#This Row],[GroupByKey]]),(OutputTable[GroupByKey]=OutputTable[[#This Row],[GroupByKey]])*OutputTable[RecordedValue]))</f>
        <v>49</v>
      </c>
    </row>
    <row r="247" spans="1:16" x14ac:dyDescent="0.25">
      <c r="A247" t="s">
        <v>68</v>
      </c>
      <c r="B247" t="s">
        <v>70</v>
      </c>
      <c r="C247">
        <v>10</v>
      </c>
      <c r="D247" t="s">
        <v>133</v>
      </c>
      <c r="E247" t="s">
        <v>134</v>
      </c>
      <c r="F247" t="s">
        <v>102</v>
      </c>
      <c r="G247">
        <v>0.50390271509443996</v>
      </c>
      <c r="H247">
        <v>0</v>
      </c>
      <c r="I2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30</v>
      </c>
      <c r="K247" s="5" cm="1">
        <f t="array" ref="K247">IFERROR(AVERAGE(IF((OutputTable[GroupByKey]=OutputTable[[#This Row],[GroupByKey]]),(OutputTable[GroupByKey]=OutputTable[[#This Row],[GroupByKey]])*OutputTable[RecordedValue])),0)</f>
        <v>0.48891840079317483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7.3627413122013347E-2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247" s="5" cm="1">
        <f t="array" ref="O247">MIN(IF((OutputTable[GroupByKey]=OutputTable[[#This Row],[GroupByKey]]),(OutputTable[GroupByKey]=OutputTable[[#This Row],[GroupByKey]])*OutputTable[RecordedValue]))</f>
        <v>0.31277577999924699</v>
      </c>
      <c r="P247" s="5" cm="1">
        <f t="array" ref="P247">MAX(IF((OutputTable[GroupByKey]=OutputTable[[#This Row],[GroupByKey]]),(OutputTable[GroupByKey]=OutputTable[[#This Row],[GroupByKey]])*OutputTable[RecordedValue]))</f>
        <v>0.60626731984831705</v>
      </c>
    </row>
    <row r="248" spans="1:16" x14ac:dyDescent="0.25">
      <c r="A248" t="s">
        <v>68</v>
      </c>
      <c r="B248" t="s">
        <v>70</v>
      </c>
      <c r="C248">
        <v>10</v>
      </c>
      <c r="D248" t="s">
        <v>135</v>
      </c>
      <c r="E248" t="s">
        <v>132</v>
      </c>
      <c r="F248" t="s">
        <v>102</v>
      </c>
      <c r="G248">
        <v>82</v>
      </c>
      <c r="H248">
        <v>0</v>
      </c>
      <c r="I2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30</v>
      </c>
      <c r="K248" s="5" cm="1">
        <f t="array" ref="K248">IFERROR(AVERAGE(IF((OutputTable[GroupByKey]=OutputTable[[#This Row],[GroupByKey]]),(OutputTable[GroupByKey]=OutputTable[[#This Row],[GroupByKey]])*OutputTable[RecordedValue])),0)</f>
        <v>79.466666666666669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12.016463801753446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248" s="5" cm="1">
        <f t="array" ref="O248">MIN(IF((OutputTable[GroupByKey]=OutputTable[[#This Row],[GroupByKey]]),(OutputTable[GroupByKey]=OutputTable[[#This Row],[GroupByKey]])*OutputTable[RecordedValue]))</f>
        <v>53</v>
      </c>
      <c r="P248" s="5" cm="1">
        <f t="array" ref="P248">MAX(IF((OutputTable[GroupByKey]=OutputTable[[#This Row],[GroupByKey]]),(OutputTable[GroupByKey]=OutputTable[[#This Row],[GroupByKey]])*OutputTable[RecordedValue]))</f>
        <v>98</v>
      </c>
    </row>
    <row r="249" spans="1:16" x14ac:dyDescent="0.25">
      <c r="A249" t="s">
        <v>68</v>
      </c>
      <c r="B249" t="s">
        <v>70</v>
      </c>
      <c r="C249">
        <v>10</v>
      </c>
      <c r="D249" t="s">
        <v>136</v>
      </c>
      <c r="E249" t="s">
        <v>134</v>
      </c>
      <c r="F249" t="s">
        <v>102</v>
      </c>
      <c r="G249">
        <v>0.301170673427959</v>
      </c>
      <c r="H249">
        <v>0</v>
      </c>
      <c r="I2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30</v>
      </c>
      <c r="K249" s="5" cm="1">
        <f t="array" ref="K249">IFERROR(AVERAGE(IF((OutputTable[GroupByKey]=OutputTable[[#This Row],[GroupByKey]]),(OutputTable[GroupByKey]=OutputTable[[#This Row],[GroupByKey]])*OutputTable[RecordedValue])),0)</f>
        <v>0.28976365927997022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4.4748273652133699E-2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249" s="5" cm="1">
        <f t="array" ref="O249">MIN(IF((OutputTable[GroupByKey]=OutputTable[[#This Row],[GroupByKey]]),(OutputTable[GroupByKey]=OutputTable[[#This Row],[GroupByKey]])*OutputTable[RecordedValue]))</f>
        <v>0.194735973294278</v>
      </c>
      <c r="P249" s="5" cm="1">
        <f t="array" ref="P249">MAX(IF((OutputTable[GroupByKey]=OutputTable[[#This Row],[GroupByKey]]),(OutputTable[GroupByKey]=OutputTable[[#This Row],[GroupByKey]])*OutputTable[RecordedValue]))</f>
        <v>0.35775345817659199</v>
      </c>
    </row>
    <row r="250" spans="1:16" x14ac:dyDescent="0.25">
      <c r="A250" t="s">
        <v>68</v>
      </c>
      <c r="B250" t="s">
        <v>70</v>
      </c>
      <c r="C250">
        <v>10</v>
      </c>
      <c r="D250" t="s">
        <v>137</v>
      </c>
      <c r="E250" t="s">
        <v>132</v>
      </c>
      <c r="F250" t="s">
        <v>102</v>
      </c>
      <c r="G250">
        <v>41</v>
      </c>
      <c r="H250">
        <v>0</v>
      </c>
      <c r="I2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30</v>
      </c>
      <c r="K250" s="5" cm="1">
        <f t="array" ref="K250">IFERROR(AVERAGE(IF((OutputTable[GroupByKey]=OutputTable[[#This Row],[GroupByKey]]),(OutputTable[GroupByKey]=OutputTable[[#This Row],[GroupByKey]])*OutputTable[RecordedValue])),0)</f>
        <v>38.93333333333333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5.9765826548191505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50" s="5" cm="1">
        <f t="array" ref="O250">MIN(IF((OutputTable[GroupByKey]=OutputTable[[#This Row],[GroupByKey]]),(OutputTable[GroupByKey]=OutputTable[[#This Row],[GroupByKey]])*OutputTable[RecordedValue]))</f>
        <v>25</v>
      </c>
      <c r="P250" s="5" cm="1">
        <f t="array" ref="P250">MAX(IF((OutputTable[GroupByKey]=OutputTable[[#This Row],[GroupByKey]]),(OutputTable[GroupByKey]=OutputTable[[#This Row],[GroupByKey]])*OutputTable[RecordedValue]))</f>
        <v>49</v>
      </c>
    </row>
    <row r="251" spans="1:16" x14ac:dyDescent="0.25">
      <c r="A251" t="s">
        <v>68</v>
      </c>
      <c r="B251" t="s">
        <v>70</v>
      </c>
      <c r="C251">
        <v>10</v>
      </c>
      <c r="D251" t="s">
        <v>138</v>
      </c>
      <c r="E251" t="s">
        <v>134</v>
      </c>
      <c r="F251" t="s">
        <v>102</v>
      </c>
      <c r="G251">
        <v>7.9535108350616099E-2</v>
      </c>
      <c r="H251">
        <v>0</v>
      </c>
      <c r="I2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30</v>
      </c>
      <c r="K251" s="5" cm="1">
        <f t="array" ref="K251">IFERROR(AVERAGE(IF((OutputTable[GroupByKey]=OutputTable[[#This Row],[GroupByKey]]),(OutputTable[GroupByKey]=OutputTable[[#This Row],[GroupByKey]])*OutputTable[RecordedValue])),0)</f>
        <v>8.2588852761398115E-2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1.3130964022328008E-2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251" s="5" cm="1">
        <f t="array" ref="O251">MIN(IF((OutputTable[GroupByKey]=OutputTable[[#This Row],[GroupByKey]]),(OutputTable[GroupByKey]=OutputTable[[#This Row],[GroupByKey]])*OutputTable[RecordedValue]))</f>
        <v>5.3757894868807901E-2</v>
      </c>
      <c r="P251" s="5" cm="1">
        <f t="array" ref="P251">MAX(IF((OutputTable[GroupByKey]=OutputTable[[#This Row],[GroupByKey]]),(OutputTable[GroupByKey]=OutputTable[[#This Row],[GroupByKey]])*OutputTable[RecordedValue]))</f>
        <v>0.103175045984152</v>
      </c>
    </row>
    <row r="252" spans="1:16" x14ac:dyDescent="0.25">
      <c r="A252" t="s">
        <v>68</v>
      </c>
      <c r="B252" t="s">
        <v>70</v>
      </c>
      <c r="C252">
        <v>11</v>
      </c>
      <c r="D252" t="s">
        <v>107</v>
      </c>
      <c r="E252" t="s">
        <v>108</v>
      </c>
      <c r="F252" t="s">
        <v>73</v>
      </c>
      <c r="G252">
        <v>134</v>
      </c>
      <c r="H252">
        <v>0</v>
      </c>
      <c r="I252" s="5" t="str">
        <f>OutputTable[[#This Row],[ProjectName]]&amp;OutputTable[[#This Row],[Name]]&amp;OutputTable[[#This Row],[Type]]&amp;OutputTable[[#This Row],[Source]]</f>
        <v>Pedido CleintesClientes.NumberInNumber InEntity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30</v>
      </c>
      <c r="K252" s="5" cm="1">
        <f t="array" ref="K252">IFERROR(AVERAGE(IF((OutputTable[GroupByKey]=OutputTable[[#This Row],[GroupByKey]]),(OutputTable[GroupByKey]=OutputTable[[#This Row],[GroupByKey]])*OutputTable[RecordedValue])),0)</f>
        <v>118.5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18.009097317936192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252" s="5" cm="1">
        <f t="array" ref="O252">MIN(IF((OutputTable[GroupByKey]=OutputTable[[#This Row],[GroupByKey]]),(OutputTable[GroupByKey]=OutputTable[[#This Row],[GroupByKey]])*OutputTable[RecordedValue]))</f>
        <v>78</v>
      </c>
      <c r="P252" s="5" cm="1">
        <f t="array" ref="P252">MAX(IF((OutputTable[GroupByKey]=OutputTable[[#This Row],[GroupByKey]]),(OutputTable[GroupByKey]=OutputTable[[#This Row],[GroupByKey]])*OutputTable[RecordedValue]))</f>
        <v>147</v>
      </c>
    </row>
    <row r="253" spans="1:16" x14ac:dyDescent="0.25">
      <c r="A253" t="s">
        <v>68</v>
      </c>
      <c r="B253" t="s">
        <v>70</v>
      </c>
      <c r="C253">
        <v>11</v>
      </c>
      <c r="D253" t="s">
        <v>109</v>
      </c>
      <c r="E253" t="s">
        <v>110</v>
      </c>
      <c r="F253" t="s">
        <v>73</v>
      </c>
      <c r="G253">
        <v>132</v>
      </c>
      <c r="H253">
        <v>0</v>
      </c>
      <c r="I253" s="5" t="str">
        <f>OutputTable[[#This Row],[ProjectName]]&amp;OutputTable[[#This Row],[Name]]&amp;OutputTable[[#This Row],[Type]]&amp;OutputTable[[#This Row],[Source]]</f>
        <v>Pedido CleintesClientes.NumberOutNumber OutEntity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30</v>
      </c>
      <c r="K253" s="5" cm="1">
        <f t="array" ref="K253">IFERROR(AVERAGE(IF((OutputTable[GroupByKey]=OutputTable[[#This Row],[GroupByKey]]),(OutputTable[GroupByKey]=OutputTable[[#This Row],[GroupByKey]])*OutputTable[RecordedValue])),0)</f>
        <v>116.6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18.252255410940514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253" s="5" cm="1">
        <f t="array" ref="O253">MIN(IF((OutputTable[GroupByKey]=OutputTable[[#This Row],[GroupByKey]]),(OutputTable[GroupByKey]=OutputTable[[#This Row],[GroupByKey]])*OutputTable[RecordedValue]))</f>
        <v>72</v>
      </c>
      <c r="P253" s="5" cm="1">
        <f t="array" ref="P253">MAX(IF((OutputTable[GroupByKey]=OutputTable[[#This Row],[GroupByKey]]),(OutputTable[GroupByKey]=OutputTable[[#This Row],[GroupByKey]])*OutputTable[RecordedValue]))</f>
        <v>147</v>
      </c>
    </row>
    <row r="254" spans="1:16" x14ac:dyDescent="0.25">
      <c r="A254" t="s">
        <v>68</v>
      </c>
      <c r="B254" t="s">
        <v>70</v>
      </c>
      <c r="C254">
        <v>11</v>
      </c>
      <c r="D254" t="s">
        <v>111</v>
      </c>
      <c r="E254" t="s">
        <v>112</v>
      </c>
      <c r="F254" t="s">
        <v>81</v>
      </c>
      <c r="G254">
        <v>21.653959135896301</v>
      </c>
      <c r="H254">
        <v>0</v>
      </c>
      <c r="I25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30</v>
      </c>
      <c r="K254" s="5" cm="1">
        <f t="array" ref="K254">IFERROR(AVERAGE(IF((OutputTable[GroupByKey]=OutputTable[[#This Row],[GroupByKey]]),(OutputTable[GroupByKey]=OutputTable[[#This Row],[GroupByKey]])*OutputTable[RecordedValue])),0)</f>
        <v>19.806808580201274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3.1624794742170024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254" s="5" cm="1">
        <f t="array" ref="O254">MIN(IF((OutputTable[GroupByKey]=OutputTable[[#This Row],[GroupByKey]]),(OutputTable[GroupByKey]=OutputTable[[#This Row],[GroupByKey]])*OutputTable[RecordedValue]))</f>
        <v>12.812268330404599</v>
      </c>
      <c r="P254" s="5" cm="1">
        <f t="array" ref="P254">MAX(IF((OutputTable[GroupByKey]=OutputTable[[#This Row],[GroupByKey]]),(OutputTable[GroupByKey]=OutputTable[[#This Row],[GroupByKey]])*OutputTable[RecordedValue]))</f>
        <v>24.762011036196501</v>
      </c>
    </row>
    <row r="255" spans="1:16" x14ac:dyDescent="0.25">
      <c r="A255" t="s">
        <v>68</v>
      </c>
      <c r="B255" t="s">
        <v>70</v>
      </c>
      <c r="C255">
        <v>11</v>
      </c>
      <c r="D255" t="s">
        <v>113</v>
      </c>
      <c r="E255" t="s">
        <v>114</v>
      </c>
      <c r="F255" t="s">
        <v>81</v>
      </c>
      <c r="G255">
        <v>0</v>
      </c>
      <c r="H255">
        <v>0</v>
      </c>
      <c r="I25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30</v>
      </c>
      <c r="K255" s="5" cm="1">
        <f t="array" ref="K255">IFERROR(AVERAGE(IF((OutputTable[GroupByKey]=OutputTable[[#This Row],[GroupByKey]]),(OutputTable[GroupByKey]=OutputTable[[#This Row],[GroupByKey]])*OutputTable[RecordedValue])),0)</f>
        <v>0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0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" s="5" cm="1">
        <f t="array" ref="O255">MIN(IF((OutputTable[GroupByKey]=OutputTable[[#This Row],[GroupByKey]]),(OutputTable[GroupByKey]=OutputTable[[#This Row],[GroupByKey]])*OutputTable[RecordedValue]))</f>
        <v>0</v>
      </c>
      <c r="P255" s="5" cm="1">
        <f t="array" ref="P255">MAX(IF((OutputTable[GroupByKey]=OutputTable[[#This Row],[GroupByKey]]),(OutputTable[GroupByKey]=OutputTable[[#This Row],[GroupByKey]])*OutputTable[RecordedValue]))</f>
        <v>0</v>
      </c>
    </row>
    <row r="256" spans="1:16" x14ac:dyDescent="0.25">
      <c r="A256" t="s">
        <v>68</v>
      </c>
      <c r="B256" t="s">
        <v>70</v>
      </c>
      <c r="C256">
        <v>11</v>
      </c>
      <c r="D256" t="s">
        <v>115</v>
      </c>
      <c r="E256" t="s">
        <v>108</v>
      </c>
      <c r="F256" t="s">
        <v>81</v>
      </c>
      <c r="G256">
        <v>44</v>
      </c>
      <c r="H256">
        <v>0</v>
      </c>
      <c r="I25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30</v>
      </c>
      <c r="K256" s="5" cm="1">
        <f t="array" ref="K256">IFERROR(AVERAGE(IF((OutputTable[GroupByKey]=OutputTable[[#This Row],[GroupByKey]]),(OutputTable[GroupByKey]=OutputTable[[#This Row],[GroupByKey]])*OutputTable[RecordedValue])),0)</f>
        <v>38.93333333333333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5.9765826548191505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56" s="5" cm="1">
        <f t="array" ref="O256">MIN(IF((OutputTable[GroupByKey]=OutputTable[[#This Row],[GroupByKey]]),(OutputTable[GroupByKey]=OutputTable[[#This Row],[GroupByKey]])*OutputTable[RecordedValue]))</f>
        <v>25</v>
      </c>
      <c r="P256" s="5" cm="1">
        <f t="array" ref="P256">MAX(IF((OutputTable[GroupByKey]=OutputTable[[#This Row],[GroupByKey]]),(OutputTable[GroupByKey]=OutputTable[[#This Row],[GroupByKey]])*OutputTable[RecordedValue]))</f>
        <v>49</v>
      </c>
    </row>
    <row r="257" spans="1:16" x14ac:dyDescent="0.25">
      <c r="A257" t="s">
        <v>68</v>
      </c>
      <c r="B257" t="s">
        <v>70</v>
      </c>
      <c r="C257">
        <v>11</v>
      </c>
      <c r="D257" t="s">
        <v>116</v>
      </c>
      <c r="E257" t="s">
        <v>110</v>
      </c>
      <c r="F257" t="s">
        <v>81</v>
      </c>
      <c r="G257">
        <v>44</v>
      </c>
      <c r="H257">
        <v>0</v>
      </c>
      <c r="I25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30</v>
      </c>
      <c r="K257" s="5" cm="1">
        <f t="array" ref="K257">IFERROR(AVERAGE(IF((OutputTable[GroupByKey]=OutputTable[[#This Row],[GroupByKey]]),(OutputTable[GroupByKey]=OutputTable[[#This Row],[GroupByKey]])*OutputTable[RecordedValue])),0)</f>
        <v>38.866666666666667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6.0840851369801694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57" s="5" cm="1">
        <f t="array" ref="O257">MIN(IF((OutputTable[GroupByKey]=OutputTable[[#This Row],[GroupByKey]]),(OutputTable[GroupByKey]=OutputTable[[#This Row],[GroupByKey]])*OutputTable[RecordedValue]))</f>
        <v>24</v>
      </c>
      <c r="P257" s="5" cm="1">
        <f t="array" ref="P257">MAX(IF((OutputTable[GroupByKey]=OutputTable[[#This Row],[GroupByKey]]),(OutputTable[GroupByKey]=OutputTable[[#This Row],[GroupByKey]])*OutputTable[RecordedValue]))</f>
        <v>49</v>
      </c>
    </row>
    <row r="258" spans="1:16" x14ac:dyDescent="0.25">
      <c r="A258" t="s">
        <v>68</v>
      </c>
      <c r="B258" t="s">
        <v>70</v>
      </c>
      <c r="C258">
        <v>11</v>
      </c>
      <c r="D258" t="s">
        <v>117</v>
      </c>
      <c r="E258" t="s">
        <v>112</v>
      </c>
      <c r="F258" t="s">
        <v>81</v>
      </c>
      <c r="G258">
        <v>45.108357462794501</v>
      </c>
      <c r="H258">
        <v>0</v>
      </c>
      <c r="I258" s="5" t="str">
        <f>OutputTable[[#This Row],[ProjectName]]&amp;OutputTable[[#This Row],[Name]]&amp;OutputTable[[#This Row],[Type]]&amp;OutputTable[[#This Row],[Source]]</f>
        <v>Pedido CleintesOrdnes Accum VA TimeAccum VA TimeProcess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30</v>
      </c>
      <c r="K258" s="5" cm="1">
        <f t="array" ref="K258">IFERROR(AVERAGE(IF((OutputTable[GroupByKey]=OutputTable[[#This Row],[GroupByKey]]),(OutputTable[GroupByKey]=OutputTable[[#This Row],[GroupByKey]])*OutputTable[RecordedValue])),0)</f>
        <v>39.878126992056487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6.1068580319474277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258" s="5" cm="1">
        <f t="array" ref="O258">MIN(IF((OutputTable[GroupByKey]=OutputTable[[#This Row],[GroupByKey]]),(OutputTable[GroupByKey]=OutputTable[[#This Row],[GroupByKey]])*OutputTable[RecordedValue]))</f>
        <v>26.106281767804099</v>
      </c>
      <c r="P258" s="5" cm="1">
        <f t="array" ref="P258">MAX(IF((OutputTable[GroupByKey]=OutputTable[[#This Row],[GroupByKey]]),(OutputTable[GroupByKey]=OutputTable[[#This Row],[GroupByKey]])*OutputTable[RecordedValue]))</f>
        <v>48.706388790541098</v>
      </c>
    </row>
    <row r="259" spans="1:16" x14ac:dyDescent="0.25">
      <c r="A259" t="s">
        <v>68</v>
      </c>
      <c r="B259" t="s">
        <v>70</v>
      </c>
      <c r="C259">
        <v>11</v>
      </c>
      <c r="D259" t="s">
        <v>118</v>
      </c>
      <c r="E259" t="s">
        <v>114</v>
      </c>
      <c r="F259" t="s">
        <v>81</v>
      </c>
      <c r="G259">
        <v>8.1690475668022398</v>
      </c>
      <c r="H259">
        <v>0</v>
      </c>
      <c r="I25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30</v>
      </c>
      <c r="K259" s="5" cm="1">
        <f t="array" ref="K259">IFERROR(AVERAGE(IF((OutputTable[GroupByKey]=OutputTable[[#This Row],[GroupByKey]]),(OutputTable[GroupByKey]=OutputTable[[#This Row],[GroupByKey]])*OutputTable[RecordedValue])),0)</f>
        <v>7.9804799821754404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4.8950382198155014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259" s="5" cm="1">
        <f t="array" ref="O259">MIN(IF((OutputTable[GroupByKey]=OutputTable[[#This Row],[GroupByKey]]),(OutputTable[GroupByKey]=OutputTable[[#This Row],[GroupByKey]])*OutputTable[RecordedValue]))</f>
        <v>0</v>
      </c>
      <c r="P259" s="5" cm="1">
        <f t="array" ref="P259">MAX(IF((OutputTable[GroupByKey]=OutputTable[[#This Row],[GroupByKey]]),(OutputTable[GroupByKey]=OutputTable[[#This Row],[GroupByKey]])*OutputTable[RecordedValue]))</f>
        <v>18.843855117811401</v>
      </c>
    </row>
    <row r="260" spans="1:16" x14ac:dyDescent="0.25">
      <c r="A260" t="s">
        <v>68</v>
      </c>
      <c r="B260" t="s">
        <v>70</v>
      </c>
      <c r="C260">
        <v>11</v>
      </c>
      <c r="D260" t="s">
        <v>119</v>
      </c>
      <c r="E260" t="s">
        <v>108</v>
      </c>
      <c r="F260" t="s">
        <v>81</v>
      </c>
      <c r="G260">
        <v>45</v>
      </c>
      <c r="H260">
        <v>0</v>
      </c>
      <c r="I260" s="5" t="str">
        <f>OutputTable[[#This Row],[ProjectName]]&amp;OutputTable[[#This Row],[Name]]&amp;OutputTable[[#This Row],[Type]]&amp;OutputTable[[#This Row],[Source]]</f>
        <v>Pedido CleintesOrdnes Number InNumber InProcess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30</v>
      </c>
      <c r="K260" s="5" cm="1">
        <f t="array" ref="K260">IFERROR(AVERAGE(IF((OutputTable[GroupByKey]=OutputTable[[#This Row],[GroupByKey]]),(OutputTable[GroupByKey]=OutputTable[[#This Row],[GroupByKey]])*OutputTable[RecordedValue])),0)</f>
        <v>39.9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6.0648791101463475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260" s="5" cm="1">
        <f t="array" ref="O260">MIN(IF((OutputTable[GroupByKey]=OutputTable[[#This Row],[GroupByKey]]),(OutputTable[GroupByKey]=OutputTable[[#This Row],[GroupByKey]])*OutputTable[RecordedValue]))</f>
        <v>27</v>
      </c>
      <c r="P260" s="5" cm="1">
        <f t="array" ref="P260">MAX(IF((OutputTable[GroupByKey]=OutputTable[[#This Row],[GroupByKey]]),(OutputTable[GroupByKey]=OutputTable[[#This Row],[GroupByKey]])*OutputTable[RecordedValue]))</f>
        <v>49</v>
      </c>
    </row>
    <row r="261" spans="1:16" x14ac:dyDescent="0.25">
      <c r="A261" t="s">
        <v>68</v>
      </c>
      <c r="B261" t="s">
        <v>70</v>
      </c>
      <c r="C261">
        <v>11</v>
      </c>
      <c r="D261" t="s">
        <v>120</v>
      </c>
      <c r="E261" t="s">
        <v>110</v>
      </c>
      <c r="F261" t="s">
        <v>81</v>
      </c>
      <c r="G261">
        <v>45</v>
      </c>
      <c r="H261">
        <v>0</v>
      </c>
      <c r="I261" s="5" t="str">
        <f>OutputTable[[#This Row],[ProjectName]]&amp;OutputTable[[#This Row],[Name]]&amp;OutputTable[[#This Row],[Type]]&amp;OutputTable[[#This Row],[Source]]</f>
        <v>Pedido CleintesOrdnes Number OutNumber OutProcess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30</v>
      </c>
      <c r="K261" s="5" cm="1">
        <f t="array" ref="K261">IFERROR(AVERAGE(IF((OutputTable[GroupByKey]=OutputTable[[#This Row],[GroupByKey]]),(OutputTable[GroupByKey]=OutputTable[[#This Row],[GroupByKey]])*OutputTable[RecordedValue])),0)</f>
        <v>39.666666666666664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6.0477030882540914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61" s="5" cm="1">
        <f t="array" ref="O261">MIN(IF((OutputTable[GroupByKey]=OutputTable[[#This Row],[GroupByKey]]),(OutputTable[GroupByKey]=OutputTable[[#This Row],[GroupByKey]])*OutputTable[RecordedValue]))</f>
        <v>26</v>
      </c>
      <c r="P261" s="5" cm="1">
        <f t="array" ref="P261">MAX(IF((OutputTable[GroupByKey]=OutputTable[[#This Row],[GroupByKey]]),(OutputTable[GroupByKey]=OutputTable[[#This Row],[GroupByKey]])*OutputTable[RecordedValue]))</f>
        <v>49</v>
      </c>
    </row>
    <row r="262" spans="1:16" x14ac:dyDescent="0.25">
      <c r="A262" t="s">
        <v>68</v>
      </c>
      <c r="B262" t="s">
        <v>70</v>
      </c>
      <c r="C262">
        <v>11</v>
      </c>
      <c r="D262" t="s">
        <v>121</v>
      </c>
      <c r="E262" t="s">
        <v>112</v>
      </c>
      <c r="F262" t="s">
        <v>81</v>
      </c>
      <c r="G262">
        <v>31.897629256733801</v>
      </c>
      <c r="H262">
        <v>0</v>
      </c>
      <c r="I262" s="5" t="str">
        <f>OutputTable[[#This Row],[ProjectName]]&amp;OutputTable[[#This Row],[Name]]&amp;OutputTable[[#This Row],[Type]]&amp;OutputTable[[#This Row],[Source]]</f>
        <v>Pedido CleintesPago Accum VA TimeAccum VA TimeProcess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30</v>
      </c>
      <c r="K262" s="5" cm="1">
        <f t="array" ref="K262">IFERROR(AVERAGE(IF((OutputTable[GroupByKey]=OutputTable[[#This Row],[GroupByKey]]),(OutputTable[GroupByKey]=OutputTable[[#This Row],[GroupByKey]])*OutputTable[RecordedValue])),0)</f>
        <v>29.486262713858675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4.747176664010901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262" s="5" cm="1">
        <f t="array" ref="O262">MIN(IF((OutputTable[GroupByKey]=OutputTable[[#This Row],[GroupByKey]]),(OutputTable[GroupByKey]=OutputTable[[#This Row],[GroupByKey]])*OutputTable[RecordedValue]))</f>
        <v>19.573210250889101</v>
      </c>
      <c r="P262" s="5" cm="1">
        <f t="array" ref="P262">MAX(IF((OutputTable[GroupByKey]=OutputTable[[#This Row],[GroupByKey]]),(OutputTable[GroupByKey]=OutputTable[[#This Row],[GroupByKey]])*OutputTable[RecordedValue]))</f>
        <v>37.056974462114901</v>
      </c>
    </row>
    <row r="263" spans="1:16" x14ac:dyDescent="0.25">
      <c r="A263" t="s">
        <v>68</v>
      </c>
      <c r="B263" t="s">
        <v>70</v>
      </c>
      <c r="C263">
        <v>11</v>
      </c>
      <c r="D263" t="s">
        <v>122</v>
      </c>
      <c r="E263" t="s">
        <v>114</v>
      </c>
      <c r="F263" t="s">
        <v>81</v>
      </c>
      <c r="G263">
        <v>14.0538161921426</v>
      </c>
      <c r="H263">
        <v>0</v>
      </c>
      <c r="I263" s="5" t="str">
        <f>OutputTable[[#This Row],[ProjectName]]&amp;OutputTable[[#This Row],[Name]]&amp;OutputTable[[#This Row],[Type]]&amp;OutputTable[[#This Row],[Source]]</f>
        <v>Pedido CleintesPago Accum Wait TimeAccum Wait TimeProcess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30</v>
      </c>
      <c r="K263" s="5" cm="1">
        <f t="array" ref="K263">IFERROR(AVERAGE(IF((OutputTable[GroupByKey]=OutputTable[[#This Row],[GroupByKey]]),(OutputTable[GroupByKey]=OutputTable[[#This Row],[GroupByKey]])*OutputTable[RecordedValue])),0)</f>
        <v>13.025761997568024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7.8467935605388783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263" s="5" cm="1">
        <f t="array" ref="O263">MIN(IF((OutputTable[GroupByKey]=OutputTable[[#This Row],[GroupByKey]]),(OutputTable[GroupByKey]=OutputTable[[#This Row],[GroupByKey]])*OutputTable[RecordedValue]))</f>
        <v>0</v>
      </c>
      <c r="P263" s="5" cm="1">
        <f t="array" ref="P263">MAX(IF((OutputTable[GroupByKey]=OutputTable[[#This Row],[GroupByKey]]),(OutputTable[GroupByKey]=OutputTable[[#This Row],[GroupByKey]])*OutputTable[RecordedValue]))</f>
        <v>32.770863925850499</v>
      </c>
    </row>
    <row r="264" spans="1:16" x14ac:dyDescent="0.25">
      <c r="A264" t="s">
        <v>68</v>
      </c>
      <c r="B264" t="s">
        <v>70</v>
      </c>
      <c r="C264">
        <v>11</v>
      </c>
      <c r="D264" t="s">
        <v>123</v>
      </c>
      <c r="E264" t="s">
        <v>108</v>
      </c>
      <c r="F264" t="s">
        <v>81</v>
      </c>
      <c r="G264">
        <v>45</v>
      </c>
      <c r="H264">
        <v>0</v>
      </c>
      <c r="I264" s="5" t="str">
        <f>OutputTable[[#This Row],[ProjectName]]&amp;OutputTable[[#This Row],[Name]]&amp;OutputTable[[#This Row],[Type]]&amp;OutputTable[[#This Row],[Source]]</f>
        <v>Pedido CleintesPago Number InNumber InProcess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30</v>
      </c>
      <c r="K264" s="5" cm="1">
        <f t="array" ref="K264">IFERROR(AVERAGE(IF((OutputTable[GroupByKey]=OutputTable[[#This Row],[GroupByKey]]),(OutputTable[GroupByKey]=OutputTable[[#This Row],[GroupByKey]])*OutputTable[RecordedValue])),0)</f>
        <v>39.666666666666664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6.0477030882540914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64" s="5" cm="1">
        <f t="array" ref="O264">MIN(IF((OutputTable[GroupByKey]=OutputTable[[#This Row],[GroupByKey]]),(OutputTable[GroupByKey]=OutputTable[[#This Row],[GroupByKey]])*OutputTable[RecordedValue]))</f>
        <v>26</v>
      </c>
      <c r="P264" s="5" cm="1">
        <f t="array" ref="P264">MAX(IF((OutputTable[GroupByKey]=OutputTable[[#This Row],[GroupByKey]]),(OutputTable[GroupByKey]=OutputTable[[#This Row],[GroupByKey]])*OutputTable[RecordedValue]))</f>
        <v>49</v>
      </c>
    </row>
    <row r="265" spans="1:16" x14ac:dyDescent="0.25">
      <c r="A265" t="s">
        <v>68</v>
      </c>
      <c r="B265" t="s">
        <v>70</v>
      </c>
      <c r="C265">
        <v>11</v>
      </c>
      <c r="D265" t="s">
        <v>124</v>
      </c>
      <c r="E265" t="s">
        <v>110</v>
      </c>
      <c r="F265" t="s">
        <v>81</v>
      </c>
      <c r="G265">
        <v>44</v>
      </c>
      <c r="H265">
        <v>0</v>
      </c>
      <c r="I265" s="5" t="str">
        <f>OutputTable[[#This Row],[ProjectName]]&amp;OutputTable[[#This Row],[Name]]&amp;OutputTable[[#This Row],[Type]]&amp;OutputTable[[#This Row],[Source]]</f>
        <v>Pedido CleintesPago Number OutNumber OutProcess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30</v>
      </c>
      <c r="K265" s="5" cm="1">
        <f t="array" ref="K265">IFERROR(AVERAGE(IF((OutputTable[GroupByKey]=OutputTable[[#This Row],[GroupByKey]]),(OutputTable[GroupByKey]=OutputTable[[#This Row],[GroupByKey]])*OutputTable[RecordedValue])),0)</f>
        <v>39.43333333333333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5.9171482724502509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265" s="5" cm="1">
        <f t="array" ref="O265">MIN(IF((OutputTable[GroupByKey]=OutputTable[[#This Row],[GroupByKey]]),(OutputTable[GroupByKey]=OutputTable[[#This Row],[GroupByKey]])*OutputTable[RecordedValue]))</f>
        <v>26</v>
      </c>
      <c r="P265" s="5" cm="1">
        <f t="array" ref="P265">MAX(IF((OutputTable[GroupByKey]=OutputTable[[#This Row],[GroupByKey]]),(OutputTable[GroupByKey]=OutputTable[[#This Row],[GroupByKey]])*OutputTable[RecordedValue]))</f>
        <v>49</v>
      </c>
    </row>
    <row r="266" spans="1:16" x14ac:dyDescent="0.25">
      <c r="A266" t="s">
        <v>68</v>
      </c>
      <c r="B266" t="s">
        <v>70</v>
      </c>
      <c r="C266">
        <v>11</v>
      </c>
      <c r="D266" t="s">
        <v>125</v>
      </c>
      <c r="E266" t="s">
        <v>112</v>
      </c>
      <c r="F266" t="s">
        <v>81</v>
      </c>
      <c r="G266">
        <v>130.21500906959901</v>
      </c>
      <c r="H266">
        <v>0</v>
      </c>
      <c r="I26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30</v>
      </c>
      <c r="K266" s="5" cm="1">
        <f t="array" ref="K266">IFERROR(AVERAGE(IF((OutputTable[GroupByKey]=OutputTable[[#This Row],[GroupByKey]]),(OutputTable[GroupByKey]=OutputTable[[#This Row],[GroupByKey]])*OutputTable[RecordedValue])),0)</f>
        <v>116.64263458387505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17.825477946659205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266" s="5" cm="1">
        <f t="array" ref="O266">MIN(IF((OutputTable[GroupByKey]=OutputTable[[#This Row],[GroupByKey]]),(OutputTable[GroupByKey]=OutputTable[[#This Row],[GroupByKey]])*OutputTable[RecordedValue]))</f>
        <v>74.976560761710004</v>
      </c>
      <c r="P266" s="5" cm="1">
        <f t="array" ref="P266">MAX(IF((OutputTable[GroupByKey]=OutputTable[[#This Row],[GroupByKey]]),(OutputTable[GroupByKey]=OutputTable[[#This Row],[GroupByKey]])*OutputTable[RecordedValue]))</f>
        <v>145.504156763596</v>
      </c>
    </row>
    <row r="267" spans="1:16" x14ac:dyDescent="0.25">
      <c r="A267" t="s">
        <v>68</v>
      </c>
      <c r="B267" t="s">
        <v>70</v>
      </c>
      <c r="C267">
        <v>11</v>
      </c>
      <c r="D267" t="s">
        <v>126</v>
      </c>
      <c r="E267" t="s">
        <v>114</v>
      </c>
      <c r="F267" t="s">
        <v>81</v>
      </c>
      <c r="G267">
        <v>36.652585417306298</v>
      </c>
      <c r="H267">
        <v>0</v>
      </c>
      <c r="I26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30</v>
      </c>
      <c r="K267" s="5" cm="1">
        <f t="array" ref="K267">IFERROR(AVERAGE(IF((OutputTable[GroupByKey]=OutputTable[[#This Row],[GroupByKey]]),(OutputTable[GroupByKey]=OutputTable[[#This Row],[GroupByKey]])*OutputTable[RecordedValue])),0)</f>
        <v>39.900972800228722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22.922906975864144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267" s="5" cm="1">
        <f t="array" ref="O267">MIN(IF((OutputTable[GroupByKey]=OutputTable[[#This Row],[GroupByKey]]),(OutputTable[GroupByKey]=OutputTable[[#This Row],[GroupByKey]])*OutputTable[RecordedValue]))</f>
        <v>2.1708788192608899</v>
      </c>
      <c r="P267" s="5" cm="1">
        <f t="array" ref="P267">MAX(IF((OutputTable[GroupByKey]=OutputTable[[#This Row],[GroupByKey]]),(OutputTable[GroupByKey]=OutputTable[[#This Row],[GroupByKey]])*OutputTable[RecordedValue]))</f>
        <v>94.9142929398908</v>
      </c>
    </row>
    <row r="268" spans="1:16" x14ac:dyDescent="0.25">
      <c r="A268" t="s">
        <v>68</v>
      </c>
      <c r="B268" t="s">
        <v>70</v>
      </c>
      <c r="C268">
        <v>11</v>
      </c>
      <c r="D268" t="s">
        <v>127</v>
      </c>
      <c r="E268" t="s">
        <v>108</v>
      </c>
      <c r="F268" t="s">
        <v>81</v>
      </c>
      <c r="G268">
        <v>45</v>
      </c>
      <c r="H268">
        <v>0</v>
      </c>
      <c r="I268" s="5" t="str">
        <f>OutputTable[[#This Row],[ProjectName]]&amp;OutputTable[[#This Row],[Name]]&amp;OutputTable[[#This Row],[Type]]&amp;OutputTable[[#This Row],[Source]]</f>
        <v>Pedido CleintesPreparar orden Number InNumber InProcess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30</v>
      </c>
      <c r="K268" s="5" cm="1">
        <f t="array" ref="K268">IFERROR(AVERAGE(IF((OutputTable[GroupByKey]=OutputTable[[#This Row],[GroupByKey]]),(OutputTable[GroupByKey]=OutputTable[[#This Row],[GroupByKey]])*OutputTable[RecordedValue])),0)</f>
        <v>39.666666666666664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6.0477030882540914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68" s="5" cm="1">
        <f t="array" ref="O268">MIN(IF((OutputTable[GroupByKey]=OutputTable[[#This Row],[GroupByKey]]),(OutputTable[GroupByKey]=OutputTable[[#This Row],[GroupByKey]])*OutputTable[RecordedValue]))</f>
        <v>26</v>
      </c>
      <c r="P268" s="5" cm="1">
        <f t="array" ref="P268">MAX(IF((OutputTable[GroupByKey]=OutputTable[[#This Row],[GroupByKey]]),(OutputTable[GroupByKey]=OutputTable[[#This Row],[GroupByKey]])*OutputTable[RecordedValue]))</f>
        <v>49</v>
      </c>
    </row>
    <row r="269" spans="1:16" x14ac:dyDescent="0.25">
      <c r="A269" t="s">
        <v>68</v>
      </c>
      <c r="B269" t="s">
        <v>70</v>
      </c>
      <c r="C269">
        <v>11</v>
      </c>
      <c r="D269" t="s">
        <v>128</v>
      </c>
      <c r="E269" t="s">
        <v>110</v>
      </c>
      <c r="F269" t="s">
        <v>81</v>
      </c>
      <c r="G269">
        <v>44</v>
      </c>
      <c r="H269">
        <v>0</v>
      </c>
      <c r="I269" s="5" t="str">
        <f>OutputTable[[#This Row],[ProjectName]]&amp;OutputTable[[#This Row],[Name]]&amp;OutputTable[[#This Row],[Type]]&amp;OutputTable[[#This Row],[Source]]</f>
        <v>Pedido CleintesPreparar orden Number OutNumber OutProcess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30</v>
      </c>
      <c r="K269" s="5" cm="1">
        <f t="array" ref="K269">IFERROR(AVERAGE(IF((OutputTable[GroupByKey]=OutputTable[[#This Row],[GroupByKey]]),(OutputTable[GroupByKey]=OutputTable[[#This Row],[GroupByKey]])*OutputTable[RecordedValue])),0)</f>
        <v>38.93333333333333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5.9765826548191505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69" s="5" cm="1">
        <f t="array" ref="O269">MIN(IF((OutputTable[GroupByKey]=OutputTable[[#This Row],[GroupByKey]]),(OutputTable[GroupByKey]=OutputTable[[#This Row],[GroupByKey]])*OutputTable[RecordedValue]))</f>
        <v>25</v>
      </c>
      <c r="P269" s="5" cm="1">
        <f t="array" ref="P269">MAX(IF((OutputTable[GroupByKey]=OutputTable[[#This Row],[GroupByKey]]),(OutputTable[GroupByKey]=OutputTable[[#This Row],[GroupByKey]])*OutputTable[RecordedValue]))</f>
        <v>49</v>
      </c>
    </row>
    <row r="270" spans="1:16" x14ac:dyDescent="0.25">
      <c r="A270" t="s">
        <v>68</v>
      </c>
      <c r="B270" t="s">
        <v>70</v>
      </c>
      <c r="C270">
        <v>11</v>
      </c>
      <c r="D270" t="s">
        <v>129</v>
      </c>
      <c r="E270" t="s">
        <v>110</v>
      </c>
      <c r="F270" t="s">
        <v>130</v>
      </c>
      <c r="G270">
        <v>44</v>
      </c>
      <c r="H270">
        <v>0</v>
      </c>
      <c r="I270" s="5" t="str">
        <f>OutputTable[[#This Row],[ProjectName]]&amp;OutputTable[[#This Row],[Name]]&amp;OutputTable[[#This Row],[Type]]&amp;OutputTable[[#This Row],[Source]]</f>
        <v>Pedido CleintesSystem.NumberOutNumber OutSystem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30</v>
      </c>
      <c r="K270" s="5" cm="1">
        <f t="array" ref="K270">IFERROR(AVERAGE(IF((OutputTable[GroupByKey]=OutputTable[[#This Row],[GroupByKey]]),(OutputTable[GroupByKey]=OutputTable[[#This Row],[GroupByKey]])*OutputTable[RecordedValue])),0)</f>
        <v>38.866666666666667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6.0840851369801694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70" s="5" cm="1">
        <f t="array" ref="O270">MIN(IF((OutputTable[GroupByKey]=OutputTable[[#This Row],[GroupByKey]]),(OutputTable[GroupByKey]=OutputTable[[#This Row],[GroupByKey]])*OutputTable[RecordedValue]))</f>
        <v>24</v>
      </c>
      <c r="P270" s="5" cm="1">
        <f t="array" ref="P270">MAX(IF((OutputTable[GroupByKey]=OutputTable[[#This Row],[GroupByKey]]),(OutputTable[GroupByKey]=OutputTable[[#This Row],[GroupByKey]])*OutputTable[RecordedValue]))</f>
        <v>49</v>
      </c>
    </row>
    <row r="271" spans="1:16" x14ac:dyDescent="0.25">
      <c r="A271" t="s">
        <v>68</v>
      </c>
      <c r="B271" t="s">
        <v>70</v>
      </c>
      <c r="C271">
        <v>11</v>
      </c>
      <c r="D271" t="s">
        <v>131</v>
      </c>
      <c r="E271" t="s">
        <v>132</v>
      </c>
      <c r="F271" t="s">
        <v>102</v>
      </c>
      <c r="G271">
        <v>45</v>
      </c>
      <c r="H271">
        <v>0</v>
      </c>
      <c r="I27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30</v>
      </c>
      <c r="K271" s="5" cm="1">
        <f t="array" ref="K271">IFERROR(AVERAGE(IF((OutputTable[GroupByKey]=OutputTable[[#This Row],[GroupByKey]]),(OutputTable[GroupByKey]=OutputTable[[#This Row],[GroupByKey]])*OutputTable[RecordedValue])),0)</f>
        <v>39.4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5.8757244601014422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271" s="5" cm="1">
        <f t="array" ref="O271">MIN(IF((OutputTable[GroupByKey]=OutputTable[[#This Row],[GroupByKey]]),(OutputTable[GroupByKey]=OutputTable[[#This Row],[GroupByKey]])*OutputTable[RecordedValue]))</f>
        <v>26</v>
      </c>
      <c r="P271" s="5" cm="1">
        <f t="array" ref="P271">MAX(IF((OutputTable[GroupByKey]=OutputTable[[#This Row],[GroupByKey]]),(OutputTable[GroupByKey]=OutputTable[[#This Row],[GroupByKey]])*OutputTable[RecordedValue]))</f>
        <v>49</v>
      </c>
    </row>
    <row r="272" spans="1:16" x14ac:dyDescent="0.25">
      <c r="A272" t="s">
        <v>68</v>
      </c>
      <c r="B272" t="s">
        <v>70</v>
      </c>
      <c r="C272">
        <v>11</v>
      </c>
      <c r="D272" t="s">
        <v>133</v>
      </c>
      <c r="E272" t="s">
        <v>134</v>
      </c>
      <c r="F272" t="s">
        <v>102</v>
      </c>
      <c r="G272">
        <v>0.54448563197593103</v>
      </c>
      <c r="H272">
        <v>0</v>
      </c>
      <c r="I27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30</v>
      </c>
      <c r="K272" s="5" cm="1">
        <f t="array" ref="K272">IFERROR(AVERAGE(IF((OutputTable[GroupByKey]=OutputTable[[#This Row],[GroupByKey]]),(OutputTable[GroupByKey]=OutputTable[[#This Row],[GroupByKey]])*OutputTable[RecordedValue])),0)</f>
        <v>0.48891840079317483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7.3627413122013347E-2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272" s="5" cm="1">
        <f t="array" ref="O272">MIN(IF((OutputTable[GroupByKey]=OutputTable[[#This Row],[GroupByKey]]),(OutputTable[GroupByKey]=OutputTable[[#This Row],[GroupByKey]])*OutputTable[RecordedValue]))</f>
        <v>0.31277577999924699</v>
      </c>
      <c r="P272" s="5" cm="1">
        <f t="array" ref="P272">MAX(IF((OutputTable[GroupByKey]=OutputTable[[#This Row],[GroupByKey]]),(OutputTable[GroupByKey]=OutputTable[[#This Row],[GroupByKey]])*OutputTable[RecordedValue]))</f>
        <v>0.60626731984831705</v>
      </c>
    </row>
    <row r="273" spans="1:16" x14ac:dyDescent="0.25">
      <c r="A273" t="s">
        <v>68</v>
      </c>
      <c r="B273" t="s">
        <v>70</v>
      </c>
      <c r="C273">
        <v>11</v>
      </c>
      <c r="D273" t="s">
        <v>135</v>
      </c>
      <c r="E273" t="s">
        <v>132</v>
      </c>
      <c r="F273" t="s">
        <v>102</v>
      </c>
      <c r="G273">
        <v>90</v>
      </c>
      <c r="H273">
        <v>0</v>
      </c>
      <c r="I27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30</v>
      </c>
      <c r="K273" s="5" cm="1">
        <f t="array" ref="K273">IFERROR(AVERAGE(IF((OutputTable[GroupByKey]=OutputTable[[#This Row],[GroupByKey]]),(OutputTable[GroupByKey]=OutputTable[[#This Row],[GroupByKey]])*OutputTable[RecordedValue])),0)</f>
        <v>79.466666666666669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12.016463801753446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273" s="5" cm="1">
        <f t="array" ref="O273">MIN(IF((OutputTable[GroupByKey]=OutputTable[[#This Row],[GroupByKey]]),(OutputTable[GroupByKey]=OutputTable[[#This Row],[GroupByKey]])*OutputTable[RecordedValue]))</f>
        <v>53</v>
      </c>
      <c r="P273" s="5" cm="1">
        <f t="array" ref="P273">MAX(IF((OutputTable[GroupByKey]=OutputTable[[#This Row],[GroupByKey]]),(OutputTable[GroupByKey]=OutputTable[[#This Row],[GroupByKey]])*OutputTable[RecordedValue]))</f>
        <v>98</v>
      </c>
    </row>
    <row r="274" spans="1:16" x14ac:dyDescent="0.25">
      <c r="A274" t="s">
        <v>68</v>
      </c>
      <c r="B274" t="s">
        <v>70</v>
      </c>
      <c r="C274">
        <v>11</v>
      </c>
      <c r="D274" t="s">
        <v>136</v>
      </c>
      <c r="E274" t="s">
        <v>134</v>
      </c>
      <c r="F274" t="s">
        <v>102</v>
      </c>
      <c r="G274">
        <v>0.32278137218397002</v>
      </c>
      <c r="H274">
        <v>0</v>
      </c>
      <c r="I27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30</v>
      </c>
      <c r="K274" s="5" cm="1">
        <f t="array" ref="K274">IFERROR(AVERAGE(IF((OutputTable[GroupByKey]=OutputTable[[#This Row],[GroupByKey]]),(OutputTable[GroupByKey]=OutputTable[[#This Row],[GroupByKey]])*OutputTable[RecordedValue])),0)</f>
        <v>0.28976365927997022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4.4748273652133699E-2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274" s="5" cm="1">
        <f t="array" ref="O274">MIN(IF((OutputTable[GroupByKey]=OutputTable[[#This Row],[GroupByKey]]),(OutputTable[GroupByKey]=OutputTable[[#This Row],[GroupByKey]])*OutputTable[RecordedValue]))</f>
        <v>0.194735973294278</v>
      </c>
      <c r="P274" s="5" cm="1">
        <f t="array" ref="P274">MAX(IF((OutputTable[GroupByKey]=OutputTable[[#This Row],[GroupByKey]]),(OutputTable[GroupByKey]=OutputTable[[#This Row],[GroupByKey]])*OutputTable[RecordedValue]))</f>
        <v>0.35775345817659199</v>
      </c>
    </row>
    <row r="275" spans="1:16" x14ac:dyDescent="0.25">
      <c r="A275" t="s">
        <v>68</v>
      </c>
      <c r="B275" t="s">
        <v>70</v>
      </c>
      <c r="C275">
        <v>11</v>
      </c>
      <c r="D275" t="s">
        <v>137</v>
      </c>
      <c r="E275" t="s">
        <v>132</v>
      </c>
      <c r="F275" t="s">
        <v>102</v>
      </c>
      <c r="G275">
        <v>44</v>
      </c>
      <c r="H275">
        <v>0</v>
      </c>
      <c r="I27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30</v>
      </c>
      <c r="K275" s="5" cm="1">
        <f t="array" ref="K275">IFERROR(AVERAGE(IF((OutputTable[GroupByKey]=OutputTable[[#This Row],[GroupByKey]]),(OutputTable[GroupByKey]=OutputTable[[#This Row],[GroupByKey]])*OutputTable[RecordedValue])),0)</f>
        <v>38.93333333333333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5.9765826548191505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75" s="5" cm="1">
        <f t="array" ref="O275">MIN(IF((OutputTable[GroupByKey]=OutputTable[[#This Row],[GroupByKey]]),(OutputTable[GroupByKey]=OutputTable[[#This Row],[GroupByKey]])*OutputTable[RecordedValue]))</f>
        <v>25</v>
      </c>
      <c r="P275" s="5" cm="1">
        <f t="array" ref="P275">MAX(IF((OutputTable[GroupByKey]=OutputTable[[#This Row],[GroupByKey]]),(OutputTable[GroupByKey]=OutputTable[[#This Row],[GroupByKey]])*OutputTable[RecordedValue]))</f>
        <v>49</v>
      </c>
    </row>
    <row r="276" spans="1:16" x14ac:dyDescent="0.25">
      <c r="A276" t="s">
        <v>68</v>
      </c>
      <c r="B276" t="s">
        <v>70</v>
      </c>
      <c r="C276">
        <v>11</v>
      </c>
      <c r="D276" t="s">
        <v>138</v>
      </c>
      <c r="E276" t="s">
        <v>134</v>
      </c>
      <c r="F276" t="s">
        <v>102</v>
      </c>
      <c r="G276">
        <v>9.0224829732901302E-2</v>
      </c>
      <c r="H276">
        <v>0</v>
      </c>
      <c r="I27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30</v>
      </c>
      <c r="K276" s="5" cm="1">
        <f t="array" ref="K276">IFERROR(AVERAGE(IF((OutputTable[GroupByKey]=OutputTable[[#This Row],[GroupByKey]]),(OutputTable[GroupByKey]=OutputTable[[#This Row],[GroupByKey]])*OutputTable[RecordedValue])),0)</f>
        <v>8.2588852761398115E-2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1.3130964022328008E-2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276" s="5" cm="1">
        <f t="array" ref="O276">MIN(IF((OutputTable[GroupByKey]=OutputTable[[#This Row],[GroupByKey]]),(OutputTable[GroupByKey]=OutputTable[[#This Row],[GroupByKey]])*OutputTable[RecordedValue]))</f>
        <v>5.3757894868807901E-2</v>
      </c>
      <c r="P276" s="5" cm="1">
        <f t="array" ref="P276">MAX(IF((OutputTable[GroupByKey]=OutputTable[[#This Row],[GroupByKey]]),(OutputTable[GroupByKey]=OutputTable[[#This Row],[GroupByKey]])*OutputTable[RecordedValue]))</f>
        <v>0.103175045984152</v>
      </c>
    </row>
    <row r="277" spans="1:16" x14ac:dyDescent="0.25">
      <c r="A277" t="s">
        <v>68</v>
      </c>
      <c r="B277" t="s">
        <v>70</v>
      </c>
      <c r="C277">
        <v>12</v>
      </c>
      <c r="D277" t="s">
        <v>107</v>
      </c>
      <c r="E277" t="s">
        <v>108</v>
      </c>
      <c r="F277" t="s">
        <v>73</v>
      </c>
      <c r="G277">
        <v>86</v>
      </c>
      <c r="H277">
        <v>0</v>
      </c>
      <c r="I277" s="5" t="str">
        <f>OutputTable[[#This Row],[ProjectName]]&amp;OutputTable[[#This Row],[Name]]&amp;OutputTable[[#This Row],[Type]]&amp;OutputTable[[#This Row],[Source]]</f>
        <v>Pedido CleintesClientes.NumberInNumber InEntity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30</v>
      </c>
      <c r="K277" s="5" cm="1">
        <f t="array" ref="K277">IFERROR(AVERAGE(IF((OutputTable[GroupByKey]=OutputTable[[#This Row],[GroupByKey]]),(OutputTable[GroupByKey]=OutputTable[[#This Row],[GroupByKey]])*OutputTable[RecordedValue])),0)</f>
        <v>118.5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18.009097317936192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277" s="5" cm="1">
        <f t="array" ref="O277">MIN(IF((OutputTable[GroupByKey]=OutputTable[[#This Row],[GroupByKey]]),(OutputTable[GroupByKey]=OutputTable[[#This Row],[GroupByKey]])*OutputTable[RecordedValue]))</f>
        <v>78</v>
      </c>
      <c r="P277" s="5" cm="1">
        <f t="array" ref="P277">MAX(IF((OutputTable[GroupByKey]=OutputTable[[#This Row],[GroupByKey]]),(OutputTable[GroupByKey]=OutputTable[[#This Row],[GroupByKey]])*OutputTable[RecordedValue]))</f>
        <v>147</v>
      </c>
    </row>
    <row r="278" spans="1:16" x14ac:dyDescent="0.25">
      <c r="A278" t="s">
        <v>68</v>
      </c>
      <c r="B278" t="s">
        <v>70</v>
      </c>
      <c r="C278">
        <v>12</v>
      </c>
      <c r="D278" t="s">
        <v>109</v>
      </c>
      <c r="E278" t="s">
        <v>110</v>
      </c>
      <c r="F278" t="s">
        <v>73</v>
      </c>
      <c r="G278">
        <v>84</v>
      </c>
      <c r="H278">
        <v>0</v>
      </c>
      <c r="I278" s="5" t="str">
        <f>OutputTable[[#This Row],[ProjectName]]&amp;OutputTable[[#This Row],[Name]]&amp;OutputTable[[#This Row],[Type]]&amp;OutputTable[[#This Row],[Source]]</f>
        <v>Pedido CleintesClientes.NumberOutNumber OutEntity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30</v>
      </c>
      <c r="K278" s="5" cm="1">
        <f t="array" ref="K278">IFERROR(AVERAGE(IF((OutputTable[GroupByKey]=OutputTable[[#This Row],[GroupByKey]]),(OutputTable[GroupByKey]=OutputTable[[#This Row],[GroupByKey]])*OutputTable[RecordedValue])),0)</f>
        <v>116.6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18.252255410940514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278" s="5" cm="1">
        <f t="array" ref="O278">MIN(IF((OutputTable[GroupByKey]=OutputTable[[#This Row],[GroupByKey]]),(OutputTable[GroupByKey]=OutputTable[[#This Row],[GroupByKey]])*OutputTable[RecordedValue]))</f>
        <v>72</v>
      </c>
      <c r="P278" s="5" cm="1">
        <f t="array" ref="P278">MAX(IF((OutputTable[GroupByKey]=OutputTable[[#This Row],[GroupByKey]]),(OutputTable[GroupByKey]=OutputTable[[#This Row],[GroupByKey]])*OutputTable[RecordedValue]))</f>
        <v>147</v>
      </c>
    </row>
    <row r="279" spans="1:16" x14ac:dyDescent="0.25">
      <c r="A279" t="s">
        <v>68</v>
      </c>
      <c r="B279" t="s">
        <v>70</v>
      </c>
      <c r="C279">
        <v>12</v>
      </c>
      <c r="D279" t="s">
        <v>111</v>
      </c>
      <c r="E279" t="s">
        <v>112</v>
      </c>
      <c r="F279" t="s">
        <v>81</v>
      </c>
      <c r="G279">
        <v>13.627367285979</v>
      </c>
      <c r="H279">
        <v>0</v>
      </c>
      <c r="I27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30</v>
      </c>
      <c r="K279" s="5" cm="1">
        <f t="array" ref="K279">IFERROR(AVERAGE(IF((OutputTable[GroupByKey]=OutputTable[[#This Row],[GroupByKey]]),(OutputTable[GroupByKey]=OutputTable[[#This Row],[GroupByKey]])*OutputTable[RecordedValue])),0)</f>
        <v>19.806808580201274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3.1624794742170024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279" s="5" cm="1">
        <f t="array" ref="O279">MIN(IF((OutputTable[GroupByKey]=OutputTable[[#This Row],[GroupByKey]]),(OutputTable[GroupByKey]=OutputTable[[#This Row],[GroupByKey]])*OutputTable[RecordedValue]))</f>
        <v>12.812268330404599</v>
      </c>
      <c r="P279" s="5" cm="1">
        <f t="array" ref="P279">MAX(IF((OutputTable[GroupByKey]=OutputTable[[#This Row],[GroupByKey]]),(OutputTable[GroupByKey]=OutputTable[[#This Row],[GroupByKey]])*OutputTable[RecordedValue]))</f>
        <v>24.762011036196501</v>
      </c>
    </row>
    <row r="280" spans="1:16" x14ac:dyDescent="0.25">
      <c r="A280" t="s">
        <v>68</v>
      </c>
      <c r="B280" t="s">
        <v>70</v>
      </c>
      <c r="C280">
        <v>12</v>
      </c>
      <c r="D280" t="s">
        <v>113</v>
      </c>
      <c r="E280" t="s">
        <v>114</v>
      </c>
      <c r="F280" t="s">
        <v>81</v>
      </c>
      <c r="G280">
        <v>0</v>
      </c>
      <c r="H280">
        <v>0</v>
      </c>
      <c r="I28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30</v>
      </c>
      <c r="K280" s="5" cm="1">
        <f t="array" ref="K280">IFERROR(AVERAGE(IF((OutputTable[GroupByKey]=OutputTable[[#This Row],[GroupByKey]]),(OutputTable[GroupByKey]=OutputTable[[#This Row],[GroupByKey]])*OutputTable[RecordedValue])),0)</f>
        <v>0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0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s="5" cm="1">
        <f t="array" ref="O280">MIN(IF((OutputTable[GroupByKey]=OutputTable[[#This Row],[GroupByKey]]),(OutputTable[GroupByKey]=OutputTable[[#This Row],[GroupByKey]])*OutputTable[RecordedValue]))</f>
        <v>0</v>
      </c>
      <c r="P280" s="5" cm="1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68</v>
      </c>
      <c r="B281" t="s">
        <v>70</v>
      </c>
      <c r="C281">
        <v>12</v>
      </c>
      <c r="D281" t="s">
        <v>115</v>
      </c>
      <c r="E281" t="s">
        <v>108</v>
      </c>
      <c r="F281" t="s">
        <v>81</v>
      </c>
      <c r="G281">
        <v>28</v>
      </c>
      <c r="H281">
        <v>0</v>
      </c>
      <c r="I28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30</v>
      </c>
      <c r="K281" s="5" cm="1">
        <f t="array" ref="K281">IFERROR(AVERAGE(IF((OutputTable[GroupByKey]=OutputTable[[#This Row],[GroupByKey]]),(OutputTable[GroupByKey]=OutputTable[[#This Row],[GroupByKey]])*OutputTable[RecordedValue])),0)</f>
        <v>38.93333333333333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5.9765826548191505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81" s="5" cm="1">
        <f t="array" ref="O281">MIN(IF((OutputTable[GroupByKey]=OutputTable[[#This Row],[GroupByKey]]),(OutputTable[GroupByKey]=OutputTable[[#This Row],[GroupByKey]])*OutputTable[RecordedValue]))</f>
        <v>25</v>
      </c>
      <c r="P281" s="5" cm="1">
        <f t="array" ref="P281">MAX(IF((OutputTable[GroupByKey]=OutputTable[[#This Row],[GroupByKey]]),(OutputTable[GroupByKey]=OutputTable[[#This Row],[GroupByKey]])*OutputTable[RecordedValue]))</f>
        <v>49</v>
      </c>
    </row>
    <row r="282" spans="1:16" x14ac:dyDescent="0.25">
      <c r="A282" t="s">
        <v>68</v>
      </c>
      <c r="B282" t="s">
        <v>70</v>
      </c>
      <c r="C282">
        <v>12</v>
      </c>
      <c r="D282" t="s">
        <v>116</v>
      </c>
      <c r="E282" t="s">
        <v>110</v>
      </c>
      <c r="F282" t="s">
        <v>81</v>
      </c>
      <c r="G282">
        <v>28</v>
      </c>
      <c r="H282">
        <v>0</v>
      </c>
      <c r="I28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30</v>
      </c>
      <c r="K282" s="5" cm="1">
        <f t="array" ref="K282">IFERROR(AVERAGE(IF((OutputTable[GroupByKey]=OutputTable[[#This Row],[GroupByKey]]),(OutputTable[GroupByKey]=OutputTable[[#This Row],[GroupByKey]])*OutputTable[RecordedValue])),0)</f>
        <v>38.866666666666667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6.0840851369801694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82" s="5" cm="1">
        <f t="array" ref="O282">MIN(IF((OutputTable[GroupByKey]=OutputTable[[#This Row],[GroupByKey]]),(OutputTable[GroupByKey]=OutputTable[[#This Row],[GroupByKey]])*OutputTable[RecordedValue]))</f>
        <v>24</v>
      </c>
      <c r="P282" s="5" cm="1">
        <f t="array" ref="P282">MAX(IF((OutputTable[GroupByKey]=OutputTable[[#This Row],[GroupByKey]]),(OutputTable[GroupByKey]=OutputTable[[#This Row],[GroupByKey]])*OutputTable[RecordedValue]))</f>
        <v>49</v>
      </c>
    </row>
    <row r="283" spans="1:16" x14ac:dyDescent="0.25">
      <c r="A283" t="s">
        <v>68</v>
      </c>
      <c r="B283" t="s">
        <v>70</v>
      </c>
      <c r="C283">
        <v>12</v>
      </c>
      <c r="D283" t="s">
        <v>117</v>
      </c>
      <c r="E283" t="s">
        <v>112</v>
      </c>
      <c r="F283" t="s">
        <v>81</v>
      </c>
      <c r="G283">
        <v>29.0305021330811</v>
      </c>
      <c r="H283">
        <v>0</v>
      </c>
      <c r="I283" s="5" t="str">
        <f>OutputTable[[#This Row],[ProjectName]]&amp;OutputTable[[#This Row],[Name]]&amp;OutputTable[[#This Row],[Type]]&amp;OutputTable[[#This Row],[Source]]</f>
        <v>Pedido CleintesOrdnes Accum VA TimeAccum VA TimeProcess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30</v>
      </c>
      <c r="K283" s="5" cm="1">
        <f t="array" ref="K283">IFERROR(AVERAGE(IF((OutputTable[GroupByKey]=OutputTable[[#This Row],[GroupByKey]]),(OutputTable[GroupByKey]=OutputTable[[#This Row],[GroupByKey]])*OutputTable[RecordedValue])),0)</f>
        <v>39.878126992056487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6.1068580319474277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283" s="5" cm="1">
        <f t="array" ref="O283">MIN(IF((OutputTable[GroupByKey]=OutputTable[[#This Row],[GroupByKey]]),(OutputTable[GroupByKey]=OutputTable[[#This Row],[GroupByKey]])*OutputTable[RecordedValue]))</f>
        <v>26.106281767804099</v>
      </c>
      <c r="P283" s="5" cm="1">
        <f t="array" ref="P283">MAX(IF((OutputTable[GroupByKey]=OutputTable[[#This Row],[GroupByKey]]),(OutputTable[GroupByKey]=OutputTable[[#This Row],[GroupByKey]])*OutputTable[RecordedValue]))</f>
        <v>48.706388790541098</v>
      </c>
    </row>
    <row r="284" spans="1:16" x14ac:dyDescent="0.25">
      <c r="A284" t="s">
        <v>68</v>
      </c>
      <c r="B284" t="s">
        <v>70</v>
      </c>
      <c r="C284">
        <v>12</v>
      </c>
      <c r="D284" t="s">
        <v>118</v>
      </c>
      <c r="E284" t="s">
        <v>114</v>
      </c>
      <c r="F284" t="s">
        <v>81</v>
      </c>
      <c r="G284">
        <v>0</v>
      </c>
      <c r="H284">
        <v>0</v>
      </c>
      <c r="I28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30</v>
      </c>
      <c r="K284" s="5" cm="1">
        <f t="array" ref="K284">IFERROR(AVERAGE(IF((OutputTable[GroupByKey]=OutputTable[[#This Row],[GroupByKey]]),(OutputTable[GroupByKey]=OutputTable[[#This Row],[GroupByKey]])*OutputTable[RecordedValue])),0)</f>
        <v>7.9804799821754404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4.8950382198155014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284" s="5" cm="1">
        <f t="array" ref="O284">MIN(IF((OutputTable[GroupByKey]=OutputTable[[#This Row],[GroupByKey]]),(OutputTable[GroupByKey]=OutputTable[[#This Row],[GroupByKey]])*OutputTable[RecordedValue]))</f>
        <v>0</v>
      </c>
      <c r="P284" s="5" cm="1">
        <f t="array" ref="P284">MAX(IF((OutputTable[GroupByKey]=OutputTable[[#This Row],[GroupByKey]]),(OutputTable[GroupByKey]=OutputTable[[#This Row],[GroupByKey]])*OutputTable[RecordedValue]))</f>
        <v>18.843855117811401</v>
      </c>
    </row>
    <row r="285" spans="1:16" x14ac:dyDescent="0.25">
      <c r="A285" t="s">
        <v>68</v>
      </c>
      <c r="B285" t="s">
        <v>70</v>
      </c>
      <c r="C285">
        <v>12</v>
      </c>
      <c r="D285" t="s">
        <v>119</v>
      </c>
      <c r="E285" t="s">
        <v>108</v>
      </c>
      <c r="F285" t="s">
        <v>81</v>
      </c>
      <c r="G285">
        <v>29</v>
      </c>
      <c r="H285">
        <v>0</v>
      </c>
      <c r="I285" s="5" t="str">
        <f>OutputTable[[#This Row],[ProjectName]]&amp;OutputTable[[#This Row],[Name]]&amp;OutputTable[[#This Row],[Type]]&amp;OutputTable[[#This Row],[Source]]</f>
        <v>Pedido CleintesOrdnes Number InNumber InProcess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30</v>
      </c>
      <c r="K285" s="5" cm="1">
        <f t="array" ref="K285">IFERROR(AVERAGE(IF((OutputTable[GroupByKey]=OutputTable[[#This Row],[GroupByKey]]),(OutputTable[GroupByKey]=OutputTable[[#This Row],[GroupByKey]])*OutputTable[RecordedValue])),0)</f>
        <v>39.9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6.0648791101463475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285" s="5" cm="1">
        <f t="array" ref="O285">MIN(IF((OutputTable[GroupByKey]=OutputTable[[#This Row],[GroupByKey]]),(OutputTable[GroupByKey]=OutputTable[[#This Row],[GroupByKey]])*OutputTable[RecordedValue]))</f>
        <v>27</v>
      </c>
      <c r="P285" s="5" cm="1">
        <f t="array" ref="P285">MAX(IF((OutputTable[GroupByKey]=OutputTable[[#This Row],[GroupByKey]]),(OutputTable[GroupByKey]=OutputTable[[#This Row],[GroupByKey]])*OutputTable[RecordedValue]))</f>
        <v>49</v>
      </c>
    </row>
    <row r="286" spans="1:16" x14ac:dyDescent="0.25">
      <c r="A286" t="s">
        <v>68</v>
      </c>
      <c r="B286" t="s">
        <v>70</v>
      </c>
      <c r="C286">
        <v>12</v>
      </c>
      <c r="D286" t="s">
        <v>120</v>
      </c>
      <c r="E286" t="s">
        <v>110</v>
      </c>
      <c r="F286" t="s">
        <v>81</v>
      </c>
      <c r="G286">
        <v>29</v>
      </c>
      <c r="H286">
        <v>0</v>
      </c>
      <c r="I286" s="5" t="str">
        <f>OutputTable[[#This Row],[ProjectName]]&amp;OutputTable[[#This Row],[Name]]&amp;OutputTable[[#This Row],[Type]]&amp;OutputTable[[#This Row],[Source]]</f>
        <v>Pedido CleintesOrdnes Number OutNumber OutProcess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30</v>
      </c>
      <c r="K286" s="5" cm="1">
        <f t="array" ref="K286">IFERROR(AVERAGE(IF((OutputTable[GroupByKey]=OutputTable[[#This Row],[GroupByKey]]),(OutputTable[GroupByKey]=OutputTable[[#This Row],[GroupByKey]])*OutputTable[RecordedValue])),0)</f>
        <v>39.666666666666664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6.0477030882540914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86" s="5" cm="1">
        <f t="array" ref="O286">MIN(IF((OutputTable[GroupByKey]=OutputTable[[#This Row],[GroupByKey]]),(OutputTable[GroupByKey]=OutputTable[[#This Row],[GroupByKey]])*OutputTable[RecordedValue]))</f>
        <v>26</v>
      </c>
      <c r="P286" s="5" cm="1">
        <f t="array" ref="P286">MAX(IF((OutputTable[GroupByKey]=OutputTable[[#This Row],[GroupByKey]]),(OutputTable[GroupByKey]=OutputTable[[#This Row],[GroupByKey]])*OutputTable[RecordedValue]))</f>
        <v>49</v>
      </c>
    </row>
    <row r="287" spans="1:16" x14ac:dyDescent="0.25">
      <c r="A287" t="s">
        <v>68</v>
      </c>
      <c r="B287" t="s">
        <v>70</v>
      </c>
      <c r="C287">
        <v>12</v>
      </c>
      <c r="D287" t="s">
        <v>121</v>
      </c>
      <c r="E287" t="s">
        <v>112</v>
      </c>
      <c r="F287" t="s">
        <v>81</v>
      </c>
      <c r="G287">
        <v>21.368173774765999</v>
      </c>
      <c r="H287">
        <v>0</v>
      </c>
      <c r="I287" s="5" t="str">
        <f>OutputTable[[#This Row],[ProjectName]]&amp;OutputTable[[#This Row],[Name]]&amp;OutputTable[[#This Row],[Type]]&amp;OutputTable[[#This Row],[Source]]</f>
        <v>Pedido CleintesPago Accum VA TimeAccum VA TimeProcess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30</v>
      </c>
      <c r="K287" s="5" cm="1">
        <f t="array" ref="K287">IFERROR(AVERAGE(IF((OutputTable[GroupByKey]=OutputTable[[#This Row],[GroupByKey]]),(OutputTable[GroupByKey]=OutputTable[[#This Row],[GroupByKey]])*OutputTable[RecordedValue])),0)</f>
        <v>29.486262713858675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4.747176664010901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287" s="5" cm="1">
        <f t="array" ref="O287">MIN(IF((OutputTable[GroupByKey]=OutputTable[[#This Row],[GroupByKey]]),(OutputTable[GroupByKey]=OutputTable[[#This Row],[GroupByKey]])*OutputTable[RecordedValue]))</f>
        <v>19.573210250889101</v>
      </c>
      <c r="P287" s="5" cm="1">
        <f t="array" ref="P287">MAX(IF((OutputTable[GroupByKey]=OutputTable[[#This Row],[GroupByKey]]),(OutputTable[GroupByKey]=OutputTable[[#This Row],[GroupByKey]])*OutputTable[RecordedValue]))</f>
        <v>37.056974462114901</v>
      </c>
    </row>
    <row r="288" spans="1:16" x14ac:dyDescent="0.25">
      <c r="A288" t="s">
        <v>68</v>
      </c>
      <c r="B288" t="s">
        <v>70</v>
      </c>
      <c r="C288">
        <v>12</v>
      </c>
      <c r="D288" t="s">
        <v>122</v>
      </c>
      <c r="E288" t="s">
        <v>114</v>
      </c>
      <c r="F288" t="s">
        <v>81</v>
      </c>
      <c r="G288">
        <v>0</v>
      </c>
      <c r="H288">
        <v>0</v>
      </c>
      <c r="I288" s="5" t="str">
        <f>OutputTable[[#This Row],[ProjectName]]&amp;OutputTable[[#This Row],[Name]]&amp;OutputTable[[#This Row],[Type]]&amp;OutputTable[[#This Row],[Source]]</f>
        <v>Pedido CleintesPago Accum Wait TimeAccum Wait TimeProcess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30</v>
      </c>
      <c r="K288" s="5" cm="1">
        <f t="array" ref="K288">IFERROR(AVERAGE(IF((OutputTable[GroupByKey]=OutputTable[[#This Row],[GroupByKey]]),(OutputTable[GroupByKey]=OutputTable[[#This Row],[GroupByKey]])*OutputTable[RecordedValue])),0)</f>
        <v>13.025761997568024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7.8467935605388783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288" s="5" cm="1">
        <f t="array" ref="O288">MIN(IF((OutputTable[GroupByKey]=OutputTable[[#This Row],[GroupByKey]]),(OutputTable[GroupByKey]=OutputTable[[#This Row],[GroupByKey]])*OutputTable[RecordedValue]))</f>
        <v>0</v>
      </c>
      <c r="P288" s="5" cm="1">
        <f t="array" ref="P288">MAX(IF((OutputTable[GroupByKey]=OutputTable[[#This Row],[GroupByKey]]),(OutputTable[GroupByKey]=OutputTable[[#This Row],[GroupByKey]])*OutputTable[RecordedValue]))</f>
        <v>32.770863925850499</v>
      </c>
    </row>
    <row r="289" spans="1:16" x14ac:dyDescent="0.25">
      <c r="A289" t="s">
        <v>68</v>
      </c>
      <c r="B289" t="s">
        <v>70</v>
      </c>
      <c r="C289">
        <v>12</v>
      </c>
      <c r="D289" t="s">
        <v>123</v>
      </c>
      <c r="E289" t="s">
        <v>108</v>
      </c>
      <c r="F289" t="s">
        <v>81</v>
      </c>
      <c r="G289">
        <v>29</v>
      </c>
      <c r="H289">
        <v>0</v>
      </c>
      <c r="I289" s="5" t="str">
        <f>OutputTable[[#This Row],[ProjectName]]&amp;OutputTable[[#This Row],[Name]]&amp;OutputTable[[#This Row],[Type]]&amp;OutputTable[[#This Row],[Source]]</f>
        <v>Pedido CleintesPago Number InNumber InProcess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30</v>
      </c>
      <c r="K289" s="5" cm="1">
        <f t="array" ref="K289">IFERROR(AVERAGE(IF((OutputTable[GroupByKey]=OutputTable[[#This Row],[GroupByKey]]),(OutputTable[GroupByKey]=OutputTable[[#This Row],[GroupByKey]])*OutputTable[RecordedValue])),0)</f>
        <v>39.666666666666664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6.0477030882540914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89" s="5" cm="1">
        <f t="array" ref="O289">MIN(IF((OutputTable[GroupByKey]=OutputTable[[#This Row],[GroupByKey]]),(OutputTable[GroupByKey]=OutputTable[[#This Row],[GroupByKey]])*OutputTable[RecordedValue]))</f>
        <v>26</v>
      </c>
      <c r="P289" s="5" cm="1">
        <f t="array" ref="P289">MAX(IF((OutputTable[GroupByKey]=OutputTable[[#This Row],[GroupByKey]]),(OutputTable[GroupByKey]=OutputTable[[#This Row],[GroupByKey]])*OutputTable[RecordedValue]))</f>
        <v>49</v>
      </c>
    </row>
    <row r="290" spans="1:16" x14ac:dyDescent="0.25">
      <c r="A290" t="s">
        <v>68</v>
      </c>
      <c r="B290" t="s">
        <v>70</v>
      </c>
      <c r="C290">
        <v>12</v>
      </c>
      <c r="D290" t="s">
        <v>124</v>
      </c>
      <c r="E290" t="s">
        <v>110</v>
      </c>
      <c r="F290" t="s">
        <v>81</v>
      </c>
      <c r="G290">
        <v>29</v>
      </c>
      <c r="H290">
        <v>0</v>
      </c>
      <c r="I290" s="5" t="str">
        <f>OutputTable[[#This Row],[ProjectName]]&amp;OutputTable[[#This Row],[Name]]&amp;OutputTable[[#This Row],[Type]]&amp;OutputTable[[#This Row],[Source]]</f>
        <v>Pedido CleintesPago Number OutNumber OutProcess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30</v>
      </c>
      <c r="K290" s="5" cm="1">
        <f t="array" ref="K290">IFERROR(AVERAGE(IF((OutputTable[GroupByKey]=OutputTable[[#This Row],[GroupByKey]]),(OutputTable[GroupByKey]=OutputTable[[#This Row],[GroupByKey]])*OutputTable[RecordedValue])),0)</f>
        <v>39.43333333333333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5.9171482724502509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290" s="5" cm="1">
        <f t="array" ref="O290">MIN(IF((OutputTable[GroupByKey]=OutputTable[[#This Row],[GroupByKey]]),(OutputTable[GroupByKey]=OutputTable[[#This Row],[GroupByKey]])*OutputTable[RecordedValue]))</f>
        <v>26</v>
      </c>
      <c r="P290" s="5" cm="1">
        <f t="array" ref="P290">MAX(IF((OutputTable[GroupByKey]=OutputTable[[#This Row],[GroupByKey]]),(OutputTable[GroupByKey]=OutputTable[[#This Row],[GroupByKey]])*OutputTable[RecordedValue]))</f>
        <v>49</v>
      </c>
    </row>
    <row r="291" spans="1:16" x14ac:dyDescent="0.25">
      <c r="A291" t="s">
        <v>68</v>
      </c>
      <c r="B291" t="s">
        <v>70</v>
      </c>
      <c r="C291">
        <v>12</v>
      </c>
      <c r="D291" t="s">
        <v>125</v>
      </c>
      <c r="E291" t="s">
        <v>112</v>
      </c>
      <c r="F291" t="s">
        <v>81</v>
      </c>
      <c r="G291">
        <v>83.224112256703094</v>
      </c>
      <c r="H291">
        <v>0</v>
      </c>
      <c r="I29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30</v>
      </c>
      <c r="K291" s="5" cm="1">
        <f t="array" ref="K291">IFERROR(AVERAGE(IF((OutputTable[GroupByKey]=OutputTable[[#This Row],[GroupByKey]]),(OutputTable[GroupByKey]=OutputTable[[#This Row],[GroupByKey]])*OutputTable[RecordedValue])),0)</f>
        <v>116.64263458387505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17.825477946659205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291" s="5" cm="1">
        <f t="array" ref="O291">MIN(IF((OutputTable[GroupByKey]=OutputTable[[#This Row],[GroupByKey]]),(OutputTable[GroupByKey]=OutputTable[[#This Row],[GroupByKey]])*OutputTable[RecordedValue]))</f>
        <v>74.976560761710004</v>
      </c>
      <c r="P291" s="5" cm="1">
        <f t="array" ref="P291">MAX(IF((OutputTable[GroupByKey]=OutputTable[[#This Row],[GroupByKey]]),(OutputTable[GroupByKey]=OutputTable[[#This Row],[GroupByKey]])*OutputTable[RecordedValue]))</f>
        <v>145.504156763596</v>
      </c>
    </row>
    <row r="292" spans="1:16" x14ac:dyDescent="0.25">
      <c r="A292" t="s">
        <v>68</v>
      </c>
      <c r="B292" t="s">
        <v>70</v>
      </c>
      <c r="C292">
        <v>12</v>
      </c>
      <c r="D292" t="s">
        <v>126</v>
      </c>
      <c r="E292" t="s">
        <v>114</v>
      </c>
      <c r="F292" t="s">
        <v>81</v>
      </c>
      <c r="G292">
        <v>2.1708788192608899</v>
      </c>
      <c r="H292">
        <v>0</v>
      </c>
      <c r="I29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30</v>
      </c>
      <c r="K292" s="5" cm="1">
        <f t="array" ref="K292">IFERROR(AVERAGE(IF((OutputTable[GroupByKey]=OutputTable[[#This Row],[GroupByKey]]),(OutputTable[GroupByKey]=OutputTable[[#This Row],[GroupByKey]])*OutputTable[RecordedValue])),0)</f>
        <v>39.900972800228722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22.922906975864144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292" s="5" cm="1">
        <f t="array" ref="O292">MIN(IF((OutputTable[GroupByKey]=OutputTable[[#This Row],[GroupByKey]]),(OutputTable[GroupByKey]=OutputTable[[#This Row],[GroupByKey]])*OutputTable[RecordedValue]))</f>
        <v>2.1708788192608899</v>
      </c>
      <c r="P292" s="5" cm="1">
        <f t="array" ref="P292">MAX(IF((OutputTable[GroupByKey]=OutputTable[[#This Row],[GroupByKey]]),(OutputTable[GroupByKey]=OutputTable[[#This Row],[GroupByKey]])*OutputTable[RecordedValue]))</f>
        <v>94.9142929398908</v>
      </c>
    </row>
    <row r="293" spans="1:16" x14ac:dyDescent="0.25">
      <c r="A293" t="s">
        <v>68</v>
      </c>
      <c r="B293" t="s">
        <v>70</v>
      </c>
      <c r="C293">
        <v>12</v>
      </c>
      <c r="D293" t="s">
        <v>127</v>
      </c>
      <c r="E293" t="s">
        <v>108</v>
      </c>
      <c r="F293" t="s">
        <v>81</v>
      </c>
      <c r="G293">
        <v>29</v>
      </c>
      <c r="H293">
        <v>0</v>
      </c>
      <c r="I293" s="5" t="str">
        <f>OutputTable[[#This Row],[ProjectName]]&amp;OutputTable[[#This Row],[Name]]&amp;OutputTable[[#This Row],[Type]]&amp;OutputTable[[#This Row],[Source]]</f>
        <v>Pedido CleintesPreparar orden Number InNumber InProcess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30</v>
      </c>
      <c r="K293" s="5" cm="1">
        <f t="array" ref="K293">IFERROR(AVERAGE(IF((OutputTable[GroupByKey]=OutputTable[[#This Row],[GroupByKey]]),(OutputTable[GroupByKey]=OutputTable[[#This Row],[GroupByKey]])*OutputTable[RecordedValue])),0)</f>
        <v>39.666666666666664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6.0477030882540914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293" s="5" cm="1">
        <f t="array" ref="O293">MIN(IF((OutputTable[GroupByKey]=OutputTable[[#This Row],[GroupByKey]]),(OutputTable[GroupByKey]=OutputTable[[#This Row],[GroupByKey]])*OutputTable[RecordedValue]))</f>
        <v>26</v>
      </c>
      <c r="P293" s="5" cm="1">
        <f t="array" ref="P293">MAX(IF((OutputTable[GroupByKey]=OutputTable[[#This Row],[GroupByKey]]),(OutputTable[GroupByKey]=OutputTable[[#This Row],[GroupByKey]])*OutputTable[RecordedValue]))</f>
        <v>49</v>
      </c>
    </row>
    <row r="294" spans="1:16" x14ac:dyDescent="0.25">
      <c r="A294" t="s">
        <v>68</v>
      </c>
      <c r="B294" t="s">
        <v>70</v>
      </c>
      <c r="C294">
        <v>12</v>
      </c>
      <c r="D294" t="s">
        <v>128</v>
      </c>
      <c r="E294" t="s">
        <v>110</v>
      </c>
      <c r="F294" t="s">
        <v>81</v>
      </c>
      <c r="G294">
        <v>28</v>
      </c>
      <c r="H294">
        <v>0</v>
      </c>
      <c r="I294" s="5" t="str">
        <f>OutputTable[[#This Row],[ProjectName]]&amp;OutputTable[[#This Row],[Name]]&amp;OutputTable[[#This Row],[Type]]&amp;OutputTable[[#This Row],[Source]]</f>
        <v>Pedido CleintesPreparar orden Number OutNumber OutProcess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30</v>
      </c>
      <c r="K294" s="5" cm="1">
        <f t="array" ref="K294">IFERROR(AVERAGE(IF((OutputTable[GroupByKey]=OutputTable[[#This Row],[GroupByKey]]),(OutputTable[GroupByKey]=OutputTable[[#This Row],[GroupByKey]])*OutputTable[RecordedValue])),0)</f>
        <v>38.93333333333333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5.9765826548191505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294" s="5" cm="1">
        <f t="array" ref="O294">MIN(IF((OutputTable[GroupByKey]=OutputTable[[#This Row],[GroupByKey]]),(OutputTable[GroupByKey]=OutputTable[[#This Row],[GroupByKey]])*OutputTable[RecordedValue]))</f>
        <v>25</v>
      </c>
      <c r="P294" s="5" cm="1">
        <f t="array" ref="P294">MAX(IF((OutputTable[GroupByKey]=OutputTable[[#This Row],[GroupByKey]]),(OutputTable[GroupByKey]=OutputTable[[#This Row],[GroupByKey]])*OutputTable[RecordedValue]))</f>
        <v>49</v>
      </c>
    </row>
    <row r="295" spans="1:16" x14ac:dyDescent="0.25">
      <c r="A295" t="s">
        <v>68</v>
      </c>
      <c r="B295" t="s">
        <v>70</v>
      </c>
      <c r="C295">
        <v>12</v>
      </c>
      <c r="D295" t="s">
        <v>129</v>
      </c>
      <c r="E295" t="s">
        <v>110</v>
      </c>
      <c r="F295" t="s">
        <v>130</v>
      </c>
      <c r="G295">
        <v>28</v>
      </c>
      <c r="H295">
        <v>0</v>
      </c>
      <c r="I295" s="5" t="str">
        <f>OutputTable[[#This Row],[ProjectName]]&amp;OutputTable[[#This Row],[Name]]&amp;OutputTable[[#This Row],[Type]]&amp;OutputTable[[#This Row],[Source]]</f>
        <v>Pedido CleintesSystem.NumberOutNumber OutSystem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30</v>
      </c>
      <c r="K295" s="5" cm="1">
        <f t="array" ref="K295">IFERROR(AVERAGE(IF((OutputTable[GroupByKey]=OutputTable[[#This Row],[GroupByKey]]),(OutputTable[GroupByKey]=OutputTable[[#This Row],[GroupByKey]])*OutputTable[RecordedValue])),0)</f>
        <v>38.866666666666667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6.0840851369801694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295" s="5" cm="1">
        <f t="array" ref="O295">MIN(IF((OutputTable[GroupByKey]=OutputTable[[#This Row],[GroupByKey]]),(OutputTable[GroupByKey]=OutputTable[[#This Row],[GroupByKey]])*OutputTable[RecordedValue]))</f>
        <v>24</v>
      </c>
      <c r="P295" s="5" cm="1">
        <f t="array" ref="P295">MAX(IF((OutputTable[GroupByKey]=OutputTable[[#This Row],[GroupByKey]]),(OutputTable[GroupByKey]=OutputTable[[#This Row],[GroupByKey]])*OutputTable[RecordedValue]))</f>
        <v>49</v>
      </c>
    </row>
    <row r="296" spans="1:16" x14ac:dyDescent="0.25">
      <c r="A296" t="s">
        <v>68</v>
      </c>
      <c r="B296" t="s">
        <v>70</v>
      </c>
      <c r="C296">
        <v>12</v>
      </c>
      <c r="D296" t="s">
        <v>131</v>
      </c>
      <c r="E296" t="s">
        <v>132</v>
      </c>
      <c r="F296" t="s">
        <v>102</v>
      </c>
      <c r="G296">
        <v>29</v>
      </c>
      <c r="H296">
        <v>0</v>
      </c>
      <c r="I29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30</v>
      </c>
      <c r="K296" s="5" cm="1">
        <f t="array" ref="K296">IFERROR(AVERAGE(IF((OutputTable[GroupByKey]=OutputTable[[#This Row],[GroupByKey]]),(OutputTable[GroupByKey]=OutputTable[[#This Row],[GroupByKey]])*OutputTable[RecordedValue])),0)</f>
        <v>39.4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5.8757244601014422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296" s="5" cm="1">
        <f t="array" ref="O296">MIN(IF((OutputTable[GroupByKey]=OutputTable[[#This Row],[GroupByKey]]),(OutputTable[GroupByKey]=OutputTable[[#This Row],[GroupByKey]])*OutputTable[RecordedValue]))</f>
        <v>26</v>
      </c>
      <c r="P296" s="5" cm="1">
        <f t="array" ref="P296">MAX(IF((OutputTable[GroupByKey]=OutputTable[[#This Row],[GroupByKey]]),(OutputTable[GroupByKey]=OutputTable[[#This Row],[GroupByKey]])*OutputTable[RecordedValue]))</f>
        <v>49</v>
      </c>
    </row>
    <row r="297" spans="1:16" x14ac:dyDescent="0.25">
      <c r="A297" t="s">
        <v>68</v>
      </c>
      <c r="B297" t="s">
        <v>70</v>
      </c>
      <c r="C297">
        <v>12</v>
      </c>
      <c r="D297" t="s">
        <v>133</v>
      </c>
      <c r="E297" t="s">
        <v>134</v>
      </c>
      <c r="F297" t="s">
        <v>102</v>
      </c>
      <c r="G297">
        <v>0.357464010826059</v>
      </c>
      <c r="H297">
        <v>0</v>
      </c>
      <c r="I29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30</v>
      </c>
      <c r="K297" s="5" cm="1">
        <f t="array" ref="K297">IFERROR(AVERAGE(IF((OutputTable[GroupByKey]=OutputTable[[#This Row],[GroupByKey]]),(OutputTable[GroupByKey]=OutputTable[[#This Row],[GroupByKey]])*OutputTable[RecordedValue])),0)</f>
        <v>0.48891840079317483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7.3627413122013347E-2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297" s="5" cm="1">
        <f t="array" ref="O297">MIN(IF((OutputTable[GroupByKey]=OutputTable[[#This Row],[GroupByKey]]),(OutputTable[GroupByKey]=OutputTable[[#This Row],[GroupByKey]])*OutputTable[RecordedValue]))</f>
        <v>0.31277577999924699</v>
      </c>
      <c r="P297" s="5" cm="1">
        <f t="array" ref="P297">MAX(IF((OutputTable[GroupByKey]=OutputTable[[#This Row],[GroupByKey]]),(OutputTable[GroupByKey]=OutputTable[[#This Row],[GroupByKey]])*OutputTable[RecordedValue]))</f>
        <v>0.60626731984831705</v>
      </c>
    </row>
    <row r="298" spans="1:16" x14ac:dyDescent="0.25">
      <c r="A298" t="s">
        <v>68</v>
      </c>
      <c r="B298" t="s">
        <v>70</v>
      </c>
      <c r="C298">
        <v>12</v>
      </c>
      <c r="D298" t="s">
        <v>135</v>
      </c>
      <c r="E298" t="s">
        <v>132</v>
      </c>
      <c r="F298" t="s">
        <v>102</v>
      </c>
      <c r="G298">
        <v>58</v>
      </c>
      <c r="H298">
        <v>0</v>
      </c>
      <c r="I29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30</v>
      </c>
      <c r="K298" s="5" cm="1">
        <f t="array" ref="K298">IFERROR(AVERAGE(IF((OutputTable[GroupByKey]=OutputTable[[#This Row],[GroupByKey]]),(OutputTable[GroupByKey]=OutputTable[[#This Row],[GroupByKey]])*OutputTable[RecordedValue])),0)</f>
        <v>79.466666666666669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12.016463801753446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298" s="5" cm="1">
        <f t="array" ref="O298">MIN(IF((OutputTable[GroupByKey]=OutputTable[[#This Row],[GroupByKey]]),(OutputTable[GroupByKey]=OutputTable[[#This Row],[GroupByKey]])*OutputTable[RecordedValue]))</f>
        <v>53</v>
      </c>
      <c r="P298" s="5" cm="1">
        <f t="array" ref="P298">MAX(IF((OutputTable[GroupByKey]=OutputTable[[#This Row],[GroupByKey]]),(OutputTable[GroupByKey]=OutputTable[[#This Row],[GroupByKey]])*OutputTable[RecordedValue]))</f>
        <v>98</v>
      </c>
    </row>
    <row r="299" spans="1:16" x14ac:dyDescent="0.25">
      <c r="A299" t="s">
        <v>68</v>
      </c>
      <c r="B299" t="s">
        <v>70</v>
      </c>
      <c r="C299">
        <v>12</v>
      </c>
      <c r="D299" t="s">
        <v>136</v>
      </c>
      <c r="E299" t="s">
        <v>134</v>
      </c>
      <c r="F299" t="s">
        <v>102</v>
      </c>
      <c r="G299">
        <v>0.20999448294936299</v>
      </c>
      <c r="H299">
        <v>0</v>
      </c>
      <c r="I29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30</v>
      </c>
      <c r="K299" s="5" cm="1">
        <f t="array" ref="K299">IFERROR(AVERAGE(IF((OutputTable[GroupByKey]=OutputTable[[#This Row],[GroupByKey]]),(OutputTable[GroupByKey]=OutputTable[[#This Row],[GroupByKey]])*OutputTable[RecordedValue])),0)</f>
        <v>0.28976365927997022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4.4748273652133699E-2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299" s="5" cm="1">
        <f t="array" ref="O299">MIN(IF((OutputTable[GroupByKey]=OutputTable[[#This Row],[GroupByKey]]),(OutputTable[GroupByKey]=OutputTable[[#This Row],[GroupByKey]])*OutputTable[RecordedValue]))</f>
        <v>0.194735973294278</v>
      </c>
      <c r="P299" s="5" cm="1">
        <f t="array" ref="P299">MAX(IF((OutputTable[GroupByKey]=OutputTable[[#This Row],[GroupByKey]]),(OutputTable[GroupByKey]=OutputTable[[#This Row],[GroupByKey]])*OutputTable[RecordedValue]))</f>
        <v>0.35775345817659199</v>
      </c>
    </row>
    <row r="300" spans="1:16" x14ac:dyDescent="0.25">
      <c r="A300" t="s">
        <v>68</v>
      </c>
      <c r="B300" t="s">
        <v>70</v>
      </c>
      <c r="C300">
        <v>12</v>
      </c>
      <c r="D300" t="s">
        <v>137</v>
      </c>
      <c r="E300" t="s">
        <v>132</v>
      </c>
      <c r="F300" t="s">
        <v>102</v>
      </c>
      <c r="G300">
        <v>28</v>
      </c>
      <c r="H300">
        <v>0</v>
      </c>
      <c r="I30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30</v>
      </c>
      <c r="K300" s="5" cm="1">
        <f t="array" ref="K300">IFERROR(AVERAGE(IF((OutputTable[GroupByKey]=OutputTable[[#This Row],[GroupByKey]]),(OutputTable[GroupByKey]=OutputTable[[#This Row],[GroupByKey]])*OutputTable[RecordedValue])),0)</f>
        <v>38.93333333333333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5.9765826548191505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00" s="5" cm="1">
        <f t="array" ref="O300">MIN(IF((OutputTable[GroupByKey]=OutputTable[[#This Row],[GroupByKey]]),(OutputTable[GroupByKey]=OutputTable[[#This Row],[GroupByKey]])*OutputTable[RecordedValue]))</f>
        <v>25</v>
      </c>
      <c r="P300" s="5" cm="1">
        <f t="array" ref="P300">MAX(IF((OutputTable[GroupByKey]=OutputTable[[#This Row],[GroupByKey]]),(OutputTable[GroupByKey]=OutputTable[[#This Row],[GroupByKey]])*OutputTable[RecordedValue]))</f>
        <v>49</v>
      </c>
    </row>
    <row r="301" spans="1:16" x14ac:dyDescent="0.25">
      <c r="A301" t="s">
        <v>68</v>
      </c>
      <c r="B301" t="s">
        <v>70</v>
      </c>
      <c r="C301">
        <v>12</v>
      </c>
      <c r="D301" t="s">
        <v>138</v>
      </c>
      <c r="E301" t="s">
        <v>134</v>
      </c>
      <c r="F301" t="s">
        <v>102</v>
      </c>
      <c r="G301">
        <v>5.6780697024912299E-2</v>
      </c>
      <c r="H301">
        <v>0</v>
      </c>
      <c r="I30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30</v>
      </c>
      <c r="K301" s="5" cm="1">
        <f t="array" ref="K301">IFERROR(AVERAGE(IF((OutputTable[GroupByKey]=OutputTable[[#This Row],[GroupByKey]]),(OutputTable[GroupByKey]=OutputTable[[#This Row],[GroupByKey]])*OutputTable[RecordedValue])),0)</f>
        <v>8.2588852761398115E-2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1.3130964022328008E-2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301" s="5" cm="1">
        <f t="array" ref="O301">MIN(IF((OutputTable[GroupByKey]=OutputTable[[#This Row],[GroupByKey]]),(OutputTable[GroupByKey]=OutputTable[[#This Row],[GroupByKey]])*OutputTable[RecordedValue]))</f>
        <v>5.3757894868807901E-2</v>
      </c>
      <c r="P301" s="5" cm="1">
        <f t="array" ref="P301">MAX(IF((OutputTable[GroupByKey]=OutputTable[[#This Row],[GroupByKey]]),(OutputTable[GroupByKey]=OutputTable[[#This Row],[GroupByKey]])*OutputTable[RecordedValue]))</f>
        <v>0.103175045984152</v>
      </c>
    </row>
    <row r="302" spans="1:16" x14ac:dyDescent="0.25">
      <c r="A302" t="s">
        <v>68</v>
      </c>
      <c r="B302" t="s">
        <v>70</v>
      </c>
      <c r="C302">
        <v>13</v>
      </c>
      <c r="D302" t="s">
        <v>107</v>
      </c>
      <c r="E302" t="s">
        <v>108</v>
      </c>
      <c r="F302" t="s">
        <v>73</v>
      </c>
      <c r="G302">
        <v>113</v>
      </c>
      <c r="H302">
        <v>0</v>
      </c>
      <c r="I302" s="5" t="str">
        <f>OutputTable[[#This Row],[ProjectName]]&amp;OutputTable[[#This Row],[Name]]&amp;OutputTable[[#This Row],[Type]]&amp;OutputTable[[#This Row],[Source]]</f>
        <v>Pedido CleintesClientes.NumberInNumber InEntity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30</v>
      </c>
      <c r="K302" s="5" cm="1">
        <f t="array" ref="K302">IFERROR(AVERAGE(IF((OutputTable[GroupByKey]=OutputTable[[#This Row],[GroupByKey]]),(OutputTable[GroupByKey]=OutputTable[[#This Row],[GroupByKey]])*OutputTable[RecordedValue])),0)</f>
        <v>118.5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18.009097317936192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302" s="5" cm="1">
        <f t="array" ref="O302">MIN(IF((OutputTable[GroupByKey]=OutputTable[[#This Row],[GroupByKey]]),(OutputTable[GroupByKey]=OutputTable[[#This Row],[GroupByKey]])*OutputTable[RecordedValue]))</f>
        <v>78</v>
      </c>
      <c r="P302" s="5" cm="1">
        <f t="array" ref="P302">MAX(IF((OutputTable[GroupByKey]=OutputTable[[#This Row],[GroupByKey]]),(OutputTable[GroupByKey]=OutputTable[[#This Row],[GroupByKey]])*OutputTable[RecordedValue]))</f>
        <v>147</v>
      </c>
    </row>
    <row r="303" spans="1:16" x14ac:dyDescent="0.25">
      <c r="A303" t="s">
        <v>68</v>
      </c>
      <c r="B303" t="s">
        <v>70</v>
      </c>
      <c r="C303">
        <v>13</v>
      </c>
      <c r="D303" t="s">
        <v>109</v>
      </c>
      <c r="E303" t="s">
        <v>110</v>
      </c>
      <c r="F303" t="s">
        <v>73</v>
      </c>
      <c r="G303">
        <v>111</v>
      </c>
      <c r="H303">
        <v>0</v>
      </c>
      <c r="I303" s="5" t="str">
        <f>OutputTable[[#This Row],[ProjectName]]&amp;OutputTable[[#This Row],[Name]]&amp;OutputTable[[#This Row],[Type]]&amp;OutputTable[[#This Row],[Source]]</f>
        <v>Pedido CleintesClientes.NumberOutNumber OutEntity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30</v>
      </c>
      <c r="K303" s="5" cm="1">
        <f t="array" ref="K303">IFERROR(AVERAGE(IF((OutputTable[GroupByKey]=OutputTable[[#This Row],[GroupByKey]]),(OutputTable[GroupByKey]=OutputTable[[#This Row],[GroupByKey]])*OutputTable[RecordedValue])),0)</f>
        <v>116.6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18.252255410940514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303" s="5" cm="1">
        <f t="array" ref="O303">MIN(IF((OutputTable[GroupByKey]=OutputTable[[#This Row],[GroupByKey]]),(OutputTable[GroupByKey]=OutputTable[[#This Row],[GroupByKey]])*OutputTable[RecordedValue]))</f>
        <v>72</v>
      </c>
      <c r="P303" s="5" cm="1">
        <f t="array" ref="P303">MAX(IF((OutputTable[GroupByKey]=OutputTable[[#This Row],[GroupByKey]]),(OutputTable[GroupByKey]=OutputTable[[#This Row],[GroupByKey]])*OutputTable[RecordedValue]))</f>
        <v>147</v>
      </c>
    </row>
    <row r="304" spans="1:16" x14ac:dyDescent="0.25">
      <c r="A304" t="s">
        <v>68</v>
      </c>
      <c r="B304" t="s">
        <v>70</v>
      </c>
      <c r="C304">
        <v>13</v>
      </c>
      <c r="D304" t="s">
        <v>111</v>
      </c>
      <c r="E304" t="s">
        <v>112</v>
      </c>
      <c r="F304" t="s">
        <v>81</v>
      </c>
      <c r="G304">
        <v>17.632002514367599</v>
      </c>
      <c r="H304">
        <v>0</v>
      </c>
      <c r="I30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30</v>
      </c>
      <c r="K304" s="5" cm="1">
        <f t="array" ref="K304">IFERROR(AVERAGE(IF((OutputTable[GroupByKey]=OutputTable[[#This Row],[GroupByKey]]),(OutputTable[GroupByKey]=OutputTable[[#This Row],[GroupByKey]])*OutputTable[RecordedValue])),0)</f>
        <v>19.806808580201274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3.1624794742170024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304" s="5" cm="1">
        <f t="array" ref="O304">MIN(IF((OutputTable[GroupByKey]=OutputTable[[#This Row],[GroupByKey]]),(OutputTable[GroupByKey]=OutputTable[[#This Row],[GroupByKey]])*OutputTable[RecordedValue]))</f>
        <v>12.812268330404599</v>
      </c>
      <c r="P304" s="5" cm="1">
        <f t="array" ref="P304">MAX(IF((OutputTable[GroupByKey]=OutputTable[[#This Row],[GroupByKey]]),(OutputTable[GroupByKey]=OutputTable[[#This Row],[GroupByKey]])*OutputTable[RecordedValue]))</f>
        <v>24.762011036196501</v>
      </c>
    </row>
    <row r="305" spans="1:16" x14ac:dyDescent="0.25">
      <c r="A305" t="s">
        <v>68</v>
      </c>
      <c r="B305" t="s">
        <v>70</v>
      </c>
      <c r="C305">
        <v>13</v>
      </c>
      <c r="D305" t="s">
        <v>113</v>
      </c>
      <c r="E305" t="s">
        <v>114</v>
      </c>
      <c r="F305" t="s">
        <v>81</v>
      </c>
      <c r="G305">
        <v>0</v>
      </c>
      <c r="H305">
        <v>0</v>
      </c>
      <c r="I30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30</v>
      </c>
      <c r="K305" s="5" cm="1">
        <f t="array" ref="K305">IFERROR(AVERAGE(IF((OutputTable[GroupByKey]=OutputTable[[#This Row],[GroupByKey]]),(OutputTable[GroupByKey]=OutputTable[[#This Row],[GroupByKey]])*OutputTable[RecordedValue])),0)</f>
        <v>0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0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5" s="5" cm="1">
        <f t="array" ref="O305">MIN(IF((OutputTable[GroupByKey]=OutputTable[[#This Row],[GroupByKey]]),(OutputTable[GroupByKey]=OutputTable[[#This Row],[GroupByKey]])*OutputTable[RecordedValue]))</f>
        <v>0</v>
      </c>
      <c r="P305" s="5" cm="1">
        <f t="array" ref="P305">MAX(IF((OutputTable[GroupByKey]=OutputTable[[#This Row],[GroupByKey]]),(OutputTable[GroupByKey]=OutputTable[[#This Row],[GroupByKey]])*OutputTable[RecordedValue]))</f>
        <v>0</v>
      </c>
    </row>
    <row r="306" spans="1:16" x14ac:dyDescent="0.25">
      <c r="A306" t="s">
        <v>68</v>
      </c>
      <c r="B306" t="s">
        <v>70</v>
      </c>
      <c r="C306">
        <v>13</v>
      </c>
      <c r="D306" t="s">
        <v>115</v>
      </c>
      <c r="E306" t="s">
        <v>108</v>
      </c>
      <c r="F306" t="s">
        <v>81</v>
      </c>
      <c r="G306">
        <v>37</v>
      </c>
      <c r="H306">
        <v>0</v>
      </c>
      <c r="I30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30</v>
      </c>
      <c r="K306" s="5" cm="1">
        <f t="array" ref="K306">IFERROR(AVERAGE(IF((OutputTable[GroupByKey]=OutputTable[[#This Row],[GroupByKey]]),(OutputTable[GroupByKey]=OutputTable[[#This Row],[GroupByKey]])*OutputTable[RecordedValue])),0)</f>
        <v>38.93333333333333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5.9765826548191505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06" s="5" cm="1">
        <f t="array" ref="O306">MIN(IF((OutputTable[GroupByKey]=OutputTable[[#This Row],[GroupByKey]]),(OutputTable[GroupByKey]=OutputTable[[#This Row],[GroupByKey]])*OutputTable[RecordedValue]))</f>
        <v>25</v>
      </c>
      <c r="P306" s="5" cm="1">
        <f t="array" ref="P306">MAX(IF((OutputTable[GroupByKey]=OutputTable[[#This Row],[GroupByKey]]),(OutputTable[GroupByKey]=OutputTable[[#This Row],[GroupByKey]])*OutputTable[RecordedValue]))</f>
        <v>49</v>
      </c>
    </row>
    <row r="307" spans="1:16" x14ac:dyDescent="0.25">
      <c r="A307" t="s">
        <v>68</v>
      </c>
      <c r="B307" t="s">
        <v>70</v>
      </c>
      <c r="C307">
        <v>13</v>
      </c>
      <c r="D307" t="s">
        <v>116</v>
      </c>
      <c r="E307" t="s">
        <v>110</v>
      </c>
      <c r="F307" t="s">
        <v>81</v>
      </c>
      <c r="G307">
        <v>37</v>
      </c>
      <c r="H307">
        <v>0</v>
      </c>
      <c r="I30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30</v>
      </c>
      <c r="K307" s="5" cm="1">
        <f t="array" ref="K307">IFERROR(AVERAGE(IF((OutputTable[GroupByKey]=OutputTable[[#This Row],[GroupByKey]]),(OutputTable[GroupByKey]=OutputTable[[#This Row],[GroupByKey]])*OutputTable[RecordedValue])),0)</f>
        <v>38.866666666666667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6.0840851369801694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07" s="5" cm="1">
        <f t="array" ref="O307">MIN(IF((OutputTable[GroupByKey]=OutputTable[[#This Row],[GroupByKey]]),(OutputTable[GroupByKey]=OutputTable[[#This Row],[GroupByKey]])*OutputTable[RecordedValue]))</f>
        <v>24</v>
      </c>
      <c r="P307" s="5" cm="1">
        <f t="array" ref="P307">MAX(IF((OutputTable[GroupByKey]=OutputTable[[#This Row],[GroupByKey]]),(OutputTable[GroupByKey]=OutputTable[[#This Row],[GroupByKey]])*OutputTable[RecordedValue]))</f>
        <v>49</v>
      </c>
    </row>
    <row r="308" spans="1:16" x14ac:dyDescent="0.25">
      <c r="A308" t="s">
        <v>68</v>
      </c>
      <c r="B308" t="s">
        <v>70</v>
      </c>
      <c r="C308">
        <v>13</v>
      </c>
      <c r="D308" t="s">
        <v>117</v>
      </c>
      <c r="E308" t="s">
        <v>112</v>
      </c>
      <c r="F308" t="s">
        <v>81</v>
      </c>
      <c r="G308">
        <v>38.106690840554698</v>
      </c>
      <c r="H308">
        <v>0</v>
      </c>
      <c r="I308" s="5" t="str">
        <f>OutputTable[[#This Row],[ProjectName]]&amp;OutputTable[[#This Row],[Name]]&amp;OutputTable[[#This Row],[Type]]&amp;OutputTable[[#This Row],[Source]]</f>
        <v>Pedido CleintesOrdnes Accum VA TimeAccum VA TimeProcess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30</v>
      </c>
      <c r="K308" s="5" cm="1">
        <f t="array" ref="K308">IFERROR(AVERAGE(IF((OutputTable[GroupByKey]=OutputTable[[#This Row],[GroupByKey]]),(OutputTable[GroupByKey]=OutputTable[[#This Row],[GroupByKey]])*OutputTable[RecordedValue])),0)</f>
        <v>39.878126992056487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6.1068580319474277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308" s="5" cm="1">
        <f t="array" ref="O308">MIN(IF((OutputTable[GroupByKey]=OutputTable[[#This Row],[GroupByKey]]),(OutputTable[GroupByKey]=OutputTable[[#This Row],[GroupByKey]])*OutputTable[RecordedValue]))</f>
        <v>26.106281767804099</v>
      </c>
      <c r="P308" s="5" cm="1">
        <f t="array" ref="P308">MAX(IF((OutputTable[GroupByKey]=OutputTable[[#This Row],[GroupByKey]]),(OutputTable[GroupByKey]=OutputTable[[#This Row],[GroupByKey]])*OutputTable[RecordedValue]))</f>
        <v>48.706388790541098</v>
      </c>
    </row>
    <row r="309" spans="1:16" x14ac:dyDescent="0.25">
      <c r="A309" t="s">
        <v>68</v>
      </c>
      <c r="B309" t="s">
        <v>70</v>
      </c>
      <c r="C309">
        <v>13</v>
      </c>
      <c r="D309" t="s">
        <v>118</v>
      </c>
      <c r="E309" t="s">
        <v>114</v>
      </c>
      <c r="F309" t="s">
        <v>81</v>
      </c>
      <c r="G309">
        <v>5.5972984340072998</v>
      </c>
      <c r="H309">
        <v>0</v>
      </c>
      <c r="I30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30</v>
      </c>
      <c r="K309" s="5" cm="1">
        <f t="array" ref="K309">IFERROR(AVERAGE(IF((OutputTable[GroupByKey]=OutputTable[[#This Row],[GroupByKey]]),(OutputTable[GroupByKey]=OutputTable[[#This Row],[GroupByKey]])*OutputTable[RecordedValue])),0)</f>
        <v>7.9804799821754404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4.8950382198155014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309" s="5" cm="1">
        <f t="array" ref="O309">MIN(IF((OutputTable[GroupByKey]=OutputTable[[#This Row],[GroupByKey]]),(OutputTable[GroupByKey]=OutputTable[[#This Row],[GroupByKey]])*OutputTable[RecordedValue]))</f>
        <v>0</v>
      </c>
      <c r="P309" s="5" cm="1">
        <f t="array" ref="P309">MAX(IF((OutputTable[GroupByKey]=OutputTable[[#This Row],[GroupByKey]]),(OutputTable[GroupByKey]=OutputTable[[#This Row],[GroupByKey]])*OutputTable[RecordedValue]))</f>
        <v>18.843855117811401</v>
      </c>
    </row>
    <row r="310" spans="1:16" x14ac:dyDescent="0.25">
      <c r="A310" t="s">
        <v>68</v>
      </c>
      <c r="B310" t="s">
        <v>70</v>
      </c>
      <c r="C310">
        <v>13</v>
      </c>
      <c r="D310" t="s">
        <v>119</v>
      </c>
      <c r="E310" t="s">
        <v>108</v>
      </c>
      <c r="F310" t="s">
        <v>81</v>
      </c>
      <c r="G310">
        <v>38</v>
      </c>
      <c r="H310">
        <v>0</v>
      </c>
      <c r="I310" s="5" t="str">
        <f>OutputTable[[#This Row],[ProjectName]]&amp;OutputTable[[#This Row],[Name]]&amp;OutputTable[[#This Row],[Type]]&amp;OutputTable[[#This Row],[Source]]</f>
        <v>Pedido CleintesOrdnes Number InNumber InProcess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30</v>
      </c>
      <c r="K310" s="5" cm="1">
        <f t="array" ref="K310">IFERROR(AVERAGE(IF((OutputTable[GroupByKey]=OutputTable[[#This Row],[GroupByKey]]),(OutputTable[GroupByKey]=OutputTable[[#This Row],[GroupByKey]])*OutputTable[RecordedValue])),0)</f>
        <v>39.9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6.0648791101463475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310" s="5" cm="1">
        <f t="array" ref="O310">MIN(IF((OutputTable[GroupByKey]=OutputTable[[#This Row],[GroupByKey]]),(OutputTable[GroupByKey]=OutputTable[[#This Row],[GroupByKey]])*OutputTable[RecordedValue]))</f>
        <v>27</v>
      </c>
      <c r="P310" s="5" cm="1">
        <f t="array" ref="P310">MAX(IF((OutputTable[GroupByKey]=OutputTable[[#This Row],[GroupByKey]]),(OutputTable[GroupByKey]=OutputTable[[#This Row],[GroupByKey]])*OutputTable[RecordedValue]))</f>
        <v>49</v>
      </c>
    </row>
    <row r="311" spans="1:16" x14ac:dyDescent="0.25">
      <c r="A311" t="s">
        <v>68</v>
      </c>
      <c r="B311" t="s">
        <v>70</v>
      </c>
      <c r="C311">
        <v>13</v>
      </c>
      <c r="D311" t="s">
        <v>120</v>
      </c>
      <c r="E311" t="s">
        <v>110</v>
      </c>
      <c r="F311" t="s">
        <v>81</v>
      </c>
      <c r="G311">
        <v>38</v>
      </c>
      <c r="H311">
        <v>0</v>
      </c>
      <c r="I311" s="5" t="str">
        <f>OutputTable[[#This Row],[ProjectName]]&amp;OutputTable[[#This Row],[Name]]&amp;OutputTable[[#This Row],[Type]]&amp;OutputTable[[#This Row],[Source]]</f>
        <v>Pedido CleintesOrdnes Number OutNumber OutProcess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30</v>
      </c>
      <c r="K311" s="5" cm="1">
        <f t="array" ref="K311">IFERROR(AVERAGE(IF((OutputTable[GroupByKey]=OutputTable[[#This Row],[GroupByKey]]),(OutputTable[GroupByKey]=OutputTable[[#This Row],[GroupByKey]])*OutputTable[RecordedValue])),0)</f>
        <v>39.666666666666664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6.0477030882540914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11" s="5" cm="1">
        <f t="array" ref="O311">MIN(IF((OutputTable[GroupByKey]=OutputTable[[#This Row],[GroupByKey]]),(OutputTable[GroupByKey]=OutputTable[[#This Row],[GroupByKey]])*OutputTable[RecordedValue]))</f>
        <v>26</v>
      </c>
      <c r="P311" s="5" cm="1">
        <f t="array" ref="P311">MAX(IF((OutputTable[GroupByKey]=OutputTable[[#This Row],[GroupByKey]]),(OutputTable[GroupByKey]=OutputTable[[#This Row],[GroupByKey]])*OutputTable[RecordedValue]))</f>
        <v>49</v>
      </c>
    </row>
    <row r="312" spans="1:16" x14ac:dyDescent="0.25">
      <c r="A312" t="s">
        <v>68</v>
      </c>
      <c r="B312" t="s">
        <v>70</v>
      </c>
      <c r="C312">
        <v>13</v>
      </c>
      <c r="D312" t="s">
        <v>121</v>
      </c>
      <c r="E312" t="s">
        <v>112</v>
      </c>
      <c r="F312" t="s">
        <v>81</v>
      </c>
      <c r="G312">
        <v>28.192252902550202</v>
      </c>
      <c r="H312">
        <v>0</v>
      </c>
      <c r="I312" s="5" t="str">
        <f>OutputTable[[#This Row],[ProjectName]]&amp;OutputTable[[#This Row],[Name]]&amp;OutputTable[[#This Row],[Type]]&amp;OutputTable[[#This Row],[Source]]</f>
        <v>Pedido CleintesPago Accum VA TimeAccum VA TimeProcess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30</v>
      </c>
      <c r="K312" s="5" cm="1">
        <f t="array" ref="K312">IFERROR(AVERAGE(IF((OutputTable[GroupByKey]=OutputTable[[#This Row],[GroupByKey]]),(OutputTable[GroupByKey]=OutputTable[[#This Row],[GroupByKey]])*OutputTable[RecordedValue])),0)</f>
        <v>29.486262713858675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4.747176664010901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312" s="5" cm="1">
        <f t="array" ref="O312">MIN(IF((OutputTable[GroupByKey]=OutputTable[[#This Row],[GroupByKey]]),(OutputTable[GroupByKey]=OutputTable[[#This Row],[GroupByKey]])*OutputTable[RecordedValue]))</f>
        <v>19.573210250889101</v>
      </c>
      <c r="P312" s="5" cm="1">
        <f t="array" ref="P312">MAX(IF((OutputTable[GroupByKey]=OutputTable[[#This Row],[GroupByKey]]),(OutputTable[GroupByKey]=OutputTable[[#This Row],[GroupByKey]])*OutputTable[RecordedValue]))</f>
        <v>37.056974462114901</v>
      </c>
    </row>
    <row r="313" spans="1:16" x14ac:dyDescent="0.25">
      <c r="A313" t="s">
        <v>68</v>
      </c>
      <c r="B313" t="s">
        <v>70</v>
      </c>
      <c r="C313">
        <v>13</v>
      </c>
      <c r="D313" t="s">
        <v>122</v>
      </c>
      <c r="E313" t="s">
        <v>114</v>
      </c>
      <c r="F313" t="s">
        <v>81</v>
      </c>
      <c r="G313">
        <v>8.71729898247062</v>
      </c>
      <c r="H313">
        <v>0</v>
      </c>
      <c r="I313" s="5" t="str">
        <f>OutputTable[[#This Row],[ProjectName]]&amp;OutputTable[[#This Row],[Name]]&amp;OutputTable[[#This Row],[Type]]&amp;OutputTable[[#This Row],[Source]]</f>
        <v>Pedido CleintesPago Accum Wait TimeAccum Wait TimeProcess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30</v>
      </c>
      <c r="K313" s="5" cm="1">
        <f t="array" ref="K313">IFERROR(AVERAGE(IF((OutputTable[GroupByKey]=OutputTable[[#This Row],[GroupByKey]]),(OutputTable[GroupByKey]=OutputTable[[#This Row],[GroupByKey]])*OutputTable[RecordedValue])),0)</f>
        <v>13.025761997568024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7.8467935605388783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313" s="5" cm="1">
        <f t="array" ref="O313">MIN(IF((OutputTable[GroupByKey]=OutputTable[[#This Row],[GroupByKey]]),(OutputTable[GroupByKey]=OutputTable[[#This Row],[GroupByKey]])*OutputTable[RecordedValue]))</f>
        <v>0</v>
      </c>
      <c r="P313" s="5" cm="1">
        <f t="array" ref="P313">MAX(IF((OutputTable[GroupByKey]=OutputTable[[#This Row],[GroupByKey]]),(OutputTable[GroupByKey]=OutputTable[[#This Row],[GroupByKey]])*OutputTable[RecordedValue]))</f>
        <v>32.770863925850499</v>
      </c>
    </row>
    <row r="314" spans="1:16" x14ac:dyDescent="0.25">
      <c r="A314" t="s">
        <v>68</v>
      </c>
      <c r="B314" t="s">
        <v>70</v>
      </c>
      <c r="C314">
        <v>13</v>
      </c>
      <c r="D314" t="s">
        <v>123</v>
      </c>
      <c r="E314" t="s">
        <v>108</v>
      </c>
      <c r="F314" t="s">
        <v>81</v>
      </c>
      <c r="G314">
        <v>38</v>
      </c>
      <c r="H314">
        <v>0</v>
      </c>
      <c r="I314" s="5" t="str">
        <f>OutputTable[[#This Row],[ProjectName]]&amp;OutputTable[[#This Row],[Name]]&amp;OutputTable[[#This Row],[Type]]&amp;OutputTable[[#This Row],[Source]]</f>
        <v>Pedido CleintesPago Number InNumber InProcess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30</v>
      </c>
      <c r="K314" s="5" cm="1">
        <f t="array" ref="K314">IFERROR(AVERAGE(IF((OutputTable[GroupByKey]=OutputTable[[#This Row],[GroupByKey]]),(OutputTable[GroupByKey]=OutputTable[[#This Row],[GroupByKey]])*OutputTable[RecordedValue])),0)</f>
        <v>39.666666666666664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6.0477030882540914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14" s="5" cm="1">
        <f t="array" ref="O314">MIN(IF((OutputTable[GroupByKey]=OutputTable[[#This Row],[GroupByKey]]),(OutputTable[GroupByKey]=OutputTable[[#This Row],[GroupByKey]])*OutputTable[RecordedValue]))</f>
        <v>26</v>
      </c>
      <c r="P314" s="5" cm="1">
        <f t="array" ref="P314">MAX(IF((OutputTable[GroupByKey]=OutputTable[[#This Row],[GroupByKey]]),(OutputTable[GroupByKey]=OutputTable[[#This Row],[GroupByKey]])*OutputTable[RecordedValue]))</f>
        <v>49</v>
      </c>
    </row>
    <row r="315" spans="1:16" x14ac:dyDescent="0.25">
      <c r="A315" t="s">
        <v>68</v>
      </c>
      <c r="B315" t="s">
        <v>70</v>
      </c>
      <c r="C315">
        <v>13</v>
      </c>
      <c r="D315" t="s">
        <v>124</v>
      </c>
      <c r="E315" t="s">
        <v>110</v>
      </c>
      <c r="F315" t="s">
        <v>81</v>
      </c>
      <c r="G315">
        <v>38</v>
      </c>
      <c r="H315">
        <v>0</v>
      </c>
      <c r="I315" s="5" t="str">
        <f>OutputTable[[#This Row],[ProjectName]]&amp;OutputTable[[#This Row],[Name]]&amp;OutputTable[[#This Row],[Type]]&amp;OutputTable[[#This Row],[Source]]</f>
        <v>Pedido CleintesPago Number OutNumber OutProcess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30</v>
      </c>
      <c r="K315" s="5" cm="1">
        <f t="array" ref="K315">IFERROR(AVERAGE(IF((OutputTable[GroupByKey]=OutputTable[[#This Row],[GroupByKey]]),(OutputTable[GroupByKey]=OutputTable[[#This Row],[GroupByKey]])*OutputTable[RecordedValue])),0)</f>
        <v>39.43333333333333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5.9171482724502509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315" s="5" cm="1">
        <f t="array" ref="O315">MIN(IF((OutputTable[GroupByKey]=OutputTable[[#This Row],[GroupByKey]]),(OutputTable[GroupByKey]=OutputTable[[#This Row],[GroupByKey]])*OutputTable[RecordedValue]))</f>
        <v>26</v>
      </c>
      <c r="P315" s="5" cm="1">
        <f t="array" ref="P315">MAX(IF((OutputTable[GroupByKey]=OutputTable[[#This Row],[GroupByKey]]),(OutputTable[GroupByKey]=OutputTable[[#This Row],[GroupByKey]])*OutputTable[RecordedValue]))</f>
        <v>49</v>
      </c>
    </row>
    <row r="316" spans="1:16" x14ac:dyDescent="0.25">
      <c r="A316" t="s">
        <v>68</v>
      </c>
      <c r="B316" t="s">
        <v>70</v>
      </c>
      <c r="C316">
        <v>13</v>
      </c>
      <c r="D316" t="s">
        <v>125</v>
      </c>
      <c r="E316" t="s">
        <v>112</v>
      </c>
      <c r="F316" t="s">
        <v>81</v>
      </c>
      <c r="G316">
        <v>111.49676973593699</v>
      </c>
      <c r="H316">
        <v>0</v>
      </c>
      <c r="I31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30</v>
      </c>
      <c r="K316" s="5" cm="1">
        <f t="array" ref="K316">IFERROR(AVERAGE(IF((OutputTable[GroupByKey]=OutputTable[[#This Row],[GroupByKey]]),(OutputTable[GroupByKey]=OutputTable[[#This Row],[GroupByKey]])*OutputTable[RecordedValue])),0)</f>
        <v>116.64263458387505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17.825477946659205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316" s="5" cm="1">
        <f t="array" ref="O316">MIN(IF((OutputTable[GroupByKey]=OutputTable[[#This Row],[GroupByKey]]),(OutputTable[GroupByKey]=OutputTable[[#This Row],[GroupByKey]])*OutputTable[RecordedValue]))</f>
        <v>74.976560761710004</v>
      </c>
      <c r="P316" s="5" cm="1">
        <f t="array" ref="P316">MAX(IF((OutputTable[GroupByKey]=OutputTable[[#This Row],[GroupByKey]]),(OutputTable[GroupByKey]=OutputTable[[#This Row],[GroupByKey]])*OutputTable[RecordedValue]))</f>
        <v>145.504156763596</v>
      </c>
    </row>
    <row r="317" spans="1:16" x14ac:dyDescent="0.25">
      <c r="A317" t="s">
        <v>68</v>
      </c>
      <c r="B317" t="s">
        <v>70</v>
      </c>
      <c r="C317">
        <v>13</v>
      </c>
      <c r="D317" t="s">
        <v>126</v>
      </c>
      <c r="E317" t="s">
        <v>114</v>
      </c>
      <c r="F317" t="s">
        <v>81</v>
      </c>
      <c r="G317">
        <v>18.9184570569934</v>
      </c>
      <c r="H317">
        <v>0</v>
      </c>
      <c r="I31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30</v>
      </c>
      <c r="K317" s="5" cm="1">
        <f t="array" ref="K317">IFERROR(AVERAGE(IF((OutputTable[GroupByKey]=OutputTable[[#This Row],[GroupByKey]]),(OutputTable[GroupByKey]=OutputTable[[#This Row],[GroupByKey]])*OutputTable[RecordedValue])),0)</f>
        <v>39.900972800228722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22.922906975864144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317" s="5" cm="1">
        <f t="array" ref="O317">MIN(IF((OutputTable[GroupByKey]=OutputTable[[#This Row],[GroupByKey]]),(OutputTable[GroupByKey]=OutputTable[[#This Row],[GroupByKey]])*OutputTable[RecordedValue]))</f>
        <v>2.1708788192608899</v>
      </c>
      <c r="P317" s="5" cm="1">
        <f t="array" ref="P317">MAX(IF((OutputTable[GroupByKey]=OutputTable[[#This Row],[GroupByKey]]),(OutputTable[GroupByKey]=OutputTable[[#This Row],[GroupByKey]])*OutputTable[RecordedValue]))</f>
        <v>94.9142929398908</v>
      </c>
    </row>
    <row r="318" spans="1:16" x14ac:dyDescent="0.25">
      <c r="A318" t="s">
        <v>68</v>
      </c>
      <c r="B318" t="s">
        <v>70</v>
      </c>
      <c r="C318">
        <v>13</v>
      </c>
      <c r="D318" t="s">
        <v>127</v>
      </c>
      <c r="E318" t="s">
        <v>108</v>
      </c>
      <c r="F318" t="s">
        <v>81</v>
      </c>
      <c r="G318">
        <v>38</v>
      </c>
      <c r="H318">
        <v>0</v>
      </c>
      <c r="I318" s="5" t="str">
        <f>OutputTable[[#This Row],[ProjectName]]&amp;OutputTable[[#This Row],[Name]]&amp;OutputTable[[#This Row],[Type]]&amp;OutputTable[[#This Row],[Source]]</f>
        <v>Pedido CleintesPreparar orden Number InNumber InProcess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30</v>
      </c>
      <c r="K318" s="5" cm="1">
        <f t="array" ref="K318">IFERROR(AVERAGE(IF((OutputTable[GroupByKey]=OutputTable[[#This Row],[GroupByKey]]),(OutputTable[GroupByKey]=OutputTable[[#This Row],[GroupByKey]])*OutputTable[RecordedValue])),0)</f>
        <v>39.666666666666664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6.0477030882540914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18" s="5" cm="1">
        <f t="array" ref="O318">MIN(IF((OutputTable[GroupByKey]=OutputTable[[#This Row],[GroupByKey]]),(OutputTable[GroupByKey]=OutputTable[[#This Row],[GroupByKey]])*OutputTable[RecordedValue]))</f>
        <v>26</v>
      </c>
      <c r="P318" s="5" cm="1">
        <f t="array" ref="P318">MAX(IF((OutputTable[GroupByKey]=OutputTable[[#This Row],[GroupByKey]]),(OutputTable[GroupByKey]=OutputTable[[#This Row],[GroupByKey]])*OutputTable[RecordedValue]))</f>
        <v>49</v>
      </c>
    </row>
    <row r="319" spans="1:16" x14ac:dyDescent="0.25">
      <c r="A319" t="s">
        <v>68</v>
      </c>
      <c r="B319" t="s">
        <v>70</v>
      </c>
      <c r="C319">
        <v>13</v>
      </c>
      <c r="D319" t="s">
        <v>128</v>
      </c>
      <c r="E319" t="s">
        <v>110</v>
      </c>
      <c r="F319" t="s">
        <v>81</v>
      </c>
      <c r="G319">
        <v>37</v>
      </c>
      <c r="H319">
        <v>0</v>
      </c>
      <c r="I319" s="5" t="str">
        <f>OutputTable[[#This Row],[ProjectName]]&amp;OutputTable[[#This Row],[Name]]&amp;OutputTable[[#This Row],[Type]]&amp;OutputTable[[#This Row],[Source]]</f>
        <v>Pedido CleintesPreparar orden Number OutNumber OutProcess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30</v>
      </c>
      <c r="K319" s="5" cm="1">
        <f t="array" ref="K319">IFERROR(AVERAGE(IF((OutputTable[GroupByKey]=OutputTable[[#This Row],[GroupByKey]]),(OutputTable[GroupByKey]=OutputTable[[#This Row],[GroupByKey]])*OutputTable[RecordedValue])),0)</f>
        <v>38.93333333333333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5.9765826548191505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19" s="5" cm="1">
        <f t="array" ref="O319">MIN(IF((OutputTable[GroupByKey]=OutputTable[[#This Row],[GroupByKey]]),(OutputTable[GroupByKey]=OutputTable[[#This Row],[GroupByKey]])*OutputTable[RecordedValue]))</f>
        <v>25</v>
      </c>
      <c r="P319" s="5" cm="1">
        <f t="array" ref="P319">MAX(IF((OutputTable[GroupByKey]=OutputTable[[#This Row],[GroupByKey]]),(OutputTable[GroupByKey]=OutputTable[[#This Row],[GroupByKey]])*OutputTable[RecordedValue]))</f>
        <v>49</v>
      </c>
    </row>
    <row r="320" spans="1:16" x14ac:dyDescent="0.25">
      <c r="A320" t="s">
        <v>68</v>
      </c>
      <c r="B320" t="s">
        <v>70</v>
      </c>
      <c r="C320">
        <v>13</v>
      </c>
      <c r="D320" t="s">
        <v>129</v>
      </c>
      <c r="E320" t="s">
        <v>110</v>
      </c>
      <c r="F320" t="s">
        <v>130</v>
      </c>
      <c r="G320">
        <v>37</v>
      </c>
      <c r="H320">
        <v>0</v>
      </c>
      <c r="I320" s="5" t="str">
        <f>OutputTable[[#This Row],[ProjectName]]&amp;OutputTable[[#This Row],[Name]]&amp;OutputTable[[#This Row],[Type]]&amp;OutputTable[[#This Row],[Source]]</f>
        <v>Pedido CleintesSystem.NumberOutNumber OutSystem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30</v>
      </c>
      <c r="K320" s="5" cm="1">
        <f t="array" ref="K320">IFERROR(AVERAGE(IF((OutputTable[GroupByKey]=OutputTable[[#This Row],[GroupByKey]]),(OutputTable[GroupByKey]=OutputTable[[#This Row],[GroupByKey]])*OutputTable[RecordedValue])),0)</f>
        <v>38.866666666666667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6.0840851369801694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20" s="5" cm="1">
        <f t="array" ref="O320">MIN(IF((OutputTable[GroupByKey]=OutputTable[[#This Row],[GroupByKey]]),(OutputTable[GroupByKey]=OutputTable[[#This Row],[GroupByKey]])*OutputTable[RecordedValue]))</f>
        <v>24</v>
      </c>
      <c r="P320" s="5" cm="1">
        <f t="array" ref="P320">MAX(IF((OutputTable[GroupByKey]=OutputTable[[#This Row],[GroupByKey]]),(OutputTable[GroupByKey]=OutputTable[[#This Row],[GroupByKey]])*OutputTable[RecordedValue]))</f>
        <v>49</v>
      </c>
    </row>
    <row r="321" spans="1:16" x14ac:dyDescent="0.25">
      <c r="A321" t="s">
        <v>68</v>
      </c>
      <c r="B321" t="s">
        <v>70</v>
      </c>
      <c r="C321">
        <v>13</v>
      </c>
      <c r="D321" t="s">
        <v>131</v>
      </c>
      <c r="E321" t="s">
        <v>132</v>
      </c>
      <c r="F321" t="s">
        <v>102</v>
      </c>
      <c r="G321">
        <v>38</v>
      </c>
      <c r="H321">
        <v>0</v>
      </c>
      <c r="I32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30</v>
      </c>
      <c r="K321" s="5" cm="1">
        <f t="array" ref="K321">IFERROR(AVERAGE(IF((OutputTable[GroupByKey]=OutputTable[[#This Row],[GroupByKey]]),(OutputTable[GroupByKey]=OutputTable[[#This Row],[GroupByKey]])*OutputTable[RecordedValue])),0)</f>
        <v>39.4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5.8757244601014422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321" s="5" cm="1">
        <f t="array" ref="O321">MIN(IF((OutputTable[GroupByKey]=OutputTable[[#This Row],[GroupByKey]]),(OutputTable[GroupByKey]=OutputTable[[#This Row],[GroupByKey]])*OutputTable[RecordedValue]))</f>
        <v>26</v>
      </c>
      <c r="P321" s="5" cm="1">
        <f t="array" ref="P321">MAX(IF((OutputTable[GroupByKey]=OutputTable[[#This Row],[GroupByKey]]),(OutputTable[GroupByKey]=OutputTable[[#This Row],[GroupByKey]])*OutputTable[RecordedValue]))</f>
        <v>49</v>
      </c>
    </row>
    <row r="322" spans="1:16" x14ac:dyDescent="0.25">
      <c r="A322" t="s">
        <v>68</v>
      </c>
      <c r="B322" t="s">
        <v>70</v>
      </c>
      <c r="C322">
        <v>13</v>
      </c>
      <c r="D322" t="s">
        <v>133</v>
      </c>
      <c r="E322" t="s">
        <v>134</v>
      </c>
      <c r="F322" t="s">
        <v>102</v>
      </c>
      <c r="G322">
        <v>0.47366149749087599</v>
      </c>
      <c r="H322">
        <v>0</v>
      </c>
      <c r="I32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30</v>
      </c>
      <c r="K322" s="5" cm="1">
        <f t="array" ref="K322">IFERROR(AVERAGE(IF((OutputTable[GroupByKey]=OutputTable[[#This Row],[GroupByKey]]),(OutputTable[GroupByKey]=OutputTable[[#This Row],[GroupByKey]])*OutputTable[RecordedValue])),0)</f>
        <v>0.48891840079317483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7.3627413122013347E-2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322" s="5" cm="1">
        <f t="array" ref="O322">MIN(IF((OutputTable[GroupByKey]=OutputTable[[#This Row],[GroupByKey]]),(OutputTable[GroupByKey]=OutputTable[[#This Row],[GroupByKey]])*OutputTable[RecordedValue]))</f>
        <v>0.31277577999924699</v>
      </c>
      <c r="P322" s="5" cm="1">
        <f t="array" ref="P322">MAX(IF((OutputTable[GroupByKey]=OutputTable[[#This Row],[GroupByKey]]),(OutputTable[GroupByKey]=OutputTable[[#This Row],[GroupByKey]])*OutputTable[RecordedValue]))</f>
        <v>0.60626731984831705</v>
      </c>
    </row>
    <row r="323" spans="1:16" x14ac:dyDescent="0.25">
      <c r="A323" t="s">
        <v>68</v>
      </c>
      <c r="B323" t="s">
        <v>70</v>
      </c>
      <c r="C323">
        <v>13</v>
      </c>
      <c r="D323" t="s">
        <v>135</v>
      </c>
      <c r="E323" t="s">
        <v>132</v>
      </c>
      <c r="F323" t="s">
        <v>102</v>
      </c>
      <c r="G323">
        <v>76</v>
      </c>
      <c r="H323">
        <v>0</v>
      </c>
      <c r="I32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30</v>
      </c>
      <c r="K323" s="5" cm="1">
        <f t="array" ref="K323">IFERROR(AVERAGE(IF((OutputTable[GroupByKey]=OutputTable[[#This Row],[GroupByKey]]),(OutputTable[GroupByKey]=OutputTable[[#This Row],[GroupByKey]])*OutputTable[RecordedValue])),0)</f>
        <v>79.466666666666669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12.016463801753446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323" s="5" cm="1">
        <f t="array" ref="O323">MIN(IF((OutputTable[GroupByKey]=OutputTable[[#This Row],[GroupByKey]]),(OutputTable[GroupByKey]=OutputTable[[#This Row],[GroupByKey]])*OutputTable[RecordedValue]))</f>
        <v>53</v>
      </c>
      <c r="P323" s="5" cm="1">
        <f t="array" ref="P323">MAX(IF((OutputTable[GroupByKey]=OutputTable[[#This Row],[GroupByKey]]),(OutputTable[GroupByKey]=OutputTable[[#This Row],[GroupByKey]])*OutputTable[RecordedValue]))</f>
        <v>98</v>
      </c>
    </row>
    <row r="324" spans="1:16" x14ac:dyDescent="0.25">
      <c r="A324" t="s">
        <v>68</v>
      </c>
      <c r="B324" t="s">
        <v>70</v>
      </c>
      <c r="C324">
        <v>13</v>
      </c>
      <c r="D324" t="s">
        <v>136</v>
      </c>
      <c r="E324" t="s">
        <v>134</v>
      </c>
      <c r="F324" t="s">
        <v>102</v>
      </c>
      <c r="G324">
        <v>0.27624559892960399</v>
      </c>
      <c r="H324">
        <v>0</v>
      </c>
      <c r="I32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30</v>
      </c>
      <c r="K324" s="5" cm="1">
        <f t="array" ref="K324">IFERROR(AVERAGE(IF((OutputTable[GroupByKey]=OutputTable[[#This Row],[GroupByKey]]),(OutputTable[GroupByKey]=OutputTable[[#This Row],[GroupByKey]])*OutputTable[RecordedValue])),0)</f>
        <v>0.28976365927997022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4.4748273652133699E-2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324" s="5" cm="1">
        <f t="array" ref="O324">MIN(IF((OutputTable[GroupByKey]=OutputTable[[#This Row],[GroupByKey]]),(OutputTable[GroupByKey]=OutputTable[[#This Row],[GroupByKey]])*OutputTable[RecordedValue]))</f>
        <v>0.194735973294278</v>
      </c>
      <c r="P324" s="5" cm="1">
        <f t="array" ref="P324">MAX(IF((OutputTable[GroupByKey]=OutputTable[[#This Row],[GroupByKey]]),(OutputTable[GroupByKey]=OutputTable[[#This Row],[GroupByKey]])*OutputTable[RecordedValue]))</f>
        <v>0.35775345817659199</v>
      </c>
    </row>
    <row r="325" spans="1:16" x14ac:dyDescent="0.25">
      <c r="A325" t="s">
        <v>68</v>
      </c>
      <c r="B325" t="s">
        <v>70</v>
      </c>
      <c r="C325">
        <v>13</v>
      </c>
      <c r="D325" t="s">
        <v>137</v>
      </c>
      <c r="E325" t="s">
        <v>132</v>
      </c>
      <c r="F325" t="s">
        <v>102</v>
      </c>
      <c r="G325">
        <v>37</v>
      </c>
      <c r="H325">
        <v>0</v>
      </c>
      <c r="I32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30</v>
      </c>
      <c r="K325" s="5" cm="1">
        <f t="array" ref="K325">IFERROR(AVERAGE(IF((OutputTable[GroupByKey]=OutputTable[[#This Row],[GroupByKey]]),(OutputTable[GroupByKey]=OutputTable[[#This Row],[GroupByKey]])*OutputTable[RecordedValue])),0)</f>
        <v>38.93333333333333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5.9765826548191505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25" s="5" cm="1">
        <f t="array" ref="O325">MIN(IF((OutputTable[GroupByKey]=OutputTable[[#This Row],[GroupByKey]]),(OutputTable[GroupByKey]=OutputTable[[#This Row],[GroupByKey]])*OutputTable[RecordedValue]))</f>
        <v>25</v>
      </c>
      <c r="P325" s="5" cm="1">
        <f t="array" ref="P325">MAX(IF((OutputTable[GroupByKey]=OutputTable[[#This Row],[GroupByKey]]),(OutputTable[GroupByKey]=OutputTable[[#This Row],[GroupByKey]])*OutputTable[RecordedValue]))</f>
        <v>49</v>
      </c>
    </row>
    <row r="326" spans="1:16" x14ac:dyDescent="0.25">
      <c r="A326" t="s">
        <v>68</v>
      </c>
      <c r="B326" t="s">
        <v>70</v>
      </c>
      <c r="C326">
        <v>13</v>
      </c>
      <c r="D326" t="s">
        <v>138</v>
      </c>
      <c r="E326" t="s">
        <v>134</v>
      </c>
      <c r="F326" t="s">
        <v>102</v>
      </c>
      <c r="G326">
        <v>7.3466677143198503E-2</v>
      </c>
      <c r="H326">
        <v>0</v>
      </c>
      <c r="I32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30</v>
      </c>
      <c r="K326" s="5" cm="1">
        <f t="array" ref="K326">IFERROR(AVERAGE(IF((OutputTable[GroupByKey]=OutputTable[[#This Row],[GroupByKey]]),(OutputTable[GroupByKey]=OutputTable[[#This Row],[GroupByKey]])*OutputTable[RecordedValue])),0)</f>
        <v>8.2588852761398115E-2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1.3130964022328008E-2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326" s="5" cm="1">
        <f t="array" ref="O326">MIN(IF((OutputTable[GroupByKey]=OutputTable[[#This Row],[GroupByKey]]),(OutputTable[GroupByKey]=OutputTable[[#This Row],[GroupByKey]])*OutputTable[RecordedValue]))</f>
        <v>5.3757894868807901E-2</v>
      </c>
      <c r="P326" s="5" cm="1">
        <f t="array" ref="P326">MAX(IF((OutputTable[GroupByKey]=OutputTable[[#This Row],[GroupByKey]]),(OutputTable[GroupByKey]=OutputTable[[#This Row],[GroupByKey]])*OutputTable[RecordedValue]))</f>
        <v>0.103175045984152</v>
      </c>
    </row>
    <row r="327" spans="1:16" x14ac:dyDescent="0.25">
      <c r="A327" t="s">
        <v>68</v>
      </c>
      <c r="B327" t="s">
        <v>70</v>
      </c>
      <c r="C327">
        <v>14</v>
      </c>
      <c r="D327" t="s">
        <v>107</v>
      </c>
      <c r="E327" t="s">
        <v>108</v>
      </c>
      <c r="F327" t="s">
        <v>73</v>
      </c>
      <c r="G327">
        <v>141</v>
      </c>
      <c r="H327">
        <v>0</v>
      </c>
      <c r="I327" s="5" t="str">
        <f>OutputTable[[#This Row],[ProjectName]]&amp;OutputTable[[#This Row],[Name]]&amp;OutputTable[[#This Row],[Type]]&amp;OutputTable[[#This Row],[Source]]</f>
        <v>Pedido CleintesClientes.NumberInNumber InEntity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30</v>
      </c>
      <c r="K327" s="5" cm="1">
        <f t="array" ref="K327">IFERROR(AVERAGE(IF((OutputTable[GroupByKey]=OutputTable[[#This Row],[GroupByKey]]),(OutputTable[GroupByKey]=OutputTable[[#This Row],[GroupByKey]])*OutputTable[RecordedValue])),0)</f>
        <v>118.5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18.009097317936192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327" s="5" cm="1">
        <f t="array" ref="O327">MIN(IF((OutputTable[GroupByKey]=OutputTable[[#This Row],[GroupByKey]]),(OutputTable[GroupByKey]=OutputTable[[#This Row],[GroupByKey]])*OutputTable[RecordedValue]))</f>
        <v>78</v>
      </c>
      <c r="P327" s="5" cm="1">
        <f t="array" ref="P327">MAX(IF((OutputTable[GroupByKey]=OutputTable[[#This Row],[GroupByKey]]),(OutputTable[GroupByKey]=OutputTable[[#This Row],[GroupByKey]])*OutputTable[RecordedValue]))</f>
        <v>147</v>
      </c>
    </row>
    <row r="328" spans="1:16" x14ac:dyDescent="0.25">
      <c r="A328" t="s">
        <v>68</v>
      </c>
      <c r="B328" t="s">
        <v>70</v>
      </c>
      <c r="C328">
        <v>14</v>
      </c>
      <c r="D328" t="s">
        <v>109</v>
      </c>
      <c r="E328" t="s">
        <v>110</v>
      </c>
      <c r="F328" t="s">
        <v>73</v>
      </c>
      <c r="G328">
        <v>132</v>
      </c>
      <c r="H328">
        <v>0</v>
      </c>
      <c r="I328" s="5" t="str">
        <f>OutputTable[[#This Row],[ProjectName]]&amp;OutputTable[[#This Row],[Name]]&amp;OutputTable[[#This Row],[Type]]&amp;OutputTable[[#This Row],[Source]]</f>
        <v>Pedido CleintesClientes.NumberOutNumber OutEntity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30</v>
      </c>
      <c r="K328" s="5" cm="1">
        <f t="array" ref="K328">IFERROR(AVERAGE(IF((OutputTable[GroupByKey]=OutputTable[[#This Row],[GroupByKey]]),(OutputTable[GroupByKey]=OutputTable[[#This Row],[GroupByKey]])*OutputTable[RecordedValue])),0)</f>
        <v>116.6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18.252255410940514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328" s="5" cm="1">
        <f t="array" ref="O328">MIN(IF((OutputTable[GroupByKey]=OutputTable[[#This Row],[GroupByKey]]),(OutputTable[GroupByKey]=OutputTable[[#This Row],[GroupByKey]])*OutputTable[RecordedValue]))</f>
        <v>72</v>
      </c>
      <c r="P328" s="5" cm="1">
        <f t="array" ref="P328">MAX(IF((OutputTable[GroupByKey]=OutputTable[[#This Row],[GroupByKey]]),(OutputTable[GroupByKey]=OutputTable[[#This Row],[GroupByKey]])*OutputTable[RecordedValue]))</f>
        <v>147</v>
      </c>
    </row>
    <row r="329" spans="1:16" x14ac:dyDescent="0.25">
      <c r="A329" t="s">
        <v>68</v>
      </c>
      <c r="B329" t="s">
        <v>70</v>
      </c>
      <c r="C329">
        <v>14</v>
      </c>
      <c r="D329" t="s">
        <v>111</v>
      </c>
      <c r="E329" t="s">
        <v>112</v>
      </c>
      <c r="F329" t="s">
        <v>81</v>
      </c>
      <c r="G329">
        <v>20.504711521930201</v>
      </c>
      <c r="H329">
        <v>0</v>
      </c>
      <c r="I32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30</v>
      </c>
      <c r="K329" s="5" cm="1">
        <f t="array" ref="K329">IFERROR(AVERAGE(IF((OutputTable[GroupByKey]=OutputTable[[#This Row],[GroupByKey]]),(OutputTable[GroupByKey]=OutputTable[[#This Row],[GroupByKey]])*OutputTable[RecordedValue])),0)</f>
        <v>19.806808580201274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3.1624794742170024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329" s="5" cm="1">
        <f t="array" ref="O329">MIN(IF((OutputTable[GroupByKey]=OutputTable[[#This Row],[GroupByKey]]),(OutputTable[GroupByKey]=OutputTable[[#This Row],[GroupByKey]])*OutputTable[RecordedValue]))</f>
        <v>12.812268330404599</v>
      </c>
      <c r="P329" s="5" cm="1">
        <f t="array" ref="P329">MAX(IF((OutputTable[GroupByKey]=OutputTable[[#This Row],[GroupByKey]]),(OutputTable[GroupByKey]=OutputTable[[#This Row],[GroupByKey]])*OutputTable[RecordedValue]))</f>
        <v>24.762011036196501</v>
      </c>
    </row>
    <row r="330" spans="1:16" x14ac:dyDescent="0.25">
      <c r="A330" t="s">
        <v>68</v>
      </c>
      <c r="B330" t="s">
        <v>70</v>
      </c>
      <c r="C330">
        <v>14</v>
      </c>
      <c r="D330" t="s">
        <v>113</v>
      </c>
      <c r="E330" t="s">
        <v>114</v>
      </c>
      <c r="F330" t="s">
        <v>81</v>
      </c>
      <c r="G330">
        <v>0</v>
      </c>
      <c r="H330">
        <v>0</v>
      </c>
      <c r="I33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30</v>
      </c>
      <c r="K330" s="5" cm="1">
        <f t="array" ref="K330">IFERROR(AVERAGE(IF((OutputTable[GroupByKey]=OutputTable[[#This Row],[GroupByKey]]),(OutputTable[GroupByKey]=OutputTable[[#This Row],[GroupByKey]])*OutputTable[RecordedValue])),0)</f>
        <v>0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0" s="5" cm="1">
        <f t="array" ref="O330">MIN(IF((OutputTable[GroupByKey]=OutputTable[[#This Row],[GroupByKey]]),(OutputTable[GroupByKey]=OutputTable[[#This Row],[GroupByKey]])*OutputTable[RecordedValue]))</f>
        <v>0</v>
      </c>
      <c r="P330" s="5" cm="1">
        <f t="array" ref="P330">MAX(IF((OutputTable[GroupByKey]=OutputTable[[#This Row],[GroupByKey]]),(OutputTable[GroupByKey]=OutputTable[[#This Row],[GroupByKey]])*OutputTable[RecordedValue]))</f>
        <v>0</v>
      </c>
    </row>
    <row r="331" spans="1:16" x14ac:dyDescent="0.25">
      <c r="A331" t="s">
        <v>68</v>
      </c>
      <c r="B331" t="s">
        <v>70</v>
      </c>
      <c r="C331">
        <v>14</v>
      </c>
      <c r="D331" t="s">
        <v>115</v>
      </c>
      <c r="E331" t="s">
        <v>108</v>
      </c>
      <c r="F331" t="s">
        <v>81</v>
      </c>
      <c r="G331">
        <v>44</v>
      </c>
      <c r="H331">
        <v>0</v>
      </c>
      <c r="I33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30</v>
      </c>
      <c r="K331" s="5" cm="1">
        <f t="array" ref="K331">IFERROR(AVERAGE(IF((OutputTable[GroupByKey]=OutputTable[[#This Row],[GroupByKey]]),(OutputTable[GroupByKey]=OutputTable[[#This Row],[GroupByKey]])*OutputTable[RecordedValue])),0)</f>
        <v>38.93333333333333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5.9765826548191505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31" s="5" cm="1">
        <f t="array" ref="O331">MIN(IF((OutputTable[GroupByKey]=OutputTable[[#This Row],[GroupByKey]]),(OutputTable[GroupByKey]=OutputTable[[#This Row],[GroupByKey]])*OutputTable[RecordedValue]))</f>
        <v>25</v>
      </c>
      <c r="P331" s="5" cm="1">
        <f t="array" ref="P331">MAX(IF((OutputTable[GroupByKey]=OutputTable[[#This Row],[GroupByKey]]),(OutputTable[GroupByKey]=OutputTable[[#This Row],[GroupByKey]])*OutputTable[RecordedValue]))</f>
        <v>49</v>
      </c>
    </row>
    <row r="332" spans="1:16" x14ac:dyDescent="0.25">
      <c r="A332" t="s">
        <v>68</v>
      </c>
      <c r="B332" t="s">
        <v>70</v>
      </c>
      <c r="C332">
        <v>14</v>
      </c>
      <c r="D332" t="s">
        <v>116</v>
      </c>
      <c r="E332" t="s">
        <v>110</v>
      </c>
      <c r="F332" t="s">
        <v>81</v>
      </c>
      <c r="G332">
        <v>44</v>
      </c>
      <c r="H332">
        <v>0</v>
      </c>
      <c r="I3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30</v>
      </c>
      <c r="K332" s="5" cm="1">
        <f t="array" ref="K332">IFERROR(AVERAGE(IF((OutputTable[GroupByKey]=OutputTable[[#This Row],[GroupByKey]]),(OutputTable[GroupByKey]=OutputTable[[#This Row],[GroupByKey]])*OutputTable[RecordedValue])),0)</f>
        <v>38.866666666666667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6.0840851369801694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32" s="5" cm="1">
        <f t="array" ref="O332">MIN(IF((OutputTable[GroupByKey]=OutputTable[[#This Row],[GroupByKey]]),(OutputTable[GroupByKey]=OutputTable[[#This Row],[GroupByKey]])*OutputTable[RecordedValue]))</f>
        <v>24</v>
      </c>
      <c r="P332" s="5" cm="1">
        <f t="array" ref="P332">MAX(IF((OutputTable[GroupByKey]=OutputTable[[#This Row],[GroupByKey]]),(OutputTable[GroupByKey]=OutputTable[[#This Row],[GroupByKey]])*OutputTable[RecordedValue]))</f>
        <v>49</v>
      </c>
    </row>
    <row r="333" spans="1:16" x14ac:dyDescent="0.25">
      <c r="A333" t="s">
        <v>68</v>
      </c>
      <c r="B333" t="s">
        <v>70</v>
      </c>
      <c r="C333">
        <v>14</v>
      </c>
      <c r="D333" t="s">
        <v>117</v>
      </c>
      <c r="E333" t="s">
        <v>112</v>
      </c>
      <c r="F333" t="s">
        <v>81</v>
      </c>
      <c r="G333">
        <v>48.530945744280402</v>
      </c>
      <c r="H333">
        <v>0</v>
      </c>
      <c r="I333" s="5" t="str">
        <f>OutputTable[[#This Row],[ProjectName]]&amp;OutputTable[[#This Row],[Name]]&amp;OutputTable[[#This Row],[Type]]&amp;OutputTable[[#This Row],[Source]]</f>
        <v>Pedido CleintesOrdnes Accum VA TimeAccum VA TimeProcess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30</v>
      </c>
      <c r="K333" s="5" cm="1">
        <f t="array" ref="K333">IFERROR(AVERAGE(IF((OutputTable[GroupByKey]=OutputTable[[#This Row],[GroupByKey]]),(OutputTable[GroupByKey]=OutputTable[[#This Row],[GroupByKey]])*OutputTable[RecordedValue])),0)</f>
        <v>39.878126992056487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6.1068580319474277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333" s="5" cm="1">
        <f t="array" ref="O333">MIN(IF((OutputTable[GroupByKey]=OutputTable[[#This Row],[GroupByKey]]),(OutputTable[GroupByKey]=OutputTable[[#This Row],[GroupByKey]])*OutputTable[RecordedValue]))</f>
        <v>26.106281767804099</v>
      </c>
      <c r="P333" s="5" cm="1">
        <f t="array" ref="P333">MAX(IF((OutputTable[GroupByKey]=OutputTable[[#This Row],[GroupByKey]]),(OutputTable[GroupByKey]=OutputTable[[#This Row],[GroupByKey]])*OutputTable[RecordedValue]))</f>
        <v>48.706388790541098</v>
      </c>
    </row>
    <row r="334" spans="1:16" x14ac:dyDescent="0.25">
      <c r="A334" t="s">
        <v>68</v>
      </c>
      <c r="B334" t="s">
        <v>70</v>
      </c>
      <c r="C334">
        <v>14</v>
      </c>
      <c r="D334" t="s">
        <v>118</v>
      </c>
      <c r="E334" t="s">
        <v>114</v>
      </c>
      <c r="F334" t="s">
        <v>81</v>
      </c>
      <c r="G334">
        <v>13.622171195564899</v>
      </c>
      <c r="H334">
        <v>0</v>
      </c>
      <c r="I3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30</v>
      </c>
      <c r="K334" s="5" cm="1">
        <f t="array" ref="K334">IFERROR(AVERAGE(IF((OutputTable[GroupByKey]=OutputTable[[#This Row],[GroupByKey]]),(OutputTable[GroupByKey]=OutputTable[[#This Row],[GroupByKey]])*OutputTable[RecordedValue])),0)</f>
        <v>7.9804799821754404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4.8950382198155014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334" s="5" cm="1">
        <f t="array" ref="O334">MIN(IF((OutputTable[GroupByKey]=OutputTable[[#This Row],[GroupByKey]]),(OutputTable[GroupByKey]=OutputTable[[#This Row],[GroupByKey]])*OutputTable[RecordedValue]))</f>
        <v>0</v>
      </c>
      <c r="P334" s="5" cm="1">
        <f t="array" ref="P334">MAX(IF((OutputTable[GroupByKey]=OutputTable[[#This Row],[GroupByKey]]),(OutputTable[GroupByKey]=OutputTable[[#This Row],[GroupByKey]])*OutputTable[RecordedValue]))</f>
        <v>18.843855117811401</v>
      </c>
    </row>
    <row r="335" spans="1:16" x14ac:dyDescent="0.25">
      <c r="A335" t="s">
        <v>68</v>
      </c>
      <c r="B335" t="s">
        <v>70</v>
      </c>
      <c r="C335">
        <v>14</v>
      </c>
      <c r="D335" t="s">
        <v>119</v>
      </c>
      <c r="E335" t="s">
        <v>108</v>
      </c>
      <c r="F335" t="s">
        <v>81</v>
      </c>
      <c r="G335">
        <v>49</v>
      </c>
      <c r="H335">
        <v>0</v>
      </c>
      <c r="I335" s="5" t="str">
        <f>OutputTable[[#This Row],[ProjectName]]&amp;OutputTable[[#This Row],[Name]]&amp;OutputTable[[#This Row],[Type]]&amp;OutputTable[[#This Row],[Source]]</f>
        <v>Pedido CleintesOrdnes Number InNumber InProcess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30</v>
      </c>
      <c r="K335" s="5" cm="1">
        <f t="array" ref="K335">IFERROR(AVERAGE(IF((OutputTable[GroupByKey]=OutputTable[[#This Row],[GroupByKey]]),(OutputTable[GroupByKey]=OutputTable[[#This Row],[GroupByKey]])*OutputTable[RecordedValue])),0)</f>
        <v>39.9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6.0648791101463475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335" s="5" cm="1">
        <f t="array" ref="O335">MIN(IF((OutputTable[GroupByKey]=OutputTable[[#This Row],[GroupByKey]]),(OutputTable[GroupByKey]=OutputTable[[#This Row],[GroupByKey]])*OutputTable[RecordedValue]))</f>
        <v>27</v>
      </c>
      <c r="P335" s="5" cm="1">
        <f t="array" ref="P335">MAX(IF((OutputTable[GroupByKey]=OutputTable[[#This Row],[GroupByKey]]),(OutputTable[GroupByKey]=OutputTable[[#This Row],[GroupByKey]])*OutputTable[RecordedValue]))</f>
        <v>49</v>
      </c>
    </row>
    <row r="336" spans="1:16" x14ac:dyDescent="0.25">
      <c r="A336" t="s">
        <v>68</v>
      </c>
      <c r="B336" t="s">
        <v>70</v>
      </c>
      <c r="C336">
        <v>14</v>
      </c>
      <c r="D336" t="s">
        <v>120</v>
      </c>
      <c r="E336" t="s">
        <v>110</v>
      </c>
      <c r="F336" t="s">
        <v>81</v>
      </c>
      <c r="G336">
        <v>48</v>
      </c>
      <c r="H336">
        <v>0</v>
      </c>
      <c r="I336" s="5" t="str">
        <f>OutputTable[[#This Row],[ProjectName]]&amp;OutputTable[[#This Row],[Name]]&amp;OutputTable[[#This Row],[Type]]&amp;OutputTable[[#This Row],[Source]]</f>
        <v>Pedido CleintesOrdnes Number OutNumber OutProcess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30</v>
      </c>
      <c r="K336" s="5" cm="1">
        <f t="array" ref="K336">IFERROR(AVERAGE(IF((OutputTable[GroupByKey]=OutputTable[[#This Row],[GroupByKey]]),(OutputTable[GroupByKey]=OutputTable[[#This Row],[GroupByKey]])*OutputTable[RecordedValue])),0)</f>
        <v>39.666666666666664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6.0477030882540914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36" s="5" cm="1">
        <f t="array" ref="O336">MIN(IF((OutputTable[GroupByKey]=OutputTable[[#This Row],[GroupByKey]]),(OutputTable[GroupByKey]=OutputTable[[#This Row],[GroupByKey]])*OutputTable[RecordedValue]))</f>
        <v>26</v>
      </c>
      <c r="P336" s="5" cm="1">
        <f t="array" ref="P336">MAX(IF((OutputTable[GroupByKey]=OutputTable[[#This Row],[GroupByKey]]),(OutputTable[GroupByKey]=OutputTable[[#This Row],[GroupByKey]])*OutputTable[RecordedValue]))</f>
        <v>49</v>
      </c>
    </row>
    <row r="337" spans="1:16" x14ac:dyDescent="0.25">
      <c r="A337" t="s">
        <v>68</v>
      </c>
      <c r="B337" t="s">
        <v>70</v>
      </c>
      <c r="C337">
        <v>14</v>
      </c>
      <c r="D337" t="s">
        <v>121</v>
      </c>
      <c r="E337" t="s">
        <v>112</v>
      </c>
      <c r="F337" t="s">
        <v>81</v>
      </c>
      <c r="G337">
        <v>36.437324214373803</v>
      </c>
      <c r="H337">
        <v>0</v>
      </c>
      <c r="I337" s="5" t="str">
        <f>OutputTable[[#This Row],[ProjectName]]&amp;OutputTable[[#This Row],[Name]]&amp;OutputTable[[#This Row],[Type]]&amp;OutputTable[[#This Row],[Source]]</f>
        <v>Pedido CleintesPago Accum VA TimeAccum VA TimeProcess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30</v>
      </c>
      <c r="K337" s="5" cm="1">
        <f t="array" ref="K337">IFERROR(AVERAGE(IF((OutputTable[GroupByKey]=OutputTable[[#This Row],[GroupByKey]]),(OutputTable[GroupByKey]=OutputTable[[#This Row],[GroupByKey]])*OutputTable[RecordedValue])),0)</f>
        <v>29.486262713858675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4.747176664010901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337" s="5" cm="1">
        <f t="array" ref="O337">MIN(IF((OutputTable[GroupByKey]=OutputTable[[#This Row],[GroupByKey]]),(OutputTable[GroupByKey]=OutputTable[[#This Row],[GroupByKey]])*OutputTable[RecordedValue]))</f>
        <v>19.573210250889101</v>
      </c>
      <c r="P337" s="5" cm="1">
        <f t="array" ref="P337">MAX(IF((OutputTable[GroupByKey]=OutputTable[[#This Row],[GroupByKey]]),(OutputTable[GroupByKey]=OutputTable[[#This Row],[GroupByKey]])*OutputTable[RecordedValue]))</f>
        <v>37.056974462114901</v>
      </c>
    </row>
    <row r="338" spans="1:16" x14ac:dyDescent="0.25">
      <c r="A338" t="s">
        <v>68</v>
      </c>
      <c r="B338" t="s">
        <v>70</v>
      </c>
      <c r="C338">
        <v>14</v>
      </c>
      <c r="D338" t="s">
        <v>122</v>
      </c>
      <c r="E338" t="s">
        <v>114</v>
      </c>
      <c r="F338" t="s">
        <v>81</v>
      </c>
      <c r="G338">
        <v>19.238202061182299</v>
      </c>
      <c r="H338">
        <v>0</v>
      </c>
      <c r="I3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30</v>
      </c>
      <c r="K338" s="5" cm="1">
        <f t="array" ref="K338">IFERROR(AVERAGE(IF((OutputTable[GroupByKey]=OutputTable[[#This Row],[GroupByKey]]),(OutputTable[GroupByKey]=OutputTable[[#This Row],[GroupByKey]])*OutputTable[RecordedValue])),0)</f>
        <v>13.025761997568024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7.8467935605388783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338" s="5" cm="1">
        <f t="array" ref="O338">MIN(IF((OutputTable[GroupByKey]=OutputTable[[#This Row],[GroupByKey]]),(OutputTable[GroupByKey]=OutputTable[[#This Row],[GroupByKey]])*OutputTable[RecordedValue]))</f>
        <v>0</v>
      </c>
      <c r="P338" s="5" cm="1">
        <f t="array" ref="P338">MAX(IF((OutputTable[GroupByKey]=OutputTable[[#This Row],[GroupByKey]]),(OutputTable[GroupByKey]=OutputTable[[#This Row],[GroupByKey]])*OutputTable[RecordedValue]))</f>
        <v>32.770863925850499</v>
      </c>
    </row>
    <row r="339" spans="1:16" x14ac:dyDescent="0.25">
      <c r="A339" t="s">
        <v>68</v>
      </c>
      <c r="B339" t="s">
        <v>70</v>
      </c>
      <c r="C339">
        <v>14</v>
      </c>
      <c r="D339" t="s">
        <v>123</v>
      </c>
      <c r="E339" t="s">
        <v>108</v>
      </c>
      <c r="F339" t="s">
        <v>81</v>
      </c>
      <c r="G339">
        <v>48</v>
      </c>
      <c r="H339">
        <v>0</v>
      </c>
      <c r="I339" s="5" t="str">
        <f>OutputTable[[#This Row],[ProjectName]]&amp;OutputTable[[#This Row],[Name]]&amp;OutputTable[[#This Row],[Type]]&amp;OutputTable[[#This Row],[Source]]</f>
        <v>Pedido CleintesPago Number InNumber InProcess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30</v>
      </c>
      <c r="K339" s="5" cm="1">
        <f t="array" ref="K339">IFERROR(AVERAGE(IF((OutputTable[GroupByKey]=OutputTable[[#This Row],[GroupByKey]]),(OutputTable[GroupByKey]=OutputTable[[#This Row],[GroupByKey]])*OutputTable[RecordedValue])),0)</f>
        <v>39.666666666666664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6.0477030882540914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39" s="5" cm="1">
        <f t="array" ref="O339">MIN(IF((OutputTable[GroupByKey]=OutputTable[[#This Row],[GroupByKey]]),(OutputTable[GroupByKey]=OutputTable[[#This Row],[GroupByKey]])*OutputTable[RecordedValue]))</f>
        <v>26</v>
      </c>
      <c r="P339" s="5" cm="1">
        <f t="array" ref="P339">MAX(IF((OutputTable[GroupByKey]=OutputTable[[#This Row],[GroupByKey]]),(OutputTable[GroupByKey]=OutputTable[[#This Row],[GroupByKey]])*OutputTable[RecordedValue]))</f>
        <v>49</v>
      </c>
    </row>
    <row r="340" spans="1:16" x14ac:dyDescent="0.25">
      <c r="A340" t="s">
        <v>68</v>
      </c>
      <c r="B340" t="s">
        <v>70</v>
      </c>
      <c r="C340">
        <v>14</v>
      </c>
      <c r="D340" t="s">
        <v>124</v>
      </c>
      <c r="E340" t="s">
        <v>110</v>
      </c>
      <c r="F340" t="s">
        <v>81</v>
      </c>
      <c r="G340">
        <v>47</v>
      </c>
      <c r="H340">
        <v>0</v>
      </c>
      <c r="I340" s="5" t="str">
        <f>OutputTable[[#This Row],[ProjectName]]&amp;OutputTable[[#This Row],[Name]]&amp;OutputTable[[#This Row],[Type]]&amp;OutputTable[[#This Row],[Source]]</f>
        <v>Pedido CleintesPago Number OutNumber OutProcess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30</v>
      </c>
      <c r="K340" s="5" cm="1">
        <f t="array" ref="K340">IFERROR(AVERAGE(IF((OutputTable[GroupByKey]=OutputTable[[#This Row],[GroupByKey]]),(OutputTable[GroupByKey]=OutputTable[[#This Row],[GroupByKey]])*OutputTable[RecordedValue])),0)</f>
        <v>39.43333333333333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5.9171482724502509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340" s="5" cm="1">
        <f t="array" ref="O340">MIN(IF((OutputTable[GroupByKey]=OutputTable[[#This Row],[GroupByKey]]),(OutputTable[GroupByKey]=OutputTable[[#This Row],[GroupByKey]])*OutputTable[RecordedValue]))</f>
        <v>26</v>
      </c>
      <c r="P340" s="5" cm="1">
        <f t="array" ref="P340">MAX(IF((OutputTable[GroupByKey]=OutputTable[[#This Row],[GroupByKey]]),(OutputTable[GroupByKey]=OutputTable[[#This Row],[GroupByKey]])*OutputTable[RecordedValue]))</f>
        <v>49</v>
      </c>
    </row>
    <row r="341" spans="1:16" x14ac:dyDescent="0.25">
      <c r="A341" t="s">
        <v>68</v>
      </c>
      <c r="B341" t="s">
        <v>70</v>
      </c>
      <c r="C341">
        <v>14</v>
      </c>
      <c r="D341" t="s">
        <v>125</v>
      </c>
      <c r="E341" t="s">
        <v>112</v>
      </c>
      <c r="F341" t="s">
        <v>81</v>
      </c>
      <c r="G341">
        <v>132.126166045752</v>
      </c>
      <c r="H341">
        <v>0</v>
      </c>
      <c r="I3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30</v>
      </c>
      <c r="K341" s="5" cm="1">
        <f t="array" ref="K341">IFERROR(AVERAGE(IF((OutputTable[GroupByKey]=OutputTable[[#This Row],[GroupByKey]]),(OutputTable[GroupByKey]=OutputTable[[#This Row],[GroupByKey]])*OutputTable[RecordedValue])),0)</f>
        <v>116.64263458387505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17.825477946659205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341" s="5" cm="1">
        <f t="array" ref="O341">MIN(IF((OutputTable[GroupByKey]=OutputTable[[#This Row],[GroupByKey]]),(OutputTable[GroupByKey]=OutputTable[[#This Row],[GroupByKey]])*OutputTable[RecordedValue]))</f>
        <v>74.976560761710004</v>
      </c>
      <c r="P341" s="5" cm="1">
        <f t="array" ref="P341">MAX(IF((OutputTable[GroupByKey]=OutputTable[[#This Row],[GroupByKey]]),(OutputTable[GroupByKey]=OutputTable[[#This Row],[GroupByKey]])*OutputTable[RecordedValue]))</f>
        <v>145.504156763596</v>
      </c>
    </row>
    <row r="342" spans="1:16" x14ac:dyDescent="0.25">
      <c r="A342" t="s">
        <v>68</v>
      </c>
      <c r="B342" t="s">
        <v>70</v>
      </c>
      <c r="C342">
        <v>14</v>
      </c>
      <c r="D342" t="s">
        <v>126</v>
      </c>
      <c r="E342" t="s">
        <v>114</v>
      </c>
      <c r="F342" t="s">
        <v>81</v>
      </c>
      <c r="G342">
        <v>45.0625780175735</v>
      </c>
      <c r="H342">
        <v>0</v>
      </c>
      <c r="I3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30</v>
      </c>
      <c r="K342" s="5" cm="1">
        <f t="array" ref="K342">IFERROR(AVERAGE(IF((OutputTable[GroupByKey]=OutputTable[[#This Row],[GroupByKey]]),(OutputTable[GroupByKey]=OutputTable[[#This Row],[GroupByKey]])*OutputTable[RecordedValue])),0)</f>
        <v>39.900972800228722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22.922906975864144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342" s="5" cm="1">
        <f t="array" ref="O342">MIN(IF((OutputTable[GroupByKey]=OutputTable[[#This Row],[GroupByKey]]),(OutputTable[GroupByKey]=OutputTable[[#This Row],[GroupByKey]])*OutputTable[RecordedValue]))</f>
        <v>2.1708788192608899</v>
      </c>
      <c r="P342" s="5" cm="1">
        <f t="array" ref="P342">MAX(IF((OutputTable[GroupByKey]=OutputTable[[#This Row],[GroupByKey]]),(OutputTable[GroupByKey]=OutputTable[[#This Row],[GroupByKey]])*OutputTable[RecordedValue]))</f>
        <v>94.9142929398908</v>
      </c>
    </row>
    <row r="343" spans="1:16" x14ac:dyDescent="0.25">
      <c r="A343" t="s">
        <v>68</v>
      </c>
      <c r="B343" t="s">
        <v>70</v>
      </c>
      <c r="C343">
        <v>14</v>
      </c>
      <c r="D343" t="s">
        <v>127</v>
      </c>
      <c r="E343" t="s">
        <v>108</v>
      </c>
      <c r="F343" t="s">
        <v>81</v>
      </c>
      <c r="G343">
        <v>48</v>
      </c>
      <c r="H343">
        <v>0</v>
      </c>
      <c r="I343" s="5" t="str">
        <f>OutputTable[[#This Row],[ProjectName]]&amp;OutputTable[[#This Row],[Name]]&amp;OutputTable[[#This Row],[Type]]&amp;OutputTable[[#This Row],[Source]]</f>
        <v>Pedido CleintesPreparar orden Number InNumber InProcess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30</v>
      </c>
      <c r="K343" s="5" cm="1">
        <f t="array" ref="K343">IFERROR(AVERAGE(IF((OutputTable[GroupByKey]=OutputTable[[#This Row],[GroupByKey]]),(OutputTable[GroupByKey]=OutputTable[[#This Row],[GroupByKey]])*OutputTable[RecordedValue])),0)</f>
        <v>39.666666666666664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6.0477030882540914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43" s="5" cm="1">
        <f t="array" ref="O343">MIN(IF((OutputTable[GroupByKey]=OutputTable[[#This Row],[GroupByKey]]),(OutputTable[GroupByKey]=OutputTable[[#This Row],[GroupByKey]])*OutputTable[RecordedValue]))</f>
        <v>26</v>
      </c>
      <c r="P343" s="5" cm="1">
        <f t="array" ref="P343">MAX(IF((OutputTable[GroupByKey]=OutputTable[[#This Row],[GroupByKey]]),(OutputTable[GroupByKey]=OutputTable[[#This Row],[GroupByKey]])*OutputTable[RecordedValue]))</f>
        <v>49</v>
      </c>
    </row>
    <row r="344" spans="1:16" x14ac:dyDescent="0.25">
      <c r="A344" t="s">
        <v>68</v>
      </c>
      <c r="B344" t="s">
        <v>70</v>
      </c>
      <c r="C344">
        <v>14</v>
      </c>
      <c r="D344" t="s">
        <v>128</v>
      </c>
      <c r="E344" t="s">
        <v>110</v>
      </c>
      <c r="F344" t="s">
        <v>81</v>
      </c>
      <c r="G344">
        <v>44</v>
      </c>
      <c r="H344">
        <v>0</v>
      </c>
      <c r="I3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30</v>
      </c>
      <c r="K344" s="5" cm="1">
        <f t="array" ref="K344">IFERROR(AVERAGE(IF((OutputTable[GroupByKey]=OutputTable[[#This Row],[GroupByKey]]),(OutputTable[GroupByKey]=OutputTable[[#This Row],[GroupByKey]])*OutputTable[RecordedValue])),0)</f>
        <v>38.93333333333333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5.9765826548191505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44" s="5" cm="1">
        <f t="array" ref="O344">MIN(IF((OutputTable[GroupByKey]=OutputTable[[#This Row],[GroupByKey]]),(OutputTable[GroupByKey]=OutputTable[[#This Row],[GroupByKey]])*OutputTable[RecordedValue]))</f>
        <v>25</v>
      </c>
      <c r="P344" s="5" cm="1">
        <f t="array" ref="P344">MAX(IF((OutputTable[GroupByKey]=OutputTable[[#This Row],[GroupByKey]]),(OutputTable[GroupByKey]=OutputTable[[#This Row],[GroupByKey]])*OutputTable[RecordedValue]))</f>
        <v>49</v>
      </c>
    </row>
    <row r="345" spans="1:16" x14ac:dyDescent="0.25">
      <c r="A345" t="s">
        <v>68</v>
      </c>
      <c r="B345" t="s">
        <v>70</v>
      </c>
      <c r="C345">
        <v>14</v>
      </c>
      <c r="D345" t="s">
        <v>129</v>
      </c>
      <c r="E345" t="s">
        <v>110</v>
      </c>
      <c r="F345" t="s">
        <v>130</v>
      </c>
      <c r="G345">
        <v>44</v>
      </c>
      <c r="H345">
        <v>0</v>
      </c>
      <c r="I345" s="5" t="str">
        <f>OutputTable[[#This Row],[ProjectName]]&amp;OutputTable[[#This Row],[Name]]&amp;OutputTable[[#This Row],[Type]]&amp;OutputTable[[#This Row],[Source]]</f>
        <v>Pedido CleintesSystem.NumberOutNumber OutSystem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30</v>
      </c>
      <c r="K345" s="5" cm="1">
        <f t="array" ref="K345">IFERROR(AVERAGE(IF((OutputTable[GroupByKey]=OutputTable[[#This Row],[GroupByKey]]),(OutputTable[GroupByKey]=OutputTable[[#This Row],[GroupByKey]])*OutputTable[RecordedValue])),0)</f>
        <v>38.866666666666667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6.0840851369801694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45" s="5" cm="1">
        <f t="array" ref="O345">MIN(IF((OutputTable[GroupByKey]=OutputTable[[#This Row],[GroupByKey]]),(OutputTable[GroupByKey]=OutputTable[[#This Row],[GroupByKey]])*OutputTable[RecordedValue]))</f>
        <v>24</v>
      </c>
      <c r="P345" s="5" cm="1">
        <f t="array" ref="P345">MAX(IF((OutputTable[GroupByKey]=OutputTable[[#This Row],[GroupByKey]]),(OutputTable[GroupByKey]=OutputTable[[#This Row],[GroupByKey]])*OutputTable[RecordedValue]))</f>
        <v>49</v>
      </c>
    </row>
    <row r="346" spans="1:16" x14ac:dyDescent="0.25">
      <c r="A346" t="s">
        <v>68</v>
      </c>
      <c r="B346" t="s">
        <v>70</v>
      </c>
      <c r="C346">
        <v>14</v>
      </c>
      <c r="D346" t="s">
        <v>131</v>
      </c>
      <c r="E346" t="s">
        <v>132</v>
      </c>
      <c r="F346" t="s">
        <v>102</v>
      </c>
      <c r="G346">
        <v>45</v>
      </c>
      <c r="H346">
        <v>0</v>
      </c>
      <c r="I3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30</v>
      </c>
      <c r="K346" s="5" cm="1">
        <f t="array" ref="K346">IFERROR(AVERAGE(IF((OutputTable[GroupByKey]=OutputTable[[#This Row],[GroupByKey]]),(OutputTable[GroupByKey]=OutputTable[[#This Row],[GroupByKey]])*OutputTable[RecordedValue])),0)</f>
        <v>39.4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5.8757244601014422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346" s="5" cm="1">
        <f t="array" ref="O346">MIN(IF((OutputTable[GroupByKey]=OutputTable[[#This Row],[GroupByKey]]),(OutputTable[GroupByKey]=OutputTable[[#This Row],[GroupByKey]])*OutputTable[RecordedValue]))</f>
        <v>26</v>
      </c>
      <c r="P346" s="5" cm="1">
        <f t="array" ref="P346">MAX(IF((OutputTable[GroupByKey]=OutputTable[[#This Row],[GroupByKey]]),(OutputTable[GroupByKey]=OutputTable[[#This Row],[GroupByKey]])*OutputTable[RecordedValue]))</f>
        <v>49</v>
      </c>
    </row>
    <row r="347" spans="1:16" x14ac:dyDescent="0.25">
      <c r="A347" t="s">
        <v>68</v>
      </c>
      <c r="B347" t="s">
        <v>70</v>
      </c>
      <c r="C347">
        <v>14</v>
      </c>
      <c r="D347" t="s">
        <v>133</v>
      </c>
      <c r="E347" t="s">
        <v>134</v>
      </c>
      <c r="F347" t="s">
        <v>102</v>
      </c>
      <c r="G347">
        <v>0.56102683884971605</v>
      </c>
      <c r="H347">
        <v>0</v>
      </c>
      <c r="I3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30</v>
      </c>
      <c r="K347" s="5" cm="1">
        <f t="array" ref="K347">IFERROR(AVERAGE(IF((OutputTable[GroupByKey]=OutputTable[[#This Row],[GroupByKey]]),(OutputTable[GroupByKey]=OutputTable[[#This Row],[GroupByKey]])*OutputTable[RecordedValue])),0)</f>
        <v>0.48891840079317483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7.3627413122013347E-2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347" s="5" cm="1">
        <f t="array" ref="O347">MIN(IF((OutputTable[GroupByKey]=OutputTable[[#This Row],[GroupByKey]]),(OutputTable[GroupByKey]=OutputTable[[#This Row],[GroupByKey]])*OutputTable[RecordedValue]))</f>
        <v>0.31277577999924699</v>
      </c>
      <c r="P347" s="5" cm="1">
        <f t="array" ref="P347">MAX(IF((OutputTable[GroupByKey]=OutputTable[[#This Row],[GroupByKey]]),(OutputTable[GroupByKey]=OutputTable[[#This Row],[GroupByKey]])*OutputTable[RecordedValue]))</f>
        <v>0.60626731984831705</v>
      </c>
    </row>
    <row r="348" spans="1:16" x14ac:dyDescent="0.25">
      <c r="A348" t="s">
        <v>68</v>
      </c>
      <c r="B348" t="s">
        <v>70</v>
      </c>
      <c r="C348">
        <v>14</v>
      </c>
      <c r="D348" t="s">
        <v>135</v>
      </c>
      <c r="E348" t="s">
        <v>132</v>
      </c>
      <c r="F348" t="s">
        <v>102</v>
      </c>
      <c r="G348">
        <v>96</v>
      </c>
      <c r="H348">
        <v>0</v>
      </c>
      <c r="I3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30</v>
      </c>
      <c r="K348" s="5" cm="1">
        <f t="array" ref="K348">IFERROR(AVERAGE(IF((OutputTable[GroupByKey]=OutputTable[[#This Row],[GroupByKey]]),(OutputTable[GroupByKey]=OutputTable[[#This Row],[GroupByKey]])*OutputTable[RecordedValue])),0)</f>
        <v>79.466666666666669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12.016463801753446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348" s="5" cm="1">
        <f t="array" ref="O348">MIN(IF((OutputTable[GroupByKey]=OutputTable[[#This Row],[GroupByKey]]),(OutputTable[GroupByKey]=OutputTable[[#This Row],[GroupByKey]])*OutputTable[RecordedValue]))</f>
        <v>53</v>
      </c>
      <c r="P348" s="5" cm="1">
        <f t="array" ref="P348">MAX(IF((OutputTable[GroupByKey]=OutputTable[[#This Row],[GroupByKey]]),(OutputTable[GroupByKey]=OutputTable[[#This Row],[GroupByKey]])*OutputTable[RecordedValue]))</f>
        <v>98</v>
      </c>
    </row>
    <row r="349" spans="1:16" x14ac:dyDescent="0.25">
      <c r="A349" t="s">
        <v>68</v>
      </c>
      <c r="B349" t="s">
        <v>70</v>
      </c>
      <c r="C349">
        <v>14</v>
      </c>
      <c r="D349" t="s">
        <v>136</v>
      </c>
      <c r="E349" t="s">
        <v>134</v>
      </c>
      <c r="F349" t="s">
        <v>102</v>
      </c>
      <c r="G349">
        <v>0.35600885922648501</v>
      </c>
      <c r="H349">
        <v>0</v>
      </c>
      <c r="I3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30</v>
      </c>
      <c r="K349" s="5" cm="1">
        <f t="array" ref="K349">IFERROR(AVERAGE(IF((OutputTable[GroupByKey]=OutputTable[[#This Row],[GroupByKey]]),(OutputTable[GroupByKey]=OutputTable[[#This Row],[GroupByKey]])*OutputTable[RecordedValue])),0)</f>
        <v>0.28976365927997022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4.4748273652133699E-2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349" s="5" cm="1">
        <f t="array" ref="O349">MIN(IF((OutputTable[GroupByKey]=OutputTable[[#This Row],[GroupByKey]]),(OutputTable[GroupByKey]=OutputTable[[#This Row],[GroupByKey]])*OutputTable[RecordedValue]))</f>
        <v>0.194735973294278</v>
      </c>
      <c r="P349" s="5" cm="1">
        <f t="array" ref="P349">MAX(IF((OutputTable[GroupByKey]=OutputTable[[#This Row],[GroupByKey]]),(OutputTable[GroupByKey]=OutputTable[[#This Row],[GroupByKey]])*OutputTable[RecordedValue]))</f>
        <v>0.35775345817659199</v>
      </c>
    </row>
    <row r="350" spans="1:16" x14ac:dyDescent="0.25">
      <c r="A350" t="s">
        <v>68</v>
      </c>
      <c r="B350" t="s">
        <v>70</v>
      </c>
      <c r="C350">
        <v>14</v>
      </c>
      <c r="D350" t="s">
        <v>137</v>
      </c>
      <c r="E350" t="s">
        <v>132</v>
      </c>
      <c r="F350" t="s">
        <v>102</v>
      </c>
      <c r="G350">
        <v>44</v>
      </c>
      <c r="H350">
        <v>0</v>
      </c>
      <c r="I3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30</v>
      </c>
      <c r="K350" s="5" cm="1">
        <f t="array" ref="K350">IFERROR(AVERAGE(IF((OutputTable[GroupByKey]=OutputTable[[#This Row],[GroupByKey]]),(OutputTable[GroupByKey]=OutputTable[[#This Row],[GroupByKey]])*OutputTable[RecordedValue])),0)</f>
        <v>38.93333333333333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5.9765826548191505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50" s="5" cm="1">
        <f t="array" ref="O350">MIN(IF((OutputTable[GroupByKey]=OutputTable[[#This Row],[GroupByKey]]),(OutputTable[GroupByKey]=OutputTable[[#This Row],[GroupByKey]])*OutputTable[RecordedValue]))</f>
        <v>25</v>
      </c>
      <c r="P350" s="5" cm="1">
        <f t="array" ref="P350">MAX(IF((OutputTable[GroupByKey]=OutputTable[[#This Row],[GroupByKey]]),(OutputTable[GroupByKey]=OutputTable[[#This Row],[GroupByKey]])*OutputTable[RecordedValue]))</f>
        <v>49</v>
      </c>
    </row>
    <row r="351" spans="1:16" x14ac:dyDescent="0.25">
      <c r="A351" t="s">
        <v>68</v>
      </c>
      <c r="B351" t="s">
        <v>70</v>
      </c>
      <c r="C351">
        <v>14</v>
      </c>
      <c r="D351" t="s">
        <v>138</v>
      </c>
      <c r="E351" t="s">
        <v>134</v>
      </c>
      <c r="F351" t="s">
        <v>102</v>
      </c>
      <c r="G351">
        <v>8.5436298008042297E-2</v>
      </c>
      <c r="H351">
        <v>0</v>
      </c>
      <c r="I3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30</v>
      </c>
      <c r="K351" s="5" cm="1">
        <f t="array" ref="K351">IFERROR(AVERAGE(IF((OutputTable[GroupByKey]=OutputTable[[#This Row],[GroupByKey]]),(OutputTable[GroupByKey]=OutputTable[[#This Row],[GroupByKey]])*OutputTable[RecordedValue])),0)</f>
        <v>8.2588852761398115E-2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1.3130964022328008E-2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351" s="5" cm="1">
        <f t="array" ref="O351">MIN(IF((OutputTable[GroupByKey]=OutputTable[[#This Row],[GroupByKey]]),(OutputTable[GroupByKey]=OutputTable[[#This Row],[GroupByKey]])*OutputTable[RecordedValue]))</f>
        <v>5.3757894868807901E-2</v>
      </c>
      <c r="P351" s="5" cm="1">
        <f t="array" ref="P351">MAX(IF((OutputTable[GroupByKey]=OutputTable[[#This Row],[GroupByKey]]),(OutputTable[GroupByKey]=OutputTable[[#This Row],[GroupByKey]])*OutputTable[RecordedValue]))</f>
        <v>0.103175045984152</v>
      </c>
    </row>
    <row r="352" spans="1:16" x14ac:dyDescent="0.25">
      <c r="A352" t="s">
        <v>68</v>
      </c>
      <c r="B352" t="s">
        <v>70</v>
      </c>
      <c r="C352">
        <v>15</v>
      </c>
      <c r="D352" t="s">
        <v>107</v>
      </c>
      <c r="E352" t="s">
        <v>108</v>
      </c>
      <c r="F352" t="s">
        <v>73</v>
      </c>
      <c r="G352">
        <v>139</v>
      </c>
      <c r="H352">
        <v>0</v>
      </c>
      <c r="I352" s="5" t="str">
        <f>OutputTable[[#This Row],[ProjectName]]&amp;OutputTable[[#This Row],[Name]]&amp;OutputTable[[#This Row],[Type]]&amp;OutputTable[[#This Row],[Source]]</f>
        <v>Pedido CleintesClientes.NumberInNumber InEntity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30</v>
      </c>
      <c r="K352" s="5" cm="1">
        <f t="array" ref="K352">IFERROR(AVERAGE(IF((OutputTable[GroupByKey]=OutputTable[[#This Row],[GroupByKey]]),(OutputTable[GroupByKey]=OutputTable[[#This Row],[GroupByKey]])*OutputTable[RecordedValue])),0)</f>
        <v>118.5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18.009097317936192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352" s="5" cm="1">
        <f t="array" ref="O352">MIN(IF((OutputTable[GroupByKey]=OutputTable[[#This Row],[GroupByKey]]),(OutputTable[GroupByKey]=OutputTable[[#This Row],[GroupByKey]])*OutputTable[RecordedValue]))</f>
        <v>78</v>
      </c>
      <c r="P352" s="5" cm="1">
        <f t="array" ref="P352">MAX(IF((OutputTable[GroupByKey]=OutputTable[[#This Row],[GroupByKey]]),(OutputTable[GroupByKey]=OutputTable[[#This Row],[GroupByKey]])*OutputTable[RecordedValue]))</f>
        <v>147</v>
      </c>
    </row>
    <row r="353" spans="1:16" x14ac:dyDescent="0.25">
      <c r="A353" t="s">
        <v>68</v>
      </c>
      <c r="B353" t="s">
        <v>70</v>
      </c>
      <c r="C353">
        <v>15</v>
      </c>
      <c r="D353" t="s">
        <v>109</v>
      </c>
      <c r="E353" t="s">
        <v>110</v>
      </c>
      <c r="F353" t="s">
        <v>73</v>
      </c>
      <c r="G353">
        <v>138</v>
      </c>
      <c r="H353">
        <v>0</v>
      </c>
      <c r="I353" s="5" t="str">
        <f>OutputTable[[#This Row],[ProjectName]]&amp;OutputTable[[#This Row],[Name]]&amp;OutputTable[[#This Row],[Type]]&amp;OutputTable[[#This Row],[Source]]</f>
        <v>Pedido CleintesClientes.NumberOutNumber OutEntity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30</v>
      </c>
      <c r="K353" s="5" cm="1">
        <f t="array" ref="K353">IFERROR(AVERAGE(IF((OutputTable[GroupByKey]=OutputTable[[#This Row],[GroupByKey]]),(OutputTable[GroupByKey]=OutputTable[[#This Row],[GroupByKey]])*OutputTable[RecordedValue])),0)</f>
        <v>116.6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18.252255410940514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353" s="5" cm="1">
        <f t="array" ref="O353">MIN(IF((OutputTable[GroupByKey]=OutputTable[[#This Row],[GroupByKey]]),(OutputTable[GroupByKey]=OutputTable[[#This Row],[GroupByKey]])*OutputTable[RecordedValue]))</f>
        <v>72</v>
      </c>
      <c r="P353" s="5" cm="1">
        <f t="array" ref="P353">MAX(IF((OutputTable[GroupByKey]=OutputTable[[#This Row],[GroupByKey]]),(OutputTable[GroupByKey]=OutputTable[[#This Row],[GroupByKey]])*OutputTable[RecordedValue]))</f>
        <v>147</v>
      </c>
    </row>
    <row r="354" spans="1:16" x14ac:dyDescent="0.25">
      <c r="A354" t="s">
        <v>68</v>
      </c>
      <c r="B354" t="s">
        <v>70</v>
      </c>
      <c r="C354">
        <v>15</v>
      </c>
      <c r="D354" t="s">
        <v>111</v>
      </c>
      <c r="E354" t="s">
        <v>112</v>
      </c>
      <c r="F354" t="s">
        <v>81</v>
      </c>
      <c r="G354">
        <v>24.7460827705196</v>
      </c>
      <c r="H354">
        <v>0</v>
      </c>
      <c r="I35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30</v>
      </c>
      <c r="K354" s="5" cm="1">
        <f t="array" ref="K354">IFERROR(AVERAGE(IF((OutputTable[GroupByKey]=OutputTable[[#This Row],[GroupByKey]]),(OutputTable[GroupByKey]=OutputTable[[#This Row],[GroupByKey]])*OutputTable[RecordedValue])),0)</f>
        <v>19.806808580201274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3.1624794742170024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354" s="5" cm="1">
        <f t="array" ref="O354">MIN(IF((OutputTable[GroupByKey]=OutputTable[[#This Row],[GroupByKey]]),(OutputTable[GroupByKey]=OutputTable[[#This Row],[GroupByKey]])*OutputTable[RecordedValue]))</f>
        <v>12.812268330404599</v>
      </c>
      <c r="P354" s="5" cm="1">
        <f t="array" ref="P354">MAX(IF((OutputTable[GroupByKey]=OutputTable[[#This Row],[GroupByKey]]),(OutputTable[GroupByKey]=OutputTable[[#This Row],[GroupByKey]])*OutputTable[RecordedValue]))</f>
        <v>24.762011036196501</v>
      </c>
    </row>
    <row r="355" spans="1:16" x14ac:dyDescent="0.25">
      <c r="A355" t="s">
        <v>68</v>
      </c>
      <c r="B355" t="s">
        <v>70</v>
      </c>
      <c r="C355">
        <v>15</v>
      </c>
      <c r="D355" t="s">
        <v>113</v>
      </c>
      <c r="E355" t="s">
        <v>114</v>
      </c>
      <c r="F355" t="s">
        <v>81</v>
      </c>
      <c r="G355">
        <v>0</v>
      </c>
      <c r="H355">
        <v>0</v>
      </c>
      <c r="I35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30</v>
      </c>
      <c r="K355" s="5" cm="1">
        <f t="array" ref="K355">IFERROR(AVERAGE(IF((OutputTable[GroupByKey]=OutputTable[[#This Row],[GroupByKey]]),(OutputTable[GroupByKey]=OutputTable[[#This Row],[GroupByKey]])*OutputTable[RecordedValue])),0)</f>
        <v>0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0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5" s="5" cm="1">
        <f t="array" ref="O355">MIN(IF((OutputTable[GroupByKey]=OutputTable[[#This Row],[GroupByKey]]),(OutputTable[GroupByKey]=OutputTable[[#This Row],[GroupByKey]])*OutputTable[RecordedValue]))</f>
        <v>0</v>
      </c>
      <c r="P355" s="5" cm="1">
        <f t="array" ref="P355">MAX(IF((OutputTable[GroupByKey]=OutputTable[[#This Row],[GroupByKey]]),(OutputTable[GroupByKey]=OutputTable[[#This Row],[GroupByKey]])*OutputTable[RecordedValue]))</f>
        <v>0</v>
      </c>
    </row>
    <row r="356" spans="1:16" x14ac:dyDescent="0.25">
      <c r="A356" t="s">
        <v>68</v>
      </c>
      <c r="B356" t="s">
        <v>70</v>
      </c>
      <c r="C356">
        <v>15</v>
      </c>
      <c r="D356" t="s">
        <v>115</v>
      </c>
      <c r="E356" t="s">
        <v>108</v>
      </c>
      <c r="F356" t="s">
        <v>81</v>
      </c>
      <c r="G356">
        <v>46</v>
      </c>
      <c r="H356">
        <v>0</v>
      </c>
      <c r="I35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30</v>
      </c>
      <c r="K356" s="5" cm="1">
        <f t="array" ref="K356">IFERROR(AVERAGE(IF((OutputTable[GroupByKey]=OutputTable[[#This Row],[GroupByKey]]),(OutputTable[GroupByKey]=OutputTable[[#This Row],[GroupByKey]])*OutputTable[RecordedValue])),0)</f>
        <v>38.93333333333333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5.9765826548191505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56" s="5" cm="1">
        <f t="array" ref="O356">MIN(IF((OutputTable[GroupByKey]=OutputTable[[#This Row],[GroupByKey]]),(OutputTable[GroupByKey]=OutputTable[[#This Row],[GroupByKey]])*OutputTable[RecordedValue]))</f>
        <v>25</v>
      </c>
      <c r="P356" s="5" cm="1">
        <f t="array" ref="P356">MAX(IF((OutputTable[GroupByKey]=OutputTable[[#This Row],[GroupByKey]]),(OutputTable[GroupByKey]=OutputTable[[#This Row],[GroupByKey]])*OutputTable[RecordedValue]))</f>
        <v>49</v>
      </c>
    </row>
    <row r="357" spans="1:16" x14ac:dyDescent="0.25">
      <c r="A357" t="s">
        <v>68</v>
      </c>
      <c r="B357" t="s">
        <v>70</v>
      </c>
      <c r="C357">
        <v>15</v>
      </c>
      <c r="D357" t="s">
        <v>116</v>
      </c>
      <c r="E357" t="s">
        <v>110</v>
      </c>
      <c r="F357" t="s">
        <v>81</v>
      </c>
      <c r="G357">
        <v>46</v>
      </c>
      <c r="H357">
        <v>0</v>
      </c>
      <c r="I35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30</v>
      </c>
      <c r="K357" s="5" cm="1">
        <f t="array" ref="K357">IFERROR(AVERAGE(IF((OutputTable[GroupByKey]=OutputTable[[#This Row],[GroupByKey]]),(OutputTable[GroupByKey]=OutputTable[[#This Row],[GroupByKey]])*OutputTable[RecordedValue])),0)</f>
        <v>38.866666666666667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6.0840851369801694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57" s="5" cm="1">
        <f t="array" ref="O357">MIN(IF((OutputTable[GroupByKey]=OutputTable[[#This Row],[GroupByKey]]),(OutputTable[GroupByKey]=OutputTable[[#This Row],[GroupByKey]])*OutputTable[RecordedValue]))</f>
        <v>24</v>
      </c>
      <c r="P357" s="5" cm="1">
        <f t="array" ref="P357">MAX(IF((OutputTable[GroupByKey]=OutputTable[[#This Row],[GroupByKey]]),(OutputTable[GroupByKey]=OutputTable[[#This Row],[GroupByKey]])*OutputTable[RecordedValue]))</f>
        <v>49</v>
      </c>
    </row>
    <row r="358" spans="1:16" x14ac:dyDescent="0.25">
      <c r="A358" t="s">
        <v>68</v>
      </c>
      <c r="B358" t="s">
        <v>70</v>
      </c>
      <c r="C358">
        <v>15</v>
      </c>
      <c r="D358" t="s">
        <v>117</v>
      </c>
      <c r="E358" t="s">
        <v>112</v>
      </c>
      <c r="F358" t="s">
        <v>81</v>
      </c>
      <c r="G358">
        <v>47.013980353543403</v>
      </c>
      <c r="H358">
        <v>0</v>
      </c>
      <c r="I358" s="5" t="str">
        <f>OutputTable[[#This Row],[ProjectName]]&amp;OutputTable[[#This Row],[Name]]&amp;OutputTable[[#This Row],[Type]]&amp;OutputTable[[#This Row],[Source]]</f>
        <v>Pedido CleintesOrdnes Accum VA TimeAccum VA TimeProcess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30</v>
      </c>
      <c r="K358" s="5" cm="1">
        <f t="array" ref="K358">IFERROR(AVERAGE(IF((OutputTable[GroupByKey]=OutputTable[[#This Row],[GroupByKey]]),(OutputTable[GroupByKey]=OutputTable[[#This Row],[GroupByKey]])*OutputTable[RecordedValue])),0)</f>
        <v>39.878126992056487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6.1068580319474277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358" s="5" cm="1">
        <f t="array" ref="O358">MIN(IF((OutputTable[GroupByKey]=OutputTable[[#This Row],[GroupByKey]]),(OutputTable[GroupByKey]=OutputTable[[#This Row],[GroupByKey]])*OutputTable[RecordedValue]))</f>
        <v>26.106281767804099</v>
      </c>
      <c r="P358" s="5" cm="1">
        <f t="array" ref="P358">MAX(IF((OutputTable[GroupByKey]=OutputTable[[#This Row],[GroupByKey]]),(OutputTable[GroupByKey]=OutputTable[[#This Row],[GroupByKey]])*OutputTable[RecordedValue]))</f>
        <v>48.706388790541098</v>
      </c>
    </row>
    <row r="359" spans="1:16" x14ac:dyDescent="0.25">
      <c r="A359" t="s">
        <v>68</v>
      </c>
      <c r="B359" t="s">
        <v>70</v>
      </c>
      <c r="C359">
        <v>15</v>
      </c>
      <c r="D359" t="s">
        <v>118</v>
      </c>
      <c r="E359" t="s">
        <v>114</v>
      </c>
      <c r="F359" t="s">
        <v>81</v>
      </c>
      <c r="G359">
        <v>10.9039929367604</v>
      </c>
      <c r="H359">
        <v>0</v>
      </c>
      <c r="I35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30</v>
      </c>
      <c r="K359" s="5" cm="1">
        <f t="array" ref="K359">IFERROR(AVERAGE(IF((OutputTable[GroupByKey]=OutputTable[[#This Row],[GroupByKey]]),(OutputTable[GroupByKey]=OutputTable[[#This Row],[GroupByKey]])*OutputTable[RecordedValue])),0)</f>
        <v>7.9804799821754404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4.8950382198155014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359" s="5" cm="1">
        <f t="array" ref="O359">MIN(IF((OutputTable[GroupByKey]=OutputTable[[#This Row],[GroupByKey]]),(OutputTable[GroupByKey]=OutputTable[[#This Row],[GroupByKey]])*OutputTable[RecordedValue]))</f>
        <v>0</v>
      </c>
      <c r="P359" s="5" cm="1">
        <f t="array" ref="P359">MAX(IF((OutputTable[GroupByKey]=OutputTable[[#This Row],[GroupByKey]]),(OutputTable[GroupByKey]=OutputTable[[#This Row],[GroupByKey]])*OutputTable[RecordedValue]))</f>
        <v>18.843855117811401</v>
      </c>
    </row>
    <row r="360" spans="1:16" x14ac:dyDescent="0.25">
      <c r="A360" t="s">
        <v>68</v>
      </c>
      <c r="B360" t="s">
        <v>70</v>
      </c>
      <c r="C360">
        <v>15</v>
      </c>
      <c r="D360" t="s">
        <v>119</v>
      </c>
      <c r="E360" t="s">
        <v>108</v>
      </c>
      <c r="F360" t="s">
        <v>81</v>
      </c>
      <c r="G360">
        <v>47</v>
      </c>
      <c r="H360">
        <v>0</v>
      </c>
      <c r="I360" s="5" t="str">
        <f>OutputTable[[#This Row],[ProjectName]]&amp;OutputTable[[#This Row],[Name]]&amp;OutputTable[[#This Row],[Type]]&amp;OutputTable[[#This Row],[Source]]</f>
        <v>Pedido CleintesOrdnes Number InNumber InProcess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30</v>
      </c>
      <c r="K360" s="5" cm="1">
        <f t="array" ref="K360">IFERROR(AVERAGE(IF((OutputTable[GroupByKey]=OutputTable[[#This Row],[GroupByKey]]),(OutputTable[GroupByKey]=OutputTable[[#This Row],[GroupByKey]])*OutputTable[RecordedValue])),0)</f>
        <v>39.9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6.0648791101463475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360" s="5" cm="1">
        <f t="array" ref="O360">MIN(IF((OutputTable[GroupByKey]=OutputTable[[#This Row],[GroupByKey]]),(OutputTable[GroupByKey]=OutputTable[[#This Row],[GroupByKey]])*OutputTable[RecordedValue]))</f>
        <v>27</v>
      </c>
      <c r="P360" s="5" cm="1">
        <f t="array" ref="P360">MAX(IF((OutputTable[GroupByKey]=OutputTable[[#This Row],[GroupByKey]]),(OutputTable[GroupByKey]=OutputTable[[#This Row],[GroupByKey]])*OutputTable[RecordedValue]))</f>
        <v>49</v>
      </c>
    </row>
    <row r="361" spans="1:16" x14ac:dyDescent="0.25">
      <c r="A361" t="s">
        <v>68</v>
      </c>
      <c r="B361" t="s">
        <v>70</v>
      </c>
      <c r="C361">
        <v>15</v>
      </c>
      <c r="D361" t="s">
        <v>120</v>
      </c>
      <c r="E361" t="s">
        <v>110</v>
      </c>
      <c r="F361" t="s">
        <v>81</v>
      </c>
      <c r="G361">
        <v>46</v>
      </c>
      <c r="H361">
        <v>0</v>
      </c>
      <c r="I361" s="5" t="str">
        <f>OutputTable[[#This Row],[ProjectName]]&amp;OutputTable[[#This Row],[Name]]&amp;OutputTable[[#This Row],[Type]]&amp;OutputTable[[#This Row],[Source]]</f>
        <v>Pedido CleintesOrdnes Number OutNumber OutProcess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30</v>
      </c>
      <c r="K361" s="5" cm="1">
        <f t="array" ref="K361">IFERROR(AVERAGE(IF((OutputTable[GroupByKey]=OutputTable[[#This Row],[GroupByKey]]),(OutputTable[GroupByKey]=OutputTable[[#This Row],[GroupByKey]])*OutputTable[RecordedValue])),0)</f>
        <v>39.666666666666664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6.0477030882540914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61" s="5" cm="1">
        <f t="array" ref="O361">MIN(IF((OutputTable[GroupByKey]=OutputTable[[#This Row],[GroupByKey]]),(OutputTable[GroupByKey]=OutputTable[[#This Row],[GroupByKey]])*OutputTable[RecordedValue]))</f>
        <v>26</v>
      </c>
      <c r="P361" s="5" cm="1">
        <f t="array" ref="P361">MAX(IF((OutputTable[GroupByKey]=OutputTable[[#This Row],[GroupByKey]]),(OutputTable[GroupByKey]=OutputTable[[#This Row],[GroupByKey]])*OutputTable[RecordedValue]))</f>
        <v>49</v>
      </c>
    </row>
    <row r="362" spans="1:16" x14ac:dyDescent="0.25">
      <c r="A362" t="s">
        <v>68</v>
      </c>
      <c r="B362" t="s">
        <v>70</v>
      </c>
      <c r="C362">
        <v>15</v>
      </c>
      <c r="D362" t="s">
        <v>121</v>
      </c>
      <c r="E362" t="s">
        <v>112</v>
      </c>
      <c r="F362" t="s">
        <v>81</v>
      </c>
      <c r="G362">
        <v>32.847401049750196</v>
      </c>
      <c r="H362">
        <v>0</v>
      </c>
      <c r="I362" s="5" t="str">
        <f>OutputTable[[#This Row],[ProjectName]]&amp;OutputTable[[#This Row],[Name]]&amp;OutputTable[[#This Row],[Type]]&amp;OutputTable[[#This Row],[Source]]</f>
        <v>Pedido CleintesPago Accum VA TimeAccum VA TimeProcess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30</v>
      </c>
      <c r="K362" s="5" cm="1">
        <f t="array" ref="K362">IFERROR(AVERAGE(IF((OutputTable[GroupByKey]=OutputTable[[#This Row],[GroupByKey]]),(OutputTable[GroupByKey]=OutputTable[[#This Row],[GroupByKey]])*OutputTable[RecordedValue])),0)</f>
        <v>29.486262713858675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4.747176664010901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362" s="5" cm="1">
        <f t="array" ref="O362">MIN(IF((OutputTable[GroupByKey]=OutputTable[[#This Row],[GroupByKey]]),(OutputTable[GroupByKey]=OutputTable[[#This Row],[GroupByKey]])*OutputTable[RecordedValue]))</f>
        <v>19.573210250889101</v>
      </c>
      <c r="P362" s="5" cm="1">
        <f t="array" ref="P362">MAX(IF((OutputTable[GroupByKey]=OutputTable[[#This Row],[GroupByKey]]),(OutputTable[GroupByKey]=OutputTable[[#This Row],[GroupByKey]])*OutputTable[RecordedValue]))</f>
        <v>37.056974462114901</v>
      </c>
    </row>
    <row r="363" spans="1:16" x14ac:dyDescent="0.25">
      <c r="A363" t="s">
        <v>68</v>
      </c>
      <c r="B363" t="s">
        <v>70</v>
      </c>
      <c r="C363">
        <v>15</v>
      </c>
      <c r="D363" t="s">
        <v>122</v>
      </c>
      <c r="E363" t="s">
        <v>114</v>
      </c>
      <c r="F363" t="s">
        <v>81</v>
      </c>
      <c r="G363">
        <v>19.416549147139801</v>
      </c>
      <c r="H363">
        <v>0</v>
      </c>
      <c r="I363" s="5" t="str">
        <f>OutputTable[[#This Row],[ProjectName]]&amp;OutputTable[[#This Row],[Name]]&amp;OutputTable[[#This Row],[Type]]&amp;OutputTable[[#This Row],[Source]]</f>
        <v>Pedido CleintesPago Accum Wait TimeAccum Wait TimeProcess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30</v>
      </c>
      <c r="K363" s="5" cm="1">
        <f t="array" ref="K363">IFERROR(AVERAGE(IF((OutputTable[GroupByKey]=OutputTable[[#This Row],[GroupByKey]]),(OutputTable[GroupByKey]=OutputTable[[#This Row],[GroupByKey]])*OutputTable[RecordedValue])),0)</f>
        <v>13.025761997568024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7.8467935605388783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363" s="5" cm="1">
        <f t="array" ref="O363">MIN(IF((OutputTable[GroupByKey]=OutputTable[[#This Row],[GroupByKey]]),(OutputTable[GroupByKey]=OutputTable[[#This Row],[GroupByKey]])*OutputTable[RecordedValue]))</f>
        <v>0</v>
      </c>
      <c r="P363" s="5" cm="1">
        <f t="array" ref="P363">MAX(IF((OutputTable[GroupByKey]=OutputTable[[#This Row],[GroupByKey]]),(OutputTable[GroupByKey]=OutputTable[[#This Row],[GroupByKey]])*OutputTable[RecordedValue]))</f>
        <v>32.770863925850499</v>
      </c>
    </row>
    <row r="364" spans="1:16" x14ac:dyDescent="0.25">
      <c r="A364" t="s">
        <v>68</v>
      </c>
      <c r="B364" t="s">
        <v>70</v>
      </c>
      <c r="C364">
        <v>15</v>
      </c>
      <c r="D364" t="s">
        <v>123</v>
      </c>
      <c r="E364" t="s">
        <v>108</v>
      </c>
      <c r="F364" t="s">
        <v>81</v>
      </c>
      <c r="G364">
        <v>46</v>
      </c>
      <c r="H364">
        <v>0</v>
      </c>
      <c r="I364" s="5" t="str">
        <f>OutputTable[[#This Row],[ProjectName]]&amp;OutputTable[[#This Row],[Name]]&amp;OutputTable[[#This Row],[Type]]&amp;OutputTable[[#This Row],[Source]]</f>
        <v>Pedido CleintesPago Number InNumber InProcess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30</v>
      </c>
      <c r="K364" s="5" cm="1">
        <f t="array" ref="K364">IFERROR(AVERAGE(IF((OutputTable[GroupByKey]=OutputTable[[#This Row],[GroupByKey]]),(OutputTable[GroupByKey]=OutputTable[[#This Row],[GroupByKey]])*OutputTable[RecordedValue])),0)</f>
        <v>39.666666666666664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6.0477030882540914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64" s="5" cm="1">
        <f t="array" ref="O364">MIN(IF((OutputTable[GroupByKey]=OutputTable[[#This Row],[GroupByKey]]),(OutputTable[GroupByKey]=OutputTable[[#This Row],[GroupByKey]])*OutputTable[RecordedValue]))</f>
        <v>26</v>
      </c>
      <c r="P364" s="5" cm="1">
        <f t="array" ref="P364">MAX(IF((OutputTable[GroupByKey]=OutputTable[[#This Row],[GroupByKey]]),(OutputTable[GroupByKey]=OutputTable[[#This Row],[GroupByKey]])*OutputTable[RecordedValue]))</f>
        <v>49</v>
      </c>
    </row>
    <row r="365" spans="1:16" x14ac:dyDescent="0.25">
      <c r="A365" t="s">
        <v>68</v>
      </c>
      <c r="B365" t="s">
        <v>70</v>
      </c>
      <c r="C365">
        <v>15</v>
      </c>
      <c r="D365" t="s">
        <v>124</v>
      </c>
      <c r="E365" t="s">
        <v>110</v>
      </c>
      <c r="F365" t="s">
        <v>81</v>
      </c>
      <c r="G365">
        <v>46</v>
      </c>
      <c r="H365">
        <v>0</v>
      </c>
      <c r="I365" s="5" t="str">
        <f>OutputTable[[#This Row],[ProjectName]]&amp;OutputTable[[#This Row],[Name]]&amp;OutputTable[[#This Row],[Type]]&amp;OutputTable[[#This Row],[Source]]</f>
        <v>Pedido CleintesPago Number OutNumber OutProcess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30</v>
      </c>
      <c r="K365" s="5" cm="1">
        <f t="array" ref="K365">IFERROR(AVERAGE(IF((OutputTable[GroupByKey]=OutputTable[[#This Row],[GroupByKey]]),(OutputTable[GroupByKey]=OutputTable[[#This Row],[GroupByKey]])*OutputTable[RecordedValue])),0)</f>
        <v>39.43333333333333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5.9171482724502509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365" s="5" cm="1">
        <f t="array" ref="O365">MIN(IF((OutputTable[GroupByKey]=OutputTable[[#This Row],[GroupByKey]]),(OutputTable[GroupByKey]=OutputTable[[#This Row],[GroupByKey]])*OutputTable[RecordedValue]))</f>
        <v>26</v>
      </c>
      <c r="P365" s="5" cm="1">
        <f t="array" ref="P365">MAX(IF((OutputTable[GroupByKey]=OutputTable[[#This Row],[GroupByKey]]),(OutputTable[GroupByKey]=OutputTable[[#This Row],[GroupByKey]])*OutputTable[RecordedValue]))</f>
        <v>49</v>
      </c>
    </row>
    <row r="366" spans="1:16" x14ac:dyDescent="0.25">
      <c r="A366" t="s">
        <v>68</v>
      </c>
      <c r="B366" t="s">
        <v>70</v>
      </c>
      <c r="C366">
        <v>15</v>
      </c>
      <c r="D366" t="s">
        <v>125</v>
      </c>
      <c r="E366" t="s">
        <v>112</v>
      </c>
      <c r="F366" t="s">
        <v>81</v>
      </c>
      <c r="G366">
        <v>138.021936723322</v>
      </c>
      <c r="H366">
        <v>0</v>
      </c>
      <c r="I36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30</v>
      </c>
      <c r="K366" s="5" cm="1">
        <f t="array" ref="K366">IFERROR(AVERAGE(IF((OutputTable[GroupByKey]=OutputTable[[#This Row],[GroupByKey]]),(OutputTable[GroupByKey]=OutputTable[[#This Row],[GroupByKey]])*OutputTable[RecordedValue])),0)</f>
        <v>116.64263458387505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17.825477946659205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366" s="5" cm="1">
        <f t="array" ref="O366">MIN(IF((OutputTable[GroupByKey]=OutputTable[[#This Row],[GroupByKey]]),(OutputTable[GroupByKey]=OutputTable[[#This Row],[GroupByKey]])*OutputTable[RecordedValue]))</f>
        <v>74.976560761710004</v>
      </c>
      <c r="P366" s="5" cm="1">
        <f t="array" ref="P366">MAX(IF((OutputTable[GroupByKey]=OutputTable[[#This Row],[GroupByKey]]),(OutputTable[GroupByKey]=OutputTable[[#This Row],[GroupByKey]])*OutputTable[RecordedValue]))</f>
        <v>145.504156763596</v>
      </c>
    </row>
    <row r="367" spans="1:16" x14ac:dyDescent="0.25">
      <c r="A367" t="s">
        <v>68</v>
      </c>
      <c r="B367" t="s">
        <v>70</v>
      </c>
      <c r="C367">
        <v>15</v>
      </c>
      <c r="D367" t="s">
        <v>126</v>
      </c>
      <c r="E367" t="s">
        <v>114</v>
      </c>
      <c r="F367" t="s">
        <v>81</v>
      </c>
      <c r="G367">
        <v>52.033856353925898</v>
      </c>
      <c r="H367">
        <v>0</v>
      </c>
      <c r="I36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30</v>
      </c>
      <c r="K367" s="5" cm="1">
        <f t="array" ref="K367">IFERROR(AVERAGE(IF((OutputTable[GroupByKey]=OutputTable[[#This Row],[GroupByKey]]),(OutputTable[GroupByKey]=OutputTable[[#This Row],[GroupByKey]])*OutputTable[RecordedValue])),0)</f>
        <v>39.900972800228722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22.922906975864144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367" s="5" cm="1">
        <f t="array" ref="O367">MIN(IF((OutputTable[GroupByKey]=OutputTable[[#This Row],[GroupByKey]]),(OutputTable[GroupByKey]=OutputTable[[#This Row],[GroupByKey]])*OutputTable[RecordedValue]))</f>
        <v>2.1708788192608899</v>
      </c>
      <c r="P367" s="5" cm="1">
        <f t="array" ref="P367">MAX(IF((OutputTable[GroupByKey]=OutputTable[[#This Row],[GroupByKey]]),(OutputTable[GroupByKey]=OutputTable[[#This Row],[GroupByKey]])*OutputTable[RecordedValue]))</f>
        <v>94.9142929398908</v>
      </c>
    </row>
    <row r="368" spans="1:16" x14ac:dyDescent="0.25">
      <c r="A368" t="s">
        <v>68</v>
      </c>
      <c r="B368" t="s">
        <v>70</v>
      </c>
      <c r="C368">
        <v>15</v>
      </c>
      <c r="D368" t="s">
        <v>127</v>
      </c>
      <c r="E368" t="s">
        <v>108</v>
      </c>
      <c r="F368" t="s">
        <v>81</v>
      </c>
      <c r="G368">
        <v>46</v>
      </c>
      <c r="H368">
        <v>0</v>
      </c>
      <c r="I368" s="5" t="str">
        <f>OutputTable[[#This Row],[ProjectName]]&amp;OutputTable[[#This Row],[Name]]&amp;OutputTable[[#This Row],[Type]]&amp;OutputTable[[#This Row],[Source]]</f>
        <v>Pedido CleintesPreparar orden Number InNumber InProcess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30</v>
      </c>
      <c r="K368" s="5" cm="1">
        <f t="array" ref="K368">IFERROR(AVERAGE(IF((OutputTable[GroupByKey]=OutputTable[[#This Row],[GroupByKey]]),(OutputTable[GroupByKey]=OutputTable[[#This Row],[GroupByKey]])*OutputTable[RecordedValue])),0)</f>
        <v>39.666666666666664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6.0477030882540914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68" s="5" cm="1">
        <f t="array" ref="O368">MIN(IF((OutputTable[GroupByKey]=OutputTable[[#This Row],[GroupByKey]]),(OutputTable[GroupByKey]=OutputTable[[#This Row],[GroupByKey]])*OutputTable[RecordedValue]))</f>
        <v>26</v>
      </c>
      <c r="P368" s="5" cm="1">
        <f t="array" ref="P368">MAX(IF((OutputTable[GroupByKey]=OutputTable[[#This Row],[GroupByKey]]),(OutputTable[GroupByKey]=OutputTable[[#This Row],[GroupByKey]])*OutputTable[RecordedValue]))</f>
        <v>49</v>
      </c>
    </row>
    <row r="369" spans="1:16" x14ac:dyDescent="0.25">
      <c r="A369" t="s">
        <v>68</v>
      </c>
      <c r="B369" t="s">
        <v>70</v>
      </c>
      <c r="C369">
        <v>15</v>
      </c>
      <c r="D369" t="s">
        <v>128</v>
      </c>
      <c r="E369" t="s">
        <v>110</v>
      </c>
      <c r="F369" t="s">
        <v>81</v>
      </c>
      <c r="G369">
        <v>46</v>
      </c>
      <c r="H369">
        <v>0</v>
      </c>
      <c r="I369" s="5" t="str">
        <f>OutputTable[[#This Row],[ProjectName]]&amp;OutputTable[[#This Row],[Name]]&amp;OutputTable[[#This Row],[Type]]&amp;OutputTable[[#This Row],[Source]]</f>
        <v>Pedido CleintesPreparar orden Number OutNumber OutProcess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30</v>
      </c>
      <c r="K369" s="5" cm="1">
        <f t="array" ref="K369">IFERROR(AVERAGE(IF((OutputTable[GroupByKey]=OutputTable[[#This Row],[GroupByKey]]),(OutputTable[GroupByKey]=OutputTable[[#This Row],[GroupByKey]])*OutputTable[RecordedValue])),0)</f>
        <v>38.93333333333333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5.9765826548191505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69" s="5" cm="1">
        <f t="array" ref="O369">MIN(IF((OutputTable[GroupByKey]=OutputTable[[#This Row],[GroupByKey]]),(OutputTable[GroupByKey]=OutputTable[[#This Row],[GroupByKey]])*OutputTable[RecordedValue]))</f>
        <v>25</v>
      </c>
      <c r="P369" s="5" cm="1">
        <f t="array" ref="P369">MAX(IF((OutputTable[GroupByKey]=OutputTable[[#This Row],[GroupByKey]]),(OutputTable[GroupByKey]=OutputTable[[#This Row],[GroupByKey]])*OutputTable[RecordedValue]))</f>
        <v>49</v>
      </c>
    </row>
    <row r="370" spans="1:16" x14ac:dyDescent="0.25">
      <c r="A370" t="s">
        <v>68</v>
      </c>
      <c r="B370" t="s">
        <v>70</v>
      </c>
      <c r="C370">
        <v>15</v>
      </c>
      <c r="D370" t="s">
        <v>129</v>
      </c>
      <c r="E370" t="s">
        <v>110</v>
      </c>
      <c r="F370" t="s">
        <v>130</v>
      </c>
      <c r="G370">
        <v>46</v>
      </c>
      <c r="H370">
        <v>0</v>
      </c>
      <c r="I370" s="5" t="str">
        <f>OutputTable[[#This Row],[ProjectName]]&amp;OutputTable[[#This Row],[Name]]&amp;OutputTable[[#This Row],[Type]]&amp;OutputTable[[#This Row],[Source]]</f>
        <v>Pedido CleintesSystem.NumberOutNumber OutSystem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30</v>
      </c>
      <c r="K370" s="5" cm="1">
        <f t="array" ref="K370">IFERROR(AVERAGE(IF((OutputTable[GroupByKey]=OutputTable[[#This Row],[GroupByKey]]),(OutputTable[GroupByKey]=OutputTable[[#This Row],[GroupByKey]])*OutputTable[RecordedValue])),0)</f>
        <v>38.866666666666667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6.0840851369801694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70" s="5" cm="1">
        <f t="array" ref="O370">MIN(IF((OutputTable[GroupByKey]=OutputTable[[#This Row],[GroupByKey]]),(OutputTable[GroupByKey]=OutputTable[[#This Row],[GroupByKey]])*OutputTable[RecordedValue]))</f>
        <v>24</v>
      </c>
      <c r="P370" s="5" cm="1">
        <f t="array" ref="P370">MAX(IF((OutputTable[GroupByKey]=OutputTable[[#This Row],[GroupByKey]]),(OutputTable[GroupByKey]=OutputTable[[#This Row],[GroupByKey]])*OutputTable[RecordedValue]))</f>
        <v>49</v>
      </c>
    </row>
    <row r="371" spans="1:16" x14ac:dyDescent="0.25">
      <c r="A371" t="s">
        <v>68</v>
      </c>
      <c r="B371" t="s">
        <v>70</v>
      </c>
      <c r="C371">
        <v>15</v>
      </c>
      <c r="D371" t="s">
        <v>131</v>
      </c>
      <c r="E371" t="s">
        <v>132</v>
      </c>
      <c r="F371" t="s">
        <v>102</v>
      </c>
      <c r="G371">
        <v>46</v>
      </c>
      <c r="H371">
        <v>0</v>
      </c>
      <c r="I37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30</v>
      </c>
      <c r="K371" s="5" cm="1">
        <f t="array" ref="K371">IFERROR(AVERAGE(IF((OutputTable[GroupByKey]=OutputTable[[#This Row],[GroupByKey]]),(OutputTable[GroupByKey]=OutputTable[[#This Row],[GroupByKey]])*OutputTable[RecordedValue])),0)</f>
        <v>39.4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5.8757244601014422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371" s="5" cm="1">
        <f t="array" ref="O371">MIN(IF((OutputTable[GroupByKey]=OutputTable[[#This Row],[GroupByKey]]),(OutputTable[GroupByKey]=OutputTable[[#This Row],[GroupByKey]])*OutputTable[RecordedValue]))</f>
        <v>26</v>
      </c>
      <c r="P371" s="5" cm="1">
        <f t="array" ref="P371">MAX(IF((OutputTable[GroupByKey]=OutputTable[[#This Row],[GroupByKey]]),(OutputTable[GroupByKey]=OutputTable[[#This Row],[GroupByKey]])*OutputTable[RecordedValue]))</f>
        <v>49</v>
      </c>
    </row>
    <row r="372" spans="1:16" x14ac:dyDescent="0.25">
      <c r="A372" t="s">
        <v>68</v>
      </c>
      <c r="B372" t="s">
        <v>70</v>
      </c>
      <c r="C372">
        <v>15</v>
      </c>
      <c r="D372" t="s">
        <v>133</v>
      </c>
      <c r="E372" t="s">
        <v>134</v>
      </c>
      <c r="F372" t="s">
        <v>102</v>
      </c>
      <c r="G372">
        <v>0.57509140301384398</v>
      </c>
      <c r="H372">
        <v>0</v>
      </c>
      <c r="I37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30</v>
      </c>
      <c r="K372" s="5" cm="1">
        <f t="array" ref="K372">IFERROR(AVERAGE(IF((OutputTable[GroupByKey]=OutputTable[[#This Row],[GroupByKey]]),(OutputTable[GroupByKey]=OutputTable[[#This Row],[GroupByKey]])*OutputTable[RecordedValue])),0)</f>
        <v>0.48891840079317483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7.3627413122013347E-2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372" s="5" cm="1">
        <f t="array" ref="O372">MIN(IF((OutputTable[GroupByKey]=OutputTable[[#This Row],[GroupByKey]]),(OutputTable[GroupByKey]=OutputTable[[#This Row],[GroupByKey]])*OutputTable[RecordedValue]))</f>
        <v>0.31277577999924699</v>
      </c>
      <c r="P372" s="5" cm="1">
        <f t="array" ref="P372">MAX(IF((OutputTable[GroupByKey]=OutputTable[[#This Row],[GroupByKey]]),(OutputTable[GroupByKey]=OutputTable[[#This Row],[GroupByKey]])*OutputTable[RecordedValue]))</f>
        <v>0.60626731984831705</v>
      </c>
    </row>
    <row r="373" spans="1:16" x14ac:dyDescent="0.25">
      <c r="A373" t="s">
        <v>68</v>
      </c>
      <c r="B373" t="s">
        <v>70</v>
      </c>
      <c r="C373">
        <v>15</v>
      </c>
      <c r="D373" t="s">
        <v>135</v>
      </c>
      <c r="E373" t="s">
        <v>132</v>
      </c>
      <c r="F373" t="s">
        <v>102</v>
      </c>
      <c r="G373">
        <v>93</v>
      </c>
      <c r="H373">
        <v>0</v>
      </c>
      <c r="I37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30</v>
      </c>
      <c r="K373" s="5" cm="1">
        <f t="array" ref="K373">IFERROR(AVERAGE(IF((OutputTable[GroupByKey]=OutputTable[[#This Row],[GroupByKey]]),(OutputTable[GroupByKey]=OutputTable[[#This Row],[GroupByKey]])*OutputTable[RecordedValue])),0)</f>
        <v>79.466666666666669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12.016463801753446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373" s="5" cm="1">
        <f t="array" ref="O373">MIN(IF((OutputTable[GroupByKey]=OutputTable[[#This Row],[GroupByKey]]),(OutputTable[GroupByKey]=OutputTable[[#This Row],[GroupByKey]])*OutputTable[RecordedValue]))</f>
        <v>53</v>
      </c>
      <c r="P373" s="5" cm="1">
        <f t="array" ref="P373">MAX(IF((OutputTable[GroupByKey]=OutputTable[[#This Row],[GroupByKey]]),(OutputTable[GroupByKey]=OutputTable[[#This Row],[GroupByKey]])*OutputTable[RecordedValue]))</f>
        <v>98</v>
      </c>
    </row>
    <row r="374" spans="1:16" x14ac:dyDescent="0.25">
      <c r="A374" t="s">
        <v>68</v>
      </c>
      <c r="B374" t="s">
        <v>70</v>
      </c>
      <c r="C374">
        <v>15</v>
      </c>
      <c r="D374" t="s">
        <v>136</v>
      </c>
      <c r="E374" t="s">
        <v>134</v>
      </c>
      <c r="F374" t="s">
        <v>102</v>
      </c>
      <c r="G374">
        <v>0.33629620257472598</v>
      </c>
      <c r="H374">
        <v>0</v>
      </c>
      <c r="I37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30</v>
      </c>
      <c r="K374" s="5" cm="1">
        <f t="array" ref="K374">IFERROR(AVERAGE(IF((OutputTable[GroupByKey]=OutputTable[[#This Row],[GroupByKey]]),(OutputTable[GroupByKey]=OutputTable[[#This Row],[GroupByKey]])*OutputTable[RecordedValue])),0)</f>
        <v>0.28976365927997022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4.4748273652133699E-2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374" s="5" cm="1">
        <f t="array" ref="O374">MIN(IF((OutputTable[GroupByKey]=OutputTable[[#This Row],[GroupByKey]]),(OutputTable[GroupByKey]=OutputTable[[#This Row],[GroupByKey]])*OutputTable[RecordedValue]))</f>
        <v>0.194735973294278</v>
      </c>
      <c r="P374" s="5" cm="1">
        <f t="array" ref="P374">MAX(IF((OutputTable[GroupByKey]=OutputTable[[#This Row],[GroupByKey]]),(OutputTable[GroupByKey]=OutputTable[[#This Row],[GroupByKey]])*OutputTable[RecordedValue]))</f>
        <v>0.35775345817659199</v>
      </c>
    </row>
    <row r="375" spans="1:16" x14ac:dyDescent="0.25">
      <c r="A375" t="s">
        <v>68</v>
      </c>
      <c r="B375" t="s">
        <v>70</v>
      </c>
      <c r="C375">
        <v>15</v>
      </c>
      <c r="D375" t="s">
        <v>137</v>
      </c>
      <c r="E375" t="s">
        <v>132</v>
      </c>
      <c r="F375" t="s">
        <v>102</v>
      </c>
      <c r="G375">
        <v>46</v>
      </c>
      <c r="H375">
        <v>0</v>
      </c>
      <c r="I37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30</v>
      </c>
      <c r="K375" s="5" cm="1">
        <f t="array" ref="K375">IFERROR(AVERAGE(IF((OutputTable[GroupByKey]=OutputTable[[#This Row],[GroupByKey]]),(OutputTable[GroupByKey]=OutputTable[[#This Row],[GroupByKey]])*OutputTable[RecordedValue])),0)</f>
        <v>38.93333333333333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5.9765826548191505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75" s="5" cm="1">
        <f t="array" ref="O375">MIN(IF((OutputTable[GroupByKey]=OutputTable[[#This Row],[GroupByKey]]),(OutputTable[GroupByKey]=OutputTable[[#This Row],[GroupByKey]])*OutputTable[RecordedValue]))</f>
        <v>25</v>
      </c>
      <c r="P375" s="5" cm="1">
        <f t="array" ref="P375">MAX(IF((OutputTable[GroupByKey]=OutputTable[[#This Row],[GroupByKey]]),(OutputTable[GroupByKey]=OutputTable[[#This Row],[GroupByKey]])*OutputTable[RecordedValue]))</f>
        <v>49</v>
      </c>
    </row>
    <row r="376" spans="1:16" x14ac:dyDescent="0.25">
      <c r="A376" t="s">
        <v>68</v>
      </c>
      <c r="B376" t="s">
        <v>70</v>
      </c>
      <c r="C376">
        <v>15</v>
      </c>
      <c r="D376" t="s">
        <v>138</v>
      </c>
      <c r="E376" t="s">
        <v>134</v>
      </c>
      <c r="F376" t="s">
        <v>102</v>
      </c>
      <c r="G376">
        <v>0.103108678210498</v>
      </c>
      <c r="H376">
        <v>0</v>
      </c>
      <c r="I37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30</v>
      </c>
      <c r="K376" s="5" cm="1">
        <f t="array" ref="K376">IFERROR(AVERAGE(IF((OutputTable[GroupByKey]=OutputTable[[#This Row],[GroupByKey]]),(OutputTable[GroupByKey]=OutputTable[[#This Row],[GroupByKey]])*OutputTable[RecordedValue])),0)</f>
        <v>8.2588852761398115E-2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1.3130964022328008E-2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376" s="5" cm="1">
        <f t="array" ref="O376">MIN(IF((OutputTable[GroupByKey]=OutputTable[[#This Row],[GroupByKey]]),(OutputTable[GroupByKey]=OutputTable[[#This Row],[GroupByKey]])*OutputTable[RecordedValue]))</f>
        <v>5.3757894868807901E-2</v>
      </c>
      <c r="P376" s="5" cm="1">
        <f t="array" ref="P376">MAX(IF((OutputTable[GroupByKey]=OutputTable[[#This Row],[GroupByKey]]),(OutputTable[GroupByKey]=OutputTable[[#This Row],[GroupByKey]])*OutputTable[RecordedValue]))</f>
        <v>0.103175045984152</v>
      </c>
    </row>
    <row r="377" spans="1:16" x14ac:dyDescent="0.25">
      <c r="A377" t="s">
        <v>68</v>
      </c>
      <c r="B377" t="s">
        <v>70</v>
      </c>
      <c r="C377">
        <v>16</v>
      </c>
      <c r="D377" t="s">
        <v>107</v>
      </c>
      <c r="E377" t="s">
        <v>108</v>
      </c>
      <c r="F377" t="s">
        <v>73</v>
      </c>
      <c r="G377">
        <v>109</v>
      </c>
      <c r="H377">
        <v>0</v>
      </c>
      <c r="I377" s="5" t="str">
        <f>OutputTable[[#This Row],[ProjectName]]&amp;OutputTable[[#This Row],[Name]]&amp;OutputTable[[#This Row],[Type]]&amp;OutputTable[[#This Row],[Source]]</f>
        <v>Pedido CleintesClientes.NumberInNumber InEntity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30</v>
      </c>
      <c r="K377" s="5" cm="1">
        <f t="array" ref="K377">IFERROR(AVERAGE(IF((OutputTable[GroupByKey]=OutputTable[[#This Row],[GroupByKey]]),(OutputTable[GroupByKey]=OutputTable[[#This Row],[GroupByKey]])*OutputTable[RecordedValue])),0)</f>
        <v>118.5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18.009097317936192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377" s="5" cm="1">
        <f t="array" ref="O377">MIN(IF((OutputTable[GroupByKey]=OutputTable[[#This Row],[GroupByKey]]),(OutputTable[GroupByKey]=OutputTable[[#This Row],[GroupByKey]])*OutputTable[RecordedValue]))</f>
        <v>78</v>
      </c>
      <c r="P377" s="5" cm="1">
        <f t="array" ref="P377">MAX(IF((OutputTable[GroupByKey]=OutputTable[[#This Row],[GroupByKey]]),(OutputTable[GroupByKey]=OutputTable[[#This Row],[GroupByKey]])*OutputTable[RecordedValue]))</f>
        <v>147</v>
      </c>
    </row>
    <row r="378" spans="1:16" x14ac:dyDescent="0.25">
      <c r="A378" t="s">
        <v>68</v>
      </c>
      <c r="B378" t="s">
        <v>70</v>
      </c>
      <c r="C378">
        <v>16</v>
      </c>
      <c r="D378" t="s">
        <v>109</v>
      </c>
      <c r="E378" t="s">
        <v>110</v>
      </c>
      <c r="F378" t="s">
        <v>73</v>
      </c>
      <c r="G378">
        <v>108</v>
      </c>
      <c r="H378">
        <v>0</v>
      </c>
      <c r="I378" s="5" t="str">
        <f>OutputTable[[#This Row],[ProjectName]]&amp;OutputTable[[#This Row],[Name]]&amp;OutputTable[[#This Row],[Type]]&amp;OutputTable[[#This Row],[Source]]</f>
        <v>Pedido CleintesClientes.NumberOutNumber OutEntity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30</v>
      </c>
      <c r="K378" s="5" cm="1">
        <f t="array" ref="K378">IFERROR(AVERAGE(IF((OutputTable[GroupByKey]=OutputTable[[#This Row],[GroupByKey]]),(OutputTable[GroupByKey]=OutputTable[[#This Row],[GroupByKey]])*OutputTable[RecordedValue])),0)</f>
        <v>116.6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18.252255410940514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378" s="5" cm="1">
        <f t="array" ref="O378">MIN(IF((OutputTable[GroupByKey]=OutputTable[[#This Row],[GroupByKey]]),(OutputTable[GroupByKey]=OutputTable[[#This Row],[GroupByKey]])*OutputTable[RecordedValue]))</f>
        <v>72</v>
      </c>
      <c r="P378" s="5" cm="1">
        <f t="array" ref="P378">MAX(IF((OutputTable[GroupByKey]=OutputTable[[#This Row],[GroupByKey]]),(OutputTable[GroupByKey]=OutputTable[[#This Row],[GroupByKey]])*OutputTable[RecordedValue]))</f>
        <v>147</v>
      </c>
    </row>
    <row r="379" spans="1:16" x14ac:dyDescent="0.25">
      <c r="A379" t="s">
        <v>68</v>
      </c>
      <c r="B379" t="s">
        <v>70</v>
      </c>
      <c r="C379">
        <v>16</v>
      </c>
      <c r="D379" t="s">
        <v>111</v>
      </c>
      <c r="E379" t="s">
        <v>112</v>
      </c>
      <c r="F379" t="s">
        <v>81</v>
      </c>
      <c r="G379">
        <v>20.619617058073601</v>
      </c>
      <c r="H379">
        <v>0</v>
      </c>
      <c r="I37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30</v>
      </c>
      <c r="K379" s="5" cm="1">
        <f t="array" ref="K379">IFERROR(AVERAGE(IF((OutputTable[GroupByKey]=OutputTable[[#This Row],[GroupByKey]]),(OutputTable[GroupByKey]=OutputTable[[#This Row],[GroupByKey]])*OutputTable[RecordedValue])),0)</f>
        <v>19.806808580201274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3.1624794742170024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379" s="5" cm="1">
        <f t="array" ref="O379">MIN(IF((OutputTable[GroupByKey]=OutputTable[[#This Row],[GroupByKey]]),(OutputTable[GroupByKey]=OutputTable[[#This Row],[GroupByKey]])*OutputTable[RecordedValue]))</f>
        <v>12.812268330404599</v>
      </c>
      <c r="P379" s="5" cm="1">
        <f t="array" ref="P379">MAX(IF((OutputTable[GroupByKey]=OutputTable[[#This Row],[GroupByKey]]),(OutputTable[GroupByKey]=OutputTable[[#This Row],[GroupByKey]])*OutputTable[RecordedValue]))</f>
        <v>24.762011036196501</v>
      </c>
    </row>
    <row r="380" spans="1:16" x14ac:dyDescent="0.25">
      <c r="A380" t="s">
        <v>68</v>
      </c>
      <c r="B380" t="s">
        <v>70</v>
      </c>
      <c r="C380">
        <v>16</v>
      </c>
      <c r="D380" t="s">
        <v>113</v>
      </c>
      <c r="E380" t="s">
        <v>114</v>
      </c>
      <c r="F380" t="s">
        <v>81</v>
      </c>
      <c r="G380">
        <v>0</v>
      </c>
      <c r="H380">
        <v>0</v>
      </c>
      <c r="I38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30</v>
      </c>
      <c r="K380" s="5" cm="1">
        <f t="array" ref="K380">IFERROR(AVERAGE(IF((OutputTable[GroupByKey]=OutputTable[[#This Row],[GroupByKey]]),(OutputTable[GroupByKey]=OutputTable[[#This Row],[GroupByKey]])*OutputTable[RecordedValue])),0)</f>
        <v>0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0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0" s="5" cm="1">
        <f t="array" ref="O380">MIN(IF((OutputTable[GroupByKey]=OutputTable[[#This Row],[GroupByKey]]),(OutputTable[GroupByKey]=OutputTable[[#This Row],[GroupByKey]])*OutputTable[RecordedValue]))</f>
        <v>0</v>
      </c>
      <c r="P380" s="5" cm="1">
        <f t="array" ref="P380">MAX(IF((OutputTable[GroupByKey]=OutputTable[[#This Row],[GroupByKey]]),(OutputTable[GroupByKey]=OutputTable[[#This Row],[GroupByKey]])*OutputTable[RecordedValue]))</f>
        <v>0</v>
      </c>
    </row>
    <row r="381" spans="1:16" x14ac:dyDescent="0.25">
      <c r="A381" t="s">
        <v>68</v>
      </c>
      <c r="B381" t="s">
        <v>70</v>
      </c>
      <c r="C381">
        <v>16</v>
      </c>
      <c r="D381" t="s">
        <v>115</v>
      </c>
      <c r="E381" t="s">
        <v>108</v>
      </c>
      <c r="F381" t="s">
        <v>81</v>
      </c>
      <c r="G381">
        <v>36</v>
      </c>
      <c r="H381">
        <v>0</v>
      </c>
      <c r="I38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30</v>
      </c>
      <c r="K381" s="5" cm="1">
        <f t="array" ref="K381">IFERROR(AVERAGE(IF((OutputTable[GroupByKey]=OutputTable[[#This Row],[GroupByKey]]),(OutputTable[GroupByKey]=OutputTable[[#This Row],[GroupByKey]])*OutputTable[RecordedValue])),0)</f>
        <v>38.93333333333333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5.9765826548191505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81" s="5" cm="1">
        <f t="array" ref="O381">MIN(IF((OutputTable[GroupByKey]=OutputTable[[#This Row],[GroupByKey]]),(OutputTable[GroupByKey]=OutputTable[[#This Row],[GroupByKey]])*OutputTable[RecordedValue]))</f>
        <v>25</v>
      </c>
      <c r="P381" s="5" cm="1">
        <f t="array" ref="P381">MAX(IF((OutputTable[GroupByKey]=OutputTable[[#This Row],[GroupByKey]]),(OutputTable[GroupByKey]=OutputTable[[#This Row],[GroupByKey]])*OutputTable[RecordedValue]))</f>
        <v>49</v>
      </c>
    </row>
    <row r="382" spans="1:16" x14ac:dyDescent="0.25">
      <c r="A382" t="s">
        <v>68</v>
      </c>
      <c r="B382" t="s">
        <v>70</v>
      </c>
      <c r="C382">
        <v>16</v>
      </c>
      <c r="D382" t="s">
        <v>116</v>
      </c>
      <c r="E382" t="s">
        <v>110</v>
      </c>
      <c r="F382" t="s">
        <v>81</v>
      </c>
      <c r="G382">
        <v>36</v>
      </c>
      <c r="H382">
        <v>0</v>
      </c>
      <c r="I38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30</v>
      </c>
      <c r="K382" s="5" cm="1">
        <f t="array" ref="K382">IFERROR(AVERAGE(IF((OutputTable[GroupByKey]=OutputTable[[#This Row],[GroupByKey]]),(OutputTable[GroupByKey]=OutputTable[[#This Row],[GroupByKey]])*OutputTable[RecordedValue])),0)</f>
        <v>38.866666666666667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6.0840851369801694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82" s="5" cm="1">
        <f t="array" ref="O382">MIN(IF((OutputTable[GroupByKey]=OutputTable[[#This Row],[GroupByKey]]),(OutputTable[GroupByKey]=OutputTable[[#This Row],[GroupByKey]])*OutputTable[RecordedValue]))</f>
        <v>24</v>
      </c>
      <c r="P382" s="5" cm="1">
        <f t="array" ref="P382">MAX(IF((OutputTable[GroupByKey]=OutputTable[[#This Row],[GroupByKey]]),(OutputTable[GroupByKey]=OutputTable[[#This Row],[GroupByKey]])*OutputTable[RecordedValue]))</f>
        <v>49</v>
      </c>
    </row>
    <row r="383" spans="1:16" x14ac:dyDescent="0.25">
      <c r="A383" t="s">
        <v>68</v>
      </c>
      <c r="B383" t="s">
        <v>70</v>
      </c>
      <c r="C383">
        <v>16</v>
      </c>
      <c r="D383" t="s">
        <v>117</v>
      </c>
      <c r="E383" t="s">
        <v>112</v>
      </c>
      <c r="F383" t="s">
        <v>81</v>
      </c>
      <c r="G383">
        <v>36.536528725053202</v>
      </c>
      <c r="H383">
        <v>0</v>
      </c>
      <c r="I383" s="5" t="str">
        <f>OutputTable[[#This Row],[ProjectName]]&amp;OutputTable[[#This Row],[Name]]&amp;OutputTable[[#This Row],[Type]]&amp;OutputTable[[#This Row],[Source]]</f>
        <v>Pedido CleintesOrdnes Accum VA TimeAccum VA TimeProcess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30</v>
      </c>
      <c r="K383" s="5" cm="1">
        <f t="array" ref="K383">IFERROR(AVERAGE(IF((OutputTable[GroupByKey]=OutputTable[[#This Row],[GroupByKey]]),(OutputTable[GroupByKey]=OutputTable[[#This Row],[GroupByKey]])*OutputTable[RecordedValue])),0)</f>
        <v>39.878126992056487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6.1068580319474277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383" s="5" cm="1">
        <f t="array" ref="O383">MIN(IF((OutputTable[GroupByKey]=OutputTable[[#This Row],[GroupByKey]]),(OutputTable[GroupByKey]=OutputTable[[#This Row],[GroupByKey]])*OutputTable[RecordedValue]))</f>
        <v>26.106281767804099</v>
      </c>
      <c r="P383" s="5" cm="1">
        <f t="array" ref="P383">MAX(IF((OutputTable[GroupByKey]=OutputTable[[#This Row],[GroupByKey]]),(OutputTable[GroupByKey]=OutputTable[[#This Row],[GroupByKey]])*OutputTable[RecordedValue]))</f>
        <v>48.706388790541098</v>
      </c>
    </row>
    <row r="384" spans="1:16" x14ac:dyDescent="0.25">
      <c r="A384" t="s">
        <v>68</v>
      </c>
      <c r="B384" t="s">
        <v>70</v>
      </c>
      <c r="C384">
        <v>16</v>
      </c>
      <c r="D384" t="s">
        <v>118</v>
      </c>
      <c r="E384" t="s">
        <v>114</v>
      </c>
      <c r="F384" t="s">
        <v>81</v>
      </c>
      <c r="G384">
        <v>3.59433597425652</v>
      </c>
      <c r="H384">
        <v>0</v>
      </c>
      <c r="I38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30</v>
      </c>
      <c r="K384" s="5" cm="1">
        <f t="array" ref="K384">IFERROR(AVERAGE(IF((OutputTable[GroupByKey]=OutputTable[[#This Row],[GroupByKey]]),(OutputTable[GroupByKey]=OutputTable[[#This Row],[GroupByKey]])*OutputTable[RecordedValue])),0)</f>
        <v>7.9804799821754404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4.8950382198155014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384" s="5" cm="1">
        <f t="array" ref="O384">MIN(IF((OutputTable[GroupByKey]=OutputTable[[#This Row],[GroupByKey]]),(OutputTable[GroupByKey]=OutputTable[[#This Row],[GroupByKey]])*OutputTable[RecordedValue]))</f>
        <v>0</v>
      </c>
      <c r="P384" s="5" cm="1">
        <f t="array" ref="P384">MAX(IF((OutputTable[GroupByKey]=OutputTable[[#This Row],[GroupByKey]]),(OutputTable[GroupByKey]=OutputTable[[#This Row],[GroupByKey]])*OutputTable[RecordedValue]))</f>
        <v>18.843855117811401</v>
      </c>
    </row>
    <row r="385" spans="1:16" x14ac:dyDescent="0.25">
      <c r="A385" t="s">
        <v>68</v>
      </c>
      <c r="B385" t="s">
        <v>70</v>
      </c>
      <c r="C385">
        <v>16</v>
      </c>
      <c r="D385" t="s">
        <v>119</v>
      </c>
      <c r="E385" t="s">
        <v>108</v>
      </c>
      <c r="F385" t="s">
        <v>81</v>
      </c>
      <c r="G385">
        <v>37</v>
      </c>
      <c r="H385">
        <v>0</v>
      </c>
      <c r="I385" s="5" t="str">
        <f>OutputTable[[#This Row],[ProjectName]]&amp;OutputTable[[#This Row],[Name]]&amp;OutputTable[[#This Row],[Type]]&amp;OutputTable[[#This Row],[Source]]</f>
        <v>Pedido CleintesOrdnes Number InNumber InProcess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30</v>
      </c>
      <c r="K385" s="5" cm="1">
        <f t="array" ref="K385">IFERROR(AVERAGE(IF((OutputTable[GroupByKey]=OutputTable[[#This Row],[GroupByKey]]),(OutputTable[GroupByKey]=OutputTable[[#This Row],[GroupByKey]])*OutputTable[RecordedValue])),0)</f>
        <v>39.9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6.0648791101463475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385" s="5" cm="1">
        <f t="array" ref="O385">MIN(IF((OutputTable[GroupByKey]=OutputTable[[#This Row],[GroupByKey]]),(OutputTable[GroupByKey]=OutputTable[[#This Row],[GroupByKey]])*OutputTable[RecordedValue]))</f>
        <v>27</v>
      </c>
      <c r="P385" s="5" cm="1">
        <f t="array" ref="P385">MAX(IF((OutputTable[GroupByKey]=OutputTable[[#This Row],[GroupByKey]]),(OutputTable[GroupByKey]=OutputTable[[#This Row],[GroupByKey]])*OutputTable[RecordedValue]))</f>
        <v>49</v>
      </c>
    </row>
    <row r="386" spans="1:16" x14ac:dyDescent="0.25">
      <c r="A386" t="s">
        <v>68</v>
      </c>
      <c r="B386" t="s">
        <v>70</v>
      </c>
      <c r="C386">
        <v>16</v>
      </c>
      <c r="D386" t="s">
        <v>120</v>
      </c>
      <c r="E386" t="s">
        <v>110</v>
      </c>
      <c r="F386" t="s">
        <v>81</v>
      </c>
      <c r="G386">
        <v>36</v>
      </c>
      <c r="H386">
        <v>0</v>
      </c>
      <c r="I386" s="5" t="str">
        <f>OutputTable[[#This Row],[ProjectName]]&amp;OutputTable[[#This Row],[Name]]&amp;OutputTable[[#This Row],[Type]]&amp;OutputTable[[#This Row],[Source]]</f>
        <v>Pedido CleintesOrdnes Number OutNumber OutProcess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30</v>
      </c>
      <c r="K386" s="5" cm="1">
        <f t="array" ref="K386">IFERROR(AVERAGE(IF((OutputTable[GroupByKey]=OutputTable[[#This Row],[GroupByKey]]),(OutputTable[GroupByKey]=OutputTable[[#This Row],[GroupByKey]])*OutputTable[RecordedValue])),0)</f>
        <v>39.666666666666664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6.0477030882540914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86" s="5" cm="1">
        <f t="array" ref="O386">MIN(IF((OutputTable[GroupByKey]=OutputTable[[#This Row],[GroupByKey]]),(OutputTable[GroupByKey]=OutputTable[[#This Row],[GroupByKey]])*OutputTable[RecordedValue]))</f>
        <v>26</v>
      </c>
      <c r="P386" s="5" cm="1">
        <f t="array" ref="P386">MAX(IF((OutputTable[GroupByKey]=OutputTable[[#This Row],[GroupByKey]]),(OutputTable[GroupByKey]=OutputTable[[#This Row],[GroupByKey]])*OutputTable[RecordedValue]))</f>
        <v>49</v>
      </c>
    </row>
    <row r="387" spans="1:16" x14ac:dyDescent="0.25">
      <c r="A387" t="s">
        <v>68</v>
      </c>
      <c r="B387" t="s">
        <v>70</v>
      </c>
      <c r="C387">
        <v>16</v>
      </c>
      <c r="D387" t="s">
        <v>121</v>
      </c>
      <c r="E387" t="s">
        <v>112</v>
      </c>
      <c r="F387" t="s">
        <v>81</v>
      </c>
      <c r="G387">
        <v>26.234996313721499</v>
      </c>
      <c r="H387">
        <v>0</v>
      </c>
      <c r="I387" s="5" t="str">
        <f>OutputTable[[#This Row],[ProjectName]]&amp;OutputTable[[#This Row],[Name]]&amp;OutputTable[[#This Row],[Type]]&amp;OutputTable[[#This Row],[Source]]</f>
        <v>Pedido CleintesPago Accum VA TimeAccum VA TimeProcess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30</v>
      </c>
      <c r="K387" s="5" cm="1">
        <f t="array" ref="K387">IFERROR(AVERAGE(IF((OutputTable[GroupByKey]=OutputTable[[#This Row],[GroupByKey]]),(OutputTable[GroupByKey]=OutputTable[[#This Row],[GroupByKey]])*OutputTable[RecordedValue])),0)</f>
        <v>29.486262713858675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4.747176664010901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387" s="5" cm="1">
        <f t="array" ref="O387">MIN(IF((OutputTable[GroupByKey]=OutputTable[[#This Row],[GroupByKey]]),(OutputTable[GroupByKey]=OutputTable[[#This Row],[GroupByKey]])*OutputTable[RecordedValue]))</f>
        <v>19.573210250889101</v>
      </c>
      <c r="P387" s="5" cm="1">
        <f t="array" ref="P387">MAX(IF((OutputTable[GroupByKey]=OutputTable[[#This Row],[GroupByKey]]),(OutputTable[GroupByKey]=OutputTable[[#This Row],[GroupByKey]])*OutputTable[RecordedValue]))</f>
        <v>37.056974462114901</v>
      </c>
    </row>
    <row r="388" spans="1:16" x14ac:dyDescent="0.25">
      <c r="A388" t="s">
        <v>68</v>
      </c>
      <c r="B388" t="s">
        <v>70</v>
      </c>
      <c r="C388">
        <v>16</v>
      </c>
      <c r="D388" t="s">
        <v>122</v>
      </c>
      <c r="E388" t="s">
        <v>114</v>
      </c>
      <c r="F388" t="s">
        <v>81</v>
      </c>
      <c r="G388">
        <v>9.1555770219844295</v>
      </c>
      <c r="H388">
        <v>0</v>
      </c>
      <c r="I388" s="5" t="str">
        <f>OutputTable[[#This Row],[ProjectName]]&amp;OutputTable[[#This Row],[Name]]&amp;OutputTable[[#This Row],[Type]]&amp;OutputTable[[#This Row],[Source]]</f>
        <v>Pedido CleintesPago Accum Wait TimeAccum Wait TimeProcess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30</v>
      </c>
      <c r="K388" s="5" cm="1">
        <f t="array" ref="K388">IFERROR(AVERAGE(IF((OutputTable[GroupByKey]=OutputTable[[#This Row],[GroupByKey]]),(OutputTable[GroupByKey]=OutputTable[[#This Row],[GroupByKey]])*OutputTable[RecordedValue])),0)</f>
        <v>13.025761997568024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7.8467935605388783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388" s="5" cm="1">
        <f t="array" ref="O388">MIN(IF((OutputTable[GroupByKey]=OutputTable[[#This Row],[GroupByKey]]),(OutputTable[GroupByKey]=OutputTable[[#This Row],[GroupByKey]])*OutputTable[RecordedValue]))</f>
        <v>0</v>
      </c>
      <c r="P388" s="5" cm="1">
        <f t="array" ref="P388">MAX(IF((OutputTable[GroupByKey]=OutputTable[[#This Row],[GroupByKey]]),(OutputTable[GroupByKey]=OutputTable[[#This Row],[GroupByKey]])*OutputTable[RecordedValue]))</f>
        <v>32.770863925850499</v>
      </c>
    </row>
    <row r="389" spans="1:16" x14ac:dyDescent="0.25">
      <c r="A389" t="s">
        <v>68</v>
      </c>
      <c r="B389" t="s">
        <v>70</v>
      </c>
      <c r="C389">
        <v>16</v>
      </c>
      <c r="D389" t="s">
        <v>123</v>
      </c>
      <c r="E389" t="s">
        <v>108</v>
      </c>
      <c r="F389" t="s">
        <v>81</v>
      </c>
      <c r="G389">
        <v>36</v>
      </c>
      <c r="H389">
        <v>0</v>
      </c>
      <c r="I389" s="5" t="str">
        <f>OutputTable[[#This Row],[ProjectName]]&amp;OutputTable[[#This Row],[Name]]&amp;OutputTable[[#This Row],[Type]]&amp;OutputTable[[#This Row],[Source]]</f>
        <v>Pedido CleintesPago Number InNumber InProcess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30</v>
      </c>
      <c r="K389" s="5" cm="1">
        <f t="array" ref="K389">IFERROR(AVERAGE(IF((OutputTable[GroupByKey]=OutputTable[[#This Row],[GroupByKey]]),(OutputTable[GroupByKey]=OutputTable[[#This Row],[GroupByKey]])*OutputTable[RecordedValue])),0)</f>
        <v>39.666666666666664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6.0477030882540914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89" s="5" cm="1">
        <f t="array" ref="O389">MIN(IF((OutputTable[GroupByKey]=OutputTable[[#This Row],[GroupByKey]]),(OutputTable[GroupByKey]=OutputTable[[#This Row],[GroupByKey]])*OutputTable[RecordedValue]))</f>
        <v>26</v>
      </c>
      <c r="P389" s="5" cm="1">
        <f t="array" ref="P389">MAX(IF((OutputTable[GroupByKey]=OutputTable[[#This Row],[GroupByKey]]),(OutputTable[GroupByKey]=OutputTable[[#This Row],[GroupByKey]])*OutputTable[RecordedValue]))</f>
        <v>49</v>
      </c>
    </row>
    <row r="390" spans="1:16" x14ac:dyDescent="0.25">
      <c r="A390" t="s">
        <v>68</v>
      </c>
      <c r="B390" t="s">
        <v>70</v>
      </c>
      <c r="C390">
        <v>16</v>
      </c>
      <c r="D390" t="s">
        <v>124</v>
      </c>
      <c r="E390" t="s">
        <v>110</v>
      </c>
      <c r="F390" t="s">
        <v>81</v>
      </c>
      <c r="G390">
        <v>36</v>
      </c>
      <c r="H390">
        <v>0</v>
      </c>
      <c r="I390" s="5" t="str">
        <f>OutputTable[[#This Row],[ProjectName]]&amp;OutputTable[[#This Row],[Name]]&amp;OutputTable[[#This Row],[Type]]&amp;OutputTable[[#This Row],[Source]]</f>
        <v>Pedido CleintesPago Number OutNumber OutProcess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30</v>
      </c>
      <c r="K390" s="5" cm="1">
        <f t="array" ref="K390">IFERROR(AVERAGE(IF((OutputTable[GroupByKey]=OutputTable[[#This Row],[GroupByKey]]),(OutputTable[GroupByKey]=OutputTable[[#This Row],[GroupByKey]])*OutputTable[RecordedValue])),0)</f>
        <v>39.43333333333333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5.9171482724502509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390" s="5" cm="1">
        <f t="array" ref="O390">MIN(IF((OutputTable[GroupByKey]=OutputTable[[#This Row],[GroupByKey]]),(OutputTable[GroupByKey]=OutputTable[[#This Row],[GroupByKey]])*OutputTable[RecordedValue]))</f>
        <v>26</v>
      </c>
      <c r="P390" s="5" cm="1">
        <f t="array" ref="P390">MAX(IF((OutputTable[GroupByKey]=OutputTable[[#This Row],[GroupByKey]]),(OutputTable[GroupByKey]=OutputTable[[#This Row],[GroupByKey]])*OutputTable[RecordedValue]))</f>
        <v>49</v>
      </c>
    </row>
    <row r="391" spans="1:16" x14ac:dyDescent="0.25">
      <c r="A391" t="s">
        <v>68</v>
      </c>
      <c r="B391" t="s">
        <v>70</v>
      </c>
      <c r="C391">
        <v>16</v>
      </c>
      <c r="D391" t="s">
        <v>125</v>
      </c>
      <c r="E391" t="s">
        <v>112</v>
      </c>
      <c r="F391" t="s">
        <v>81</v>
      </c>
      <c r="G391">
        <v>107.817700636395</v>
      </c>
      <c r="H391">
        <v>0</v>
      </c>
      <c r="I39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30</v>
      </c>
      <c r="K391" s="5" cm="1">
        <f t="array" ref="K391">IFERROR(AVERAGE(IF((OutputTable[GroupByKey]=OutputTable[[#This Row],[GroupByKey]]),(OutputTable[GroupByKey]=OutputTable[[#This Row],[GroupByKey]])*OutputTable[RecordedValue])),0)</f>
        <v>116.64263458387505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17.825477946659205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391" s="5" cm="1">
        <f t="array" ref="O391">MIN(IF((OutputTable[GroupByKey]=OutputTable[[#This Row],[GroupByKey]]),(OutputTable[GroupByKey]=OutputTable[[#This Row],[GroupByKey]])*OutputTable[RecordedValue]))</f>
        <v>74.976560761710004</v>
      </c>
      <c r="P391" s="5" cm="1">
        <f t="array" ref="P391">MAX(IF((OutputTable[GroupByKey]=OutputTable[[#This Row],[GroupByKey]]),(OutputTable[GroupByKey]=OutputTable[[#This Row],[GroupByKey]])*OutputTable[RecordedValue]))</f>
        <v>145.504156763596</v>
      </c>
    </row>
    <row r="392" spans="1:16" x14ac:dyDescent="0.25">
      <c r="A392" t="s">
        <v>68</v>
      </c>
      <c r="B392" t="s">
        <v>70</v>
      </c>
      <c r="C392">
        <v>16</v>
      </c>
      <c r="D392" t="s">
        <v>126</v>
      </c>
      <c r="E392" t="s">
        <v>114</v>
      </c>
      <c r="F392" t="s">
        <v>81</v>
      </c>
      <c r="G392">
        <v>21.4753454755168</v>
      </c>
      <c r="H392">
        <v>0</v>
      </c>
      <c r="I39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30</v>
      </c>
      <c r="K392" s="5" cm="1">
        <f t="array" ref="K392">IFERROR(AVERAGE(IF((OutputTable[GroupByKey]=OutputTable[[#This Row],[GroupByKey]]),(OutputTable[GroupByKey]=OutputTable[[#This Row],[GroupByKey]])*OutputTable[RecordedValue])),0)</f>
        <v>39.900972800228722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22.922906975864144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392" s="5" cm="1">
        <f t="array" ref="O392">MIN(IF((OutputTable[GroupByKey]=OutputTable[[#This Row],[GroupByKey]]),(OutputTable[GroupByKey]=OutputTable[[#This Row],[GroupByKey]])*OutputTable[RecordedValue]))</f>
        <v>2.1708788192608899</v>
      </c>
      <c r="P392" s="5" cm="1">
        <f t="array" ref="P392">MAX(IF((OutputTable[GroupByKey]=OutputTable[[#This Row],[GroupByKey]]),(OutputTable[GroupByKey]=OutputTable[[#This Row],[GroupByKey]])*OutputTable[RecordedValue]))</f>
        <v>94.9142929398908</v>
      </c>
    </row>
    <row r="393" spans="1:16" x14ac:dyDescent="0.25">
      <c r="A393" t="s">
        <v>68</v>
      </c>
      <c r="B393" t="s">
        <v>70</v>
      </c>
      <c r="C393">
        <v>16</v>
      </c>
      <c r="D393" t="s">
        <v>127</v>
      </c>
      <c r="E393" t="s">
        <v>108</v>
      </c>
      <c r="F393" t="s">
        <v>81</v>
      </c>
      <c r="G393">
        <v>36</v>
      </c>
      <c r="H393">
        <v>0</v>
      </c>
      <c r="I393" s="5" t="str">
        <f>OutputTable[[#This Row],[ProjectName]]&amp;OutputTable[[#This Row],[Name]]&amp;OutputTable[[#This Row],[Type]]&amp;OutputTable[[#This Row],[Source]]</f>
        <v>Pedido CleintesPreparar orden Number InNumber InProcess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30</v>
      </c>
      <c r="K393" s="5" cm="1">
        <f t="array" ref="K393">IFERROR(AVERAGE(IF((OutputTable[GroupByKey]=OutputTable[[#This Row],[GroupByKey]]),(OutputTable[GroupByKey]=OutputTable[[#This Row],[GroupByKey]])*OutputTable[RecordedValue])),0)</f>
        <v>39.666666666666664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6.0477030882540914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393" s="5" cm="1">
        <f t="array" ref="O393">MIN(IF((OutputTable[GroupByKey]=OutputTable[[#This Row],[GroupByKey]]),(OutputTable[GroupByKey]=OutputTable[[#This Row],[GroupByKey]])*OutputTable[RecordedValue]))</f>
        <v>26</v>
      </c>
      <c r="P393" s="5" cm="1">
        <f t="array" ref="P393">MAX(IF((OutputTable[GroupByKey]=OutputTable[[#This Row],[GroupByKey]]),(OutputTable[GroupByKey]=OutputTable[[#This Row],[GroupByKey]])*OutputTable[RecordedValue]))</f>
        <v>49</v>
      </c>
    </row>
    <row r="394" spans="1:16" x14ac:dyDescent="0.25">
      <c r="A394" t="s">
        <v>68</v>
      </c>
      <c r="B394" t="s">
        <v>70</v>
      </c>
      <c r="C394">
        <v>16</v>
      </c>
      <c r="D394" t="s">
        <v>128</v>
      </c>
      <c r="E394" t="s">
        <v>110</v>
      </c>
      <c r="F394" t="s">
        <v>81</v>
      </c>
      <c r="G394">
        <v>36</v>
      </c>
      <c r="H394">
        <v>0</v>
      </c>
      <c r="I394" s="5" t="str">
        <f>OutputTable[[#This Row],[ProjectName]]&amp;OutputTable[[#This Row],[Name]]&amp;OutputTable[[#This Row],[Type]]&amp;OutputTable[[#This Row],[Source]]</f>
        <v>Pedido CleintesPreparar orden Number OutNumber OutProcess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30</v>
      </c>
      <c r="K394" s="5" cm="1">
        <f t="array" ref="K394">IFERROR(AVERAGE(IF((OutputTable[GroupByKey]=OutputTable[[#This Row],[GroupByKey]]),(OutputTable[GroupByKey]=OutputTable[[#This Row],[GroupByKey]])*OutputTable[RecordedValue])),0)</f>
        <v>38.93333333333333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5.9765826548191505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394" s="5" cm="1">
        <f t="array" ref="O394">MIN(IF((OutputTable[GroupByKey]=OutputTable[[#This Row],[GroupByKey]]),(OutputTable[GroupByKey]=OutputTable[[#This Row],[GroupByKey]])*OutputTable[RecordedValue]))</f>
        <v>25</v>
      </c>
      <c r="P394" s="5" cm="1">
        <f t="array" ref="P394">MAX(IF((OutputTable[GroupByKey]=OutputTable[[#This Row],[GroupByKey]]),(OutputTable[GroupByKey]=OutputTable[[#This Row],[GroupByKey]])*OutputTable[RecordedValue]))</f>
        <v>49</v>
      </c>
    </row>
    <row r="395" spans="1:16" x14ac:dyDescent="0.25">
      <c r="A395" t="s">
        <v>68</v>
      </c>
      <c r="B395" t="s">
        <v>70</v>
      </c>
      <c r="C395">
        <v>16</v>
      </c>
      <c r="D395" t="s">
        <v>129</v>
      </c>
      <c r="E395" t="s">
        <v>110</v>
      </c>
      <c r="F395" t="s">
        <v>130</v>
      </c>
      <c r="G395">
        <v>36</v>
      </c>
      <c r="H395">
        <v>0</v>
      </c>
      <c r="I395" s="5" t="str">
        <f>OutputTable[[#This Row],[ProjectName]]&amp;OutputTable[[#This Row],[Name]]&amp;OutputTable[[#This Row],[Type]]&amp;OutputTable[[#This Row],[Source]]</f>
        <v>Pedido CleintesSystem.NumberOutNumber OutSystem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30</v>
      </c>
      <c r="K395" s="5" cm="1">
        <f t="array" ref="K395">IFERROR(AVERAGE(IF((OutputTable[GroupByKey]=OutputTable[[#This Row],[GroupByKey]]),(OutputTable[GroupByKey]=OutputTable[[#This Row],[GroupByKey]])*OutputTable[RecordedValue])),0)</f>
        <v>38.866666666666667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6.0840851369801694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395" s="5" cm="1">
        <f t="array" ref="O395">MIN(IF((OutputTable[GroupByKey]=OutputTable[[#This Row],[GroupByKey]]),(OutputTable[GroupByKey]=OutputTable[[#This Row],[GroupByKey]])*OutputTable[RecordedValue]))</f>
        <v>24</v>
      </c>
      <c r="P395" s="5" cm="1">
        <f t="array" ref="P395">MAX(IF((OutputTable[GroupByKey]=OutputTable[[#This Row],[GroupByKey]]),(OutputTable[GroupByKey]=OutputTable[[#This Row],[GroupByKey]])*OutputTable[RecordedValue]))</f>
        <v>49</v>
      </c>
    </row>
    <row r="396" spans="1:16" x14ac:dyDescent="0.25">
      <c r="A396" t="s">
        <v>68</v>
      </c>
      <c r="B396" t="s">
        <v>70</v>
      </c>
      <c r="C396">
        <v>16</v>
      </c>
      <c r="D396" t="s">
        <v>131</v>
      </c>
      <c r="E396" t="s">
        <v>132</v>
      </c>
      <c r="F396" t="s">
        <v>102</v>
      </c>
      <c r="G396">
        <v>36</v>
      </c>
      <c r="H396">
        <v>0</v>
      </c>
      <c r="I39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30</v>
      </c>
      <c r="K396" s="5" cm="1">
        <f t="array" ref="K396">IFERROR(AVERAGE(IF((OutputTable[GroupByKey]=OutputTable[[#This Row],[GroupByKey]]),(OutputTable[GroupByKey]=OutputTable[[#This Row],[GroupByKey]])*OutputTable[RecordedValue])),0)</f>
        <v>39.4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5.8757244601014422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396" s="5" cm="1">
        <f t="array" ref="O396">MIN(IF((OutputTable[GroupByKey]=OutputTable[[#This Row],[GroupByKey]]),(OutputTable[GroupByKey]=OutputTable[[#This Row],[GroupByKey]])*OutputTable[RecordedValue]))</f>
        <v>26</v>
      </c>
      <c r="P396" s="5" cm="1">
        <f t="array" ref="P396">MAX(IF((OutputTable[GroupByKey]=OutputTable[[#This Row],[GroupByKey]]),(OutputTable[GroupByKey]=OutputTable[[#This Row],[GroupByKey]])*OutputTable[RecordedValue]))</f>
        <v>49</v>
      </c>
    </row>
    <row r="397" spans="1:16" x14ac:dyDescent="0.25">
      <c r="A397" t="s">
        <v>68</v>
      </c>
      <c r="B397" t="s">
        <v>70</v>
      </c>
      <c r="C397">
        <v>16</v>
      </c>
      <c r="D397" t="s">
        <v>133</v>
      </c>
      <c r="E397" t="s">
        <v>134</v>
      </c>
      <c r="F397" t="s">
        <v>102</v>
      </c>
      <c r="G397">
        <v>0.44924041931831099</v>
      </c>
      <c r="H397">
        <v>0</v>
      </c>
      <c r="I39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30</v>
      </c>
      <c r="K397" s="5" cm="1">
        <f t="array" ref="K397">IFERROR(AVERAGE(IF((OutputTable[GroupByKey]=OutputTable[[#This Row],[GroupByKey]]),(OutputTable[GroupByKey]=OutputTable[[#This Row],[GroupByKey]])*OutputTable[RecordedValue])),0)</f>
        <v>0.48891840079317483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7.3627413122013347E-2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397" s="5" cm="1">
        <f t="array" ref="O397">MIN(IF((OutputTable[GroupByKey]=OutputTable[[#This Row],[GroupByKey]]),(OutputTable[GroupByKey]=OutputTable[[#This Row],[GroupByKey]])*OutputTable[RecordedValue]))</f>
        <v>0.31277577999924699</v>
      </c>
      <c r="P397" s="5" cm="1">
        <f t="array" ref="P397">MAX(IF((OutputTable[GroupByKey]=OutputTable[[#This Row],[GroupByKey]]),(OutputTable[GroupByKey]=OutputTable[[#This Row],[GroupByKey]])*OutputTable[RecordedValue]))</f>
        <v>0.60626731984831705</v>
      </c>
    </row>
    <row r="398" spans="1:16" x14ac:dyDescent="0.25">
      <c r="A398" t="s">
        <v>68</v>
      </c>
      <c r="B398" t="s">
        <v>70</v>
      </c>
      <c r="C398">
        <v>16</v>
      </c>
      <c r="D398" t="s">
        <v>135</v>
      </c>
      <c r="E398" t="s">
        <v>132</v>
      </c>
      <c r="F398" t="s">
        <v>102</v>
      </c>
      <c r="G398">
        <v>73</v>
      </c>
      <c r="H398">
        <v>0</v>
      </c>
      <c r="I39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30</v>
      </c>
      <c r="K398" s="5" cm="1">
        <f t="array" ref="K398">IFERROR(AVERAGE(IF((OutputTable[GroupByKey]=OutputTable[[#This Row],[GroupByKey]]),(OutputTable[GroupByKey]=OutputTable[[#This Row],[GroupByKey]])*OutputTable[RecordedValue])),0)</f>
        <v>79.466666666666669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12.016463801753446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398" s="5" cm="1">
        <f t="array" ref="O398">MIN(IF((OutputTable[GroupByKey]=OutputTable[[#This Row],[GroupByKey]]),(OutputTable[GroupByKey]=OutputTable[[#This Row],[GroupByKey]])*OutputTable[RecordedValue]))</f>
        <v>53</v>
      </c>
      <c r="P398" s="5" cm="1">
        <f t="array" ref="P398">MAX(IF((OutputTable[GroupByKey]=OutputTable[[#This Row],[GroupByKey]]),(OutputTable[GroupByKey]=OutputTable[[#This Row],[GroupByKey]])*OutputTable[RecordedValue]))</f>
        <v>98</v>
      </c>
    </row>
    <row r="399" spans="1:16" x14ac:dyDescent="0.25">
      <c r="A399" t="s">
        <v>68</v>
      </c>
      <c r="B399" t="s">
        <v>70</v>
      </c>
      <c r="C399">
        <v>16</v>
      </c>
      <c r="D399" t="s">
        <v>136</v>
      </c>
      <c r="E399" t="s">
        <v>134</v>
      </c>
      <c r="F399" t="s">
        <v>102</v>
      </c>
      <c r="G399">
        <v>0.26424452175138902</v>
      </c>
      <c r="H399">
        <v>0</v>
      </c>
      <c r="I39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30</v>
      </c>
      <c r="K399" s="5" cm="1">
        <f t="array" ref="K399">IFERROR(AVERAGE(IF((OutputTable[GroupByKey]=OutputTable[[#This Row],[GroupByKey]]),(OutputTable[GroupByKey]=OutputTable[[#This Row],[GroupByKey]])*OutputTable[RecordedValue])),0)</f>
        <v>0.28976365927997022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4.4748273652133699E-2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399" s="5" cm="1">
        <f t="array" ref="O399">MIN(IF((OutputTable[GroupByKey]=OutputTable[[#This Row],[GroupByKey]]),(OutputTable[GroupByKey]=OutputTable[[#This Row],[GroupByKey]])*OutputTable[RecordedValue]))</f>
        <v>0.194735973294278</v>
      </c>
      <c r="P399" s="5" cm="1">
        <f t="array" ref="P399">MAX(IF((OutputTable[GroupByKey]=OutputTable[[#This Row],[GroupByKey]]),(OutputTable[GroupByKey]=OutputTable[[#This Row],[GroupByKey]])*OutputTable[RecordedValue]))</f>
        <v>0.35775345817659199</v>
      </c>
    </row>
    <row r="400" spans="1:16" x14ac:dyDescent="0.25">
      <c r="A400" t="s">
        <v>68</v>
      </c>
      <c r="B400" t="s">
        <v>70</v>
      </c>
      <c r="C400">
        <v>16</v>
      </c>
      <c r="D400" t="s">
        <v>137</v>
      </c>
      <c r="E400" t="s">
        <v>132</v>
      </c>
      <c r="F400" t="s">
        <v>102</v>
      </c>
      <c r="G400">
        <v>36</v>
      </c>
      <c r="H400">
        <v>0</v>
      </c>
      <c r="I40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30</v>
      </c>
      <c r="K400" s="5" cm="1">
        <f t="array" ref="K400">IFERROR(AVERAGE(IF((OutputTable[GroupByKey]=OutputTable[[#This Row],[GroupByKey]]),(OutputTable[GroupByKey]=OutputTable[[#This Row],[GroupByKey]])*OutputTable[RecordedValue])),0)</f>
        <v>38.93333333333333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5.9765826548191505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00" s="5" cm="1">
        <f t="array" ref="O400">MIN(IF((OutputTable[GroupByKey]=OutputTable[[#This Row],[GroupByKey]]),(OutputTable[GroupByKey]=OutputTable[[#This Row],[GroupByKey]])*OutputTable[RecordedValue]))</f>
        <v>25</v>
      </c>
      <c r="P400" s="5" cm="1">
        <f t="array" ref="P400">MAX(IF((OutputTable[GroupByKey]=OutputTable[[#This Row],[GroupByKey]]),(OutputTable[GroupByKey]=OutputTable[[#This Row],[GroupByKey]])*OutputTable[RecordedValue]))</f>
        <v>49</v>
      </c>
    </row>
    <row r="401" spans="1:16" x14ac:dyDescent="0.25">
      <c r="A401" t="s">
        <v>68</v>
      </c>
      <c r="B401" t="s">
        <v>70</v>
      </c>
      <c r="C401">
        <v>16</v>
      </c>
      <c r="D401" t="s">
        <v>138</v>
      </c>
      <c r="E401" t="s">
        <v>134</v>
      </c>
      <c r="F401" t="s">
        <v>102</v>
      </c>
      <c r="G401">
        <v>8.5915071075306507E-2</v>
      </c>
      <c r="H401">
        <v>0</v>
      </c>
      <c r="I40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30</v>
      </c>
      <c r="K401" s="5" cm="1">
        <f t="array" ref="K401">IFERROR(AVERAGE(IF((OutputTable[GroupByKey]=OutputTable[[#This Row],[GroupByKey]]),(OutputTable[GroupByKey]=OutputTable[[#This Row],[GroupByKey]])*OutputTable[RecordedValue])),0)</f>
        <v>8.2588852761398115E-2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1.3130964022328008E-2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401" s="5" cm="1">
        <f t="array" ref="O401">MIN(IF((OutputTable[GroupByKey]=OutputTable[[#This Row],[GroupByKey]]),(OutputTable[GroupByKey]=OutputTable[[#This Row],[GroupByKey]])*OutputTable[RecordedValue]))</f>
        <v>5.3757894868807901E-2</v>
      </c>
      <c r="P401" s="5" cm="1">
        <f t="array" ref="P401">MAX(IF((OutputTable[GroupByKey]=OutputTable[[#This Row],[GroupByKey]]),(OutputTable[GroupByKey]=OutputTable[[#This Row],[GroupByKey]])*OutputTable[RecordedValue]))</f>
        <v>0.103175045984152</v>
      </c>
    </row>
    <row r="402" spans="1:16" x14ac:dyDescent="0.25">
      <c r="A402" t="s">
        <v>68</v>
      </c>
      <c r="B402" t="s">
        <v>70</v>
      </c>
      <c r="C402">
        <v>17</v>
      </c>
      <c r="D402" t="s">
        <v>107</v>
      </c>
      <c r="E402" t="s">
        <v>108</v>
      </c>
      <c r="F402" t="s">
        <v>73</v>
      </c>
      <c r="G402">
        <v>97</v>
      </c>
      <c r="H402">
        <v>0</v>
      </c>
      <c r="I402" s="5" t="str">
        <f>OutputTable[[#This Row],[ProjectName]]&amp;OutputTable[[#This Row],[Name]]&amp;OutputTable[[#This Row],[Type]]&amp;OutputTable[[#This Row],[Source]]</f>
        <v>Pedido CleintesClientes.NumberInNumber InEntity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30</v>
      </c>
      <c r="K402" s="5" cm="1">
        <f t="array" ref="K402">IFERROR(AVERAGE(IF((OutputTable[GroupByKey]=OutputTable[[#This Row],[GroupByKey]]),(OutputTable[GroupByKey]=OutputTable[[#This Row],[GroupByKey]])*OutputTable[RecordedValue])),0)</f>
        <v>118.5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18.009097317936192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402" s="5" cm="1">
        <f t="array" ref="O402">MIN(IF((OutputTable[GroupByKey]=OutputTable[[#This Row],[GroupByKey]]),(OutputTable[GroupByKey]=OutputTable[[#This Row],[GroupByKey]])*OutputTable[RecordedValue]))</f>
        <v>78</v>
      </c>
      <c r="P402" s="5" cm="1">
        <f t="array" ref="P402">MAX(IF((OutputTable[GroupByKey]=OutputTable[[#This Row],[GroupByKey]]),(OutputTable[GroupByKey]=OutputTable[[#This Row],[GroupByKey]])*OutputTable[RecordedValue]))</f>
        <v>147</v>
      </c>
    </row>
    <row r="403" spans="1:16" x14ac:dyDescent="0.25">
      <c r="A403" t="s">
        <v>68</v>
      </c>
      <c r="B403" t="s">
        <v>70</v>
      </c>
      <c r="C403">
        <v>17</v>
      </c>
      <c r="D403" t="s">
        <v>109</v>
      </c>
      <c r="E403" t="s">
        <v>110</v>
      </c>
      <c r="F403" t="s">
        <v>73</v>
      </c>
      <c r="G403">
        <v>93</v>
      </c>
      <c r="H403">
        <v>0</v>
      </c>
      <c r="I403" s="5" t="str">
        <f>OutputTable[[#This Row],[ProjectName]]&amp;OutputTable[[#This Row],[Name]]&amp;OutputTable[[#This Row],[Type]]&amp;OutputTable[[#This Row],[Source]]</f>
        <v>Pedido CleintesClientes.NumberOutNumber OutEntity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30</v>
      </c>
      <c r="K403" s="5" cm="1">
        <f t="array" ref="K403">IFERROR(AVERAGE(IF((OutputTable[GroupByKey]=OutputTable[[#This Row],[GroupByKey]]),(OutputTable[GroupByKey]=OutputTable[[#This Row],[GroupByKey]])*OutputTable[RecordedValue])),0)</f>
        <v>116.6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18.252255410940514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403" s="5" cm="1">
        <f t="array" ref="O403">MIN(IF((OutputTable[GroupByKey]=OutputTable[[#This Row],[GroupByKey]]),(OutputTable[GroupByKey]=OutputTable[[#This Row],[GroupByKey]])*OutputTable[RecordedValue]))</f>
        <v>72</v>
      </c>
      <c r="P403" s="5" cm="1">
        <f t="array" ref="P403">MAX(IF((OutputTable[GroupByKey]=OutputTable[[#This Row],[GroupByKey]]),(OutputTable[GroupByKey]=OutputTable[[#This Row],[GroupByKey]])*OutputTable[RecordedValue]))</f>
        <v>147</v>
      </c>
    </row>
    <row r="404" spans="1:16" x14ac:dyDescent="0.25">
      <c r="A404" t="s">
        <v>68</v>
      </c>
      <c r="B404" t="s">
        <v>70</v>
      </c>
      <c r="C404">
        <v>17</v>
      </c>
      <c r="D404" t="s">
        <v>111</v>
      </c>
      <c r="E404" t="s">
        <v>112</v>
      </c>
      <c r="F404" t="s">
        <v>81</v>
      </c>
      <c r="G404">
        <v>17.664122777962</v>
      </c>
      <c r="H404">
        <v>0</v>
      </c>
      <c r="I40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30</v>
      </c>
      <c r="K404" s="5" cm="1">
        <f t="array" ref="K404">IFERROR(AVERAGE(IF((OutputTable[GroupByKey]=OutputTable[[#This Row],[GroupByKey]]),(OutputTable[GroupByKey]=OutputTable[[#This Row],[GroupByKey]])*OutputTable[RecordedValue])),0)</f>
        <v>19.806808580201274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3.1624794742170024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404" s="5" cm="1">
        <f t="array" ref="O404">MIN(IF((OutputTable[GroupByKey]=OutputTable[[#This Row],[GroupByKey]]),(OutputTable[GroupByKey]=OutputTable[[#This Row],[GroupByKey]])*OutputTable[RecordedValue]))</f>
        <v>12.812268330404599</v>
      </c>
      <c r="P404" s="5" cm="1">
        <f t="array" ref="P404">MAX(IF((OutputTable[GroupByKey]=OutputTable[[#This Row],[GroupByKey]]),(OutputTable[GroupByKey]=OutputTable[[#This Row],[GroupByKey]])*OutputTable[RecordedValue]))</f>
        <v>24.762011036196501</v>
      </c>
    </row>
    <row r="405" spans="1:16" x14ac:dyDescent="0.25">
      <c r="A405" t="s">
        <v>68</v>
      </c>
      <c r="B405" t="s">
        <v>70</v>
      </c>
      <c r="C405">
        <v>17</v>
      </c>
      <c r="D405" t="s">
        <v>113</v>
      </c>
      <c r="E405" t="s">
        <v>114</v>
      </c>
      <c r="F405" t="s">
        <v>81</v>
      </c>
      <c r="G405">
        <v>0</v>
      </c>
      <c r="H405">
        <v>0</v>
      </c>
      <c r="I40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30</v>
      </c>
      <c r="K405" s="5" cm="1">
        <f t="array" ref="K405">IFERROR(AVERAGE(IF((OutputTable[GroupByKey]=OutputTable[[#This Row],[GroupByKey]]),(OutputTable[GroupByKey]=OutputTable[[#This Row],[GroupByKey]])*OutputTable[RecordedValue])),0)</f>
        <v>0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0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s="5" cm="1">
        <f t="array" ref="O405">MIN(IF((OutputTable[GroupByKey]=OutputTable[[#This Row],[GroupByKey]]),(OutputTable[GroupByKey]=OutputTable[[#This Row],[GroupByKey]])*OutputTable[RecordedValue]))</f>
        <v>0</v>
      </c>
      <c r="P405" s="5" cm="1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68</v>
      </c>
      <c r="B406" t="s">
        <v>70</v>
      </c>
      <c r="C406">
        <v>17</v>
      </c>
      <c r="D406" t="s">
        <v>115</v>
      </c>
      <c r="E406" t="s">
        <v>108</v>
      </c>
      <c r="F406" t="s">
        <v>81</v>
      </c>
      <c r="G406">
        <v>31</v>
      </c>
      <c r="H406">
        <v>0</v>
      </c>
      <c r="I40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30</v>
      </c>
      <c r="K406" s="5" cm="1">
        <f t="array" ref="K406">IFERROR(AVERAGE(IF((OutputTable[GroupByKey]=OutputTable[[#This Row],[GroupByKey]]),(OutputTable[GroupByKey]=OutputTable[[#This Row],[GroupByKey]])*OutputTable[RecordedValue])),0)</f>
        <v>38.93333333333333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5.9765826548191505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06" s="5" cm="1">
        <f t="array" ref="O406">MIN(IF((OutputTable[GroupByKey]=OutputTable[[#This Row],[GroupByKey]]),(OutputTable[GroupByKey]=OutputTable[[#This Row],[GroupByKey]])*OutputTable[RecordedValue]))</f>
        <v>25</v>
      </c>
      <c r="P406" s="5" cm="1">
        <f t="array" ref="P406">MAX(IF((OutputTable[GroupByKey]=OutputTable[[#This Row],[GroupByKey]]),(OutputTable[GroupByKey]=OutputTable[[#This Row],[GroupByKey]])*OutputTable[RecordedValue]))</f>
        <v>49</v>
      </c>
    </row>
    <row r="407" spans="1:16" x14ac:dyDescent="0.25">
      <c r="A407" t="s">
        <v>68</v>
      </c>
      <c r="B407" t="s">
        <v>70</v>
      </c>
      <c r="C407">
        <v>17</v>
      </c>
      <c r="D407" t="s">
        <v>116</v>
      </c>
      <c r="E407" t="s">
        <v>110</v>
      </c>
      <c r="F407" t="s">
        <v>81</v>
      </c>
      <c r="G407">
        <v>31</v>
      </c>
      <c r="H407">
        <v>0</v>
      </c>
      <c r="I40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30</v>
      </c>
      <c r="K407" s="5" cm="1">
        <f t="array" ref="K407">IFERROR(AVERAGE(IF((OutputTable[GroupByKey]=OutputTable[[#This Row],[GroupByKey]]),(OutputTable[GroupByKey]=OutputTable[[#This Row],[GroupByKey]])*OutputTable[RecordedValue])),0)</f>
        <v>38.866666666666667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6.0840851369801694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07" s="5" cm="1">
        <f t="array" ref="O407">MIN(IF((OutputTable[GroupByKey]=OutputTable[[#This Row],[GroupByKey]]),(OutputTable[GroupByKey]=OutputTable[[#This Row],[GroupByKey]])*OutputTable[RecordedValue]))</f>
        <v>24</v>
      </c>
      <c r="P407" s="5" cm="1">
        <f t="array" ref="P407">MAX(IF((OutputTable[GroupByKey]=OutputTable[[#This Row],[GroupByKey]]),(OutputTable[GroupByKey]=OutputTable[[#This Row],[GroupByKey]])*OutputTable[RecordedValue]))</f>
        <v>49</v>
      </c>
    </row>
    <row r="408" spans="1:16" x14ac:dyDescent="0.25">
      <c r="A408" t="s">
        <v>68</v>
      </c>
      <c r="B408" t="s">
        <v>70</v>
      </c>
      <c r="C408">
        <v>17</v>
      </c>
      <c r="D408" t="s">
        <v>117</v>
      </c>
      <c r="E408" t="s">
        <v>112</v>
      </c>
      <c r="F408" t="s">
        <v>81</v>
      </c>
      <c r="G408">
        <v>32.461998270023102</v>
      </c>
      <c r="H408">
        <v>0</v>
      </c>
      <c r="I408" s="5" t="str">
        <f>OutputTable[[#This Row],[ProjectName]]&amp;OutputTable[[#This Row],[Name]]&amp;OutputTable[[#This Row],[Type]]&amp;OutputTable[[#This Row],[Source]]</f>
        <v>Pedido CleintesOrdnes Accum VA TimeAccum VA TimeProcess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30</v>
      </c>
      <c r="K408" s="5" cm="1">
        <f t="array" ref="K408">IFERROR(AVERAGE(IF((OutputTable[GroupByKey]=OutputTable[[#This Row],[GroupByKey]]),(OutputTable[GroupByKey]=OutputTable[[#This Row],[GroupByKey]])*OutputTable[RecordedValue])),0)</f>
        <v>39.878126992056487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6.1068580319474277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408" s="5" cm="1">
        <f t="array" ref="O408">MIN(IF((OutputTable[GroupByKey]=OutputTable[[#This Row],[GroupByKey]]),(OutputTable[GroupByKey]=OutputTable[[#This Row],[GroupByKey]])*OutputTable[RecordedValue]))</f>
        <v>26.106281767804099</v>
      </c>
      <c r="P408" s="5" cm="1">
        <f t="array" ref="P408">MAX(IF((OutputTable[GroupByKey]=OutputTable[[#This Row],[GroupByKey]]),(OutputTable[GroupByKey]=OutputTable[[#This Row],[GroupByKey]])*OutputTable[RecordedValue]))</f>
        <v>48.706388790541098</v>
      </c>
    </row>
    <row r="409" spans="1:16" x14ac:dyDescent="0.25">
      <c r="A409" t="s">
        <v>68</v>
      </c>
      <c r="B409" t="s">
        <v>70</v>
      </c>
      <c r="C409">
        <v>17</v>
      </c>
      <c r="D409" t="s">
        <v>118</v>
      </c>
      <c r="E409" t="s">
        <v>114</v>
      </c>
      <c r="F409" t="s">
        <v>81</v>
      </c>
      <c r="G409">
        <v>3.5773488327271101</v>
      </c>
      <c r="H409">
        <v>0</v>
      </c>
      <c r="I40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30</v>
      </c>
      <c r="K409" s="5" cm="1">
        <f t="array" ref="K409">IFERROR(AVERAGE(IF((OutputTable[GroupByKey]=OutputTable[[#This Row],[GroupByKey]]),(OutputTable[GroupByKey]=OutputTable[[#This Row],[GroupByKey]])*OutputTable[RecordedValue])),0)</f>
        <v>7.9804799821754404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4.8950382198155014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409" s="5" cm="1">
        <f t="array" ref="O409">MIN(IF((OutputTable[GroupByKey]=OutputTable[[#This Row],[GroupByKey]]),(OutputTable[GroupByKey]=OutputTable[[#This Row],[GroupByKey]])*OutputTable[RecordedValue]))</f>
        <v>0</v>
      </c>
      <c r="P409" s="5" cm="1">
        <f t="array" ref="P409">MAX(IF((OutputTable[GroupByKey]=OutputTable[[#This Row],[GroupByKey]]),(OutputTable[GroupByKey]=OutputTable[[#This Row],[GroupByKey]])*OutputTable[RecordedValue]))</f>
        <v>18.843855117811401</v>
      </c>
    </row>
    <row r="410" spans="1:16" x14ac:dyDescent="0.25">
      <c r="A410" t="s">
        <v>68</v>
      </c>
      <c r="B410" t="s">
        <v>70</v>
      </c>
      <c r="C410">
        <v>17</v>
      </c>
      <c r="D410" t="s">
        <v>119</v>
      </c>
      <c r="E410" t="s">
        <v>108</v>
      </c>
      <c r="F410" t="s">
        <v>81</v>
      </c>
      <c r="G410">
        <v>33</v>
      </c>
      <c r="H410">
        <v>0</v>
      </c>
      <c r="I410" s="5" t="str">
        <f>OutputTable[[#This Row],[ProjectName]]&amp;OutputTable[[#This Row],[Name]]&amp;OutputTable[[#This Row],[Type]]&amp;OutputTable[[#This Row],[Source]]</f>
        <v>Pedido CleintesOrdnes Number InNumber InProcess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30</v>
      </c>
      <c r="K410" s="5" cm="1">
        <f t="array" ref="K410">IFERROR(AVERAGE(IF((OutputTable[GroupByKey]=OutputTable[[#This Row],[GroupByKey]]),(OutputTable[GroupByKey]=OutputTable[[#This Row],[GroupByKey]])*OutputTable[RecordedValue])),0)</f>
        <v>39.9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6.0648791101463475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410" s="5" cm="1">
        <f t="array" ref="O410">MIN(IF((OutputTable[GroupByKey]=OutputTable[[#This Row],[GroupByKey]]),(OutputTable[GroupByKey]=OutputTable[[#This Row],[GroupByKey]])*OutputTable[RecordedValue]))</f>
        <v>27</v>
      </c>
      <c r="P410" s="5" cm="1">
        <f t="array" ref="P410">MAX(IF((OutputTable[GroupByKey]=OutputTable[[#This Row],[GroupByKey]]),(OutputTable[GroupByKey]=OutputTable[[#This Row],[GroupByKey]])*OutputTable[RecordedValue]))</f>
        <v>49</v>
      </c>
    </row>
    <row r="411" spans="1:16" x14ac:dyDescent="0.25">
      <c r="A411" t="s">
        <v>68</v>
      </c>
      <c r="B411" t="s">
        <v>70</v>
      </c>
      <c r="C411">
        <v>17</v>
      </c>
      <c r="D411" t="s">
        <v>120</v>
      </c>
      <c r="E411" t="s">
        <v>110</v>
      </c>
      <c r="F411" t="s">
        <v>81</v>
      </c>
      <c r="G411">
        <v>33</v>
      </c>
      <c r="H411">
        <v>0</v>
      </c>
      <c r="I411" s="5" t="str">
        <f>OutputTable[[#This Row],[ProjectName]]&amp;OutputTable[[#This Row],[Name]]&amp;OutputTable[[#This Row],[Type]]&amp;OutputTable[[#This Row],[Source]]</f>
        <v>Pedido CleintesOrdnes Number OutNumber OutProcess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30</v>
      </c>
      <c r="K411" s="5" cm="1">
        <f t="array" ref="K411">IFERROR(AVERAGE(IF((OutputTable[GroupByKey]=OutputTable[[#This Row],[GroupByKey]]),(OutputTable[GroupByKey]=OutputTable[[#This Row],[GroupByKey]])*OutputTable[RecordedValue])),0)</f>
        <v>39.666666666666664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6.0477030882540914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11" s="5" cm="1">
        <f t="array" ref="O411">MIN(IF((OutputTable[GroupByKey]=OutputTable[[#This Row],[GroupByKey]]),(OutputTable[GroupByKey]=OutputTable[[#This Row],[GroupByKey]])*OutputTable[RecordedValue]))</f>
        <v>26</v>
      </c>
      <c r="P411" s="5" cm="1">
        <f t="array" ref="P411">MAX(IF((OutputTable[GroupByKey]=OutputTable[[#This Row],[GroupByKey]]),(OutputTable[GroupByKey]=OutputTable[[#This Row],[GroupByKey]])*OutputTable[RecordedValue]))</f>
        <v>49</v>
      </c>
    </row>
    <row r="412" spans="1:16" x14ac:dyDescent="0.25">
      <c r="A412" t="s">
        <v>68</v>
      </c>
      <c r="B412" t="s">
        <v>70</v>
      </c>
      <c r="C412">
        <v>17</v>
      </c>
      <c r="D412" t="s">
        <v>121</v>
      </c>
      <c r="E412" t="s">
        <v>112</v>
      </c>
      <c r="F412" t="s">
        <v>81</v>
      </c>
      <c r="G412">
        <v>24.764253811071502</v>
      </c>
      <c r="H412">
        <v>0</v>
      </c>
      <c r="I412" s="5" t="str">
        <f>OutputTable[[#This Row],[ProjectName]]&amp;OutputTable[[#This Row],[Name]]&amp;OutputTable[[#This Row],[Type]]&amp;OutputTable[[#This Row],[Source]]</f>
        <v>Pedido CleintesPago Accum VA TimeAccum VA TimeProcess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30</v>
      </c>
      <c r="K412" s="5" cm="1">
        <f t="array" ref="K412">IFERROR(AVERAGE(IF((OutputTable[GroupByKey]=OutputTable[[#This Row],[GroupByKey]]),(OutputTable[GroupByKey]=OutputTable[[#This Row],[GroupByKey]])*OutputTable[RecordedValue])),0)</f>
        <v>29.486262713858675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4.747176664010901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412" s="5" cm="1">
        <f t="array" ref="O412">MIN(IF((OutputTable[GroupByKey]=OutputTable[[#This Row],[GroupByKey]]),(OutputTable[GroupByKey]=OutputTable[[#This Row],[GroupByKey]])*OutputTable[RecordedValue]))</f>
        <v>19.573210250889101</v>
      </c>
      <c r="P412" s="5" cm="1">
        <f t="array" ref="P412">MAX(IF((OutputTable[GroupByKey]=OutputTable[[#This Row],[GroupByKey]]),(OutputTable[GroupByKey]=OutputTable[[#This Row],[GroupByKey]])*OutputTable[RecordedValue]))</f>
        <v>37.056974462114901</v>
      </c>
    </row>
    <row r="413" spans="1:16" x14ac:dyDescent="0.25">
      <c r="A413" t="s">
        <v>68</v>
      </c>
      <c r="B413" t="s">
        <v>70</v>
      </c>
      <c r="C413">
        <v>17</v>
      </c>
      <c r="D413" t="s">
        <v>122</v>
      </c>
      <c r="E413" t="s">
        <v>114</v>
      </c>
      <c r="F413" t="s">
        <v>81</v>
      </c>
      <c r="G413">
        <v>4.3423883373366401</v>
      </c>
      <c r="H413">
        <v>0</v>
      </c>
      <c r="I413" s="5" t="str">
        <f>OutputTable[[#This Row],[ProjectName]]&amp;OutputTable[[#This Row],[Name]]&amp;OutputTable[[#This Row],[Type]]&amp;OutputTable[[#This Row],[Source]]</f>
        <v>Pedido CleintesPago Accum Wait TimeAccum Wait TimeProcess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30</v>
      </c>
      <c r="K413" s="5" cm="1">
        <f t="array" ref="K413">IFERROR(AVERAGE(IF((OutputTable[GroupByKey]=OutputTable[[#This Row],[GroupByKey]]),(OutputTable[GroupByKey]=OutputTable[[#This Row],[GroupByKey]])*OutputTable[RecordedValue])),0)</f>
        <v>13.025761997568024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7.8467935605388783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413" s="5" cm="1">
        <f t="array" ref="O413">MIN(IF((OutputTable[GroupByKey]=OutputTable[[#This Row],[GroupByKey]]),(OutputTable[GroupByKey]=OutputTable[[#This Row],[GroupByKey]])*OutputTable[RecordedValue]))</f>
        <v>0</v>
      </c>
      <c r="P413" s="5" cm="1">
        <f t="array" ref="P413">MAX(IF((OutputTable[GroupByKey]=OutputTable[[#This Row],[GroupByKey]]),(OutputTable[GroupByKey]=OutputTable[[#This Row],[GroupByKey]])*OutputTable[RecordedValue]))</f>
        <v>32.770863925850499</v>
      </c>
    </row>
    <row r="414" spans="1:16" x14ac:dyDescent="0.25">
      <c r="A414" t="s">
        <v>68</v>
      </c>
      <c r="B414" t="s">
        <v>70</v>
      </c>
      <c r="C414">
        <v>17</v>
      </c>
      <c r="D414" t="s">
        <v>123</v>
      </c>
      <c r="E414" t="s">
        <v>108</v>
      </c>
      <c r="F414" t="s">
        <v>81</v>
      </c>
      <c r="G414">
        <v>33</v>
      </c>
      <c r="H414">
        <v>0</v>
      </c>
      <c r="I414" s="5" t="str">
        <f>OutputTable[[#This Row],[ProjectName]]&amp;OutputTable[[#This Row],[Name]]&amp;OutputTable[[#This Row],[Type]]&amp;OutputTable[[#This Row],[Source]]</f>
        <v>Pedido CleintesPago Number InNumber InProcess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30</v>
      </c>
      <c r="K414" s="5" cm="1">
        <f t="array" ref="K414">IFERROR(AVERAGE(IF((OutputTable[GroupByKey]=OutputTable[[#This Row],[GroupByKey]]),(OutputTable[GroupByKey]=OutputTable[[#This Row],[GroupByKey]])*OutputTable[RecordedValue])),0)</f>
        <v>39.666666666666664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6.0477030882540914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14" s="5" cm="1">
        <f t="array" ref="O414">MIN(IF((OutputTable[GroupByKey]=OutputTable[[#This Row],[GroupByKey]]),(OutputTable[GroupByKey]=OutputTable[[#This Row],[GroupByKey]])*OutputTable[RecordedValue]))</f>
        <v>26</v>
      </c>
      <c r="P414" s="5" cm="1">
        <f t="array" ref="P414">MAX(IF((OutputTable[GroupByKey]=OutputTable[[#This Row],[GroupByKey]]),(OutputTable[GroupByKey]=OutputTable[[#This Row],[GroupByKey]])*OutputTable[RecordedValue]))</f>
        <v>49</v>
      </c>
    </row>
    <row r="415" spans="1:16" x14ac:dyDescent="0.25">
      <c r="A415" t="s">
        <v>68</v>
      </c>
      <c r="B415" t="s">
        <v>70</v>
      </c>
      <c r="C415">
        <v>17</v>
      </c>
      <c r="D415" t="s">
        <v>124</v>
      </c>
      <c r="E415" t="s">
        <v>110</v>
      </c>
      <c r="F415" t="s">
        <v>81</v>
      </c>
      <c r="G415">
        <v>32</v>
      </c>
      <c r="H415">
        <v>0</v>
      </c>
      <c r="I415" s="5" t="str">
        <f>OutputTable[[#This Row],[ProjectName]]&amp;OutputTable[[#This Row],[Name]]&amp;OutputTable[[#This Row],[Type]]&amp;OutputTable[[#This Row],[Source]]</f>
        <v>Pedido CleintesPago Number OutNumber OutProcess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30</v>
      </c>
      <c r="K415" s="5" cm="1">
        <f t="array" ref="K415">IFERROR(AVERAGE(IF((OutputTable[GroupByKey]=OutputTable[[#This Row],[GroupByKey]]),(OutputTable[GroupByKey]=OutputTable[[#This Row],[GroupByKey]])*OutputTable[RecordedValue])),0)</f>
        <v>39.43333333333333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5.9171482724502509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415" s="5" cm="1">
        <f t="array" ref="O415">MIN(IF((OutputTable[GroupByKey]=OutputTable[[#This Row],[GroupByKey]]),(OutputTable[GroupByKey]=OutputTable[[#This Row],[GroupByKey]])*OutputTable[RecordedValue]))</f>
        <v>26</v>
      </c>
      <c r="P415" s="5" cm="1">
        <f t="array" ref="P415">MAX(IF((OutputTable[GroupByKey]=OutputTable[[#This Row],[GroupByKey]]),(OutputTable[GroupByKey]=OutputTable[[#This Row],[GroupByKey]])*OutputTable[RecordedValue]))</f>
        <v>49</v>
      </c>
    </row>
    <row r="416" spans="1:16" x14ac:dyDescent="0.25">
      <c r="A416" t="s">
        <v>68</v>
      </c>
      <c r="B416" t="s">
        <v>70</v>
      </c>
      <c r="C416">
        <v>17</v>
      </c>
      <c r="D416" t="s">
        <v>125</v>
      </c>
      <c r="E416" t="s">
        <v>112</v>
      </c>
      <c r="F416" t="s">
        <v>81</v>
      </c>
      <c r="G416">
        <v>91.869228391908607</v>
      </c>
      <c r="H416">
        <v>0</v>
      </c>
      <c r="I41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30</v>
      </c>
      <c r="K416" s="5" cm="1">
        <f t="array" ref="K416">IFERROR(AVERAGE(IF((OutputTable[GroupByKey]=OutputTable[[#This Row],[GroupByKey]]),(OutputTable[GroupByKey]=OutputTable[[#This Row],[GroupByKey]])*OutputTable[RecordedValue])),0)</f>
        <v>116.64263458387505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17.825477946659205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416" s="5" cm="1">
        <f t="array" ref="O416">MIN(IF((OutputTable[GroupByKey]=OutputTable[[#This Row],[GroupByKey]]),(OutputTable[GroupByKey]=OutputTable[[#This Row],[GroupByKey]])*OutputTable[RecordedValue]))</f>
        <v>74.976560761710004</v>
      </c>
      <c r="P416" s="5" cm="1">
        <f t="array" ref="P416">MAX(IF((OutputTable[GroupByKey]=OutputTable[[#This Row],[GroupByKey]]),(OutputTable[GroupByKey]=OutputTable[[#This Row],[GroupByKey]])*OutputTable[RecordedValue]))</f>
        <v>145.504156763596</v>
      </c>
    </row>
    <row r="417" spans="1:16" x14ac:dyDescent="0.25">
      <c r="A417" t="s">
        <v>68</v>
      </c>
      <c r="B417" t="s">
        <v>70</v>
      </c>
      <c r="C417">
        <v>17</v>
      </c>
      <c r="D417" t="s">
        <v>126</v>
      </c>
      <c r="E417" t="s">
        <v>114</v>
      </c>
      <c r="F417" t="s">
        <v>81</v>
      </c>
      <c r="G417">
        <v>16.8137784185482</v>
      </c>
      <c r="H417">
        <v>0</v>
      </c>
      <c r="I41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30</v>
      </c>
      <c r="K417" s="5" cm="1">
        <f t="array" ref="K417">IFERROR(AVERAGE(IF((OutputTable[GroupByKey]=OutputTable[[#This Row],[GroupByKey]]),(OutputTable[GroupByKey]=OutputTable[[#This Row],[GroupByKey]])*OutputTable[RecordedValue])),0)</f>
        <v>39.900972800228722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22.922906975864144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417" s="5" cm="1">
        <f t="array" ref="O417">MIN(IF((OutputTable[GroupByKey]=OutputTable[[#This Row],[GroupByKey]]),(OutputTable[GroupByKey]=OutputTable[[#This Row],[GroupByKey]])*OutputTable[RecordedValue]))</f>
        <v>2.1708788192608899</v>
      </c>
      <c r="P417" s="5" cm="1">
        <f t="array" ref="P417">MAX(IF((OutputTable[GroupByKey]=OutputTable[[#This Row],[GroupByKey]]),(OutputTable[GroupByKey]=OutputTable[[#This Row],[GroupByKey]])*OutputTable[RecordedValue]))</f>
        <v>94.9142929398908</v>
      </c>
    </row>
    <row r="418" spans="1:16" x14ac:dyDescent="0.25">
      <c r="A418" t="s">
        <v>68</v>
      </c>
      <c r="B418" t="s">
        <v>70</v>
      </c>
      <c r="C418">
        <v>17</v>
      </c>
      <c r="D418" t="s">
        <v>127</v>
      </c>
      <c r="E418" t="s">
        <v>108</v>
      </c>
      <c r="F418" t="s">
        <v>81</v>
      </c>
      <c r="G418">
        <v>33</v>
      </c>
      <c r="H418">
        <v>0</v>
      </c>
      <c r="I418" s="5" t="str">
        <f>OutputTable[[#This Row],[ProjectName]]&amp;OutputTable[[#This Row],[Name]]&amp;OutputTable[[#This Row],[Type]]&amp;OutputTable[[#This Row],[Source]]</f>
        <v>Pedido CleintesPreparar orden Number InNumber InProcess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30</v>
      </c>
      <c r="K418" s="5" cm="1">
        <f t="array" ref="K418">IFERROR(AVERAGE(IF((OutputTable[GroupByKey]=OutputTable[[#This Row],[GroupByKey]]),(OutputTable[GroupByKey]=OutputTable[[#This Row],[GroupByKey]])*OutputTable[RecordedValue])),0)</f>
        <v>39.666666666666664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6.0477030882540914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18" s="5" cm="1">
        <f t="array" ref="O418">MIN(IF((OutputTable[GroupByKey]=OutputTable[[#This Row],[GroupByKey]]),(OutputTable[GroupByKey]=OutputTable[[#This Row],[GroupByKey]])*OutputTable[RecordedValue]))</f>
        <v>26</v>
      </c>
      <c r="P418" s="5" cm="1">
        <f t="array" ref="P418">MAX(IF((OutputTable[GroupByKey]=OutputTable[[#This Row],[GroupByKey]]),(OutputTable[GroupByKey]=OutputTable[[#This Row],[GroupByKey]])*OutputTable[RecordedValue]))</f>
        <v>49</v>
      </c>
    </row>
    <row r="419" spans="1:16" x14ac:dyDescent="0.25">
      <c r="A419" t="s">
        <v>68</v>
      </c>
      <c r="B419" t="s">
        <v>70</v>
      </c>
      <c r="C419">
        <v>17</v>
      </c>
      <c r="D419" t="s">
        <v>128</v>
      </c>
      <c r="E419" t="s">
        <v>110</v>
      </c>
      <c r="F419" t="s">
        <v>81</v>
      </c>
      <c r="G419">
        <v>31</v>
      </c>
      <c r="H419">
        <v>0</v>
      </c>
      <c r="I419" s="5" t="str">
        <f>OutputTable[[#This Row],[ProjectName]]&amp;OutputTable[[#This Row],[Name]]&amp;OutputTable[[#This Row],[Type]]&amp;OutputTable[[#This Row],[Source]]</f>
        <v>Pedido CleintesPreparar orden Number OutNumber OutProcess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30</v>
      </c>
      <c r="K419" s="5" cm="1">
        <f t="array" ref="K419">IFERROR(AVERAGE(IF((OutputTable[GroupByKey]=OutputTable[[#This Row],[GroupByKey]]),(OutputTable[GroupByKey]=OutputTable[[#This Row],[GroupByKey]])*OutputTable[RecordedValue])),0)</f>
        <v>38.93333333333333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5.9765826548191505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19" s="5" cm="1">
        <f t="array" ref="O419">MIN(IF((OutputTable[GroupByKey]=OutputTable[[#This Row],[GroupByKey]]),(OutputTable[GroupByKey]=OutputTable[[#This Row],[GroupByKey]])*OutputTable[RecordedValue]))</f>
        <v>25</v>
      </c>
      <c r="P419" s="5" cm="1">
        <f t="array" ref="P419">MAX(IF((OutputTable[GroupByKey]=OutputTable[[#This Row],[GroupByKey]]),(OutputTable[GroupByKey]=OutputTable[[#This Row],[GroupByKey]])*OutputTable[RecordedValue]))</f>
        <v>49</v>
      </c>
    </row>
    <row r="420" spans="1:16" x14ac:dyDescent="0.25">
      <c r="A420" t="s">
        <v>68</v>
      </c>
      <c r="B420" t="s">
        <v>70</v>
      </c>
      <c r="C420">
        <v>17</v>
      </c>
      <c r="D420" t="s">
        <v>129</v>
      </c>
      <c r="E420" t="s">
        <v>110</v>
      </c>
      <c r="F420" t="s">
        <v>130</v>
      </c>
      <c r="G420">
        <v>31</v>
      </c>
      <c r="H420">
        <v>0</v>
      </c>
      <c r="I420" s="5" t="str">
        <f>OutputTable[[#This Row],[ProjectName]]&amp;OutputTable[[#This Row],[Name]]&amp;OutputTable[[#This Row],[Type]]&amp;OutputTable[[#This Row],[Source]]</f>
        <v>Pedido CleintesSystem.NumberOutNumber OutSystem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30</v>
      </c>
      <c r="K420" s="5" cm="1">
        <f t="array" ref="K420">IFERROR(AVERAGE(IF((OutputTable[GroupByKey]=OutputTable[[#This Row],[GroupByKey]]),(OutputTable[GroupByKey]=OutputTable[[#This Row],[GroupByKey]])*OutputTable[RecordedValue])),0)</f>
        <v>38.866666666666667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6.0840851369801694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20" s="5" cm="1">
        <f t="array" ref="O420">MIN(IF((OutputTable[GroupByKey]=OutputTable[[#This Row],[GroupByKey]]),(OutputTable[GroupByKey]=OutputTable[[#This Row],[GroupByKey]])*OutputTable[RecordedValue]))</f>
        <v>24</v>
      </c>
      <c r="P420" s="5" cm="1">
        <f t="array" ref="P420">MAX(IF((OutputTable[GroupByKey]=OutputTable[[#This Row],[GroupByKey]]),(OutputTable[GroupByKey]=OutputTable[[#This Row],[GroupByKey]])*OutputTable[RecordedValue]))</f>
        <v>49</v>
      </c>
    </row>
    <row r="421" spans="1:16" x14ac:dyDescent="0.25">
      <c r="A421" t="s">
        <v>68</v>
      </c>
      <c r="B421" t="s">
        <v>70</v>
      </c>
      <c r="C421">
        <v>17</v>
      </c>
      <c r="D421" t="s">
        <v>131</v>
      </c>
      <c r="E421" t="s">
        <v>132</v>
      </c>
      <c r="F421" t="s">
        <v>102</v>
      </c>
      <c r="G421">
        <v>32</v>
      </c>
      <c r="H421">
        <v>0</v>
      </c>
      <c r="I42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30</v>
      </c>
      <c r="K421" s="5" cm="1">
        <f t="array" ref="K421">IFERROR(AVERAGE(IF((OutputTable[GroupByKey]=OutputTable[[#This Row],[GroupByKey]]),(OutputTable[GroupByKey]=OutputTable[[#This Row],[GroupByKey]])*OutputTable[RecordedValue])),0)</f>
        <v>39.4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5.8757244601014422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421" s="5" cm="1">
        <f t="array" ref="O421">MIN(IF((OutputTable[GroupByKey]=OutputTable[[#This Row],[GroupByKey]]),(OutputTable[GroupByKey]=OutputTable[[#This Row],[GroupByKey]])*OutputTable[RecordedValue]))</f>
        <v>26</v>
      </c>
      <c r="P421" s="5" cm="1">
        <f t="array" ref="P421">MAX(IF((OutputTable[GroupByKey]=OutputTable[[#This Row],[GroupByKey]]),(OutputTable[GroupByKey]=OutputTable[[#This Row],[GroupByKey]])*OutputTable[RecordedValue]))</f>
        <v>49</v>
      </c>
    </row>
    <row r="422" spans="1:16" x14ac:dyDescent="0.25">
      <c r="A422" t="s">
        <v>68</v>
      </c>
      <c r="B422" t="s">
        <v>70</v>
      </c>
      <c r="C422">
        <v>17</v>
      </c>
      <c r="D422" t="s">
        <v>133</v>
      </c>
      <c r="E422" t="s">
        <v>134</v>
      </c>
      <c r="F422" t="s">
        <v>102</v>
      </c>
      <c r="G422">
        <v>0.39012312277500599</v>
      </c>
      <c r="H422">
        <v>0</v>
      </c>
      <c r="I42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30</v>
      </c>
      <c r="K422" s="5" cm="1">
        <f t="array" ref="K422">IFERROR(AVERAGE(IF((OutputTable[GroupByKey]=OutputTable[[#This Row],[GroupByKey]]),(OutputTable[GroupByKey]=OutputTable[[#This Row],[GroupByKey]])*OutputTable[RecordedValue])),0)</f>
        <v>0.48891840079317483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7.3627413122013347E-2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422" s="5" cm="1">
        <f t="array" ref="O422">MIN(IF((OutputTable[GroupByKey]=OutputTable[[#This Row],[GroupByKey]]),(OutputTable[GroupByKey]=OutputTable[[#This Row],[GroupByKey]])*OutputTable[RecordedValue]))</f>
        <v>0.31277577999924699</v>
      </c>
      <c r="P422" s="5" cm="1">
        <f t="array" ref="P422">MAX(IF((OutputTable[GroupByKey]=OutputTable[[#This Row],[GroupByKey]]),(OutputTable[GroupByKey]=OutputTable[[#This Row],[GroupByKey]])*OutputTable[RecordedValue]))</f>
        <v>0.60626731984831705</v>
      </c>
    </row>
    <row r="423" spans="1:16" x14ac:dyDescent="0.25">
      <c r="A423" t="s">
        <v>68</v>
      </c>
      <c r="B423" t="s">
        <v>70</v>
      </c>
      <c r="C423">
        <v>17</v>
      </c>
      <c r="D423" t="s">
        <v>135</v>
      </c>
      <c r="E423" t="s">
        <v>132</v>
      </c>
      <c r="F423" t="s">
        <v>102</v>
      </c>
      <c r="G423">
        <v>66</v>
      </c>
      <c r="H423">
        <v>0</v>
      </c>
      <c r="I42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30</v>
      </c>
      <c r="K423" s="5" cm="1">
        <f t="array" ref="K423">IFERROR(AVERAGE(IF((OutputTable[GroupByKey]=OutputTable[[#This Row],[GroupByKey]]),(OutputTable[GroupByKey]=OutputTable[[#This Row],[GroupByKey]])*OutputTable[RecordedValue])),0)</f>
        <v>79.466666666666669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12.016463801753446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423" s="5" cm="1">
        <f t="array" ref="O423">MIN(IF((OutputTable[GroupByKey]=OutputTable[[#This Row],[GroupByKey]]),(OutputTable[GroupByKey]=OutputTable[[#This Row],[GroupByKey]])*OutputTable[RecordedValue]))</f>
        <v>53</v>
      </c>
      <c r="P423" s="5" cm="1">
        <f t="array" ref="P423">MAX(IF((OutputTable[GroupByKey]=OutputTable[[#This Row],[GroupByKey]]),(OutputTable[GroupByKey]=OutputTable[[#This Row],[GroupByKey]])*OutputTable[RecordedValue]))</f>
        <v>98</v>
      </c>
    </row>
    <row r="424" spans="1:16" x14ac:dyDescent="0.25">
      <c r="A424" t="s">
        <v>68</v>
      </c>
      <c r="B424" t="s">
        <v>70</v>
      </c>
      <c r="C424">
        <v>17</v>
      </c>
      <c r="D424" t="s">
        <v>136</v>
      </c>
      <c r="E424" t="s">
        <v>134</v>
      </c>
      <c r="F424" t="s">
        <v>102</v>
      </c>
      <c r="G424">
        <v>0.238914505666034</v>
      </c>
      <c r="H424">
        <v>0</v>
      </c>
      <c r="I42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30</v>
      </c>
      <c r="K424" s="5" cm="1">
        <f t="array" ref="K424">IFERROR(AVERAGE(IF((OutputTable[GroupByKey]=OutputTable[[#This Row],[GroupByKey]]),(OutputTable[GroupByKey]=OutputTable[[#This Row],[GroupByKey]])*OutputTable[RecordedValue])),0)</f>
        <v>0.28976365927997022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4.4748273652133699E-2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424" s="5" cm="1">
        <f t="array" ref="O424">MIN(IF((OutputTable[GroupByKey]=OutputTable[[#This Row],[GroupByKey]]),(OutputTable[GroupByKey]=OutputTable[[#This Row],[GroupByKey]])*OutputTable[RecordedValue]))</f>
        <v>0.194735973294278</v>
      </c>
      <c r="P424" s="5" cm="1">
        <f t="array" ref="P424">MAX(IF((OutputTable[GroupByKey]=OutputTable[[#This Row],[GroupByKey]]),(OutputTable[GroupByKey]=OutputTable[[#This Row],[GroupByKey]])*OutputTable[RecordedValue]))</f>
        <v>0.35775345817659199</v>
      </c>
    </row>
    <row r="425" spans="1:16" x14ac:dyDescent="0.25">
      <c r="A425" t="s">
        <v>68</v>
      </c>
      <c r="B425" t="s">
        <v>70</v>
      </c>
      <c r="C425">
        <v>17</v>
      </c>
      <c r="D425" t="s">
        <v>137</v>
      </c>
      <c r="E425" t="s">
        <v>132</v>
      </c>
      <c r="F425" t="s">
        <v>102</v>
      </c>
      <c r="G425">
        <v>31</v>
      </c>
      <c r="H425">
        <v>0</v>
      </c>
      <c r="I42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30</v>
      </c>
      <c r="K425" s="5" cm="1">
        <f t="array" ref="K425">IFERROR(AVERAGE(IF((OutputTable[GroupByKey]=OutputTable[[#This Row],[GroupByKey]]),(OutputTable[GroupByKey]=OutputTable[[#This Row],[GroupByKey]])*OutputTable[RecordedValue])),0)</f>
        <v>38.93333333333333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5.9765826548191505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25" s="5" cm="1">
        <f t="array" ref="O425">MIN(IF((OutputTable[GroupByKey]=OutputTable[[#This Row],[GroupByKey]]),(OutputTable[GroupByKey]=OutputTable[[#This Row],[GroupByKey]])*OutputTable[RecordedValue]))</f>
        <v>25</v>
      </c>
      <c r="P425" s="5" cm="1">
        <f t="array" ref="P425">MAX(IF((OutputTable[GroupByKey]=OutputTable[[#This Row],[GroupByKey]]),(OutputTable[GroupByKey]=OutputTable[[#This Row],[GroupByKey]])*OutputTable[RecordedValue]))</f>
        <v>49</v>
      </c>
    </row>
    <row r="426" spans="1:16" x14ac:dyDescent="0.25">
      <c r="A426" t="s">
        <v>68</v>
      </c>
      <c r="B426" t="s">
        <v>70</v>
      </c>
      <c r="C426">
        <v>17</v>
      </c>
      <c r="D426" t="s">
        <v>138</v>
      </c>
      <c r="E426" t="s">
        <v>134</v>
      </c>
      <c r="F426" t="s">
        <v>102</v>
      </c>
      <c r="G426">
        <v>7.3600511574841807E-2</v>
      </c>
      <c r="H426">
        <v>0</v>
      </c>
      <c r="I42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30</v>
      </c>
      <c r="K426" s="5" cm="1">
        <f t="array" ref="K426">IFERROR(AVERAGE(IF((OutputTable[GroupByKey]=OutputTable[[#This Row],[GroupByKey]]),(OutputTable[GroupByKey]=OutputTable[[#This Row],[GroupByKey]])*OutputTable[RecordedValue])),0)</f>
        <v>8.2588852761398115E-2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1.3130964022328008E-2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426" s="5" cm="1">
        <f t="array" ref="O426">MIN(IF((OutputTable[GroupByKey]=OutputTable[[#This Row],[GroupByKey]]),(OutputTable[GroupByKey]=OutputTable[[#This Row],[GroupByKey]])*OutputTable[RecordedValue]))</f>
        <v>5.3757894868807901E-2</v>
      </c>
      <c r="P426" s="5" cm="1">
        <f t="array" ref="P426">MAX(IF((OutputTable[GroupByKey]=OutputTable[[#This Row],[GroupByKey]]),(OutputTable[GroupByKey]=OutputTable[[#This Row],[GroupByKey]])*OutputTable[RecordedValue]))</f>
        <v>0.103175045984152</v>
      </c>
    </row>
    <row r="427" spans="1:16" x14ac:dyDescent="0.25">
      <c r="A427" t="s">
        <v>68</v>
      </c>
      <c r="B427" t="s">
        <v>70</v>
      </c>
      <c r="C427">
        <v>18</v>
      </c>
      <c r="D427" t="s">
        <v>107</v>
      </c>
      <c r="E427" t="s">
        <v>108</v>
      </c>
      <c r="F427" t="s">
        <v>73</v>
      </c>
      <c r="G427">
        <v>132</v>
      </c>
      <c r="H427">
        <v>0</v>
      </c>
      <c r="I427" s="5" t="str">
        <f>OutputTable[[#This Row],[ProjectName]]&amp;OutputTable[[#This Row],[Name]]&amp;OutputTable[[#This Row],[Type]]&amp;OutputTable[[#This Row],[Source]]</f>
        <v>Pedido CleintesClientes.NumberInNumber InEntity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30</v>
      </c>
      <c r="K427" s="5" cm="1">
        <f t="array" ref="K427">IFERROR(AVERAGE(IF((OutputTable[GroupByKey]=OutputTable[[#This Row],[GroupByKey]]),(OutputTable[GroupByKey]=OutputTable[[#This Row],[GroupByKey]])*OutputTable[RecordedValue])),0)</f>
        <v>118.5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18.009097317936192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427" s="5" cm="1">
        <f t="array" ref="O427">MIN(IF((OutputTable[GroupByKey]=OutputTable[[#This Row],[GroupByKey]]),(OutputTable[GroupByKey]=OutputTable[[#This Row],[GroupByKey]])*OutputTable[RecordedValue]))</f>
        <v>78</v>
      </c>
      <c r="P427" s="5" cm="1">
        <f t="array" ref="P427">MAX(IF((OutputTable[GroupByKey]=OutputTable[[#This Row],[GroupByKey]]),(OutputTable[GroupByKey]=OutputTable[[#This Row],[GroupByKey]])*OutputTable[RecordedValue]))</f>
        <v>147</v>
      </c>
    </row>
    <row r="428" spans="1:16" x14ac:dyDescent="0.25">
      <c r="A428" t="s">
        <v>68</v>
      </c>
      <c r="B428" t="s">
        <v>70</v>
      </c>
      <c r="C428">
        <v>18</v>
      </c>
      <c r="D428" t="s">
        <v>109</v>
      </c>
      <c r="E428" t="s">
        <v>110</v>
      </c>
      <c r="F428" t="s">
        <v>73</v>
      </c>
      <c r="G428">
        <v>132</v>
      </c>
      <c r="H428">
        <v>0</v>
      </c>
      <c r="I428" s="5" t="str">
        <f>OutputTable[[#This Row],[ProjectName]]&amp;OutputTable[[#This Row],[Name]]&amp;OutputTable[[#This Row],[Type]]&amp;OutputTable[[#This Row],[Source]]</f>
        <v>Pedido CleintesClientes.NumberOutNumber OutEntity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30</v>
      </c>
      <c r="K428" s="5" cm="1">
        <f t="array" ref="K428">IFERROR(AVERAGE(IF((OutputTable[GroupByKey]=OutputTable[[#This Row],[GroupByKey]]),(OutputTable[GroupByKey]=OutputTable[[#This Row],[GroupByKey]])*OutputTable[RecordedValue])),0)</f>
        <v>116.6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18.252255410940514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428" s="5" cm="1">
        <f t="array" ref="O428">MIN(IF((OutputTable[GroupByKey]=OutputTable[[#This Row],[GroupByKey]]),(OutputTable[GroupByKey]=OutputTable[[#This Row],[GroupByKey]])*OutputTable[RecordedValue]))</f>
        <v>72</v>
      </c>
      <c r="P428" s="5" cm="1">
        <f t="array" ref="P428">MAX(IF((OutputTable[GroupByKey]=OutputTable[[#This Row],[GroupByKey]]),(OutputTable[GroupByKey]=OutputTable[[#This Row],[GroupByKey]])*OutputTable[RecordedValue]))</f>
        <v>147</v>
      </c>
    </row>
    <row r="429" spans="1:16" x14ac:dyDescent="0.25">
      <c r="A429" t="s">
        <v>68</v>
      </c>
      <c r="B429" t="s">
        <v>70</v>
      </c>
      <c r="C429">
        <v>18</v>
      </c>
      <c r="D429" t="s">
        <v>111</v>
      </c>
      <c r="E429" t="s">
        <v>112</v>
      </c>
      <c r="F429" t="s">
        <v>81</v>
      </c>
      <c r="G429">
        <v>22.677261638768201</v>
      </c>
      <c r="H429">
        <v>0</v>
      </c>
      <c r="I42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30</v>
      </c>
      <c r="K429" s="5" cm="1">
        <f t="array" ref="K429">IFERROR(AVERAGE(IF((OutputTable[GroupByKey]=OutputTable[[#This Row],[GroupByKey]]),(OutputTable[GroupByKey]=OutputTable[[#This Row],[GroupByKey]])*OutputTable[RecordedValue])),0)</f>
        <v>19.806808580201274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3.1624794742170024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429" s="5" cm="1">
        <f t="array" ref="O429">MIN(IF((OutputTable[GroupByKey]=OutputTable[[#This Row],[GroupByKey]]),(OutputTable[GroupByKey]=OutputTable[[#This Row],[GroupByKey]])*OutputTable[RecordedValue]))</f>
        <v>12.812268330404599</v>
      </c>
      <c r="P429" s="5" cm="1">
        <f t="array" ref="P429">MAX(IF((OutputTable[GroupByKey]=OutputTable[[#This Row],[GroupByKey]]),(OutputTable[GroupByKey]=OutputTable[[#This Row],[GroupByKey]])*OutputTable[RecordedValue]))</f>
        <v>24.762011036196501</v>
      </c>
    </row>
    <row r="430" spans="1:16" x14ac:dyDescent="0.25">
      <c r="A430" t="s">
        <v>68</v>
      </c>
      <c r="B430" t="s">
        <v>70</v>
      </c>
      <c r="C430">
        <v>18</v>
      </c>
      <c r="D430" t="s">
        <v>113</v>
      </c>
      <c r="E430" t="s">
        <v>114</v>
      </c>
      <c r="F430" t="s">
        <v>81</v>
      </c>
      <c r="G430">
        <v>0</v>
      </c>
      <c r="H430">
        <v>0</v>
      </c>
      <c r="I43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30</v>
      </c>
      <c r="K430" s="5" cm="1">
        <f t="array" ref="K430">IFERROR(AVERAGE(IF((OutputTable[GroupByKey]=OutputTable[[#This Row],[GroupByKey]]),(OutputTable[GroupByKey]=OutputTable[[#This Row],[GroupByKey]])*OutputTable[RecordedValue])),0)</f>
        <v>0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0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0" s="5" cm="1">
        <f t="array" ref="O430">MIN(IF((OutputTable[GroupByKey]=OutputTable[[#This Row],[GroupByKey]]),(OutputTable[GroupByKey]=OutputTable[[#This Row],[GroupByKey]])*OutputTable[RecordedValue]))</f>
        <v>0</v>
      </c>
      <c r="P430" s="5" cm="1">
        <f t="array" ref="P430">MAX(IF((OutputTable[GroupByKey]=OutputTable[[#This Row],[GroupByKey]]),(OutputTable[GroupByKey]=OutputTable[[#This Row],[GroupByKey]])*OutputTable[RecordedValue]))</f>
        <v>0</v>
      </c>
    </row>
    <row r="431" spans="1:16" x14ac:dyDescent="0.25">
      <c r="A431" t="s">
        <v>68</v>
      </c>
      <c r="B431" t="s">
        <v>70</v>
      </c>
      <c r="C431">
        <v>18</v>
      </c>
      <c r="D431" t="s">
        <v>115</v>
      </c>
      <c r="E431" t="s">
        <v>108</v>
      </c>
      <c r="F431" t="s">
        <v>81</v>
      </c>
      <c r="G431">
        <v>44</v>
      </c>
      <c r="H431">
        <v>0</v>
      </c>
      <c r="I43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30</v>
      </c>
      <c r="K431" s="5" cm="1">
        <f t="array" ref="K431">IFERROR(AVERAGE(IF((OutputTable[GroupByKey]=OutputTable[[#This Row],[GroupByKey]]),(OutputTable[GroupByKey]=OutputTable[[#This Row],[GroupByKey]])*OutputTable[RecordedValue])),0)</f>
        <v>38.93333333333333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5.9765826548191505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31" s="5" cm="1">
        <f t="array" ref="O431">MIN(IF((OutputTable[GroupByKey]=OutputTable[[#This Row],[GroupByKey]]),(OutputTable[GroupByKey]=OutputTable[[#This Row],[GroupByKey]])*OutputTable[RecordedValue]))</f>
        <v>25</v>
      </c>
      <c r="P431" s="5" cm="1">
        <f t="array" ref="P431">MAX(IF((OutputTable[GroupByKey]=OutputTable[[#This Row],[GroupByKey]]),(OutputTable[GroupByKey]=OutputTable[[#This Row],[GroupByKey]])*OutputTable[RecordedValue]))</f>
        <v>49</v>
      </c>
    </row>
    <row r="432" spans="1:16" x14ac:dyDescent="0.25">
      <c r="A432" t="s">
        <v>68</v>
      </c>
      <c r="B432" t="s">
        <v>70</v>
      </c>
      <c r="C432">
        <v>18</v>
      </c>
      <c r="D432" t="s">
        <v>116</v>
      </c>
      <c r="E432" t="s">
        <v>110</v>
      </c>
      <c r="F432" t="s">
        <v>81</v>
      </c>
      <c r="G432">
        <v>44</v>
      </c>
      <c r="H432">
        <v>0</v>
      </c>
      <c r="I4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30</v>
      </c>
      <c r="K432" s="5" cm="1">
        <f t="array" ref="K432">IFERROR(AVERAGE(IF((OutputTable[GroupByKey]=OutputTable[[#This Row],[GroupByKey]]),(OutputTable[GroupByKey]=OutputTable[[#This Row],[GroupByKey]])*OutputTable[RecordedValue])),0)</f>
        <v>38.866666666666667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6.0840851369801694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32" s="5" cm="1">
        <f t="array" ref="O432">MIN(IF((OutputTable[GroupByKey]=OutputTable[[#This Row],[GroupByKey]]),(OutputTable[GroupByKey]=OutputTable[[#This Row],[GroupByKey]])*OutputTable[RecordedValue]))</f>
        <v>24</v>
      </c>
      <c r="P432" s="5" cm="1">
        <f t="array" ref="P432">MAX(IF((OutputTable[GroupByKey]=OutputTable[[#This Row],[GroupByKey]]),(OutputTable[GroupByKey]=OutputTable[[#This Row],[GroupByKey]])*OutputTable[RecordedValue]))</f>
        <v>49</v>
      </c>
    </row>
    <row r="433" spans="1:16" x14ac:dyDescent="0.25">
      <c r="A433" t="s">
        <v>68</v>
      </c>
      <c r="B433" t="s">
        <v>70</v>
      </c>
      <c r="C433">
        <v>18</v>
      </c>
      <c r="D433" t="s">
        <v>117</v>
      </c>
      <c r="E433" t="s">
        <v>112</v>
      </c>
      <c r="F433" t="s">
        <v>81</v>
      </c>
      <c r="G433">
        <v>41.113247898873503</v>
      </c>
      <c r="H433">
        <v>0</v>
      </c>
      <c r="I433" s="5" t="str">
        <f>OutputTable[[#This Row],[ProjectName]]&amp;OutputTable[[#This Row],[Name]]&amp;OutputTable[[#This Row],[Type]]&amp;OutputTable[[#This Row],[Source]]</f>
        <v>Pedido CleintesOrdnes Accum VA TimeAccum VA TimeProcess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30</v>
      </c>
      <c r="K433" s="5" cm="1">
        <f t="array" ref="K433">IFERROR(AVERAGE(IF((OutputTable[GroupByKey]=OutputTable[[#This Row],[GroupByKey]]),(OutputTable[GroupByKey]=OutputTable[[#This Row],[GroupByKey]])*OutputTable[RecordedValue])),0)</f>
        <v>39.878126992056487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6.1068580319474277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433" s="5" cm="1">
        <f t="array" ref="O433">MIN(IF((OutputTable[GroupByKey]=OutputTable[[#This Row],[GroupByKey]]),(OutputTable[GroupByKey]=OutputTable[[#This Row],[GroupByKey]])*OutputTable[RecordedValue]))</f>
        <v>26.106281767804099</v>
      </c>
      <c r="P433" s="5" cm="1">
        <f t="array" ref="P433">MAX(IF((OutputTable[GroupByKey]=OutputTable[[#This Row],[GroupByKey]]),(OutputTable[GroupByKey]=OutputTable[[#This Row],[GroupByKey]])*OutputTable[RecordedValue]))</f>
        <v>48.706388790541098</v>
      </c>
    </row>
    <row r="434" spans="1:16" x14ac:dyDescent="0.25">
      <c r="A434" t="s">
        <v>68</v>
      </c>
      <c r="B434" t="s">
        <v>70</v>
      </c>
      <c r="C434">
        <v>18</v>
      </c>
      <c r="D434" t="s">
        <v>118</v>
      </c>
      <c r="E434" t="s">
        <v>114</v>
      </c>
      <c r="F434" t="s">
        <v>81</v>
      </c>
      <c r="G434">
        <v>18.6415150146745</v>
      </c>
      <c r="H434">
        <v>0</v>
      </c>
      <c r="I4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30</v>
      </c>
      <c r="K434" s="5" cm="1">
        <f t="array" ref="K434">IFERROR(AVERAGE(IF((OutputTable[GroupByKey]=OutputTable[[#This Row],[GroupByKey]]),(OutputTable[GroupByKey]=OutputTable[[#This Row],[GroupByKey]])*OutputTable[RecordedValue])),0)</f>
        <v>7.9804799821754404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4.8950382198155014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434" s="5" cm="1">
        <f t="array" ref="O434">MIN(IF((OutputTable[GroupByKey]=OutputTable[[#This Row],[GroupByKey]]),(OutputTable[GroupByKey]=OutputTable[[#This Row],[GroupByKey]])*OutputTable[RecordedValue]))</f>
        <v>0</v>
      </c>
      <c r="P434" s="5" cm="1">
        <f t="array" ref="P434">MAX(IF((OutputTable[GroupByKey]=OutputTable[[#This Row],[GroupByKey]]),(OutputTable[GroupByKey]=OutputTable[[#This Row],[GroupByKey]])*OutputTable[RecordedValue]))</f>
        <v>18.843855117811401</v>
      </c>
    </row>
    <row r="435" spans="1:16" x14ac:dyDescent="0.25">
      <c r="A435" t="s">
        <v>68</v>
      </c>
      <c r="B435" t="s">
        <v>70</v>
      </c>
      <c r="C435">
        <v>18</v>
      </c>
      <c r="D435" t="s">
        <v>119</v>
      </c>
      <c r="E435" t="s">
        <v>108</v>
      </c>
      <c r="F435" t="s">
        <v>81</v>
      </c>
      <c r="G435">
        <v>44</v>
      </c>
      <c r="H435">
        <v>0</v>
      </c>
      <c r="I435" s="5" t="str">
        <f>OutputTable[[#This Row],[ProjectName]]&amp;OutputTable[[#This Row],[Name]]&amp;OutputTable[[#This Row],[Type]]&amp;OutputTable[[#This Row],[Source]]</f>
        <v>Pedido CleintesOrdnes Number InNumber InProcess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30</v>
      </c>
      <c r="K435" s="5" cm="1">
        <f t="array" ref="K435">IFERROR(AVERAGE(IF((OutputTable[GroupByKey]=OutputTable[[#This Row],[GroupByKey]]),(OutputTable[GroupByKey]=OutputTable[[#This Row],[GroupByKey]])*OutputTable[RecordedValue])),0)</f>
        <v>39.9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6.0648791101463475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435" s="5" cm="1">
        <f t="array" ref="O435">MIN(IF((OutputTable[GroupByKey]=OutputTable[[#This Row],[GroupByKey]]),(OutputTable[GroupByKey]=OutputTable[[#This Row],[GroupByKey]])*OutputTable[RecordedValue]))</f>
        <v>27</v>
      </c>
      <c r="P435" s="5" cm="1">
        <f t="array" ref="P435">MAX(IF((OutputTable[GroupByKey]=OutputTable[[#This Row],[GroupByKey]]),(OutputTable[GroupByKey]=OutputTable[[#This Row],[GroupByKey]])*OutputTable[RecordedValue]))</f>
        <v>49</v>
      </c>
    </row>
    <row r="436" spans="1:16" x14ac:dyDescent="0.25">
      <c r="A436" t="s">
        <v>68</v>
      </c>
      <c r="B436" t="s">
        <v>70</v>
      </c>
      <c r="C436">
        <v>18</v>
      </c>
      <c r="D436" t="s">
        <v>120</v>
      </c>
      <c r="E436" t="s">
        <v>110</v>
      </c>
      <c r="F436" t="s">
        <v>81</v>
      </c>
      <c r="G436">
        <v>44</v>
      </c>
      <c r="H436">
        <v>0</v>
      </c>
      <c r="I436" s="5" t="str">
        <f>OutputTable[[#This Row],[ProjectName]]&amp;OutputTable[[#This Row],[Name]]&amp;OutputTable[[#This Row],[Type]]&amp;OutputTable[[#This Row],[Source]]</f>
        <v>Pedido CleintesOrdnes Number OutNumber OutProcess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30</v>
      </c>
      <c r="K436" s="5" cm="1">
        <f t="array" ref="K436">IFERROR(AVERAGE(IF((OutputTable[GroupByKey]=OutputTable[[#This Row],[GroupByKey]]),(OutputTable[GroupByKey]=OutputTable[[#This Row],[GroupByKey]])*OutputTable[RecordedValue])),0)</f>
        <v>39.666666666666664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6.0477030882540914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36" s="5" cm="1">
        <f t="array" ref="O436">MIN(IF((OutputTable[GroupByKey]=OutputTable[[#This Row],[GroupByKey]]),(OutputTable[GroupByKey]=OutputTable[[#This Row],[GroupByKey]])*OutputTable[RecordedValue]))</f>
        <v>26</v>
      </c>
      <c r="P436" s="5" cm="1">
        <f t="array" ref="P436">MAX(IF((OutputTable[GroupByKey]=OutputTable[[#This Row],[GroupByKey]]),(OutputTable[GroupByKey]=OutputTable[[#This Row],[GroupByKey]])*OutputTable[RecordedValue]))</f>
        <v>49</v>
      </c>
    </row>
    <row r="437" spans="1:16" x14ac:dyDescent="0.25">
      <c r="A437" t="s">
        <v>68</v>
      </c>
      <c r="B437" t="s">
        <v>70</v>
      </c>
      <c r="C437">
        <v>18</v>
      </c>
      <c r="D437" t="s">
        <v>121</v>
      </c>
      <c r="E437" t="s">
        <v>112</v>
      </c>
      <c r="F437" t="s">
        <v>81</v>
      </c>
      <c r="G437">
        <v>33.706035931026904</v>
      </c>
      <c r="H437">
        <v>0</v>
      </c>
      <c r="I437" s="5" t="str">
        <f>OutputTable[[#This Row],[ProjectName]]&amp;OutputTable[[#This Row],[Name]]&amp;OutputTable[[#This Row],[Type]]&amp;OutputTable[[#This Row],[Source]]</f>
        <v>Pedido CleintesPago Accum VA TimeAccum VA TimeProcess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30</v>
      </c>
      <c r="K437" s="5" cm="1">
        <f t="array" ref="K437">IFERROR(AVERAGE(IF((OutputTable[GroupByKey]=OutputTable[[#This Row],[GroupByKey]]),(OutputTable[GroupByKey]=OutputTable[[#This Row],[GroupByKey]])*OutputTable[RecordedValue])),0)</f>
        <v>29.486262713858675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4.747176664010901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437" s="5" cm="1">
        <f t="array" ref="O437">MIN(IF((OutputTable[GroupByKey]=OutputTable[[#This Row],[GroupByKey]]),(OutputTable[GroupByKey]=OutputTable[[#This Row],[GroupByKey]])*OutputTable[RecordedValue]))</f>
        <v>19.573210250889101</v>
      </c>
      <c r="P437" s="5" cm="1">
        <f t="array" ref="P437">MAX(IF((OutputTable[GroupByKey]=OutputTable[[#This Row],[GroupByKey]]),(OutputTable[GroupByKey]=OutputTable[[#This Row],[GroupByKey]])*OutputTable[RecordedValue]))</f>
        <v>37.056974462114901</v>
      </c>
    </row>
    <row r="438" spans="1:16" x14ac:dyDescent="0.25">
      <c r="A438" t="s">
        <v>68</v>
      </c>
      <c r="B438" t="s">
        <v>70</v>
      </c>
      <c r="C438">
        <v>18</v>
      </c>
      <c r="D438" t="s">
        <v>122</v>
      </c>
      <c r="E438" t="s">
        <v>114</v>
      </c>
      <c r="F438" t="s">
        <v>81</v>
      </c>
      <c r="G438">
        <v>32.770863925850499</v>
      </c>
      <c r="H438">
        <v>0</v>
      </c>
      <c r="I4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30</v>
      </c>
      <c r="K438" s="5" cm="1">
        <f t="array" ref="K438">IFERROR(AVERAGE(IF((OutputTable[GroupByKey]=OutputTable[[#This Row],[GroupByKey]]),(OutputTable[GroupByKey]=OutputTable[[#This Row],[GroupByKey]])*OutputTable[RecordedValue])),0)</f>
        <v>13.025761997568024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7.8467935605388783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438" s="5" cm="1">
        <f t="array" ref="O438">MIN(IF((OutputTable[GroupByKey]=OutputTable[[#This Row],[GroupByKey]]),(OutputTable[GroupByKey]=OutputTable[[#This Row],[GroupByKey]])*OutputTable[RecordedValue]))</f>
        <v>0</v>
      </c>
      <c r="P438" s="5" cm="1">
        <f t="array" ref="P438">MAX(IF((OutputTable[GroupByKey]=OutputTable[[#This Row],[GroupByKey]]),(OutputTable[GroupByKey]=OutputTable[[#This Row],[GroupByKey]])*OutputTable[RecordedValue]))</f>
        <v>32.770863925850499</v>
      </c>
    </row>
    <row r="439" spans="1:16" x14ac:dyDescent="0.25">
      <c r="A439" t="s">
        <v>68</v>
      </c>
      <c r="B439" t="s">
        <v>70</v>
      </c>
      <c r="C439">
        <v>18</v>
      </c>
      <c r="D439" t="s">
        <v>123</v>
      </c>
      <c r="E439" t="s">
        <v>108</v>
      </c>
      <c r="F439" t="s">
        <v>81</v>
      </c>
      <c r="G439">
        <v>44</v>
      </c>
      <c r="H439">
        <v>0</v>
      </c>
      <c r="I439" s="5" t="str">
        <f>OutputTable[[#This Row],[ProjectName]]&amp;OutputTable[[#This Row],[Name]]&amp;OutputTable[[#This Row],[Type]]&amp;OutputTable[[#This Row],[Source]]</f>
        <v>Pedido CleintesPago Number InNumber InProcess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30</v>
      </c>
      <c r="K439" s="5" cm="1">
        <f t="array" ref="K439">IFERROR(AVERAGE(IF((OutputTable[GroupByKey]=OutputTable[[#This Row],[GroupByKey]]),(OutputTable[GroupByKey]=OutputTable[[#This Row],[GroupByKey]])*OutputTable[RecordedValue])),0)</f>
        <v>39.666666666666664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6.0477030882540914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39" s="5" cm="1">
        <f t="array" ref="O439">MIN(IF((OutputTable[GroupByKey]=OutputTable[[#This Row],[GroupByKey]]),(OutputTable[GroupByKey]=OutputTable[[#This Row],[GroupByKey]])*OutputTable[RecordedValue]))</f>
        <v>26</v>
      </c>
      <c r="P439" s="5" cm="1">
        <f t="array" ref="P439">MAX(IF((OutputTable[GroupByKey]=OutputTable[[#This Row],[GroupByKey]]),(OutputTable[GroupByKey]=OutputTable[[#This Row],[GroupByKey]])*OutputTable[RecordedValue]))</f>
        <v>49</v>
      </c>
    </row>
    <row r="440" spans="1:16" x14ac:dyDescent="0.25">
      <c r="A440" t="s">
        <v>68</v>
      </c>
      <c r="B440" t="s">
        <v>70</v>
      </c>
      <c r="C440">
        <v>18</v>
      </c>
      <c r="D440" t="s">
        <v>124</v>
      </c>
      <c r="E440" t="s">
        <v>110</v>
      </c>
      <c r="F440" t="s">
        <v>81</v>
      </c>
      <c r="G440">
        <v>44</v>
      </c>
      <c r="H440">
        <v>0</v>
      </c>
      <c r="I440" s="5" t="str">
        <f>OutputTable[[#This Row],[ProjectName]]&amp;OutputTable[[#This Row],[Name]]&amp;OutputTable[[#This Row],[Type]]&amp;OutputTable[[#This Row],[Source]]</f>
        <v>Pedido CleintesPago Number OutNumber OutProcess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30</v>
      </c>
      <c r="K440" s="5" cm="1">
        <f t="array" ref="K440">IFERROR(AVERAGE(IF((OutputTable[GroupByKey]=OutputTable[[#This Row],[GroupByKey]]),(OutputTable[GroupByKey]=OutputTable[[#This Row],[GroupByKey]])*OutputTable[RecordedValue])),0)</f>
        <v>39.43333333333333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5.9171482724502509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440" s="5" cm="1">
        <f t="array" ref="O440">MIN(IF((OutputTable[GroupByKey]=OutputTable[[#This Row],[GroupByKey]]),(OutputTable[GroupByKey]=OutputTable[[#This Row],[GroupByKey]])*OutputTable[RecordedValue]))</f>
        <v>26</v>
      </c>
      <c r="P440" s="5" cm="1">
        <f t="array" ref="P440">MAX(IF((OutputTable[GroupByKey]=OutputTable[[#This Row],[GroupByKey]]),(OutputTable[GroupByKey]=OutputTable[[#This Row],[GroupByKey]])*OutputTable[RecordedValue]))</f>
        <v>49</v>
      </c>
    </row>
    <row r="441" spans="1:16" x14ac:dyDescent="0.25">
      <c r="A441" t="s">
        <v>68</v>
      </c>
      <c r="B441" t="s">
        <v>70</v>
      </c>
      <c r="C441">
        <v>18</v>
      </c>
      <c r="D441" t="s">
        <v>125</v>
      </c>
      <c r="E441" t="s">
        <v>112</v>
      </c>
      <c r="F441" t="s">
        <v>81</v>
      </c>
      <c r="G441">
        <v>133.28124535140699</v>
      </c>
      <c r="H441">
        <v>0</v>
      </c>
      <c r="I4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30</v>
      </c>
      <c r="K441" s="5" cm="1">
        <f t="array" ref="K441">IFERROR(AVERAGE(IF((OutputTable[GroupByKey]=OutputTable[[#This Row],[GroupByKey]]),(OutputTable[GroupByKey]=OutputTable[[#This Row],[GroupByKey]])*OutputTable[RecordedValue])),0)</f>
        <v>116.64263458387505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17.825477946659205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441" s="5" cm="1">
        <f t="array" ref="O441">MIN(IF((OutputTable[GroupByKey]=OutputTable[[#This Row],[GroupByKey]]),(OutputTable[GroupByKey]=OutputTable[[#This Row],[GroupByKey]])*OutputTable[RecordedValue]))</f>
        <v>74.976560761710004</v>
      </c>
      <c r="P441" s="5" cm="1">
        <f t="array" ref="P441">MAX(IF((OutputTable[GroupByKey]=OutputTable[[#This Row],[GroupByKey]]),(OutputTable[GroupByKey]=OutputTable[[#This Row],[GroupByKey]])*OutputTable[RecordedValue]))</f>
        <v>145.504156763596</v>
      </c>
    </row>
    <row r="442" spans="1:16" x14ac:dyDescent="0.25">
      <c r="A442" t="s">
        <v>68</v>
      </c>
      <c r="B442" t="s">
        <v>70</v>
      </c>
      <c r="C442">
        <v>18</v>
      </c>
      <c r="D442" t="s">
        <v>126</v>
      </c>
      <c r="E442" t="s">
        <v>114</v>
      </c>
      <c r="F442" t="s">
        <v>81</v>
      </c>
      <c r="G442">
        <v>94.9142929398908</v>
      </c>
      <c r="H442">
        <v>0</v>
      </c>
      <c r="I4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30</v>
      </c>
      <c r="K442" s="5" cm="1">
        <f t="array" ref="K442">IFERROR(AVERAGE(IF((OutputTable[GroupByKey]=OutputTable[[#This Row],[GroupByKey]]),(OutputTable[GroupByKey]=OutputTable[[#This Row],[GroupByKey]])*OutputTable[RecordedValue])),0)</f>
        <v>39.900972800228722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22.922906975864144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442" s="5" cm="1">
        <f t="array" ref="O442">MIN(IF((OutputTable[GroupByKey]=OutputTable[[#This Row],[GroupByKey]]),(OutputTable[GroupByKey]=OutputTable[[#This Row],[GroupByKey]])*OutputTable[RecordedValue]))</f>
        <v>2.1708788192608899</v>
      </c>
      <c r="P442" s="5" cm="1">
        <f t="array" ref="P442">MAX(IF((OutputTable[GroupByKey]=OutputTable[[#This Row],[GroupByKey]]),(OutputTable[GroupByKey]=OutputTable[[#This Row],[GroupByKey]])*OutputTable[RecordedValue]))</f>
        <v>94.9142929398908</v>
      </c>
    </row>
    <row r="443" spans="1:16" x14ac:dyDescent="0.25">
      <c r="A443" t="s">
        <v>68</v>
      </c>
      <c r="B443" t="s">
        <v>70</v>
      </c>
      <c r="C443">
        <v>18</v>
      </c>
      <c r="D443" t="s">
        <v>127</v>
      </c>
      <c r="E443" t="s">
        <v>108</v>
      </c>
      <c r="F443" t="s">
        <v>81</v>
      </c>
      <c r="G443">
        <v>44</v>
      </c>
      <c r="H443">
        <v>0</v>
      </c>
      <c r="I443" s="5" t="str">
        <f>OutputTable[[#This Row],[ProjectName]]&amp;OutputTable[[#This Row],[Name]]&amp;OutputTable[[#This Row],[Type]]&amp;OutputTable[[#This Row],[Source]]</f>
        <v>Pedido CleintesPreparar orden Number InNumber InProcess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30</v>
      </c>
      <c r="K443" s="5" cm="1">
        <f t="array" ref="K443">IFERROR(AVERAGE(IF((OutputTable[GroupByKey]=OutputTable[[#This Row],[GroupByKey]]),(OutputTable[GroupByKey]=OutputTable[[#This Row],[GroupByKey]])*OutputTable[RecordedValue])),0)</f>
        <v>39.666666666666664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6.0477030882540914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43" s="5" cm="1">
        <f t="array" ref="O443">MIN(IF((OutputTable[GroupByKey]=OutputTable[[#This Row],[GroupByKey]]),(OutputTable[GroupByKey]=OutputTable[[#This Row],[GroupByKey]])*OutputTable[RecordedValue]))</f>
        <v>26</v>
      </c>
      <c r="P443" s="5" cm="1">
        <f t="array" ref="P443">MAX(IF((OutputTable[GroupByKey]=OutputTable[[#This Row],[GroupByKey]]),(OutputTable[GroupByKey]=OutputTable[[#This Row],[GroupByKey]])*OutputTable[RecordedValue]))</f>
        <v>49</v>
      </c>
    </row>
    <row r="444" spans="1:16" x14ac:dyDescent="0.25">
      <c r="A444" t="s">
        <v>68</v>
      </c>
      <c r="B444" t="s">
        <v>70</v>
      </c>
      <c r="C444">
        <v>18</v>
      </c>
      <c r="D444" t="s">
        <v>128</v>
      </c>
      <c r="E444" t="s">
        <v>110</v>
      </c>
      <c r="F444" t="s">
        <v>81</v>
      </c>
      <c r="G444">
        <v>44</v>
      </c>
      <c r="H444">
        <v>0</v>
      </c>
      <c r="I4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30</v>
      </c>
      <c r="K444" s="5" cm="1">
        <f t="array" ref="K444">IFERROR(AVERAGE(IF((OutputTable[GroupByKey]=OutputTable[[#This Row],[GroupByKey]]),(OutputTable[GroupByKey]=OutputTable[[#This Row],[GroupByKey]])*OutputTable[RecordedValue])),0)</f>
        <v>38.93333333333333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5.9765826548191505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44" s="5" cm="1">
        <f t="array" ref="O444">MIN(IF((OutputTable[GroupByKey]=OutputTable[[#This Row],[GroupByKey]]),(OutputTable[GroupByKey]=OutputTable[[#This Row],[GroupByKey]])*OutputTable[RecordedValue]))</f>
        <v>25</v>
      </c>
      <c r="P444" s="5" cm="1">
        <f t="array" ref="P444">MAX(IF((OutputTable[GroupByKey]=OutputTable[[#This Row],[GroupByKey]]),(OutputTable[GroupByKey]=OutputTable[[#This Row],[GroupByKey]])*OutputTable[RecordedValue]))</f>
        <v>49</v>
      </c>
    </row>
    <row r="445" spans="1:16" x14ac:dyDescent="0.25">
      <c r="A445" t="s">
        <v>68</v>
      </c>
      <c r="B445" t="s">
        <v>70</v>
      </c>
      <c r="C445">
        <v>18</v>
      </c>
      <c r="D445" t="s">
        <v>129</v>
      </c>
      <c r="E445" t="s">
        <v>110</v>
      </c>
      <c r="F445" t="s">
        <v>130</v>
      </c>
      <c r="G445">
        <v>44</v>
      </c>
      <c r="H445">
        <v>0</v>
      </c>
      <c r="I445" s="5" t="str">
        <f>OutputTable[[#This Row],[ProjectName]]&amp;OutputTable[[#This Row],[Name]]&amp;OutputTable[[#This Row],[Type]]&amp;OutputTable[[#This Row],[Source]]</f>
        <v>Pedido CleintesSystem.NumberOutNumber OutSystem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30</v>
      </c>
      <c r="K445" s="5" cm="1">
        <f t="array" ref="K445">IFERROR(AVERAGE(IF((OutputTable[GroupByKey]=OutputTable[[#This Row],[GroupByKey]]),(OutputTable[GroupByKey]=OutputTable[[#This Row],[GroupByKey]])*OutputTable[RecordedValue])),0)</f>
        <v>38.866666666666667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6.0840851369801694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45" s="5" cm="1">
        <f t="array" ref="O445">MIN(IF((OutputTable[GroupByKey]=OutputTable[[#This Row],[GroupByKey]]),(OutputTable[GroupByKey]=OutputTable[[#This Row],[GroupByKey]])*OutputTable[RecordedValue]))</f>
        <v>24</v>
      </c>
      <c r="P445" s="5" cm="1">
        <f t="array" ref="P445">MAX(IF((OutputTable[GroupByKey]=OutputTable[[#This Row],[GroupByKey]]),(OutputTable[GroupByKey]=OutputTable[[#This Row],[GroupByKey]])*OutputTable[RecordedValue]))</f>
        <v>49</v>
      </c>
    </row>
    <row r="446" spans="1:16" x14ac:dyDescent="0.25">
      <c r="A446" t="s">
        <v>68</v>
      </c>
      <c r="B446" t="s">
        <v>70</v>
      </c>
      <c r="C446">
        <v>18</v>
      </c>
      <c r="D446" t="s">
        <v>131</v>
      </c>
      <c r="E446" t="s">
        <v>132</v>
      </c>
      <c r="F446" t="s">
        <v>102</v>
      </c>
      <c r="G446">
        <v>44</v>
      </c>
      <c r="H446">
        <v>0</v>
      </c>
      <c r="I4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30</v>
      </c>
      <c r="K446" s="5" cm="1">
        <f t="array" ref="K446">IFERROR(AVERAGE(IF((OutputTable[GroupByKey]=OutputTable[[#This Row],[GroupByKey]]),(OutputTable[GroupByKey]=OutputTable[[#This Row],[GroupByKey]])*OutputTable[RecordedValue])),0)</f>
        <v>39.4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5.8757244601014422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446" s="5" cm="1">
        <f t="array" ref="O446">MIN(IF((OutputTable[GroupByKey]=OutputTable[[#This Row],[GroupByKey]]),(OutputTable[GroupByKey]=OutputTable[[#This Row],[GroupByKey]])*OutputTable[RecordedValue]))</f>
        <v>26</v>
      </c>
      <c r="P446" s="5" cm="1">
        <f t="array" ref="P446">MAX(IF((OutputTable[GroupByKey]=OutputTable[[#This Row],[GroupByKey]]),(OutputTable[GroupByKey]=OutputTable[[#This Row],[GroupByKey]])*OutputTable[RecordedValue]))</f>
        <v>49</v>
      </c>
    </row>
    <row r="447" spans="1:16" x14ac:dyDescent="0.25">
      <c r="A447" t="s">
        <v>68</v>
      </c>
      <c r="B447" t="s">
        <v>70</v>
      </c>
      <c r="C447">
        <v>18</v>
      </c>
      <c r="D447" t="s">
        <v>133</v>
      </c>
      <c r="E447" t="s">
        <v>134</v>
      </c>
      <c r="F447" t="s">
        <v>102</v>
      </c>
      <c r="G447">
        <v>0.555338522297531</v>
      </c>
      <c r="H447">
        <v>0</v>
      </c>
      <c r="I4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30</v>
      </c>
      <c r="K447" s="5" cm="1">
        <f t="array" ref="K447">IFERROR(AVERAGE(IF((OutputTable[GroupByKey]=OutputTable[[#This Row],[GroupByKey]]),(OutputTable[GroupByKey]=OutputTable[[#This Row],[GroupByKey]])*OutputTable[RecordedValue])),0)</f>
        <v>0.48891840079317483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7.3627413122013347E-2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447" s="5" cm="1">
        <f t="array" ref="O447">MIN(IF((OutputTable[GroupByKey]=OutputTable[[#This Row],[GroupByKey]]),(OutputTable[GroupByKey]=OutputTable[[#This Row],[GroupByKey]])*OutputTable[RecordedValue]))</f>
        <v>0.31277577999924699</v>
      </c>
      <c r="P447" s="5" cm="1">
        <f t="array" ref="P447">MAX(IF((OutputTable[GroupByKey]=OutputTable[[#This Row],[GroupByKey]]),(OutputTable[GroupByKey]=OutputTable[[#This Row],[GroupByKey]])*OutputTable[RecordedValue]))</f>
        <v>0.60626731984831705</v>
      </c>
    </row>
    <row r="448" spans="1:16" x14ac:dyDescent="0.25">
      <c r="A448" t="s">
        <v>68</v>
      </c>
      <c r="B448" t="s">
        <v>70</v>
      </c>
      <c r="C448">
        <v>18</v>
      </c>
      <c r="D448" t="s">
        <v>135</v>
      </c>
      <c r="E448" t="s">
        <v>132</v>
      </c>
      <c r="F448" t="s">
        <v>102</v>
      </c>
      <c r="G448">
        <v>88</v>
      </c>
      <c r="H448">
        <v>0</v>
      </c>
      <c r="I4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30</v>
      </c>
      <c r="K448" s="5" cm="1">
        <f t="array" ref="K448">IFERROR(AVERAGE(IF((OutputTable[GroupByKey]=OutputTable[[#This Row],[GroupByKey]]),(OutputTable[GroupByKey]=OutputTable[[#This Row],[GroupByKey]])*OutputTable[RecordedValue])),0)</f>
        <v>79.466666666666669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12.016463801753446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448" s="5" cm="1">
        <f t="array" ref="O448">MIN(IF((OutputTable[GroupByKey]=OutputTable[[#This Row],[GroupByKey]]),(OutputTable[GroupByKey]=OutputTable[[#This Row],[GroupByKey]])*OutputTable[RecordedValue]))</f>
        <v>53</v>
      </c>
      <c r="P448" s="5" cm="1">
        <f t="array" ref="P448">MAX(IF((OutputTable[GroupByKey]=OutputTable[[#This Row],[GroupByKey]]),(OutputTable[GroupByKey]=OutputTable[[#This Row],[GroupByKey]])*OutputTable[RecordedValue]))</f>
        <v>98</v>
      </c>
    </row>
    <row r="449" spans="1:16" x14ac:dyDescent="0.25">
      <c r="A449" t="s">
        <v>68</v>
      </c>
      <c r="B449" t="s">
        <v>70</v>
      </c>
      <c r="C449">
        <v>18</v>
      </c>
      <c r="D449" t="s">
        <v>136</v>
      </c>
      <c r="E449" t="s">
        <v>134</v>
      </c>
      <c r="F449" t="s">
        <v>102</v>
      </c>
      <c r="G449">
        <v>0.31174701595791798</v>
      </c>
      <c r="H449">
        <v>0</v>
      </c>
      <c r="I4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30</v>
      </c>
      <c r="K449" s="5" cm="1">
        <f t="array" ref="K449">IFERROR(AVERAGE(IF((OutputTable[GroupByKey]=OutputTable[[#This Row],[GroupByKey]]),(OutputTable[GroupByKey]=OutputTable[[#This Row],[GroupByKey]])*OutputTable[RecordedValue])),0)</f>
        <v>0.28976365927997022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4.4748273652133699E-2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449" s="5" cm="1">
        <f t="array" ref="O449">MIN(IF((OutputTable[GroupByKey]=OutputTable[[#This Row],[GroupByKey]]),(OutputTable[GroupByKey]=OutputTable[[#This Row],[GroupByKey]])*OutputTable[RecordedValue]))</f>
        <v>0.194735973294278</v>
      </c>
      <c r="P449" s="5" cm="1">
        <f t="array" ref="P449">MAX(IF((OutputTable[GroupByKey]=OutputTable[[#This Row],[GroupByKey]]),(OutputTable[GroupByKey]=OutputTable[[#This Row],[GroupByKey]])*OutputTable[RecordedValue]))</f>
        <v>0.35775345817659199</v>
      </c>
    </row>
    <row r="450" spans="1:16" x14ac:dyDescent="0.25">
      <c r="A450" t="s">
        <v>68</v>
      </c>
      <c r="B450" t="s">
        <v>70</v>
      </c>
      <c r="C450">
        <v>18</v>
      </c>
      <c r="D450" t="s">
        <v>137</v>
      </c>
      <c r="E450" t="s">
        <v>132</v>
      </c>
      <c r="F450" t="s">
        <v>102</v>
      </c>
      <c r="G450">
        <v>44</v>
      </c>
      <c r="H450">
        <v>0</v>
      </c>
      <c r="I4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30</v>
      </c>
      <c r="K450" s="5" cm="1">
        <f t="array" ref="K450">IFERROR(AVERAGE(IF((OutputTable[GroupByKey]=OutputTable[[#This Row],[GroupByKey]]),(OutputTable[GroupByKey]=OutputTable[[#This Row],[GroupByKey]])*OutputTable[RecordedValue])),0)</f>
        <v>38.93333333333333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5.9765826548191505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50" s="5" cm="1">
        <f t="array" ref="O450">MIN(IF((OutputTable[GroupByKey]=OutputTable[[#This Row],[GroupByKey]]),(OutputTable[GroupByKey]=OutputTable[[#This Row],[GroupByKey]])*OutputTable[RecordedValue]))</f>
        <v>25</v>
      </c>
      <c r="P450" s="5" cm="1">
        <f t="array" ref="P450">MAX(IF((OutputTable[GroupByKey]=OutputTable[[#This Row],[GroupByKey]]),(OutputTable[GroupByKey]=OutputTable[[#This Row],[GroupByKey]])*OutputTable[RecordedValue]))</f>
        <v>49</v>
      </c>
    </row>
    <row r="451" spans="1:16" x14ac:dyDescent="0.25">
      <c r="A451" t="s">
        <v>68</v>
      </c>
      <c r="B451" t="s">
        <v>70</v>
      </c>
      <c r="C451">
        <v>18</v>
      </c>
      <c r="D451" t="s">
        <v>138</v>
      </c>
      <c r="E451" t="s">
        <v>134</v>
      </c>
      <c r="F451" t="s">
        <v>102</v>
      </c>
      <c r="G451">
        <v>9.44885901615342E-2</v>
      </c>
      <c r="H451">
        <v>0</v>
      </c>
      <c r="I4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30</v>
      </c>
      <c r="K451" s="5" cm="1">
        <f t="array" ref="K451">IFERROR(AVERAGE(IF((OutputTable[GroupByKey]=OutputTable[[#This Row],[GroupByKey]]),(OutputTable[GroupByKey]=OutputTable[[#This Row],[GroupByKey]])*OutputTable[RecordedValue])),0)</f>
        <v>8.2588852761398115E-2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1.3130964022328008E-2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451" s="5" cm="1">
        <f t="array" ref="O451">MIN(IF((OutputTable[GroupByKey]=OutputTable[[#This Row],[GroupByKey]]),(OutputTable[GroupByKey]=OutputTable[[#This Row],[GroupByKey]])*OutputTable[RecordedValue]))</f>
        <v>5.3757894868807901E-2</v>
      </c>
      <c r="P451" s="5" cm="1">
        <f t="array" ref="P451">MAX(IF((OutputTable[GroupByKey]=OutputTable[[#This Row],[GroupByKey]]),(OutputTable[GroupByKey]=OutputTable[[#This Row],[GroupByKey]])*OutputTable[RecordedValue]))</f>
        <v>0.103175045984152</v>
      </c>
    </row>
    <row r="452" spans="1:16" x14ac:dyDescent="0.25">
      <c r="A452" t="s">
        <v>68</v>
      </c>
      <c r="B452" t="s">
        <v>70</v>
      </c>
      <c r="C452">
        <v>19</v>
      </c>
      <c r="D452" t="s">
        <v>107</v>
      </c>
      <c r="E452" t="s">
        <v>108</v>
      </c>
      <c r="F452" t="s">
        <v>73</v>
      </c>
      <c r="G452">
        <v>98</v>
      </c>
      <c r="H452">
        <v>0</v>
      </c>
      <c r="I452" s="5" t="str">
        <f>OutputTable[[#This Row],[ProjectName]]&amp;OutputTable[[#This Row],[Name]]&amp;OutputTable[[#This Row],[Type]]&amp;OutputTable[[#This Row],[Source]]</f>
        <v>Pedido CleintesClientes.NumberInNumber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30</v>
      </c>
      <c r="K452" s="5" cm="1">
        <f t="array" ref="K452">IFERROR(AVERAGE(IF((OutputTable[GroupByKey]=OutputTable[[#This Row],[GroupByKey]]),(OutputTable[GroupByKey]=OutputTable[[#This Row],[GroupByKey]])*OutputTable[RecordedValue])),0)</f>
        <v>118.5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18.009097317936192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452" s="5" cm="1">
        <f t="array" ref="O452">MIN(IF((OutputTable[GroupByKey]=OutputTable[[#This Row],[GroupByKey]]),(OutputTable[GroupByKey]=OutputTable[[#This Row],[GroupByKey]])*OutputTable[RecordedValue]))</f>
        <v>78</v>
      </c>
      <c r="P452" s="5" cm="1">
        <f t="array" ref="P452">MAX(IF((OutputTable[GroupByKey]=OutputTable[[#This Row],[GroupByKey]]),(OutputTable[GroupByKey]=OutputTable[[#This Row],[GroupByKey]])*OutputTable[RecordedValue]))</f>
        <v>147</v>
      </c>
    </row>
    <row r="453" spans="1:16" x14ac:dyDescent="0.25">
      <c r="A453" t="s">
        <v>68</v>
      </c>
      <c r="B453" t="s">
        <v>70</v>
      </c>
      <c r="C453">
        <v>19</v>
      </c>
      <c r="D453" t="s">
        <v>109</v>
      </c>
      <c r="E453" t="s">
        <v>110</v>
      </c>
      <c r="F453" t="s">
        <v>73</v>
      </c>
      <c r="G453">
        <v>96</v>
      </c>
      <c r="H453">
        <v>0</v>
      </c>
      <c r="I453" s="5" t="str">
        <f>OutputTable[[#This Row],[ProjectName]]&amp;OutputTable[[#This Row],[Name]]&amp;OutputTable[[#This Row],[Type]]&amp;OutputTable[[#This Row],[Source]]</f>
        <v>Pedido CleintesClientes.NumberOutNumber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30</v>
      </c>
      <c r="K453" s="5" cm="1">
        <f t="array" ref="K453">IFERROR(AVERAGE(IF((OutputTable[GroupByKey]=OutputTable[[#This Row],[GroupByKey]]),(OutputTable[GroupByKey]=OutputTable[[#This Row],[GroupByKey]])*OutputTable[RecordedValue])),0)</f>
        <v>116.6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18.252255410940514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453" s="5" cm="1">
        <f t="array" ref="O453">MIN(IF((OutputTable[GroupByKey]=OutputTable[[#This Row],[GroupByKey]]),(OutputTable[GroupByKey]=OutputTable[[#This Row],[GroupByKey]])*OutputTable[RecordedValue]))</f>
        <v>72</v>
      </c>
      <c r="P453" s="5" cm="1">
        <f t="array" ref="P453">MAX(IF((OutputTable[GroupByKey]=OutputTable[[#This Row],[GroupByKey]]),(OutputTable[GroupByKey]=OutputTable[[#This Row],[GroupByKey]])*OutputTable[RecordedValue]))</f>
        <v>147</v>
      </c>
    </row>
    <row r="454" spans="1:16" x14ac:dyDescent="0.25">
      <c r="A454" t="s">
        <v>68</v>
      </c>
      <c r="B454" t="s">
        <v>70</v>
      </c>
      <c r="C454">
        <v>19</v>
      </c>
      <c r="D454" t="s">
        <v>111</v>
      </c>
      <c r="E454" t="s">
        <v>112</v>
      </c>
      <c r="F454" t="s">
        <v>81</v>
      </c>
      <c r="G454">
        <v>14.9370467524604</v>
      </c>
      <c r="H454">
        <v>0</v>
      </c>
      <c r="I45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30</v>
      </c>
      <c r="K454" s="5" cm="1">
        <f t="array" ref="K454">IFERROR(AVERAGE(IF((OutputTable[GroupByKey]=OutputTable[[#This Row],[GroupByKey]]),(OutputTable[GroupByKey]=OutputTable[[#This Row],[GroupByKey]])*OutputTable[RecordedValue])),0)</f>
        <v>19.806808580201274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3.1624794742170024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454" s="5" cm="1">
        <f t="array" ref="O454">MIN(IF((OutputTable[GroupByKey]=OutputTable[[#This Row],[GroupByKey]]),(OutputTable[GroupByKey]=OutputTable[[#This Row],[GroupByKey]])*OutputTable[RecordedValue]))</f>
        <v>12.812268330404599</v>
      </c>
      <c r="P454" s="5" cm="1">
        <f t="array" ref="P454">MAX(IF((OutputTable[GroupByKey]=OutputTable[[#This Row],[GroupByKey]]),(OutputTable[GroupByKey]=OutputTable[[#This Row],[GroupByKey]])*OutputTable[RecordedValue]))</f>
        <v>24.762011036196501</v>
      </c>
    </row>
    <row r="455" spans="1:16" x14ac:dyDescent="0.25">
      <c r="A455" t="s">
        <v>68</v>
      </c>
      <c r="B455" t="s">
        <v>70</v>
      </c>
      <c r="C455">
        <v>19</v>
      </c>
      <c r="D455" t="s">
        <v>113</v>
      </c>
      <c r="E455" t="s">
        <v>114</v>
      </c>
      <c r="F455" t="s">
        <v>81</v>
      </c>
      <c r="G455">
        <v>0</v>
      </c>
      <c r="H455">
        <v>0</v>
      </c>
      <c r="I45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30</v>
      </c>
      <c r="K455" s="5" cm="1">
        <f t="array" ref="K455">IFERROR(AVERAGE(IF((OutputTable[GroupByKey]=OutputTable[[#This Row],[GroupByKey]]),(OutputTable[GroupByKey]=OutputTable[[#This Row],[GroupByKey]])*OutputTable[RecordedValue])),0)</f>
        <v>0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0</v>
      </c>
      <c r="P455" s="5" cm="1">
        <f t="array" ref="P455">MAX(IF((OutputTable[GroupByKey]=OutputTable[[#This Row],[GroupByKey]]),(OutputTable[GroupByKey]=OutputTable[[#This Row],[GroupByKey]])*OutputTable[RecordedValue]))</f>
        <v>0</v>
      </c>
    </row>
    <row r="456" spans="1:16" x14ac:dyDescent="0.25">
      <c r="A456" t="s">
        <v>68</v>
      </c>
      <c r="B456" t="s">
        <v>70</v>
      </c>
      <c r="C456">
        <v>19</v>
      </c>
      <c r="D456" t="s">
        <v>115</v>
      </c>
      <c r="E456" t="s">
        <v>108</v>
      </c>
      <c r="F456" t="s">
        <v>81</v>
      </c>
      <c r="G456">
        <v>32</v>
      </c>
      <c r="H456">
        <v>0</v>
      </c>
      <c r="I45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30</v>
      </c>
      <c r="K456" s="5" cm="1">
        <f t="array" ref="K456">IFERROR(AVERAGE(IF((OutputTable[GroupByKey]=OutputTable[[#This Row],[GroupByKey]]),(OutputTable[GroupByKey]=OutputTable[[#This Row],[GroupByKey]])*OutputTable[RecordedValue])),0)</f>
        <v>38.93333333333333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5.9765826548191505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56" s="5" cm="1">
        <f t="array" ref="O456">MIN(IF((OutputTable[GroupByKey]=OutputTable[[#This Row],[GroupByKey]]),(OutputTable[GroupByKey]=OutputTable[[#This Row],[GroupByKey]])*OutputTable[RecordedValue]))</f>
        <v>25</v>
      </c>
      <c r="P456" s="5" cm="1">
        <f t="array" ref="P456">MAX(IF((OutputTable[GroupByKey]=OutputTable[[#This Row],[GroupByKey]]),(OutputTable[GroupByKey]=OutputTable[[#This Row],[GroupByKey]])*OutputTable[RecordedValue]))</f>
        <v>49</v>
      </c>
    </row>
    <row r="457" spans="1:16" x14ac:dyDescent="0.25">
      <c r="A457" t="s">
        <v>68</v>
      </c>
      <c r="B457" t="s">
        <v>70</v>
      </c>
      <c r="C457">
        <v>19</v>
      </c>
      <c r="D457" t="s">
        <v>116</v>
      </c>
      <c r="E457" t="s">
        <v>110</v>
      </c>
      <c r="F457" t="s">
        <v>81</v>
      </c>
      <c r="G457">
        <v>32</v>
      </c>
      <c r="H457">
        <v>0</v>
      </c>
      <c r="I45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30</v>
      </c>
      <c r="K457" s="5" cm="1">
        <f t="array" ref="K457">IFERROR(AVERAGE(IF((OutputTable[GroupByKey]=OutputTable[[#This Row],[GroupByKey]]),(OutputTable[GroupByKey]=OutputTable[[#This Row],[GroupByKey]])*OutputTable[RecordedValue])),0)</f>
        <v>38.866666666666667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6.0840851369801694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57" s="5" cm="1">
        <f t="array" ref="O457">MIN(IF((OutputTable[GroupByKey]=OutputTable[[#This Row],[GroupByKey]]),(OutputTable[GroupByKey]=OutputTable[[#This Row],[GroupByKey]])*OutputTable[RecordedValue]))</f>
        <v>24</v>
      </c>
      <c r="P457" s="5" cm="1">
        <f t="array" ref="P457">MAX(IF((OutputTable[GroupByKey]=OutputTable[[#This Row],[GroupByKey]]),(OutputTable[GroupByKey]=OutputTable[[#This Row],[GroupByKey]])*OutputTable[RecordedValue]))</f>
        <v>49</v>
      </c>
    </row>
    <row r="458" spans="1:16" x14ac:dyDescent="0.25">
      <c r="A458" t="s">
        <v>68</v>
      </c>
      <c r="B458" t="s">
        <v>70</v>
      </c>
      <c r="C458">
        <v>19</v>
      </c>
      <c r="D458" t="s">
        <v>117</v>
      </c>
      <c r="E458" t="s">
        <v>112</v>
      </c>
      <c r="F458" t="s">
        <v>81</v>
      </c>
      <c r="G458">
        <v>35.379289952790899</v>
      </c>
      <c r="H458">
        <v>0</v>
      </c>
      <c r="I458" s="5" t="str">
        <f>OutputTable[[#This Row],[ProjectName]]&amp;OutputTable[[#This Row],[Name]]&amp;OutputTable[[#This Row],[Type]]&amp;OutputTable[[#This Row],[Source]]</f>
        <v>Pedido CleintesOrdnes Accum VA TimeAccum VA TimeProcess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30</v>
      </c>
      <c r="K458" s="5" cm="1">
        <f t="array" ref="K458">IFERROR(AVERAGE(IF((OutputTable[GroupByKey]=OutputTable[[#This Row],[GroupByKey]]),(OutputTable[GroupByKey]=OutputTable[[#This Row],[GroupByKey]])*OutputTable[RecordedValue])),0)</f>
        <v>39.878126992056487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6.1068580319474277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458" s="5" cm="1">
        <f t="array" ref="O458">MIN(IF((OutputTable[GroupByKey]=OutputTable[[#This Row],[GroupByKey]]),(OutputTable[GroupByKey]=OutputTable[[#This Row],[GroupByKey]])*OutputTable[RecordedValue]))</f>
        <v>26.106281767804099</v>
      </c>
      <c r="P458" s="5" cm="1">
        <f t="array" ref="P458">MAX(IF((OutputTable[GroupByKey]=OutputTable[[#This Row],[GroupByKey]]),(OutputTable[GroupByKey]=OutputTable[[#This Row],[GroupByKey]])*OutputTable[RecordedValue]))</f>
        <v>48.706388790541098</v>
      </c>
    </row>
    <row r="459" spans="1:16" x14ac:dyDescent="0.25">
      <c r="A459" t="s">
        <v>68</v>
      </c>
      <c r="B459" t="s">
        <v>70</v>
      </c>
      <c r="C459">
        <v>19</v>
      </c>
      <c r="D459" t="s">
        <v>118</v>
      </c>
      <c r="E459" t="s">
        <v>114</v>
      </c>
      <c r="F459" t="s">
        <v>81</v>
      </c>
      <c r="G459">
        <v>7.4900918418321503</v>
      </c>
      <c r="H459">
        <v>0</v>
      </c>
      <c r="I45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30</v>
      </c>
      <c r="K459" s="5" cm="1">
        <f t="array" ref="K459">IFERROR(AVERAGE(IF((OutputTable[GroupByKey]=OutputTable[[#This Row],[GroupByKey]]),(OutputTable[GroupByKey]=OutputTable[[#This Row],[GroupByKey]])*OutputTable[RecordedValue])),0)</f>
        <v>7.9804799821754404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4.8950382198155014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459" s="5" cm="1">
        <f t="array" ref="O459">MIN(IF((OutputTable[GroupByKey]=OutputTable[[#This Row],[GroupByKey]]),(OutputTable[GroupByKey]=OutputTable[[#This Row],[GroupByKey]])*OutputTable[RecordedValue]))</f>
        <v>0</v>
      </c>
      <c r="P459" s="5" cm="1">
        <f t="array" ref="P459">MAX(IF((OutputTable[GroupByKey]=OutputTable[[#This Row],[GroupByKey]]),(OutputTable[GroupByKey]=OutputTable[[#This Row],[GroupByKey]])*OutputTable[RecordedValue]))</f>
        <v>18.843855117811401</v>
      </c>
    </row>
    <row r="460" spans="1:16" x14ac:dyDescent="0.25">
      <c r="A460" t="s">
        <v>68</v>
      </c>
      <c r="B460" t="s">
        <v>70</v>
      </c>
      <c r="C460">
        <v>19</v>
      </c>
      <c r="D460" t="s">
        <v>119</v>
      </c>
      <c r="E460" t="s">
        <v>108</v>
      </c>
      <c r="F460" t="s">
        <v>81</v>
      </c>
      <c r="G460">
        <v>33</v>
      </c>
      <c r="H460">
        <v>0</v>
      </c>
      <c r="I460" s="5" t="str">
        <f>OutputTable[[#This Row],[ProjectName]]&amp;OutputTable[[#This Row],[Name]]&amp;OutputTable[[#This Row],[Type]]&amp;OutputTable[[#This Row],[Source]]</f>
        <v>Pedido CleintesOrdnes Number InNumber InProcess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30</v>
      </c>
      <c r="K460" s="5" cm="1">
        <f t="array" ref="K460">IFERROR(AVERAGE(IF((OutputTable[GroupByKey]=OutputTable[[#This Row],[GroupByKey]]),(OutputTable[GroupByKey]=OutputTable[[#This Row],[GroupByKey]])*OutputTable[RecordedValue])),0)</f>
        <v>39.9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6.0648791101463475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460" s="5" cm="1">
        <f t="array" ref="O460">MIN(IF((OutputTable[GroupByKey]=OutputTable[[#This Row],[GroupByKey]]),(OutputTable[GroupByKey]=OutputTable[[#This Row],[GroupByKey]])*OutputTable[RecordedValue]))</f>
        <v>27</v>
      </c>
      <c r="P460" s="5" cm="1">
        <f t="array" ref="P460">MAX(IF((OutputTable[GroupByKey]=OutputTable[[#This Row],[GroupByKey]]),(OutputTable[GroupByKey]=OutputTable[[#This Row],[GroupByKey]])*OutputTable[RecordedValue]))</f>
        <v>49</v>
      </c>
    </row>
    <row r="461" spans="1:16" x14ac:dyDescent="0.25">
      <c r="A461" t="s">
        <v>68</v>
      </c>
      <c r="B461" t="s">
        <v>70</v>
      </c>
      <c r="C461">
        <v>19</v>
      </c>
      <c r="D461" t="s">
        <v>120</v>
      </c>
      <c r="E461" t="s">
        <v>110</v>
      </c>
      <c r="F461" t="s">
        <v>81</v>
      </c>
      <c r="G461">
        <v>33</v>
      </c>
      <c r="H461">
        <v>0</v>
      </c>
      <c r="I461" s="5" t="str">
        <f>OutputTable[[#This Row],[ProjectName]]&amp;OutputTable[[#This Row],[Name]]&amp;OutputTable[[#This Row],[Type]]&amp;OutputTable[[#This Row],[Source]]</f>
        <v>Pedido CleintesOrdnes Number OutNumber OutProcess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30</v>
      </c>
      <c r="K461" s="5" cm="1">
        <f t="array" ref="K461">IFERROR(AVERAGE(IF((OutputTable[GroupByKey]=OutputTable[[#This Row],[GroupByKey]]),(OutputTable[GroupByKey]=OutputTable[[#This Row],[GroupByKey]])*OutputTable[RecordedValue])),0)</f>
        <v>39.666666666666664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6.0477030882540914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61" s="5" cm="1">
        <f t="array" ref="O461">MIN(IF((OutputTable[GroupByKey]=OutputTable[[#This Row],[GroupByKey]]),(OutputTable[GroupByKey]=OutputTable[[#This Row],[GroupByKey]])*OutputTable[RecordedValue]))</f>
        <v>26</v>
      </c>
      <c r="P461" s="5" cm="1">
        <f t="array" ref="P461">MAX(IF((OutputTable[GroupByKey]=OutputTable[[#This Row],[GroupByKey]]),(OutputTable[GroupByKey]=OutputTable[[#This Row],[GroupByKey]])*OutputTable[RecordedValue]))</f>
        <v>49</v>
      </c>
    </row>
    <row r="462" spans="1:16" x14ac:dyDescent="0.25">
      <c r="A462" t="s">
        <v>68</v>
      </c>
      <c r="B462" t="s">
        <v>70</v>
      </c>
      <c r="C462">
        <v>19</v>
      </c>
      <c r="D462" t="s">
        <v>121</v>
      </c>
      <c r="E462" t="s">
        <v>112</v>
      </c>
      <c r="F462" t="s">
        <v>81</v>
      </c>
      <c r="G462">
        <v>23.990787777659701</v>
      </c>
      <c r="H462">
        <v>0</v>
      </c>
      <c r="I462" s="5" t="str">
        <f>OutputTable[[#This Row],[ProjectName]]&amp;OutputTable[[#This Row],[Name]]&amp;OutputTable[[#This Row],[Type]]&amp;OutputTable[[#This Row],[Source]]</f>
        <v>Pedido CleintesPago Accum VA TimeAccum VA TimeProcess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30</v>
      </c>
      <c r="K462" s="5" cm="1">
        <f t="array" ref="K462">IFERROR(AVERAGE(IF((OutputTable[GroupByKey]=OutputTable[[#This Row],[GroupByKey]]),(OutputTable[GroupByKey]=OutputTable[[#This Row],[GroupByKey]])*OutputTable[RecordedValue])),0)</f>
        <v>29.486262713858675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4.747176664010901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462" s="5" cm="1">
        <f t="array" ref="O462">MIN(IF((OutputTable[GroupByKey]=OutputTable[[#This Row],[GroupByKey]]),(OutputTable[GroupByKey]=OutputTable[[#This Row],[GroupByKey]])*OutputTable[RecordedValue]))</f>
        <v>19.573210250889101</v>
      </c>
      <c r="P462" s="5" cm="1">
        <f t="array" ref="P462">MAX(IF((OutputTable[GroupByKey]=OutputTable[[#This Row],[GroupByKey]]),(OutputTable[GroupByKey]=OutputTable[[#This Row],[GroupByKey]])*OutputTable[RecordedValue]))</f>
        <v>37.056974462114901</v>
      </c>
    </row>
    <row r="463" spans="1:16" x14ac:dyDescent="0.25">
      <c r="A463" t="s">
        <v>68</v>
      </c>
      <c r="B463" t="s">
        <v>70</v>
      </c>
      <c r="C463">
        <v>19</v>
      </c>
      <c r="D463" t="s">
        <v>122</v>
      </c>
      <c r="E463" t="s">
        <v>114</v>
      </c>
      <c r="F463" t="s">
        <v>81</v>
      </c>
      <c r="G463">
        <v>12.405914348686601</v>
      </c>
      <c r="H463">
        <v>0</v>
      </c>
      <c r="I463" s="5" t="str">
        <f>OutputTable[[#This Row],[ProjectName]]&amp;OutputTable[[#This Row],[Name]]&amp;OutputTable[[#This Row],[Type]]&amp;OutputTable[[#This Row],[Source]]</f>
        <v>Pedido CleintesPago Accum Wait TimeAccum Wait TimeProcess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30</v>
      </c>
      <c r="K463" s="5" cm="1">
        <f t="array" ref="K463">IFERROR(AVERAGE(IF((OutputTable[GroupByKey]=OutputTable[[#This Row],[GroupByKey]]),(OutputTable[GroupByKey]=OutputTable[[#This Row],[GroupByKey]])*OutputTable[RecordedValue])),0)</f>
        <v>13.025761997568024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7.8467935605388783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463" s="5" cm="1">
        <f t="array" ref="O463">MIN(IF((OutputTable[GroupByKey]=OutputTable[[#This Row],[GroupByKey]]),(OutputTable[GroupByKey]=OutputTable[[#This Row],[GroupByKey]])*OutputTable[RecordedValue]))</f>
        <v>0</v>
      </c>
      <c r="P463" s="5" cm="1">
        <f t="array" ref="P463">MAX(IF((OutputTable[GroupByKey]=OutputTable[[#This Row],[GroupByKey]]),(OutputTable[GroupByKey]=OutputTable[[#This Row],[GroupByKey]])*OutputTable[RecordedValue]))</f>
        <v>32.770863925850499</v>
      </c>
    </row>
    <row r="464" spans="1:16" x14ac:dyDescent="0.25">
      <c r="A464" t="s">
        <v>68</v>
      </c>
      <c r="B464" t="s">
        <v>70</v>
      </c>
      <c r="C464">
        <v>19</v>
      </c>
      <c r="D464" t="s">
        <v>123</v>
      </c>
      <c r="E464" t="s">
        <v>108</v>
      </c>
      <c r="F464" t="s">
        <v>81</v>
      </c>
      <c r="G464">
        <v>33</v>
      </c>
      <c r="H464">
        <v>0</v>
      </c>
      <c r="I464" s="5" t="str">
        <f>OutputTable[[#This Row],[ProjectName]]&amp;OutputTable[[#This Row],[Name]]&amp;OutputTable[[#This Row],[Type]]&amp;OutputTable[[#This Row],[Source]]</f>
        <v>Pedido CleintesPago Number InNumber InProcess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30</v>
      </c>
      <c r="K464" s="5" cm="1">
        <f t="array" ref="K464">IFERROR(AVERAGE(IF((OutputTable[GroupByKey]=OutputTable[[#This Row],[GroupByKey]]),(OutputTable[GroupByKey]=OutputTable[[#This Row],[GroupByKey]])*OutputTable[RecordedValue])),0)</f>
        <v>39.666666666666664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6.0477030882540914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64" s="5" cm="1">
        <f t="array" ref="O464">MIN(IF((OutputTable[GroupByKey]=OutputTable[[#This Row],[GroupByKey]]),(OutputTable[GroupByKey]=OutputTable[[#This Row],[GroupByKey]])*OutputTable[RecordedValue]))</f>
        <v>26</v>
      </c>
      <c r="P464" s="5" cm="1">
        <f t="array" ref="P464">MAX(IF((OutputTable[GroupByKey]=OutputTable[[#This Row],[GroupByKey]]),(OutputTable[GroupByKey]=OutputTable[[#This Row],[GroupByKey]])*OutputTable[RecordedValue]))</f>
        <v>49</v>
      </c>
    </row>
    <row r="465" spans="1:16" x14ac:dyDescent="0.25">
      <c r="A465" t="s">
        <v>68</v>
      </c>
      <c r="B465" t="s">
        <v>70</v>
      </c>
      <c r="C465">
        <v>19</v>
      </c>
      <c r="D465" t="s">
        <v>124</v>
      </c>
      <c r="E465" t="s">
        <v>110</v>
      </c>
      <c r="F465" t="s">
        <v>81</v>
      </c>
      <c r="G465">
        <v>33</v>
      </c>
      <c r="H465">
        <v>0</v>
      </c>
      <c r="I465" s="5" t="str">
        <f>OutputTable[[#This Row],[ProjectName]]&amp;OutputTable[[#This Row],[Name]]&amp;OutputTable[[#This Row],[Type]]&amp;OutputTable[[#This Row],[Source]]</f>
        <v>Pedido CleintesPago Number OutNumber OutProcess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30</v>
      </c>
      <c r="K465" s="5" cm="1">
        <f t="array" ref="K465">IFERROR(AVERAGE(IF((OutputTable[GroupByKey]=OutputTable[[#This Row],[GroupByKey]]),(OutputTable[GroupByKey]=OutputTable[[#This Row],[GroupByKey]])*OutputTable[RecordedValue])),0)</f>
        <v>39.43333333333333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5.9171482724502509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465" s="5" cm="1">
        <f t="array" ref="O465">MIN(IF((OutputTable[GroupByKey]=OutputTable[[#This Row],[GroupByKey]]),(OutputTable[GroupByKey]=OutputTable[[#This Row],[GroupByKey]])*OutputTable[RecordedValue]))</f>
        <v>26</v>
      </c>
      <c r="P465" s="5" cm="1">
        <f t="array" ref="P465">MAX(IF((OutputTable[GroupByKey]=OutputTable[[#This Row],[GroupByKey]]),(OutputTable[GroupByKey]=OutputTable[[#This Row],[GroupByKey]])*OutputTable[RecordedValue]))</f>
        <v>49</v>
      </c>
    </row>
    <row r="466" spans="1:16" x14ac:dyDescent="0.25">
      <c r="A466" t="s">
        <v>68</v>
      </c>
      <c r="B466" t="s">
        <v>70</v>
      </c>
      <c r="C466">
        <v>19</v>
      </c>
      <c r="D466" t="s">
        <v>125</v>
      </c>
      <c r="E466" t="s">
        <v>112</v>
      </c>
      <c r="F466" t="s">
        <v>81</v>
      </c>
      <c r="G466">
        <v>95.664956565164601</v>
      </c>
      <c r="H466">
        <v>0</v>
      </c>
      <c r="I46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30</v>
      </c>
      <c r="K466" s="5" cm="1">
        <f t="array" ref="K466">IFERROR(AVERAGE(IF((OutputTable[GroupByKey]=OutputTable[[#This Row],[GroupByKey]]),(OutputTable[GroupByKey]=OutputTable[[#This Row],[GroupByKey]])*OutputTable[RecordedValue])),0)</f>
        <v>116.64263458387505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17.825477946659205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466" s="5" cm="1">
        <f t="array" ref="O466">MIN(IF((OutputTable[GroupByKey]=OutputTable[[#This Row],[GroupByKey]]),(OutputTable[GroupByKey]=OutputTable[[#This Row],[GroupByKey]])*OutputTable[RecordedValue]))</f>
        <v>74.976560761710004</v>
      </c>
      <c r="P466" s="5" cm="1">
        <f t="array" ref="P466">MAX(IF((OutputTable[GroupByKey]=OutputTable[[#This Row],[GroupByKey]]),(OutputTable[GroupByKey]=OutputTable[[#This Row],[GroupByKey]])*OutputTable[RecordedValue]))</f>
        <v>145.504156763596</v>
      </c>
    </row>
    <row r="467" spans="1:16" x14ac:dyDescent="0.25">
      <c r="A467" t="s">
        <v>68</v>
      </c>
      <c r="B467" t="s">
        <v>70</v>
      </c>
      <c r="C467">
        <v>19</v>
      </c>
      <c r="D467" t="s">
        <v>126</v>
      </c>
      <c r="E467" t="s">
        <v>114</v>
      </c>
      <c r="F467" t="s">
        <v>81</v>
      </c>
      <c r="G467">
        <v>35.861886557081498</v>
      </c>
      <c r="H467">
        <v>0</v>
      </c>
      <c r="I46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30</v>
      </c>
      <c r="K467" s="5" cm="1">
        <f t="array" ref="K467">IFERROR(AVERAGE(IF((OutputTable[GroupByKey]=OutputTable[[#This Row],[GroupByKey]]),(OutputTable[GroupByKey]=OutputTable[[#This Row],[GroupByKey]])*OutputTable[RecordedValue])),0)</f>
        <v>39.900972800228722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22.922906975864144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467" s="5" cm="1">
        <f t="array" ref="O467">MIN(IF((OutputTable[GroupByKey]=OutputTable[[#This Row],[GroupByKey]]),(OutputTable[GroupByKey]=OutputTable[[#This Row],[GroupByKey]])*OutputTable[RecordedValue]))</f>
        <v>2.1708788192608899</v>
      </c>
      <c r="P467" s="5" cm="1">
        <f t="array" ref="P467">MAX(IF((OutputTable[GroupByKey]=OutputTable[[#This Row],[GroupByKey]]),(OutputTable[GroupByKey]=OutputTable[[#This Row],[GroupByKey]])*OutputTable[RecordedValue]))</f>
        <v>94.9142929398908</v>
      </c>
    </row>
    <row r="468" spans="1:16" x14ac:dyDescent="0.25">
      <c r="A468" t="s">
        <v>68</v>
      </c>
      <c r="B468" t="s">
        <v>70</v>
      </c>
      <c r="C468">
        <v>19</v>
      </c>
      <c r="D468" t="s">
        <v>127</v>
      </c>
      <c r="E468" t="s">
        <v>108</v>
      </c>
      <c r="F468" t="s">
        <v>81</v>
      </c>
      <c r="G468">
        <v>33</v>
      </c>
      <c r="H468">
        <v>0</v>
      </c>
      <c r="I468" s="5" t="str">
        <f>OutputTable[[#This Row],[ProjectName]]&amp;OutputTable[[#This Row],[Name]]&amp;OutputTable[[#This Row],[Type]]&amp;OutputTable[[#This Row],[Source]]</f>
        <v>Pedido CleintesPreparar orden Number InNumber InProcess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30</v>
      </c>
      <c r="K468" s="5" cm="1">
        <f t="array" ref="K468">IFERROR(AVERAGE(IF((OutputTable[GroupByKey]=OutputTable[[#This Row],[GroupByKey]]),(OutputTable[GroupByKey]=OutputTable[[#This Row],[GroupByKey]])*OutputTable[RecordedValue])),0)</f>
        <v>39.666666666666664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6.0477030882540914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68" s="5" cm="1">
        <f t="array" ref="O468">MIN(IF((OutputTable[GroupByKey]=OutputTable[[#This Row],[GroupByKey]]),(OutputTable[GroupByKey]=OutputTable[[#This Row],[GroupByKey]])*OutputTable[RecordedValue]))</f>
        <v>26</v>
      </c>
      <c r="P468" s="5" cm="1">
        <f t="array" ref="P468">MAX(IF((OutputTable[GroupByKey]=OutputTable[[#This Row],[GroupByKey]]),(OutputTable[GroupByKey]=OutputTable[[#This Row],[GroupByKey]])*OutputTable[RecordedValue]))</f>
        <v>49</v>
      </c>
    </row>
    <row r="469" spans="1:16" x14ac:dyDescent="0.25">
      <c r="A469" t="s">
        <v>68</v>
      </c>
      <c r="B469" t="s">
        <v>70</v>
      </c>
      <c r="C469">
        <v>19</v>
      </c>
      <c r="D469" t="s">
        <v>128</v>
      </c>
      <c r="E469" t="s">
        <v>110</v>
      </c>
      <c r="F469" t="s">
        <v>81</v>
      </c>
      <c r="G469">
        <v>32</v>
      </c>
      <c r="H469">
        <v>0</v>
      </c>
      <c r="I469" s="5" t="str">
        <f>OutputTable[[#This Row],[ProjectName]]&amp;OutputTable[[#This Row],[Name]]&amp;OutputTable[[#This Row],[Type]]&amp;OutputTable[[#This Row],[Source]]</f>
        <v>Pedido CleintesPreparar orden Number OutNumber OutProcess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30</v>
      </c>
      <c r="K469" s="5" cm="1">
        <f t="array" ref="K469">IFERROR(AVERAGE(IF((OutputTable[GroupByKey]=OutputTable[[#This Row],[GroupByKey]]),(OutputTable[GroupByKey]=OutputTable[[#This Row],[GroupByKey]])*OutputTable[RecordedValue])),0)</f>
        <v>38.93333333333333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5.9765826548191505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69" s="5" cm="1">
        <f t="array" ref="O469">MIN(IF((OutputTable[GroupByKey]=OutputTable[[#This Row],[GroupByKey]]),(OutputTable[GroupByKey]=OutputTable[[#This Row],[GroupByKey]])*OutputTable[RecordedValue]))</f>
        <v>25</v>
      </c>
      <c r="P469" s="5" cm="1">
        <f t="array" ref="P469">MAX(IF((OutputTable[GroupByKey]=OutputTable[[#This Row],[GroupByKey]]),(OutputTable[GroupByKey]=OutputTable[[#This Row],[GroupByKey]])*OutputTable[RecordedValue]))</f>
        <v>49</v>
      </c>
    </row>
    <row r="470" spans="1:16" x14ac:dyDescent="0.25">
      <c r="A470" t="s">
        <v>68</v>
      </c>
      <c r="B470" t="s">
        <v>70</v>
      </c>
      <c r="C470">
        <v>19</v>
      </c>
      <c r="D470" t="s">
        <v>129</v>
      </c>
      <c r="E470" t="s">
        <v>110</v>
      </c>
      <c r="F470" t="s">
        <v>130</v>
      </c>
      <c r="G470">
        <v>32</v>
      </c>
      <c r="H470">
        <v>0</v>
      </c>
      <c r="I470" s="5" t="str">
        <f>OutputTable[[#This Row],[ProjectName]]&amp;OutputTable[[#This Row],[Name]]&amp;OutputTable[[#This Row],[Type]]&amp;OutputTable[[#This Row],[Source]]</f>
        <v>Pedido CleintesSystem.NumberOutNumber OutSystem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30</v>
      </c>
      <c r="K470" s="5" cm="1">
        <f t="array" ref="K470">IFERROR(AVERAGE(IF((OutputTable[GroupByKey]=OutputTable[[#This Row],[GroupByKey]]),(OutputTable[GroupByKey]=OutputTable[[#This Row],[GroupByKey]])*OutputTable[RecordedValue])),0)</f>
        <v>38.866666666666667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6.0840851369801694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70" s="5" cm="1">
        <f t="array" ref="O470">MIN(IF((OutputTable[GroupByKey]=OutputTable[[#This Row],[GroupByKey]]),(OutputTable[GroupByKey]=OutputTable[[#This Row],[GroupByKey]])*OutputTable[RecordedValue]))</f>
        <v>24</v>
      </c>
      <c r="P470" s="5" cm="1">
        <f t="array" ref="P470">MAX(IF((OutputTable[GroupByKey]=OutputTable[[#This Row],[GroupByKey]]),(OutputTable[GroupByKey]=OutputTable[[#This Row],[GroupByKey]])*OutputTable[RecordedValue]))</f>
        <v>49</v>
      </c>
    </row>
    <row r="471" spans="1:16" x14ac:dyDescent="0.25">
      <c r="A471" t="s">
        <v>68</v>
      </c>
      <c r="B471" t="s">
        <v>70</v>
      </c>
      <c r="C471">
        <v>19</v>
      </c>
      <c r="D471" t="s">
        <v>131</v>
      </c>
      <c r="E471" t="s">
        <v>132</v>
      </c>
      <c r="F471" t="s">
        <v>102</v>
      </c>
      <c r="G471">
        <v>33</v>
      </c>
      <c r="H471">
        <v>0</v>
      </c>
      <c r="I47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30</v>
      </c>
      <c r="K471" s="5" cm="1">
        <f t="array" ref="K471">IFERROR(AVERAGE(IF((OutputTable[GroupByKey]=OutputTable[[#This Row],[GroupByKey]]),(OutputTable[GroupByKey]=OutputTable[[#This Row],[GroupByKey]])*OutputTable[RecordedValue])),0)</f>
        <v>39.4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5.8757244601014422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471" s="5" cm="1">
        <f t="array" ref="O471">MIN(IF((OutputTable[GroupByKey]=OutputTable[[#This Row],[GroupByKey]]),(OutputTable[GroupByKey]=OutputTable[[#This Row],[GroupByKey]])*OutputTable[RecordedValue]))</f>
        <v>26</v>
      </c>
      <c r="P471" s="5" cm="1">
        <f t="array" ref="P471">MAX(IF((OutputTable[GroupByKey]=OutputTable[[#This Row],[GroupByKey]]),(OutputTable[GroupByKey]=OutputTable[[#This Row],[GroupByKey]])*OutputTable[RecordedValue]))</f>
        <v>49</v>
      </c>
    </row>
    <row r="472" spans="1:16" x14ac:dyDescent="0.25">
      <c r="A472" t="s">
        <v>68</v>
      </c>
      <c r="B472" t="s">
        <v>70</v>
      </c>
      <c r="C472">
        <v>19</v>
      </c>
      <c r="D472" t="s">
        <v>133</v>
      </c>
      <c r="E472" t="s">
        <v>134</v>
      </c>
      <c r="F472" t="s">
        <v>102</v>
      </c>
      <c r="G472">
        <v>0.40390293768324398</v>
      </c>
      <c r="H472">
        <v>0</v>
      </c>
      <c r="I47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30</v>
      </c>
      <c r="K472" s="5" cm="1">
        <f t="array" ref="K472">IFERROR(AVERAGE(IF((OutputTable[GroupByKey]=OutputTable[[#This Row],[GroupByKey]]),(OutputTable[GroupByKey]=OutputTable[[#This Row],[GroupByKey]])*OutputTable[RecordedValue])),0)</f>
        <v>0.48891840079317483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7.3627413122013347E-2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472" s="5" cm="1">
        <f t="array" ref="O472">MIN(IF((OutputTable[GroupByKey]=OutputTable[[#This Row],[GroupByKey]]),(OutputTable[GroupByKey]=OutputTable[[#This Row],[GroupByKey]])*OutputTable[RecordedValue]))</f>
        <v>0.31277577999924699</v>
      </c>
      <c r="P472" s="5" cm="1">
        <f t="array" ref="P472">MAX(IF((OutputTable[GroupByKey]=OutputTable[[#This Row],[GroupByKey]]),(OutputTable[GroupByKey]=OutputTable[[#This Row],[GroupByKey]])*OutputTable[RecordedValue]))</f>
        <v>0.60626731984831705</v>
      </c>
    </row>
    <row r="473" spans="1:16" x14ac:dyDescent="0.25">
      <c r="A473" t="s">
        <v>68</v>
      </c>
      <c r="B473" t="s">
        <v>70</v>
      </c>
      <c r="C473">
        <v>19</v>
      </c>
      <c r="D473" t="s">
        <v>135</v>
      </c>
      <c r="E473" t="s">
        <v>132</v>
      </c>
      <c r="F473" t="s">
        <v>102</v>
      </c>
      <c r="G473">
        <v>66</v>
      </c>
      <c r="H473">
        <v>0</v>
      </c>
      <c r="I47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30</v>
      </c>
      <c r="K473" s="5" cm="1">
        <f t="array" ref="K473">IFERROR(AVERAGE(IF((OutputTable[GroupByKey]=OutputTable[[#This Row],[GroupByKey]]),(OutputTable[GroupByKey]=OutputTable[[#This Row],[GroupByKey]])*OutputTable[RecordedValue])),0)</f>
        <v>79.466666666666669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12.016463801753446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473" s="5" cm="1">
        <f t="array" ref="O473">MIN(IF((OutputTable[GroupByKey]=OutputTable[[#This Row],[GroupByKey]]),(OutputTable[GroupByKey]=OutputTable[[#This Row],[GroupByKey]])*OutputTable[RecordedValue]))</f>
        <v>53</v>
      </c>
      <c r="P473" s="5" cm="1">
        <f t="array" ref="P473">MAX(IF((OutputTable[GroupByKey]=OutputTable[[#This Row],[GroupByKey]]),(OutputTable[GroupByKey]=OutputTable[[#This Row],[GroupByKey]])*OutputTable[RecordedValue]))</f>
        <v>98</v>
      </c>
    </row>
    <row r="474" spans="1:16" x14ac:dyDescent="0.25">
      <c r="A474" t="s">
        <v>68</v>
      </c>
      <c r="B474" t="s">
        <v>70</v>
      </c>
      <c r="C474">
        <v>19</v>
      </c>
      <c r="D474" t="s">
        <v>136</v>
      </c>
      <c r="E474" t="s">
        <v>134</v>
      </c>
      <c r="F474" t="s">
        <v>102</v>
      </c>
      <c r="G474">
        <v>0.247375323876877</v>
      </c>
      <c r="H474">
        <v>0</v>
      </c>
      <c r="I47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30</v>
      </c>
      <c r="K474" s="5" cm="1">
        <f t="array" ref="K474">IFERROR(AVERAGE(IF((OutputTable[GroupByKey]=OutputTable[[#This Row],[GroupByKey]]),(OutputTable[GroupByKey]=OutputTable[[#This Row],[GroupByKey]])*OutputTable[RecordedValue])),0)</f>
        <v>0.28976365927997022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4.4748273652133699E-2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474" s="5" cm="1">
        <f t="array" ref="O474">MIN(IF((OutputTable[GroupByKey]=OutputTable[[#This Row],[GroupByKey]]),(OutputTable[GroupByKey]=OutputTable[[#This Row],[GroupByKey]])*OutputTable[RecordedValue]))</f>
        <v>0.194735973294278</v>
      </c>
      <c r="P474" s="5" cm="1">
        <f t="array" ref="P474">MAX(IF((OutputTable[GroupByKey]=OutputTable[[#This Row],[GroupByKey]]),(OutputTable[GroupByKey]=OutputTable[[#This Row],[GroupByKey]])*OutputTable[RecordedValue]))</f>
        <v>0.35775345817659199</v>
      </c>
    </row>
    <row r="475" spans="1:16" x14ac:dyDescent="0.25">
      <c r="A475" t="s">
        <v>68</v>
      </c>
      <c r="B475" t="s">
        <v>70</v>
      </c>
      <c r="C475">
        <v>19</v>
      </c>
      <c r="D475" t="s">
        <v>137</v>
      </c>
      <c r="E475" t="s">
        <v>132</v>
      </c>
      <c r="F475" t="s">
        <v>102</v>
      </c>
      <c r="G475">
        <v>32</v>
      </c>
      <c r="H475">
        <v>0</v>
      </c>
      <c r="I47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30</v>
      </c>
      <c r="K475" s="5" cm="1">
        <f t="array" ref="K475">IFERROR(AVERAGE(IF((OutputTable[GroupByKey]=OutputTable[[#This Row],[GroupByKey]]),(OutputTable[GroupByKey]=OutputTable[[#This Row],[GroupByKey]])*OutputTable[RecordedValue])),0)</f>
        <v>38.93333333333333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5.9765826548191505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75" s="5" cm="1">
        <f t="array" ref="O475">MIN(IF((OutputTable[GroupByKey]=OutputTable[[#This Row],[GroupByKey]]),(OutputTable[GroupByKey]=OutputTable[[#This Row],[GroupByKey]])*OutputTable[RecordedValue]))</f>
        <v>25</v>
      </c>
      <c r="P475" s="5" cm="1">
        <f t="array" ref="P475">MAX(IF((OutputTable[GroupByKey]=OutputTable[[#This Row],[GroupByKey]]),(OutputTable[GroupByKey]=OutputTable[[#This Row],[GroupByKey]])*OutputTable[RecordedValue]))</f>
        <v>49</v>
      </c>
    </row>
    <row r="476" spans="1:16" x14ac:dyDescent="0.25">
      <c r="A476" t="s">
        <v>68</v>
      </c>
      <c r="B476" t="s">
        <v>70</v>
      </c>
      <c r="C476">
        <v>19</v>
      </c>
      <c r="D476" t="s">
        <v>138</v>
      </c>
      <c r="E476" t="s">
        <v>134</v>
      </c>
      <c r="F476" t="s">
        <v>102</v>
      </c>
      <c r="G476">
        <v>6.2237694801918403E-2</v>
      </c>
      <c r="H476">
        <v>0</v>
      </c>
      <c r="I47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30</v>
      </c>
      <c r="K476" s="5" cm="1">
        <f t="array" ref="K476">IFERROR(AVERAGE(IF((OutputTable[GroupByKey]=OutputTable[[#This Row],[GroupByKey]]),(OutputTable[GroupByKey]=OutputTable[[#This Row],[GroupByKey]])*OutputTable[RecordedValue])),0)</f>
        <v>8.2588852761398115E-2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1.3130964022328008E-2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476" s="5" cm="1">
        <f t="array" ref="O476">MIN(IF((OutputTable[GroupByKey]=OutputTable[[#This Row],[GroupByKey]]),(OutputTable[GroupByKey]=OutputTable[[#This Row],[GroupByKey]])*OutputTable[RecordedValue]))</f>
        <v>5.3757894868807901E-2</v>
      </c>
      <c r="P476" s="5" cm="1">
        <f t="array" ref="P476">MAX(IF((OutputTable[GroupByKey]=OutputTable[[#This Row],[GroupByKey]]),(OutputTable[GroupByKey]=OutputTable[[#This Row],[GroupByKey]])*OutputTable[RecordedValue]))</f>
        <v>0.103175045984152</v>
      </c>
    </row>
    <row r="477" spans="1:16" x14ac:dyDescent="0.25">
      <c r="A477" t="s">
        <v>68</v>
      </c>
      <c r="B477" t="s">
        <v>70</v>
      </c>
      <c r="C477">
        <v>20</v>
      </c>
      <c r="D477" t="s">
        <v>107</v>
      </c>
      <c r="E477" t="s">
        <v>108</v>
      </c>
      <c r="F477" t="s">
        <v>73</v>
      </c>
      <c r="G477">
        <v>126</v>
      </c>
      <c r="H477">
        <v>0</v>
      </c>
      <c r="I477" s="5" t="str">
        <f>OutputTable[[#This Row],[ProjectName]]&amp;OutputTable[[#This Row],[Name]]&amp;OutputTable[[#This Row],[Type]]&amp;OutputTable[[#This Row],[Source]]</f>
        <v>Pedido CleintesClientes.NumberInNumber InEntity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30</v>
      </c>
      <c r="K477" s="5" cm="1">
        <f t="array" ref="K477">IFERROR(AVERAGE(IF((OutputTable[GroupByKey]=OutputTable[[#This Row],[GroupByKey]]),(OutputTable[GroupByKey]=OutputTable[[#This Row],[GroupByKey]])*OutputTable[RecordedValue])),0)</f>
        <v>118.5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18.009097317936192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477" s="5" cm="1">
        <f t="array" ref="O477">MIN(IF((OutputTable[GroupByKey]=OutputTable[[#This Row],[GroupByKey]]),(OutputTable[GroupByKey]=OutputTable[[#This Row],[GroupByKey]])*OutputTable[RecordedValue]))</f>
        <v>78</v>
      </c>
      <c r="P477" s="5" cm="1">
        <f t="array" ref="P477">MAX(IF((OutputTable[GroupByKey]=OutputTable[[#This Row],[GroupByKey]]),(OutputTable[GroupByKey]=OutputTable[[#This Row],[GroupByKey]])*OutputTable[RecordedValue]))</f>
        <v>147</v>
      </c>
    </row>
    <row r="478" spans="1:16" x14ac:dyDescent="0.25">
      <c r="A478" t="s">
        <v>68</v>
      </c>
      <c r="B478" t="s">
        <v>70</v>
      </c>
      <c r="C478">
        <v>20</v>
      </c>
      <c r="D478" t="s">
        <v>109</v>
      </c>
      <c r="E478" t="s">
        <v>110</v>
      </c>
      <c r="F478" t="s">
        <v>73</v>
      </c>
      <c r="G478">
        <v>126</v>
      </c>
      <c r="H478">
        <v>0</v>
      </c>
      <c r="I478" s="5" t="str">
        <f>OutputTable[[#This Row],[ProjectName]]&amp;OutputTable[[#This Row],[Name]]&amp;OutputTable[[#This Row],[Type]]&amp;OutputTable[[#This Row],[Source]]</f>
        <v>Pedido CleintesClientes.NumberOutNumber OutEntity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30</v>
      </c>
      <c r="K478" s="5" cm="1">
        <f t="array" ref="K478">IFERROR(AVERAGE(IF((OutputTable[GroupByKey]=OutputTable[[#This Row],[GroupByKey]]),(OutputTable[GroupByKey]=OutputTable[[#This Row],[GroupByKey]])*OutputTable[RecordedValue])),0)</f>
        <v>116.6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18.252255410940514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478" s="5" cm="1">
        <f t="array" ref="O478">MIN(IF((OutputTable[GroupByKey]=OutputTable[[#This Row],[GroupByKey]]),(OutputTable[GroupByKey]=OutputTable[[#This Row],[GroupByKey]])*OutputTable[RecordedValue]))</f>
        <v>72</v>
      </c>
      <c r="P478" s="5" cm="1">
        <f t="array" ref="P478">MAX(IF((OutputTable[GroupByKey]=OutputTable[[#This Row],[GroupByKey]]),(OutputTable[GroupByKey]=OutputTable[[#This Row],[GroupByKey]])*OutputTable[RecordedValue]))</f>
        <v>147</v>
      </c>
    </row>
    <row r="479" spans="1:16" x14ac:dyDescent="0.25">
      <c r="A479" t="s">
        <v>68</v>
      </c>
      <c r="B479" t="s">
        <v>70</v>
      </c>
      <c r="C479">
        <v>20</v>
      </c>
      <c r="D479" t="s">
        <v>111</v>
      </c>
      <c r="E479" t="s">
        <v>112</v>
      </c>
      <c r="F479" t="s">
        <v>81</v>
      </c>
      <c r="G479">
        <v>19.899895243574299</v>
      </c>
      <c r="H479">
        <v>0</v>
      </c>
      <c r="I47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30</v>
      </c>
      <c r="K479" s="5" cm="1">
        <f t="array" ref="K479">IFERROR(AVERAGE(IF((OutputTable[GroupByKey]=OutputTable[[#This Row],[GroupByKey]]),(OutputTable[GroupByKey]=OutputTable[[#This Row],[GroupByKey]])*OutputTable[RecordedValue])),0)</f>
        <v>19.806808580201274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3.1624794742170024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479" s="5" cm="1">
        <f t="array" ref="O479">MIN(IF((OutputTable[GroupByKey]=OutputTable[[#This Row],[GroupByKey]]),(OutputTable[GroupByKey]=OutputTable[[#This Row],[GroupByKey]])*OutputTable[RecordedValue]))</f>
        <v>12.812268330404599</v>
      </c>
      <c r="P479" s="5" cm="1">
        <f t="array" ref="P479">MAX(IF((OutputTable[GroupByKey]=OutputTable[[#This Row],[GroupByKey]]),(OutputTable[GroupByKey]=OutputTable[[#This Row],[GroupByKey]])*OutputTable[RecordedValue]))</f>
        <v>24.762011036196501</v>
      </c>
    </row>
    <row r="480" spans="1:16" x14ac:dyDescent="0.25">
      <c r="A480" t="s">
        <v>68</v>
      </c>
      <c r="B480" t="s">
        <v>70</v>
      </c>
      <c r="C480">
        <v>20</v>
      </c>
      <c r="D480" t="s">
        <v>113</v>
      </c>
      <c r="E480" t="s">
        <v>114</v>
      </c>
      <c r="F480" t="s">
        <v>81</v>
      </c>
      <c r="G480">
        <v>0</v>
      </c>
      <c r="H480">
        <v>0</v>
      </c>
      <c r="I48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30</v>
      </c>
      <c r="K480" s="5" cm="1">
        <f t="array" ref="K480">IFERROR(AVERAGE(IF((OutputTable[GroupByKey]=OutputTable[[#This Row],[GroupByKey]]),(OutputTable[GroupByKey]=OutputTable[[#This Row],[GroupByKey]])*OutputTable[RecordedValue])),0)</f>
        <v>0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0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0" s="5" cm="1">
        <f t="array" ref="O480">MIN(IF((OutputTable[GroupByKey]=OutputTable[[#This Row],[GroupByKey]]),(OutputTable[GroupByKey]=OutputTable[[#This Row],[GroupByKey]])*OutputTable[RecordedValue]))</f>
        <v>0</v>
      </c>
      <c r="P480" s="5" cm="1">
        <f t="array" ref="P480">MAX(IF((OutputTable[GroupByKey]=OutputTable[[#This Row],[GroupByKey]]),(OutputTable[GroupByKey]=OutputTable[[#This Row],[GroupByKey]])*OutputTable[RecordedValue]))</f>
        <v>0</v>
      </c>
    </row>
    <row r="481" spans="1:16" x14ac:dyDescent="0.25">
      <c r="A481" t="s">
        <v>68</v>
      </c>
      <c r="B481" t="s">
        <v>70</v>
      </c>
      <c r="C481">
        <v>20</v>
      </c>
      <c r="D481" t="s">
        <v>115</v>
      </c>
      <c r="E481" t="s">
        <v>108</v>
      </c>
      <c r="F481" t="s">
        <v>81</v>
      </c>
      <c r="G481">
        <v>42</v>
      </c>
      <c r="H481">
        <v>0</v>
      </c>
      <c r="I48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30</v>
      </c>
      <c r="K481" s="5" cm="1">
        <f t="array" ref="K481">IFERROR(AVERAGE(IF((OutputTable[GroupByKey]=OutputTable[[#This Row],[GroupByKey]]),(OutputTable[GroupByKey]=OutputTable[[#This Row],[GroupByKey]])*OutputTable[RecordedValue])),0)</f>
        <v>38.93333333333333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5.9765826548191505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81" s="5" cm="1">
        <f t="array" ref="O481">MIN(IF((OutputTable[GroupByKey]=OutputTable[[#This Row],[GroupByKey]]),(OutputTable[GroupByKey]=OutputTable[[#This Row],[GroupByKey]])*OutputTable[RecordedValue]))</f>
        <v>25</v>
      </c>
      <c r="P481" s="5" cm="1">
        <f t="array" ref="P481">MAX(IF((OutputTable[GroupByKey]=OutputTable[[#This Row],[GroupByKey]]),(OutputTable[GroupByKey]=OutputTable[[#This Row],[GroupByKey]])*OutputTable[RecordedValue]))</f>
        <v>49</v>
      </c>
    </row>
    <row r="482" spans="1:16" x14ac:dyDescent="0.25">
      <c r="A482" t="s">
        <v>68</v>
      </c>
      <c r="B482" t="s">
        <v>70</v>
      </c>
      <c r="C482">
        <v>20</v>
      </c>
      <c r="D482" t="s">
        <v>116</v>
      </c>
      <c r="E482" t="s">
        <v>110</v>
      </c>
      <c r="F482" t="s">
        <v>81</v>
      </c>
      <c r="G482">
        <v>42</v>
      </c>
      <c r="H482">
        <v>0</v>
      </c>
      <c r="I48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30</v>
      </c>
      <c r="K482" s="5" cm="1">
        <f t="array" ref="K482">IFERROR(AVERAGE(IF((OutputTable[GroupByKey]=OutputTable[[#This Row],[GroupByKey]]),(OutputTable[GroupByKey]=OutputTable[[#This Row],[GroupByKey]])*OutputTable[RecordedValue])),0)</f>
        <v>38.866666666666667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6.0840851369801694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82" s="5" cm="1">
        <f t="array" ref="O482">MIN(IF((OutputTable[GroupByKey]=OutputTable[[#This Row],[GroupByKey]]),(OutputTable[GroupByKey]=OutputTable[[#This Row],[GroupByKey]])*OutputTable[RecordedValue]))</f>
        <v>24</v>
      </c>
      <c r="P482" s="5" cm="1">
        <f t="array" ref="P482">MAX(IF((OutputTable[GroupByKey]=OutputTable[[#This Row],[GroupByKey]]),(OutputTable[GroupByKey]=OutputTable[[#This Row],[GroupByKey]])*OutputTable[RecordedValue]))</f>
        <v>49</v>
      </c>
    </row>
    <row r="483" spans="1:16" x14ac:dyDescent="0.25">
      <c r="A483" t="s">
        <v>68</v>
      </c>
      <c r="B483" t="s">
        <v>70</v>
      </c>
      <c r="C483">
        <v>20</v>
      </c>
      <c r="D483" t="s">
        <v>117</v>
      </c>
      <c r="E483" t="s">
        <v>112</v>
      </c>
      <c r="F483" t="s">
        <v>81</v>
      </c>
      <c r="G483">
        <v>43.506555043518702</v>
      </c>
      <c r="H483">
        <v>0</v>
      </c>
      <c r="I483" s="5" t="str">
        <f>OutputTable[[#This Row],[ProjectName]]&amp;OutputTable[[#This Row],[Name]]&amp;OutputTable[[#This Row],[Type]]&amp;OutputTable[[#This Row],[Source]]</f>
        <v>Pedido CleintesOrdnes Accum VA TimeAccum VA TimeProcess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30</v>
      </c>
      <c r="K483" s="5" cm="1">
        <f t="array" ref="K483">IFERROR(AVERAGE(IF((OutputTable[GroupByKey]=OutputTable[[#This Row],[GroupByKey]]),(OutputTable[GroupByKey]=OutputTable[[#This Row],[GroupByKey]])*OutputTable[RecordedValue])),0)</f>
        <v>39.878126992056487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6.1068580319474277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483" s="5" cm="1">
        <f t="array" ref="O483">MIN(IF((OutputTable[GroupByKey]=OutputTable[[#This Row],[GroupByKey]]),(OutputTable[GroupByKey]=OutputTable[[#This Row],[GroupByKey]])*OutputTable[RecordedValue]))</f>
        <v>26.106281767804099</v>
      </c>
      <c r="P483" s="5" cm="1">
        <f t="array" ref="P483">MAX(IF((OutputTable[GroupByKey]=OutputTable[[#This Row],[GroupByKey]]),(OutputTable[GroupByKey]=OutputTable[[#This Row],[GroupByKey]])*OutputTable[RecordedValue]))</f>
        <v>48.706388790541098</v>
      </c>
    </row>
    <row r="484" spans="1:16" x14ac:dyDescent="0.25">
      <c r="A484" t="s">
        <v>68</v>
      </c>
      <c r="B484" t="s">
        <v>70</v>
      </c>
      <c r="C484">
        <v>20</v>
      </c>
      <c r="D484" t="s">
        <v>118</v>
      </c>
      <c r="E484" t="s">
        <v>114</v>
      </c>
      <c r="F484" t="s">
        <v>81</v>
      </c>
      <c r="G484">
        <v>8.4931702106156202</v>
      </c>
      <c r="H484">
        <v>0</v>
      </c>
      <c r="I48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30</v>
      </c>
      <c r="K484" s="5" cm="1">
        <f t="array" ref="K484">IFERROR(AVERAGE(IF((OutputTable[GroupByKey]=OutputTable[[#This Row],[GroupByKey]]),(OutputTable[GroupByKey]=OutputTable[[#This Row],[GroupByKey]])*OutputTable[RecordedValue])),0)</f>
        <v>7.9804799821754404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4.8950382198155014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484" s="5" cm="1">
        <f t="array" ref="O484">MIN(IF((OutputTable[GroupByKey]=OutputTable[[#This Row],[GroupByKey]]),(OutputTable[GroupByKey]=OutputTable[[#This Row],[GroupByKey]])*OutputTable[RecordedValue]))</f>
        <v>0</v>
      </c>
      <c r="P484" s="5" cm="1">
        <f t="array" ref="P484">MAX(IF((OutputTable[GroupByKey]=OutputTable[[#This Row],[GroupByKey]]),(OutputTable[GroupByKey]=OutputTable[[#This Row],[GroupByKey]])*OutputTable[RecordedValue]))</f>
        <v>18.843855117811401</v>
      </c>
    </row>
    <row r="485" spans="1:16" x14ac:dyDescent="0.25">
      <c r="A485" t="s">
        <v>68</v>
      </c>
      <c r="B485" t="s">
        <v>70</v>
      </c>
      <c r="C485">
        <v>20</v>
      </c>
      <c r="D485" t="s">
        <v>119</v>
      </c>
      <c r="E485" t="s">
        <v>108</v>
      </c>
      <c r="F485" t="s">
        <v>81</v>
      </c>
      <c r="G485">
        <v>42</v>
      </c>
      <c r="H485">
        <v>0</v>
      </c>
      <c r="I485" s="5" t="str">
        <f>OutputTable[[#This Row],[ProjectName]]&amp;OutputTable[[#This Row],[Name]]&amp;OutputTable[[#This Row],[Type]]&amp;OutputTable[[#This Row],[Source]]</f>
        <v>Pedido CleintesOrdnes Number InNumber InProcess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30</v>
      </c>
      <c r="K485" s="5" cm="1">
        <f t="array" ref="K485">IFERROR(AVERAGE(IF((OutputTable[GroupByKey]=OutputTable[[#This Row],[GroupByKey]]),(OutputTable[GroupByKey]=OutputTable[[#This Row],[GroupByKey]])*OutputTable[RecordedValue])),0)</f>
        <v>39.9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6.0648791101463475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485" s="5" cm="1">
        <f t="array" ref="O485">MIN(IF((OutputTable[GroupByKey]=OutputTable[[#This Row],[GroupByKey]]),(OutputTable[GroupByKey]=OutputTable[[#This Row],[GroupByKey]])*OutputTable[RecordedValue]))</f>
        <v>27</v>
      </c>
      <c r="P485" s="5" cm="1">
        <f t="array" ref="P485">MAX(IF((OutputTable[GroupByKey]=OutputTable[[#This Row],[GroupByKey]]),(OutputTable[GroupByKey]=OutputTable[[#This Row],[GroupByKey]])*OutputTable[RecordedValue]))</f>
        <v>49</v>
      </c>
    </row>
    <row r="486" spans="1:16" x14ac:dyDescent="0.25">
      <c r="A486" t="s">
        <v>68</v>
      </c>
      <c r="B486" t="s">
        <v>70</v>
      </c>
      <c r="C486">
        <v>20</v>
      </c>
      <c r="D486" t="s">
        <v>120</v>
      </c>
      <c r="E486" t="s">
        <v>110</v>
      </c>
      <c r="F486" t="s">
        <v>81</v>
      </c>
      <c r="G486">
        <v>42</v>
      </c>
      <c r="H486">
        <v>0</v>
      </c>
      <c r="I486" s="5" t="str">
        <f>OutputTable[[#This Row],[ProjectName]]&amp;OutputTable[[#This Row],[Name]]&amp;OutputTable[[#This Row],[Type]]&amp;OutputTable[[#This Row],[Source]]</f>
        <v>Pedido CleintesOrdnes Number OutNumber OutProcess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30</v>
      </c>
      <c r="K486" s="5" cm="1">
        <f t="array" ref="K486">IFERROR(AVERAGE(IF((OutputTable[GroupByKey]=OutputTable[[#This Row],[GroupByKey]]),(OutputTable[GroupByKey]=OutputTable[[#This Row],[GroupByKey]])*OutputTable[RecordedValue])),0)</f>
        <v>39.666666666666664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6.0477030882540914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86" s="5" cm="1">
        <f t="array" ref="O486">MIN(IF((OutputTable[GroupByKey]=OutputTable[[#This Row],[GroupByKey]]),(OutputTable[GroupByKey]=OutputTable[[#This Row],[GroupByKey]])*OutputTable[RecordedValue]))</f>
        <v>26</v>
      </c>
      <c r="P486" s="5" cm="1">
        <f t="array" ref="P486">MAX(IF((OutputTable[GroupByKey]=OutputTable[[#This Row],[GroupByKey]]),(OutputTable[GroupByKey]=OutputTable[[#This Row],[GroupByKey]])*OutputTable[RecordedValue]))</f>
        <v>49</v>
      </c>
    </row>
    <row r="487" spans="1:16" x14ac:dyDescent="0.25">
      <c r="A487" t="s">
        <v>68</v>
      </c>
      <c r="B487" t="s">
        <v>70</v>
      </c>
      <c r="C487">
        <v>20</v>
      </c>
      <c r="D487" t="s">
        <v>121</v>
      </c>
      <c r="E487" t="s">
        <v>112</v>
      </c>
      <c r="F487" t="s">
        <v>81</v>
      </c>
      <c r="G487">
        <v>30.084595857695799</v>
      </c>
      <c r="H487">
        <v>0</v>
      </c>
      <c r="I487" s="5" t="str">
        <f>OutputTable[[#This Row],[ProjectName]]&amp;OutputTable[[#This Row],[Name]]&amp;OutputTable[[#This Row],[Type]]&amp;OutputTable[[#This Row],[Source]]</f>
        <v>Pedido CleintesPago Accum VA TimeAccum VA TimeProcess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30</v>
      </c>
      <c r="K487" s="5" cm="1">
        <f t="array" ref="K487">IFERROR(AVERAGE(IF((OutputTable[GroupByKey]=OutputTable[[#This Row],[GroupByKey]]),(OutputTable[GroupByKey]=OutputTable[[#This Row],[GroupByKey]])*OutputTable[RecordedValue])),0)</f>
        <v>29.486262713858675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4.747176664010901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487" s="5" cm="1">
        <f t="array" ref="O487">MIN(IF((OutputTable[GroupByKey]=OutputTable[[#This Row],[GroupByKey]]),(OutputTable[GroupByKey]=OutputTable[[#This Row],[GroupByKey]])*OutputTable[RecordedValue]))</f>
        <v>19.573210250889101</v>
      </c>
      <c r="P487" s="5" cm="1">
        <f t="array" ref="P487">MAX(IF((OutputTable[GroupByKey]=OutputTable[[#This Row],[GroupByKey]]),(OutputTable[GroupByKey]=OutputTable[[#This Row],[GroupByKey]])*OutputTable[RecordedValue]))</f>
        <v>37.056974462114901</v>
      </c>
    </row>
    <row r="488" spans="1:16" x14ac:dyDescent="0.25">
      <c r="A488" t="s">
        <v>68</v>
      </c>
      <c r="B488" t="s">
        <v>70</v>
      </c>
      <c r="C488">
        <v>20</v>
      </c>
      <c r="D488" t="s">
        <v>122</v>
      </c>
      <c r="E488" t="s">
        <v>114</v>
      </c>
      <c r="F488" t="s">
        <v>81</v>
      </c>
      <c r="G488">
        <v>15.3541334071035</v>
      </c>
      <c r="H488">
        <v>0</v>
      </c>
      <c r="I488" s="5" t="str">
        <f>OutputTable[[#This Row],[ProjectName]]&amp;OutputTable[[#This Row],[Name]]&amp;OutputTable[[#This Row],[Type]]&amp;OutputTable[[#This Row],[Source]]</f>
        <v>Pedido CleintesPago Accum Wait TimeAccum Wait TimeProcess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30</v>
      </c>
      <c r="K488" s="5" cm="1">
        <f t="array" ref="K488">IFERROR(AVERAGE(IF((OutputTable[GroupByKey]=OutputTable[[#This Row],[GroupByKey]]),(OutputTable[GroupByKey]=OutputTable[[#This Row],[GroupByKey]])*OutputTable[RecordedValue])),0)</f>
        <v>13.025761997568024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7.8467935605388783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488" s="5" cm="1">
        <f t="array" ref="O488">MIN(IF((OutputTable[GroupByKey]=OutputTable[[#This Row],[GroupByKey]]),(OutputTable[GroupByKey]=OutputTable[[#This Row],[GroupByKey]])*OutputTable[RecordedValue]))</f>
        <v>0</v>
      </c>
      <c r="P488" s="5" cm="1">
        <f t="array" ref="P488">MAX(IF((OutputTable[GroupByKey]=OutputTable[[#This Row],[GroupByKey]]),(OutputTable[GroupByKey]=OutputTable[[#This Row],[GroupByKey]])*OutputTable[RecordedValue]))</f>
        <v>32.770863925850499</v>
      </c>
    </row>
    <row r="489" spans="1:16" x14ac:dyDescent="0.25">
      <c r="A489" t="s">
        <v>68</v>
      </c>
      <c r="B489" t="s">
        <v>70</v>
      </c>
      <c r="C489">
        <v>20</v>
      </c>
      <c r="D489" t="s">
        <v>123</v>
      </c>
      <c r="E489" t="s">
        <v>108</v>
      </c>
      <c r="F489" t="s">
        <v>81</v>
      </c>
      <c r="G489">
        <v>42</v>
      </c>
      <c r="H489">
        <v>0</v>
      </c>
      <c r="I489" s="5" t="str">
        <f>OutputTable[[#This Row],[ProjectName]]&amp;OutputTable[[#This Row],[Name]]&amp;OutputTable[[#This Row],[Type]]&amp;OutputTable[[#This Row],[Source]]</f>
        <v>Pedido CleintesPago Number InNumber InProcess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30</v>
      </c>
      <c r="K489" s="5" cm="1">
        <f t="array" ref="K489">IFERROR(AVERAGE(IF((OutputTable[GroupByKey]=OutputTable[[#This Row],[GroupByKey]]),(OutputTable[GroupByKey]=OutputTable[[#This Row],[GroupByKey]])*OutputTable[RecordedValue])),0)</f>
        <v>39.666666666666664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6.0477030882540914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89" s="5" cm="1">
        <f t="array" ref="O489">MIN(IF((OutputTable[GroupByKey]=OutputTable[[#This Row],[GroupByKey]]),(OutputTable[GroupByKey]=OutputTable[[#This Row],[GroupByKey]])*OutputTable[RecordedValue]))</f>
        <v>26</v>
      </c>
      <c r="P489" s="5" cm="1">
        <f t="array" ref="P489">MAX(IF((OutputTable[GroupByKey]=OutputTable[[#This Row],[GroupByKey]]),(OutputTable[GroupByKey]=OutputTable[[#This Row],[GroupByKey]])*OutputTable[RecordedValue]))</f>
        <v>49</v>
      </c>
    </row>
    <row r="490" spans="1:16" x14ac:dyDescent="0.25">
      <c r="A490" t="s">
        <v>68</v>
      </c>
      <c r="B490" t="s">
        <v>70</v>
      </c>
      <c r="C490">
        <v>20</v>
      </c>
      <c r="D490" t="s">
        <v>124</v>
      </c>
      <c r="E490" t="s">
        <v>110</v>
      </c>
      <c r="F490" t="s">
        <v>81</v>
      </c>
      <c r="G490">
        <v>42</v>
      </c>
      <c r="H490">
        <v>0</v>
      </c>
      <c r="I490" s="5" t="str">
        <f>OutputTable[[#This Row],[ProjectName]]&amp;OutputTable[[#This Row],[Name]]&amp;OutputTable[[#This Row],[Type]]&amp;OutputTable[[#This Row],[Source]]</f>
        <v>Pedido CleintesPago Number OutNumber OutProcess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30</v>
      </c>
      <c r="K490" s="5" cm="1">
        <f t="array" ref="K490">IFERROR(AVERAGE(IF((OutputTable[GroupByKey]=OutputTable[[#This Row],[GroupByKey]]),(OutputTable[GroupByKey]=OutputTable[[#This Row],[GroupByKey]])*OutputTable[RecordedValue])),0)</f>
        <v>39.43333333333333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5.9171482724502509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490" s="5" cm="1">
        <f t="array" ref="O490">MIN(IF((OutputTable[GroupByKey]=OutputTable[[#This Row],[GroupByKey]]),(OutputTable[GroupByKey]=OutputTable[[#This Row],[GroupByKey]])*OutputTable[RecordedValue]))</f>
        <v>26</v>
      </c>
      <c r="P490" s="5" cm="1">
        <f t="array" ref="P490">MAX(IF((OutputTable[GroupByKey]=OutputTable[[#This Row],[GroupByKey]]),(OutputTable[GroupByKey]=OutputTable[[#This Row],[GroupByKey]])*OutputTable[RecordedValue]))</f>
        <v>49</v>
      </c>
    </row>
    <row r="491" spans="1:16" x14ac:dyDescent="0.25">
      <c r="A491" t="s">
        <v>68</v>
      </c>
      <c r="B491" t="s">
        <v>70</v>
      </c>
      <c r="C491">
        <v>20</v>
      </c>
      <c r="D491" t="s">
        <v>125</v>
      </c>
      <c r="E491" t="s">
        <v>112</v>
      </c>
      <c r="F491" t="s">
        <v>81</v>
      </c>
      <c r="G491">
        <v>126.074272506604</v>
      </c>
      <c r="H491">
        <v>0</v>
      </c>
      <c r="I49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30</v>
      </c>
      <c r="K491" s="5" cm="1">
        <f t="array" ref="K491">IFERROR(AVERAGE(IF((OutputTable[GroupByKey]=OutputTable[[#This Row],[GroupByKey]]),(OutputTable[GroupByKey]=OutputTable[[#This Row],[GroupByKey]])*OutputTable[RecordedValue])),0)</f>
        <v>116.64263458387505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17.825477946659205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491" s="5" cm="1">
        <f t="array" ref="O491">MIN(IF((OutputTable[GroupByKey]=OutputTable[[#This Row],[GroupByKey]]),(OutputTable[GroupByKey]=OutputTable[[#This Row],[GroupByKey]])*OutputTable[RecordedValue]))</f>
        <v>74.976560761710004</v>
      </c>
      <c r="P491" s="5" cm="1">
        <f t="array" ref="P491">MAX(IF((OutputTable[GroupByKey]=OutputTable[[#This Row],[GroupByKey]]),(OutputTable[GroupByKey]=OutputTable[[#This Row],[GroupByKey]])*OutputTable[RecordedValue]))</f>
        <v>145.504156763596</v>
      </c>
    </row>
    <row r="492" spans="1:16" x14ac:dyDescent="0.25">
      <c r="A492" t="s">
        <v>68</v>
      </c>
      <c r="B492" t="s">
        <v>70</v>
      </c>
      <c r="C492">
        <v>20</v>
      </c>
      <c r="D492" t="s">
        <v>126</v>
      </c>
      <c r="E492" t="s">
        <v>114</v>
      </c>
      <c r="F492" t="s">
        <v>81</v>
      </c>
      <c r="G492">
        <v>48.891559829850898</v>
      </c>
      <c r="H492">
        <v>0</v>
      </c>
      <c r="I49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30</v>
      </c>
      <c r="K492" s="5" cm="1">
        <f t="array" ref="K492">IFERROR(AVERAGE(IF((OutputTable[GroupByKey]=OutputTable[[#This Row],[GroupByKey]]),(OutputTable[GroupByKey]=OutputTable[[#This Row],[GroupByKey]])*OutputTable[RecordedValue])),0)</f>
        <v>39.900972800228722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22.922906975864144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492" s="5" cm="1">
        <f t="array" ref="O492">MIN(IF((OutputTable[GroupByKey]=OutputTable[[#This Row],[GroupByKey]]),(OutputTable[GroupByKey]=OutputTable[[#This Row],[GroupByKey]])*OutputTable[RecordedValue]))</f>
        <v>2.1708788192608899</v>
      </c>
      <c r="P492" s="5" cm="1">
        <f t="array" ref="P492">MAX(IF((OutputTable[GroupByKey]=OutputTable[[#This Row],[GroupByKey]]),(OutputTable[GroupByKey]=OutputTable[[#This Row],[GroupByKey]])*OutputTable[RecordedValue]))</f>
        <v>94.9142929398908</v>
      </c>
    </row>
    <row r="493" spans="1:16" x14ac:dyDescent="0.25">
      <c r="A493" t="s">
        <v>68</v>
      </c>
      <c r="B493" t="s">
        <v>70</v>
      </c>
      <c r="C493">
        <v>20</v>
      </c>
      <c r="D493" t="s">
        <v>127</v>
      </c>
      <c r="E493" t="s">
        <v>108</v>
      </c>
      <c r="F493" t="s">
        <v>81</v>
      </c>
      <c r="G493">
        <v>42</v>
      </c>
      <c r="H493">
        <v>0</v>
      </c>
      <c r="I493" s="5" t="str">
        <f>OutputTable[[#This Row],[ProjectName]]&amp;OutputTable[[#This Row],[Name]]&amp;OutputTable[[#This Row],[Type]]&amp;OutputTable[[#This Row],[Source]]</f>
        <v>Pedido CleintesPreparar orden Number InNumber InProcess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30</v>
      </c>
      <c r="K493" s="5" cm="1">
        <f t="array" ref="K493">IFERROR(AVERAGE(IF((OutputTable[GroupByKey]=OutputTable[[#This Row],[GroupByKey]]),(OutputTable[GroupByKey]=OutputTable[[#This Row],[GroupByKey]])*OutputTable[RecordedValue])),0)</f>
        <v>39.666666666666664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6.0477030882540914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493" s="5" cm="1">
        <f t="array" ref="O493">MIN(IF((OutputTable[GroupByKey]=OutputTable[[#This Row],[GroupByKey]]),(OutputTable[GroupByKey]=OutputTable[[#This Row],[GroupByKey]])*OutputTable[RecordedValue]))</f>
        <v>26</v>
      </c>
      <c r="P493" s="5" cm="1">
        <f t="array" ref="P493">MAX(IF((OutputTable[GroupByKey]=OutputTable[[#This Row],[GroupByKey]]),(OutputTable[GroupByKey]=OutputTable[[#This Row],[GroupByKey]])*OutputTable[RecordedValue]))</f>
        <v>49</v>
      </c>
    </row>
    <row r="494" spans="1:16" x14ac:dyDescent="0.25">
      <c r="A494" t="s">
        <v>68</v>
      </c>
      <c r="B494" t="s">
        <v>70</v>
      </c>
      <c r="C494">
        <v>20</v>
      </c>
      <c r="D494" t="s">
        <v>128</v>
      </c>
      <c r="E494" t="s">
        <v>110</v>
      </c>
      <c r="F494" t="s">
        <v>81</v>
      </c>
      <c r="G494">
        <v>42</v>
      </c>
      <c r="H494">
        <v>0</v>
      </c>
      <c r="I494" s="5" t="str">
        <f>OutputTable[[#This Row],[ProjectName]]&amp;OutputTable[[#This Row],[Name]]&amp;OutputTable[[#This Row],[Type]]&amp;OutputTable[[#This Row],[Source]]</f>
        <v>Pedido CleintesPreparar orden Number OutNumber OutProcess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30</v>
      </c>
      <c r="K494" s="5" cm="1">
        <f t="array" ref="K494">IFERROR(AVERAGE(IF((OutputTable[GroupByKey]=OutputTable[[#This Row],[GroupByKey]]),(OutputTable[GroupByKey]=OutputTable[[#This Row],[GroupByKey]])*OutputTable[RecordedValue])),0)</f>
        <v>38.93333333333333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5.9765826548191505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494" s="5" cm="1">
        <f t="array" ref="O494">MIN(IF((OutputTable[GroupByKey]=OutputTable[[#This Row],[GroupByKey]]),(OutputTable[GroupByKey]=OutputTable[[#This Row],[GroupByKey]])*OutputTable[RecordedValue]))</f>
        <v>25</v>
      </c>
      <c r="P494" s="5" cm="1">
        <f t="array" ref="P494">MAX(IF((OutputTable[GroupByKey]=OutputTable[[#This Row],[GroupByKey]]),(OutputTable[GroupByKey]=OutputTable[[#This Row],[GroupByKey]])*OutputTable[RecordedValue]))</f>
        <v>49</v>
      </c>
    </row>
    <row r="495" spans="1:16" x14ac:dyDescent="0.25">
      <c r="A495" t="s">
        <v>68</v>
      </c>
      <c r="B495" t="s">
        <v>70</v>
      </c>
      <c r="C495">
        <v>20</v>
      </c>
      <c r="D495" t="s">
        <v>129</v>
      </c>
      <c r="E495" t="s">
        <v>110</v>
      </c>
      <c r="F495" t="s">
        <v>130</v>
      </c>
      <c r="G495">
        <v>42</v>
      </c>
      <c r="H495">
        <v>0</v>
      </c>
      <c r="I495" s="5" t="str">
        <f>OutputTable[[#This Row],[ProjectName]]&amp;OutputTable[[#This Row],[Name]]&amp;OutputTable[[#This Row],[Type]]&amp;OutputTable[[#This Row],[Source]]</f>
        <v>Pedido CleintesSystem.NumberOutNumber OutSystem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30</v>
      </c>
      <c r="K495" s="5" cm="1">
        <f t="array" ref="K495">IFERROR(AVERAGE(IF((OutputTable[GroupByKey]=OutputTable[[#This Row],[GroupByKey]]),(OutputTable[GroupByKey]=OutputTable[[#This Row],[GroupByKey]])*OutputTable[RecordedValue])),0)</f>
        <v>38.866666666666667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6.0840851369801694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495" s="5" cm="1">
        <f t="array" ref="O495">MIN(IF((OutputTable[GroupByKey]=OutputTable[[#This Row],[GroupByKey]]),(OutputTable[GroupByKey]=OutputTable[[#This Row],[GroupByKey]])*OutputTable[RecordedValue]))</f>
        <v>24</v>
      </c>
      <c r="P495" s="5" cm="1">
        <f t="array" ref="P495">MAX(IF((OutputTable[GroupByKey]=OutputTable[[#This Row],[GroupByKey]]),(OutputTable[GroupByKey]=OutputTable[[#This Row],[GroupByKey]])*OutputTable[RecordedValue]))</f>
        <v>49</v>
      </c>
    </row>
    <row r="496" spans="1:16" x14ac:dyDescent="0.25">
      <c r="A496" t="s">
        <v>68</v>
      </c>
      <c r="B496" t="s">
        <v>70</v>
      </c>
      <c r="C496">
        <v>20</v>
      </c>
      <c r="D496" t="s">
        <v>131</v>
      </c>
      <c r="E496" t="s">
        <v>132</v>
      </c>
      <c r="F496" t="s">
        <v>102</v>
      </c>
      <c r="G496">
        <v>42</v>
      </c>
      <c r="H496">
        <v>0</v>
      </c>
      <c r="I49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30</v>
      </c>
      <c r="K496" s="5" cm="1">
        <f t="array" ref="K496">IFERROR(AVERAGE(IF((OutputTable[GroupByKey]=OutputTable[[#This Row],[GroupByKey]]),(OutputTable[GroupByKey]=OutputTable[[#This Row],[GroupByKey]])*OutputTable[RecordedValue])),0)</f>
        <v>39.4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5.8757244601014422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496" s="5" cm="1">
        <f t="array" ref="O496">MIN(IF((OutputTable[GroupByKey]=OutputTable[[#This Row],[GroupByKey]]),(OutputTable[GroupByKey]=OutputTable[[#This Row],[GroupByKey]])*OutputTable[RecordedValue]))</f>
        <v>26</v>
      </c>
      <c r="P496" s="5" cm="1">
        <f t="array" ref="P496">MAX(IF((OutputTable[GroupByKey]=OutputTable[[#This Row],[GroupByKey]]),(OutputTable[GroupByKey]=OutputTable[[#This Row],[GroupByKey]])*OutputTable[RecordedValue]))</f>
        <v>49</v>
      </c>
    </row>
    <row r="497" spans="1:16" x14ac:dyDescent="0.25">
      <c r="A497" t="s">
        <v>68</v>
      </c>
      <c r="B497" t="s">
        <v>70</v>
      </c>
      <c r="C497">
        <v>20</v>
      </c>
      <c r="D497" t="s">
        <v>133</v>
      </c>
      <c r="E497" t="s">
        <v>134</v>
      </c>
      <c r="F497" t="s">
        <v>102</v>
      </c>
      <c r="G497">
        <v>0.52530946877751705</v>
      </c>
      <c r="H497">
        <v>0</v>
      </c>
      <c r="I49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30</v>
      </c>
      <c r="K497" s="5" cm="1">
        <f t="array" ref="K497">IFERROR(AVERAGE(IF((OutputTable[GroupByKey]=OutputTable[[#This Row],[GroupByKey]]),(OutputTable[GroupByKey]=OutputTable[[#This Row],[GroupByKey]])*OutputTable[RecordedValue])),0)</f>
        <v>0.48891840079317483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7.3627413122013347E-2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497" s="5" cm="1">
        <f t="array" ref="O497">MIN(IF((OutputTable[GroupByKey]=OutputTable[[#This Row],[GroupByKey]]),(OutputTable[GroupByKey]=OutputTable[[#This Row],[GroupByKey]])*OutputTable[RecordedValue]))</f>
        <v>0.31277577999924699</v>
      </c>
      <c r="P497" s="5" cm="1">
        <f t="array" ref="P497">MAX(IF((OutputTable[GroupByKey]=OutputTable[[#This Row],[GroupByKey]]),(OutputTable[GroupByKey]=OutputTable[[#This Row],[GroupByKey]])*OutputTable[RecordedValue]))</f>
        <v>0.60626731984831705</v>
      </c>
    </row>
    <row r="498" spans="1:16" x14ac:dyDescent="0.25">
      <c r="A498" t="s">
        <v>68</v>
      </c>
      <c r="B498" t="s">
        <v>70</v>
      </c>
      <c r="C498">
        <v>20</v>
      </c>
      <c r="D498" t="s">
        <v>135</v>
      </c>
      <c r="E498" t="s">
        <v>132</v>
      </c>
      <c r="F498" t="s">
        <v>102</v>
      </c>
      <c r="G498">
        <v>84</v>
      </c>
      <c r="H498">
        <v>0</v>
      </c>
      <c r="I49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30</v>
      </c>
      <c r="K498" s="5" cm="1">
        <f t="array" ref="K498">IFERROR(AVERAGE(IF((OutputTable[GroupByKey]=OutputTable[[#This Row],[GroupByKey]]),(OutputTable[GroupByKey]=OutputTable[[#This Row],[GroupByKey]])*OutputTable[RecordedValue])),0)</f>
        <v>79.466666666666669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12.016463801753446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498" s="5" cm="1">
        <f t="array" ref="O498">MIN(IF((OutputTable[GroupByKey]=OutputTable[[#This Row],[GroupByKey]]),(OutputTable[GroupByKey]=OutputTable[[#This Row],[GroupByKey]])*OutputTable[RecordedValue]))</f>
        <v>53</v>
      </c>
      <c r="P498" s="5" cm="1">
        <f t="array" ref="P498">MAX(IF((OutputTable[GroupByKey]=OutputTable[[#This Row],[GroupByKey]]),(OutputTable[GroupByKey]=OutputTable[[#This Row],[GroupByKey]])*OutputTable[RecordedValue]))</f>
        <v>98</v>
      </c>
    </row>
    <row r="499" spans="1:16" x14ac:dyDescent="0.25">
      <c r="A499" t="s">
        <v>68</v>
      </c>
      <c r="B499" t="s">
        <v>70</v>
      </c>
      <c r="C499">
        <v>20</v>
      </c>
      <c r="D499" t="s">
        <v>136</v>
      </c>
      <c r="E499" t="s">
        <v>134</v>
      </c>
      <c r="F499" t="s">
        <v>102</v>
      </c>
      <c r="G499">
        <v>0.30662979542172702</v>
      </c>
      <c r="H499">
        <v>0</v>
      </c>
      <c r="I49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30</v>
      </c>
      <c r="K499" s="5" cm="1">
        <f t="array" ref="K499">IFERROR(AVERAGE(IF((OutputTable[GroupByKey]=OutputTable[[#This Row],[GroupByKey]]),(OutputTable[GroupByKey]=OutputTable[[#This Row],[GroupByKey]])*OutputTable[RecordedValue])),0)</f>
        <v>0.28976365927997022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4.4748273652133699E-2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499" s="5" cm="1">
        <f t="array" ref="O499">MIN(IF((OutputTable[GroupByKey]=OutputTable[[#This Row],[GroupByKey]]),(OutputTable[GroupByKey]=OutputTable[[#This Row],[GroupByKey]])*OutputTable[RecordedValue]))</f>
        <v>0.194735973294278</v>
      </c>
      <c r="P499" s="5" cm="1">
        <f t="array" ref="P499">MAX(IF((OutputTable[GroupByKey]=OutputTable[[#This Row],[GroupByKey]]),(OutputTable[GroupByKey]=OutputTable[[#This Row],[GroupByKey]])*OutputTable[RecordedValue]))</f>
        <v>0.35775345817659199</v>
      </c>
    </row>
    <row r="500" spans="1:16" x14ac:dyDescent="0.25">
      <c r="A500" t="s">
        <v>68</v>
      </c>
      <c r="B500" t="s">
        <v>70</v>
      </c>
      <c r="C500">
        <v>20</v>
      </c>
      <c r="D500" t="s">
        <v>137</v>
      </c>
      <c r="E500" t="s">
        <v>132</v>
      </c>
      <c r="F500" t="s">
        <v>102</v>
      </c>
      <c r="G500">
        <v>42</v>
      </c>
      <c r="H500">
        <v>0</v>
      </c>
      <c r="I50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30</v>
      </c>
      <c r="K500" s="5" cm="1">
        <f t="array" ref="K500">IFERROR(AVERAGE(IF((OutputTable[GroupByKey]=OutputTable[[#This Row],[GroupByKey]]),(OutputTable[GroupByKey]=OutputTable[[#This Row],[GroupByKey]])*OutputTable[RecordedValue])),0)</f>
        <v>38.93333333333333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5.9765826548191505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00" s="5" cm="1">
        <f t="array" ref="O500">MIN(IF((OutputTable[GroupByKey]=OutputTable[[#This Row],[GroupByKey]]),(OutputTable[GroupByKey]=OutputTable[[#This Row],[GroupByKey]])*OutputTable[RecordedValue]))</f>
        <v>25</v>
      </c>
      <c r="P500" s="5" cm="1">
        <f t="array" ref="P500">MAX(IF((OutputTable[GroupByKey]=OutputTable[[#This Row],[GroupByKey]]),(OutputTable[GroupByKey]=OutputTable[[#This Row],[GroupByKey]])*OutputTable[RecordedValue]))</f>
        <v>49</v>
      </c>
    </row>
    <row r="501" spans="1:16" x14ac:dyDescent="0.25">
      <c r="A501" t="s">
        <v>68</v>
      </c>
      <c r="B501" t="s">
        <v>70</v>
      </c>
      <c r="C501">
        <v>20</v>
      </c>
      <c r="D501" t="s">
        <v>138</v>
      </c>
      <c r="E501" t="s">
        <v>134</v>
      </c>
      <c r="F501" t="s">
        <v>102</v>
      </c>
      <c r="G501">
        <v>8.2916230181559497E-2</v>
      </c>
      <c r="H501">
        <v>0</v>
      </c>
      <c r="I50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30</v>
      </c>
      <c r="K501" s="5" cm="1">
        <f t="array" ref="K501">IFERROR(AVERAGE(IF((OutputTable[GroupByKey]=OutputTable[[#This Row],[GroupByKey]]),(OutputTable[GroupByKey]=OutputTable[[#This Row],[GroupByKey]])*OutputTable[RecordedValue])),0)</f>
        <v>8.2588852761398115E-2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1.3130964022328008E-2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501" s="5" cm="1">
        <f t="array" ref="O501">MIN(IF((OutputTable[GroupByKey]=OutputTable[[#This Row],[GroupByKey]]),(OutputTable[GroupByKey]=OutputTable[[#This Row],[GroupByKey]])*OutputTable[RecordedValue]))</f>
        <v>5.3757894868807901E-2</v>
      </c>
      <c r="P501" s="5" cm="1">
        <f t="array" ref="P501">MAX(IF((OutputTable[GroupByKey]=OutputTable[[#This Row],[GroupByKey]]),(OutputTable[GroupByKey]=OutputTable[[#This Row],[GroupByKey]])*OutputTable[RecordedValue]))</f>
        <v>0.103175045984152</v>
      </c>
    </row>
    <row r="502" spans="1:16" x14ac:dyDescent="0.25">
      <c r="A502" t="s">
        <v>68</v>
      </c>
      <c r="B502" t="s">
        <v>70</v>
      </c>
      <c r="C502">
        <v>21</v>
      </c>
      <c r="D502" t="s">
        <v>107</v>
      </c>
      <c r="E502" t="s">
        <v>108</v>
      </c>
      <c r="F502" t="s">
        <v>73</v>
      </c>
      <c r="G502">
        <v>147</v>
      </c>
      <c r="H502">
        <v>0</v>
      </c>
      <c r="I502" s="5" t="str">
        <f>OutputTable[[#This Row],[ProjectName]]&amp;OutputTable[[#This Row],[Name]]&amp;OutputTable[[#This Row],[Type]]&amp;OutputTable[[#This Row],[Source]]</f>
        <v>Pedido CleintesClientes.NumberInNumber InEntity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30</v>
      </c>
      <c r="K502" s="5" cm="1">
        <f t="array" ref="K502">IFERROR(AVERAGE(IF((OutputTable[GroupByKey]=OutputTable[[#This Row],[GroupByKey]]),(OutputTable[GroupByKey]=OutputTable[[#This Row],[GroupByKey]])*OutputTable[RecordedValue])),0)</f>
        <v>118.5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18.009097317936192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502" s="5" cm="1">
        <f t="array" ref="O502">MIN(IF((OutputTable[GroupByKey]=OutputTable[[#This Row],[GroupByKey]]),(OutputTable[GroupByKey]=OutputTable[[#This Row],[GroupByKey]])*OutputTable[RecordedValue]))</f>
        <v>78</v>
      </c>
      <c r="P502" s="5" cm="1">
        <f t="array" ref="P502">MAX(IF((OutputTable[GroupByKey]=OutputTable[[#This Row],[GroupByKey]]),(OutputTable[GroupByKey]=OutputTable[[#This Row],[GroupByKey]])*OutputTable[RecordedValue]))</f>
        <v>147</v>
      </c>
    </row>
    <row r="503" spans="1:16" x14ac:dyDescent="0.25">
      <c r="A503" t="s">
        <v>68</v>
      </c>
      <c r="B503" t="s">
        <v>70</v>
      </c>
      <c r="C503">
        <v>21</v>
      </c>
      <c r="D503" t="s">
        <v>109</v>
      </c>
      <c r="E503" t="s">
        <v>110</v>
      </c>
      <c r="F503" t="s">
        <v>73</v>
      </c>
      <c r="G503">
        <v>147</v>
      </c>
      <c r="H503">
        <v>0</v>
      </c>
      <c r="I503" s="5" t="str">
        <f>OutputTable[[#This Row],[ProjectName]]&amp;OutputTable[[#This Row],[Name]]&amp;OutputTable[[#This Row],[Type]]&amp;OutputTable[[#This Row],[Source]]</f>
        <v>Pedido CleintesClientes.NumberOutNumber OutEntity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30</v>
      </c>
      <c r="K503" s="5" cm="1">
        <f t="array" ref="K503">IFERROR(AVERAGE(IF((OutputTable[GroupByKey]=OutputTable[[#This Row],[GroupByKey]]),(OutputTable[GroupByKey]=OutputTable[[#This Row],[GroupByKey]])*OutputTable[RecordedValue])),0)</f>
        <v>116.6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18.252255410940514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503" s="5" cm="1">
        <f t="array" ref="O503">MIN(IF((OutputTable[GroupByKey]=OutputTable[[#This Row],[GroupByKey]]),(OutputTable[GroupByKey]=OutputTable[[#This Row],[GroupByKey]])*OutputTable[RecordedValue]))</f>
        <v>72</v>
      </c>
      <c r="P503" s="5" cm="1">
        <f t="array" ref="P503">MAX(IF((OutputTable[GroupByKey]=OutputTable[[#This Row],[GroupByKey]]),(OutputTable[GroupByKey]=OutputTable[[#This Row],[GroupByKey]])*OutputTable[RecordedValue]))</f>
        <v>147</v>
      </c>
    </row>
    <row r="504" spans="1:16" x14ac:dyDescent="0.25">
      <c r="A504" t="s">
        <v>68</v>
      </c>
      <c r="B504" t="s">
        <v>70</v>
      </c>
      <c r="C504">
        <v>21</v>
      </c>
      <c r="D504" t="s">
        <v>111</v>
      </c>
      <c r="E504" t="s">
        <v>112</v>
      </c>
      <c r="F504" t="s">
        <v>81</v>
      </c>
      <c r="G504">
        <v>24.740895003853002</v>
      </c>
      <c r="H504">
        <v>0</v>
      </c>
      <c r="I50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30</v>
      </c>
      <c r="K504" s="5" cm="1">
        <f t="array" ref="K504">IFERROR(AVERAGE(IF((OutputTable[GroupByKey]=OutputTable[[#This Row],[GroupByKey]]),(OutputTable[GroupByKey]=OutputTable[[#This Row],[GroupByKey]])*OutputTable[RecordedValue])),0)</f>
        <v>19.806808580201274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3.1624794742170024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504" s="5" cm="1">
        <f t="array" ref="O504">MIN(IF((OutputTable[GroupByKey]=OutputTable[[#This Row],[GroupByKey]]),(OutputTable[GroupByKey]=OutputTable[[#This Row],[GroupByKey]])*OutputTable[RecordedValue]))</f>
        <v>12.812268330404599</v>
      </c>
      <c r="P504" s="5" cm="1">
        <f t="array" ref="P504">MAX(IF((OutputTable[GroupByKey]=OutputTable[[#This Row],[GroupByKey]]),(OutputTable[GroupByKey]=OutputTable[[#This Row],[GroupByKey]])*OutputTable[RecordedValue]))</f>
        <v>24.762011036196501</v>
      </c>
    </row>
    <row r="505" spans="1:16" x14ac:dyDescent="0.25">
      <c r="A505" t="s">
        <v>68</v>
      </c>
      <c r="B505" t="s">
        <v>70</v>
      </c>
      <c r="C505">
        <v>21</v>
      </c>
      <c r="D505" t="s">
        <v>113</v>
      </c>
      <c r="E505" t="s">
        <v>114</v>
      </c>
      <c r="F505" t="s">
        <v>81</v>
      </c>
      <c r="G505">
        <v>0</v>
      </c>
      <c r="H505">
        <v>0</v>
      </c>
      <c r="I50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30</v>
      </c>
      <c r="K505" s="5" cm="1">
        <f t="array" ref="K505">IFERROR(AVERAGE(IF((OutputTable[GroupByKey]=OutputTable[[#This Row],[GroupByKey]]),(OutputTable[GroupByKey]=OutputTable[[#This Row],[GroupByKey]])*OutputTable[RecordedValue])),0)</f>
        <v>0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5" s="5" cm="1">
        <f t="array" ref="O505">MIN(IF((OutputTable[GroupByKey]=OutputTable[[#This Row],[GroupByKey]]),(OutputTable[GroupByKey]=OutputTable[[#This Row],[GroupByKey]])*OutputTable[RecordedValue]))</f>
        <v>0</v>
      </c>
      <c r="P505" s="5" cm="1">
        <f t="array" ref="P505">MAX(IF((OutputTable[GroupByKey]=OutputTable[[#This Row],[GroupByKey]]),(OutputTable[GroupByKey]=OutputTable[[#This Row],[GroupByKey]])*OutputTable[RecordedValue]))</f>
        <v>0</v>
      </c>
    </row>
    <row r="506" spans="1:16" x14ac:dyDescent="0.25">
      <c r="A506" t="s">
        <v>68</v>
      </c>
      <c r="B506" t="s">
        <v>70</v>
      </c>
      <c r="C506">
        <v>21</v>
      </c>
      <c r="D506" t="s">
        <v>115</v>
      </c>
      <c r="E506" t="s">
        <v>108</v>
      </c>
      <c r="F506" t="s">
        <v>81</v>
      </c>
      <c r="G506">
        <v>49</v>
      </c>
      <c r="H506">
        <v>0</v>
      </c>
      <c r="I50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30</v>
      </c>
      <c r="K506" s="5" cm="1">
        <f t="array" ref="K506">IFERROR(AVERAGE(IF((OutputTable[GroupByKey]=OutputTable[[#This Row],[GroupByKey]]),(OutputTable[GroupByKey]=OutputTable[[#This Row],[GroupByKey]])*OutputTable[RecordedValue])),0)</f>
        <v>38.93333333333333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5.9765826548191505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06" s="5" cm="1">
        <f t="array" ref="O506">MIN(IF((OutputTable[GroupByKey]=OutputTable[[#This Row],[GroupByKey]]),(OutputTable[GroupByKey]=OutputTable[[#This Row],[GroupByKey]])*OutputTable[RecordedValue]))</f>
        <v>25</v>
      </c>
      <c r="P506" s="5" cm="1">
        <f t="array" ref="P506">MAX(IF((OutputTable[GroupByKey]=OutputTable[[#This Row],[GroupByKey]]),(OutputTable[GroupByKey]=OutputTable[[#This Row],[GroupByKey]])*OutputTable[RecordedValue]))</f>
        <v>49</v>
      </c>
    </row>
    <row r="507" spans="1:16" x14ac:dyDescent="0.25">
      <c r="A507" t="s">
        <v>68</v>
      </c>
      <c r="B507" t="s">
        <v>70</v>
      </c>
      <c r="C507">
        <v>21</v>
      </c>
      <c r="D507" t="s">
        <v>116</v>
      </c>
      <c r="E507" t="s">
        <v>110</v>
      </c>
      <c r="F507" t="s">
        <v>81</v>
      </c>
      <c r="G507">
        <v>49</v>
      </c>
      <c r="H507">
        <v>0</v>
      </c>
      <c r="I50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30</v>
      </c>
      <c r="K507" s="5" cm="1">
        <f t="array" ref="K507">IFERROR(AVERAGE(IF((OutputTable[GroupByKey]=OutputTable[[#This Row],[GroupByKey]]),(OutputTable[GroupByKey]=OutputTable[[#This Row],[GroupByKey]])*OutputTable[RecordedValue])),0)</f>
        <v>38.866666666666667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6.0840851369801694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07" s="5" cm="1">
        <f t="array" ref="O507">MIN(IF((OutputTable[GroupByKey]=OutputTable[[#This Row],[GroupByKey]]),(OutputTable[GroupByKey]=OutputTable[[#This Row],[GroupByKey]])*OutputTable[RecordedValue]))</f>
        <v>24</v>
      </c>
      <c r="P507" s="5" cm="1">
        <f t="array" ref="P507">MAX(IF((OutputTable[GroupByKey]=OutputTable[[#This Row],[GroupByKey]]),(OutputTable[GroupByKey]=OutputTable[[#This Row],[GroupByKey]])*OutputTable[RecordedValue]))</f>
        <v>49</v>
      </c>
    </row>
    <row r="508" spans="1:16" x14ac:dyDescent="0.25">
      <c r="A508" t="s">
        <v>68</v>
      </c>
      <c r="B508" t="s">
        <v>70</v>
      </c>
      <c r="C508">
        <v>21</v>
      </c>
      <c r="D508" t="s">
        <v>117</v>
      </c>
      <c r="E508" t="s">
        <v>112</v>
      </c>
      <c r="F508" t="s">
        <v>81</v>
      </c>
      <c r="G508">
        <v>48.357508472644902</v>
      </c>
      <c r="H508">
        <v>0</v>
      </c>
      <c r="I508" s="5" t="str">
        <f>OutputTable[[#This Row],[ProjectName]]&amp;OutputTable[[#This Row],[Name]]&amp;OutputTable[[#This Row],[Type]]&amp;OutputTable[[#This Row],[Source]]</f>
        <v>Pedido CleintesOrdnes Accum VA TimeAccum VA TimeProcess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30</v>
      </c>
      <c r="K508" s="5" cm="1">
        <f t="array" ref="K508">IFERROR(AVERAGE(IF((OutputTable[GroupByKey]=OutputTable[[#This Row],[GroupByKey]]),(OutputTable[GroupByKey]=OutputTable[[#This Row],[GroupByKey]])*OutputTable[RecordedValue])),0)</f>
        <v>39.878126992056487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6.1068580319474277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508" s="5" cm="1">
        <f t="array" ref="O508">MIN(IF((OutputTable[GroupByKey]=OutputTable[[#This Row],[GroupByKey]]),(OutputTable[GroupByKey]=OutputTable[[#This Row],[GroupByKey]])*OutputTable[RecordedValue]))</f>
        <v>26.106281767804099</v>
      </c>
      <c r="P508" s="5" cm="1">
        <f t="array" ref="P508">MAX(IF((OutputTable[GroupByKey]=OutputTable[[#This Row],[GroupByKey]]),(OutputTable[GroupByKey]=OutputTable[[#This Row],[GroupByKey]])*OutputTable[RecordedValue]))</f>
        <v>48.706388790541098</v>
      </c>
    </row>
    <row r="509" spans="1:16" x14ac:dyDescent="0.25">
      <c r="A509" t="s">
        <v>68</v>
      </c>
      <c r="B509" t="s">
        <v>70</v>
      </c>
      <c r="C509">
        <v>21</v>
      </c>
      <c r="D509" t="s">
        <v>118</v>
      </c>
      <c r="E509" t="s">
        <v>114</v>
      </c>
      <c r="F509" t="s">
        <v>81</v>
      </c>
      <c r="G509">
        <v>7.7786262673805204</v>
      </c>
      <c r="H509">
        <v>0</v>
      </c>
      <c r="I50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30</v>
      </c>
      <c r="K509" s="5" cm="1">
        <f t="array" ref="K509">IFERROR(AVERAGE(IF((OutputTable[GroupByKey]=OutputTable[[#This Row],[GroupByKey]]),(OutputTable[GroupByKey]=OutputTable[[#This Row],[GroupByKey]])*OutputTable[RecordedValue])),0)</f>
        <v>7.9804799821754404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4.8950382198155014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509" s="5" cm="1">
        <f t="array" ref="O509">MIN(IF((OutputTable[GroupByKey]=OutputTable[[#This Row],[GroupByKey]]),(OutputTable[GroupByKey]=OutputTable[[#This Row],[GroupByKey]])*OutputTable[RecordedValue]))</f>
        <v>0</v>
      </c>
      <c r="P509" s="5" cm="1">
        <f t="array" ref="P509">MAX(IF((OutputTable[GroupByKey]=OutputTable[[#This Row],[GroupByKey]]),(OutputTable[GroupByKey]=OutputTable[[#This Row],[GroupByKey]])*OutputTable[RecordedValue]))</f>
        <v>18.843855117811401</v>
      </c>
    </row>
    <row r="510" spans="1:16" x14ac:dyDescent="0.25">
      <c r="A510" t="s">
        <v>68</v>
      </c>
      <c r="B510" t="s">
        <v>70</v>
      </c>
      <c r="C510">
        <v>21</v>
      </c>
      <c r="D510" t="s">
        <v>119</v>
      </c>
      <c r="E510" t="s">
        <v>108</v>
      </c>
      <c r="F510" t="s">
        <v>81</v>
      </c>
      <c r="G510">
        <v>49</v>
      </c>
      <c r="H510">
        <v>0</v>
      </c>
      <c r="I510" s="5" t="str">
        <f>OutputTable[[#This Row],[ProjectName]]&amp;OutputTable[[#This Row],[Name]]&amp;OutputTable[[#This Row],[Type]]&amp;OutputTable[[#This Row],[Source]]</f>
        <v>Pedido CleintesOrdnes Number InNumber InProcess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30</v>
      </c>
      <c r="K510" s="5" cm="1">
        <f t="array" ref="K510">IFERROR(AVERAGE(IF((OutputTable[GroupByKey]=OutputTable[[#This Row],[GroupByKey]]),(OutputTable[GroupByKey]=OutputTable[[#This Row],[GroupByKey]])*OutputTable[RecordedValue])),0)</f>
        <v>39.9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6.0648791101463475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510" s="5" cm="1">
        <f t="array" ref="O510">MIN(IF((OutputTable[GroupByKey]=OutputTable[[#This Row],[GroupByKey]]),(OutputTable[GroupByKey]=OutputTable[[#This Row],[GroupByKey]])*OutputTable[RecordedValue]))</f>
        <v>27</v>
      </c>
      <c r="P510" s="5" cm="1">
        <f t="array" ref="P510">MAX(IF((OutputTable[GroupByKey]=OutputTable[[#This Row],[GroupByKey]]),(OutputTable[GroupByKey]=OutputTable[[#This Row],[GroupByKey]])*OutputTable[RecordedValue]))</f>
        <v>49</v>
      </c>
    </row>
    <row r="511" spans="1:16" x14ac:dyDescent="0.25">
      <c r="A511" t="s">
        <v>68</v>
      </c>
      <c r="B511" t="s">
        <v>70</v>
      </c>
      <c r="C511">
        <v>21</v>
      </c>
      <c r="D511" t="s">
        <v>120</v>
      </c>
      <c r="E511" t="s">
        <v>110</v>
      </c>
      <c r="F511" t="s">
        <v>81</v>
      </c>
      <c r="G511">
        <v>49</v>
      </c>
      <c r="H511">
        <v>0</v>
      </c>
      <c r="I511" s="5" t="str">
        <f>OutputTable[[#This Row],[ProjectName]]&amp;OutputTable[[#This Row],[Name]]&amp;OutputTable[[#This Row],[Type]]&amp;OutputTable[[#This Row],[Source]]</f>
        <v>Pedido CleintesOrdnes Number OutNumber OutProcess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30</v>
      </c>
      <c r="K511" s="5" cm="1">
        <f t="array" ref="K511">IFERROR(AVERAGE(IF((OutputTable[GroupByKey]=OutputTable[[#This Row],[GroupByKey]]),(OutputTable[GroupByKey]=OutputTable[[#This Row],[GroupByKey]])*OutputTable[RecordedValue])),0)</f>
        <v>39.666666666666664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6.0477030882540914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11" s="5" cm="1">
        <f t="array" ref="O511">MIN(IF((OutputTable[GroupByKey]=OutputTable[[#This Row],[GroupByKey]]),(OutputTable[GroupByKey]=OutputTable[[#This Row],[GroupByKey]])*OutputTable[RecordedValue]))</f>
        <v>26</v>
      </c>
      <c r="P511" s="5" cm="1">
        <f t="array" ref="P511">MAX(IF((OutputTable[GroupByKey]=OutputTable[[#This Row],[GroupByKey]]),(OutputTable[GroupByKey]=OutputTable[[#This Row],[GroupByKey]])*OutputTable[RecordedValue]))</f>
        <v>49</v>
      </c>
    </row>
    <row r="512" spans="1:16" x14ac:dyDescent="0.25">
      <c r="A512" t="s">
        <v>68</v>
      </c>
      <c r="B512" t="s">
        <v>70</v>
      </c>
      <c r="C512">
        <v>21</v>
      </c>
      <c r="D512" t="s">
        <v>121</v>
      </c>
      <c r="E512" t="s">
        <v>112</v>
      </c>
      <c r="F512" t="s">
        <v>81</v>
      </c>
      <c r="G512">
        <v>34.5319932922961</v>
      </c>
      <c r="H512">
        <v>0</v>
      </c>
      <c r="I512" s="5" t="str">
        <f>OutputTable[[#This Row],[ProjectName]]&amp;OutputTable[[#This Row],[Name]]&amp;OutputTable[[#This Row],[Type]]&amp;OutputTable[[#This Row],[Source]]</f>
        <v>Pedido CleintesPago Accum VA TimeAccum VA TimeProcess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30</v>
      </c>
      <c r="K512" s="5" cm="1">
        <f t="array" ref="K512">IFERROR(AVERAGE(IF((OutputTable[GroupByKey]=OutputTable[[#This Row],[GroupByKey]]),(OutputTable[GroupByKey]=OutputTable[[#This Row],[GroupByKey]])*OutputTable[RecordedValue])),0)</f>
        <v>29.486262713858675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4.747176664010901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512" s="5" cm="1">
        <f t="array" ref="O512">MIN(IF((OutputTable[GroupByKey]=OutputTable[[#This Row],[GroupByKey]]),(OutputTable[GroupByKey]=OutputTable[[#This Row],[GroupByKey]])*OutputTable[RecordedValue]))</f>
        <v>19.573210250889101</v>
      </c>
      <c r="P512" s="5" cm="1">
        <f t="array" ref="P512">MAX(IF((OutputTable[GroupByKey]=OutputTable[[#This Row],[GroupByKey]]),(OutputTable[GroupByKey]=OutputTable[[#This Row],[GroupByKey]])*OutputTable[RecordedValue]))</f>
        <v>37.056974462114901</v>
      </c>
    </row>
    <row r="513" spans="1:16" x14ac:dyDescent="0.25">
      <c r="A513" t="s">
        <v>68</v>
      </c>
      <c r="B513" t="s">
        <v>70</v>
      </c>
      <c r="C513">
        <v>21</v>
      </c>
      <c r="D513" t="s">
        <v>122</v>
      </c>
      <c r="E513" t="s">
        <v>114</v>
      </c>
      <c r="F513" t="s">
        <v>81</v>
      </c>
      <c r="G513">
        <v>12.8929300412122</v>
      </c>
      <c r="H513">
        <v>0</v>
      </c>
      <c r="I513" s="5" t="str">
        <f>OutputTable[[#This Row],[ProjectName]]&amp;OutputTable[[#This Row],[Name]]&amp;OutputTable[[#This Row],[Type]]&amp;OutputTable[[#This Row],[Source]]</f>
        <v>Pedido CleintesPago Accum Wait TimeAccum Wait TimeProcess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30</v>
      </c>
      <c r="K513" s="5" cm="1">
        <f t="array" ref="K513">IFERROR(AVERAGE(IF((OutputTable[GroupByKey]=OutputTable[[#This Row],[GroupByKey]]),(OutputTable[GroupByKey]=OutputTable[[#This Row],[GroupByKey]])*OutputTable[RecordedValue])),0)</f>
        <v>13.025761997568024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7.8467935605388783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513" s="5" cm="1">
        <f t="array" ref="O513">MIN(IF((OutputTable[GroupByKey]=OutputTable[[#This Row],[GroupByKey]]),(OutputTable[GroupByKey]=OutputTable[[#This Row],[GroupByKey]])*OutputTable[RecordedValue]))</f>
        <v>0</v>
      </c>
      <c r="P513" s="5" cm="1">
        <f t="array" ref="P513">MAX(IF((OutputTable[GroupByKey]=OutputTable[[#This Row],[GroupByKey]]),(OutputTable[GroupByKey]=OutputTable[[#This Row],[GroupByKey]])*OutputTable[RecordedValue]))</f>
        <v>32.770863925850499</v>
      </c>
    </row>
    <row r="514" spans="1:16" x14ac:dyDescent="0.25">
      <c r="A514" t="s">
        <v>68</v>
      </c>
      <c r="B514" t="s">
        <v>70</v>
      </c>
      <c r="C514">
        <v>21</v>
      </c>
      <c r="D514" t="s">
        <v>123</v>
      </c>
      <c r="E514" t="s">
        <v>108</v>
      </c>
      <c r="F514" t="s">
        <v>81</v>
      </c>
      <c r="G514">
        <v>49</v>
      </c>
      <c r="H514">
        <v>0</v>
      </c>
      <c r="I514" s="5" t="str">
        <f>OutputTable[[#This Row],[ProjectName]]&amp;OutputTable[[#This Row],[Name]]&amp;OutputTable[[#This Row],[Type]]&amp;OutputTable[[#This Row],[Source]]</f>
        <v>Pedido CleintesPago Number InNumber InProcess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30</v>
      </c>
      <c r="K514" s="5" cm="1">
        <f t="array" ref="K514">IFERROR(AVERAGE(IF((OutputTable[GroupByKey]=OutputTable[[#This Row],[GroupByKey]]),(OutputTable[GroupByKey]=OutputTable[[#This Row],[GroupByKey]])*OutputTable[RecordedValue])),0)</f>
        <v>39.666666666666664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6.0477030882540914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14" s="5" cm="1">
        <f t="array" ref="O514">MIN(IF((OutputTable[GroupByKey]=OutputTable[[#This Row],[GroupByKey]]),(OutputTable[GroupByKey]=OutputTable[[#This Row],[GroupByKey]])*OutputTable[RecordedValue]))</f>
        <v>26</v>
      </c>
      <c r="P514" s="5" cm="1">
        <f t="array" ref="P514">MAX(IF((OutputTable[GroupByKey]=OutputTable[[#This Row],[GroupByKey]]),(OutputTable[GroupByKey]=OutputTable[[#This Row],[GroupByKey]])*OutputTable[RecordedValue]))</f>
        <v>49</v>
      </c>
    </row>
    <row r="515" spans="1:16" x14ac:dyDescent="0.25">
      <c r="A515" t="s">
        <v>68</v>
      </c>
      <c r="B515" t="s">
        <v>70</v>
      </c>
      <c r="C515">
        <v>21</v>
      </c>
      <c r="D515" t="s">
        <v>124</v>
      </c>
      <c r="E515" t="s">
        <v>110</v>
      </c>
      <c r="F515" t="s">
        <v>81</v>
      </c>
      <c r="G515">
        <v>49</v>
      </c>
      <c r="H515">
        <v>0</v>
      </c>
      <c r="I515" s="5" t="str">
        <f>OutputTable[[#This Row],[ProjectName]]&amp;OutputTable[[#This Row],[Name]]&amp;OutputTable[[#This Row],[Type]]&amp;OutputTable[[#This Row],[Source]]</f>
        <v>Pedido CleintesPago Number OutNumber OutProcess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30</v>
      </c>
      <c r="K515" s="5" cm="1">
        <f t="array" ref="K515">IFERROR(AVERAGE(IF((OutputTable[GroupByKey]=OutputTable[[#This Row],[GroupByKey]]),(OutputTable[GroupByKey]=OutputTable[[#This Row],[GroupByKey]])*OutputTable[RecordedValue])),0)</f>
        <v>39.43333333333333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5.9171482724502509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515" s="5" cm="1">
        <f t="array" ref="O515">MIN(IF((OutputTable[GroupByKey]=OutputTable[[#This Row],[GroupByKey]]),(OutputTable[GroupByKey]=OutputTable[[#This Row],[GroupByKey]])*OutputTable[RecordedValue]))</f>
        <v>26</v>
      </c>
      <c r="P515" s="5" cm="1">
        <f t="array" ref="P515">MAX(IF((OutputTable[GroupByKey]=OutputTable[[#This Row],[GroupByKey]]),(OutputTable[GroupByKey]=OutputTable[[#This Row],[GroupByKey]])*OutputTable[RecordedValue]))</f>
        <v>49</v>
      </c>
    </row>
    <row r="516" spans="1:16" x14ac:dyDescent="0.25">
      <c r="A516" t="s">
        <v>68</v>
      </c>
      <c r="B516" t="s">
        <v>70</v>
      </c>
      <c r="C516">
        <v>21</v>
      </c>
      <c r="D516" t="s">
        <v>125</v>
      </c>
      <c r="E516" t="s">
        <v>112</v>
      </c>
      <c r="F516" t="s">
        <v>81</v>
      </c>
      <c r="G516">
        <v>145.504156763596</v>
      </c>
      <c r="H516">
        <v>0</v>
      </c>
      <c r="I51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30</v>
      </c>
      <c r="K516" s="5" cm="1">
        <f t="array" ref="K516">IFERROR(AVERAGE(IF((OutputTable[GroupByKey]=OutputTable[[#This Row],[GroupByKey]]),(OutputTable[GroupByKey]=OutputTable[[#This Row],[GroupByKey]])*OutputTable[RecordedValue])),0)</f>
        <v>116.64263458387505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17.825477946659205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516" s="5" cm="1">
        <f t="array" ref="O516">MIN(IF((OutputTable[GroupByKey]=OutputTable[[#This Row],[GroupByKey]]),(OutputTable[GroupByKey]=OutputTable[[#This Row],[GroupByKey]])*OutputTable[RecordedValue]))</f>
        <v>74.976560761710004</v>
      </c>
      <c r="P516" s="5" cm="1">
        <f t="array" ref="P516">MAX(IF((OutputTable[GroupByKey]=OutputTable[[#This Row],[GroupByKey]]),(OutputTable[GroupByKey]=OutputTable[[#This Row],[GroupByKey]])*OutputTable[RecordedValue]))</f>
        <v>145.504156763596</v>
      </c>
    </row>
    <row r="517" spans="1:16" x14ac:dyDescent="0.25">
      <c r="A517" t="s">
        <v>68</v>
      </c>
      <c r="B517" t="s">
        <v>70</v>
      </c>
      <c r="C517">
        <v>21</v>
      </c>
      <c r="D517" t="s">
        <v>126</v>
      </c>
      <c r="E517" t="s">
        <v>114</v>
      </c>
      <c r="F517" t="s">
        <v>81</v>
      </c>
      <c r="G517">
        <v>61.1398670792383</v>
      </c>
      <c r="H517">
        <v>0</v>
      </c>
      <c r="I51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30</v>
      </c>
      <c r="K517" s="5" cm="1">
        <f t="array" ref="K517">IFERROR(AVERAGE(IF((OutputTable[GroupByKey]=OutputTable[[#This Row],[GroupByKey]]),(OutputTable[GroupByKey]=OutputTable[[#This Row],[GroupByKey]])*OutputTable[RecordedValue])),0)</f>
        <v>39.900972800228722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22.922906975864144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517" s="5" cm="1">
        <f t="array" ref="O517">MIN(IF((OutputTable[GroupByKey]=OutputTable[[#This Row],[GroupByKey]]),(OutputTable[GroupByKey]=OutputTable[[#This Row],[GroupByKey]])*OutputTable[RecordedValue]))</f>
        <v>2.1708788192608899</v>
      </c>
      <c r="P517" s="5" cm="1">
        <f t="array" ref="P517">MAX(IF((OutputTable[GroupByKey]=OutputTable[[#This Row],[GroupByKey]]),(OutputTable[GroupByKey]=OutputTable[[#This Row],[GroupByKey]])*OutputTable[RecordedValue]))</f>
        <v>94.9142929398908</v>
      </c>
    </row>
    <row r="518" spans="1:16" x14ac:dyDescent="0.25">
      <c r="A518" t="s">
        <v>68</v>
      </c>
      <c r="B518" t="s">
        <v>70</v>
      </c>
      <c r="C518">
        <v>21</v>
      </c>
      <c r="D518" t="s">
        <v>127</v>
      </c>
      <c r="E518" t="s">
        <v>108</v>
      </c>
      <c r="F518" t="s">
        <v>81</v>
      </c>
      <c r="G518">
        <v>49</v>
      </c>
      <c r="H518">
        <v>0</v>
      </c>
      <c r="I518" s="5" t="str">
        <f>OutputTable[[#This Row],[ProjectName]]&amp;OutputTable[[#This Row],[Name]]&amp;OutputTable[[#This Row],[Type]]&amp;OutputTable[[#This Row],[Source]]</f>
        <v>Pedido CleintesPreparar orden Number InNumber InProcess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30</v>
      </c>
      <c r="K518" s="5" cm="1">
        <f t="array" ref="K518">IFERROR(AVERAGE(IF((OutputTable[GroupByKey]=OutputTable[[#This Row],[GroupByKey]]),(OutputTable[GroupByKey]=OutputTable[[#This Row],[GroupByKey]])*OutputTable[RecordedValue])),0)</f>
        <v>39.666666666666664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6.0477030882540914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18" s="5" cm="1">
        <f t="array" ref="O518">MIN(IF((OutputTable[GroupByKey]=OutputTable[[#This Row],[GroupByKey]]),(OutputTable[GroupByKey]=OutputTable[[#This Row],[GroupByKey]])*OutputTable[RecordedValue]))</f>
        <v>26</v>
      </c>
      <c r="P518" s="5" cm="1">
        <f t="array" ref="P518">MAX(IF((OutputTable[GroupByKey]=OutputTable[[#This Row],[GroupByKey]]),(OutputTable[GroupByKey]=OutputTable[[#This Row],[GroupByKey]])*OutputTable[RecordedValue]))</f>
        <v>49</v>
      </c>
    </row>
    <row r="519" spans="1:16" x14ac:dyDescent="0.25">
      <c r="A519" t="s">
        <v>68</v>
      </c>
      <c r="B519" t="s">
        <v>70</v>
      </c>
      <c r="C519">
        <v>21</v>
      </c>
      <c r="D519" t="s">
        <v>128</v>
      </c>
      <c r="E519" t="s">
        <v>110</v>
      </c>
      <c r="F519" t="s">
        <v>81</v>
      </c>
      <c r="G519">
        <v>49</v>
      </c>
      <c r="H519">
        <v>0</v>
      </c>
      <c r="I519" s="5" t="str">
        <f>OutputTable[[#This Row],[ProjectName]]&amp;OutputTable[[#This Row],[Name]]&amp;OutputTable[[#This Row],[Type]]&amp;OutputTable[[#This Row],[Source]]</f>
        <v>Pedido CleintesPreparar orden Number OutNumber OutProcess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30</v>
      </c>
      <c r="K519" s="5" cm="1">
        <f t="array" ref="K519">IFERROR(AVERAGE(IF((OutputTable[GroupByKey]=OutputTable[[#This Row],[GroupByKey]]),(OutputTable[GroupByKey]=OutputTable[[#This Row],[GroupByKey]])*OutputTable[RecordedValue])),0)</f>
        <v>38.93333333333333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5.9765826548191505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19" s="5" cm="1">
        <f t="array" ref="O519">MIN(IF((OutputTable[GroupByKey]=OutputTable[[#This Row],[GroupByKey]]),(OutputTable[GroupByKey]=OutputTable[[#This Row],[GroupByKey]])*OutputTable[RecordedValue]))</f>
        <v>25</v>
      </c>
      <c r="P519" s="5" cm="1">
        <f t="array" ref="P519">MAX(IF((OutputTable[GroupByKey]=OutputTable[[#This Row],[GroupByKey]]),(OutputTable[GroupByKey]=OutputTable[[#This Row],[GroupByKey]])*OutputTable[RecordedValue]))</f>
        <v>49</v>
      </c>
    </row>
    <row r="520" spans="1:16" x14ac:dyDescent="0.25">
      <c r="A520" t="s">
        <v>68</v>
      </c>
      <c r="B520" t="s">
        <v>70</v>
      </c>
      <c r="C520">
        <v>21</v>
      </c>
      <c r="D520" t="s">
        <v>129</v>
      </c>
      <c r="E520" t="s">
        <v>110</v>
      </c>
      <c r="F520" t="s">
        <v>130</v>
      </c>
      <c r="G520">
        <v>49</v>
      </c>
      <c r="H520">
        <v>0</v>
      </c>
      <c r="I520" s="5" t="str">
        <f>OutputTable[[#This Row],[ProjectName]]&amp;OutputTable[[#This Row],[Name]]&amp;OutputTable[[#This Row],[Type]]&amp;OutputTable[[#This Row],[Source]]</f>
        <v>Pedido CleintesSystem.NumberOutNumber OutSystem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30</v>
      </c>
      <c r="K520" s="5" cm="1">
        <f t="array" ref="K520">IFERROR(AVERAGE(IF((OutputTable[GroupByKey]=OutputTable[[#This Row],[GroupByKey]]),(OutputTable[GroupByKey]=OutputTable[[#This Row],[GroupByKey]])*OutputTable[RecordedValue])),0)</f>
        <v>38.866666666666667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6.0840851369801694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20" s="5" cm="1">
        <f t="array" ref="O520">MIN(IF((OutputTable[GroupByKey]=OutputTable[[#This Row],[GroupByKey]]),(OutputTable[GroupByKey]=OutputTable[[#This Row],[GroupByKey]])*OutputTable[RecordedValue]))</f>
        <v>24</v>
      </c>
      <c r="P520" s="5" cm="1">
        <f t="array" ref="P520">MAX(IF((OutputTable[GroupByKey]=OutputTable[[#This Row],[GroupByKey]]),(OutputTable[GroupByKey]=OutputTable[[#This Row],[GroupByKey]])*OutputTable[RecordedValue]))</f>
        <v>49</v>
      </c>
    </row>
    <row r="521" spans="1:16" x14ac:dyDescent="0.25">
      <c r="A521" t="s">
        <v>68</v>
      </c>
      <c r="B521" t="s">
        <v>70</v>
      </c>
      <c r="C521">
        <v>21</v>
      </c>
      <c r="D521" t="s">
        <v>131</v>
      </c>
      <c r="E521" t="s">
        <v>132</v>
      </c>
      <c r="F521" t="s">
        <v>102</v>
      </c>
      <c r="G521">
        <v>49</v>
      </c>
      <c r="H521">
        <v>0</v>
      </c>
      <c r="I52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30</v>
      </c>
      <c r="K521" s="5" cm="1">
        <f t="array" ref="K521">IFERROR(AVERAGE(IF((OutputTable[GroupByKey]=OutputTable[[#This Row],[GroupByKey]]),(OutputTable[GroupByKey]=OutputTable[[#This Row],[GroupByKey]])*OutputTable[RecordedValue])),0)</f>
        <v>39.4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5.8757244601014422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521" s="5" cm="1">
        <f t="array" ref="O521">MIN(IF((OutputTable[GroupByKey]=OutputTable[[#This Row],[GroupByKey]]),(OutputTable[GroupByKey]=OutputTable[[#This Row],[GroupByKey]])*OutputTable[RecordedValue]))</f>
        <v>26</v>
      </c>
      <c r="P521" s="5" cm="1">
        <f t="array" ref="P521">MAX(IF((OutputTable[GroupByKey]=OutputTable[[#This Row],[GroupByKey]]),(OutputTable[GroupByKey]=OutputTable[[#This Row],[GroupByKey]])*OutputTable[RecordedValue]))</f>
        <v>49</v>
      </c>
    </row>
    <row r="522" spans="1:16" x14ac:dyDescent="0.25">
      <c r="A522" t="s">
        <v>68</v>
      </c>
      <c r="B522" t="s">
        <v>70</v>
      </c>
      <c r="C522">
        <v>21</v>
      </c>
      <c r="D522" t="s">
        <v>133</v>
      </c>
      <c r="E522" t="s">
        <v>134</v>
      </c>
      <c r="F522" t="s">
        <v>102</v>
      </c>
      <c r="G522">
        <v>0.60626731984831705</v>
      </c>
      <c r="H522">
        <v>0</v>
      </c>
      <c r="I52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30</v>
      </c>
      <c r="K522" s="5" cm="1">
        <f t="array" ref="K522">IFERROR(AVERAGE(IF((OutputTable[GroupByKey]=OutputTable[[#This Row],[GroupByKey]]),(OutputTable[GroupByKey]=OutputTable[[#This Row],[GroupByKey]])*OutputTable[RecordedValue])),0)</f>
        <v>0.48891840079317483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7.3627413122013347E-2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522" s="5" cm="1">
        <f t="array" ref="O522">MIN(IF((OutputTable[GroupByKey]=OutputTable[[#This Row],[GroupByKey]]),(OutputTable[GroupByKey]=OutputTable[[#This Row],[GroupByKey]])*OutputTable[RecordedValue]))</f>
        <v>0.31277577999924699</v>
      </c>
      <c r="P522" s="5" cm="1">
        <f t="array" ref="P522">MAX(IF((OutputTable[GroupByKey]=OutputTable[[#This Row],[GroupByKey]]),(OutputTable[GroupByKey]=OutputTable[[#This Row],[GroupByKey]])*OutputTable[RecordedValue]))</f>
        <v>0.60626731984831705</v>
      </c>
    </row>
    <row r="523" spans="1:16" x14ac:dyDescent="0.25">
      <c r="A523" t="s">
        <v>68</v>
      </c>
      <c r="B523" t="s">
        <v>70</v>
      </c>
      <c r="C523">
        <v>21</v>
      </c>
      <c r="D523" t="s">
        <v>135</v>
      </c>
      <c r="E523" t="s">
        <v>132</v>
      </c>
      <c r="F523" t="s">
        <v>102</v>
      </c>
      <c r="G523">
        <v>98</v>
      </c>
      <c r="H523">
        <v>0</v>
      </c>
      <c r="I52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30</v>
      </c>
      <c r="K523" s="5" cm="1">
        <f t="array" ref="K523">IFERROR(AVERAGE(IF((OutputTable[GroupByKey]=OutputTable[[#This Row],[GroupByKey]]),(OutputTable[GroupByKey]=OutputTable[[#This Row],[GroupByKey]])*OutputTable[RecordedValue])),0)</f>
        <v>79.466666666666669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12.016463801753446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523" s="5" cm="1">
        <f t="array" ref="O523">MIN(IF((OutputTable[GroupByKey]=OutputTable[[#This Row],[GroupByKey]]),(OutputTable[GroupByKey]=OutputTable[[#This Row],[GroupByKey]])*OutputTable[RecordedValue]))</f>
        <v>53</v>
      </c>
      <c r="P523" s="5" cm="1">
        <f t="array" ref="P523">MAX(IF((OutputTable[GroupByKey]=OutputTable[[#This Row],[GroupByKey]]),(OutputTable[GroupByKey]=OutputTable[[#This Row],[GroupByKey]])*OutputTable[RecordedValue]))</f>
        <v>98</v>
      </c>
    </row>
    <row r="524" spans="1:16" x14ac:dyDescent="0.25">
      <c r="A524" t="s">
        <v>68</v>
      </c>
      <c r="B524" t="s">
        <v>70</v>
      </c>
      <c r="C524">
        <v>21</v>
      </c>
      <c r="D524" t="s">
        <v>136</v>
      </c>
      <c r="E524" t="s">
        <v>134</v>
      </c>
      <c r="F524" t="s">
        <v>102</v>
      </c>
      <c r="G524">
        <v>0.345372924020587</v>
      </c>
      <c r="H524">
        <v>0</v>
      </c>
      <c r="I52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30</v>
      </c>
      <c r="K524" s="5" cm="1">
        <f t="array" ref="K524">IFERROR(AVERAGE(IF((OutputTable[GroupByKey]=OutputTable[[#This Row],[GroupByKey]]),(OutputTable[GroupByKey]=OutputTable[[#This Row],[GroupByKey]])*OutputTable[RecordedValue])),0)</f>
        <v>0.28976365927997022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4.4748273652133699E-2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524" s="5" cm="1">
        <f t="array" ref="O524">MIN(IF((OutputTable[GroupByKey]=OutputTable[[#This Row],[GroupByKey]]),(OutputTable[GroupByKey]=OutputTable[[#This Row],[GroupByKey]])*OutputTable[RecordedValue]))</f>
        <v>0.194735973294278</v>
      </c>
      <c r="P524" s="5" cm="1">
        <f t="array" ref="P524">MAX(IF((OutputTable[GroupByKey]=OutputTable[[#This Row],[GroupByKey]]),(OutputTable[GroupByKey]=OutputTable[[#This Row],[GroupByKey]])*OutputTable[RecordedValue]))</f>
        <v>0.35775345817659199</v>
      </c>
    </row>
    <row r="525" spans="1:16" x14ac:dyDescent="0.25">
      <c r="A525" t="s">
        <v>68</v>
      </c>
      <c r="B525" t="s">
        <v>70</v>
      </c>
      <c r="C525">
        <v>21</v>
      </c>
      <c r="D525" t="s">
        <v>137</v>
      </c>
      <c r="E525" t="s">
        <v>132</v>
      </c>
      <c r="F525" t="s">
        <v>102</v>
      </c>
      <c r="G525">
        <v>49</v>
      </c>
      <c r="H525">
        <v>0</v>
      </c>
      <c r="I52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30</v>
      </c>
      <c r="K525" s="5" cm="1">
        <f t="array" ref="K525">IFERROR(AVERAGE(IF((OutputTable[GroupByKey]=OutputTable[[#This Row],[GroupByKey]]),(OutputTable[GroupByKey]=OutputTable[[#This Row],[GroupByKey]])*OutputTable[RecordedValue])),0)</f>
        <v>38.93333333333333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5.9765826548191505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25" s="5" cm="1">
        <f t="array" ref="O525">MIN(IF((OutputTable[GroupByKey]=OutputTable[[#This Row],[GroupByKey]]),(OutputTable[GroupByKey]=OutputTable[[#This Row],[GroupByKey]])*OutputTable[RecordedValue]))</f>
        <v>25</v>
      </c>
      <c r="P525" s="5" cm="1">
        <f t="array" ref="P525">MAX(IF((OutputTable[GroupByKey]=OutputTable[[#This Row],[GroupByKey]]),(OutputTable[GroupByKey]=OutputTable[[#This Row],[GroupByKey]])*OutputTable[RecordedValue]))</f>
        <v>49</v>
      </c>
    </row>
    <row r="526" spans="1:16" x14ac:dyDescent="0.25">
      <c r="A526" t="s">
        <v>68</v>
      </c>
      <c r="B526" t="s">
        <v>70</v>
      </c>
      <c r="C526">
        <v>21</v>
      </c>
      <c r="D526" t="s">
        <v>138</v>
      </c>
      <c r="E526" t="s">
        <v>134</v>
      </c>
      <c r="F526" t="s">
        <v>102</v>
      </c>
      <c r="G526">
        <v>0.103087062516054</v>
      </c>
      <c r="H526">
        <v>0</v>
      </c>
      <c r="I52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30</v>
      </c>
      <c r="K526" s="5" cm="1">
        <f t="array" ref="K526">IFERROR(AVERAGE(IF((OutputTable[GroupByKey]=OutputTable[[#This Row],[GroupByKey]]),(OutputTable[GroupByKey]=OutputTable[[#This Row],[GroupByKey]])*OutputTable[RecordedValue])),0)</f>
        <v>8.2588852761398115E-2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1.3130964022328008E-2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526" s="5" cm="1">
        <f t="array" ref="O526">MIN(IF((OutputTable[GroupByKey]=OutputTable[[#This Row],[GroupByKey]]),(OutputTable[GroupByKey]=OutputTable[[#This Row],[GroupByKey]])*OutputTable[RecordedValue]))</f>
        <v>5.3757894868807901E-2</v>
      </c>
      <c r="P526" s="5" cm="1">
        <f t="array" ref="P526">MAX(IF((OutputTable[GroupByKey]=OutputTable[[#This Row],[GroupByKey]]),(OutputTable[GroupByKey]=OutputTable[[#This Row],[GroupByKey]])*OutputTable[RecordedValue]))</f>
        <v>0.103175045984152</v>
      </c>
    </row>
    <row r="527" spans="1:16" x14ac:dyDescent="0.25">
      <c r="A527" t="s">
        <v>68</v>
      </c>
      <c r="B527" t="s">
        <v>70</v>
      </c>
      <c r="C527">
        <v>22</v>
      </c>
      <c r="D527" t="s">
        <v>107</v>
      </c>
      <c r="E527" t="s">
        <v>108</v>
      </c>
      <c r="F527" t="s">
        <v>73</v>
      </c>
      <c r="G527">
        <v>102</v>
      </c>
      <c r="H527">
        <v>0</v>
      </c>
      <c r="I527" s="5" t="str">
        <f>OutputTable[[#This Row],[ProjectName]]&amp;OutputTable[[#This Row],[Name]]&amp;OutputTable[[#This Row],[Type]]&amp;OutputTable[[#This Row],[Source]]</f>
        <v>Pedido CleintesClientes.NumberInNumber InEntity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30</v>
      </c>
      <c r="K527" s="5" cm="1">
        <f t="array" ref="K527">IFERROR(AVERAGE(IF((OutputTable[GroupByKey]=OutputTable[[#This Row],[GroupByKey]]),(OutputTable[GroupByKey]=OutputTable[[#This Row],[GroupByKey]])*OutputTable[RecordedValue])),0)</f>
        <v>118.5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18.009097317936192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527" s="5" cm="1">
        <f t="array" ref="O527">MIN(IF((OutputTable[GroupByKey]=OutputTable[[#This Row],[GroupByKey]]),(OutputTable[GroupByKey]=OutputTable[[#This Row],[GroupByKey]])*OutputTable[RecordedValue]))</f>
        <v>78</v>
      </c>
      <c r="P527" s="5" cm="1">
        <f t="array" ref="P527">MAX(IF((OutputTable[GroupByKey]=OutputTable[[#This Row],[GroupByKey]]),(OutputTable[GroupByKey]=OutputTable[[#This Row],[GroupByKey]])*OutputTable[RecordedValue]))</f>
        <v>147</v>
      </c>
    </row>
    <row r="528" spans="1:16" x14ac:dyDescent="0.25">
      <c r="A528" t="s">
        <v>68</v>
      </c>
      <c r="B528" t="s">
        <v>70</v>
      </c>
      <c r="C528">
        <v>22</v>
      </c>
      <c r="D528" t="s">
        <v>109</v>
      </c>
      <c r="E528" t="s">
        <v>110</v>
      </c>
      <c r="F528" t="s">
        <v>73</v>
      </c>
      <c r="G528">
        <v>102</v>
      </c>
      <c r="H528">
        <v>0</v>
      </c>
      <c r="I528" s="5" t="str">
        <f>OutputTable[[#This Row],[ProjectName]]&amp;OutputTable[[#This Row],[Name]]&amp;OutputTable[[#This Row],[Type]]&amp;OutputTable[[#This Row],[Source]]</f>
        <v>Pedido CleintesClientes.NumberOutNumber OutEntity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30</v>
      </c>
      <c r="K528" s="5" cm="1">
        <f t="array" ref="K528">IFERROR(AVERAGE(IF((OutputTable[GroupByKey]=OutputTable[[#This Row],[GroupByKey]]),(OutputTable[GroupByKey]=OutputTable[[#This Row],[GroupByKey]])*OutputTable[RecordedValue])),0)</f>
        <v>116.6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18.252255410940514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528" s="5" cm="1">
        <f t="array" ref="O528">MIN(IF((OutputTable[GroupByKey]=OutputTable[[#This Row],[GroupByKey]]),(OutputTable[GroupByKey]=OutputTable[[#This Row],[GroupByKey]])*OutputTable[RecordedValue]))</f>
        <v>72</v>
      </c>
      <c r="P528" s="5" cm="1">
        <f t="array" ref="P528">MAX(IF((OutputTable[GroupByKey]=OutputTable[[#This Row],[GroupByKey]]),(OutputTable[GroupByKey]=OutputTable[[#This Row],[GroupByKey]])*OutputTable[RecordedValue]))</f>
        <v>147</v>
      </c>
    </row>
    <row r="529" spans="1:16" x14ac:dyDescent="0.25">
      <c r="A529" t="s">
        <v>68</v>
      </c>
      <c r="B529" t="s">
        <v>70</v>
      </c>
      <c r="C529">
        <v>22</v>
      </c>
      <c r="D529" t="s">
        <v>111</v>
      </c>
      <c r="E529" t="s">
        <v>112</v>
      </c>
      <c r="F529" t="s">
        <v>81</v>
      </c>
      <c r="G529">
        <v>19.7076301427043</v>
      </c>
      <c r="H529">
        <v>0</v>
      </c>
      <c r="I52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30</v>
      </c>
      <c r="K529" s="5" cm="1">
        <f t="array" ref="K529">IFERROR(AVERAGE(IF((OutputTable[GroupByKey]=OutputTable[[#This Row],[GroupByKey]]),(OutputTable[GroupByKey]=OutputTable[[#This Row],[GroupByKey]])*OutputTable[RecordedValue])),0)</f>
        <v>19.806808580201274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3.1624794742170024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529" s="5" cm="1">
        <f t="array" ref="O529">MIN(IF((OutputTable[GroupByKey]=OutputTable[[#This Row],[GroupByKey]]),(OutputTable[GroupByKey]=OutputTable[[#This Row],[GroupByKey]])*OutputTable[RecordedValue]))</f>
        <v>12.812268330404599</v>
      </c>
      <c r="P529" s="5" cm="1">
        <f t="array" ref="P529">MAX(IF((OutputTable[GroupByKey]=OutputTable[[#This Row],[GroupByKey]]),(OutputTable[GroupByKey]=OutputTable[[#This Row],[GroupByKey]])*OutputTable[RecordedValue]))</f>
        <v>24.762011036196501</v>
      </c>
    </row>
    <row r="530" spans="1:16" x14ac:dyDescent="0.25">
      <c r="A530" t="s">
        <v>68</v>
      </c>
      <c r="B530" t="s">
        <v>70</v>
      </c>
      <c r="C530">
        <v>22</v>
      </c>
      <c r="D530" t="s">
        <v>113</v>
      </c>
      <c r="E530" t="s">
        <v>114</v>
      </c>
      <c r="F530" t="s">
        <v>81</v>
      </c>
      <c r="G530">
        <v>0</v>
      </c>
      <c r="H530">
        <v>0</v>
      </c>
      <c r="I53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30</v>
      </c>
      <c r="K530" s="5" cm="1">
        <f t="array" ref="K530">IFERROR(AVERAGE(IF((OutputTable[GroupByKey]=OutputTable[[#This Row],[GroupByKey]]),(OutputTable[GroupByKey]=OutputTable[[#This Row],[GroupByKey]])*OutputTable[RecordedValue])),0)</f>
        <v>0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0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0" s="5" cm="1">
        <f t="array" ref="O530">MIN(IF((OutputTable[GroupByKey]=OutputTable[[#This Row],[GroupByKey]]),(OutputTable[GroupByKey]=OutputTable[[#This Row],[GroupByKey]])*OutputTable[RecordedValue]))</f>
        <v>0</v>
      </c>
      <c r="P530" s="5" cm="1">
        <f t="array" ref="P530">MAX(IF((OutputTable[GroupByKey]=OutputTable[[#This Row],[GroupByKey]]),(OutputTable[GroupByKey]=OutputTable[[#This Row],[GroupByKey]])*OutputTable[RecordedValue]))</f>
        <v>0</v>
      </c>
    </row>
    <row r="531" spans="1:16" x14ac:dyDescent="0.25">
      <c r="A531" t="s">
        <v>68</v>
      </c>
      <c r="B531" t="s">
        <v>70</v>
      </c>
      <c r="C531">
        <v>22</v>
      </c>
      <c r="D531" t="s">
        <v>115</v>
      </c>
      <c r="E531" t="s">
        <v>108</v>
      </c>
      <c r="F531" t="s">
        <v>81</v>
      </c>
      <c r="G531">
        <v>34</v>
      </c>
      <c r="H531">
        <v>0</v>
      </c>
      <c r="I53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30</v>
      </c>
      <c r="K531" s="5" cm="1">
        <f t="array" ref="K531">IFERROR(AVERAGE(IF((OutputTable[GroupByKey]=OutputTable[[#This Row],[GroupByKey]]),(OutputTable[GroupByKey]=OutputTable[[#This Row],[GroupByKey]])*OutputTable[RecordedValue])),0)</f>
        <v>38.93333333333333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5.9765826548191505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31" s="5" cm="1">
        <f t="array" ref="O531">MIN(IF((OutputTable[GroupByKey]=OutputTable[[#This Row],[GroupByKey]]),(OutputTable[GroupByKey]=OutputTable[[#This Row],[GroupByKey]])*OutputTable[RecordedValue]))</f>
        <v>25</v>
      </c>
      <c r="P531" s="5" cm="1">
        <f t="array" ref="P531">MAX(IF((OutputTable[GroupByKey]=OutputTable[[#This Row],[GroupByKey]]),(OutputTable[GroupByKey]=OutputTable[[#This Row],[GroupByKey]])*OutputTable[RecordedValue]))</f>
        <v>49</v>
      </c>
    </row>
    <row r="532" spans="1:16" x14ac:dyDescent="0.25">
      <c r="A532" t="s">
        <v>68</v>
      </c>
      <c r="B532" t="s">
        <v>70</v>
      </c>
      <c r="C532">
        <v>22</v>
      </c>
      <c r="D532" t="s">
        <v>116</v>
      </c>
      <c r="E532" t="s">
        <v>110</v>
      </c>
      <c r="F532" t="s">
        <v>81</v>
      </c>
      <c r="G532">
        <v>34</v>
      </c>
      <c r="H532">
        <v>0</v>
      </c>
      <c r="I5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30</v>
      </c>
      <c r="K532" s="5" cm="1">
        <f t="array" ref="K532">IFERROR(AVERAGE(IF((OutputTable[GroupByKey]=OutputTable[[#This Row],[GroupByKey]]),(OutputTable[GroupByKey]=OutputTable[[#This Row],[GroupByKey]])*OutputTable[RecordedValue])),0)</f>
        <v>38.866666666666667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6.0840851369801694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32" s="5" cm="1">
        <f t="array" ref="O532">MIN(IF((OutputTable[GroupByKey]=OutputTable[[#This Row],[GroupByKey]]),(OutputTable[GroupByKey]=OutputTable[[#This Row],[GroupByKey]])*OutputTable[RecordedValue]))</f>
        <v>24</v>
      </c>
      <c r="P532" s="5" cm="1">
        <f t="array" ref="P532">MAX(IF((OutputTable[GroupByKey]=OutputTable[[#This Row],[GroupByKey]]),(OutputTable[GroupByKey]=OutputTable[[#This Row],[GroupByKey]])*OutputTable[RecordedValue]))</f>
        <v>49</v>
      </c>
    </row>
    <row r="533" spans="1:16" x14ac:dyDescent="0.25">
      <c r="A533" t="s">
        <v>68</v>
      </c>
      <c r="B533" t="s">
        <v>70</v>
      </c>
      <c r="C533">
        <v>22</v>
      </c>
      <c r="D533" t="s">
        <v>117</v>
      </c>
      <c r="E533" t="s">
        <v>112</v>
      </c>
      <c r="F533" t="s">
        <v>81</v>
      </c>
      <c r="G533">
        <v>33.854717132240097</v>
      </c>
      <c r="H533">
        <v>0</v>
      </c>
      <c r="I533" s="5" t="str">
        <f>OutputTable[[#This Row],[ProjectName]]&amp;OutputTable[[#This Row],[Name]]&amp;OutputTable[[#This Row],[Type]]&amp;OutputTable[[#This Row],[Source]]</f>
        <v>Pedido CleintesOrdnes Accum VA TimeAccum VA TimeProcess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30</v>
      </c>
      <c r="K533" s="5" cm="1">
        <f t="array" ref="K533">IFERROR(AVERAGE(IF((OutputTable[GroupByKey]=OutputTable[[#This Row],[GroupByKey]]),(OutputTable[GroupByKey]=OutputTable[[#This Row],[GroupByKey]])*OutputTable[RecordedValue])),0)</f>
        <v>39.878126992056487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6.1068580319474277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533" s="5" cm="1">
        <f t="array" ref="O533">MIN(IF((OutputTable[GroupByKey]=OutputTable[[#This Row],[GroupByKey]]),(OutputTable[GroupByKey]=OutputTable[[#This Row],[GroupByKey]])*OutputTable[RecordedValue]))</f>
        <v>26.106281767804099</v>
      </c>
      <c r="P533" s="5" cm="1">
        <f t="array" ref="P533">MAX(IF((OutputTable[GroupByKey]=OutputTable[[#This Row],[GroupByKey]]),(OutputTable[GroupByKey]=OutputTable[[#This Row],[GroupByKey]])*OutputTable[RecordedValue]))</f>
        <v>48.706388790541098</v>
      </c>
    </row>
    <row r="534" spans="1:16" x14ac:dyDescent="0.25">
      <c r="A534" t="s">
        <v>68</v>
      </c>
      <c r="B534" t="s">
        <v>70</v>
      </c>
      <c r="C534">
        <v>22</v>
      </c>
      <c r="D534" t="s">
        <v>118</v>
      </c>
      <c r="E534" t="s">
        <v>114</v>
      </c>
      <c r="F534" t="s">
        <v>81</v>
      </c>
      <c r="G534">
        <v>5.6282185760929</v>
      </c>
      <c r="H534">
        <v>0</v>
      </c>
      <c r="I5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30</v>
      </c>
      <c r="K534" s="5" cm="1">
        <f t="array" ref="K534">IFERROR(AVERAGE(IF((OutputTable[GroupByKey]=OutputTable[[#This Row],[GroupByKey]]),(OutputTable[GroupByKey]=OutputTable[[#This Row],[GroupByKey]])*OutputTable[RecordedValue])),0)</f>
        <v>7.9804799821754404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4.8950382198155014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534" s="5" cm="1">
        <f t="array" ref="O534">MIN(IF((OutputTable[GroupByKey]=OutputTable[[#This Row],[GroupByKey]]),(OutputTable[GroupByKey]=OutputTable[[#This Row],[GroupByKey]])*OutputTable[RecordedValue]))</f>
        <v>0</v>
      </c>
      <c r="P534" s="5" cm="1">
        <f t="array" ref="P534">MAX(IF((OutputTable[GroupByKey]=OutputTable[[#This Row],[GroupByKey]]),(OutputTable[GroupByKey]=OutputTable[[#This Row],[GroupByKey]])*OutputTable[RecordedValue]))</f>
        <v>18.843855117811401</v>
      </c>
    </row>
    <row r="535" spans="1:16" x14ac:dyDescent="0.25">
      <c r="A535" t="s">
        <v>68</v>
      </c>
      <c r="B535" t="s">
        <v>70</v>
      </c>
      <c r="C535">
        <v>22</v>
      </c>
      <c r="D535" t="s">
        <v>119</v>
      </c>
      <c r="E535" t="s">
        <v>108</v>
      </c>
      <c r="F535" t="s">
        <v>81</v>
      </c>
      <c r="G535">
        <v>34</v>
      </c>
      <c r="H535">
        <v>0</v>
      </c>
      <c r="I535" s="5" t="str">
        <f>OutputTable[[#This Row],[ProjectName]]&amp;OutputTable[[#This Row],[Name]]&amp;OutputTable[[#This Row],[Type]]&amp;OutputTable[[#This Row],[Source]]</f>
        <v>Pedido CleintesOrdnes Number InNumber InProcess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30</v>
      </c>
      <c r="K535" s="5" cm="1">
        <f t="array" ref="K535">IFERROR(AVERAGE(IF((OutputTable[GroupByKey]=OutputTable[[#This Row],[GroupByKey]]),(OutputTable[GroupByKey]=OutputTable[[#This Row],[GroupByKey]])*OutputTable[RecordedValue])),0)</f>
        <v>39.9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6.0648791101463475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535" s="5" cm="1">
        <f t="array" ref="O535">MIN(IF((OutputTable[GroupByKey]=OutputTable[[#This Row],[GroupByKey]]),(OutputTable[GroupByKey]=OutputTable[[#This Row],[GroupByKey]])*OutputTable[RecordedValue]))</f>
        <v>27</v>
      </c>
      <c r="P535" s="5" cm="1">
        <f t="array" ref="P535">MAX(IF((OutputTable[GroupByKey]=OutputTable[[#This Row],[GroupByKey]]),(OutputTable[GroupByKey]=OutputTable[[#This Row],[GroupByKey]])*OutputTable[RecordedValue]))</f>
        <v>49</v>
      </c>
    </row>
    <row r="536" spans="1:16" x14ac:dyDescent="0.25">
      <c r="A536" t="s">
        <v>68</v>
      </c>
      <c r="B536" t="s">
        <v>70</v>
      </c>
      <c r="C536">
        <v>22</v>
      </c>
      <c r="D536" t="s">
        <v>120</v>
      </c>
      <c r="E536" t="s">
        <v>110</v>
      </c>
      <c r="F536" t="s">
        <v>81</v>
      </c>
      <c r="G536">
        <v>34</v>
      </c>
      <c r="H536">
        <v>0</v>
      </c>
      <c r="I536" s="5" t="str">
        <f>OutputTable[[#This Row],[ProjectName]]&amp;OutputTable[[#This Row],[Name]]&amp;OutputTable[[#This Row],[Type]]&amp;OutputTable[[#This Row],[Source]]</f>
        <v>Pedido CleintesOrdnes Number OutNumber OutProcess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30</v>
      </c>
      <c r="K536" s="5" cm="1">
        <f t="array" ref="K536">IFERROR(AVERAGE(IF((OutputTable[GroupByKey]=OutputTable[[#This Row],[GroupByKey]]),(OutputTable[GroupByKey]=OutputTable[[#This Row],[GroupByKey]])*OutputTable[RecordedValue])),0)</f>
        <v>39.666666666666664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6.0477030882540914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36" s="5" cm="1">
        <f t="array" ref="O536">MIN(IF((OutputTable[GroupByKey]=OutputTable[[#This Row],[GroupByKey]]),(OutputTable[GroupByKey]=OutputTable[[#This Row],[GroupByKey]])*OutputTable[RecordedValue]))</f>
        <v>26</v>
      </c>
      <c r="P536" s="5" cm="1">
        <f t="array" ref="P536">MAX(IF((OutputTable[GroupByKey]=OutputTable[[#This Row],[GroupByKey]]),(OutputTable[GroupByKey]=OutputTable[[#This Row],[GroupByKey]])*OutputTable[RecordedValue]))</f>
        <v>49</v>
      </c>
    </row>
    <row r="537" spans="1:16" x14ac:dyDescent="0.25">
      <c r="A537" t="s">
        <v>68</v>
      </c>
      <c r="B537" t="s">
        <v>70</v>
      </c>
      <c r="C537">
        <v>22</v>
      </c>
      <c r="D537" t="s">
        <v>121</v>
      </c>
      <c r="E537" t="s">
        <v>112</v>
      </c>
      <c r="F537" t="s">
        <v>81</v>
      </c>
      <c r="G537">
        <v>26.4544217380402</v>
      </c>
      <c r="H537">
        <v>0</v>
      </c>
      <c r="I537" s="5" t="str">
        <f>OutputTable[[#This Row],[ProjectName]]&amp;OutputTable[[#This Row],[Name]]&amp;OutputTable[[#This Row],[Type]]&amp;OutputTable[[#This Row],[Source]]</f>
        <v>Pedido CleintesPago Accum VA TimeAccum VA TimeProcess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30</v>
      </c>
      <c r="K537" s="5" cm="1">
        <f t="array" ref="K537">IFERROR(AVERAGE(IF((OutputTable[GroupByKey]=OutputTable[[#This Row],[GroupByKey]]),(OutputTable[GroupByKey]=OutputTable[[#This Row],[GroupByKey]])*OutputTable[RecordedValue])),0)</f>
        <v>29.486262713858675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4.747176664010901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537" s="5" cm="1">
        <f t="array" ref="O537">MIN(IF((OutputTable[GroupByKey]=OutputTable[[#This Row],[GroupByKey]]),(OutputTable[GroupByKey]=OutputTable[[#This Row],[GroupByKey]])*OutputTable[RecordedValue]))</f>
        <v>19.573210250889101</v>
      </c>
      <c r="P537" s="5" cm="1">
        <f t="array" ref="P537">MAX(IF((OutputTable[GroupByKey]=OutputTable[[#This Row],[GroupByKey]]),(OutputTable[GroupByKey]=OutputTable[[#This Row],[GroupByKey]])*OutputTable[RecordedValue]))</f>
        <v>37.056974462114901</v>
      </c>
    </row>
    <row r="538" spans="1:16" x14ac:dyDescent="0.25">
      <c r="A538" t="s">
        <v>68</v>
      </c>
      <c r="B538" t="s">
        <v>70</v>
      </c>
      <c r="C538">
        <v>22</v>
      </c>
      <c r="D538" t="s">
        <v>122</v>
      </c>
      <c r="E538" t="s">
        <v>114</v>
      </c>
      <c r="F538" t="s">
        <v>81</v>
      </c>
      <c r="G538">
        <v>9.3780571113489195</v>
      </c>
      <c r="H538">
        <v>0</v>
      </c>
      <c r="I5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30</v>
      </c>
      <c r="K538" s="5" cm="1">
        <f t="array" ref="K538">IFERROR(AVERAGE(IF((OutputTable[GroupByKey]=OutputTable[[#This Row],[GroupByKey]]),(OutputTable[GroupByKey]=OutputTable[[#This Row],[GroupByKey]])*OutputTable[RecordedValue])),0)</f>
        <v>13.025761997568024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7.8467935605388783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538" s="5" cm="1">
        <f t="array" ref="O538">MIN(IF((OutputTable[GroupByKey]=OutputTable[[#This Row],[GroupByKey]]),(OutputTable[GroupByKey]=OutputTable[[#This Row],[GroupByKey]])*OutputTable[RecordedValue]))</f>
        <v>0</v>
      </c>
      <c r="P538" s="5" cm="1">
        <f t="array" ref="P538">MAX(IF((OutputTable[GroupByKey]=OutputTable[[#This Row],[GroupByKey]]),(OutputTable[GroupByKey]=OutputTable[[#This Row],[GroupByKey]])*OutputTable[RecordedValue]))</f>
        <v>32.770863925850499</v>
      </c>
    </row>
    <row r="539" spans="1:16" x14ac:dyDescent="0.25">
      <c r="A539" t="s">
        <v>68</v>
      </c>
      <c r="B539" t="s">
        <v>70</v>
      </c>
      <c r="C539">
        <v>22</v>
      </c>
      <c r="D539" t="s">
        <v>123</v>
      </c>
      <c r="E539" t="s">
        <v>108</v>
      </c>
      <c r="F539" t="s">
        <v>81</v>
      </c>
      <c r="G539">
        <v>34</v>
      </c>
      <c r="H539">
        <v>0</v>
      </c>
      <c r="I539" s="5" t="str">
        <f>OutputTable[[#This Row],[ProjectName]]&amp;OutputTable[[#This Row],[Name]]&amp;OutputTable[[#This Row],[Type]]&amp;OutputTable[[#This Row],[Source]]</f>
        <v>Pedido CleintesPago Number InNumber InProcess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30</v>
      </c>
      <c r="K539" s="5" cm="1">
        <f t="array" ref="K539">IFERROR(AVERAGE(IF((OutputTable[GroupByKey]=OutputTable[[#This Row],[GroupByKey]]),(OutputTable[GroupByKey]=OutputTable[[#This Row],[GroupByKey]])*OutputTable[RecordedValue])),0)</f>
        <v>39.666666666666664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6.0477030882540914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39" s="5" cm="1">
        <f t="array" ref="O539">MIN(IF((OutputTable[GroupByKey]=OutputTable[[#This Row],[GroupByKey]]),(OutputTable[GroupByKey]=OutputTable[[#This Row],[GroupByKey]])*OutputTable[RecordedValue]))</f>
        <v>26</v>
      </c>
      <c r="P539" s="5" cm="1">
        <f t="array" ref="P539">MAX(IF((OutputTable[GroupByKey]=OutputTable[[#This Row],[GroupByKey]]),(OutputTable[GroupByKey]=OutputTable[[#This Row],[GroupByKey]])*OutputTable[RecordedValue]))</f>
        <v>49</v>
      </c>
    </row>
    <row r="540" spans="1:16" x14ac:dyDescent="0.25">
      <c r="A540" t="s">
        <v>68</v>
      </c>
      <c r="B540" t="s">
        <v>70</v>
      </c>
      <c r="C540">
        <v>22</v>
      </c>
      <c r="D540" t="s">
        <v>124</v>
      </c>
      <c r="E540" t="s">
        <v>110</v>
      </c>
      <c r="F540" t="s">
        <v>81</v>
      </c>
      <c r="G540">
        <v>34</v>
      </c>
      <c r="H540">
        <v>0</v>
      </c>
      <c r="I540" s="5" t="str">
        <f>OutputTable[[#This Row],[ProjectName]]&amp;OutputTable[[#This Row],[Name]]&amp;OutputTable[[#This Row],[Type]]&amp;OutputTable[[#This Row],[Source]]</f>
        <v>Pedido CleintesPago Number OutNumber OutProcess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30</v>
      </c>
      <c r="K540" s="5" cm="1">
        <f t="array" ref="K540">IFERROR(AVERAGE(IF((OutputTable[GroupByKey]=OutputTable[[#This Row],[GroupByKey]]),(OutputTable[GroupByKey]=OutputTable[[#This Row],[GroupByKey]])*OutputTable[RecordedValue])),0)</f>
        <v>39.43333333333333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5.9171482724502509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540" s="5" cm="1">
        <f t="array" ref="O540">MIN(IF((OutputTable[GroupByKey]=OutputTable[[#This Row],[GroupByKey]]),(OutputTable[GroupByKey]=OutputTable[[#This Row],[GroupByKey]])*OutputTable[RecordedValue]))</f>
        <v>26</v>
      </c>
      <c r="P540" s="5" cm="1">
        <f t="array" ref="P540">MAX(IF((OutputTable[GroupByKey]=OutputTable[[#This Row],[GroupByKey]]),(OutputTable[GroupByKey]=OutputTable[[#This Row],[GroupByKey]])*OutputTable[RecordedValue]))</f>
        <v>49</v>
      </c>
    </row>
    <row r="541" spans="1:16" x14ac:dyDescent="0.25">
      <c r="A541" t="s">
        <v>68</v>
      </c>
      <c r="B541" t="s">
        <v>70</v>
      </c>
      <c r="C541">
        <v>22</v>
      </c>
      <c r="D541" t="s">
        <v>125</v>
      </c>
      <c r="E541" t="s">
        <v>112</v>
      </c>
      <c r="F541" t="s">
        <v>81</v>
      </c>
      <c r="G541">
        <v>102.23868051323799</v>
      </c>
      <c r="H541">
        <v>0</v>
      </c>
      <c r="I5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30</v>
      </c>
      <c r="K541" s="5" cm="1">
        <f t="array" ref="K541">IFERROR(AVERAGE(IF((OutputTable[GroupByKey]=OutputTable[[#This Row],[GroupByKey]]),(OutputTable[GroupByKey]=OutputTable[[#This Row],[GroupByKey]])*OutputTable[RecordedValue])),0)</f>
        <v>116.64263458387505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17.825477946659205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541" s="5" cm="1">
        <f t="array" ref="O541">MIN(IF((OutputTable[GroupByKey]=OutputTable[[#This Row],[GroupByKey]]),(OutputTable[GroupByKey]=OutputTable[[#This Row],[GroupByKey]])*OutputTable[RecordedValue]))</f>
        <v>74.976560761710004</v>
      </c>
      <c r="P541" s="5" cm="1">
        <f t="array" ref="P541">MAX(IF((OutputTable[GroupByKey]=OutputTable[[#This Row],[GroupByKey]]),(OutputTable[GroupByKey]=OutputTable[[#This Row],[GroupByKey]])*OutputTable[RecordedValue]))</f>
        <v>145.504156763596</v>
      </c>
    </row>
    <row r="542" spans="1:16" x14ac:dyDescent="0.25">
      <c r="A542" t="s">
        <v>68</v>
      </c>
      <c r="B542" t="s">
        <v>70</v>
      </c>
      <c r="C542">
        <v>22</v>
      </c>
      <c r="D542" t="s">
        <v>126</v>
      </c>
      <c r="E542" t="s">
        <v>114</v>
      </c>
      <c r="F542" t="s">
        <v>81</v>
      </c>
      <c r="G542">
        <v>20.762580084795101</v>
      </c>
      <c r="H542">
        <v>0</v>
      </c>
      <c r="I5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30</v>
      </c>
      <c r="K542" s="5" cm="1">
        <f t="array" ref="K542">IFERROR(AVERAGE(IF((OutputTable[GroupByKey]=OutputTable[[#This Row],[GroupByKey]]),(OutputTable[GroupByKey]=OutputTable[[#This Row],[GroupByKey]])*OutputTable[RecordedValue])),0)</f>
        <v>39.900972800228722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22.922906975864144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542" s="5" cm="1">
        <f t="array" ref="O542">MIN(IF((OutputTable[GroupByKey]=OutputTable[[#This Row],[GroupByKey]]),(OutputTable[GroupByKey]=OutputTable[[#This Row],[GroupByKey]])*OutputTable[RecordedValue]))</f>
        <v>2.1708788192608899</v>
      </c>
      <c r="P542" s="5" cm="1">
        <f t="array" ref="P542">MAX(IF((OutputTable[GroupByKey]=OutputTable[[#This Row],[GroupByKey]]),(OutputTable[GroupByKey]=OutputTable[[#This Row],[GroupByKey]])*OutputTable[RecordedValue]))</f>
        <v>94.9142929398908</v>
      </c>
    </row>
    <row r="543" spans="1:16" x14ac:dyDescent="0.25">
      <c r="A543" t="s">
        <v>68</v>
      </c>
      <c r="B543" t="s">
        <v>70</v>
      </c>
      <c r="C543">
        <v>22</v>
      </c>
      <c r="D543" t="s">
        <v>127</v>
      </c>
      <c r="E543" t="s">
        <v>108</v>
      </c>
      <c r="F543" t="s">
        <v>81</v>
      </c>
      <c r="G543">
        <v>34</v>
      </c>
      <c r="H543">
        <v>0</v>
      </c>
      <c r="I543" s="5" t="str">
        <f>OutputTable[[#This Row],[ProjectName]]&amp;OutputTable[[#This Row],[Name]]&amp;OutputTable[[#This Row],[Type]]&amp;OutputTable[[#This Row],[Source]]</f>
        <v>Pedido CleintesPreparar orden Number InNumber InProcess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30</v>
      </c>
      <c r="K543" s="5" cm="1">
        <f t="array" ref="K543">IFERROR(AVERAGE(IF((OutputTable[GroupByKey]=OutputTable[[#This Row],[GroupByKey]]),(OutputTable[GroupByKey]=OutputTable[[#This Row],[GroupByKey]])*OutputTable[RecordedValue])),0)</f>
        <v>39.666666666666664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6.0477030882540914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43" s="5" cm="1">
        <f t="array" ref="O543">MIN(IF((OutputTable[GroupByKey]=OutputTable[[#This Row],[GroupByKey]]),(OutputTable[GroupByKey]=OutputTable[[#This Row],[GroupByKey]])*OutputTable[RecordedValue]))</f>
        <v>26</v>
      </c>
      <c r="P543" s="5" cm="1">
        <f t="array" ref="P543">MAX(IF((OutputTable[GroupByKey]=OutputTable[[#This Row],[GroupByKey]]),(OutputTable[GroupByKey]=OutputTable[[#This Row],[GroupByKey]])*OutputTable[RecordedValue]))</f>
        <v>49</v>
      </c>
    </row>
    <row r="544" spans="1:16" x14ac:dyDescent="0.25">
      <c r="A544" t="s">
        <v>68</v>
      </c>
      <c r="B544" t="s">
        <v>70</v>
      </c>
      <c r="C544">
        <v>22</v>
      </c>
      <c r="D544" t="s">
        <v>128</v>
      </c>
      <c r="E544" t="s">
        <v>110</v>
      </c>
      <c r="F544" t="s">
        <v>81</v>
      </c>
      <c r="G544">
        <v>34</v>
      </c>
      <c r="H544">
        <v>0</v>
      </c>
      <c r="I5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30</v>
      </c>
      <c r="K544" s="5" cm="1">
        <f t="array" ref="K544">IFERROR(AVERAGE(IF((OutputTable[GroupByKey]=OutputTable[[#This Row],[GroupByKey]]),(OutputTable[GroupByKey]=OutputTable[[#This Row],[GroupByKey]])*OutputTable[RecordedValue])),0)</f>
        <v>38.93333333333333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5.9765826548191505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44" s="5" cm="1">
        <f t="array" ref="O544">MIN(IF((OutputTable[GroupByKey]=OutputTable[[#This Row],[GroupByKey]]),(OutputTable[GroupByKey]=OutputTable[[#This Row],[GroupByKey]])*OutputTable[RecordedValue]))</f>
        <v>25</v>
      </c>
      <c r="P544" s="5" cm="1">
        <f t="array" ref="P544">MAX(IF((OutputTable[GroupByKey]=OutputTable[[#This Row],[GroupByKey]]),(OutputTable[GroupByKey]=OutputTable[[#This Row],[GroupByKey]])*OutputTable[RecordedValue]))</f>
        <v>49</v>
      </c>
    </row>
    <row r="545" spans="1:16" x14ac:dyDescent="0.25">
      <c r="A545" t="s">
        <v>68</v>
      </c>
      <c r="B545" t="s">
        <v>70</v>
      </c>
      <c r="C545">
        <v>22</v>
      </c>
      <c r="D545" t="s">
        <v>129</v>
      </c>
      <c r="E545" t="s">
        <v>110</v>
      </c>
      <c r="F545" t="s">
        <v>130</v>
      </c>
      <c r="G545">
        <v>34</v>
      </c>
      <c r="H545">
        <v>0</v>
      </c>
      <c r="I545" s="5" t="str">
        <f>OutputTable[[#This Row],[ProjectName]]&amp;OutputTable[[#This Row],[Name]]&amp;OutputTable[[#This Row],[Type]]&amp;OutputTable[[#This Row],[Source]]</f>
        <v>Pedido CleintesSystem.NumberOutNumber OutSystem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30</v>
      </c>
      <c r="K545" s="5" cm="1">
        <f t="array" ref="K545">IFERROR(AVERAGE(IF((OutputTable[GroupByKey]=OutputTable[[#This Row],[GroupByKey]]),(OutputTable[GroupByKey]=OutputTable[[#This Row],[GroupByKey]])*OutputTable[RecordedValue])),0)</f>
        <v>38.866666666666667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6.0840851369801694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45" s="5" cm="1">
        <f t="array" ref="O545">MIN(IF((OutputTable[GroupByKey]=OutputTable[[#This Row],[GroupByKey]]),(OutputTable[GroupByKey]=OutputTable[[#This Row],[GroupByKey]])*OutputTable[RecordedValue]))</f>
        <v>24</v>
      </c>
      <c r="P545" s="5" cm="1">
        <f t="array" ref="P545">MAX(IF((OutputTable[GroupByKey]=OutputTable[[#This Row],[GroupByKey]]),(OutputTable[GroupByKey]=OutputTable[[#This Row],[GroupByKey]])*OutputTable[RecordedValue]))</f>
        <v>49</v>
      </c>
    </row>
    <row r="546" spans="1:16" x14ac:dyDescent="0.25">
      <c r="A546" t="s">
        <v>68</v>
      </c>
      <c r="B546" t="s">
        <v>70</v>
      </c>
      <c r="C546">
        <v>22</v>
      </c>
      <c r="D546" t="s">
        <v>131</v>
      </c>
      <c r="E546" t="s">
        <v>132</v>
      </c>
      <c r="F546" t="s">
        <v>102</v>
      </c>
      <c r="G546">
        <v>34</v>
      </c>
      <c r="H546">
        <v>0</v>
      </c>
      <c r="I5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30</v>
      </c>
      <c r="K546" s="5" cm="1">
        <f t="array" ref="K546">IFERROR(AVERAGE(IF((OutputTable[GroupByKey]=OutputTable[[#This Row],[GroupByKey]]),(OutputTable[GroupByKey]=OutputTable[[#This Row],[GroupByKey]])*OutputTable[RecordedValue])),0)</f>
        <v>39.4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5.8757244601014422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546" s="5" cm="1">
        <f t="array" ref="O546">MIN(IF((OutputTable[GroupByKey]=OutputTable[[#This Row],[GroupByKey]]),(OutputTable[GroupByKey]=OutputTable[[#This Row],[GroupByKey]])*OutputTable[RecordedValue]))</f>
        <v>26</v>
      </c>
      <c r="P546" s="5" cm="1">
        <f t="array" ref="P546">MAX(IF((OutputTable[GroupByKey]=OutputTable[[#This Row],[GroupByKey]]),(OutputTable[GroupByKey]=OutputTable[[#This Row],[GroupByKey]])*OutputTable[RecordedValue]))</f>
        <v>49</v>
      </c>
    </row>
    <row r="547" spans="1:16" x14ac:dyDescent="0.25">
      <c r="A547" t="s">
        <v>68</v>
      </c>
      <c r="B547" t="s">
        <v>70</v>
      </c>
      <c r="C547">
        <v>22</v>
      </c>
      <c r="D547" t="s">
        <v>133</v>
      </c>
      <c r="E547" t="s">
        <v>134</v>
      </c>
      <c r="F547" t="s">
        <v>102</v>
      </c>
      <c r="G547">
        <v>0.42599450213849299</v>
      </c>
      <c r="H547">
        <v>0</v>
      </c>
      <c r="I5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30</v>
      </c>
      <c r="K547" s="5" cm="1">
        <f t="array" ref="K547">IFERROR(AVERAGE(IF((OutputTable[GroupByKey]=OutputTable[[#This Row],[GroupByKey]]),(OutputTable[GroupByKey]=OutputTable[[#This Row],[GroupByKey]])*OutputTable[RecordedValue])),0)</f>
        <v>0.48891840079317483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7.3627413122013347E-2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547" s="5" cm="1">
        <f t="array" ref="O547">MIN(IF((OutputTable[GroupByKey]=OutputTable[[#This Row],[GroupByKey]]),(OutputTable[GroupByKey]=OutputTable[[#This Row],[GroupByKey]])*OutputTable[RecordedValue]))</f>
        <v>0.31277577999924699</v>
      </c>
      <c r="P547" s="5" cm="1">
        <f t="array" ref="P547">MAX(IF((OutputTable[GroupByKey]=OutputTable[[#This Row],[GroupByKey]]),(OutputTable[GroupByKey]=OutputTable[[#This Row],[GroupByKey]])*OutputTable[RecordedValue]))</f>
        <v>0.60626731984831705</v>
      </c>
    </row>
    <row r="548" spans="1:16" x14ac:dyDescent="0.25">
      <c r="A548" t="s">
        <v>68</v>
      </c>
      <c r="B548" t="s">
        <v>70</v>
      </c>
      <c r="C548">
        <v>22</v>
      </c>
      <c r="D548" t="s">
        <v>135</v>
      </c>
      <c r="E548" t="s">
        <v>132</v>
      </c>
      <c r="F548" t="s">
        <v>102</v>
      </c>
      <c r="G548">
        <v>68</v>
      </c>
      <c r="H548">
        <v>0</v>
      </c>
      <c r="I5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30</v>
      </c>
      <c r="K548" s="5" cm="1">
        <f t="array" ref="K548">IFERROR(AVERAGE(IF((OutputTable[GroupByKey]=OutputTable[[#This Row],[GroupByKey]]),(OutputTable[GroupByKey]=OutputTable[[#This Row],[GroupByKey]])*OutputTable[RecordedValue])),0)</f>
        <v>79.466666666666669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12.016463801753446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548" s="5" cm="1">
        <f t="array" ref="O548">MIN(IF((OutputTable[GroupByKey]=OutputTable[[#This Row],[GroupByKey]]),(OutputTable[GroupByKey]=OutputTable[[#This Row],[GroupByKey]])*OutputTable[RecordedValue]))</f>
        <v>53</v>
      </c>
      <c r="P548" s="5" cm="1">
        <f t="array" ref="P548">MAX(IF((OutputTable[GroupByKey]=OutputTable[[#This Row],[GroupByKey]]),(OutputTable[GroupByKey]=OutputTable[[#This Row],[GroupByKey]])*OutputTable[RecordedValue]))</f>
        <v>98</v>
      </c>
    </row>
    <row r="549" spans="1:16" x14ac:dyDescent="0.25">
      <c r="A549" t="s">
        <v>68</v>
      </c>
      <c r="B549" t="s">
        <v>70</v>
      </c>
      <c r="C549">
        <v>22</v>
      </c>
      <c r="D549" t="s">
        <v>136</v>
      </c>
      <c r="E549" t="s">
        <v>134</v>
      </c>
      <c r="F549" t="s">
        <v>102</v>
      </c>
      <c r="G549">
        <v>0.25128807862616798</v>
      </c>
      <c r="H549">
        <v>0</v>
      </c>
      <c r="I5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30</v>
      </c>
      <c r="K549" s="5" cm="1">
        <f t="array" ref="K549">IFERROR(AVERAGE(IF((OutputTable[GroupByKey]=OutputTable[[#This Row],[GroupByKey]]),(OutputTable[GroupByKey]=OutputTable[[#This Row],[GroupByKey]])*OutputTable[RecordedValue])),0)</f>
        <v>0.28976365927997022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4.4748273652133699E-2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549" s="5" cm="1">
        <f t="array" ref="O549">MIN(IF((OutputTable[GroupByKey]=OutputTable[[#This Row],[GroupByKey]]),(OutputTable[GroupByKey]=OutputTable[[#This Row],[GroupByKey]])*OutputTable[RecordedValue]))</f>
        <v>0.194735973294278</v>
      </c>
      <c r="P549" s="5" cm="1">
        <f t="array" ref="P549">MAX(IF((OutputTable[GroupByKey]=OutputTable[[#This Row],[GroupByKey]]),(OutputTable[GroupByKey]=OutputTable[[#This Row],[GroupByKey]])*OutputTable[RecordedValue]))</f>
        <v>0.35775345817659199</v>
      </c>
    </row>
    <row r="550" spans="1:16" x14ac:dyDescent="0.25">
      <c r="A550" t="s">
        <v>68</v>
      </c>
      <c r="B550" t="s">
        <v>70</v>
      </c>
      <c r="C550">
        <v>22</v>
      </c>
      <c r="D550" t="s">
        <v>137</v>
      </c>
      <c r="E550" t="s">
        <v>132</v>
      </c>
      <c r="F550" t="s">
        <v>102</v>
      </c>
      <c r="G550">
        <v>34</v>
      </c>
      <c r="H550">
        <v>0</v>
      </c>
      <c r="I5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30</v>
      </c>
      <c r="K550" s="5" cm="1">
        <f t="array" ref="K550">IFERROR(AVERAGE(IF((OutputTable[GroupByKey]=OutputTable[[#This Row],[GroupByKey]]),(OutputTable[GroupByKey]=OutputTable[[#This Row],[GroupByKey]])*OutputTable[RecordedValue])),0)</f>
        <v>38.93333333333333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5.9765826548191505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50" s="5" cm="1">
        <f t="array" ref="O550">MIN(IF((OutputTable[GroupByKey]=OutputTable[[#This Row],[GroupByKey]]),(OutputTable[GroupByKey]=OutputTable[[#This Row],[GroupByKey]])*OutputTable[RecordedValue]))</f>
        <v>25</v>
      </c>
      <c r="P550" s="5" cm="1">
        <f t="array" ref="P550">MAX(IF((OutputTable[GroupByKey]=OutputTable[[#This Row],[GroupByKey]]),(OutputTable[GroupByKey]=OutputTable[[#This Row],[GroupByKey]])*OutputTable[RecordedValue]))</f>
        <v>49</v>
      </c>
    </row>
    <row r="551" spans="1:16" x14ac:dyDescent="0.25">
      <c r="A551" t="s">
        <v>68</v>
      </c>
      <c r="B551" t="s">
        <v>70</v>
      </c>
      <c r="C551">
        <v>22</v>
      </c>
      <c r="D551" t="s">
        <v>138</v>
      </c>
      <c r="E551" t="s">
        <v>134</v>
      </c>
      <c r="F551" t="s">
        <v>102</v>
      </c>
      <c r="G551">
        <v>8.2115125594601407E-2</v>
      </c>
      <c r="H551">
        <v>0</v>
      </c>
      <c r="I5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30</v>
      </c>
      <c r="K551" s="5" cm="1">
        <f t="array" ref="K551">IFERROR(AVERAGE(IF((OutputTable[GroupByKey]=OutputTable[[#This Row],[GroupByKey]]),(OutputTable[GroupByKey]=OutputTable[[#This Row],[GroupByKey]])*OutputTable[RecordedValue])),0)</f>
        <v>8.2588852761398115E-2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1.3130964022328008E-2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551" s="5" cm="1">
        <f t="array" ref="O551">MIN(IF((OutputTable[GroupByKey]=OutputTable[[#This Row],[GroupByKey]]),(OutputTable[GroupByKey]=OutputTable[[#This Row],[GroupByKey]])*OutputTable[RecordedValue]))</f>
        <v>5.3757894868807901E-2</v>
      </c>
      <c r="P551" s="5" cm="1">
        <f t="array" ref="P551">MAX(IF((OutputTable[GroupByKey]=OutputTable[[#This Row],[GroupByKey]]),(OutputTable[GroupByKey]=OutputTable[[#This Row],[GroupByKey]])*OutputTable[RecordedValue]))</f>
        <v>0.103175045984152</v>
      </c>
    </row>
    <row r="552" spans="1:16" x14ac:dyDescent="0.25">
      <c r="A552" t="s">
        <v>68</v>
      </c>
      <c r="B552" t="s">
        <v>70</v>
      </c>
      <c r="C552">
        <v>23</v>
      </c>
      <c r="D552" t="s">
        <v>107</v>
      </c>
      <c r="E552" t="s">
        <v>108</v>
      </c>
      <c r="F552" t="s">
        <v>73</v>
      </c>
      <c r="G552">
        <v>126</v>
      </c>
      <c r="H552">
        <v>0</v>
      </c>
      <c r="I552" s="5" t="str">
        <f>OutputTable[[#This Row],[ProjectName]]&amp;OutputTable[[#This Row],[Name]]&amp;OutputTable[[#This Row],[Type]]&amp;OutputTable[[#This Row],[Source]]</f>
        <v>Pedido CleintesClientes.NumberInNumber InEntity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30</v>
      </c>
      <c r="K552" s="5" cm="1">
        <f t="array" ref="K552">IFERROR(AVERAGE(IF((OutputTable[GroupByKey]=OutputTable[[#This Row],[GroupByKey]]),(OutputTable[GroupByKey]=OutputTable[[#This Row],[GroupByKey]])*OutputTable[RecordedValue])),0)</f>
        <v>118.5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18.009097317936192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552" s="5" cm="1">
        <f t="array" ref="O552">MIN(IF((OutputTable[GroupByKey]=OutputTable[[#This Row],[GroupByKey]]),(OutputTable[GroupByKey]=OutputTable[[#This Row],[GroupByKey]])*OutputTable[RecordedValue]))</f>
        <v>78</v>
      </c>
      <c r="P552" s="5" cm="1">
        <f t="array" ref="P552">MAX(IF((OutputTable[GroupByKey]=OutputTable[[#This Row],[GroupByKey]]),(OutputTable[GroupByKey]=OutputTable[[#This Row],[GroupByKey]])*OutputTable[RecordedValue]))</f>
        <v>147</v>
      </c>
    </row>
    <row r="553" spans="1:16" x14ac:dyDescent="0.25">
      <c r="A553" t="s">
        <v>68</v>
      </c>
      <c r="B553" t="s">
        <v>70</v>
      </c>
      <c r="C553">
        <v>23</v>
      </c>
      <c r="D553" t="s">
        <v>109</v>
      </c>
      <c r="E553" t="s">
        <v>110</v>
      </c>
      <c r="F553" t="s">
        <v>73</v>
      </c>
      <c r="G553">
        <v>120</v>
      </c>
      <c r="H553">
        <v>0</v>
      </c>
      <c r="I553" s="5" t="str">
        <f>OutputTable[[#This Row],[ProjectName]]&amp;OutputTable[[#This Row],[Name]]&amp;OutputTable[[#This Row],[Type]]&amp;OutputTable[[#This Row],[Source]]</f>
        <v>Pedido CleintesClientes.NumberOutNumber OutEntity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30</v>
      </c>
      <c r="K553" s="5" cm="1">
        <f t="array" ref="K553">IFERROR(AVERAGE(IF((OutputTable[GroupByKey]=OutputTable[[#This Row],[GroupByKey]]),(OutputTable[GroupByKey]=OutputTable[[#This Row],[GroupByKey]])*OutputTable[RecordedValue])),0)</f>
        <v>116.6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18.252255410940514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553" s="5" cm="1">
        <f t="array" ref="O553">MIN(IF((OutputTable[GroupByKey]=OutputTable[[#This Row],[GroupByKey]]),(OutputTable[GroupByKey]=OutputTable[[#This Row],[GroupByKey]])*OutputTable[RecordedValue]))</f>
        <v>72</v>
      </c>
      <c r="P553" s="5" cm="1">
        <f t="array" ref="P553">MAX(IF((OutputTable[GroupByKey]=OutputTable[[#This Row],[GroupByKey]]),(OutputTable[GroupByKey]=OutputTable[[#This Row],[GroupByKey]])*OutputTable[RecordedValue]))</f>
        <v>147</v>
      </c>
    </row>
    <row r="554" spans="1:16" x14ac:dyDescent="0.25">
      <c r="A554" t="s">
        <v>68</v>
      </c>
      <c r="B554" t="s">
        <v>70</v>
      </c>
      <c r="C554">
        <v>23</v>
      </c>
      <c r="D554" t="s">
        <v>111</v>
      </c>
      <c r="E554" t="s">
        <v>112</v>
      </c>
      <c r="F554" t="s">
        <v>81</v>
      </c>
      <c r="G554">
        <v>18.326262655851199</v>
      </c>
      <c r="H554">
        <v>0</v>
      </c>
      <c r="I55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30</v>
      </c>
      <c r="K554" s="5" cm="1">
        <f t="array" ref="K554">IFERROR(AVERAGE(IF((OutputTable[GroupByKey]=OutputTable[[#This Row],[GroupByKey]]),(OutputTable[GroupByKey]=OutputTable[[#This Row],[GroupByKey]])*OutputTable[RecordedValue])),0)</f>
        <v>19.806808580201274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3.1624794742170024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554" s="5" cm="1">
        <f t="array" ref="O554">MIN(IF((OutputTable[GroupByKey]=OutputTable[[#This Row],[GroupByKey]]),(OutputTable[GroupByKey]=OutputTable[[#This Row],[GroupByKey]])*OutputTable[RecordedValue]))</f>
        <v>12.812268330404599</v>
      </c>
      <c r="P554" s="5" cm="1">
        <f t="array" ref="P554">MAX(IF((OutputTable[GroupByKey]=OutputTable[[#This Row],[GroupByKey]]),(OutputTable[GroupByKey]=OutputTable[[#This Row],[GroupByKey]])*OutputTable[RecordedValue]))</f>
        <v>24.762011036196501</v>
      </c>
    </row>
    <row r="555" spans="1:16" x14ac:dyDescent="0.25">
      <c r="A555" t="s">
        <v>68</v>
      </c>
      <c r="B555" t="s">
        <v>70</v>
      </c>
      <c r="C555">
        <v>23</v>
      </c>
      <c r="D555" t="s">
        <v>113</v>
      </c>
      <c r="E555" t="s">
        <v>114</v>
      </c>
      <c r="F555" t="s">
        <v>81</v>
      </c>
      <c r="G555">
        <v>0</v>
      </c>
      <c r="H555">
        <v>0</v>
      </c>
      <c r="I55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30</v>
      </c>
      <c r="K555" s="5" cm="1">
        <f t="array" ref="K555">IFERROR(AVERAGE(IF((OutputTable[GroupByKey]=OutputTable[[#This Row],[GroupByKey]]),(OutputTable[GroupByKey]=OutputTable[[#This Row],[GroupByKey]])*OutputTable[RecordedValue])),0)</f>
        <v>0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5" s="5" cm="1">
        <f t="array" ref="O555">MIN(IF((OutputTable[GroupByKey]=OutputTable[[#This Row],[GroupByKey]]),(OutputTable[GroupByKey]=OutputTable[[#This Row],[GroupByKey]])*OutputTable[RecordedValue]))</f>
        <v>0</v>
      </c>
      <c r="P555" s="5" cm="1">
        <f t="array" ref="P555">MAX(IF((OutputTable[GroupByKey]=OutputTable[[#This Row],[GroupByKey]]),(OutputTable[GroupByKey]=OutputTable[[#This Row],[GroupByKey]])*OutputTable[RecordedValue]))</f>
        <v>0</v>
      </c>
    </row>
    <row r="556" spans="1:16" x14ac:dyDescent="0.25">
      <c r="A556" t="s">
        <v>68</v>
      </c>
      <c r="B556" t="s">
        <v>70</v>
      </c>
      <c r="C556">
        <v>23</v>
      </c>
      <c r="D556" t="s">
        <v>115</v>
      </c>
      <c r="E556" t="s">
        <v>108</v>
      </c>
      <c r="F556" t="s">
        <v>81</v>
      </c>
      <c r="G556">
        <v>40</v>
      </c>
      <c r="H556">
        <v>0</v>
      </c>
      <c r="I55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30</v>
      </c>
      <c r="K556" s="5" cm="1">
        <f t="array" ref="K556">IFERROR(AVERAGE(IF((OutputTable[GroupByKey]=OutputTable[[#This Row],[GroupByKey]]),(OutputTable[GroupByKey]=OutputTable[[#This Row],[GroupByKey]])*OutputTable[RecordedValue])),0)</f>
        <v>38.93333333333333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5.9765826548191505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56" s="5" cm="1">
        <f t="array" ref="O556">MIN(IF((OutputTable[GroupByKey]=OutputTable[[#This Row],[GroupByKey]]),(OutputTable[GroupByKey]=OutputTable[[#This Row],[GroupByKey]])*OutputTable[RecordedValue]))</f>
        <v>25</v>
      </c>
      <c r="P556" s="5" cm="1">
        <f t="array" ref="P556">MAX(IF((OutputTable[GroupByKey]=OutputTable[[#This Row],[GroupByKey]]),(OutputTable[GroupByKey]=OutputTable[[#This Row],[GroupByKey]])*OutputTable[RecordedValue]))</f>
        <v>49</v>
      </c>
    </row>
    <row r="557" spans="1:16" x14ac:dyDescent="0.25">
      <c r="A557" t="s">
        <v>68</v>
      </c>
      <c r="B557" t="s">
        <v>70</v>
      </c>
      <c r="C557">
        <v>23</v>
      </c>
      <c r="D557" t="s">
        <v>116</v>
      </c>
      <c r="E557" t="s">
        <v>110</v>
      </c>
      <c r="F557" t="s">
        <v>81</v>
      </c>
      <c r="G557">
        <v>40</v>
      </c>
      <c r="H557">
        <v>0</v>
      </c>
      <c r="I55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30</v>
      </c>
      <c r="K557" s="5" cm="1">
        <f t="array" ref="K557">IFERROR(AVERAGE(IF((OutputTable[GroupByKey]=OutputTable[[#This Row],[GroupByKey]]),(OutputTable[GroupByKey]=OutputTable[[#This Row],[GroupByKey]])*OutputTable[RecordedValue])),0)</f>
        <v>38.866666666666667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6.0840851369801694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57" s="5" cm="1">
        <f t="array" ref="O557">MIN(IF((OutputTable[GroupByKey]=OutputTable[[#This Row],[GroupByKey]]),(OutputTable[GroupByKey]=OutputTable[[#This Row],[GroupByKey]])*OutputTable[RecordedValue]))</f>
        <v>24</v>
      </c>
      <c r="P557" s="5" cm="1">
        <f t="array" ref="P557">MAX(IF((OutputTable[GroupByKey]=OutputTable[[#This Row],[GroupByKey]]),(OutputTable[GroupByKey]=OutputTable[[#This Row],[GroupByKey]])*OutputTable[RecordedValue]))</f>
        <v>49</v>
      </c>
    </row>
    <row r="558" spans="1:16" x14ac:dyDescent="0.25">
      <c r="A558" t="s">
        <v>68</v>
      </c>
      <c r="B558" t="s">
        <v>70</v>
      </c>
      <c r="C558">
        <v>23</v>
      </c>
      <c r="D558" t="s">
        <v>117</v>
      </c>
      <c r="E558" t="s">
        <v>112</v>
      </c>
      <c r="F558" t="s">
        <v>81</v>
      </c>
      <c r="G558">
        <v>44.198290810945799</v>
      </c>
      <c r="H558">
        <v>0</v>
      </c>
      <c r="I558" s="5" t="str">
        <f>OutputTable[[#This Row],[ProjectName]]&amp;OutputTable[[#This Row],[Name]]&amp;OutputTable[[#This Row],[Type]]&amp;OutputTable[[#This Row],[Source]]</f>
        <v>Pedido CleintesOrdnes Accum VA TimeAccum VA TimeProcess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30</v>
      </c>
      <c r="K558" s="5" cm="1">
        <f t="array" ref="K558">IFERROR(AVERAGE(IF((OutputTable[GroupByKey]=OutputTable[[#This Row],[GroupByKey]]),(OutputTable[GroupByKey]=OutputTable[[#This Row],[GroupByKey]])*OutputTable[RecordedValue])),0)</f>
        <v>39.878126992056487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6.1068580319474277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558" s="5" cm="1">
        <f t="array" ref="O558">MIN(IF((OutputTable[GroupByKey]=OutputTable[[#This Row],[GroupByKey]]),(OutputTable[GroupByKey]=OutputTable[[#This Row],[GroupByKey]])*OutputTable[RecordedValue]))</f>
        <v>26.106281767804099</v>
      </c>
      <c r="P558" s="5" cm="1">
        <f t="array" ref="P558">MAX(IF((OutputTable[GroupByKey]=OutputTable[[#This Row],[GroupByKey]]),(OutputTable[GroupByKey]=OutputTable[[#This Row],[GroupByKey]])*OutputTable[RecordedValue]))</f>
        <v>48.706388790541098</v>
      </c>
    </row>
    <row r="559" spans="1:16" x14ac:dyDescent="0.25">
      <c r="A559" t="s">
        <v>68</v>
      </c>
      <c r="B559" t="s">
        <v>70</v>
      </c>
      <c r="C559">
        <v>23</v>
      </c>
      <c r="D559" t="s">
        <v>118</v>
      </c>
      <c r="E559" t="s">
        <v>114</v>
      </c>
      <c r="F559" t="s">
        <v>81</v>
      </c>
      <c r="G559">
        <v>10.8490240941391</v>
      </c>
      <c r="H559">
        <v>0</v>
      </c>
      <c r="I55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30</v>
      </c>
      <c r="K559" s="5" cm="1">
        <f t="array" ref="K559">IFERROR(AVERAGE(IF((OutputTable[GroupByKey]=OutputTable[[#This Row],[GroupByKey]]),(OutputTable[GroupByKey]=OutputTable[[#This Row],[GroupByKey]])*OutputTable[RecordedValue])),0)</f>
        <v>7.9804799821754404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4.8950382198155014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559" s="5" cm="1">
        <f t="array" ref="O559">MIN(IF((OutputTable[GroupByKey]=OutputTable[[#This Row],[GroupByKey]]),(OutputTable[GroupByKey]=OutputTable[[#This Row],[GroupByKey]])*OutputTable[RecordedValue]))</f>
        <v>0</v>
      </c>
      <c r="P559" s="5" cm="1">
        <f t="array" ref="P559">MAX(IF((OutputTable[GroupByKey]=OutputTable[[#This Row],[GroupByKey]]),(OutputTable[GroupByKey]=OutputTable[[#This Row],[GroupByKey]])*OutputTable[RecordedValue]))</f>
        <v>18.843855117811401</v>
      </c>
    </row>
    <row r="560" spans="1:16" x14ac:dyDescent="0.25">
      <c r="A560" t="s">
        <v>68</v>
      </c>
      <c r="B560" t="s">
        <v>70</v>
      </c>
      <c r="C560">
        <v>23</v>
      </c>
      <c r="D560" t="s">
        <v>119</v>
      </c>
      <c r="E560" t="s">
        <v>108</v>
      </c>
      <c r="F560" t="s">
        <v>81</v>
      </c>
      <c r="G560">
        <v>43</v>
      </c>
      <c r="H560">
        <v>0</v>
      </c>
      <c r="I560" s="5" t="str">
        <f>OutputTable[[#This Row],[ProjectName]]&amp;OutputTable[[#This Row],[Name]]&amp;OutputTable[[#This Row],[Type]]&amp;OutputTable[[#This Row],[Source]]</f>
        <v>Pedido CleintesOrdnes Number InNumber InProcess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30</v>
      </c>
      <c r="K560" s="5" cm="1">
        <f t="array" ref="K560">IFERROR(AVERAGE(IF((OutputTable[GroupByKey]=OutputTable[[#This Row],[GroupByKey]]),(OutputTable[GroupByKey]=OutputTable[[#This Row],[GroupByKey]])*OutputTable[RecordedValue])),0)</f>
        <v>39.9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6.0648791101463475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560" s="5" cm="1">
        <f t="array" ref="O560">MIN(IF((OutputTable[GroupByKey]=OutputTable[[#This Row],[GroupByKey]]),(OutputTable[GroupByKey]=OutputTable[[#This Row],[GroupByKey]])*OutputTable[RecordedValue]))</f>
        <v>27</v>
      </c>
      <c r="P560" s="5" cm="1">
        <f t="array" ref="P560">MAX(IF((OutputTable[GroupByKey]=OutputTable[[#This Row],[GroupByKey]]),(OutputTable[GroupByKey]=OutputTable[[#This Row],[GroupByKey]])*OutputTable[RecordedValue]))</f>
        <v>49</v>
      </c>
    </row>
    <row r="561" spans="1:16" x14ac:dyDescent="0.25">
      <c r="A561" t="s">
        <v>68</v>
      </c>
      <c r="B561" t="s">
        <v>70</v>
      </c>
      <c r="C561">
        <v>23</v>
      </c>
      <c r="D561" t="s">
        <v>120</v>
      </c>
      <c r="E561" t="s">
        <v>110</v>
      </c>
      <c r="F561" t="s">
        <v>81</v>
      </c>
      <c r="G561">
        <v>43</v>
      </c>
      <c r="H561">
        <v>0</v>
      </c>
      <c r="I561" s="5" t="str">
        <f>OutputTable[[#This Row],[ProjectName]]&amp;OutputTable[[#This Row],[Name]]&amp;OutputTable[[#This Row],[Type]]&amp;OutputTable[[#This Row],[Source]]</f>
        <v>Pedido CleintesOrdnes Number OutNumber OutProcess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30</v>
      </c>
      <c r="K561" s="5" cm="1">
        <f t="array" ref="K561">IFERROR(AVERAGE(IF((OutputTable[GroupByKey]=OutputTable[[#This Row],[GroupByKey]]),(OutputTable[GroupByKey]=OutputTable[[#This Row],[GroupByKey]])*OutputTable[RecordedValue])),0)</f>
        <v>39.666666666666664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6.0477030882540914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61" s="5" cm="1">
        <f t="array" ref="O561">MIN(IF((OutputTable[GroupByKey]=OutputTable[[#This Row],[GroupByKey]]),(OutputTable[GroupByKey]=OutputTable[[#This Row],[GroupByKey]])*OutputTable[RecordedValue]))</f>
        <v>26</v>
      </c>
      <c r="P561" s="5" cm="1">
        <f t="array" ref="P561">MAX(IF((OutputTable[GroupByKey]=OutputTable[[#This Row],[GroupByKey]]),(OutputTable[GroupByKey]=OutputTable[[#This Row],[GroupByKey]])*OutputTable[RecordedValue]))</f>
        <v>49</v>
      </c>
    </row>
    <row r="562" spans="1:16" x14ac:dyDescent="0.25">
      <c r="A562" t="s">
        <v>68</v>
      </c>
      <c r="B562" t="s">
        <v>70</v>
      </c>
      <c r="C562">
        <v>23</v>
      </c>
      <c r="D562" t="s">
        <v>121</v>
      </c>
      <c r="E562" t="s">
        <v>112</v>
      </c>
      <c r="F562" t="s">
        <v>81</v>
      </c>
      <c r="G562">
        <v>32.011831071454303</v>
      </c>
      <c r="H562">
        <v>0</v>
      </c>
      <c r="I562" s="5" t="str">
        <f>OutputTable[[#This Row],[ProjectName]]&amp;OutputTable[[#This Row],[Name]]&amp;OutputTable[[#This Row],[Type]]&amp;OutputTable[[#This Row],[Source]]</f>
        <v>Pedido CleintesPago Accum VA TimeAccum VA TimeProcess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30</v>
      </c>
      <c r="K562" s="5" cm="1">
        <f t="array" ref="K562">IFERROR(AVERAGE(IF((OutputTable[GroupByKey]=OutputTable[[#This Row],[GroupByKey]]),(OutputTable[GroupByKey]=OutputTable[[#This Row],[GroupByKey]])*OutputTable[RecordedValue])),0)</f>
        <v>29.486262713858675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4.747176664010901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562" s="5" cm="1">
        <f t="array" ref="O562">MIN(IF((OutputTable[GroupByKey]=OutputTable[[#This Row],[GroupByKey]]),(OutputTable[GroupByKey]=OutputTable[[#This Row],[GroupByKey]])*OutputTable[RecordedValue]))</f>
        <v>19.573210250889101</v>
      </c>
      <c r="P562" s="5" cm="1">
        <f t="array" ref="P562">MAX(IF((OutputTable[GroupByKey]=OutputTable[[#This Row],[GroupByKey]]),(OutputTable[GroupByKey]=OutputTable[[#This Row],[GroupByKey]])*OutputTable[RecordedValue]))</f>
        <v>37.056974462114901</v>
      </c>
    </row>
    <row r="563" spans="1:16" x14ac:dyDescent="0.25">
      <c r="A563" t="s">
        <v>68</v>
      </c>
      <c r="B563" t="s">
        <v>70</v>
      </c>
      <c r="C563">
        <v>23</v>
      </c>
      <c r="D563" t="s">
        <v>122</v>
      </c>
      <c r="E563" t="s">
        <v>114</v>
      </c>
      <c r="F563" t="s">
        <v>81</v>
      </c>
      <c r="G563">
        <v>16.906815237526601</v>
      </c>
      <c r="H563">
        <v>0</v>
      </c>
      <c r="I563" s="5" t="str">
        <f>OutputTable[[#This Row],[ProjectName]]&amp;OutputTable[[#This Row],[Name]]&amp;OutputTable[[#This Row],[Type]]&amp;OutputTable[[#This Row],[Source]]</f>
        <v>Pedido CleintesPago Accum Wait TimeAccum Wait TimeProcess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30</v>
      </c>
      <c r="K563" s="5" cm="1">
        <f t="array" ref="K563">IFERROR(AVERAGE(IF((OutputTable[GroupByKey]=OutputTable[[#This Row],[GroupByKey]]),(OutputTable[GroupByKey]=OutputTable[[#This Row],[GroupByKey]])*OutputTable[RecordedValue])),0)</f>
        <v>13.025761997568024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7.8467935605388783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563" s="5" cm="1">
        <f t="array" ref="O563">MIN(IF((OutputTable[GroupByKey]=OutputTable[[#This Row],[GroupByKey]]),(OutputTable[GroupByKey]=OutputTable[[#This Row],[GroupByKey]])*OutputTable[RecordedValue]))</f>
        <v>0</v>
      </c>
      <c r="P563" s="5" cm="1">
        <f t="array" ref="P563">MAX(IF((OutputTable[GroupByKey]=OutputTable[[#This Row],[GroupByKey]]),(OutputTable[GroupByKey]=OutputTable[[#This Row],[GroupByKey]])*OutputTable[RecordedValue]))</f>
        <v>32.770863925850499</v>
      </c>
    </row>
    <row r="564" spans="1:16" x14ac:dyDescent="0.25">
      <c r="A564" t="s">
        <v>68</v>
      </c>
      <c r="B564" t="s">
        <v>70</v>
      </c>
      <c r="C564">
        <v>23</v>
      </c>
      <c r="D564" t="s">
        <v>123</v>
      </c>
      <c r="E564" t="s">
        <v>108</v>
      </c>
      <c r="F564" t="s">
        <v>81</v>
      </c>
      <c r="G564">
        <v>43</v>
      </c>
      <c r="H564">
        <v>0</v>
      </c>
      <c r="I564" s="5" t="str">
        <f>OutputTable[[#This Row],[ProjectName]]&amp;OutputTable[[#This Row],[Name]]&amp;OutputTable[[#This Row],[Type]]&amp;OutputTable[[#This Row],[Source]]</f>
        <v>Pedido CleintesPago Number InNumber InProcess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30</v>
      </c>
      <c r="K564" s="5" cm="1">
        <f t="array" ref="K564">IFERROR(AVERAGE(IF((OutputTable[GroupByKey]=OutputTable[[#This Row],[GroupByKey]]),(OutputTable[GroupByKey]=OutputTable[[#This Row],[GroupByKey]])*OutputTable[RecordedValue])),0)</f>
        <v>39.666666666666664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6.0477030882540914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64" s="5" cm="1">
        <f t="array" ref="O564">MIN(IF((OutputTable[GroupByKey]=OutputTable[[#This Row],[GroupByKey]]),(OutputTable[GroupByKey]=OutputTable[[#This Row],[GroupByKey]])*OutputTable[RecordedValue]))</f>
        <v>26</v>
      </c>
      <c r="P564" s="5" cm="1">
        <f t="array" ref="P564">MAX(IF((OutputTable[GroupByKey]=OutputTable[[#This Row],[GroupByKey]]),(OutputTable[GroupByKey]=OutputTable[[#This Row],[GroupByKey]])*OutputTable[RecordedValue]))</f>
        <v>49</v>
      </c>
    </row>
    <row r="565" spans="1:16" x14ac:dyDescent="0.25">
      <c r="A565" t="s">
        <v>68</v>
      </c>
      <c r="B565" t="s">
        <v>70</v>
      </c>
      <c r="C565">
        <v>23</v>
      </c>
      <c r="D565" t="s">
        <v>124</v>
      </c>
      <c r="E565" t="s">
        <v>110</v>
      </c>
      <c r="F565" t="s">
        <v>81</v>
      </c>
      <c r="G565">
        <v>42</v>
      </c>
      <c r="H565">
        <v>0</v>
      </c>
      <c r="I565" s="5" t="str">
        <f>OutputTable[[#This Row],[ProjectName]]&amp;OutputTable[[#This Row],[Name]]&amp;OutputTable[[#This Row],[Type]]&amp;OutputTable[[#This Row],[Source]]</f>
        <v>Pedido CleintesPago Number OutNumber OutProcess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30</v>
      </c>
      <c r="K565" s="5" cm="1">
        <f t="array" ref="K565">IFERROR(AVERAGE(IF((OutputTable[GroupByKey]=OutputTable[[#This Row],[GroupByKey]]),(OutputTable[GroupByKey]=OutputTable[[#This Row],[GroupByKey]])*OutputTable[RecordedValue])),0)</f>
        <v>39.43333333333333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5.9171482724502509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565" s="5" cm="1">
        <f t="array" ref="O565">MIN(IF((OutputTable[GroupByKey]=OutputTable[[#This Row],[GroupByKey]]),(OutputTable[GroupByKey]=OutputTable[[#This Row],[GroupByKey]])*OutputTable[RecordedValue]))</f>
        <v>26</v>
      </c>
      <c r="P565" s="5" cm="1">
        <f t="array" ref="P565">MAX(IF((OutputTable[GroupByKey]=OutputTable[[#This Row],[GroupByKey]]),(OutputTable[GroupByKey]=OutputTable[[#This Row],[GroupByKey]])*OutputTable[RecordedValue]))</f>
        <v>49</v>
      </c>
    </row>
    <row r="566" spans="1:16" x14ac:dyDescent="0.25">
      <c r="A566" t="s">
        <v>68</v>
      </c>
      <c r="B566" t="s">
        <v>70</v>
      </c>
      <c r="C566">
        <v>23</v>
      </c>
      <c r="D566" t="s">
        <v>125</v>
      </c>
      <c r="E566" t="s">
        <v>112</v>
      </c>
      <c r="F566" t="s">
        <v>81</v>
      </c>
      <c r="G566">
        <v>120.597572598814</v>
      </c>
      <c r="H566">
        <v>0</v>
      </c>
      <c r="I56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30</v>
      </c>
      <c r="K566" s="5" cm="1">
        <f t="array" ref="K566">IFERROR(AVERAGE(IF((OutputTable[GroupByKey]=OutputTable[[#This Row],[GroupByKey]]),(OutputTable[GroupByKey]=OutputTable[[#This Row],[GroupByKey]])*OutputTable[RecordedValue])),0)</f>
        <v>116.64263458387505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17.825477946659205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566" s="5" cm="1">
        <f t="array" ref="O566">MIN(IF((OutputTable[GroupByKey]=OutputTable[[#This Row],[GroupByKey]]),(OutputTable[GroupByKey]=OutputTable[[#This Row],[GroupByKey]])*OutputTable[RecordedValue]))</f>
        <v>74.976560761710004</v>
      </c>
      <c r="P566" s="5" cm="1">
        <f t="array" ref="P566">MAX(IF((OutputTable[GroupByKey]=OutputTable[[#This Row],[GroupByKey]]),(OutputTable[GroupByKey]=OutputTable[[#This Row],[GroupByKey]])*OutputTable[RecordedValue]))</f>
        <v>145.504156763596</v>
      </c>
    </row>
    <row r="567" spans="1:16" x14ac:dyDescent="0.25">
      <c r="A567" t="s">
        <v>68</v>
      </c>
      <c r="B567" t="s">
        <v>70</v>
      </c>
      <c r="C567">
        <v>23</v>
      </c>
      <c r="D567" t="s">
        <v>126</v>
      </c>
      <c r="E567" t="s">
        <v>114</v>
      </c>
      <c r="F567" t="s">
        <v>81</v>
      </c>
      <c r="G567">
        <v>34.886210811471301</v>
      </c>
      <c r="H567">
        <v>0</v>
      </c>
      <c r="I56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30</v>
      </c>
      <c r="K567" s="5" cm="1">
        <f t="array" ref="K567">IFERROR(AVERAGE(IF((OutputTable[GroupByKey]=OutputTable[[#This Row],[GroupByKey]]),(OutputTable[GroupByKey]=OutputTable[[#This Row],[GroupByKey]])*OutputTable[RecordedValue])),0)</f>
        <v>39.900972800228722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22.922906975864144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567" s="5" cm="1">
        <f t="array" ref="O567">MIN(IF((OutputTable[GroupByKey]=OutputTable[[#This Row],[GroupByKey]]),(OutputTable[GroupByKey]=OutputTable[[#This Row],[GroupByKey]])*OutputTable[RecordedValue]))</f>
        <v>2.1708788192608899</v>
      </c>
      <c r="P567" s="5" cm="1">
        <f t="array" ref="P567">MAX(IF((OutputTable[GroupByKey]=OutputTable[[#This Row],[GroupByKey]]),(OutputTable[GroupByKey]=OutputTable[[#This Row],[GroupByKey]])*OutputTable[RecordedValue]))</f>
        <v>94.9142929398908</v>
      </c>
    </row>
    <row r="568" spans="1:16" x14ac:dyDescent="0.25">
      <c r="A568" t="s">
        <v>68</v>
      </c>
      <c r="B568" t="s">
        <v>70</v>
      </c>
      <c r="C568">
        <v>23</v>
      </c>
      <c r="D568" t="s">
        <v>127</v>
      </c>
      <c r="E568" t="s">
        <v>108</v>
      </c>
      <c r="F568" t="s">
        <v>81</v>
      </c>
      <c r="G568">
        <v>43</v>
      </c>
      <c r="H568">
        <v>0</v>
      </c>
      <c r="I568" s="5" t="str">
        <f>OutputTable[[#This Row],[ProjectName]]&amp;OutputTable[[#This Row],[Name]]&amp;OutputTable[[#This Row],[Type]]&amp;OutputTable[[#This Row],[Source]]</f>
        <v>Pedido CleintesPreparar orden Number InNumber InProcess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30</v>
      </c>
      <c r="K568" s="5" cm="1">
        <f t="array" ref="K568">IFERROR(AVERAGE(IF((OutputTable[GroupByKey]=OutputTable[[#This Row],[GroupByKey]]),(OutputTable[GroupByKey]=OutputTable[[#This Row],[GroupByKey]])*OutputTable[RecordedValue])),0)</f>
        <v>39.666666666666664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6.0477030882540914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68" s="5" cm="1">
        <f t="array" ref="O568">MIN(IF((OutputTable[GroupByKey]=OutputTable[[#This Row],[GroupByKey]]),(OutputTable[GroupByKey]=OutputTable[[#This Row],[GroupByKey]])*OutputTable[RecordedValue]))</f>
        <v>26</v>
      </c>
      <c r="P568" s="5" cm="1">
        <f t="array" ref="P568">MAX(IF((OutputTable[GroupByKey]=OutputTable[[#This Row],[GroupByKey]]),(OutputTable[GroupByKey]=OutputTable[[#This Row],[GroupByKey]])*OutputTable[RecordedValue]))</f>
        <v>49</v>
      </c>
    </row>
    <row r="569" spans="1:16" x14ac:dyDescent="0.25">
      <c r="A569" t="s">
        <v>68</v>
      </c>
      <c r="B569" t="s">
        <v>70</v>
      </c>
      <c r="C569">
        <v>23</v>
      </c>
      <c r="D569" t="s">
        <v>128</v>
      </c>
      <c r="E569" t="s">
        <v>110</v>
      </c>
      <c r="F569" t="s">
        <v>81</v>
      </c>
      <c r="G569">
        <v>40</v>
      </c>
      <c r="H569">
        <v>0</v>
      </c>
      <c r="I569" s="5" t="str">
        <f>OutputTable[[#This Row],[ProjectName]]&amp;OutputTable[[#This Row],[Name]]&amp;OutputTable[[#This Row],[Type]]&amp;OutputTable[[#This Row],[Source]]</f>
        <v>Pedido CleintesPreparar orden Number OutNumber OutProcess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30</v>
      </c>
      <c r="K569" s="5" cm="1">
        <f t="array" ref="K569">IFERROR(AVERAGE(IF((OutputTable[GroupByKey]=OutputTable[[#This Row],[GroupByKey]]),(OutputTable[GroupByKey]=OutputTable[[#This Row],[GroupByKey]])*OutputTable[RecordedValue])),0)</f>
        <v>38.93333333333333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5.9765826548191505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69" s="5" cm="1">
        <f t="array" ref="O569">MIN(IF((OutputTable[GroupByKey]=OutputTable[[#This Row],[GroupByKey]]),(OutputTable[GroupByKey]=OutputTable[[#This Row],[GroupByKey]])*OutputTable[RecordedValue]))</f>
        <v>25</v>
      </c>
      <c r="P569" s="5" cm="1">
        <f t="array" ref="P569">MAX(IF((OutputTable[GroupByKey]=OutputTable[[#This Row],[GroupByKey]]),(OutputTable[GroupByKey]=OutputTable[[#This Row],[GroupByKey]])*OutputTable[RecordedValue]))</f>
        <v>49</v>
      </c>
    </row>
    <row r="570" spans="1:16" x14ac:dyDescent="0.25">
      <c r="A570" t="s">
        <v>68</v>
      </c>
      <c r="B570" t="s">
        <v>70</v>
      </c>
      <c r="C570">
        <v>23</v>
      </c>
      <c r="D570" t="s">
        <v>129</v>
      </c>
      <c r="E570" t="s">
        <v>110</v>
      </c>
      <c r="F570" t="s">
        <v>130</v>
      </c>
      <c r="G570">
        <v>40</v>
      </c>
      <c r="H570">
        <v>0</v>
      </c>
      <c r="I570" s="5" t="str">
        <f>OutputTable[[#This Row],[ProjectName]]&amp;OutputTable[[#This Row],[Name]]&amp;OutputTable[[#This Row],[Type]]&amp;OutputTable[[#This Row],[Source]]</f>
        <v>Pedido CleintesSystem.NumberOutNumber OutSystem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30</v>
      </c>
      <c r="K570" s="5" cm="1">
        <f t="array" ref="K570">IFERROR(AVERAGE(IF((OutputTable[GroupByKey]=OutputTable[[#This Row],[GroupByKey]]),(OutputTable[GroupByKey]=OutputTable[[#This Row],[GroupByKey]])*OutputTable[RecordedValue])),0)</f>
        <v>38.866666666666667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6.0840851369801694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70" s="5" cm="1">
        <f t="array" ref="O570">MIN(IF((OutputTable[GroupByKey]=OutputTable[[#This Row],[GroupByKey]]),(OutputTable[GroupByKey]=OutputTable[[#This Row],[GroupByKey]])*OutputTable[RecordedValue]))</f>
        <v>24</v>
      </c>
      <c r="P570" s="5" cm="1">
        <f t="array" ref="P570">MAX(IF((OutputTable[GroupByKey]=OutputTable[[#This Row],[GroupByKey]]),(OutputTable[GroupByKey]=OutputTable[[#This Row],[GroupByKey]])*OutputTable[RecordedValue]))</f>
        <v>49</v>
      </c>
    </row>
    <row r="571" spans="1:16" x14ac:dyDescent="0.25">
      <c r="A571" t="s">
        <v>68</v>
      </c>
      <c r="B571" t="s">
        <v>70</v>
      </c>
      <c r="C571">
        <v>23</v>
      </c>
      <c r="D571" t="s">
        <v>131</v>
      </c>
      <c r="E571" t="s">
        <v>132</v>
      </c>
      <c r="F571" t="s">
        <v>102</v>
      </c>
      <c r="G571">
        <v>41</v>
      </c>
      <c r="H571">
        <v>0</v>
      </c>
      <c r="I57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30</v>
      </c>
      <c r="K571" s="5" cm="1">
        <f t="array" ref="K571">IFERROR(AVERAGE(IF((OutputTable[GroupByKey]=OutputTable[[#This Row],[GroupByKey]]),(OutputTable[GroupByKey]=OutputTable[[#This Row],[GroupByKey]])*OutputTable[RecordedValue])),0)</f>
        <v>39.4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5.8757244601014422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571" s="5" cm="1">
        <f t="array" ref="O571">MIN(IF((OutputTable[GroupByKey]=OutputTable[[#This Row],[GroupByKey]]),(OutputTable[GroupByKey]=OutputTable[[#This Row],[GroupByKey]])*OutputTable[RecordedValue]))</f>
        <v>26</v>
      </c>
      <c r="P571" s="5" cm="1">
        <f t="array" ref="P571">MAX(IF((OutputTable[GroupByKey]=OutputTable[[#This Row],[GroupByKey]]),(OutputTable[GroupByKey]=OutputTable[[#This Row],[GroupByKey]])*OutputTable[RecordedValue]))</f>
        <v>49</v>
      </c>
    </row>
    <row r="572" spans="1:16" x14ac:dyDescent="0.25">
      <c r="A572" t="s">
        <v>68</v>
      </c>
      <c r="B572" t="s">
        <v>70</v>
      </c>
      <c r="C572">
        <v>23</v>
      </c>
      <c r="D572" t="s">
        <v>133</v>
      </c>
      <c r="E572" t="s">
        <v>134</v>
      </c>
      <c r="F572" t="s">
        <v>102</v>
      </c>
      <c r="G572">
        <v>0.51342970562738099</v>
      </c>
      <c r="H572">
        <v>0</v>
      </c>
      <c r="I57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30</v>
      </c>
      <c r="K572" s="5" cm="1">
        <f t="array" ref="K572">IFERROR(AVERAGE(IF((OutputTable[GroupByKey]=OutputTable[[#This Row],[GroupByKey]]),(OutputTable[GroupByKey]=OutputTable[[#This Row],[GroupByKey]])*OutputTable[RecordedValue])),0)</f>
        <v>0.48891840079317483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7.3627413122013347E-2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572" s="5" cm="1">
        <f t="array" ref="O572">MIN(IF((OutputTable[GroupByKey]=OutputTable[[#This Row],[GroupByKey]]),(OutputTable[GroupByKey]=OutputTable[[#This Row],[GroupByKey]])*OutputTable[RecordedValue]))</f>
        <v>0.31277577999924699</v>
      </c>
      <c r="P572" s="5" cm="1">
        <f t="array" ref="P572">MAX(IF((OutputTable[GroupByKey]=OutputTable[[#This Row],[GroupByKey]]),(OutputTable[GroupByKey]=OutputTable[[#This Row],[GroupByKey]])*OutputTable[RecordedValue]))</f>
        <v>0.60626731984831705</v>
      </c>
    </row>
    <row r="573" spans="1:16" x14ac:dyDescent="0.25">
      <c r="A573" t="s">
        <v>68</v>
      </c>
      <c r="B573" t="s">
        <v>70</v>
      </c>
      <c r="C573">
        <v>23</v>
      </c>
      <c r="D573" t="s">
        <v>135</v>
      </c>
      <c r="E573" t="s">
        <v>132</v>
      </c>
      <c r="F573" t="s">
        <v>102</v>
      </c>
      <c r="G573">
        <v>86</v>
      </c>
      <c r="H573">
        <v>0</v>
      </c>
      <c r="I57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30</v>
      </c>
      <c r="K573" s="5" cm="1">
        <f t="array" ref="K573">IFERROR(AVERAGE(IF((OutputTable[GroupByKey]=OutputTable[[#This Row],[GroupByKey]]),(OutputTable[GroupByKey]=OutputTable[[#This Row],[GroupByKey]])*OutputTable[RecordedValue])),0)</f>
        <v>79.466666666666669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12.016463801753446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573" s="5" cm="1">
        <f t="array" ref="O573">MIN(IF((OutputTable[GroupByKey]=OutputTable[[#This Row],[GroupByKey]]),(OutputTable[GroupByKey]=OutputTable[[#This Row],[GroupByKey]])*OutputTable[RecordedValue]))</f>
        <v>53</v>
      </c>
      <c r="P573" s="5" cm="1">
        <f t="array" ref="P573">MAX(IF((OutputTable[GroupByKey]=OutputTable[[#This Row],[GroupByKey]]),(OutputTable[GroupByKey]=OutputTable[[#This Row],[GroupByKey]])*OutputTable[RecordedValue]))</f>
        <v>98</v>
      </c>
    </row>
    <row r="574" spans="1:16" x14ac:dyDescent="0.25">
      <c r="A574" t="s">
        <v>68</v>
      </c>
      <c r="B574" t="s">
        <v>70</v>
      </c>
      <c r="C574">
        <v>23</v>
      </c>
      <c r="D574" t="s">
        <v>136</v>
      </c>
      <c r="E574" t="s">
        <v>134</v>
      </c>
      <c r="F574" t="s">
        <v>102</v>
      </c>
      <c r="G574">
        <v>0.31895559429968101</v>
      </c>
      <c r="H574">
        <v>0</v>
      </c>
      <c r="I57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30</v>
      </c>
      <c r="K574" s="5" cm="1">
        <f t="array" ref="K574">IFERROR(AVERAGE(IF((OutputTable[GroupByKey]=OutputTable[[#This Row],[GroupByKey]]),(OutputTable[GroupByKey]=OutputTable[[#This Row],[GroupByKey]])*OutputTable[RecordedValue])),0)</f>
        <v>0.28976365927997022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4.4748273652133699E-2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574" s="5" cm="1">
        <f t="array" ref="O574">MIN(IF((OutputTable[GroupByKey]=OutputTable[[#This Row],[GroupByKey]]),(OutputTable[GroupByKey]=OutputTable[[#This Row],[GroupByKey]])*OutputTable[RecordedValue]))</f>
        <v>0.194735973294278</v>
      </c>
      <c r="P574" s="5" cm="1">
        <f t="array" ref="P574">MAX(IF((OutputTable[GroupByKey]=OutputTable[[#This Row],[GroupByKey]]),(OutputTable[GroupByKey]=OutputTable[[#This Row],[GroupByKey]])*OutputTable[RecordedValue]))</f>
        <v>0.35775345817659199</v>
      </c>
    </row>
    <row r="575" spans="1:16" x14ac:dyDescent="0.25">
      <c r="A575" t="s">
        <v>68</v>
      </c>
      <c r="B575" t="s">
        <v>70</v>
      </c>
      <c r="C575">
        <v>23</v>
      </c>
      <c r="D575" t="s">
        <v>137</v>
      </c>
      <c r="E575" t="s">
        <v>132</v>
      </c>
      <c r="F575" t="s">
        <v>102</v>
      </c>
      <c r="G575">
        <v>40</v>
      </c>
      <c r="H575">
        <v>0</v>
      </c>
      <c r="I57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30</v>
      </c>
      <c r="K575" s="5" cm="1">
        <f t="array" ref="K575">IFERROR(AVERAGE(IF((OutputTable[GroupByKey]=OutputTable[[#This Row],[GroupByKey]]),(OutputTable[GroupByKey]=OutputTable[[#This Row],[GroupByKey]])*OutputTable[RecordedValue])),0)</f>
        <v>38.93333333333333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5.9765826548191505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75" s="5" cm="1">
        <f t="array" ref="O575">MIN(IF((OutputTable[GroupByKey]=OutputTable[[#This Row],[GroupByKey]]),(OutputTable[GroupByKey]=OutputTable[[#This Row],[GroupByKey]])*OutputTable[RecordedValue]))</f>
        <v>25</v>
      </c>
      <c r="P575" s="5" cm="1">
        <f t="array" ref="P575">MAX(IF((OutputTable[GroupByKey]=OutputTable[[#This Row],[GroupByKey]]),(OutputTable[GroupByKey]=OutputTable[[#This Row],[GroupByKey]])*OutputTable[RecordedValue]))</f>
        <v>49</v>
      </c>
    </row>
    <row r="576" spans="1:16" x14ac:dyDescent="0.25">
      <c r="A576" t="s">
        <v>68</v>
      </c>
      <c r="B576" t="s">
        <v>70</v>
      </c>
      <c r="C576">
        <v>23</v>
      </c>
      <c r="D576" t="s">
        <v>138</v>
      </c>
      <c r="E576" t="s">
        <v>134</v>
      </c>
      <c r="F576" t="s">
        <v>102</v>
      </c>
      <c r="G576">
        <v>7.63594277327133E-2</v>
      </c>
      <c r="H576">
        <v>0</v>
      </c>
      <c r="I57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30</v>
      </c>
      <c r="K576" s="5" cm="1">
        <f t="array" ref="K576">IFERROR(AVERAGE(IF((OutputTable[GroupByKey]=OutputTable[[#This Row],[GroupByKey]]),(OutputTable[GroupByKey]=OutputTable[[#This Row],[GroupByKey]])*OutputTable[RecordedValue])),0)</f>
        <v>8.2588852761398115E-2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1.3130964022328008E-2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576" s="5" cm="1">
        <f t="array" ref="O576">MIN(IF((OutputTable[GroupByKey]=OutputTable[[#This Row],[GroupByKey]]),(OutputTable[GroupByKey]=OutputTable[[#This Row],[GroupByKey]])*OutputTable[RecordedValue]))</f>
        <v>5.3757894868807901E-2</v>
      </c>
      <c r="P576" s="5" cm="1">
        <f t="array" ref="P576">MAX(IF((OutputTable[GroupByKey]=OutputTable[[#This Row],[GroupByKey]]),(OutputTable[GroupByKey]=OutputTable[[#This Row],[GroupByKey]])*OutputTable[RecordedValue]))</f>
        <v>0.103175045984152</v>
      </c>
    </row>
    <row r="577" spans="1:16" x14ac:dyDescent="0.25">
      <c r="A577" t="s">
        <v>68</v>
      </c>
      <c r="B577" t="s">
        <v>70</v>
      </c>
      <c r="C577">
        <v>24</v>
      </c>
      <c r="D577" t="s">
        <v>107</v>
      </c>
      <c r="E577" t="s">
        <v>108</v>
      </c>
      <c r="F577" t="s">
        <v>73</v>
      </c>
      <c r="G577">
        <v>120</v>
      </c>
      <c r="H577">
        <v>0</v>
      </c>
      <c r="I577" s="5" t="str">
        <f>OutputTable[[#This Row],[ProjectName]]&amp;OutputTable[[#This Row],[Name]]&amp;OutputTable[[#This Row],[Type]]&amp;OutputTable[[#This Row],[Source]]</f>
        <v>Pedido CleintesClientes.NumberInNumber InEntity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30</v>
      </c>
      <c r="K577" s="5" cm="1">
        <f t="array" ref="K577">IFERROR(AVERAGE(IF((OutputTable[GroupByKey]=OutputTable[[#This Row],[GroupByKey]]),(OutputTable[GroupByKey]=OutputTable[[#This Row],[GroupByKey]])*OutputTable[RecordedValue])),0)</f>
        <v>118.5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18.009097317936192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577" s="5" cm="1">
        <f t="array" ref="O577">MIN(IF((OutputTable[GroupByKey]=OutputTable[[#This Row],[GroupByKey]]),(OutputTable[GroupByKey]=OutputTable[[#This Row],[GroupByKey]])*OutputTable[RecordedValue]))</f>
        <v>78</v>
      </c>
      <c r="P577" s="5" cm="1">
        <f t="array" ref="P577">MAX(IF((OutputTable[GroupByKey]=OutputTable[[#This Row],[GroupByKey]]),(OutputTable[GroupByKey]=OutputTable[[#This Row],[GroupByKey]])*OutputTable[RecordedValue]))</f>
        <v>147</v>
      </c>
    </row>
    <row r="578" spans="1:16" x14ac:dyDescent="0.25">
      <c r="A578" t="s">
        <v>68</v>
      </c>
      <c r="B578" t="s">
        <v>70</v>
      </c>
      <c r="C578">
        <v>24</v>
      </c>
      <c r="D578" t="s">
        <v>109</v>
      </c>
      <c r="E578" t="s">
        <v>110</v>
      </c>
      <c r="F578" t="s">
        <v>73</v>
      </c>
      <c r="G578">
        <v>117</v>
      </c>
      <c r="H578">
        <v>0</v>
      </c>
      <c r="I578" s="5" t="str">
        <f>OutputTable[[#This Row],[ProjectName]]&amp;OutputTable[[#This Row],[Name]]&amp;OutputTable[[#This Row],[Type]]&amp;OutputTable[[#This Row],[Source]]</f>
        <v>Pedido CleintesClientes.NumberOutNumber OutEntity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30</v>
      </c>
      <c r="K578" s="5" cm="1">
        <f t="array" ref="K578">IFERROR(AVERAGE(IF((OutputTable[GroupByKey]=OutputTable[[#This Row],[GroupByKey]]),(OutputTable[GroupByKey]=OutputTable[[#This Row],[GroupByKey]])*OutputTable[RecordedValue])),0)</f>
        <v>116.6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18.252255410940514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578" s="5" cm="1">
        <f t="array" ref="O578">MIN(IF((OutputTable[GroupByKey]=OutputTable[[#This Row],[GroupByKey]]),(OutputTable[GroupByKey]=OutputTable[[#This Row],[GroupByKey]])*OutputTable[RecordedValue]))</f>
        <v>72</v>
      </c>
      <c r="P578" s="5" cm="1">
        <f t="array" ref="P578">MAX(IF((OutputTable[GroupByKey]=OutputTable[[#This Row],[GroupByKey]]),(OutputTable[GroupByKey]=OutputTable[[#This Row],[GroupByKey]])*OutputTable[RecordedValue]))</f>
        <v>147</v>
      </c>
    </row>
    <row r="579" spans="1:16" x14ac:dyDescent="0.25">
      <c r="A579" t="s">
        <v>68</v>
      </c>
      <c r="B579" t="s">
        <v>70</v>
      </c>
      <c r="C579">
        <v>24</v>
      </c>
      <c r="D579" t="s">
        <v>111</v>
      </c>
      <c r="E579" t="s">
        <v>112</v>
      </c>
      <c r="F579" t="s">
        <v>81</v>
      </c>
      <c r="G579">
        <v>21.922730815373502</v>
      </c>
      <c r="H579">
        <v>0</v>
      </c>
      <c r="I57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30</v>
      </c>
      <c r="K579" s="5" cm="1">
        <f t="array" ref="K579">IFERROR(AVERAGE(IF((OutputTable[GroupByKey]=OutputTable[[#This Row],[GroupByKey]]),(OutputTable[GroupByKey]=OutputTable[[#This Row],[GroupByKey]])*OutputTable[RecordedValue])),0)</f>
        <v>19.806808580201274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3.1624794742170024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579" s="5" cm="1">
        <f t="array" ref="O579">MIN(IF((OutputTable[GroupByKey]=OutputTable[[#This Row],[GroupByKey]]),(OutputTable[GroupByKey]=OutputTable[[#This Row],[GroupByKey]])*OutputTable[RecordedValue]))</f>
        <v>12.812268330404599</v>
      </c>
      <c r="P579" s="5" cm="1">
        <f t="array" ref="P579">MAX(IF((OutputTable[GroupByKey]=OutputTable[[#This Row],[GroupByKey]]),(OutputTable[GroupByKey]=OutputTable[[#This Row],[GroupByKey]])*OutputTable[RecordedValue]))</f>
        <v>24.762011036196501</v>
      </c>
    </row>
    <row r="580" spans="1:16" x14ac:dyDescent="0.25">
      <c r="A580" t="s">
        <v>68</v>
      </c>
      <c r="B580" t="s">
        <v>70</v>
      </c>
      <c r="C580">
        <v>24</v>
      </c>
      <c r="D580" t="s">
        <v>113</v>
      </c>
      <c r="E580" t="s">
        <v>114</v>
      </c>
      <c r="F580" t="s">
        <v>81</v>
      </c>
      <c r="G580">
        <v>0</v>
      </c>
      <c r="H580">
        <v>0</v>
      </c>
      <c r="I58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30</v>
      </c>
      <c r="K580" s="5" cm="1">
        <f t="array" ref="K580">IFERROR(AVERAGE(IF((OutputTable[GroupByKey]=OutputTable[[#This Row],[GroupByKey]]),(OutputTable[GroupByKey]=OutputTable[[#This Row],[GroupByKey]])*OutputTable[RecordedValue])),0)</f>
        <v>0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0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0" s="5" cm="1">
        <f t="array" ref="O580">MIN(IF((OutputTable[GroupByKey]=OutputTable[[#This Row],[GroupByKey]]),(OutputTable[GroupByKey]=OutputTable[[#This Row],[GroupByKey]])*OutputTable[RecordedValue]))</f>
        <v>0</v>
      </c>
      <c r="P580" s="5" cm="1">
        <f t="array" ref="P580">MAX(IF((OutputTable[GroupByKey]=OutputTable[[#This Row],[GroupByKey]]),(OutputTable[GroupByKey]=OutputTable[[#This Row],[GroupByKey]])*OutputTable[RecordedValue]))</f>
        <v>0</v>
      </c>
    </row>
    <row r="581" spans="1:16" x14ac:dyDescent="0.25">
      <c r="A581" t="s">
        <v>68</v>
      </c>
      <c r="B581" t="s">
        <v>70</v>
      </c>
      <c r="C581">
        <v>24</v>
      </c>
      <c r="D581" t="s">
        <v>115</v>
      </c>
      <c r="E581" t="s">
        <v>108</v>
      </c>
      <c r="F581" t="s">
        <v>81</v>
      </c>
      <c r="G581">
        <v>39</v>
      </c>
      <c r="H581">
        <v>0</v>
      </c>
      <c r="I58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30</v>
      </c>
      <c r="K581" s="5" cm="1">
        <f t="array" ref="K581">IFERROR(AVERAGE(IF((OutputTable[GroupByKey]=OutputTable[[#This Row],[GroupByKey]]),(OutputTable[GroupByKey]=OutputTable[[#This Row],[GroupByKey]])*OutputTable[RecordedValue])),0)</f>
        <v>38.93333333333333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5.9765826548191505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81" s="5" cm="1">
        <f t="array" ref="O581">MIN(IF((OutputTable[GroupByKey]=OutputTable[[#This Row],[GroupByKey]]),(OutputTable[GroupByKey]=OutputTable[[#This Row],[GroupByKey]])*OutputTable[RecordedValue]))</f>
        <v>25</v>
      </c>
      <c r="P581" s="5" cm="1">
        <f t="array" ref="P581">MAX(IF((OutputTable[GroupByKey]=OutputTable[[#This Row],[GroupByKey]]),(OutputTable[GroupByKey]=OutputTable[[#This Row],[GroupByKey]])*OutputTable[RecordedValue]))</f>
        <v>49</v>
      </c>
    </row>
    <row r="582" spans="1:16" x14ac:dyDescent="0.25">
      <c r="A582" t="s">
        <v>68</v>
      </c>
      <c r="B582" t="s">
        <v>70</v>
      </c>
      <c r="C582">
        <v>24</v>
      </c>
      <c r="D582" t="s">
        <v>116</v>
      </c>
      <c r="E582" t="s">
        <v>110</v>
      </c>
      <c r="F582" t="s">
        <v>81</v>
      </c>
      <c r="G582">
        <v>39</v>
      </c>
      <c r="H582">
        <v>0</v>
      </c>
      <c r="I58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30</v>
      </c>
      <c r="K582" s="5" cm="1">
        <f t="array" ref="K582">IFERROR(AVERAGE(IF((OutputTable[GroupByKey]=OutputTable[[#This Row],[GroupByKey]]),(OutputTable[GroupByKey]=OutputTable[[#This Row],[GroupByKey]])*OutputTable[RecordedValue])),0)</f>
        <v>38.866666666666667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6.0840851369801694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82" s="5" cm="1">
        <f t="array" ref="O582">MIN(IF((OutputTable[GroupByKey]=OutputTable[[#This Row],[GroupByKey]]),(OutputTable[GroupByKey]=OutputTable[[#This Row],[GroupByKey]])*OutputTable[RecordedValue]))</f>
        <v>24</v>
      </c>
      <c r="P582" s="5" cm="1">
        <f t="array" ref="P582">MAX(IF((OutputTable[GroupByKey]=OutputTable[[#This Row],[GroupByKey]]),(OutputTable[GroupByKey]=OutputTable[[#This Row],[GroupByKey]])*OutputTable[RecordedValue]))</f>
        <v>49</v>
      </c>
    </row>
    <row r="583" spans="1:16" x14ac:dyDescent="0.25">
      <c r="A583" t="s">
        <v>68</v>
      </c>
      <c r="B583" t="s">
        <v>70</v>
      </c>
      <c r="C583">
        <v>24</v>
      </c>
      <c r="D583" t="s">
        <v>117</v>
      </c>
      <c r="E583" t="s">
        <v>112</v>
      </c>
      <c r="F583" t="s">
        <v>81</v>
      </c>
      <c r="G583">
        <v>41.214782970776497</v>
      </c>
      <c r="H583">
        <v>0</v>
      </c>
      <c r="I583" s="5" t="str">
        <f>OutputTable[[#This Row],[ProjectName]]&amp;OutputTable[[#This Row],[Name]]&amp;OutputTable[[#This Row],[Type]]&amp;OutputTable[[#This Row],[Source]]</f>
        <v>Pedido CleintesOrdnes Accum VA TimeAccum VA TimeProcess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30</v>
      </c>
      <c r="K583" s="5" cm="1">
        <f t="array" ref="K583">IFERROR(AVERAGE(IF((OutputTable[GroupByKey]=OutputTable[[#This Row],[GroupByKey]]),(OutputTable[GroupByKey]=OutputTable[[#This Row],[GroupByKey]])*OutputTable[RecordedValue])),0)</f>
        <v>39.878126992056487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6.1068580319474277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583" s="5" cm="1">
        <f t="array" ref="O583">MIN(IF((OutputTable[GroupByKey]=OutputTable[[#This Row],[GroupByKey]]),(OutputTable[GroupByKey]=OutputTable[[#This Row],[GroupByKey]])*OutputTable[RecordedValue]))</f>
        <v>26.106281767804099</v>
      </c>
      <c r="P583" s="5" cm="1">
        <f t="array" ref="P583">MAX(IF((OutputTable[GroupByKey]=OutputTable[[#This Row],[GroupByKey]]),(OutputTable[GroupByKey]=OutputTable[[#This Row],[GroupByKey]])*OutputTable[RecordedValue]))</f>
        <v>48.706388790541098</v>
      </c>
    </row>
    <row r="584" spans="1:16" x14ac:dyDescent="0.25">
      <c r="A584" t="s">
        <v>68</v>
      </c>
      <c r="B584" t="s">
        <v>70</v>
      </c>
      <c r="C584">
        <v>24</v>
      </c>
      <c r="D584" t="s">
        <v>118</v>
      </c>
      <c r="E584" t="s">
        <v>114</v>
      </c>
      <c r="F584" t="s">
        <v>81</v>
      </c>
      <c r="G584">
        <v>3.1803419894029799</v>
      </c>
      <c r="H584">
        <v>0</v>
      </c>
      <c r="I58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30</v>
      </c>
      <c r="K584" s="5" cm="1">
        <f t="array" ref="K584">IFERROR(AVERAGE(IF((OutputTable[GroupByKey]=OutputTable[[#This Row],[GroupByKey]]),(OutputTable[GroupByKey]=OutputTable[[#This Row],[GroupByKey]])*OutputTable[RecordedValue])),0)</f>
        <v>7.9804799821754404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4.8950382198155014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584" s="5" cm="1">
        <f t="array" ref="O584">MIN(IF((OutputTable[GroupByKey]=OutputTable[[#This Row],[GroupByKey]]),(OutputTable[GroupByKey]=OutputTable[[#This Row],[GroupByKey]])*OutputTable[RecordedValue]))</f>
        <v>0</v>
      </c>
      <c r="P584" s="5" cm="1">
        <f t="array" ref="P584">MAX(IF((OutputTable[GroupByKey]=OutputTable[[#This Row],[GroupByKey]]),(OutputTable[GroupByKey]=OutputTable[[#This Row],[GroupByKey]])*OutputTable[RecordedValue]))</f>
        <v>18.843855117811401</v>
      </c>
    </row>
    <row r="585" spans="1:16" x14ac:dyDescent="0.25">
      <c r="A585" t="s">
        <v>68</v>
      </c>
      <c r="B585" t="s">
        <v>70</v>
      </c>
      <c r="C585">
        <v>24</v>
      </c>
      <c r="D585" t="s">
        <v>119</v>
      </c>
      <c r="E585" t="s">
        <v>108</v>
      </c>
      <c r="F585" t="s">
        <v>81</v>
      </c>
      <c r="G585">
        <v>41</v>
      </c>
      <c r="H585">
        <v>0</v>
      </c>
      <c r="I585" s="5" t="str">
        <f>OutputTable[[#This Row],[ProjectName]]&amp;OutputTable[[#This Row],[Name]]&amp;OutputTable[[#This Row],[Type]]&amp;OutputTable[[#This Row],[Source]]</f>
        <v>Pedido CleintesOrdnes Number InNumber InProcess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30</v>
      </c>
      <c r="K585" s="5" cm="1">
        <f t="array" ref="K585">IFERROR(AVERAGE(IF((OutputTable[GroupByKey]=OutputTable[[#This Row],[GroupByKey]]),(OutputTable[GroupByKey]=OutputTable[[#This Row],[GroupByKey]])*OutputTable[RecordedValue])),0)</f>
        <v>39.9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6.0648791101463475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585" s="5" cm="1">
        <f t="array" ref="O585">MIN(IF((OutputTable[GroupByKey]=OutputTable[[#This Row],[GroupByKey]]),(OutputTable[GroupByKey]=OutputTable[[#This Row],[GroupByKey]])*OutputTable[RecordedValue]))</f>
        <v>27</v>
      </c>
      <c r="P585" s="5" cm="1">
        <f t="array" ref="P585">MAX(IF((OutputTable[GroupByKey]=OutputTable[[#This Row],[GroupByKey]]),(OutputTable[GroupByKey]=OutputTable[[#This Row],[GroupByKey]])*OutputTable[RecordedValue]))</f>
        <v>49</v>
      </c>
    </row>
    <row r="586" spans="1:16" x14ac:dyDescent="0.25">
      <c r="A586" t="s">
        <v>68</v>
      </c>
      <c r="B586" t="s">
        <v>70</v>
      </c>
      <c r="C586">
        <v>24</v>
      </c>
      <c r="D586" t="s">
        <v>120</v>
      </c>
      <c r="E586" t="s">
        <v>110</v>
      </c>
      <c r="F586" t="s">
        <v>81</v>
      </c>
      <c r="G586">
        <v>40</v>
      </c>
      <c r="H586">
        <v>0</v>
      </c>
      <c r="I586" s="5" t="str">
        <f>OutputTable[[#This Row],[ProjectName]]&amp;OutputTable[[#This Row],[Name]]&amp;OutputTable[[#This Row],[Type]]&amp;OutputTable[[#This Row],[Source]]</f>
        <v>Pedido CleintesOrdnes Number OutNumber OutProcess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30</v>
      </c>
      <c r="K586" s="5" cm="1">
        <f t="array" ref="K586">IFERROR(AVERAGE(IF((OutputTable[GroupByKey]=OutputTable[[#This Row],[GroupByKey]]),(OutputTable[GroupByKey]=OutputTable[[#This Row],[GroupByKey]])*OutputTable[RecordedValue])),0)</f>
        <v>39.666666666666664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6.0477030882540914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86" s="5" cm="1">
        <f t="array" ref="O586">MIN(IF((OutputTable[GroupByKey]=OutputTable[[#This Row],[GroupByKey]]),(OutputTable[GroupByKey]=OutputTable[[#This Row],[GroupByKey]])*OutputTable[RecordedValue]))</f>
        <v>26</v>
      </c>
      <c r="P586" s="5" cm="1">
        <f t="array" ref="P586">MAX(IF((OutputTable[GroupByKey]=OutputTable[[#This Row],[GroupByKey]]),(OutputTable[GroupByKey]=OutputTable[[#This Row],[GroupByKey]])*OutputTable[RecordedValue]))</f>
        <v>49</v>
      </c>
    </row>
    <row r="587" spans="1:16" x14ac:dyDescent="0.25">
      <c r="A587" t="s">
        <v>68</v>
      </c>
      <c r="B587" t="s">
        <v>70</v>
      </c>
      <c r="C587">
        <v>24</v>
      </c>
      <c r="D587" t="s">
        <v>121</v>
      </c>
      <c r="E587" t="s">
        <v>112</v>
      </c>
      <c r="F587" t="s">
        <v>81</v>
      </c>
      <c r="G587">
        <v>30.592181632027401</v>
      </c>
      <c r="H587">
        <v>0</v>
      </c>
      <c r="I587" s="5" t="str">
        <f>OutputTable[[#This Row],[ProjectName]]&amp;OutputTable[[#This Row],[Name]]&amp;OutputTable[[#This Row],[Type]]&amp;OutputTable[[#This Row],[Source]]</f>
        <v>Pedido CleintesPago Accum VA TimeAccum VA TimeProcess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30</v>
      </c>
      <c r="K587" s="5" cm="1">
        <f t="array" ref="K587">IFERROR(AVERAGE(IF((OutputTable[GroupByKey]=OutputTable[[#This Row],[GroupByKey]]),(OutputTable[GroupByKey]=OutputTable[[#This Row],[GroupByKey]])*OutputTable[RecordedValue])),0)</f>
        <v>29.486262713858675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4.747176664010901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587" s="5" cm="1">
        <f t="array" ref="O587">MIN(IF((OutputTable[GroupByKey]=OutputTable[[#This Row],[GroupByKey]]),(OutputTable[GroupByKey]=OutputTable[[#This Row],[GroupByKey]])*OutputTable[RecordedValue]))</f>
        <v>19.573210250889101</v>
      </c>
      <c r="P587" s="5" cm="1">
        <f t="array" ref="P587">MAX(IF((OutputTable[GroupByKey]=OutputTable[[#This Row],[GroupByKey]]),(OutputTable[GroupByKey]=OutputTable[[#This Row],[GroupByKey]])*OutputTable[RecordedValue]))</f>
        <v>37.056974462114901</v>
      </c>
    </row>
    <row r="588" spans="1:16" x14ac:dyDescent="0.25">
      <c r="A588" t="s">
        <v>68</v>
      </c>
      <c r="B588" t="s">
        <v>70</v>
      </c>
      <c r="C588">
        <v>24</v>
      </c>
      <c r="D588" t="s">
        <v>122</v>
      </c>
      <c r="E588" t="s">
        <v>114</v>
      </c>
      <c r="F588" t="s">
        <v>81</v>
      </c>
      <c r="G588">
        <v>3.5926259009537298</v>
      </c>
      <c r="H588">
        <v>0</v>
      </c>
      <c r="I588" s="5" t="str">
        <f>OutputTable[[#This Row],[ProjectName]]&amp;OutputTable[[#This Row],[Name]]&amp;OutputTable[[#This Row],[Type]]&amp;OutputTable[[#This Row],[Source]]</f>
        <v>Pedido CleintesPago Accum Wait TimeAccum Wait TimeProcess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30</v>
      </c>
      <c r="K588" s="5" cm="1">
        <f t="array" ref="K588">IFERROR(AVERAGE(IF((OutputTable[GroupByKey]=OutputTable[[#This Row],[GroupByKey]]),(OutputTable[GroupByKey]=OutputTable[[#This Row],[GroupByKey]])*OutputTable[RecordedValue])),0)</f>
        <v>13.025761997568024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7.8467935605388783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588" s="5" cm="1">
        <f t="array" ref="O588">MIN(IF((OutputTable[GroupByKey]=OutputTable[[#This Row],[GroupByKey]]),(OutputTable[GroupByKey]=OutputTable[[#This Row],[GroupByKey]])*OutputTable[RecordedValue]))</f>
        <v>0</v>
      </c>
      <c r="P588" s="5" cm="1">
        <f t="array" ref="P588">MAX(IF((OutputTable[GroupByKey]=OutputTable[[#This Row],[GroupByKey]]),(OutputTable[GroupByKey]=OutputTable[[#This Row],[GroupByKey]])*OutputTable[RecordedValue]))</f>
        <v>32.770863925850499</v>
      </c>
    </row>
    <row r="589" spans="1:16" x14ac:dyDescent="0.25">
      <c r="A589" t="s">
        <v>68</v>
      </c>
      <c r="B589" t="s">
        <v>70</v>
      </c>
      <c r="C589">
        <v>24</v>
      </c>
      <c r="D589" t="s">
        <v>123</v>
      </c>
      <c r="E589" t="s">
        <v>108</v>
      </c>
      <c r="F589" t="s">
        <v>81</v>
      </c>
      <c r="G589">
        <v>40</v>
      </c>
      <c r="H589">
        <v>0</v>
      </c>
      <c r="I589" s="5" t="str">
        <f>OutputTable[[#This Row],[ProjectName]]&amp;OutputTable[[#This Row],[Name]]&amp;OutputTable[[#This Row],[Type]]&amp;OutputTable[[#This Row],[Source]]</f>
        <v>Pedido CleintesPago Number InNumber InProcess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30</v>
      </c>
      <c r="K589" s="5" cm="1">
        <f t="array" ref="K589">IFERROR(AVERAGE(IF((OutputTable[GroupByKey]=OutputTable[[#This Row],[GroupByKey]]),(OutputTable[GroupByKey]=OutputTable[[#This Row],[GroupByKey]])*OutputTable[RecordedValue])),0)</f>
        <v>39.666666666666664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6.0477030882540914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89" s="5" cm="1">
        <f t="array" ref="O589">MIN(IF((OutputTable[GroupByKey]=OutputTable[[#This Row],[GroupByKey]]),(OutputTable[GroupByKey]=OutputTable[[#This Row],[GroupByKey]])*OutputTable[RecordedValue]))</f>
        <v>26</v>
      </c>
      <c r="P589" s="5" cm="1">
        <f t="array" ref="P589">MAX(IF((OutputTable[GroupByKey]=OutputTable[[#This Row],[GroupByKey]]),(OutputTable[GroupByKey]=OutputTable[[#This Row],[GroupByKey]])*OutputTable[RecordedValue]))</f>
        <v>49</v>
      </c>
    </row>
    <row r="590" spans="1:16" x14ac:dyDescent="0.25">
      <c r="A590" t="s">
        <v>68</v>
      </c>
      <c r="B590" t="s">
        <v>70</v>
      </c>
      <c r="C590">
        <v>24</v>
      </c>
      <c r="D590" t="s">
        <v>124</v>
      </c>
      <c r="E590" t="s">
        <v>110</v>
      </c>
      <c r="F590" t="s">
        <v>81</v>
      </c>
      <c r="G590">
        <v>39</v>
      </c>
      <c r="H590">
        <v>0</v>
      </c>
      <c r="I590" s="5" t="str">
        <f>OutputTable[[#This Row],[ProjectName]]&amp;OutputTable[[#This Row],[Name]]&amp;OutputTable[[#This Row],[Type]]&amp;OutputTable[[#This Row],[Source]]</f>
        <v>Pedido CleintesPago Number OutNumber OutProcess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30</v>
      </c>
      <c r="K590" s="5" cm="1">
        <f t="array" ref="K590">IFERROR(AVERAGE(IF((OutputTable[GroupByKey]=OutputTable[[#This Row],[GroupByKey]]),(OutputTable[GroupByKey]=OutputTable[[#This Row],[GroupByKey]])*OutputTable[RecordedValue])),0)</f>
        <v>39.43333333333333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5.9171482724502509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590" s="5" cm="1">
        <f t="array" ref="O590">MIN(IF((OutputTable[GroupByKey]=OutputTable[[#This Row],[GroupByKey]]),(OutputTable[GroupByKey]=OutputTable[[#This Row],[GroupByKey]])*OutputTable[RecordedValue]))</f>
        <v>26</v>
      </c>
      <c r="P590" s="5" cm="1">
        <f t="array" ref="P590">MAX(IF((OutputTable[GroupByKey]=OutputTable[[#This Row],[GroupByKey]]),(OutputTable[GroupByKey]=OutputTable[[#This Row],[GroupByKey]])*OutputTable[RecordedValue]))</f>
        <v>49</v>
      </c>
    </row>
    <row r="591" spans="1:16" x14ac:dyDescent="0.25">
      <c r="A591" t="s">
        <v>68</v>
      </c>
      <c r="B591" t="s">
        <v>70</v>
      </c>
      <c r="C591">
        <v>24</v>
      </c>
      <c r="D591" t="s">
        <v>125</v>
      </c>
      <c r="E591" t="s">
        <v>112</v>
      </c>
      <c r="F591" t="s">
        <v>81</v>
      </c>
      <c r="G591">
        <v>118.069144778835</v>
      </c>
      <c r="H591">
        <v>0</v>
      </c>
      <c r="I59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30</v>
      </c>
      <c r="K591" s="5" cm="1">
        <f t="array" ref="K591">IFERROR(AVERAGE(IF((OutputTable[GroupByKey]=OutputTable[[#This Row],[GroupByKey]]),(OutputTable[GroupByKey]=OutputTable[[#This Row],[GroupByKey]])*OutputTable[RecordedValue])),0)</f>
        <v>116.64263458387505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17.825477946659205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591" s="5" cm="1">
        <f t="array" ref="O591">MIN(IF((OutputTable[GroupByKey]=OutputTable[[#This Row],[GroupByKey]]),(OutputTable[GroupByKey]=OutputTable[[#This Row],[GroupByKey]])*OutputTable[RecordedValue]))</f>
        <v>74.976560761710004</v>
      </c>
      <c r="P591" s="5" cm="1">
        <f t="array" ref="P591">MAX(IF((OutputTable[GroupByKey]=OutputTable[[#This Row],[GroupByKey]]),(OutputTable[GroupByKey]=OutputTable[[#This Row],[GroupByKey]])*OutputTable[RecordedValue]))</f>
        <v>145.504156763596</v>
      </c>
    </row>
    <row r="592" spans="1:16" x14ac:dyDescent="0.25">
      <c r="A592" t="s">
        <v>68</v>
      </c>
      <c r="B592" t="s">
        <v>70</v>
      </c>
      <c r="C592">
        <v>24</v>
      </c>
      <c r="D592" t="s">
        <v>126</v>
      </c>
      <c r="E592" t="s">
        <v>114</v>
      </c>
      <c r="F592" t="s">
        <v>81</v>
      </c>
      <c r="G592">
        <v>21.001787424461501</v>
      </c>
      <c r="H592">
        <v>0</v>
      </c>
      <c r="I59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30</v>
      </c>
      <c r="K592" s="5" cm="1">
        <f t="array" ref="K592">IFERROR(AVERAGE(IF((OutputTable[GroupByKey]=OutputTable[[#This Row],[GroupByKey]]),(OutputTable[GroupByKey]=OutputTable[[#This Row],[GroupByKey]])*OutputTable[RecordedValue])),0)</f>
        <v>39.900972800228722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22.922906975864144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592" s="5" cm="1">
        <f t="array" ref="O592">MIN(IF((OutputTable[GroupByKey]=OutputTable[[#This Row],[GroupByKey]]),(OutputTable[GroupByKey]=OutputTable[[#This Row],[GroupByKey]])*OutputTable[RecordedValue]))</f>
        <v>2.1708788192608899</v>
      </c>
      <c r="P592" s="5" cm="1">
        <f t="array" ref="P592">MAX(IF((OutputTable[GroupByKey]=OutputTable[[#This Row],[GroupByKey]]),(OutputTable[GroupByKey]=OutputTable[[#This Row],[GroupByKey]])*OutputTable[RecordedValue]))</f>
        <v>94.9142929398908</v>
      </c>
    </row>
    <row r="593" spans="1:16" x14ac:dyDescent="0.25">
      <c r="A593" t="s">
        <v>68</v>
      </c>
      <c r="B593" t="s">
        <v>70</v>
      </c>
      <c r="C593">
        <v>24</v>
      </c>
      <c r="D593" t="s">
        <v>127</v>
      </c>
      <c r="E593" t="s">
        <v>108</v>
      </c>
      <c r="F593" t="s">
        <v>81</v>
      </c>
      <c r="G593">
        <v>40</v>
      </c>
      <c r="H593">
        <v>0</v>
      </c>
      <c r="I593" s="5" t="str">
        <f>OutputTable[[#This Row],[ProjectName]]&amp;OutputTable[[#This Row],[Name]]&amp;OutputTable[[#This Row],[Type]]&amp;OutputTable[[#This Row],[Source]]</f>
        <v>Pedido CleintesPreparar orden Number InNumber InProcess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30</v>
      </c>
      <c r="K593" s="5" cm="1">
        <f t="array" ref="K593">IFERROR(AVERAGE(IF((OutputTable[GroupByKey]=OutputTable[[#This Row],[GroupByKey]]),(OutputTable[GroupByKey]=OutputTable[[#This Row],[GroupByKey]])*OutputTable[RecordedValue])),0)</f>
        <v>39.666666666666664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6.0477030882540914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593" s="5" cm="1">
        <f t="array" ref="O593">MIN(IF((OutputTable[GroupByKey]=OutputTable[[#This Row],[GroupByKey]]),(OutputTable[GroupByKey]=OutputTable[[#This Row],[GroupByKey]])*OutputTable[RecordedValue]))</f>
        <v>26</v>
      </c>
      <c r="P593" s="5" cm="1">
        <f t="array" ref="P593">MAX(IF((OutputTable[GroupByKey]=OutputTable[[#This Row],[GroupByKey]]),(OutputTable[GroupByKey]=OutputTable[[#This Row],[GroupByKey]])*OutputTable[RecordedValue]))</f>
        <v>49</v>
      </c>
    </row>
    <row r="594" spans="1:16" x14ac:dyDescent="0.25">
      <c r="A594" t="s">
        <v>68</v>
      </c>
      <c r="B594" t="s">
        <v>70</v>
      </c>
      <c r="C594">
        <v>24</v>
      </c>
      <c r="D594" t="s">
        <v>128</v>
      </c>
      <c r="E594" t="s">
        <v>110</v>
      </c>
      <c r="F594" t="s">
        <v>81</v>
      </c>
      <c r="G594">
        <v>39</v>
      </c>
      <c r="H594">
        <v>0</v>
      </c>
      <c r="I594" s="5" t="str">
        <f>OutputTable[[#This Row],[ProjectName]]&amp;OutputTable[[#This Row],[Name]]&amp;OutputTable[[#This Row],[Type]]&amp;OutputTable[[#This Row],[Source]]</f>
        <v>Pedido CleintesPreparar orden Number OutNumber OutProcess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30</v>
      </c>
      <c r="K594" s="5" cm="1">
        <f t="array" ref="K594">IFERROR(AVERAGE(IF((OutputTable[GroupByKey]=OutputTable[[#This Row],[GroupByKey]]),(OutputTable[GroupByKey]=OutputTable[[#This Row],[GroupByKey]])*OutputTable[RecordedValue])),0)</f>
        <v>38.93333333333333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5.9765826548191505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594" s="5" cm="1">
        <f t="array" ref="O594">MIN(IF((OutputTable[GroupByKey]=OutputTable[[#This Row],[GroupByKey]]),(OutputTable[GroupByKey]=OutputTable[[#This Row],[GroupByKey]])*OutputTable[RecordedValue]))</f>
        <v>25</v>
      </c>
      <c r="P594" s="5" cm="1">
        <f t="array" ref="P594">MAX(IF((OutputTable[GroupByKey]=OutputTable[[#This Row],[GroupByKey]]),(OutputTable[GroupByKey]=OutputTable[[#This Row],[GroupByKey]])*OutputTable[RecordedValue]))</f>
        <v>49</v>
      </c>
    </row>
    <row r="595" spans="1:16" x14ac:dyDescent="0.25">
      <c r="A595" t="s">
        <v>68</v>
      </c>
      <c r="B595" t="s">
        <v>70</v>
      </c>
      <c r="C595">
        <v>24</v>
      </c>
      <c r="D595" t="s">
        <v>129</v>
      </c>
      <c r="E595" t="s">
        <v>110</v>
      </c>
      <c r="F595" t="s">
        <v>130</v>
      </c>
      <c r="G595">
        <v>39</v>
      </c>
      <c r="H595">
        <v>0</v>
      </c>
      <c r="I595" s="5" t="str">
        <f>OutputTable[[#This Row],[ProjectName]]&amp;OutputTable[[#This Row],[Name]]&amp;OutputTable[[#This Row],[Type]]&amp;OutputTable[[#This Row],[Source]]</f>
        <v>Pedido CleintesSystem.NumberOutNumber OutSystem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30</v>
      </c>
      <c r="K595" s="5" cm="1">
        <f t="array" ref="K595">IFERROR(AVERAGE(IF((OutputTable[GroupByKey]=OutputTable[[#This Row],[GroupByKey]]),(OutputTable[GroupByKey]=OutputTable[[#This Row],[GroupByKey]])*OutputTable[RecordedValue])),0)</f>
        <v>38.866666666666667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6.0840851369801694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595" s="5" cm="1">
        <f t="array" ref="O595">MIN(IF((OutputTable[GroupByKey]=OutputTable[[#This Row],[GroupByKey]]),(OutputTable[GroupByKey]=OutputTable[[#This Row],[GroupByKey]])*OutputTable[RecordedValue]))</f>
        <v>24</v>
      </c>
      <c r="P595" s="5" cm="1">
        <f t="array" ref="P595">MAX(IF((OutputTable[GroupByKey]=OutputTable[[#This Row],[GroupByKey]]),(OutputTable[GroupByKey]=OutputTable[[#This Row],[GroupByKey]])*OutputTable[RecordedValue]))</f>
        <v>49</v>
      </c>
    </row>
    <row r="596" spans="1:16" x14ac:dyDescent="0.25">
      <c r="A596" t="s">
        <v>68</v>
      </c>
      <c r="B596" t="s">
        <v>70</v>
      </c>
      <c r="C596">
        <v>24</v>
      </c>
      <c r="D596" t="s">
        <v>131</v>
      </c>
      <c r="E596" t="s">
        <v>132</v>
      </c>
      <c r="F596" t="s">
        <v>102</v>
      </c>
      <c r="G596">
        <v>40</v>
      </c>
      <c r="H596">
        <v>0</v>
      </c>
      <c r="I59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30</v>
      </c>
      <c r="K596" s="5" cm="1">
        <f t="array" ref="K596">IFERROR(AVERAGE(IF((OutputTable[GroupByKey]=OutputTable[[#This Row],[GroupByKey]]),(OutputTable[GroupByKey]=OutputTable[[#This Row],[GroupByKey]])*OutputTable[RecordedValue])),0)</f>
        <v>39.4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5.8757244601014422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596" s="5" cm="1">
        <f t="array" ref="O596">MIN(IF((OutputTable[GroupByKey]=OutputTable[[#This Row],[GroupByKey]]),(OutputTable[GroupByKey]=OutputTable[[#This Row],[GroupByKey]])*OutputTable[RecordedValue]))</f>
        <v>26</v>
      </c>
      <c r="P596" s="5" cm="1">
        <f t="array" ref="P596">MAX(IF((OutputTable[GroupByKey]=OutputTable[[#This Row],[GroupByKey]]),(OutputTable[GroupByKey]=OutputTable[[#This Row],[GroupByKey]])*OutputTable[RecordedValue]))</f>
        <v>49</v>
      </c>
    </row>
    <row r="597" spans="1:16" x14ac:dyDescent="0.25">
      <c r="A597" t="s">
        <v>68</v>
      </c>
      <c r="B597" t="s">
        <v>70</v>
      </c>
      <c r="C597">
        <v>24</v>
      </c>
      <c r="D597" t="s">
        <v>133</v>
      </c>
      <c r="E597" t="s">
        <v>134</v>
      </c>
      <c r="F597" t="s">
        <v>102</v>
      </c>
      <c r="G597">
        <v>0.49240957479207098</v>
      </c>
      <c r="H597">
        <v>0</v>
      </c>
      <c r="I59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30</v>
      </c>
      <c r="K597" s="5" cm="1">
        <f t="array" ref="K597">IFERROR(AVERAGE(IF((OutputTable[GroupByKey]=OutputTable[[#This Row],[GroupByKey]]),(OutputTable[GroupByKey]=OutputTable[[#This Row],[GroupByKey]])*OutputTable[RecordedValue])),0)</f>
        <v>0.48891840079317483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7.3627413122013347E-2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597" s="5" cm="1">
        <f t="array" ref="O597">MIN(IF((OutputTable[GroupByKey]=OutputTable[[#This Row],[GroupByKey]]),(OutputTable[GroupByKey]=OutputTable[[#This Row],[GroupByKey]])*OutputTable[RecordedValue]))</f>
        <v>0.31277577999924699</v>
      </c>
      <c r="P597" s="5" cm="1">
        <f t="array" ref="P597">MAX(IF((OutputTable[GroupByKey]=OutputTable[[#This Row],[GroupByKey]]),(OutputTable[GroupByKey]=OutputTable[[#This Row],[GroupByKey]])*OutputTable[RecordedValue]))</f>
        <v>0.60626731984831705</v>
      </c>
    </row>
    <row r="598" spans="1:16" x14ac:dyDescent="0.25">
      <c r="A598" t="s">
        <v>68</v>
      </c>
      <c r="B598" t="s">
        <v>70</v>
      </c>
      <c r="C598">
        <v>24</v>
      </c>
      <c r="D598" t="s">
        <v>135</v>
      </c>
      <c r="E598" t="s">
        <v>132</v>
      </c>
      <c r="F598" t="s">
        <v>102</v>
      </c>
      <c r="G598">
        <v>80</v>
      </c>
      <c r="H598">
        <v>0</v>
      </c>
      <c r="I59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30</v>
      </c>
      <c r="K598" s="5" cm="1">
        <f t="array" ref="K598">IFERROR(AVERAGE(IF((OutputTable[GroupByKey]=OutputTable[[#This Row],[GroupByKey]]),(OutputTable[GroupByKey]=OutputTable[[#This Row],[GroupByKey]])*OutputTable[RecordedValue])),0)</f>
        <v>79.466666666666669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12.016463801753446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598" s="5" cm="1">
        <f t="array" ref="O598">MIN(IF((OutputTable[GroupByKey]=OutputTable[[#This Row],[GroupByKey]]),(OutputTable[GroupByKey]=OutputTable[[#This Row],[GroupByKey]])*OutputTable[RecordedValue]))</f>
        <v>53</v>
      </c>
      <c r="P598" s="5" cm="1">
        <f t="array" ref="P598">MAX(IF((OutputTable[GroupByKey]=OutputTable[[#This Row],[GroupByKey]]),(OutputTable[GroupByKey]=OutputTable[[#This Row],[GroupByKey]])*OutputTable[RecordedValue]))</f>
        <v>98</v>
      </c>
    </row>
    <row r="599" spans="1:16" x14ac:dyDescent="0.25">
      <c r="A599" t="s">
        <v>68</v>
      </c>
      <c r="B599" t="s">
        <v>70</v>
      </c>
      <c r="C599">
        <v>24</v>
      </c>
      <c r="D599" t="s">
        <v>136</v>
      </c>
      <c r="E599" t="s">
        <v>134</v>
      </c>
      <c r="F599" t="s">
        <v>102</v>
      </c>
      <c r="G599">
        <v>0.299650490725275</v>
      </c>
      <c r="H599">
        <v>0</v>
      </c>
      <c r="I59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30</v>
      </c>
      <c r="K599" s="5" cm="1">
        <f t="array" ref="K599">IFERROR(AVERAGE(IF((OutputTable[GroupByKey]=OutputTable[[#This Row],[GroupByKey]]),(OutputTable[GroupByKey]=OutputTable[[#This Row],[GroupByKey]])*OutputTable[RecordedValue])),0)</f>
        <v>0.28976365927997022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4.4748273652133699E-2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599" s="5" cm="1">
        <f t="array" ref="O599">MIN(IF((OutputTable[GroupByKey]=OutputTable[[#This Row],[GroupByKey]]),(OutputTable[GroupByKey]=OutputTable[[#This Row],[GroupByKey]])*OutputTable[RecordedValue]))</f>
        <v>0.194735973294278</v>
      </c>
      <c r="P599" s="5" cm="1">
        <f t="array" ref="P599">MAX(IF((OutputTable[GroupByKey]=OutputTable[[#This Row],[GroupByKey]]),(OutputTable[GroupByKey]=OutputTable[[#This Row],[GroupByKey]])*OutputTable[RecordedValue]))</f>
        <v>0.35775345817659199</v>
      </c>
    </row>
    <row r="600" spans="1:16" x14ac:dyDescent="0.25">
      <c r="A600" t="s">
        <v>68</v>
      </c>
      <c r="B600" t="s">
        <v>70</v>
      </c>
      <c r="C600">
        <v>24</v>
      </c>
      <c r="D600" t="s">
        <v>137</v>
      </c>
      <c r="E600" t="s">
        <v>132</v>
      </c>
      <c r="F600" t="s">
        <v>102</v>
      </c>
      <c r="G600">
        <v>39</v>
      </c>
      <c r="H600">
        <v>0</v>
      </c>
      <c r="I60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30</v>
      </c>
      <c r="K600" s="5" cm="1">
        <f t="array" ref="K600">IFERROR(AVERAGE(IF((OutputTable[GroupByKey]=OutputTable[[#This Row],[GroupByKey]]),(OutputTable[GroupByKey]=OutputTable[[#This Row],[GroupByKey]])*OutputTable[RecordedValue])),0)</f>
        <v>38.93333333333333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5.9765826548191505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00" s="5" cm="1">
        <f t="array" ref="O600">MIN(IF((OutputTable[GroupByKey]=OutputTable[[#This Row],[GroupByKey]]),(OutputTable[GroupByKey]=OutputTable[[#This Row],[GroupByKey]])*OutputTable[RecordedValue]))</f>
        <v>25</v>
      </c>
      <c r="P600" s="5" cm="1">
        <f t="array" ref="P600">MAX(IF((OutputTable[GroupByKey]=OutputTable[[#This Row],[GroupByKey]]),(OutputTable[GroupByKey]=OutputTable[[#This Row],[GroupByKey]])*OutputTable[RecordedValue]))</f>
        <v>49</v>
      </c>
    </row>
    <row r="601" spans="1:16" x14ac:dyDescent="0.25">
      <c r="A601" t="s">
        <v>68</v>
      </c>
      <c r="B601" t="s">
        <v>70</v>
      </c>
      <c r="C601">
        <v>24</v>
      </c>
      <c r="D601" t="s">
        <v>138</v>
      </c>
      <c r="E601" t="s">
        <v>134</v>
      </c>
      <c r="F601" t="s">
        <v>102</v>
      </c>
      <c r="G601">
        <v>9.1344711730722894E-2</v>
      </c>
      <c r="H601">
        <v>0</v>
      </c>
      <c r="I60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30</v>
      </c>
      <c r="K601" s="5" cm="1">
        <f t="array" ref="K601">IFERROR(AVERAGE(IF((OutputTable[GroupByKey]=OutputTable[[#This Row],[GroupByKey]]),(OutputTable[GroupByKey]=OutputTable[[#This Row],[GroupByKey]])*OutputTable[RecordedValue])),0)</f>
        <v>8.2588852761398115E-2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1.3130964022328008E-2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601" s="5" cm="1">
        <f t="array" ref="O601">MIN(IF((OutputTable[GroupByKey]=OutputTable[[#This Row],[GroupByKey]]),(OutputTable[GroupByKey]=OutputTable[[#This Row],[GroupByKey]])*OutputTable[RecordedValue]))</f>
        <v>5.3757894868807901E-2</v>
      </c>
      <c r="P601" s="5" cm="1">
        <f t="array" ref="P601">MAX(IF((OutputTable[GroupByKey]=OutputTable[[#This Row],[GroupByKey]]),(OutputTable[GroupByKey]=OutputTable[[#This Row],[GroupByKey]])*OutputTable[RecordedValue]))</f>
        <v>0.103175045984152</v>
      </c>
    </row>
    <row r="602" spans="1:16" x14ac:dyDescent="0.25">
      <c r="A602" t="s">
        <v>68</v>
      </c>
      <c r="B602" t="s">
        <v>70</v>
      </c>
      <c r="C602">
        <v>25</v>
      </c>
      <c r="D602" t="s">
        <v>107</v>
      </c>
      <c r="E602" t="s">
        <v>108</v>
      </c>
      <c r="F602" t="s">
        <v>73</v>
      </c>
      <c r="G602">
        <v>105</v>
      </c>
      <c r="H602">
        <v>0</v>
      </c>
      <c r="I602" s="5" t="str">
        <f>OutputTable[[#This Row],[ProjectName]]&amp;OutputTable[[#This Row],[Name]]&amp;OutputTable[[#This Row],[Type]]&amp;OutputTable[[#This Row],[Source]]</f>
        <v>Pedido CleintesClientes.NumberInNumber InEntity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30</v>
      </c>
      <c r="K602" s="5" cm="1">
        <f t="array" ref="K602">IFERROR(AVERAGE(IF((OutputTable[GroupByKey]=OutputTable[[#This Row],[GroupByKey]]),(OutputTable[GroupByKey]=OutputTable[[#This Row],[GroupByKey]])*OutputTable[RecordedValue])),0)</f>
        <v>118.5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18.009097317936192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602" s="5" cm="1">
        <f t="array" ref="O602">MIN(IF((OutputTable[GroupByKey]=OutputTable[[#This Row],[GroupByKey]]),(OutputTable[GroupByKey]=OutputTable[[#This Row],[GroupByKey]])*OutputTable[RecordedValue]))</f>
        <v>78</v>
      </c>
      <c r="P602" s="5" cm="1">
        <f t="array" ref="P602">MAX(IF((OutputTable[GroupByKey]=OutputTable[[#This Row],[GroupByKey]]),(OutputTable[GroupByKey]=OutputTable[[#This Row],[GroupByKey]])*OutputTable[RecordedValue]))</f>
        <v>147</v>
      </c>
    </row>
    <row r="603" spans="1:16" x14ac:dyDescent="0.25">
      <c r="A603" t="s">
        <v>68</v>
      </c>
      <c r="B603" t="s">
        <v>70</v>
      </c>
      <c r="C603">
        <v>25</v>
      </c>
      <c r="D603" t="s">
        <v>109</v>
      </c>
      <c r="E603" t="s">
        <v>110</v>
      </c>
      <c r="F603" t="s">
        <v>73</v>
      </c>
      <c r="G603">
        <v>105</v>
      </c>
      <c r="H603">
        <v>0</v>
      </c>
      <c r="I603" s="5" t="str">
        <f>OutputTable[[#This Row],[ProjectName]]&amp;OutputTable[[#This Row],[Name]]&amp;OutputTable[[#This Row],[Type]]&amp;OutputTable[[#This Row],[Source]]</f>
        <v>Pedido CleintesClientes.NumberOutNumber OutEntity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30</v>
      </c>
      <c r="K603" s="5" cm="1">
        <f t="array" ref="K603">IFERROR(AVERAGE(IF((OutputTable[GroupByKey]=OutputTable[[#This Row],[GroupByKey]]),(OutputTable[GroupByKey]=OutputTable[[#This Row],[GroupByKey]])*OutputTable[RecordedValue])),0)</f>
        <v>116.6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18.252255410940514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603" s="5" cm="1">
        <f t="array" ref="O603">MIN(IF((OutputTable[GroupByKey]=OutputTable[[#This Row],[GroupByKey]]),(OutputTable[GroupByKey]=OutputTable[[#This Row],[GroupByKey]])*OutputTable[RecordedValue]))</f>
        <v>72</v>
      </c>
      <c r="P603" s="5" cm="1">
        <f t="array" ref="P603">MAX(IF((OutputTable[GroupByKey]=OutputTable[[#This Row],[GroupByKey]]),(OutputTable[GroupByKey]=OutputTable[[#This Row],[GroupByKey]])*OutputTable[RecordedValue]))</f>
        <v>147</v>
      </c>
    </row>
    <row r="604" spans="1:16" x14ac:dyDescent="0.25">
      <c r="A604" t="s">
        <v>68</v>
      </c>
      <c r="B604" t="s">
        <v>70</v>
      </c>
      <c r="C604">
        <v>25</v>
      </c>
      <c r="D604" t="s">
        <v>111</v>
      </c>
      <c r="E604" t="s">
        <v>112</v>
      </c>
      <c r="F604" t="s">
        <v>81</v>
      </c>
      <c r="G604">
        <v>15.7669279455124</v>
      </c>
      <c r="H604">
        <v>0</v>
      </c>
      <c r="I60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30</v>
      </c>
      <c r="K604" s="5" cm="1">
        <f t="array" ref="K604">IFERROR(AVERAGE(IF((OutputTable[GroupByKey]=OutputTable[[#This Row],[GroupByKey]]),(OutputTable[GroupByKey]=OutputTable[[#This Row],[GroupByKey]])*OutputTable[RecordedValue])),0)</f>
        <v>19.806808580201274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3.1624794742170024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604" s="5" cm="1">
        <f t="array" ref="O604">MIN(IF((OutputTable[GroupByKey]=OutputTable[[#This Row],[GroupByKey]]),(OutputTable[GroupByKey]=OutputTable[[#This Row],[GroupByKey]])*OutputTable[RecordedValue]))</f>
        <v>12.812268330404599</v>
      </c>
      <c r="P604" s="5" cm="1">
        <f t="array" ref="P604">MAX(IF((OutputTable[GroupByKey]=OutputTable[[#This Row],[GroupByKey]]),(OutputTable[GroupByKey]=OutputTable[[#This Row],[GroupByKey]])*OutputTable[RecordedValue]))</f>
        <v>24.762011036196501</v>
      </c>
    </row>
    <row r="605" spans="1:16" x14ac:dyDescent="0.25">
      <c r="A605" t="s">
        <v>68</v>
      </c>
      <c r="B605" t="s">
        <v>70</v>
      </c>
      <c r="C605">
        <v>25</v>
      </c>
      <c r="D605" t="s">
        <v>113</v>
      </c>
      <c r="E605" t="s">
        <v>114</v>
      </c>
      <c r="F605" t="s">
        <v>81</v>
      </c>
      <c r="G605">
        <v>0</v>
      </c>
      <c r="H605">
        <v>0</v>
      </c>
      <c r="I60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30</v>
      </c>
      <c r="K605" s="5" cm="1">
        <f t="array" ref="K605">IFERROR(AVERAGE(IF((OutputTable[GroupByKey]=OutputTable[[#This Row],[GroupByKey]]),(OutputTable[GroupByKey]=OutputTable[[#This Row],[GroupByKey]])*OutputTable[RecordedValue])),0)</f>
        <v>0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s="5" cm="1">
        <f t="array" ref="O605">MIN(IF((OutputTable[GroupByKey]=OutputTable[[#This Row],[GroupByKey]]),(OutputTable[GroupByKey]=OutputTable[[#This Row],[GroupByKey]])*OutputTable[RecordedValue]))</f>
        <v>0</v>
      </c>
      <c r="P605" s="5" cm="1">
        <f t="array" ref="P605">MAX(IF((OutputTable[GroupByKey]=OutputTable[[#This Row],[GroupByKey]]),(OutputTable[GroupByKey]=OutputTable[[#This Row],[GroupByKey]])*OutputTable[RecordedValue]))</f>
        <v>0</v>
      </c>
    </row>
    <row r="606" spans="1:16" x14ac:dyDescent="0.25">
      <c r="A606" t="s">
        <v>68</v>
      </c>
      <c r="B606" t="s">
        <v>70</v>
      </c>
      <c r="C606">
        <v>25</v>
      </c>
      <c r="D606" t="s">
        <v>115</v>
      </c>
      <c r="E606" t="s">
        <v>108</v>
      </c>
      <c r="F606" t="s">
        <v>81</v>
      </c>
      <c r="G606">
        <v>35</v>
      </c>
      <c r="H606">
        <v>0</v>
      </c>
      <c r="I60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30</v>
      </c>
      <c r="K606" s="5" cm="1">
        <f t="array" ref="K606">IFERROR(AVERAGE(IF((OutputTable[GroupByKey]=OutputTable[[#This Row],[GroupByKey]]),(OutputTable[GroupByKey]=OutputTable[[#This Row],[GroupByKey]])*OutputTable[RecordedValue])),0)</f>
        <v>38.93333333333333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5.9765826548191505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06" s="5" cm="1">
        <f t="array" ref="O606">MIN(IF((OutputTable[GroupByKey]=OutputTable[[#This Row],[GroupByKey]]),(OutputTable[GroupByKey]=OutputTable[[#This Row],[GroupByKey]])*OutputTable[RecordedValue]))</f>
        <v>25</v>
      </c>
      <c r="P606" s="5" cm="1">
        <f t="array" ref="P606">MAX(IF((OutputTable[GroupByKey]=OutputTable[[#This Row],[GroupByKey]]),(OutputTable[GroupByKey]=OutputTable[[#This Row],[GroupByKey]])*OutputTable[RecordedValue]))</f>
        <v>49</v>
      </c>
    </row>
    <row r="607" spans="1:16" x14ac:dyDescent="0.25">
      <c r="A607" t="s">
        <v>68</v>
      </c>
      <c r="B607" t="s">
        <v>70</v>
      </c>
      <c r="C607">
        <v>25</v>
      </c>
      <c r="D607" t="s">
        <v>116</v>
      </c>
      <c r="E607" t="s">
        <v>110</v>
      </c>
      <c r="F607" t="s">
        <v>81</v>
      </c>
      <c r="G607">
        <v>35</v>
      </c>
      <c r="H607">
        <v>0</v>
      </c>
      <c r="I60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30</v>
      </c>
      <c r="K607" s="5" cm="1">
        <f t="array" ref="K607">IFERROR(AVERAGE(IF((OutputTable[GroupByKey]=OutputTable[[#This Row],[GroupByKey]]),(OutputTable[GroupByKey]=OutputTable[[#This Row],[GroupByKey]])*OutputTable[RecordedValue])),0)</f>
        <v>38.866666666666667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6.0840851369801694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07" s="5" cm="1">
        <f t="array" ref="O607">MIN(IF((OutputTable[GroupByKey]=OutputTable[[#This Row],[GroupByKey]]),(OutputTable[GroupByKey]=OutputTable[[#This Row],[GroupByKey]])*OutputTable[RecordedValue]))</f>
        <v>24</v>
      </c>
      <c r="P607" s="5" cm="1">
        <f t="array" ref="P607">MAX(IF((OutputTable[GroupByKey]=OutputTable[[#This Row],[GroupByKey]]),(OutputTable[GroupByKey]=OutputTable[[#This Row],[GroupByKey]])*OutputTable[RecordedValue]))</f>
        <v>49</v>
      </c>
    </row>
    <row r="608" spans="1:16" x14ac:dyDescent="0.25">
      <c r="A608" t="s">
        <v>68</v>
      </c>
      <c r="B608" t="s">
        <v>70</v>
      </c>
      <c r="C608">
        <v>25</v>
      </c>
      <c r="D608" t="s">
        <v>117</v>
      </c>
      <c r="E608" t="s">
        <v>112</v>
      </c>
      <c r="F608" t="s">
        <v>81</v>
      </c>
      <c r="G608">
        <v>36.287799266512401</v>
      </c>
      <c r="H608">
        <v>0</v>
      </c>
      <c r="I608" s="5" t="str">
        <f>OutputTable[[#This Row],[ProjectName]]&amp;OutputTable[[#This Row],[Name]]&amp;OutputTable[[#This Row],[Type]]&amp;OutputTable[[#This Row],[Source]]</f>
        <v>Pedido CleintesOrdnes Accum VA TimeAccum VA TimeProcess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30</v>
      </c>
      <c r="K608" s="5" cm="1">
        <f t="array" ref="K608">IFERROR(AVERAGE(IF((OutputTable[GroupByKey]=OutputTable[[#This Row],[GroupByKey]]),(OutputTable[GroupByKey]=OutputTable[[#This Row],[GroupByKey]])*OutputTable[RecordedValue])),0)</f>
        <v>39.878126992056487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6.1068580319474277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608" s="5" cm="1">
        <f t="array" ref="O608">MIN(IF((OutputTable[GroupByKey]=OutputTable[[#This Row],[GroupByKey]]),(OutputTable[GroupByKey]=OutputTable[[#This Row],[GroupByKey]])*OutputTable[RecordedValue]))</f>
        <v>26.106281767804099</v>
      </c>
      <c r="P608" s="5" cm="1">
        <f t="array" ref="P608">MAX(IF((OutputTable[GroupByKey]=OutputTable[[#This Row],[GroupByKey]]),(OutputTable[GroupByKey]=OutputTable[[#This Row],[GroupByKey]])*OutputTable[RecordedValue]))</f>
        <v>48.706388790541098</v>
      </c>
    </row>
    <row r="609" spans="1:16" x14ac:dyDescent="0.25">
      <c r="A609" t="s">
        <v>68</v>
      </c>
      <c r="B609" t="s">
        <v>70</v>
      </c>
      <c r="C609">
        <v>25</v>
      </c>
      <c r="D609" t="s">
        <v>118</v>
      </c>
      <c r="E609" t="s">
        <v>114</v>
      </c>
      <c r="F609" t="s">
        <v>81</v>
      </c>
      <c r="G609">
        <v>6.0957533757297497</v>
      </c>
      <c r="H609">
        <v>0</v>
      </c>
      <c r="I60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30</v>
      </c>
      <c r="K609" s="5" cm="1">
        <f t="array" ref="K609">IFERROR(AVERAGE(IF((OutputTable[GroupByKey]=OutputTable[[#This Row],[GroupByKey]]),(OutputTable[GroupByKey]=OutputTable[[#This Row],[GroupByKey]])*OutputTable[RecordedValue])),0)</f>
        <v>7.9804799821754404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4.8950382198155014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609" s="5" cm="1">
        <f t="array" ref="O609">MIN(IF((OutputTable[GroupByKey]=OutputTable[[#This Row],[GroupByKey]]),(OutputTable[GroupByKey]=OutputTable[[#This Row],[GroupByKey]])*OutputTable[RecordedValue]))</f>
        <v>0</v>
      </c>
      <c r="P609" s="5" cm="1">
        <f t="array" ref="P609">MAX(IF((OutputTable[GroupByKey]=OutputTable[[#This Row],[GroupByKey]]),(OutputTable[GroupByKey]=OutputTable[[#This Row],[GroupByKey]])*OutputTable[RecordedValue]))</f>
        <v>18.843855117811401</v>
      </c>
    </row>
    <row r="610" spans="1:16" x14ac:dyDescent="0.25">
      <c r="A610" t="s">
        <v>68</v>
      </c>
      <c r="B610" t="s">
        <v>70</v>
      </c>
      <c r="C610">
        <v>25</v>
      </c>
      <c r="D610" t="s">
        <v>119</v>
      </c>
      <c r="E610" t="s">
        <v>108</v>
      </c>
      <c r="F610" t="s">
        <v>81</v>
      </c>
      <c r="G610">
        <v>35</v>
      </c>
      <c r="H610">
        <v>0</v>
      </c>
      <c r="I610" s="5" t="str">
        <f>OutputTable[[#This Row],[ProjectName]]&amp;OutputTable[[#This Row],[Name]]&amp;OutputTable[[#This Row],[Type]]&amp;OutputTable[[#This Row],[Source]]</f>
        <v>Pedido CleintesOrdnes Number InNumber InProcess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30</v>
      </c>
      <c r="K610" s="5" cm="1">
        <f t="array" ref="K610">IFERROR(AVERAGE(IF((OutputTable[GroupByKey]=OutputTable[[#This Row],[GroupByKey]]),(OutputTable[GroupByKey]=OutputTable[[#This Row],[GroupByKey]])*OutputTable[RecordedValue])),0)</f>
        <v>39.9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6.0648791101463475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610" s="5" cm="1">
        <f t="array" ref="O610">MIN(IF((OutputTable[GroupByKey]=OutputTable[[#This Row],[GroupByKey]]),(OutputTable[GroupByKey]=OutputTable[[#This Row],[GroupByKey]])*OutputTable[RecordedValue]))</f>
        <v>27</v>
      </c>
      <c r="P610" s="5" cm="1">
        <f t="array" ref="P610">MAX(IF((OutputTable[GroupByKey]=OutputTable[[#This Row],[GroupByKey]]),(OutputTable[GroupByKey]=OutputTable[[#This Row],[GroupByKey]])*OutputTable[RecordedValue]))</f>
        <v>49</v>
      </c>
    </row>
    <row r="611" spans="1:16" x14ac:dyDescent="0.25">
      <c r="A611" t="s">
        <v>68</v>
      </c>
      <c r="B611" t="s">
        <v>70</v>
      </c>
      <c r="C611">
        <v>25</v>
      </c>
      <c r="D611" t="s">
        <v>120</v>
      </c>
      <c r="E611" t="s">
        <v>110</v>
      </c>
      <c r="F611" t="s">
        <v>81</v>
      </c>
      <c r="G611">
        <v>35</v>
      </c>
      <c r="H611">
        <v>0</v>
      </c>
      <c r="I611" s="5" t="str">
        <f>OutputTable[[#This Row],[ProjectName]]&amp;OutputTable[[#This Row],[Name]]&amp;OutputTable[[#This Row],[Type]]&amp;OutputTable[[#This Row],[Source]]</f>
        <v>Pedido CleintesOrdnes Number OutNumber OutProcess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30</v>
      </c>
      <c r="K611" s="5" cm="1">
        <f t="array" ref="K611">IFERROR(AVERAGE(IF((OutputTable[GroupByKey]=OutputTable[[#This Row],[GroupByKey]]),(OutputTable[GroupByKey]=OutputTable[[#This Row],[GroupByKey]])*OutputTable[RecordedValue])),0)</f>
        <v>39.666666666666664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6.0477030882540914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11" s="5" cm="1">
        <f t="array" ref="O611">MIN(IF((OutputTable[GroupByKey]=OutputTable[[#This Row],[GroupByKey]]),(OutputTable[GroupByKey]=OutputTable[[#This Row],[GroupByKey]])*OutputTable[RecordedValue]))</f>
        <v>26</v>
      </c>
      <c r="P611" s="5" cm="1">
        <f t="array" ref="P611">MAX(IF((OutputTable[GroupByKey]=OutputTable[[#This Row],[GroupByKey]]),(OutputTable[GroupByKey]=OutputTable[[#This Row],[GroupByKey]])*OutputTable[RecordedValue]))</f>
        <v>49</v>
      </c>
    </row>
    <row r="612" spans="1:16" x14ac:dyDescent="0.25">
      <c r="A612" t="s">
        <v>68</v>
      </c>
      <c r="B612" t="s">
        <v>70</v>
      </c>
      <c r="C612">
        <v>25</v>
      </c>
      <c r="D612" t="s">
        <v>121</v>
      </c>
      <c r="E612" t="s">
        <v>112</v>
      </c>
      <c r="F612" t="s">
        <v>81</v>
      </c>
      <c r="G612">
        <v>25.0130949004445</v>
      </c>
      <c r="H612">
        <v>0</v>
      </c>
      <c r="I612" s="5" t="str">
        <f>OutputTable[[#This Row],[ProjectName]]&amp;OutputTable[[#This Row],[Name]]&amp;OutputTable[[#This Row],[Type]]&amp;OutputTable[[#This Row],[Source]]</f>
        <v>Pedido CleintesPago Accum VA TimeAccum VA TimeProcess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30</v>
      </c>
      <c r="K612" s="5" cm="1">
        <f t="array" ref="K612">IFERROR(AVERAGE(IF((OutputTable[GroupByKey]=OutputTable[[#This Row],[GroupByKey]]),(OutputTable[GroupByKey]=OutputTable[[#This Row],[GroupByKey]])*OutputTable[RecordedValue])),0)</f>
        <v>29.486262713858675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4.747176664010901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612" s="5" cm="1">
        <f t="array" ref="O612">MIN(IF((OutputTable[GroupByKey]=OutputTable[[#This Row],[GroupByKey]]),(OutputTable[GroupByKey]=OutputTable[[#This Row],[GroupByKey]])*OutputTable[RecordedValue]))</f>
        <v>19.573210250889101</v>
      </c>
      <c r="P612" s="5" cm="1">
        <f t="array" ref="P612">MAX(IF((OutputTable[GroupByKey]=OutputTable[[#This Row],[GroupByKey]]),(OutputTable[GroupByKey]=OutputTable[[#This Row],[GroupByKey]])*OutputTable[RecordedValue]))</f>
        <v>37.056974462114901</v>
      </c>
    </row>
    <row r="613" spans="1:16" x14ac:dyDescent="0.25">
      <c r="A613" t="s">
        <v>68</v>
      </c>
      <c r="B613" t="s">
        <v>70</v>
      </c>
      <c r="C613">
        <v>25</v>
      </c>
      <c r="D613" t="s">
        <v>122</v>
      </c>
      <c r="E613" t="s">
        <v>114</v>
      </c>
      <c r="F613" t="s">
        <v>81</v>
      </c>
      <c r="G613">
        <v>8.9627863030117698</v>
      </c>
      <c r="H613">
        <v>0</v>
      </c>
      <c r="I613" s="5" t="str">
        <f>OutputTable[[#This Row],[ProjectName]]&amp;OutputTable[[#This Row],[Name]]&amp;OutputTable[[#This Row],[Type]]&amp;OutputTable[[#This Row],[Source]]</f>
        <v>Pedido CleintesPago Accum Wait TimeAccum Wait TimeProcess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30</v>
      </c>
      <c r="K613" s="5" cm="1">
        <f t="array" ref="K613">IFERROR(AVERAGE(IF((OutputTable[GroupByKey]=OutputTable[[#This Row],[GroupByKey]]),(OutputTable[GroupByKey]=OutputTable[[#This Row],[GroupByKey]])*OutputTable[RecordedValue])),0)</f>
        <v>13.025761997568024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7.8467935605388783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613" s="5" cm="1">
        <f t="array" ref="O613">MIN(IF((OutputTable[GroupByKey]=OutputTable[[#This Row],[GroupByKey]]),(OutputTable[GroupByKey]=OutputTable[[#This Row],[GroupByKey]])*OutputTable[RecordedValue]))</f>
        <v>0</v>
      </c>
      <c r="P613" s="5" cm="1">
        <f t="array" ref="P613">MAX(IF((OutputTable[GroupByKey]=OutputTable[[#This Row],[GroupByKey]]),(OutputTable[GroupByKey]=OutputTable[[#This Row],[GroupByKey]])*OutputTable[RecordedValue]))</f>
        <v>32.770863925850499</v>
      </c>
    </row>
    <row r="614" spans="1:16" x14ac:dyDescent="0.25">
      <c r="A614" t="s">
        <v>68</v>
      </c>
      <c r="B614" t="s">
        <v>70</v>
      </c>
      <c r="C614">
        <v>25</v>
      </c>
      <c r="D614" t="s">
        <v>123</v>
      </c>
      <c r="E614" t="s">
        <v>108</v>
      </c>
      <c r="F614" t="s">
        <v>81</v>
      </c>
      <c r="G614">
        <v>35</v>
      </c>
      <c r="H614">
        <v>0</v>
      </c>
      <c r="I614" s="5" t="str">
        <f>OutputTable[[#This Row],[ProjectName]]&amp;OutputTable[[#This Row],[Name]]&amp;OutputTable[[#This Row],[Type]]&amp;OutputTable[[#This Row],[Source]]</f>
        <v>Pedido CleintesPago Number InNumber InProcess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30</v>
      </c>
      <c r="K614" s="5" cm="1">
        <f t="array" ref="K614">IFERROR(AVERAGE(IF((OutputTable[GroupByKey]=OutputTable[[#This Row],[GroupByKey]]),(OutputTable[GroupByKey]=OutputTable[[#This Row],[GroupByKey]])*OutputTable[RecordedValue])),0)</f>
        <v>39.666666666666664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6.0477030882540914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14" s="5" cm="1">
        <f t="array" ref="O614">MIN(IF((OutputTable[GroupByKey]=OutputTable[[#This Row],[GroupByKey]]),(OutputTable[GroupByKey]=OutputTable[[#This Row],[GroupByKey]])*OutputTable[RecordedValue]))</f>
        <v>26</v>
      </c>
      <c r="P614" s="5" cm="1">
        <f t="array" ref="P614">MAX(IF((OutputTable[GroupByKey]=OutputTable[[#This Row],[GroupByKey]]),(OutputTable[GroupByKey]=OutputTable[[#This Row],[GroupByKey]])*OutputTable[RecordedValue]))</f>
        <v>49</v>
      </c>
    </row>
    <row r="615" spans="1:16" x14ac:dyDescent="0.25">
      <c r="A615" t="s">
        <v>68</v>
      </c>
      <c r="B615" t="s">
        <v>70</v>
      </c>
      <c r="C615">
        <v>25</v>
      </c>
      <c r="D615" t="s">
        <v>124</v>
      </c>
      <c r="E615" t="s">
        <v>110</v>
      </c>
      <c r="F615" t="s">
        <v>81</v>
      </c>
      <c r="G615">
        <v>35</v>
      </c>
      <c r="H615">
        <v>0</v>
      </c>
      <c r="I615" s="5" t="str">
        <f>OutputTable[[#This Row],[ProjectName]]&amp;OutputTable[[#This Row],[Name]]&amp;OutputTable[[#This Row],[Type]]&amp;OutputTable[[#This Row],[Source]]</f>
        <v>Pedido CleintesPago Number OutNumber OutProcess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30</v>
      </c>
      <c r="K615" s="5" cm="1">
        <f t="array" ref="K615">IFERROR(AVERAGE(IF((OutputTable[GroupByKey]=OutputTable[[#This Row],[GroupByKey]]),(OutputTable[GroupByKey]=OutputTable[[#This Row],[GroupByKey]])*OutputTable[RecordedValue])),0)</f>
        <v>39.43333333333333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5.9171482724502509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615" s="5" cm="1">
        <f t="array" ref="O615">MIN(IF((OutputTable[GroupByKey]=OutputTable[[#This Row],[GroupByKey]]),(OutputTable[GroupByKey]=OutputTable[[#This Row],[GroupByKey]])*OutputTable[RecordedValue]))</f>
        <v>26</v>
      </c>
      <c r="P615" s="5" cm="1">
        <f t="array" ref="P615">MAX(IF((OutputTable[GroupByKey]=OutputTable[[#This Row],[GroupByKey]]),(OutputTable[GroupByKey]=OutputTable[[#This Row],[GroupByKey]])*OutputTable[RecordedValue]))</f>
        <v>49</v>
      </c>
    </row>
    <row r="616" spans="1:16" x14ac:dyDescent="0.25">
      <c r="A616" t="s">
        <v>68</v>
      </c>
      <c r="B616" t="s">
        <v>70</v>
      </c>
      <c r="C616">
        <v>25</v>
      </c>
      <c r="D616" t="s">
        <v>125</v>
      </c>
      <c r="E616" t="s">
        <v>112</v>
      </c>
      <c r="F616" t="s">
        <v>81</v>
      </c>
      <c r="G616">
        <v>104.98946457778401</v>
      </c>
      <c r="H616">
        <v>0</v>
      </c>
      <c r="I61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30</v>
      </c>
      <c r="K616" s="5" cm="1">
        <f t="array" ref="K616">IFERROR(AVERAGE(IF((OutputTable[GroupByKey]=OutputTable[[#This Row],[GroupByKey]]),(OutputTable[GroupByKey]=OutputTable[[#This Row],[GroupByKey]])*OutputTable[RecordedValue])),0)</f>
        <v>116.64263458387505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17.825477946659205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616" s="5" cm="1">
        <f t="array" ref="O616">MIN(IF((OutputTable[GroupByKey]=OutputTable[[#This Row],[GroupByKey]]),(OutputTable[GroupByKey]=OutputTable[[#This Row],[GroupByKey]])*OutputTable[RecordedValue]))</f>
        <v>74.976560761710004</v>
      </c>
      <c r="P616" s="5" cm="1">
        <f t="array" ref="P616">MAX(IF((OutputTable[GroupByKey]=OutputTable[[#This Row],[GroupByKey]]),(OutputTable[GroupByKey]=OutputTable[[#This Row],[GroupByKey]])*OutputTable[RecordedValue]))</f>
        <v>145.504156763596</v>
      </c>
    </row>
    <row r="617" spans="1:16" x14ac:dyDescent="0.25">
      <c r="A617" t="s">
        <v>68</v>
      </c>
      <c r="B617" t="s">
        <v>70</v>
      </c>
      <c r="C617">
        <v>25</v>
      </c>
      <c r="D617" t="s">
        <v>126</v>
      </c>
      <c r="E617" t="s">
        <v>114</v>
      </c>
      <c r="F617" t="s">
        <v>81</v>
      </c>
      <c r="G617">
        <v>43.330173051701998</v>
      </c>
      <c r="H617">
        <v>0</v>
      </c>
      <c r="I61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30</v>
      </c>
      <c r="K617" s="5" cm="1">
        <f t="array" ref="K617">IFERROR(AVERAGE(IF((OutputTable[GroupByKey]=OutputTable[[#This Row],[GroupByKey]]),(OutputTable[GroupByKey]=OutputTable[[#This Row],[GroupByKey]])*OutputTable[RecordedValue])),0)</f>
        <v>39.900972800228722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22.922906975864144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617" s="5" cm="1">
        <f t="array" ref="O617">MIN(IF((OutputTable[GroupByKey]=OutputTable[[#This Row],[GroupByKey]]),(OutputTable[GroupByKey]=OutputTable[[#This Row],[GroupByKey]])*OutputTable[RecordedValue]))</f>
        <v>2.1708788192608899</v>
      </c>
      <c r="P617" s="5" cm="1">
        <f t="array" ref="P617">MAX(IF((OutputTable[GroupByKey]=OutputTable[[#This Row],[GroupByKey]]),(OutputTable[GroupByKey]=OutputTable[[#This Row],[GroupByKey]])*OutputTable[RecordedValue]))</f>
        <v>94.9142929398908</v>
      </c>
    </row>
    <row r="618" spans="1:16" x14ac:dyDescent="0.25">
      <c r="A618" t="s">
        <v>68</v>
      </c>
      <c r="B618" t="s">
        <v>70</v>
      </c>
      <c r="C618">
        <v>25</v>
      </c>
      <c r="D618" t="s">
        <v>127</v>
      </c>
      <c r="E618" t="s">
        <v>108</v>
      </c>
      <c r="F618" t="s">
        <v>81</v>
      </c>
      <c r="G618">
        <v>35</v>
      </c>
      <c r="H618">
        <v>0</v>
      </c>
      <c r="I618" s="5" t="str">
        <f>OutputTable[[#This Row],[ProjectName]]&amp;OutputTable[[#This Row],[Name]]&amp;OutputTable[[#This Row],[Type]]&amp;OutputTable[[#This Row],[Source]]</f>
        <v>Pedido CleintesPreparar orden Number InNumber InProcess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30</v>
      </c>
      <c r="K618" s="5" cm="1">
        <f t="array" ref="K618">IFERROR(AVERAGE(IF((OutputTable[GroupByKey]=OutputTable[[#This Row],[GroupByKey]]),(OutputTable[GroupByKey]=OutputTable[[#This Row],[GroupByKey]])*OutputTable[RecordedValue])),0)</f>
        <v>39.666666666666664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6.0477030882540914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18" s="5" cm="1">
        <f t="array" ref="O618">MIN(IF((OutputTable[GroupByKey]=OutputTable[[#This Row],[GroupByKey]]),(OutputTable[GroupByKey]=OutputTable[[#This Row],[GroupByKey]])*OutputTable[RecordedValue]))</f>
        <v>26</v>
      </c>
      <c r="P618" s="5" cm="1">
        <f t="array" ref="P618">MAX(IF((OutputTable[GroupByKey]=OutputTable[[#This Row],[GroupByKey]]),(OutputTable[GroupByKey]=OutputTable[[#This Row],[GroupByKey]])*OutputTable[RecordedValue]))</f>
        <v>49</v>
      </c>
    </row>
    <row r="619" spans="1:16" x14ac:dyDescent="0.25">
      <c r="A619" t="s">
        <v>68</v>
      </c>
      <c r="B619" t="s">
        <v>70</v>
      </c>
      <c r="C619">
        <v>25</v>
      </c>
      <c r="D619" t="s">
        <v>128</v>
      </c>
      <c r="E619" t="s">
        <v>110</v>
      </c>
      <c r="F619" t="s">
        <v>81</v>
      </c>
      <c r="G619">
        <v>35</v>
      </c>
      <c r="H619">
        <v>0</v>
      </c>
      <c r="I619" s="5" t="str">
        <f>OutputTable[[#This Row],[ProjectName]]&amp;OutputTable[[#This Row],[Name]]&amp;OutputTable[[#This Row],[Type]]&amp;OutputTable[[#This Row],[Source]]</f>
        <v>Pedido CleintesPreparar orden Number OutNumber OutProcess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30</v>
      </c>
      <c r="K619" s="5" cm="1">
        <f t="array" ref="K619">IFERROR(AVERAGE(IF((OutputTable[GroupByKey]=OutputTable[[#This Row],[GroupByKey]]),(OutputTable[GroupByKey]=OutputTable[[#This Row],[GroupByKey]])*OutputTable[RecordedValue])),0)</f>
        <v>38.93333333333333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5.9765826548191505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19" s="5" cm="1">
        <f t="array" ref="O619">MIN(IF((OutputTable[GroupByKey]=OutputTable[[#This Row],[GroupByKey]]),(OutputTable[GroupByKey]=OutputTable[[#This Row],[GroupByKey]])*OutputTable[RecordedValue]))</f>
        <v>25</v>
      </c>
      <c r="P619" s="5" cm="1">
        <f t="array" ref="P619">MAX(IF((OutputTable[GroupByKey]=OutputTable[[#This Row],[GroupByKey]]),(OutputTable[GroupByKey]=OutputTable[[#This Row],[GroupByKey]])*OutputTable[RecordedValue]))</f>
        <v>49</v>
      </c>
    </row>
    <row r="620" spans="1:16" x14ac:dyDescent="0.25">
      <c r="A620" t="s">
        <v>68</v>
      </c>
      <c r="B620" t="s">
        <v>70</v>
      </c>
      <c r="C620">
        <v>25</v>
      </c>
      <c r="D620" t="s">
        <v>129</v>
      </c>
      <c r="E620" t="s">
        <v>110</v>
      </c>
      <c r="F620" t="s">
        <v>130</v>
      </c>
      <c r="G620">
        <v>35</v>
      </c>
      <c r="H620">
        <v>0</v>
      </c>
      <c r="I620" s="5" t="str">
        <f>OutputTable[[#This Row],[ProjectName]]&amp;OutputTable[[#This Row],[Name]]&amp;OutputTable[[#This Row],[Type]]&amp;OutputTable[[#This Row],[Source]]</f>
        <v>Pedido CleintesSystem.NumberOutNumber OutSystem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30</v>
      </c>
      <c r="K620" s="5" cm="1">
        <f t="array" ref="K620">IFERROR(AVERAGE(IF((OutputTable[GroupByKey]=OutputTable[[#This Row],[GroupByKey]]),(OutputTable[GroupByKey]=OutputTable[[#This Row],[GroupByKey]])*OutputTable[RecordedValue])),0)</f>
        <v>38.866666666666667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6.0840851369801694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20" s="5" cm="1">
        <f t="array" ref="O620">MIN(IF((OutputTable[GroupByKey]=OutputTable[[#This Row],[GroupByKey]]),(OutputTable[GroupByKey]=OutputTable[[#This Row],[GroupByKey]])*OutputTable[RecordedValue]))</f>
        <v>24</v>
      </c>
      <c r="P620" s="5" cm="1">
        <f t="array" ref="P620">MAX(IF((OutputTable[GroupByKey]=OutputTable[[#This Row],[GroupByKey]]),(OutputTable[GroupByKey]=OutputTable[[#This Row],[GroupByKey]])*OutputTable[RecordedValue]))</f>
        <v>49</v>
      </c>
    </row>
    <row r="621" spans="1:16" x14ac:dyDescent="0.25">
      <c r="A621" t="s">
        <v>68</v>
      </c>
      <c r="B621" t="s">
        <v>70</v>
      </c>
      <c r="C621">
        <v>25</v>
      </c>
      <c r="D621" t="s">
        <v>131</v>
      </c>
      <c r="E621" t="s">
        <v>132</v>
      </c>
      <c r="F621" t="s">
        <v>102</v>
      </c>
      <c r="G621">
        <v>35</v>
      </c>
      <c r="H621">
        <v>0</v>
      </c>
      <c r="I62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30</v>
      </c>
      <c r="K621" s="5" cm="1">
        <f t="array" ref="K621">IFERROR(AVERAGE(IF((OutputTable[GroupByKey]=OutputTable[[#This Row],[GroupByKey]]),(OutputTable[GroupByKey]=OutputTable[[#This Row],[GroupByKey]])*OutputTable[RecordedValue])),0)</f>
        <v>39.4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5.8757244601014422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621" s="5" cm="1">
        <f t="array" ref="O621">MIN(IF((OutputTable[GroupByKey]=OutputTable[[#This Row],[GroupByKey]]),(OutputTable[GroupByKey]=OutputTable[[#This Row],[GroupByKey]])*OutputTable[RecordedValue]))</f>
        <v>26</v>
      </c>
      <c r="P621" s="5" cm="1">
        <f t="array" ref="P621">MAX(IF((OutputTable[GroupByKey]=OutputTable[[#This Row],[GroupByKey]]),(OutputTable[GroupByKey]=OutputTable[[#This Row],[GroupByKey]])*OutputTable[RecordedValue]))</f>
        <v>49</v>
      </c>
    </row>
    <row r="622" spans="1:16" x14ac:dyDescent="0.25">
      <c r="A622" t="s">
        <v>68</v>
      </c>
      <c r="B622" t="s">
        <v>70</v>
      </c>
      <c r="C622">
        <v>25</v>
      </c>
      <c r="D622" t="s">
        <v>133</v>
      </c>
      <c r="E622" t="s">
        <v>134</v>
      </c>
      <c r="F622" t="s">
        <v>102</v>
      </c>
      <c r="G622">
        <v>0.43745610240743199</v>
      </c>
      <c r="H622">
        <v>0</v>
      </c>
      <c r="I62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30</v>
      </c>
      <c r="K622" s="5" cm="1">
        <f t="array" ref="K622">IFERROR(AVERAGE(IF((OutputTable[GroupByKey]=OutputTable[[#This Row],[GroupByKey]]),(OutputTable[GroupByKey]=OutputTable[[#This Row],[GroupByKey]])*OutputTable[RecordedValue])),0)</f>
        <v>0.48891840079317483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7.3627413122013347E-2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622" s="5" cm="1">
        <f t="array" ref="O622">MIN(IF((OutputTable[GroupByKey]=OutputTable[[#This Row],[GroupByKey]]),(OutputTable[GroupByKey]=OutputTable[[#This Row],[GroupByKey]])*OutputTable[RecordedValue]))</f>
        <v>0.31277577999924699</v>
      </c>
      <c r="P622" s="5" cm="1">
        <f t="array" ref="P622">MAX(IF((OutputTable[GroupByKey]=OutputTable[[#This Row],[GroupByKey]]),(OutputTable[GroupByKey]=OutputTable[[#This Row],[GroupByKey]])*OutputTable[RecordedValue]))</f>
        <v>0.60626731984831705</v>
      </c>
    </row>
    <row r="623" spans="1:16" x14ac:dyDescent="0.25">
      <c r="A623" t="s">
        <v>68</v>
      </c>
      <c r="B623" t="s">
        <v>70</v>
      </c>
      <c r="C623">
        <v>25</v>
      </c>
      <c r="D623" t="s">
        <v>135</v>
      </c>
      <c r="E623" t="s">
        <v>132</v>
      </c>
      <c r="F623" t="s">
        <v>102</v>
      </c>
      <c r="G623">
        <v>70</v>
      </c>
      <c r="H623">
        <v>0</v>
      </c>
      <c r="I62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30</v>
      </c>
      <c r="K623" s="5" cm="1">
        <f t="array" ref="K623">IFERROR(AVERAGE(IF((OutputTable[GroupByKey]=OutputTable[[#This Row],[GroupByKey]]),(OutputTable[GroupByKey]=OutputTable[[#This Row],[GroupByKey]])*OutputTable[RecordedValue])),0)</f>
        <v>79.466666666666669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12.016463801753446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623" s="5" cm="1">
        <f t="array" ref="O623">MIN(IF((OutputTable[GroupByKey]=OutputTable[[#This Row],[GroupByKey]]),(OutputTable[GroupByKey]=OutputTable[[#This Row],[GroupByKey]])*OutputTable[RecordedValue]))</f>
        <v>53</v>
      </c>
      <c r="P623" s="5" cm="1">
        <f t="array" ref="P623">MAX(IF((OutputTable[GroupByKey]=OutputTable[[#This Row],[GroupByKey]]),(OutputTable[GroupByKey]=OutputTable[[#This Row],[GroupByKey]])*OutputTable[RecordedValue]))</f>
        <v>98</v>
      </c>
    </row>
    <row r="624" spans="1:16" x14ac:dyDescent="0.25">
      <c r="A624" t="s">
        <v>68</v>
      </c>
      <c r="B624" t="s">
        <v>70</v>
      </c>
      <c r="C624">
        <v>25</v>
      </c>
      <c r="D624" t="s">
        <v>136</v>
      </c>
      <c r="E624" t="s">
        <v>134</v>
      </c>
      <c r="F624" t="s">
        <v>102</v>
      </c>
      <c r="G624">
        <v>0.255420392362321</v>
      </c>
      <c r="H624">
        <v>0</v>
      </c>
      <c r="I62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30</v>
      </c>
      <c r="K624" s="5" cm="1">
        <f t="array" ref="K624">IFERROR(AVERAGE(IF((OutputTable[GroupByKey]=OutputTable[[#This Row],[GroupByKey]]),(OutputTable[GroupByKey]=OutputTable[[#This Row],[GroupByKey]])*OutputTable[RecordedValue])),0)</f>
        <v>0.28976365927997022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4.4748273652133699E-2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624" s="5" cm="1">
        <f t="array" ref="O624">MIN(IF((OutputTable[GroupByKey]=OutputTable[[#This Row],[GroupByKey]]),(OutputTable[GroupByKey]=OutputTable[[#This Row],[GroupByKey]])*OutputTable[RecordedValue]))</f>
        <v>0.194735973294278</v>
      </c>
      <c r="P624" s="5" cm="1">
        <f t="array" ref="P624">MAX(IF((OutputTable[GroupByKey]=OutputTable[[#This Row],[GroupByKey]]),(OutputTable[GroupByKey]=OutputTable[[#This Row],[GroupByKey]])*OutputTable[RecordedValue]))</f>
        <v>0.35775345817659199</v>
      </c>
    </row>
    <row r="625" spans="1:16" x14ac:dyDescent="0.25">
      <c r="A625" t="s">
        <v>68</v>
      </c>
      <c r="B625" t="s">
        <v>70</v>
      </c>
      <c r="C625">
        <v>25</v>
      </c>
      <c r="D625" t="s">
        <v>137</v>
      </c>
      <c r="E625" t="s">
        <v>132</v>
      </c>
      <c r="F625" t="s">
        <v>102</v>
      </c>
      <c r="G625">
        <v>35</v>
      </c>
      <c r="H625">
        <v>0</v>
      </c>
      <c r="I62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30</v>
      </c>
      <c r="K625" s="5" cm="1">
        <f t="array" ref="K625">IFERROR(AVERAGE(IF((OutputTable[GroupByKey]=OutputTable[[#This Row],[GroupByKey]]),(OutputTable[GroupByKey]=OutputTable[[#This Row],[GroupByKey]])*OutputTable[RecordedValue])),0)</f>
        <v>38.93333333333333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5.9765826548191505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25" s="5" cm="1">
        <f t="array" ref="O625">MIN(IF((OutputTable[GroupByKey]=OutputTable[[#This Row],[GroupByKey]]),(OutputTable[GroupByKey]=OutputTable[[#This Row],[GroupByKey]])*OutputTable[RecordedValue]))</f>
        <v>25</v>
      </c>
      <c r="P625" s="5" cm="1">
        <f t="array" ref="P625">MAX(IF((OutputTable[GroupByKey]=OutputTable[[#This Row],[GroupByKey]]),(OutputTable[GroupByKey]=OutputTable[[#This Row],[GroupByKey]])*OutputTable[RecordedValue]))</f>
        <v>49</v>
      </c>
    </row>
    <row r="626" spans="1:16" x14ac:dyDescent="0.25">
      <c r="A626" t="s">
        <v>68</v>
      </c>
      <c r="B626" t="s">
        <v>70</v>
      </c>
      <c r="C626">
        <v>25</v>
      </c>
      <c r="D626" t="s">
        <v>138</v>
      </c>
      <c r="E626" t="s">
        <v>134</v>
      </c>
      <c r="F626" t="s">
        <v>102</v>
      </c>
      <c r="G626">
        <v>6.5695533106301607E-2</v>
      </c>
      <c r="H626">
        <v>0</v>
      </c>
      <c r="I62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30</v>
      </c>
      <c r="K626" s="5" cm="1">
        <f t="array" ref="K626">IFERROR(AVERAGE(IF((OutputTable[GroupByKey]=OutputTable[[#This Row],[GroupByKey]]),(OutputTable[GroupByKey]=OutputTable[[#This Row],[GroupByKey]])*OutputTable[RecordedValue])),0)</f>
        <v>8.2588852761398115E-2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1.3130964022328008E-2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626" s="5" cm="1">
        <f t="array" ref="O626">MIN(IF((OutputTable[GroupByKey]=OutputTable[[#This Row],[GroupByKey]]),(OutputTable[GroupByKey]=OutputTable[[#This Row],[GroupByKey]])*OutputTable[RecordedValue]))</f>
        <v>5.3757894868807901E-2</v>
      </c>
      <c r="P626" s="5" cm="1">
        <f t="array" ref="P626">MAX(IF((OutputTable[GroupByKey]=OutputTable[[#This Row],[GroupByKey]]),(OutputTable[GroupByKey]=OutputTable[[#This Row],[GroupByKey]])*OutputTable[RecordedValue]))</f>
        <v>0.103175045984152</v>
      </c>
    </row>
    <row r="627" spans="1:16" x14ac:dyDescent="0.25">
      <c r="A627" t="s">
        <v>68</v>
      </c>
      <c r="B627" t="s">
        <v>70</v>
      </c>
      <c r="C627">
        <v>26</v>
      </c>
      <c r="D627" t="s">
        <v>107</v>
      </c>
      <c r="E627" t="s">
        <v>108</v>
      </c>
      <c r="F627" t="s">
        <v>73</v>
      </c>
      <c r="G627">
        <v>135</v>
      </c>
      <c r="H627">
        <v>0</v>
      </c>
      <c r="I627" s="5" t="str">
        <f>OutputTable[[#This Row],[ProjectName]]&amp;OutputTable[[#This Row],[Name]]&amp;OutputTable[[#This Row],[Type]]&amp;OutputTable[[#This Row],[Source]]</f>
        <v>Pedido CleintesClientes.NumberInNumber InEntity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30</v>
      </c>
      <c r="K627" s="5" cm="1">
        <f t="array" ref="K627">IFERROR(AVERAGE(IF((OutputTable[GroupByKey]=OutputTable[[#This Row],[GroupByKey]]),(OutputTable[GroupByKey]=OutputTable[[#This Row],[GroupByKey]])*OutputTable[RecordedValue])),0)</f>
        <v>118.5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18.009097317936192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627" s="5" cm="1">
        <f t="array" ref="O627">MIN(IF((OutputTable[GroupByKey]=OutputTable[[#This Row],[GroupByKey]]),(OutputTable[GroupByKey]=OutputTable[[#This Row],[GroupByKey]])*OutputTable[RecordedValue]))</f>
        <v>78</v>
      </c>
      <c r="P627" s="5" cm="1">
        <f t="array" ref="P627">MAX(IF((OutputTable[GroupByKey]=OutputTable[[#This Row],[GroupByKey]]),(OutputTable[GroupByKey]=OutputTable[[#This Row],[GroupByKey]])*OutputTable[RecordedValue]))</f>
        <v>147</v>
      </c>
    </row>
    <row r="628" spans="1:16" x14ac:dyDescent="0.25">
      <c r="A628" t="s">
        <v>68</v>
      </c>
      <c r="B628" t="s">
        <v>70</v>
      </c>
      <c r="C628">
        <v>26</v>
      </c>
      <c r="D628" t="s">
        <v>109</v>
      </c>
      <c r="E628" t="s">
        <v>110</v>
      </c>
      <c r="F628" t="s">
        <v>73</v>
      </c>
      <c r="G628">
        <v>135</v>
      </c>
      <c r="H628">
        <v>0</v>
      </c>
      <c r="I628" s="5" t="str">
        <f>OutputTable[[#This Row],[ProjectName]]&amp;OutputTable[[#This Row],[Name]]&amp;OutputTable[[#This Row],[Type]]&amp;OutputTable[[#This Row],[Source]]</f>
        <v>Pedido CleintesClientes.NumberOutNumber OutEntity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30</v>
      </c>
      <c r="K628" s="5" cm="1">
        <f t="array" ref="K628">IFERROR(AVERAGE(IF((OutputTable[GroupByKey]=OutputTable[[#This Row],[GroupByKey]]),(OutputTable[GroupByKey]=OutputTable[[#This Row],[GroupByKey]])*OutputTable[RecordedValue])),0)</f>
        <v>116.6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18.252255410940514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628" s="5" cm="1">
        <f t="array" ref="O628">MIN(IF((OutputTable[GroupByKey]=OutputTable[[#This Row],[GroupByKey]]),(OutputTable[GroupByKey]=OutputTable[[#This Row],[GroupByKey]])*OutputTable[RecordedValue]))</f>
        <v>72</v>
      </c>
      <c r="P628" s="5" cm="1">
        <f t="array" ref="P628">MAX(IF((OutputTable[GroupByKey]=OutputTable[[#This Row],[GroupByKey]]),(OutputTable[GroupByKey]=OutputTable[[#This Row],[GroupByKey]])*OutputTable[RecordedValue]))</f>
        <v>147</v>
      </c>
    </row>
    <row r="629" spans="1:16" x14ac:dyDescent="0.25">
      <c r="A629" t="s">
        <v>68</v>
      </c>
      <c r="B629" t="s">
        <v>70</v>
      </c>
      <c r="C629">
        <v>26</v>
      </c>
      <c r="D629" t="s">
        <v>111</v>
      </c>
      <c r="E629" t="s">
        <v>112</v>
      </c>
      <c r="F629" t="s">
        <v>81</v>
      </c>
      <c r="G629">
        <v>23.5358817009656</v>
      </c>
      <c r="H629">
        <v>0</v>
      </c>
      <c r="I62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30</v>
      </c>
      <c r="K629" s="5" cm="1">
        <f t="array" ref="K629">IFERROR(AVERAGE(IF((OutputTable[GroupByKey]=OutputTable[[#This Row],[GroupByKey]]),(OutputTable[GroupByKey]=OutputTable[[#This Row],[GroupByKey]])*OutputTable[RecordedValue])),0)</f>
        <v>19.806808580201274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3.1624794742170024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629" s="5" cm="1">
        <f t="array" ref="O629">MIN(IF((OutputTable[GroupByKey]=OutputTable[[#This Row],[GroupByKey]]),(OutputTable[GroupByKey]=OutputTable[[#This Row],[GroupByKey]])*OutputTable[RecordedValue]))</f>
        <v>12.812268330404599</v>
      </c>
      <c r="P629" s="5" cm="1">
        <f t="array" ref="P629">MAX(IF((OutputTable[GroupByKey]=OutputTable[[#This Row],[GroupByKey]]),(OutputTable[GroupByKey]=OutputTable[[#This Row],[GroupByKey]])*OutputTable[RecordedValue]))</f>
        <v>24.762011036196501</v>
      </c>
    </row>
    <row r="630" spans="1:16" x14ac:dyDescent="0.25">
      <c r="A630" t="s">
        <v>68</v>
      </c>
      <c r="B630" t="s">
        <v>70</v>
      </c>
      <c r="C630">
        <v>26</v>
      </c>
      <c r="D630" t="s">
        <v>113</v>
      </c>
      <c r="E630" t="s">
        <v>114</v>
      </c>
      <c r="F630" t="s">
        <v>81</v>
      </c>
      <c r="G630">
        <v>0</v>
      </c>
      <c r="H630">
        <v>0</v>
      </c>
      <c r="I63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30</v>
      </c>
      <c r="K630" s="5" cm="1">
        <f t="array" ref="K630">IFERROR(AVERAGE(IF((OutputTable[GroupByKey]=OutputTable[[#This Row],[GroupByKey]]),(OutputTable[GroupByKey]=OutputTable[[#This Row],[GroupByKey]])*OutputTable[RecordedValue])),0)</f>
        <v>0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0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0" s="5" cm="1">
        <f t="array" ref="O630">MIN(IF((OutputTable[GroupByKey]=OutputTable[[#This Row],[GroupByKey]]),(OutputTable[GroupByKey]=OutputTable[[#This Row],[GroupByKey]])*OutputTable[RecordedValue]))</f>
        <v>0</v>
      </c>
      <c r="P630" s="5" cm="1">
        <f t="array" ref="P630">MAX(IF((OutputTable[GroupByKey]=OutputTable[[#This Row],[GroupByKey]]),(OutputTable[GroupByKey]=OutputTable[[#This Row],[GroupByKey]])*OutputTable[RecordedValue]))</f>
        <v>0</v>
      </c>
    </row>
    <row r="631" spans="1:16" x14ac:dyDescent="0.25">
      <c r="A631" t="s">
        <v>68</v>
      </c>
      <c r="B631" t="s">
        <v>70</v>
      </c>
      <c r="C631">
        <v>26</v>
      </c>
      <c r="D631" t="s">
        <v>115</v>
      </c>
      <c r="E631" t="s">
        <v>108</v>
      </c>
      <c r="F631" t="s">
        <v>81</v>
      </c>
      <c r="G631">
        <v>45</v>
      </c>
      <c r="H631">
        <v>0</v>
      </c>
      <c r="I63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30</v>
      </c>
      <c r="K631" s="5" cm="1">
        <f t="array" ref="K631">IFERROR(AVERAGE(IF((OutputTable[GroupByKey]=OutputTable[[#This Row],[GroupByKey]]),(OutputTable[GroupByKey]=OutputTable[[#This Row],[GroupByKey]])*OutputTable[RecordedValue])),0)</f>
        <v>38.93333333333333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5.9765826548191505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31" s="5" cm="1">
        <f t="array" ref="O631">MIN(IF((OutputTable[GroupByKey]=OutputTable[[#This Row],[GroupByKey]]),(OutputTable[GroupByKey]=OutputTable[[#This Row],[GroupByKey]])*OutputTable[RecordedValue]))</f>
        <v>25</v>
      </c>
      <c r="P631" s="5" cm="1">
        <f t="array" ref="P631">MAX(IF((OutputTable[GroupByKey]=OutputTable[[#This Row],[GroupByKey]]),(OutputTable[GroupByKey]=OutputTable[[#This Row],[GroupByKey]])*OutputTable[RecordedValue]))</f>
        <v>49</v>
      </c>
    </row>
    <row r="632" spans="1:16" x14ac:dyDescent="0.25">
      <c r="A632" t="s">
        <v>68</v>
      </c>
      <c r="B632" t="s">
        <v>70</v>
      </c>
      <c r="C632">
        <v>26</v>
      </c>
      <c r="D632" t="s">
        <v>116</v>
      </c>
      <c r="E632" t="s">
        <v>110</v>
      </c>
      <c r="F632" t="s">
        <v>81</v>
      </c>
      <c r="G632">
        <v>45</v>
      </c>
      <c r="H632">
        <v>0</v>
      </c>
      <c r="I6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30</v>
      </c>
      <c r="K632" s="5" cm="1">
        <f t="array" ref="K632">IFERROR(AVERAGE(IF((OutputTable[GroupByKey]=OutputTable[[#This Row],[GroupByKey]]),(OutputTable[GroupByKey]=OutputTable[[#This Row],[GroupByKey]])*OutputTable[RecordedValue])),0)</f>
        <v>38.866666666666667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6.0840851369801694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32" s="5" cm="1">
        <f t="array" ref="O632">MIN(IF((OutputTable[GroupByKey]=OutputTable[[#This Row],[GroupByKey]]),(OutputTable[GroupByKey]=OutputTable[[#This Row],[GroupByKey]])*OutputTable[RecordedValue]))</f>
        <v>24</v>
      </c>
      <c r="P632" s="5" cm="1">
        <f t="array" ref="P632">MAX(IF((OutputTable[GroupByKey]=OutputTable[[#This Row],[GroupByKey]]),(OutputTable[GroupByKey]=OutputTable[[#This Row],[GroupByKey]])*OutputTable[RecordedValue]))</f>
        <v>49</v>
      </c>
    </row>
    <row r="633" spans="1:16" x14ac:dyDescent="0.25">
      <c r="A633" t="s">
        <v>68</v>
      </c>
      <c r="B633" t="s">
        <v>70</v>
      </c>
      <c r="C633">
        <v>26</v>
      </c>
      <c r="D633" t="s">
        <v>117</v>
      </c>
      <c r="E633" t="s">
        <v>112</v>
      </c>
      <c r="F633" t="s">
        <v>81</v>
      </c>
      <c r="G633">
        <v>46.278859364089598</v>
      </c>
      <c r="H633">
        <v>0</v>
      </c>
      <c r="I633" s="5" t="str">
        <f>OutputTable[[#This Row],[ProjectName]]&amp;OutputTable[[#This Row],[Name]]&amp;OutputTable[[#This Row],[Type]]&amp;OutputTable[[#This Row],[Source]]</f>
        <v>Pedido CleintesOrdnes Accum VA TimeAccum VA TimeProcess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30</v>
      </c>
      <c r="K633" s="5" cm="1">
        <f t="array" ref="K633">IFERROR(AVERAGE(IF((OutputTable[GroupByKey]=OutputTable[[#This Row],[GroupByKey]]),(OutputTable[GroupByKey]=OutputTable[[#This Row],[GroupByKey]])*OutputTable[RecordedValue])),0)</f>
        <v>39.878126992056487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6.1068580319474277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633" s="5" cm="1">
        <f t="array" ref="O633">MIN(IF((OutputTable[GroupByKey]=OutputTable[[#This Row],[GroupByKey]]),(OutputTable[GroupByKey]=OutputTable[[#This Row],[GroupByKey]])*OutputTable[RecordedValue]))</f>
        <v>26.106281767804099</v>
      </c>
      <c r="P633" s="5" cm="1">
        <f t="array" ref="P633">MAX(IF((OutputTable[GroupByKey]=OutputTable[[#This Row],[GroupByKey]]),(OutputTable[GroupByKey]=OutputTable[[#This Row],[GroupByKey]])*OutputTable[RecordedValue]))</f>
        <v>48.706388790541098</v>
      </c>
    </row>
    <row r="634" spans="1:16" x14ac:dyDescent="0.25">
      <c r="A634" t="s">
        <v>68</v>
      </c>
      <c r="B634" t="s">
        <v>70</v>
      </c>
      <c r="C634">
        <v>26</v>
      </c>
      <c r="D634" t="s">
        <v>118</v>
      </c>
      <c r="E634" t="s">
        <v>114</v>
      </c>
      <c r="F634" t="s">
        <v>81</v>
      </c>
      <c r="G634">
        <v>15.8230661547579</v>
      </c>
      <c r="H634">
        <v>0</v>
      </c>
      <c r="I6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30</v>
      </c>
      <c r="K634" s="5" cm="1">
        <f t="array" ref="K634">IFERROR(AVERAGE(IF((OutputTable[GroupByKey]=OutputTable[[#This Row],[GroupByKey]]),(OutputTable[GroupByKey]=OutputTable[[#This Row],[GroupByKey]])*OutputTable[RecordedValue])),0)</f>
        <v>7.9804799821754404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4.8950382198155014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634" s="5" cm="1">
        <f t="array" ref="O634">MIN(IF((OutputTable[GroupByKey]=OutputTable[[#This Row],[GroupByKey]]),(OutputTable[GroupByKey]=OutputTable[[#This Row],[GroupByKey]])*OutputTable[RecordedValue]))</f>
        <v>0</v>
      </c>
      <c r="P634" s="5" cm="1">
        <f t="array" ref="P634">MAX(IF((OutputTable[GroupByKey]=OutputTable[[#This Row],[GroupByKey]]),(OutputTable[GroupByKey]=OutputTable[[#This Row],[GroupByKey]])*OutputTable[RecordedValue]))</f>
        <v>18.843855117811401</v>
      </c>
    </row>
    <row r="635" spans="1:16" x14ac:dyDescent="0.25">
      <c r="A635" t="s">
        <v>68</v>
      </c>
      <c r="B635" t="s">
        <v>70</v>
      </c>
      <c r="C635">
        <v>26</v>
      </c>
      <c r="D635" t="s">
        <v>119</v>
      </c>
      <c r="E635" t="s">
        <v>108</v>
      </c>
      <c r="F635" t="s">
        <v>81</v>
      </c>
      <c r="G635">
        <v>45</v>
      </c>
      <c r="H635">
        <v>0</v>
      </c>
      <c r="I635" s="5" t="str">
        <f>OutputTable[[#This Row],[ProjectName]]&amp;OutputTable[[#This Row],[Name]]&amp;OutputTable[[#This Row],[Type]]&amp;OutputTable[[#This Row],[Source]]</f>
        <v>Pedido CleintesOrdnes Number InNumber InProcess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30</v>
      </c>
      <c r="K635" s="5" cm="1">
        <f t="array" ref="K635">IFERROR(AVERAGE(IF((OutputTable[GroupByKey]=OutputTable[[#This Row],[GroupByKey]]),(OutputTable[GroupByKey]=OutputTable[[#This Row],[GroupByKey]])*OutputTable[RecordedValue])),0)</f>
        <v>39.9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6.0648791101463475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635" s="5" cm="1">
        <f t="array" ref="O635">MIN(IF((OutputTable[GroupByKey]=OutputTable[[#This Row],[GroupByKey]]),(OutputTable[GroupByKey]=OutputTable[[#This Row],[GroupByKey]])*OutputTable[RecordedValue]))</f>
        <v>27</v>
      </c>
      <c r="P635" s="5" cm="1">
        <f t="array" ref="P635">MAX(IF((OutputTable[GroupByKey]=OutputTable[[#This Row],[GroupByKey]]),(OutputTable[GroupByKey]=OutputTable[[#This Row],[GroupByKey]])*OutputTable[RecordedValue]))</f>
        <v>49</v>
      </c>
    </row>
    <row r="636" spans="1:16" x14ac:dyDescent="0.25">
      <c r="A636" t="s">
        <v>68</v>
      </c>
      <c r="B636" t="s">
        <v>70</v>
      </c>
      <c r="C636">
        <v>26</v>
      </c>
      <c r="D636" t="s">
        <v>120</v>
      </c>
      <c r="E636" t="s">
        <v>110</v>
      </c>
      <c r="F636" t="s">
        <v>81</v>
      </c>
      <c r="G636">
        <v>45</v>
      </c>
      <c r="H636">
        <v>0</v>
      </c>
      <c r="I636" s="5" t="str">
        <f>OutputTable[[#This Row],[ProjectName]]&amp;OutputTable[[#This Row],[Name]]&amp;OutputTable[[#This Row],[Type]]&amp;OutputTable[[#This Row],[Source]]</f>
        <v>Pedido CleintesOrdnes Number OutNumber OutProcess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30</v>
      </c>
      <c r="K636" s="5" cm="1">
        <f t="array" ref="K636">IFERROR(AVERAGE(IF((OutputTable[GroupByKey]=OutputTable[[#This Row],[GroupByKey]]),(OutputTable[GroupByKey]=OutputTable[[#This Row],[GroupByKey]])*OutputTable[RecordedValue])),0)</f>
        <v>39.666666666666664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6.0477030882540914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36" s="5" cm="1">
        <f t="array" ref="O636">MIN(IF((OutputTable[GroupByKey]=OutputTable[[#This Row],[GroupByKey]]),(OutputTable[GroupByKey]=OutputTable[[#This Row],[GroupByKey]])*OutputTable[RecordedValue]))</f>
        <v>26</v>
      </c>
      <c r="P636" s="5" cm="1">
        <f t="array" ref="P636">MAX(IF((OutputTable[GroupByKey]=OutputTable[[#This Row],[GroupByKey]]),(OutputTable[GroupByKey]=OutputTable[[#This Row],[GroupByKey]])*OutputTable[RecordedValue]))</f>
        <v>49</v>
      </c>
    </row>
    <row r="637" spans="1:16" x14ac:dyDescent="0.25">
      <c r="A637" t="s">
        <v>68</v>
      </c>
      <c r="B637" t="s">
        <v>70</v>
      </c>
      <c r="C637">
        <v>26</v>
      </c>
      <c r="D637" t="s">
        <v>121</v>
      </c>
      <c r="E637" t="s">
        <v>112</v>
      </c>
      <c r="F637" t="s">
        <v>81</v>
      </c>
      <c r="G637">
        <v>37.056974462114901</v>
      </c>
      <c r="H637">
        <v>0</v>
      </c>
      <c r="I637" s="5" t="str">
        <f>OutputTable[[#This Row],[ProjectName]]&amp;OutputTable[[#This Row],[Name]]&amp;OutputTable[[#This Row],[Type]]&amp;OutputTable[[#This Row],[Source]]</f>
        <v>Pedido CleintesPago Accum VA TimeAccum VA TimeProcess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30</v>
      </c>
      <c r="K637" s="5" cm="1">
        <f t="array" ref="K637">IFERROR(AVERAGE(IF((OutputTable[GroupByKey]=OutputTable[[#This Row],[GroupByKey]]),(OutputTable[GroupByKey]=OutputTable[[#This Row],[GroupByKey]])*OutputTable[RecordedValue])),0)</f>
        <v>29.486262713858675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4.747176664010901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637" s="5" cm="1">
        <f t="array" ref="O637">MIN(IF((OutputTable[GroupByKey]=OutputTable[[#This Row],[GroupByKey]]),(OutputTable[GroupByKey]=OutputTable[[#This Row],[GroupByKey]])*OutputTable[RecordedValue]))</f>
        <v>19.573210250889101</v>
      </c>
      <c r="P637" s="5" cm="1">
        <f t="array" ref="P637">MAX(IF((OutputTable[GroupByKey]=OutputTable[[#This Row],[GroupByKey]]),(OutputTable[GroupByKey]=OutputTable[[#This Row],[GroupByKey]])*OutputTable[RecordedValue]))</f>
        <v>37.056974462114901</v>
      </c>
    </row>
    <row r="638" spans="1:16" x14ac:dyDescent="0.25">
      <c r="A638" t="s">
        <v>68</v>
      </c>
      <c r="B638" t="s">
        <v>70</v>
      </c>
      <c r="C638">
        <v>26</v>
      </c>
      <c r="D638" t="s">
        <v>122</v>
      </c>
      <c r="E638" t="s">
        <v>114</v>
      </c>
      <c r="F638" t="s">
        <v>81</v>
      </c>
      <c r="G638">
        <v>26.260860359514201</v>
      </c>
      <c r="H638">
        <v>0</v>
      </c>
      <c r="I6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30</v>
      </c>
      <c r="K638" s="5" cm="1">
        <f t="array" ref="K638">IFERROR(AVERAGE(IF((OutputTable[GroupByKey]=OutputTable[[#This Row],[GroupByKey]]),(OutputTable[GroupByKey]=OutputTable[[#This Row],[GroupByKey]])*OutputTable[RecordedValue])),0)</f>
        <v>13.025761997568024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7.8467935605388783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638" s="5" cm="1">
        <f t="array" ref="O638">MIN(IF((OutputTable[GroupByKey]=OutputTable[[#This Row],[GroupByKey]]),(OutputTable[GroupByKey]=OutputTable[[#This Row],[GroupByKey]])*OutputTable[RecordedValue]))</f>
        <v>0</v>
      </c>
      <c r="P638" s="5" cm="1">
        <f t="array" ref="P638">MAX(IF((OutputTable[GroupByKey]=OutputTable[[#This Row],[GroupByKey]]),(OutputTable[GroupByKey]=OutputTable[[#This Row],[GroupByKey]])*OutputTable[RecordedValue]))</f>
        <v>32.770863925850499</v>
      </c>
    </row>
    <row r="639" spans="1:16" x14ac:dyDescent="0.25">
      <c r="A639" t="s">
        <v>68</v>
      </c>
      <c r="B639" t="s">
        <v>70</v>
      </c>
      <c r="C639">
        <v>26</v>
      </c>
      <c r="D639" t="s">
        <v>123</v>
      </c>
      <c r="E639" t="s">
        <v>108</v>
      </c>
      <c r="F639" t="s">
        <v>81</v>
      </c>
      <c r="G639">
        <v>45</v>
      </c>
      <c r="H639">
        <v>0</v>
      </c>
      <c r="I639" s="5" t="str">
        <f>OutputTable[[#This Row],[ProjectName]]&amp;OutputTable[[#This Row],[Name]]&amp;OutputTable[[#This Row],[Type]]&amp;OutputTable[[#This Row],[Source]]</f>
        <v>Pedido CleintesPago Number InNumber InProcess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30</v>
      </c>
      <c r="K639" s="5" cm="1">
        <f t="array" ref="K639">IFERROR(AVERAGE(IF((OutputTable[GroupByKey]=OutputTable[[#This Row],[GroupByKey]]),(OutputTable[GroupByKey]=OutputTable[[#This Row],[GroupByKey]])*OutputTable[RecordedValue])),0)</f>
        <v>39.666666666666664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6.0477030882540914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39" s="5" cm="1">
        <f t="array" ref="O639">MIN(IF((OutputTable[GroupByKey]=OutputTable[[#This Row],[GroupByKey]]),(OutputTable[GroupByKey]=OutputTable[[#This Row],[GroupByKey]])*OutputTable[RecordedValue]))</f>
        <v>26</v>
      </c>
      <c r="P639" s="5" cm="1">
        <f t="array" ref="P639">MAX(IF((OutputTable[GroupByKey]=OutputTable[[#This Row],[GroupByKey]]),(OutputTable[GroupByKey]=OutputTable[[#This Row],[GroupByKey]])*OutputTable[RecordedValue]))</f>
        <v>49</v>
      </c>
    </row>
    <row r="640" spans="1:16" x14ac:dyDescent="0.25">
      <c r="A640" t="s">
        <v>68</v>
      </c>
      <c r="B640" t="s">
        <v>70</v>
      </c>
      <c r="C640">
        <v>26</v>
      </c>
      <c r="D640" t="s">
        <v>124</v>
      </c>
      <c r="E640" t="s">
        <v>110</v>
      </c>
      <c r="F640" t="s">
        <v>81</v>
      </c>
      <c r="G640">
        <v>45</v>
      </c>
      <c r="H640">
        <v>0</v>
      </c>
      <c r="I640" s="5" t="str">
        <f>OutputTable[[#This Row],[ProjectName]]&amp;OutputTable[[#This Row],[Name]]&amp;OutputTable[[#This Row],[Type]]&amp;OutputTable[[#This Row],[Source]]</f>
        <v>Pedido CleintesPago Number OutNumber OutProcess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30</v>
      </c>
      <c r="K640" s="5" cm="1">
        <f t="array" ref="K640">IFERROR(AVERAGE(IF((OutputTable[GroupByKey]=OutputTable[[#This Row],[GroupByKey]]),(OutputTable[GroupByKey]=OutputTable[[#This Row],[GroupByKey]])*OutputTable[RecordedValue])),0)</f>
        <v>39.43333333333333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5.9171482724502509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640" s="5" cm="1">
        <f t="array" ref="O640">MIN(IF((OutputTable[GroupByKey]=OutputTable[[#This Row],[GroupByKey]]),(OutputTable[GroupByKey]=OutputTable[[#This Row],[GroupByKey]])*OutputTable[RecordedValue]))</f>
        <v>26</v>
      </c>
      <c r="P640" s="5" cm="1">
        <f t="array" ref="P640">MAX(IF((OutputTable[GroupByKey]=OutputTable[[#This Row],[GroupByKey]]),(OutputTable[GroupByKey]=OutputTable[[#This Row],[GroupByKey]])*OutputTable[RecordedValue]))</f>
        <v>49</v>
      </c>
    </row>
    <row r="641" spans="1:16" x14ac:dyDescent="0.25">
      <c r="A641" t="s">
        <v>68</v>
      </c>
      <c r="B641" t="s">
        <v>70</v>
      </c>
      <c r="C641">
        <v>26</v>
      </c>
      <c r="D641" t="s">
        <v>125</v>
      </c>
      <c r="E641" t="s">
        <v>112</v>
      </c>
      <c r="F641" t="s">
        <v>81</v>
      </c>
      <c r="G641">
        <v>133.50488499346801</v>
      </c>
      <c r="H641">
        <v>0</v>
      </c>
      <c r="I6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30</v>
      </c>
      <c r="K641" s="5" cm="1">
        <f t="array" ref="K641">IFERROR(AVERAGE(IF((OutputTable[GroupByKey]=OutputTable[[#This Row],[GroupByKey]]),(OutputTable[GroupByKey]=OutputTable[[#This Row],[GroupByKey]])*OutputTable[RecordedValue])),0)</f>
        <v>116.64263458387505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17.825477946659205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641" s="5" cm="1">
        <f t="array" ref="O641">MIN(IF((OutputTable[GroupByKey]=OutputTable[[#This Row],[GroupByKey]]),(OutputTable[GroupByKey]=OutputTable[[#This Row],[GroupByKey]])*OutputTable[RecordedValue]))</f>
        <v>74.976560761710004</v>
      </c>
      <c r="P641" s="5" cm="1">
        <f t="array" ref="P641">MAX(IF((OutputTable[GroupByKey]=OutputTable[[#This Row],[GroupByKey]]),(OutputTable[GroupByKey]=OutputTable[[#This Row],[GroupByKey]])*OutputTable[RecordedValue]))</f>
        <v>145.504156763596</v>
      </c>
    </row>
    <row r="642" spans="1:16" x14ac:dyDescent="0.25">
      <c r="A642" t="s">
        <v>68</v>
      </c>
      <c r="B642" t="s">
        <v>70</v>
      </c>
      <c r="C642">
        <v>26</v>
      </c>
      <c r="D642" t="s">
        <v>126</v>
      </c>
      <c r="E642" t="s">
        <v>114</v>
      </c>
      <c r="F642" t="s">
        <v>81</v>
      </c>
      <c r="G642">
        <v>74.933645241684602</v>
      </c>
      <c r="H642">
        <v>0</v>
      </c>
      <c r="I6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30</v>
      </c>
      <c r="K642" s="5" cm="1">
        <f t="array" ref="K642">IFERROR(AVERAGE(IF((OutputTable[GroupByKey]=OutputTable[[#This Row],[GroupByKey]]),(OutputTable[GroupByKey]=OutputTable[[#This Row],[GroupByKey]])*OutputTable[RecordedValue])),0)</f>
        <v>39.900972800228722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22.922906975864144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642" s="5" cm="1">
        <f t="array" ref="O642">MIN(IF((OutputTable[GroupByKey]=OutputTable[[#This Row],[GroupByKey]]),(OutputTable[GroupByKey]=OutputTable[[#This Row],[GroupByKey]])*OutputTable[RecordedValue]))</f>
        <v>2.1708788192608899</v>
      </c>
      <c r="P642" s="5" cm="1">
        <f t="array" ref="P642">MAX(IF((OutputTable[GroupByKey]=OutputTable[[#This Row],[GroupByKey]]),(OutputTable[GroupByKey]=OutputTable[[#This Row],[GroupByKey]])*OutputTable[RecordedValue]))</f>
        <v>94.9142929398908</v>
      </c>
    </row>
    <row r="643" spans="1:16" x14ac:dyDescent="0.25">
      <c r="A643" t="s">
        <v>68</v>
      </c>
      <c r="B643" t="s">
        <v>70</v>
      </c>
      <c r="C643">
        <v>26</v>
      </c>
      <c r="D643" t="s">
        <v>127</v>
      </c>
      <c r="E643" t="s">
        <v>108</v>
      </c>
      <c r="F643" t="s">
        <v>81</v>
      </c>
      <c r="G643">
        <v>45</v>
      </c>
      <c r="H643">
        <v>0</v>
      </c>
      <c r="I643" s="5" t="str">
        <f>OutputTable[[#This Row],[ProjectName]]&amp;OutputTable[[#This Row],[Name]]&amp;OutputTable[[#This Row],[Type]]&amp;OutputTable[[#This Row],[Source]]</f>
        <v>Pedido CleintesPreparar orden Number InNumber InProcess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30</v>
      </c>
      <c r="K643" s="5" cm="1">
        <f t="array" ref="K643">IFERROR(AVERAGE(IF((OutputTable[GroupByKey]=OutputTable[[#This Row],[GroupByKey]]),(OutputTable[GroupByKey]=OutputTable[[#This Row],[GroupByKey]])*OutputTable[RecordedValue])),0)</f>
        <v>39.666666666666664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6.0477030882540914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43" s="5" cm="1">
        <f t="array" ref="O643">MIN(IF((OutputTable[GroupByKey]=OutputTable[[#This Row],[GroupByKey]]),(OutputTable[GroupByKey]=OutputTable[[#This Row],[GroupByKey]])*OutputTable[RecordedValue]))</f>
        <v>26</v>
      </c>
      <c r="P643" s="5" cm="1">
        <f t="array" ref="P643">MAX(IF((OutputTable[GroupByKey]=OutputTable[[#This Row],[GroupByKey]]),(OutputTable[GroupByKey]=OutputTable[[#This Row],[GroupByKey]])*OutputTable[RecordedValue]))</f>
        <v>49</v>
      </c>
    </row>
    <row r="644" spans="1:16" x14ac:dyDescent="0.25">
      <c r="A644" t="s">
        <v>68</v>
      </c>
      <c r="B644" t="s">
        <v>70</v>
      </c>
      <c r="C644">
        <v>26</v>
      </c>
      <c r="D644" t="s">
        <v>128</v>
      </c>
      <c r="E644" t="s">
        <v>110</v>
      </c>
      <c r="F644" t="s">
        <v>81</v>
      </c>
      <c r="G644">
        <v>45</v>
      </c>
      <c r="H644">
        <v>0</v>
      </c>
      <c r="I6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30</v>
      </c>
      <c r="K644" s="5" cm="1">
        <f t="array" ref="K644">IFERROR(AVERAGE(IF((OutputTable[GroupByKey]=OutputTable[[#This Row],[GroupByKey]]),(OutputTable[GroupByKey]=OutputTable[[#This Row],[GroupByKey]])*OutputTable[RecordedValue])),0)</f>
        <v>38.93333333333333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5.9765826548191505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44" s="5" cm="1">
        <f t="array" ref="O644">MIN(IF((OutputTable[GroupByKey]=OutputTable[[#This Row],[GroupByKey]]),(OutputTable[GroupByKey]=OutputTable[[#This Row],[GroupByKey]])*OutputTable[RecordedValue]))</f>
        <v>25</v>
      </c>
      <c r="P644" s="5" cm="1">
        <f t="array" ref="P644">MAX(IF((OutputTable[GroupByKey]=OutputTable[[#This Row],[GroupByKey]]),(OutputTable[GroupByKey]=OutputTable[[#This Row],[GroupByKey]])*OutputTable[RecordedValue]))</f>
        <v>49</v>
      </c>
    </row>
    <row r="645" spans="1:16" x14ac:dyDescent="0.25">
      <c r="A645" t="s">
        <v>68</v>
      </c>
      <c r="B645" t="s">
        <v>70</v>
      </c>
      <c r="C645">
        <v>26</v>
      </c>
      <c r="D645" t="s">
        <v>129</v>
      </c>
      <c r="E645" t="s">
        <v>110</v>
      </c>
      <c r="F645" t="s">
        <v>130</v>
      </c>
      <c r="G645">
        <v>45</v>
      </c>
      <c r="H645">
        <v>0</v>
      </c>
      <c r="I645" s="5" t="str">
        <f>OutputTable[[#This Row],[ProjectName]]&amp;OutputTable[[#This Row],[Name]]&amp;OutputTable[[#This Row],[Type]]&amp;OutputTable[[#This Row],[Source]]</f>
        <v>Pedido CleintesSystem.NumberOutNumber OutSystem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30</v>
      </c>
      <c r="K645" s="5" cm="1">
        <f t="array" ref="K645">IFERROR(AVERAGE(IF((OutputTable[GroupByKey]=OutputTable[[#This Row],[GroupByKey]]),(OutputTable[GroupByKey]=OutputTable[[#This Row],[GroupByKey]])*OutputTable[RecordedValue])),0)</f>
        <v>38.866666666666667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6.0840851369801694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45" s="5" cm="1">
        <f t="array" ref="O645">MIN(IF((OutputTable[GroupByKey]=OutputTable[[#This Row],[GroupByKey]]),(OutputTable[GroupByKey]=OutputTable[[#This Row],[GroupByKey]])*OutputTable[RecordedValue]))</f>
        <v>24</v>
      </c>
      <c r="P645" s="5" cm="1">
        <f t="array" ref="P645">MAX(IF((OutputTable[GroupByKey]=OutputTable[[#This Row],[GroupByKey]]),(OutputTable[GroupByKey]=OutputTable[[#This Row],[GroupByKey]])*OutputTable[RecordedValue]))</f>
        <v>49</v>
      </c>
    </row>
    <row r="646" spans="1:16" x14ac:dyDescent="0.25">
      <c r="A646" t="s">
        <v>68</v>
      </c>
      <c r="B646" t="s">
        <v>70</v>
      </c>
      <c r="C646">
        <v>26</v>
      </c>
      <c r="D646" t="s">
        <v>131</v>
      </c>
      <c r="E646" t="s">
        <v>132</v>
      </c>
      <c r="F646" t="s">
        <v>102</v>
      </c>
      <c r="G646">
        <v>45</v>
      </c>
      <c r="H646">
        <v>0</v>
      </c>
      <c r="I6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30</v>
      </c>
      <c r="K646" s="5" cm="1">
        <f t="array" ref="K646">IFERROR(AVERAGE(IF((OutputTable[GroupByKey]=OutputTable[[#This Row],[GroupByKey]]),(OutputTable[GroupByKey]=OutputTable[[#This Row],[GroupByKey]])*OutputTable[RecordedValue])),0)</f>
        <v>39.4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5.8757244601014422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646" s="5" cm="1">
        <f t="array" ref="O646">MIN(IF((OutputTable[GroupByKey]=OutputTable[[#This Row],[GroupByKey]]),(OutputTable[GroupByKey]=OutputTable[[#This Row],[GroupByKey]])*OutputTable[RecordedValue]))</f>
        <v>26</v>
      </c>
      <c r="P646" s="5" cm="1">
        <f t="array" ref="P646">MAX(IF((OutputTable[GroupByKey]=OutputTable[[#This Row],[GroupByKey]]),(OutputTable[GroupByKey]=OutputTable[[#This Row],[GroupByKey]])*OutputTable[RecordedValue]))</f>
        <v>49</v>
      </c>
    </row>
    <row r="647" spans="1:16" x14ac:dyDescent="0.25">
      <c r="A647" t="s">
        <v>68</v>
      </c>
      <c r="B647" t="s">
        <v>70</v>
      </c>
      <c r="C647">
        <v>26</v>
      </c>
      <c r="D647" t="s">
        <v>133</v>
      </c>
      <c r="E647" t="s">
        <v>134</v>
      </c>
      <c r="F647" t="s">
        <v>102</v>
      </c>
      <c r="G647">
        <v>0.55627035413945203</v>
      </c>
      <c r="H647">
        <v>0</v>
      </c>
      <c r="I6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30</v>
      </c>
      <c r="K647" s="5" cm="1">
        <f t="array" ref="K647">IFERROR(AVERAGE(IF((OutputTable[GroupByKey]=OutputTable[[#This Row],[GroupByKey]]),(OutputTable[GroupByKey]=OutputTable[[#This Row],[GroupByKey]])*OutputTable[RecordedValue])),0)</f>
        <v>0.48891840079317483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7.3627413122013347E-2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647" s="5" cm="1">
        <f t="array" ref="O647">MIN(IF((OutputTable[GroupByKey]=OutputTable[[#This Row],[GroupByKey]]),(OutputTable[GroupByKey]=OutputTable[[#This Row],[GroupByKey]])*OutputTable[RecordedValue]))</f>
        <v>0.31277577999924699</v>
      </c>
      <c r="P647" s="5" cm="1">
        <f t="array" ref="P647">MAX(IF((OutputTable[GroupByKey]=OutputTable[[#This Row],[GroupByKey]]),(OutputTable[GroupByKey]=OutputTable[[#This Row],[GroupByKey]])*OutputTable[RecordedValue]))</f>
        <v>0.60626731984831705</v>
      </c>
    </row>
    <row r="648" spans="1:16" x14ac:dyDescent="0.25">
      <c r="A648" t="s">
        <v>68</v>
      </c>
      <c r="B648" t="s">
        <v>70</v>
      </c>
      <c r="C648">
        <v>26</v>
      </c>
      <c r="D648" t="s">
        <v>135</v>
      </c>
      <c r="E648" t="s">
        <v>132</v>
      </c>
      <c r="F648" t="s">
        <v>102</v>
      </c>
      <c r="G648">
        <v>90</v>
      </c>
      <c r="H648">
        <v>0</v>
      </c>
      <c r="I6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30</v>
      </c>
      <c r="K648" s="5" cm="1">
        <f t="array" ref="K648">IFERROR(AVERAGE(IF((OutputTable[GroupByKey]=OutputTable[[#This Row],[GroupByKey]]),(OutputTable[GroupByKey]=OutputTable[[#This Row],[GroupByKey]])*OutputTable[RecordedValue])),0)</f>
        <v>79.466666666666669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12.016463801753446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648" s="5" cm="1">
        <f t="array" ref="O648">MIN(IF((OutputTable[GroupByKey]=OutputTable[[#This Row],[GroupByKey]]),(OutputTable[GroupByKey]=OutputTable[[#This Row],[GroupByKey]])*OutputTable[RecordedValue]))</f>
        <v>53</v>
      </c>
      <c r="P648" s="5" cm="1">
        <f t="array" ref="P648">MAX(IF((OutputTable[GroupByKey]=OutputTable[[#This Row],[GroupByKey]]),(OutputTable[GroupByKey]=OutputTable[[#This Row],[GroupByKey]])*OutputTable[RecordedValue]))</f>
        <v>98</v>
      </c>
    </row>
    <row r="649" spans="1:16" x14ac:dyDescent="0.25">
      <c r="A649" t="s">
        <v>68</v>
      </c>
      <c r="B649" t="s">
        <v>70</v>
      </c>
      <c r="C649">
        <v>26</v>
      </c>
      <c r="D649" t="s">
        <v>136</v>
      </c>
      <c r="E649" t="s">
        <v>134</v>
      </c>
      <c r="F649" t="s">
        <v>102</v>
      </c>
      <c r="G649">
        <v>0.34723264094251899</v>
      </c>
      <c r="H649">
        <v>0</v>
      </c>
      <c r="I6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30</v>
      </c>
      <c r="K649" s="5" cm="1">
        <f t="array" ref="K649">IFERROR(AVERAGE(IF((OutputTable[GroupByKey]=OutputTable[[#This Row],[GroupByKey]]),(OutputTable[GroupByKey]=OutputTable[[#This Row],[GroupByKey]])*OutputTable[RecordedValue])),0)</f>
        <v>0.28976365927997022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4.4748273652133699E-2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649" s="5" cm="1">
        <f t="array" ref="O649">MIN(IF((OutputTable[GroupByKey]=OutputTable[[#This Row],[GroupByKey]]),(OutputTable[GroupByKey]=OutputTable[[#This Row],[GroupByKey]])*OutputTable[RecordedValue]))</f>
        <v>0.194735973294278</v>
      </c>
      <c r="P649" s="5" cm="1">
        <f t="array" ref="P649">MAX(IF((OutputTable[GroupByKey]=OutputTable[[#This Row],[GroupByKey]]),(OutputTable[GroupByKey]=OutputTable[[#This Row],[GroupByKey]])*OutputTable[RecordedValue]))</f>
        <v>0.35775345817659199</v>
      </c>
    </row>
    <row r="650" spans="1:16" x14ac:dyDescent="0.25">
      <c r="A650" t="s">
        <v>68</v>
      </c>
      <c r="B650" t="s">
        <v>70</v>
      </c>
      <c r="C650">
        <v>26</v>
      </c>
      <c r="D650" t="s">
        <v>137</v>
      </c>
      <c r="E650" t="s">
        <v>132</v>
      </c>
      <c r="F650" t="s">
        <v>102</v>
      </c>
      <c r="G650">
        <v>45</v>
      </c>
      <c r="H650">
        <v>0</v>
      </c>
      <c r="I6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30</v>
      </c>
      <c r="K650" s="5" cm="1">
        <f t="array" ref="K650">IFERROR(AVERAGE(IF((OutputTable[GroupByKey]=OutputTable[[#This Row],[GroupByKey]]),(OutputTable[GroupByKey]=OutputTable[[#This Row],[GroupByKey]])*OutputTable[RecordedValue])),0)</f>
        <v>38.93333333333333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5.9765826548191505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50" s="5" cm="1">
        <f t="array" ref="O650">MIN(IF((OutputTable[GroupByKey]=OutputTable[[#This Row],[GroupByKey]]),(OutputTable[GroupByKey]=OutputTable[[#This Row],[GroupByKey]])*OutputTable[RecordedValue]))</f>
        <v>25</v>
      </c>
      <c r="P650" s="5" cm="1">
        <f t="array" ref="P650">MAX(IF((OutputTable[GroupByKey]=OutputTable[[#This Row],[GroupByKey]]),(OutputTable[GroupByKey]=OutputTable[[#This Row],[GroupByKey]])*OutputTable[RecordedValue]))</f>
        <v>49</v>
      </c>
    </row>
    <row r="651" spans="1:16" x14ac:dyDescent="0.25">
      <c r="A651" t="s">
        <v>68</v>
      </c>
      <c r="B651" t="s">
        <v>70</v>
      </c>
      <c r="C651">
        <v>26</v>
      </c>
      <c r="D651" t="s">
        <v>138</v>
      </c>
      <c r="E651" t="s">
        <v>134</v>
      </c>
      <c r="F651" t="s">
        <v>102</v>
      </c>
      <c r="G651">
        <v>9.8066173754023198E-2</v>
      </c>
      <c r="H651">
        <v>0</v>
      </c>
      <c r="I6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30</v>
      </c>
      <c r="K651" s="5" cm="1">
        <f t="array" ref="K651">IFERROR(AVERAGE(IF((OutputTable[GroupByKey]=OutputTable[[#This Row],[GroupByKey]]),(OutputTable[GroupByKey]=OutputTable[[#This Row],[GroupByKey]])*OutputTable[RecordedValue])),0)</f>
        <v>8.2588852761398115E-2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1.3130964022328008E-2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651" s="5" cm="1">
        <f t="array" ref="O651">MIN(IF((OutputTable[GroupByKey]=OutputTable[[#This Row],[GroupByKey]]),(OutputTable[GroupByKey]=OutputTable[[#This Row],[GroupByKey]])*OutputTable[RecordedValue]))</f>
        <v>5.3757894868807901E-2</v>
      </c>
      <c r="P651" s="5" cm="1">
        <f t="array" ref="P651">MAX(IF((OutputTable[GroupByKey]=OutputTable[[#This Row],[GroupByKey]]),(OutputTable[GroupByKey]=OutputTable[[#This Row],[GroupByKey]])*OutputTable[RecordedValue]))</f>
        <v>0.103175045984152</v>
      </c>
    </row>
    <row r="652" spans="1:16" x14ac:dyDescent="0.25">
      <c r="A652" t="s">
        <v>68</v>
      </c>
      <c r="B652" t="s">
        <v>70</v>
      </c>
      <c r="C652">
        <v>27</v>
      </c>
      <c r="D652" t="s">
        <v>107</v>
      </c>
      <c r="E652" t="s">
        <v>108</v>
      </c>
      <c r="F652" t="s">
        <v>73</v>
      </c>
      <c r="G652">
        <v>136</v>
      </c>
      <c r="H652">
        <v>0</v>
      </c>
      <c r="I652" s="5" t="str">
        <f>OutputTable[[#This Row],[ProjectName]]&amp;OutputTable[[#This Row],[Name]]&amp;OutputTable[[#This Row],[Type]]&amp;OutputTable[[#This Row],[Source]]</f>
        <v>Pedido CleintesClientes.NumberInNumber InEntity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30</v>
      </c>
      <c r="K652" s="5" cm="1">
        <f t="array" ref="K652">IFERROR(AVERAGE(IF((OutputTable[GroupByKey]=OutputTable[[#This Row],[GroupByKey]]),(OutputTable[GroupByKey]=OutputTable[[#This Row],[GroupByKey]])*OutputTable[RecordedValue])),0)</f>
        <v>118.5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18.009097317936192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652" s="5" cm="1">
        <f t="array" ref="O652">MIN(IF((OutputTable[GroupByKey]=OutputTable[[#This Row],[GroupByKey]]),(OutputTable[GroupByKey]=OutputTable[[#This Row],[GroupByKey]])*OutputTable[RecordedValue]))</f>
        <v>78</v>
      </c>
      <c r="P652" s="5" cm="1">
        <f t="array" ref="P652">MAX(IF((OutputTable[GroupByKey]=OutputTable[[#This Row],[GroupByKey]]),(OutputTable[GroupByKey]=OutputTable[[#This Row],[GroupByKey]])*OutputTable[RecordedValue]))</f>
        <v>147</v>
      </c>
    </row>
    <row r="653" spans="1:16" x14ac:dyDescent="0.25">
      <c r="A653" t="s">
        <v>68</v>
      </c>
      <c r="B653" t="s">
        <v>70</v>
      </c>
      <c r="C653">
        <v>27</v>
      </c>
      <c r="D653" t="s">
        <v>109</v>
      </c>
      <c r="E653" t="s">
        <v>110</v>
      </c>
      <c r="F653" t="s">
        <v>73</v>
      </c>
      <c r="G653">
        <v>129</v>
      </c>
      <c r="H653">
        <v>0</v>
      </c>
      <c r="I653" s="5" t="str">
        <f>OutputTable[[#This Row],[ProjectName]]&amp;OutputTable[[#This Row],[Name]]&amp;OutputTable[[#This Row],[Type]]&amp;OutputTable[[#This Row],[Source]]</f>
        <v>Pedido CleintesClientes.NumberOutNumber OutEntity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30</v>
      </c>
      <c r="K653" s="5" cm="1">
        <f t="array" ref="K653">IFERROR(AVERAGE(IF((OutputTable[GroupByKey]=OutputTable[[#This Row],[GroupByKey]]),(OutputTable[GroupByKey]=OutputTable[[#This Row],[GroupByKey]])*OutputTable[RecordedValue])),0)</f>
        <v>116.6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18.252255410940514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653" s="5" cm="1">
        <f t="array" ref="O653">MIN(IF((OutputTable[GroupByKey]=OutputTable[[#This Row],[GroupByKey]]),(OutputTable[GroupByKey]=OutputTable[[#This Row],[GroupByKey]])*OutputTable[RecordedValue]))</f>
        <v>72</v>
      </c>
      <c r="P653" s="5" cm="1">
        <f t="array" ref="P653">MAX(IF((OutputTable[GroupByKey]=OutputTable[[#This Row],[GroupByKey]]),(OutputTable[GroupByKey]=OutputTable[[#This Row],[GroupByKey]])*OutputTable[RecordedValue]))</f>
        <v>147</v>
      </c>
    </row>
    <row r="654" spans="1:16" x14ac:dyDescent="0.25">
      <c r="A654" t="s">
        <v>68</v>
      </c>
      <c r="B654" t="s">
        <v>70</v>
      </c>
      <c r="C654">
        <v>27</v>
      </c>
      <c r="D654" t="s">
        <v>111</v>
      </c>
      <c r="E654" t="s">
        <v>112</v>
      </c>
      <c r="F654" t="s">
        <v>81</v>
      </c>
      <c r="G654">
        <v>21.2529299743466</v>
      </c>
      <c r="H654">
        <v>0</v>
      </c>
      <c r="I65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30</v>
      </c>
      <c r="K654" s="5" cm="1">
        <f t="array" ref="K654">IFERROR(AVERAGE(IF((OutputTable[GroupByKey]=OutputTable[[#This Row],[GroupByKey]]),(OutputTable[GroupByKey]=OutputTable[[#This Row],[GroupByKey]])*OutputTable[RecordedValue])),0)</f>
        <v>19.806808580201274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3.1624794742170024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654" s="5" cm="1">
        <f t="array" ref="O654">MIN(IF((OutputTable[GroupByKey]=OutputTable[[#This Row],[GroupByKey]]),(OutputTable[GroupByKey]=OutputTable[[#This Row],[GroupByKey]])*OutputTable[RecordedValue]))</f>
        <v>12.812268330404599</v>
      </c>
      <c r="P654" s="5" cm="1">
        <f t="array" ref="P654">MAX(IF((OutputTable[GroupByKey]=OutputTable[[#This Row],[GroupByKey]]),(OutputTable[GroupByKey]=OutputTable[[#This Row],[GroupByKey]])*OutputTable[RecordedValue]))</f>
        <v>24.762011036196501</v>
      </c>
    </row>
    <row r="655" spans="1:16" x14ac:dyDescent="0.25">
      <c r="A655" t="s">
        <v>68</v>
      </c>
      <c r="B655" t="s">
        <v>70</v>
      </c>
      <c r="C655">
        <v>27</v>
      </c>
      <c r="D655" t="s">
        <v>113</v>
      </c>
      <c r="E655" t="s">
        <v>114</v>
      </c>
      <c r="F655" t="s">
        <v>81</v>
      </c>
      <c r="G655">
        <v>0</v>
      </c>
      <c r="H655">
        <v>0</v>
      </c>
      <c r="I65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30</v>
      </c>
      <c r="K655" s="5" cm="1">
        <f t="array" ref="K655">IFERROR(AVERAGE(IF((OutputTable[GroupByKey]=OutputTable[[#This Row],[GroupByKey]]),(OutputTable[GroupByKey]=OutputTable[[#This Row],[GroupByKey]])*OutputTable[RecordedValue])),0)</f>
        <v>0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0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5" s="5" cm="1">
        <f t="array" ref="O655">MIN(IF((OutputTable[GroupByKey]=OutputTable[[#This Row],[GroupByKey]]),(OutputTable[GroupByKey]=OutputTable[[#This Row],[GroupByKey]])*OutputTable[RecordedValue]))</f>
        <v>0</v>
      </c>
      <c r="P655" s="5" cm="1">
        <f t="array" ref="P655">MAX(IF((OutputTable[GroupByKey]=OutputTable[[#This Row],[GroupByKey]]),(OutputTable[GroupByKey]=OutputTable[[#This Row],[GroupByKey]])*OutputTable[RecordedValue]))</f>
        <v>0</v>
      </c>
    </row>
    <row r="656" spans="1:16" x14ac:dyDescent="0.25">
      <c r="A656" t="s">
        <v>68</v>
      </c>
      <c r="B656" t="s">
        <v>70</v>
      </c>
      <c r="C656">
        <v>27</v>
      </c>
      <c r="D656" t="s">
        <v>115</v>
      </c>
      <c r="E656" t="s">
        <v>108</v>
      </c>
      <c r="F656" t="s">
        <v>81</v>
      </c>
      <c r="G656">
        <v>43</v>
      </c>
      <c r="H656">
        <v>0</v>
      </c>
      <c r="I65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30</v>
      </c>
      <c r="K656" s="5" cm="1">
        <f t="array" ref="K656">IFERROR(AVERAGE(IF((OutputTable[GroupByKey]=OutputTable[[#This Row],[GroupByKey]]),(OutputTable[GroupByKey]=OutputTable[[#This Row],[GroupByKey]])*OutputTable[RecordedValue])),0)</f>
        <v>38.93333333333333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5.9765826548191505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56" s="5" cm="1">
        <f t="array" ref="O656">MIN(IF((OutputTable[GroupByKey]=OutputTable[[#This Row],[GroupByKey]]),(OutputTable[GroupByKey]=OutputTable[[#This Row],[GroupByKey]])*OutputTable[RecordedValue]))</f>
        <v>25</v>
      </c>
      <c r="P656" s="5" cm="1">
        <f t="array" ref="P656">MAX(IF((OutputTable[GroupByKey]=OutputTable[[#This Row],[GroupByKey]]),(OutputTable[GroupByKey]=OutputTable[[#This Row],[GroupByKey]])*OutputTable[RecordedValue]))</f>
        <v>49</v>
      </c>
    </row>
    <row r="657" spans="1:16" x14ac:dyDescent="0.25">
      <c r="A657" t="s">
        <v>68</v>
      </c>
      <c r="B657" t="s">
        <v>70</v>
      </c>
      <c r="C657">
        <v>27</v>
      </c>
      <c r="D657" t="s">
        <v>116</v>
      </c>
      <c r="E657" t="s">
        <v>110</v>
      </c>
      <c r="F657" t="s">
        <v>81</v>
      </c>
      <c r="G657">
        <v>43</v>
      </c>
      <c r="H657">
        <v>0</v>
      </c>
      <c r="I65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30</v>
      </c>
      <c r="K657" s="5" cm="1">
        <f t="array" ref="K657">IFERROR(AVERAGE(IF((OutputTable[GroupByKey]=OutputTable[[#This Row],[GroupByKey]]),(OutputTable[GroupByKey]=OutputTable[[#This Row],[GroupByKey]])*OutputTable[RecordedValue])),0)</f>
        <v>38.866666666666667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6.0840851369801694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57" s="5" cm="1">
        <f t="array" ref="O657">MIN(IF((OutputTable[GroupByKey]=OutputTable[[#This Row],[GroupByKey]]),(OutputTable[GroupByKey]=OutputTable[[#This Row],[GroupByKey]])*OutputTable[RecordedValue]))</f>
        <v>24</v>
      </c>
      <c r="P657" s="5" cm="1">
        <f t="array" ref="P657">MAX(IF((OutputTable[GroupByKey]=OutputTable[[#This Row],[GroupByKey]]),(OutputTable[GroupByKey]=OutputTable[[#This Row],[GroupByKey]])*OutputTable[RecordedValue]))</f>
        <v>49</v>
      </c>
    </row>
    <row r="658" spans="1:16" x14ac:dyDescent="0.25">
      <c r="A658" t="s">
        <v>68</v>
      </c>
      <c r="B658" t="s">
        <v>70</v>
      </c>
      <c r="C658">
        <v>27</v>
      </c>
      <c r="D658" t="s">
        <v>117</v>
      </c>
      <c r="E658" t="s">
        <v>112</v>
      </c>
      <c r="F658" t="s">
        <v>81</v>
      </c>
      <c r="G658">
        <v>46.369190714592399</v>
      </c>
      <c r="H658">
        <v>0</v>
      </c>
      <c r="I658" s="5" t="str">
        <f>OutputTable[[#This Row],[ProjectName]]&amp;OutputTable[[#This Row],[Name]]&amp;OutputTable[[#This Row],[Type]]&amp;OutputTable[[#This Row],[Source]]</f>
        <v>Pedido CleintesOrdnes Accum VA TimeAccum VA TimeProcess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30</v>
      </c>
      <c r="K658" s="5" cm="1">
        <f t="array" ref="K658">IFERROR(AVERAGE(IF((OutputTable[GroupByKey]=OutputTable[[#This Row],[GroupByKey]]),(OutputTable[GroupByKey]=OutputTable[[#This Row],[GroupByKey]])*OutputTable[RecordedValue])),0)</f>
        <v>39.878126992056487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6.1068580319474277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658" s="5" cm="1">
        <f t="array" ref="O658">MIN(IF((OutputTable[GroupByKey]=OutputTable[[#This Row],[GroupByKey]]),(OutputTable[GroupByKey]=OutputTable[[#This Row],[GroupByKey]])*OutputTable[RecordedValue]))</f>
        <v>26.106281767804099</v>
      </c>
      <c r="P658" s="5" cm="1">
        <f t="array" ref="P658">MAX(IF((OutputTable[GroupByKey]=OutputTable[[#This Row],[GroupByKey]]),(OutputTable[GroupByKey]=OutputTable[[#This Row],[GroupByKey]])*OutputTable[RecordedValue]))</f>
        <v>48.706388790541098</v>
      </c>
    </row>
    <row r="659" spans="1:16" x14ac:dyDescent="0.25">
      <c r="A659" t="s">
        <v>68</v>
      </c>
      <c r="B659" t="s">
        <v>70</v>
      </c>
      <c r="C659">
        <v>27</v>
      </c>
      <c r="D659" t="s">
        <v>118</v>
      </c>
      <c r="E659" t="s">
        <v>114</v>
      </c>
      <c r="F659" t="s">
        <v>81</v>
      </c>
      <c r="G659">
        <v>14.9857010384055</v>
      </c>
      <c r="H659">
        <v>0</v>
      </c>
      <c r="I65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30</v>
      </c>
      <c r="K659" s="5" cm="1">
        <f t="array" ref="K659">IFERROR(AVERAGE(IF((OutputTable[GroupByKey]=OutputTable[[#This Row],[GroupByKey]]),(OutputTable[GroupByKey]=OutputTable[[#This Row],[GroupByKey]])*OutputTable[RecordedValue])),0)</f>
        <v>7.9804799821754404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4.8950382198155014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659" s="5" cm="1">
        <f t="array" ref="O659">MIN(IF((OutputTable[GroupByKey]=OutputTable[[#This Row],[GroupByKey]]),(OutputTable[GroupByKey]=OutputTable[[#This Row],[GroupByKey]])*OutputTable[RecordedValue]))</f>
        <v>0</v>
      </c>
      <c r="P659" s="5" cm="1">
        <f t="array" ref="P659">MAX(IF((OutputTable[GroupByKey]=OutputTable[[#This Row],[GroupByKey]]),(OutputTable[GroupByKey]=OutputTable[[#This Row],[GroupByKey]])*OutputTable[RecordedValue]))</f>
        <v>18.843855117811401</v>
      </c>
    </row>
    <row r="660" spans="1:16" x14ac:dyDescent="0.25">
      <c r="A660" t="s">
        <v>68</v>
      </c>
      <c r="B660" t="s">
        <v>70</v>
      </c>
      <c r="C660">
        <v>27</v>
      </c>
      <c r="D660" t="s">
        <v>119</v>
      </c>
      <c r="E660" t="s">
        <v>108</v>
      </c>
      <c r="F660" t="s">
        <v>81</v>
      </c>
      <c r="G660">
        <v>47</v>
      </c>
      <c r="H660">
        <v>0</v>
      </c>
      <c r="I660" s="5" t="str">
        <f>OutputTable[[#This Row],[ProjectName]]&amp;OutputTable[[#This Row],[Name]]&amp;OutputTable[[#This Row],[Type]]&amp;OutputTable[[#This Row],[Source]]</f>
        <v>Pedido CleintesOrdnes Number InNumber InProcess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30</v>
      </c>
      <c r="K660" s="5" cm="1">
        <f t="array" ref="K660">IFERROR(AVERAGE(IF((OutputTable[GroupByKey]=OutputTable[[#This Row],[GroupByKey]]),(OutputTable[GroupByKey]=OutputTable[[#This Row],[GroupByKey]])*OutputTable[RecordedValue])),0)</f>
        <v>39.9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6.0648791101463475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660" s="5" cm="1">
        <f t="array" ref="O660">MIN(IF((OutputTable[GroupByKey]=OutputTable[[#This Row],[GroupByKey]]),(OutputTable[GroupByKey]=OutputTable[[#This Row],[GroupByKey]])*OutputTable[RecordedValue]))</f>
        <v>27</v>
      </c>
      <c r="P660" s="5" cm="1">
        <f t="array" ref="P660">MAX(IF((OutputTable[GroupByKey]=OutputTable[[#This Row],[GroupByKey]]),(OutputTable[GroupByKey]=OutputTable[[#This Row],[GroupByKey]])*OutputTable[RecordedValue]))</f>
        <v>49</v>
      </c>
    </row>
    <row r="661" spans="1:16" x14ac:dyDescent="0.25">
      <c r="A661" t="s">
        <v>68</v>
      </c>
      <c r="B661" t="s">
        <v>70</v>
      </c>
      <c r="C661">
        <v>27</v>
      </c>
      <c r="D661" t="s">
        <v>120</v>
      </c>
      <c r="E661" t="s">
        <v>110</v>
      </c>
      <c r="F661" t="s">
        <v>81</v>
      </c>
      <c r="G661">
        <v>46</v>
      </c>
      <c r="H661">
        <v>0</v>
      </c>
      <c r="I661" s="5" t="str">
        <f>OutputTable[[#This Row],[ProjectName]]&amp;OutputTable[[#This Row],[Name]]&amp;OutputTable[[#This Row],[Type]]&amp;OutputTable[[#This Row],[Source]]</f>
        <v>Pedido CleintesOrdnes Number OutNumber OutProcess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30</v>
      </c>
      <c r="K661" s="5" cm="1">
        <f t="array" ref="K661">IFERROR(AVERAGE(IF((OutputTable[GroupByKey]=OutputTable[[#This Row],[GroupByKey]]),(OutputTable[GroupByKey]=OutputTable[[#This Row],[GroupByKey]])*OutputTable[RecordedValue])),0)</f>
        <v>39.666666666666664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6.0477030882540914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61" s="5" cm="1">
        <f t="array" ref="O661">MIN(IF((OutputTable[GroupByKey]=OutputTable[[#This Row],[GroupByKey]]),(OutputTable[GroupByKey]=OutputTable[[#This Row],[GroupByKey]])*OutputTable[RecordedValue]))</f>
        <v>26</v>
      </c>
      <c r="P661" s="5" cm="1">
        <f t="array" ref="P661">MAX(IF((OutputTable[GroupByKey]=OutputTable[[#This Row],[GroupByKey]]),(OutputTable[GroupByKey]=OutputTable[[#This Row],[GroupByKey]])*OutputTable[RecordedValue]))</f>
        <v>49</v>
      </c>
    </row>
    <row r="662" spans="1:16" x14ac:dyDescent="0.25">
      <c r="A662" t="s">
        <v>68</v>
      </c>
      <c r="B662" t="s">
        <v>70</v>
      </c>
      <c r="C662">
        <v>27</v>
      </c>
      <c r="D662" t="s">
        <v>121</v>
      </c>
      <c r="E662" t="s">
        <v>112</v>
      </c>
      <c r="F662" t="s">
        <v>81</v>
      </c>
      <c r="G662">
        <v>34.905970655831297</v>
      </c>
      <c r="H662">
        <v>0</v>
      </c>
      <c r="I662" s="5" t="str">
        <f>OutputTable[[#This Row],[ProjectName]]&amp;OutputTable[[#This Row],[Name]]&amp;OutputTable[[#This Row],[Type]]&amp;OutputTable[[#This Row],[Source]]</f>
        <v>Pedido CleintesPago Accum VA TimeAccum VA TimeProcess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30</v>
      </c>
      <c r="K662" s="5" cm="1">
        <f t="array" ref="K662">IFERROR(AVERAGE(IF((OutputTable[GroupByKey]=OutputTable[[#This Row],[GroupByKey]]),(OutputTable[GroupByKey]=OutputTable[[#This Row],[GroupByKey]])*OutputTable[RecordedValue])),0)</f>
        <v>29.486262713858675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4.747176664010901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662" s="5" cm="1">
        <f t="array" ref="O662">MIN(IF((OutputTable[GroupByKey]=OutputTable[[#This Row],[GroupByKey]]),(OutputTable[GroupByKey]=OutputTable[[#This Row],[GroupByKey]])*OutputTable[RecordedValue]))</f>
        <v>19.573210250889101</v>
      </c>
      <c r="P662" s="5" cm="1">
        <f t="array" ref="P662">MAX(IF((OutputTable[GroupByKey]=OutputTable[[#This Row],[GroupByKey]]),(OutputTable[GroupByKey]=OutputTable[[#This Row],[GroupByKey]])*OutputTable[RecordedValue]))</f>
        <v>37.056974462114901</v>
      </c>
    </row>
    <row r="663" spans="1:16" x14ac:dyDescent="0.25">
      <c r="A663" t="s">
        <v>68</v>
      </c>
      <c r="B663" t="s">
        <v>70</v>
      </c>
      <c r="C663">
        <v>27</v>
      </c>
      <c r="D663" t="s">
        <v>122</v>
      </c>
      <c r="E663" t="s">
        <v>114</v>
      </c>
      <c r="F663" t="s">
        <v>81</v>
      </c>
      <c r="G663">
        <v>19.713336376726499</v>
      </c>
      <c r="H663">
        <v>0</v>
      </c>
      <c r="I663" s="5" t="str">
        <f>OutputTable[[#This Row],[ProjectName]]&amp;OutputTable[[#This Row],[Name]]&amp;OutputTable[[#This Row],[Type]]&amp;OutputTable[[#This Row],[Source]]</f>
        <v>Pedido CleintesPago Accum Wait TimeAccum Wait TimeProcess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30</v>
      </c>
      <c r="K663" s="5" cm="1">
        <f t="array" ref="K663">IFERROR(AVERAGE(IF((OutputTable[GroupByKey]=OutputTable[[#This Row],[GroupByKey]]),(OutputTable[GroupByKey]=OutputTable[[#This Row],[GroupByKey]])*OutputTable[RecordedValue])),0)</f>
        <v>13.025761997568024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7.8467935605388783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663" s="5" cm="1">
        <f t="array" ref="O663">MIN(IF((OutputTable[GroupByKey]=OutputTable[[#This Row],[GroupByKey]]),(OutputTable[GroupByKey]=OutputTable[[#This Row],[GroupByKey]])*OutputTable[RecordedValue]))</f>
        <v>0</v>
      </c>
      <c r="P663" s="5" cm="1">
        <f t="array" ref="P663">MAX(IF((OutputTable[GroupByKey]=OutputTable[[#This Row],[GroupByKey]]),(OutputTable[GroupByKey]=OutputTable[[#This Row],[GroupByKey]])*OutputTable[RecordedValue]))</f>
        <v>32.770863925850499</v>
      </c>
    </row>
    <row r="664" spans="1:16" x14ac:dyDescent="0.25">
      <c r="A664" t="s">
        <v>68</v>
      </c>
      <c r="B664" t="s">
        <v>70</v>
      </c>
      <c r="C664">
        <v>27</v>
      </c>
      <c r="D664" t="s">
        <v>123</v>
      </c>
      <c r="E664" t="s">
        <v>108</v>
      </c>
      <c r="F664" t="s">
        <v>81</v>
      </c>
      <c r="G664">
        <v>46</v>
      </c>
      <c r="H664">
        <v>0</v>
      </c>
      <c r="I664" s="5" t="str">
        <f>OutputTable[[#This Row],[ProjectName]]&amp;OutputTable[[#This Row],[Name]]&amp;OutputTable[[#This Row],[Type]]&amp;OutputTable[[#This Row],[Source]]</f>
        <v>Pedido CleintesPago Number InNumber InProcess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30</v>
      </c>
      <c r="K664" s="5" cm="1">
        <f t="array" ref="K664">IFERROR(AVERAGE(IF((OutputTable[GroupByKey]=OutputTable[[#This Row],[GroupByKey]]),(OutputTable[GroupByKey]=OutputTable[[#This Row],[GroupByKey]])*OutputTable[RecordedValue])),0)</f>
        <v>39.666666666666664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6.0477030882540914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64" s="5" cm="1">
        <f t="array" ref="O664">MIN(IF((OutputTable[GroupByKey]=OutputTable[[#This Row],[GroupByKey]]),(OutputTable[GroupByKey]=OutputTable[[#This Row],[GroupByKey]])*OutputTable[RecordedValue]))</f>
        <v>26</v>
      </c>
      <c r="P664" s="5" cm="1">
        <f t="array" ref="P664">MAX(IF((OutputTable[GroupByKey]=OutputTable[[#This Row],[GroupByKey]]),(OutputTable[GroupByKey]=OutputTable[[#This Row],[GroupByKey]])*OutputTable[RecordedValue]))</f>
        <v>49</v>
      </c>
    </row>
    <row r="665" spans="1:16" x14ac:dyDescent="0.25">
      <c r="A665" t="s">
        <v>68</v>
      </c>
      <c r="B665" t="s">
        <v>70</v>
      </c>
      <c r="C665">
        <v>27</v>
      </c>
      <c r="D665" t="s">
        <v>124</v>
      </c>
      <c r="E665" t="s">
        <v>110</v>
      </c>
      <c r="F665" t="s">
        <v>81</v>
      </c>
      <c r="G665">
        <v>45</v>
      </c>
      <c r="H665">
        <v>0</v>
      </c>
      <c r="I665" s="5" t="str">
        <f>OutputTable[[#This Row],[ProjectName]]&amp;OutputTable[[#This Row],[Name]]&amp;OutputTable[[#This Row],[Type]]&amp;OutputTable[[#This Row],[Source]]</f>
        <v>Pedido CleintesPago Number OutNumber OutProcess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30</v>
      </c>
      <c r="K665" s="5" cm="1">
        <f t="array" ref="K665">IFERROR(AVERAGE(IF((OutputTable[GroupByKey]=OutputTable[[#This Row],[GroupByKey]]),(OutputTable[GroupByKey]=OutputTable[[#This Row],[GroupByKey]])*OutputTable[RecordedValue])),0)</f>
        <v>39.43333333333333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5.9171482724502509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665" s="5" cm="1">
        <f t="array" ref="O665">MIN(IF((OutputTable[GroupByKey]=OutputTable[[#This Row],[GroupByKey]]),(OutputTable[GroupByKey]=OutputTable[[#This Row],[GroupByKey]])*OutputTable[RecordedValue]))</f>
        <v>26</v>
      </c>
      <c r="P665" s="5" cm="1">
        <f t="array" ref="P665">MAX(IF((OutputTable[GroupByKey]=OutputTable[[#This Row],[GroupByKey]]),(OutputTable[GroupByKey]=OutputTable[[#This Row],[GroupByKey]])*OutputTable[RecordedValue]))</f>
        <v>49</v>
      </c>
    </row>
    <row r="666" spans="1:16" x14ac:dyDescent="0.25">
      <c r="A666" t="s">
        <v>68</v>
      </c>
      <c r="B666" t="s">
        <v>70</v>
      </c>
      <c r="C666">
        <v>27</v>
      </c>
      <c r="D666" t="s">
        <v>125</v>
      </c>
      <c r="E666" t="s">
        <v>112</v>
      </c>
      <c r="F666" t="s">
        <v>81</v>
      </c>
      <c r="G666">
        <v>128.91830519647201</v>
      </c>
      <c r="H666">
        <v>0</v>
      </c>
      <c r="I66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30</v>
      </c>
      <c r="K666" s="5" cm="1">
        <f t="array" ref="K666">IFERROR(AVERAGE(IF((OutputTable[GroupByKey]=OutputTable[[#This Row],[GroupByKey]]),(OutputTable[GroupByKey]=OutputTable[[#This Row],[GroupByKey]])*OutputTable[RecordedValue])),0)</f>
        <v>116.64263458387505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17.825477946659205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666" s="5" cm="1">
        <f t="array" ref="O666">MIN(IF((OutputTable[GroupByKey]=OutputTable[[#This Row],[GroupByKey]]),(OutputTable[GroupByKey]=OutputTable[[#This Row],[GroupByKey]])*OutputTable[RecordedValue]))</f>
        <v>74.976560761710004</v>
      </c>
      <c r="P666" s="5" cm="1">
        <f t="array" ref="P666">MAX(IF((OutputTable[GroupByKey]=OutputTable[[#This Row],[GroupByKey]]),(OutputTable[GroupByKey]=OutputTable[[#This Row],[GroupByKey]])*OutputTable[RecordedValue]))</f>
        <v>145.504156763596</v>
      </c>
    </row>
    <row r="667" spans="1:16" x14ac:dyDescent="0.25">
      <c r="A667" t="s">
        <v>68</v>
      </c>
      <c r="B667" t="s">
        <v>70</v>
      </c>
      <c r="C667">
        <v>27</v>
      </c>
      <c r="D667" t="s">
        <v>126</v>
      </c>
      <c r="E667" t="s">
        <v>114</v>
      </c>
      <c r="F667" t="s">
        <v>81</v>
      </c>
      <c r="G667">
        <v>55.290711147049002</v>
      </c>
      <c r="H667">
        <v>0</v>
      </c>
      <c r="I66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30</v>
      </c>
      <c r="K667" s="5" cm="1">
        <f t="array" ref="K667">IFERROR(AVERAGE(IF((OutputTable[GroupByKey]=OutputTable[[#This Row],[GroupByKey]]),(OutputTable[GroupByKey]=OutputTable[[#This Row],[GroupByKey]])*OutputTable[RecordedValue])),0)</f>
        <v>39.900972800228722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22.922906975864144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667" s="5" cm="1">
        <f t="array" ref="O667">MIN(IF((OutputTable[GroupByKey]=OutputTable[[#This Row],[GroupByKey]]),(OutputTable[GroupByKey]=OutputTable[[#This Row],[GroupByKey]])*OutputTable[RecordedValue]))</f>
        <v>2.1708788192608899</v>
      </c>
      <c r="P667" s="5" cm="1">
        <f t="array" ref="P667">MAX(IF((OutputTable[GroupByKey]=OutputTable[[#This Row],[GroupByKey]]),(OutputTable[GroupByKey]=OutputTable[[#This Row],[GroupByKey]])*OutputTable[RecordedValue]))</f>
        <v>94.9142929398908</v>
      </c>
    </row>
    <row r="668" spans="1:16" x14ac:dyDescent="0.25">
      <c r="A668" t="s">
        <v>68</v>
      </c>
      <c r="B668" t="s">
        <v>70</v>
      </c>
      <c r="C668">
        <v>27</v>
      </c>
      <c r="D668" t="s">
        <v>127</v>
      </c>
      <c r="E668" t="s">
        <v>108</v>
      </c>
      <c r="F668" t="s">
        <v>81</v>
      </c>
      <c r="G668">
        <v>46</v>
      </c>
      <c r="H668">
        <v>0</v>
      </c>
      <c r="I668" s="5" t="str">
        <f>OutputTable[[#This Row],[ProjectName]]&amp;OutputTable[[#This Row],[Name]]&amp;OutputTable[[#This Row],[Type]]&amp;OutputTable[[#This Row],[Source]]</f>
        <v>Pedido CleintesPreparar orden Number InNumber InProcess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30</v>
      </c>
      <c r="K668" s="5" cm="1">
        <f t="array" ref="K668">IFERROR(AVERAGE(IF((OutputTable[GroupByKey]=OutputTable[[#This Row],[GroupByKey]]),(OutputTable[GroupByKey]=OutputTable[[#This Row],[GroupByKey]])*OutputTable[RecordedValue])),0)</f>
        <v>39.666666666666664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6.0477030882540914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68" s="5" cm="1">
        <f t="array" ref="O668">MIN(IF((OutputTable[GroupByKey]=OutputTable[[#This Row],[GroupByKey]]),(OutputTable[GroupByKey]=OutputTable[[#This Row],[GroupByKey]])*OutputTable[RecordedValue]))</f>
        <v>26</v>
      </c>
      <c r="P668" s="5" cm="1">
        <f t="array" ref="P668">MAX(IF((OutputTable[GroupByKey]=OutputTable[[#This Row],[GroupByKey]]),(OutputTable[GroupByKey]=OutputTable[[#This Row],[GroupByKey]])*OutputTable[RecordedValue]))</f>
        <v>49</v>
      </c>
    </row>
    <row r="669" spans="1:16" x14ac:dyDescent="0.25">
      <c r="A669" t="s">
        <v>68</v>
      </c>
      <c r="B669" t="s">
        <v>70</v>
      </c>
      <c r="C669">
        <v>27</v>
      </c>
      <c r="D669" t="s">
        <v>128</v>
      </c>
      <c r="E669" t="s">
        <v>110</v>
      </c>
      <c r="F669" t="s">
        <v>81</v>
      </c>
      <c r="G669">
        <v>43</v>
      </c>
      <c r="H669">
        <v>0</v>
      </c>
      <c r="I669" s="5" t="str">
        <f>OutputTable[[#This Row],[ProjectName]]&amp;OutputTable[[#This Row],[Name]]&amp;OutputTable[[#This Row],[Type]]&amp;OutputTable[[#This Row],[Source]]</f>
        <v>Pedido CleintesPreparar orden Number OutNumber OutProcess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30</v>
      </c>
      <c r="K669" s="5" cm="1">
        <f t="array" ref="K669">IFERROR(AVERAGE(IF((OutputTable[GroupByKey]=OutputTable[[#This Row],[GroupByKey]]),(OutputTable[GroupByKey]=OutputTable[[#This Row],[GroupByKey]])*OutputTable[RecordedValue])),0)</f>
        <v>38.93333333333333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5.9765826548191505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69" s="5" cm="1">
        <f t="array" ref="O669">MIN(IF((OutputTable[GroupByKey]=OutputTable[[#This Row],[GroupByKey]]),(OutputTable[GroupByKey]=OutputTable[[#This Row],[GroupByKey]])*OutputTable[RecordedValue]))</f>
        <v>25</v>
      </c>
      <c r="P669" s="5" cm="1">
        <f t="array" ref="P669">MAX(IF((OutputTable[GroupByKey]=OutputTable[[#This Row],[GroupByKey]]),(OutputTable[GroupByKey]=OutputTable[[#This Row],[GroupByKey]])*OutputTable[RecordedValue]))</f>
        <v>49</v>
      </c>
    </row>
    <row r="670" spans="1:16" x14ac:dyDescent="0.25">
      <c r="A670" t="s">
        <v>68</v>
      </c>
      <c r="B670" t="s">
        <v>70</v>
      </c>
      <c r="C670">
        <v>27</v>
      </c>
      <c r="D670" t="s">
        <v>129</v>
      </c>
      <c r="E670" t="s">
        <v>110</v>
      </c>
      <c r="F670" t="s">
        <v>130</v>
      </c>
      <c r="G670">
        <v>43</v>
      </c>
      <c r="H670">
        <v>0</v>
      </c>
      <c r="I670" s="5" t="str">
        <f>OutputTable[[#This Row],[ProjectName]]&amp;OutputTable[[#This Row],[Name]]&amp;OutputTable[[#This Row],[Type]]&amp;OutputTable[[#This Row],[Source]]</f>
        <v>Pedido CleintesSystem.NumberOutNumber OutSystem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30</v>
      </c>
      <c r="K670" s="5" cm="1">
        <f t="array" ref="K670">IFERROR(AVERAGE(IF((OutputTable[GroupByKey]=OutputTable[[#This Row],[GroupByKey]]),(OutputTable[GroupByKey]=OutputTable[[#This Row],[GroupByKey]])*OutputTable[RecordedValue])),0)</f>
        <v>38.866666666666667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6.0840851369801694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70" s="5" cm="1">
        <f t="array" ref="O670">MIN(IF((OutputTable[GroupByKey]=OutputTable[[#This Row],[GroupByKey]]),(OutputTable[GroupByKey]=OutputTable[[#This Row],[GroupByKey]])*OutputTable[RecordedValue]))</f>
        <v>24</v>
      </c>
      <c r="P670" s="5" cm="1">
        <f t="array" ref="P670">MAX(IF((OutputTable[GroupByKey]=OutputTable[[#This Row],[GroupByKey]]),(OutputTable[GroupByKey]=OutputTable[[#This Row],[GroupByKey]])*OutputTable[RecordedValue]))</f>
        <v>49</v>
      </c>
    </row>
    <row r="671" spans="1:16" x14ac:dyDescent="0.25">
      <c r="A671" t="s">
        <v>68</v>
      </c>
      <c r="B671" t="s">
        <v>70</v>
      </c>
      <c r="C671">
        <v>27</v>
      </c>
      <c r="D671" t="s">
        <v>131</v>
      </c>
      <c r="E671" t="s">
        <v>132</v>
      </c>
      <c r="F671" t="s">
        <v>102</v>
      </c>
      <c r="G671">
        <v>44</v>
      </c>
      <c r="H671">
        <v>0</v>
      </c>
      <c r="I67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30</v>
      </c>
      <c r="K671" s="5" cm="1">
        <f t="array" ref="K671">IFERROR(AVERAGE(IF((OutputTable[GroupByKey]=OutputTable[[#This Row],[GroupByKey]]),(OutputTable[GroupByKey]=OutputTable[[#This Row],[GroupByKey]])*OutputTable[RecordedValue])),0)</f>
        <v>39.4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5.8757244601014422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671" s="5" cm="1">
        <f t="array" ref="O671">MIN(IF((OutputTable[GroupByKey]=OutputTable[[#This Row],[GroupByKey]]),(OutputTable[GroupByKey]=OutputTable[[#This Row],[GroupByKey]])*OutputTable[RecordedValue]))</f>
        <v>26</v>
      </c>
      <c r="P671" s="5" cm="1">
        <f t="array" ref="P671">MAX(IF((OutputTable[GroupByKey]=OutputTable[[#This Row],[GroupByKey]]),(OutputTable[GroupByKey]=OutputTable[[#This Row],[GroupByKey]])*OutputTable[RecordedValue]))</f>
        <v>49</v>
      </c>
    </row>
    <row r="672" spans="1:16" x14ac:dyDescent="0.25">
      <c r="A672" t="s">
        <v>68</v>
      </c>
      <c r="B672" t="s">
        <v>70</v>
      </c>
      <c r="C672">
        <v>27</v>
      </c>
      <c r="D672" t="s">
        <v>133</v>
      </c>
      <c r="E672" t="s">
        <v>134</v>
      </c>
      <c r="F672" t="s">
        <v>102</v>
      </c>
      <c r="G672">
        <v>0.54750563151332998</v>
      </c>
      <c r="H672">
        <v>0</v>
      </c>
      <c r="I67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30</v>
      </c>
      <c r="K672" s="5" cm="1">
        <f t="array" ref="K672">IFERROR(AVERAGE(IF((OutputTable[GroupByKey]=OutputTable[[#This Row],[GroupByKey]]),(OutputTable[GroupByKey]=OutputTable[[#This Row],[GroupByKey]])*OutputTable[RecordedValue])),0)</f>
        <v>0.48891840079317483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7.3627413122013347E-2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672" s="5" cm="1">
        <f t="array" ref="O672">MIN(IF((OutputTable[GroupByKey]=OutputTable[[#This Row],[GroupByKey]]),(OutputTable[GroupByKey]=OutputTable[[#This Row],[GroupByKey]])*OutputTable[RecordedValue]))</f>
        <v>0.31277577999924699</v>
      </c>
      <c r="P672" s="5" cm="1">
        <f t="array" ref="P672">MAX(IF((OutputTable[GroupByKey]=OutputTable[[#This Row],[GroupByKey]]),(OutputTable[GroupByKey]=OutputTable[[#This Row],[GroupByKey]])*OutputTable[RecordedValue]))</f>
        <v>0.60626731984831705</v>
      </c>
    </row>
    <row r="673" spans="1:16" x14ac:dyDescent="0.25">
      <c r="A673" t="s">
        <v>68</v>
      </c>
      <c r="B673" t="s">
        <v>70</v>
      </c>
      <c r="C673">
        <v>27</v>
      </c>
      <c r="D673" t="s">
        <v>135</v>
      </c>
      <c r="E673" t="s">
        <v>132</v>
      </c>
      <c r="F673" t="s">
        <v>102</v>
      </c>
      <c r="G673">
        <v>92</v>
      </c>
      <c r="H673">
        <v>0</v>
      </c>
      <c r="I67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30</v>
      </c>
      <c r="K673" s="5" cm="1">
        <f t="array" ref="K673">IFERROR(AVERAGE(IF((OutputTable[GroupByKey]=OutputTable[[#This Row],[GroupByKey]]),(OutputTable[GroupByKey]=OutputTable[[#This Row],[GroupByKey]])*OutputTable[RecordedValue])),0)</f>
        <v>79.466666666666669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12.016463801753446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673" s="5" cm="1">
        <f t="array" ref="O673">MIN(IF((OutputTable[GroupByKey]=OutputTable[[#This Row],[GroupByKey]]),(OutputTable[GroupByKey]=OutputTable[[#This Row],[GroupByKey]])*OutputTable[RecordedValue]))</f>
        <v>53</v>
      </c>
      <c r="P673" s="5" cm="1">
        <f t="array" ref="P673">MAX(IF((OutputTable[GroupByKey]=OutputTable[[#This Row],[GroupByKey]]),(OutputTable[GroupByKey]=OutputTable[[#This Row],[GroupByKey]])*OutputTable[RecordedValue]))</f>
        <v>98</v>
      </c>
    </row>
    <row r="674" spans="1:16" x14ac:dyDescent="0.25">
      <c r="A674" t="s">
        <v>68</v>
      </c>
      <c r="B674" t="s">
        <v>70</v>
      </c>
      <c r="C674">
        <v>27</v>
      </c>
      <c r="D674" t="s">
        <v>136</v>
      </c>
      <c r="E674" t="s">
        <v>134</v>
      </c>
      <c r="F674" t="s">
        <v>102</v>
      </c>
      <c r="G674">
        <v>0.33967631542724103</v>
      </c>
      <c r="H674">
        <v>0</v>
      </c>
      <c r="I67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30</v>
      </c>
      <c r="K674" s="5" cm="1">
        <f t="array" ref="K674">IFERROR(AVERAGE(IF((OutputTable[GroupByKey]=OutputTable[[#This Row],[GroupByKey]]),(OutputTable[GroupByKey]=OutputTable[[#This Row],[GroupByKey]])*OutputTable[RecordedValue])),0)</f>
        <v>0.28976365927997022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4.4748273652133699E-2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674" s="5" cm="1">
        <f t="array" ref="O674">MIN(IF((OutputTable[GroupByKey]=OutputTable[[#This Row],[GroupByKey]]),(OutputTable[GroupByKey]=OutputTable[[#This Row],[GroupByKey]])*OutputTable[RecordedValue]))</f>
        <v>0.194735973294278</v>
      </c>
      <c r="P674" s="5" cm="1">
        <f t="array" ref="P674">MAX(IF((OutputTable[GroupByKey]=OutputTable[[#This Row],[GroupByKey]]),(OutputTable[GroupByKey]=OutputTable[[#This Row],[GroupByKey]])*OutputTable[RecordedValue]))</f>
        <v>0.35775345817659199</v>
      </c>
    </row>
    <row r="675" spans="1:16" x14ac:dyDescent="0.25">
      <c r="A675" t="s">
        <v>68</v>
      </c>
      <c r="B675" t="s">
        <v>70</v>
      </c>
      <c r="C675">
        <v>27</v>
      </c>
      <c r="D675" t="s">
        <v>137</v>
      </c>
      <c r="E675" t="s">
        <v>132</v>
      </c>
      <c r="F675" t="s">
        <v>102</v>
      </c>
      <c r="G675">
        <v>43</v>
      </c>
      <c r="H675">
        <v>0</v>
      </c>
      <c r="I67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30</v>
      </c>
      <c r="K675" s="5" cm="1">
        <f t="array" ref="K675">IFERROR(AVERAGE(IF((OutputTable[GroupByKey]=OutputTable[[#This Row],[GroupByKey]]),(OutputTable[GroupByKey]=OutputTable[[#This Row],[GroupByKey]])*OutputTable[RecordedValue])),0)</f>
        <v>38.93333333333333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5.9765826548191505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75" s="5" cm="1">
        <f t="array" ref="O675">MIN(IF((OutputTable[GroupByKey]=OutputTable[[#This Row],[GroupByKey]]),(OutputTable[GroupByKey]=OutputTable[[#This Row],[GroupByKey]])*OutputTable[RecordedValue]))</f>
        <v>25</v>
      </c>
      <c r="P675" s="5" cm="1">
        <f t="array" ref="P675">MAX(IF((OutputTable[GroupByKey]=OutputTable[[#This Row],[GroupByKey]]),(OutputTable[GroupByKey]=OutputTable[[#This Row],[GroupByKey]])*OutputTable[RecordedValue]))</f>
        <v>49</v>
      </c>
    </row>
    <row r="676" spans="1:16" x14ac:dyDescent="0.25">
      <c r="A676" t="s">
        <v>68</v>
      </c>
      <c r="B676" t="s">
        <v>70</v>
      </c>
      <c r="C676">
        <v>27</v>
      </c>
      <c r="D676" t="s">
        <v>138</v>
      </c>
      <c r="E676" t="s">
        <v>134</v>
      </c>
      <c r="F676" t="s">
        <v>102</v>
      </c>
      <c r="G676">
        <v>8.8553874893110798E-2</v>
      </c>
      <c r="H676">
        <v>0</v>
      </c>
      <c r="I67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30</v>
      </c>
      <c r="K676" s="5" cm="1">
        <f t="array" ref="K676">IFERROR(AVERAGE(IF((OutputTable[GroupByKey]=OutputTable[[#This Row],[GroupByKey]]),(OutputTable[GroupByKey]=OutputTable[[#This Row],[GroupByKey]])*OutputTable[RecordedValue])),0)</f>
        <v>8.2588852761398115E-2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1.3130964022328008E-2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676" s="5" cm="1">
        <f t="array" ref="O676">MIN(IF((OutputTable[GroupByKey]=OutputTable[[#This Row],[GroupByKey]]),(OutputTable[GroupByKey]=OutputTable[[#This Row],[GroupByKey]])*OutputTable[RecordedValue]))</f>
        <v>5.3757894868807901E-2</v>
      </c>
      <c r="P676" s="5" cm="1">
        <f t="array" ref="P676">MAX(IF((OutputTable[GroupByKey]=OutputTable[[#This Row],[GroupByKey]]),(OutputTable[GroupByKey]=OutputTable[[#This Row],[GroupByKey]])*OutputTable[RecordedValue]))</f>
        <v>0.103175045984152</v>
      </c>
    </row>
    <row r="677" spans="1:16" x14ac:dyDescent="0.25">
      <c r="A677" t="s">
        <v>68</v>
      </c>
      <c r="B677" t="s">
        <v>70</v>
      </c>
      <c r="C677">
        <v>28</v>
      </c>
      <c r="D677" t="s">
        <v>107</v>
      </c>
      <c r="E677" t="s">
        <v>108</v>
      </c>
      <c r="F677" t="s">
        <v>73</v>
      </c>
      <c r="G677">
        <v>117</v>
      </c>
      <c r="H677">
        <v>0</v>
      </c>
      <c r="I677" s="5" t="str">
        <f>OutputTable[[#This Row],[ProjectName]]&amp;OutputTable[[#This Row],[Name]]&amp;OutputTable[[#This Row],[Type]]&amp;OutputTable[[#This Row],[Source]]</f>
        <v>Pedido CleintesClientes.NumberInNumber InEntity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30</v>
      </c>
      <c r="K677" s="5" cm="1">
        <f t="array" ref="K677">IFERROR(AVERAGE(IF((OutputTable[GroupByKey]=OutputTable[[#This Row],[GroupByKey]]),(OutputTable[GroupByKey]=OutputTable[[#This Row],[GroupByKey]])*OutputTable[RecordedValue])),0)</f>
        <v>118.5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18.009097317936192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677" s="5" cm="1">
        <f t="array" ref="O677">MIN(IF((OutputTable[GroupByKey]=OutputTable[[#This Row],[GroupByKey]]),(OutputTable[GroupByKey]=OutputTable[[#This Row],[GroupByKey]])*OutputTable[RecordedValue]))</f>
        <v>78</v>
      </c>
      <c r="P677" s="5" cm="1">
        <f t="array" ref="P677">MAX(IF((OutputTable[GroupByKey]=OutputTable[[#This Row],[GroupByKey]]),(OutputTable[GroupByKey]=OutputTable[[#This Row],[GroupByKey]])*OutputTable[RecordedValue]))</f>
        <v>147</v>
      </c>
    </row>
    <row r="678" spans="1:16" x14ac:dyDescent="0.25">
      <c r="A678" t="s">
        <v>68</v>
      </c>
      <c r="B678" t="s">
        <v>70</v>
      </c>
      <c r="C678">
        <v>28</v>
      </c>
      <c r="D678" t="s">
        <v>109</v>
      </c>
      <c r="E678" t="s">
        <v>110</v>
      </c>
      <c r="F678" t="s">
        <v>73</v>
      </c>
      <c r="G678">
        <v>117</v>
      </c>
      <c r="H678">
        <v>0</v>
      </c>
      <c r="I678" s="5" t="str">
        <f>OutputTable[[#This Row],[ProjectName]]&amp;OutputTable[[#This Row],[Name]]&amp;OutputTable[[#This Row],[Type]]&amp;OutputTable[[#This Row],[Source]]</f>
        <v>Pedido CleintesClientes.NumberOutNumber OutEntity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30</v>
      </c>
      <c r="K678" s="5" cm="1">
        <f t="array" ref="K678">IFERROR(AVERAGE(IF((OutputTable[GroupByKey]=OutputTable[[#This Row],[GroupByKey]]),(OutputTable[GroupByKey]=OutputTable[[#This Row],[GroupByKey]])*OutputTable[RecordedValue])),0)</f>
        <v>116.6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18.252255410940514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678" s="5" cm="1">
        <f t="array" ref="O678">MIN(IF((OutputTable[GroupByKey]=OutputTable[[#This Row],[GroupByKey]]),(OutputTable[GroupByKey]=OutputTable[[#This Row],[GroupByKey]])*OutputTable[RecordedValue]))</f>
        <v>72</v>
      </c>
      <c r="P678" s="5" cm="1">
        <f t="array" ref="P678">MAX(IF((OutputTable[GroupByKey]=OutputTable[[#This Row],[GroupByKey]]),(OutputTable[GroupByKey]=OutputTable[[#This Row],[GroupByKey]])*OutputTable[RecordedValue]))</f>
        <v>147</v>
      </c>
    </row>
    <row r="679" spans="1:16" x14ac:dyDescent="0.25">
      <c r="A679" t="s">
        <v>68</v>
      </c>
      <c r="B679" t="s">
        <v>70</v>
      </c>
      <c r="C679">
        <v>28</v>
      </c>
      <c r="D679" t="s">
        <v>111</v>
      </c>
      <c r="E679" t="s">
        <v>112</v>
      </c>
      <c r="F679" t="s">
        <v>81</v>
      </c>
      <c r="G679">
        <v>19.078907349392999</v>
      </c>
      <c r="H679">
        <v>0</v>
      </c>
      <c r="I67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30</v>
      </c>
      <c r="K679" s="5" cm="1">
        <f t="array" ref="K679">IFERROR(AVERAGE(IF((OutputTable[GroupByKey]=OutputTable[[#This Row],[GroupByKey]]),(OutputTable[GroupByKey]=OutputTable[[#This Row],[GroupByKey]])*OutputTable[RecordedValue])),0)</f>
        <v>19.806808580201274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3.1624794742170024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679" s="5" cm="1">
        <f t="array" ref="O679">MIN(IF((OutputTable[GroupByKey]=OutputTable[[#This Row],[GroupByKey]]),(OutputTable[GroupByKey]=OutputTable[[#This Row],[GroupByKey]])*OutputTable[RecordedValue]))</f>
        <v>12.812268330404599</v>
      </c>
      <c r="P679" s="5" cm="1">
        <f t="array" ref="P679">MAX(IF((OutputTable[GroupByKey]=OutputTable[[#This Row],[GroupByKey]]),(OutputTable[GroupByKey]=OutputTable[[#This Row],[GroupByKey]])*OutputTable[RecordedValue]))</f>
        <v>24.762011036196501</v>
      </c>
    </row>
    <row r="680" spans="1:16" x14ac:dyDescent="0.25">
      <c r="A680" t="s">
        <v>68</v>
      </c>
      <c r="B680" t="s">
        <v>70</v>
      </c>
      <c r="C680">
        <v>28</v>
      </c>
      <c r="D680" t="s">
        <v>113</v>
      </c>
      <c r="E680" t="s">
        <v>114</v>
      </c>
      <c r="F680" t="s">
        <v>81</v>
      </c>
      <c r="G680">
        <v>0</v>
      </c>
      <c r="H680">
        <v>0</v>
      </c>
      <c r="I68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30</v>
      </c>
      <c r="K680" s="5" cm="1">
        <f t="array" ref="K680">IFERROR(AVERAGE(IF((OutputTable[GroupByKey]=OutputTable[[#This Row],[GroupByKey]]),(OutputTable[GroupByKey]=OutputTable[[#This Row],[GroupByKey]])*OutputTable[RecordedValue])),0)</f>
        <v>0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0" s="5" cm="1">
        <f t="array" ref="O680">MIN(IF((OutputTable[GroupByKey]=OutputTable[[#This Row],[GroupByKey]]),(OutputTable[GroupByKey]=OutputTable[[#This Row],[GroupByKey]])*OutputTable[RecordedValue]))</f>
        <v>0</v>
      </c>
      <c r="P680" s="5" cm="1">
        <f t="array" ref="P680">MAX(IF((OutputTable[GroupByKey]=OutputTable[[#This Row],[GroupByKey]]),(OutputTable[GroupByKey]=OutputTable[[#This Row],[GroupByKey]])*OutputTable[RecordedValue]))</f>
        <v>0</v>
      </c>
    </row>
    <row r="681" spans="1:16" x14ac:dyDescent="0.25">
      <c r="A681" t="s">
        <v>68</v>
      </c>
      <c r="B681" t="s">
        <v>70</v>
      </c>
      <c r="C681">
        <v>28</v>
      </c>
      <c r="D681" t="s">
        <v>115</v>
      </c>
      <c r="E681" t="s">
        <v>108</v>
      </c>
      <c r="F681" t="s">
        <v>81</v>
      </c>
      <c r="G681">
        <v>39</v>
      </c>
      <c r="H681">
        <v>0</v>
      </c>
      <c r="I68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30</v>
      </c>
      <c r="K681" s="5" cm="1">
        <f t="array" ref="K681">IFERROR(AVERAGE(IF((OutputTable[GroupByKey]=OutputTable[[#This Row],[GroupByKey]]),(OutputTable[GroupByKey]=OutputTable[[#This Row],[GroupByKey]])*OutputTable[RecordedValue])),0)</f>
        <v>38.93333333333333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5.9765826548191505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81" s="5" cm="1">
        <f t="array" ref="O681">MIN(IF((OutputTable[GroupByKey]=OutputTable[[#This Row],[GroupByKey]]),(OutputTable[GroupByKey]=OutputTable[[#This Row],[GroupByKey]])*OutputTable[RecordedValue]))</f>
        <v>25</v>
      </c>
      <c r="P681" s="5" cm="1">
        <f t="array" ref="P681">MAX(IF((OutputTable[GroupByKey]=OutputTable[[#This Row],[GroupByKey]]),(OutputTable[GroupByKey]=OutputTable[[#This Row],[GroupByKey]])*OutputTable[RecordedValue]))</f>
        <v>49</v>
      </c>
    </row>
    <row r="682" spans="1:16" x14ac:dyDescent="0.25">
      <c r="A682" t="s">
        <v>68</v>
      </c>
      <c r="B682" t="s">
        <v>70</v>
      </c>
      <c r="C682">
        <v>28</v>
      </c>
      <c r="D682" t="s">
        <v>116</v>
      </c>
      <c r="E682" t="s">
        <v>110</v>
      </c>
      <c r="F682" t="s">
        <v>81</v>
      </c>
      <c r="G682">
        <v>39</v>
      </c>
      <c r="H682">
        <v>0</v>
      </c>
      <c r="I68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682" s="5" cm="1">
        <f t="array" ref="J682">MAX(IF((ProjectInfoTable[ProjectName]=OutputTable[[#This Row],[ProjectName]]),(ProjectInfoTable[ProjectName]=OutputTable[[#This Row],[ProjectName]])*ProjectInfoTable[NumberOfReplications]))</f>
        <v>30</v>
      </c>
      <c r="K682" s="5" cm="1">
        <f t="array" ref="K682">IFERROR(AVERAGE(IF((OutputTable[GroupByKey]=OutputTable[[#This Row],[GroupByKey]]),(OutputTable[GroupByKey]=OutputTable[[#This Row],[GroupByKey]])*OutputTable[RecordedValue])),0)</f>
        <v>38.866666666666667</v>
      </c>
      <c r="L682" s="5" cm="1">
        <f t="array" ref="L682">IFERROR(_xlfn.STDEV.S(IF((OutputTable[GroupByKey]=OutputTable[[#This Row],[GroupByKey]]),(OutputTable[GroupByKey]=OutputTable[[#This Row],[GroupByKey]])*OutputTable[RecordedValue])),0)</f>
        <v>6.0840851369801694</v>
      </c>
      <c r="M682" s="5" cm="1">
        <f t="array" ref="M682">MAX(IF((ProjectInfoTable[ProjectName]=OutputTable[[#This Row],[ProjectName]]),(ProjectInfoTable[ProjectName]=OutputTable[[#This Row],[ProjectName]])*ProjectInfoTable[ConfidenceInterval]))</f>
        <v>0.95</v>
      </c>
      <c r="N6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82" s="5" cm="1">
        <f t="array" ref="O682">MIN(IF((OutputTable[GroupByKey]=OutputTable[[#This Row],[GroupByKey]]),(OutputTable[GroupByKey]=OutputTable[[#This Row],[GroupByKey]])*OutputTable[RecordedValue]))</f>
        <v>24</v>
      </c>
      <c r="P682" s="5" cm="1">
        <f t="array" ref="P682">MAX(IF((OutputTable[GroupByKey]=OutputTable[[#This Row],[GroupByKey]]),(OutputTable[GroupByKey]=OutputTable[[#This Row],[GroupByKey]])*OutputTable[RecordedValue]))</f>
        <v>49</v>
      </c>
    </row>
    <row r="683" spans="1:16" x14ac:dyDescent="0.25">
      <c r="A683" t="s">
        <v>68</v>
      </c>
      <c r="B683" t="s">
        <v>70</v>
      </c>
      <c r="C683">
        <v>28</v>
      </c>
      <c r="D683" t="s">
        <v>117</v>
      </c>
      <c r="E683" t="s">
        <v>112</v>
      </c>
      <c r="F683" t="s">
        <v>81</v>
      </c>
      <c r="G683">
        <v>38.645288313319597</v>
      </c>
      <c r="H683">
        <v>0</v>
      </c>
      <c r="I683" s="5" t="str">
        <f>OutputTable[[#This Row],[ProjectName]]&amp;OutputTable[[#This Row],[Name]]&amp;OutputTable[[#This Row],[Type]]&amp;OutputTable[[#This Row],[Source]]</f>
        <v>Pedido CleintesOrdnes Accum VA TimeAccum VA TimeProcess</v>
      </c>
      <c r="J683" s="5" cm="1">
        <f t="array" ref="J683">MAX(IF((ProjectInfoTable[ProjectName]=OutputTable[[#This Row],[ProjectName]]),(ProjectInfoTable[ProjectName]=OutputTable[[#This Row],[ProjectName]])*ProjectInfoTable[NumberOfReplications]))</f>
        <v>30</v>
      </c>
      <c r="K683" s="5" cm="1">
        <f t="array" ref="K683">IFERROR(AVERAGE(IF((OutputTable[GroupByKey]=OutputTable[[#This Row],[GroupByKey]]),(OutputTable[GroupByKey]=OutputTable[[#This Row],[GroupByKey]])*OutputTable[RecordedValue])),0)</f>
        <v>39.878126992056487</v>
      </c>
      <c r="L683" s="5" cm="1">
        <f t="array" ref="L683">IFERROR(_xlfn.STDEV.S(IF((OutputTable[GroupByKey]=OutputTable[[#This Row],[GroupByKey]]),(OutputTable[GroupByKey]=OutputTable[[#This Row],[GroupByKey]])*OutputTable[RecordedValue])),0)</f>
        <v>6.1068580319474277</v>
      </c>
      <c r="M683" s="5" cm="1">
        <f t="array" ref="M683">MAX(IF((ProjectInfoTable[ProjectName]=OutputTable[[#This Row],[ProjectName]]),(ProjectInfoTable[ProjectName]=OutputTable[[#This Row],[ProjectName]])*ProjectInfoTable[ConfidenceInterval]))</f>
        <v>0.95</v>
      </c>
      <c r="N6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683" s="5" cm="1">
        <f t="array" ref="O683">MIN(IF((OutputTable[GroupByKey]=OutputTable[[#This Row],[GroupByKey]]),(OutputTable[GroupByKey]=OutputTable[[#This Row],[GroupByKey]])*OutputTable[RecordedValue]))</f>
        <v>26.106281767804099</v>
      </c>
      <c r="P683" s="5" cm="1">
        <f t="array" ref="P683">MAX(IF((OutputTable[GroupByKey]=OutputTable[[#This Row],[GroupByKey]]),(OutputTable[GroupByKey]=OutputTable[[#This Row],[GroupByKey]])*OutputTable[RecordedValue]))</f>
        <v>48.706388790541098</v>
      </c>
    </row>
    <row r="684" spans="1:16" x14ac:dyDescent="0.25">
      <c r="A684" t="s">
        <v>68</v>
      </c>
      <c r="B684" t="s">
        <v>70</v>
      </c>
      <c r="C684">
        <v>28</v>
      </c>
      <c r="D684" t="s">
        <v>118</v>
      </c>
      <c r="E684" t="s">
        <v>114</v>
      </c>
      <c r="F684" t="s">
        <v>81</v>
      </c>
      <c r="G684">
        <v>6.6897159960553596</v>
      </c>
      <c r="H684">
        <v>0</v>
      </c>
      <c r="I68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684" s="5" cm="1">
        <f t="array" ref="J684">MAX(IF((ProjectInfoTable[ProjectName]=OutputTable[[#This Row],[ProjectName]]),(ProjectInfoTable[ProjectName]=OutputTable[[#This Row],[ProjectName]])*ProjectInfoTable[NumberOfReplications]))</f>
        <v>30</v>
      </c>
      <c r="K684" s="5" cm="1">
        <f t="array" ref="K684">IFERROR(AVERAGE(IF((OutputTable[GroupByKey]=OutputTable[[#This Row],[GroupByKey]]),(OutputTable[GroupByKey]=OutputTable[[#This Row],[GroupByKey]])*OutputTable[RecordedValue])),0)</f>
        <v>7.9804799821754404</v>
      </c>
      <c r="L684" s="5" cm="1">
        <f t="array" ref="L684">IFERROR(_xlfn.STDEV.S(IF((OutputTable[GroupByKey]=OutputTable[[#This Row],[GroupByKey]]),(OutputTable[GroupByKey]=OutputTable[[#This Row],[GroupByKey]])*OutputTable[RecordedValue])),0)</f>
        <v>4.8950382198155014</v>
      </c>
      <c r="M684" s="5" cm="1">
        <f t="array" ref="M684">MAX(IF((ProjectInfoTable[ProjectName]=OutputTable[[#This Row],[ProjectName]]),(ProjectInfoTable[ProjectName]=OutputTable[[#This Row],[ProjectName]])*ProjectInfoTable[ConfidenceInterval]))</f>
        <v>0.95</v>
      </c>
      <c r="N6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684" s="5" cm="1">
        <f t="array" ref="O684">MIN(IF((OutputTable[GroupByKey]=OutputTable[[#This Row],[GroupByKey]]),(OutputTable[GroupByKey]=OutputTable[[#This Row],[GroupByKey]])*OutputTable[RecordedValue]))</f>
        <v>0</v>
      </c>
      <c r="P684" s="5" cm="1">
        <f t="array" ref="P684">MAX(IF((OutputTable[GroupByKey]=OutputTable[[#This Row],[GroupByKey]]),(OutputTable[GroupByKey]=OutputTable[[#This Row],[GroupByKey]])*OutputTable[RecordedValue]))</f>
        <v>18.843855117811401</v>
      </c>
    </row>
    <row r="685" spans="1:16" x14ac:dyDescent="0.25">
      <c r="A685" t="s">
        <v>68</v>
      </c>
      <c r="B685" t="s">
        <v>70</v>
      </c>
      <c r="C685">
        <v>28</v>
      </c>
      <c r="D685" t="s">
        <v>119</v>
      </c>
      <c r="E685" t="s">
        <v>108</v>
      </c>
      <c r="F685" t="s">
        <v>81</v>
      </c>
      <c r="G685">
        <v>39</v>
      </c>
      <c r="H685">
        <v>0</v>
      </c>
      <c r="I685" s="5" t="str">
        <f>OutputTable[[#This Row],[ProjectName]]&amp;OutputTable[[#This Row],[Name]]&amp;OutputTable[[#This Row],[Type]]&amp;OutputTable[[#This Row],[Source]]</f>
        <v>Pedido CleintesOrdnes Number InNumber InProcess</v>
      </c>
      <c r="J685" s="5" cm="1">
        <f t="array" ref="J685">MAX(IF((ProjectInfoTable[ProjectName]=OutputTable[[#This Row],[ProjectName]]),(ProjectInfoTable[ProjectName]=OutputTable[[#This Row],[ProjectName]])*ProjectInfoTable[NumberOfReplications]))</f>
        <v>30</v>
      </c>
      <c r="K685" s="5" cm="1">
        <f t="array" ref="K685">IFERROR(AVERAGE(IF((OutputTable[GroupByKey]=OutputTable[[#This Row],[GroupByKey]]),(OutputTable[GroupByKey]=OutputTable[[#This Row],[GroupByKey]])*OutputTable[RecordedValue])),0)</f>
        <v>39.9</v>
      </c>
      <c r="L685" s="5" cm="1">
        <f t="array" ref="L685">IFERROR(_xlfn.STDEV.S(IF((OutputTable[GroupByKey]=OutputTable[[#This Row],[GroupByKey]]),(OutputTable[GroupByKey]=OutputTable[[#This Row],[GroupByKey]])*OutputTable[RecordedValue])),0)</f>
        <v>6.0648791101463475</v>
      </c>
      <c r="M685" s="5" cm="1">
        <f t="array" ref="M685">MAX(IF((ProjectInfoTable[ProjectName]=OutputTable[[#This Row],[ProjectName]]),(ProjectInfoTable[ProjectName]=OutputTable[[#This Row],[ProjectName]])*ProjectInfoTable[ConfidenceInterval]))</f>
        <v>0.95</v>
      </c>
      <c r="N6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685" s="5" cm="1">
        <f t="array" ref="O685">MIN(IF((OutputTable[GroupByKey]=OutputTable[[#This Row],[GroupByKey]]),(OutputTable[GroupByKey]=OutputTable[[#This Row],[GroupByKey]])*OutputTable[RecordedValue]))</f>
        <v>27</v>
      </c>
      <c r="P685" s="5" cm="1">
        <f t="array" ref="P685">MAX(IF((OutputTable[GroupByKey]=OutputTable[[#This Row],[GroupByKey]]),(OutputTable[GroupByKey]=OutputTable[[#This Row],[GroupByKey]])*OutputTable[RecordedValue]))</f>
        <v>49</v>
      </c>
    </row>
    <row r="686" spans="1:16" x14ac:dyDescent="0.25">
      <c r="A686" t="s">
        <v>68</v>
      </c>
      <c r="B686" t="s">
        <v>70</v>
      </c>
      <c r="C686">
        <v>28</v>
      </c>
      <c r="D686" t="s">
        <v>120</v>
      </c>
      <c r="E686" t="s">
        <v>110</v>
      </c>
      <c r="F686" t="s">
        <v>81</v>
      </c>
      <c r="G686">
        <v>39</v>
      </c>
      <c r="H686">
        <v>0</v>
      </c>
      <c r="I686" s="5" t="str">
        <f>OutputTable[[#This Row],[ProjectName]]&amp;OutputTable[[#This Row],[Name]]&amp;OutputTable[[#This Row],[Type]]&amp;OutputTable[[#This Row],[Source]]</f>
        <v>Pedido CleintesOrdnes Number OutNumber OutProcess</v>
      </c>
      <c r="J686" s="5" cm="1">
        <f t="array" ref="J686">MAX(IF((ProjectInfoTable[ProjectName]=OutputTable[[#This Row],[ProjectName]]),(ProjectInfoTable[ProjectName]=OutputTable[[#This Row],[ProjectName]])*ProjectInfoTable[NumberOfReplications]))</f>
        <v>30</v>
      </c>
      <c r="K686" s="5" cm="1">
        <f t="array" ref="K686">IFERROR(AVERAGE(IF((OutputTable[GroupByKey]=OutputTable[[#This Row],[GroupByKey]]),(OutputTable[GroupByKey]=OutputTable[[#This Row],[GroupByKey]])*OutputTable[RecordedValue])),0)</f>
        <v>39.666666666666664</v>
      </c>
      <c r="L686" s="5" cm="1">
        <f t="array" ref="L686">IFERROR(_xlfn.STDEV.S(IF((OutputTable[GroupByKey]=OutputTable[[#This Row],[GroupByKey]]),(OutputTable[GroupByKey]=OutputTable[[#This Row],[GroupByKey]])*OutputTable[RecordedValue])),0)</f>
        <v>6.0477030882540914</v>
      </c>
      <c r="M686" s="5" cm="1">
        <f t="array" ref="M686">MAX(IF((ProjectInfoTable[ProjectName]=OutputTable[[#This Row],[ProjectName]]),(ProjectInfoTable[ProjectName]=OutputTable[[#This Row],[ProjectName]])*ProjectInfoTable[ConfidenceInterval]))</f>
        <v>0.95</v>
      </c>
      <c r="N6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86" s="5" cm="1">
        <f t="array" ref="O686">MIN(IF((OutputTable[GroupByKey]=OutputTable[[#This Row],[GroupByKey]]),(OutputTable[GroupByKey]=OutputTable[[#This Row],[GroupByKey]])*OutputTable[RecordedValue]))</f>
        <v>26</v>
      </c>
      <c r="P686" s="5" cm="1">
        <f t="array" ref="P686">MAX(IF((OutputTable[GroupByKey]=OutputTable[[#This Row],[GroupByKey]]),(OutputTable[GroupByKey]=OutputTable[[#This Row],[GroupByKey]])*OutputTable[RecordedValue]))</f>
        <v>49</v>
      </c>
    </row>
    <row r="687" spans="1:16" x14ac:dyDescent="0.25">
      <c r="A687" t="s">
        <v>68</v>
      </c>
      <c r="B687" t="s">
        <v>70</v>
      </c>
      <c r="C687">
        <v>28</v>
      </c>
      <c r="D687" t="s">
        <v>121</v>
      </c>
      <c r="E687" t="s">
        <v>112</v>
      </c>
      <c r="F687" t="s">
        <v>81</v>
      </c>
      <c r="G687">
        <v>28.861021486197199</v>
      </c>
      <c r="H687">
        <v>0</v>
      </c>
      <c r="I687" s="5" t="str">
        <f>OutputTable[[#This Row],[ProjectName]]&amp;OutputTable[[#This Row],[Name]]&amp;OutputTable[[#This Row],[Type]]&amp;OutputTable[[#This Row],[Source]]</f>
        <v>Pedido CleintesPago Accum VA TimeAccum VA TimeProcess</v>
      </c>
      <c r="J687" s="5" cm="1">
        <f t="array" ref="J687">MAX(IF((ProjectInfoTable[ProjectName]=OutputTable[[#This Row],[ProjectName]]),(ProjectInfoTable[ProjectName]=OutputTable[[#This Row],[ProjectName]])*ProjectInfoTable[NumberOfReplications]))</f>
        <v>30</v>
      </c>
      <c r="K687" s="5" cm="1">
        <f t="array" ref="K687">IFERROR(AVERAGE(IF((OutputTable[GroupByKey]=OutputTable[[#This Row],[GroupByKey]]),(OutputTable[GroupByKey]=OutputTable[[#This Row],[GroupByKey]])*OutputTable[RecordedValue])),0)</f>
        <v>29.486262713858675</v>
      </c>
      <c r="L687" s="5" cm="1">
        <f t="array" ref="L687">IFERROR(_xlfn.STDEV.S(IF((OutputTable[GroupByKey]=OutputTable[[#This Row],[GroupByKey]]),(OutputTable[GroupByKey]=OutputTable[[#This Row],[GroupByKey]])*OutputTable[RecordedValue])),0)</f>
        <v>4.747176664010901</v>
      </c>
      <c r="M687" s="5" cm="1">
        <f t="array" ref="M687">MAX(IF((ProjectInfoTable[ProjectName]=OutputTable[[#This Row],[ProjectName]]),(ProjectInfoTable[ProjectName]=OutputTable[[#This Row],[ProjectName]])*ProjectInfoTable[ConfidenceInterval]))</f>
        <v>0.95</v>
      </c>
      <c r="N6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687" s="5" cm="1">
        <f t="array" ref="O687">MIN(IF((OutputTable[GroupByKey]=OutputTable[[#This Row],[GroupByKey]]),(OutputTable[GroupByKey]=OutputTable[[#This Row],[GroupByKey]])*OutputTable[RecordedValue]))</f>
        <v>19.573210250889101</v>
      </c>
      <c r="P687" s="5" cm="1">
        <f t="array" ref="P687">MAX(IF((OutputTable[GroupByKey]=OutputTable[[#This Row],[GroupByKey]]),(OutputTable[GroupByKey]=OutputTable[[#This Row],[GroupByKey]])*OutputTable[RecordedValue]))</f>
        <v>37.056974462114901</v>
      </c>
    </row>
    <row r="688" spans="1:16" x14ac:dyDescent="0.25">
      <c r="A688" t="s">
        <v>68</v>
      </c>
      <c r="B688" t="s">
        <v>70</v>
      </c>
      <c r="C688">
        <v>28</v>
      </c>
      <c r="D688" t="s">
        <v>122</v>
      </c>
      <c r="E688" t="s">
        <v>114</v>
      </c>
      <c r="F688" t="s">
        <v>81</v>
      </c>
      <c r="G688">
        <v>15.7887783455324</v>
      </c>
      <c r="H688">
        <v>0</v>
      </c>
      <c r="I688" s="5" t="str">
        <f>OutputTable[[#This Row],[ProjectName]]&amp;OutputTable[[#This Row],[Name]]&amp;OutputTable[[#This Row],[Type]]&amp;OutputTable[[#This Row],[Source]]</f>
        <v>Pedido CleintesPago Accum Wait TimeAccum Wait TimeProcess</v>
      </c>
      <c r="J688" s="5" cm="1">
        <f t="array" ref="J688">MAX(IF((ProjectInfoTable[ProjectName]=OutputTable[[#This Row],[ProjectName]]),(ProjectInfoTable[ProjectName]=OutputTable[[#This Row],[ProjectName]])*ProjectInfoTable[NumberOfReplications]))</f>
        <v>30</v>
      </c>
      <c r="K688" s="5" cm="1">
        <f t="array" ref="K688">IFERROR(AVERAGE(IF((OutputTable[GroupByKey]=OutputTable[[#This Row],[GroupByKey]]),(OutputTable[GroupByKey]=OutputTable[[#This Row],[GroupByKey]])*OutputTable[RecordedValue])),0)</f>
        <v>13.025761997568024</v>
      </c>
      <c r="L688" s="5" cm="1">
        <f t="array" ref="L688">IFERROR(_xlfn.STDEV.S(IF((OutputTable[GroupByKey]=OutputTable[[#This Row],[GroupByKey]]),(OutputTable[GroupByKey]=OutputTable[[#This Row],[GroupByKey]])*OutputTable[RecordedValue])),0)</f>
        <v>7.8467935605388783</v>
      </c>
      <c r="M688" s="5" cm="1">
        <f t="array" ref="M688">MAX(IF((ProjectInfoTable[ProjectName]=OutputTable[[#This Row],[ProjectName]]),(ProjectInfoTable[ProjectName]=OutputTable[[#This Row],[ProjectName]])*ProjectInfoTable[ConfidenceInterval]))</f>
        <v>0.95</v>
      </c>
      <c r="N6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688" s="5" cm="1">
        <f t="array" ref="O688">MIN(IF((OutputTable[GroupByKey]=OutputTable[[#This Row],[GroupByKey]]),(OutputTable[GroupByKey]=OutputTable[[#This Row],[GroupByKey]])*OutputTable[RecordedValue]))</f>
        <v>0</v>
      </c>
      <c r="P688" s="5" cm="1">
        <f t="array" ref="P688">MAX(IF((OutputTable[GroupByKey]=OutputTable[[#This Row],[GroupByKey]]),(OutputTable[GroupByKey]=OutputTable[[#This Row],[GroupByKey]])*OutputTable[RecordedValue]))</f>
        <v>32.770863925850499</v>
      </c>
    </row>
    <row r="689" spans="1:16" x14ac:dyDescent="0.25">
      <c r="A689" t="s">
        <v>68</v>
      </c>
      <c r="B689" t="s">
        <v>70</v>
      </c>
      <c r="C689">
        <v>28</v>
      </c>
      <c r="D689" t="s">
        <v>123</v>
      </c>
      <c r="E689" t="s">
        <v>108</v>
      </c>
      <c r="F689" t="s">
        <v>81</v>
      </c>
      <c r="G689">
        <v>39</v>
      </c>
      <c r="H689">
        <v>0</v>
      </c>
      <c r="I689" s="5" t="str">
        <f>OutputTable[[#This Row],[ProjectName]]&amp;OutputTable[[#This Row],[Name]]&amp;OutputTable[[#This Row],[Type]]&amp;OutputTable[[#This Row],[Source]]</f>
        <v>Pedido CleintesPago Number InNumber InProcess</v>
      </c>
      <c r="J689" s="5" cm="1">
        <f t="array" ref="J689">MAX(IF((ProjectInfoTable[ProjectName]=OutputTable[[#This Row],[ProjectName]]),(ProjectInfoTable[ProjectName]=OutputTable[[#This Row],[ProjectName]])*ProjectInfoTable[NumberOfReplications]))</f>
        <v>30</v>
      </c>
      <c r="K689" s="5" cm="1">
        <f t="array" ref="K689">IFERROR(AVERAGE(IF((OutputTable[GroupByKey]=OutputTable[[#This Row],[GroupByKey]]),(OutputTable[GroupByKey]=OutputTable[[#This Row],[GroupByKey]])*OutputTable[RecordedValue])),0)</f>
        <v>39.666666666666664</v>
      </c>
      <c r="L689" s="5" cm="1">
        <f t="array" ref="L689">IFERROR(_xlfn.STDEV.S(IF((OutputTable[GroupByKey]=OutputTable[[#This Row],[GroupByKey]]),(OutputTable[GroupByKey]=OutputTable[[#This Row],[GroupByKey]])*OutputTable[RecordedValue])),0)</f>
        <v>6.0477030882540914</v>
      </c>
      <c r="M689" s="5" cm="1">
        <f t="array" ref="M689">MAX(IF((ProjectInfoTable[ProjectName]=OutputTable[[#This Row],[ProjectName]]),(ProjectInfoTable[ProjectName]=OutputTable[[#This Row],[ProjectName]])*ProjectInfoTable[ConfidenceInterval]))</f>
        <v>0.95</v>
      </c>
      <c r="N6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89" s="5" cm="1">
        <f t="array" ref="O689">MIN(IF((OutputTable[GroupByKey]=OutputTable[[#This Row],[GroupByKey]]),(OutputTable[GroupByKey]=OutputTable[[#This Row],[GroupByKey]])*OutputTable[RecordedValue]))</f>
        <v>26</v>
      </c>
      <c r="P689" s="5" cm="1">
        <f t="array" ref="P689">MAX(IF((OutputTable[GroupByKey]=OutputTable[[#This Row],[GroupByKey]]),(OutputTable[GroupByKey]=OutputTable[[#This Row],[GroupByKey]])*OutputTable[RecordedValue]))</f>
        <v>49</v>
      </c>
    </row>
    <row r="690" spans="1:16" x14ac:dyDescent="0.25">
      <c r="A690" t="s">
        <v>68</v>
      </c>
      <c r="B690" t="s">
        <v>70</v>
      </c>
      <c r="C690">
        <v>28</v>
      </c>
      <c r="D690" t="s">
        <v>124</v>
      </c>
      <c r="E690" t="s">
        <v>110</v>
      </c>
      <c r="F690" t="s">
        <v>81</v>
      </c>
      <c r="G690">
        <v>39</v>
      </c>
      <c r="H690">
        <v>0</v>
      </c>
      <c r="I690" s="5" t="str">
        <f>OutputTable[[#This Row],[ProjectName]]&amp;OutputTable[[#This Row],[Name]]&amp;OutputTable[[#This Row],[Type]]&amp;OutputTable[[#This Row],[Source]]</f>
        <v>Pedido CleintesPago Number OutNumber OutProcess</v>
      </c>
      <c r="J690" s="5" cm="1">
        <f t="array" ref="J690">MAX(IF((ProjectInfoTable[ProjectName]=OutputTable[[#This Row],[ProjectName]]),(ProjectInfoTable[ProjectName]=OutputTable[[#This Row],[ProjectName]])*ProjectInfoTable[NumberOfReplications]))</f>
        <v>30</v>
      </c>
      <c r="K690" s="5" cm="1">
        <f t="array" ref="K690">IFERROR(AVERAGE(IF((OutputTable[GroupByKey]=OutputTable[[#This Row],[GroupByKey]]),(OutputTable[GroupByKey]=OutputTable[[#This Row],[GroupByKey]])*OutputTable[RecordedValue])),0)</f>
        <v>39.43333333333333</v>
      </c>
      <c r="L690" s="5" cm="1">
        <f t="array" ref="L690">IFERROR(_xlfn.STDEV.S(IF((OutputTable[GroupByKey]=OutputTable[[#This Row],[GroupByKey]]),(OutputTable[GroupByKey]=OutputTable[[#This Row],[GroupByKey]])*OutputTable[RecordedValue])),0)</f>
        <v>5.9171482724502509</v>
      </c>
      <c r="M690" s="5" cm="1">
        <f t="array" ref="M690">MAX(IF((ProjectInfoTable[ProjectName]=OutputTable[[#This Row],[ProjectName]]),(ProjectInfoTable[ProjectName]=OutputTable[[#This Row],[ProjectName]])*ProjectInfoTable[ConfidenceInterval]))</f>
        <v>0.95</v>
      </c>
      <c r="N6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690" s="5" cm="1">
        <f t="array" ref="O690">MIN(IF((OutputTable[GroupByKey]=OutputTable[[#This Row],[GroupByKey]]),(OutputTable[GroupByKey]=OutputTable[[#This Row],[GroupByKey]])*OutputTable[RecordedValue]))</f>
        <v>26</v>
      </c>
      <c r="P690" s="5" cm="1">
        <f t="array" ref="P690">MAX(IF((OutputTable[GroupByKey]=OutputTable[[#This Row],[GroupByKey]]),(OutputTable[GroupByKey]=OutputTable[[#This Row],[GroupByKey]])*OutputTable[RecordedValue]))</f>
        <v>49</v>
      </c>
    </row>
    <row r="691" spans="1:16" x14ac:dyDescent="0.25">
      <c r="A691" t="s">
        <v>68</v>
      </c>
      <c r="B691" t="s">
        <v>70</v>
      </c>
      <c r="C691">
        <v>28</v>
      </c>
      <c r="D691" t="s">
        <v>125</v>
      </c>
      <c r="E691" t="s">
        <v>112</v>
      </c>
      <c r="F691" t="s">
        <v>81</v>
      </c>
      <c r="G691">
        <v>117.84205621224601</v>
      </c>
      <c r="H691">
        <v>0</v>
      </c>
      <c r="I69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691" s="5" cm="1">
        <f t="array" ref="J691">MAX(IF((ProjectInfoTable[ProjectName]=OutputTable[[#This Row],[ProjectName]]),(ProjectInfoTable[ProjectName]=OutputTable[[#This Row],[ProjectName]])*ProjectInfoTable[NumberOfReplications]))</f>
        <v>30</v>
      </c>
      <c r="K691" s="5" cm="1">
        <f t="array" ref="K691">IFERROR(AVERAGE(IF((OutputTable[GroupByKey]=OutputTable[[#This Row],[GroupByKey]]),(OutputTable[GroupByKey]=OutputTable[[#This Row],[GroupByKey]])*OutputTable[RecordedValue])),0)</f>
        <v>116.64263458387505</v>
      </c>
      <c r="L691" s="5" cm="1">
        <f t="array" ref="L691">IFERROR(_xlfn.STDEV.S(IF((OutputTable[GroupByKey]=OutputTable[[#This Row],[GroupByKey]]),(OutputTable[GroupByKey]=OutputTable[[#This Row],[GroupByKey]])*OutputTable[RecordedValue])),0)</f>
        <v>17.825477946659205</v>
      </c>
      <c r="M691" s="5" cm="1">
        <f t="array" ref="M691">MAX(IF((ProjectInfoTable[ProjectName]=OutputTable[[#This Row],[ProjectName]]),(ProjectInfoTable[ProjectName]=OutputTable[[#This Row],[ProjectName]])*ProjectInfoTable[ConfidenceInterval]))</f>
        <v>0.95</v>
      </c>
      <c r="N6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691" s="5" cm="1">
        <f t="array" ref="O691">MIN(IF((OutputTable[GroupByKey]=OutputTable[[#This Row],[GroupByKey]]),(OutputTable[GroupByKey]=OutputTable[[#This Row],[GroupByKey]])*OutputTable[RecordedValue]))</f>
        <v>74.976560761710004</v>
      </c>
      <c r="P691" s="5" cm="1">
        <f t="array" ref="P691">MAX(IF((OutputTable[GroupByKey]=OutputTable[[#This Row],[GroupByKey]]),(OutputTable[GroupByKey]=OutputTable[[#This Row],[GroupByKey]])*OutputTable[RecordedValue]))</f>
        <v>145.504156763596</v>
      </c>
    </row>
    <row r="692" spans="1:16" x14ac:dyDescent="0.25">
      <c r="A692" t="s">
        <v>68</v>
      </c>
      <c r="B692" t="s">
        <v>70</v>
      </c>
      <c r="C692">
        <v>28</v>
      </c>
      <c r="D692" t="s">
        <v>126</v>
      </c>
      <c r="E692" t="s">
        <v>114</v>
      </c>
      <c r="F692" t="s">
        <v>81</v>
      </c>
      <c r="G692">
        <v>33.672961331529301</v>
      </c>
      <c r="H692">
        <v>0</v>
      </c>
      <c r="I69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692" s="5" cm="1">
        <f t="array" ref="J692">MAX(IF((ProjectInfoTable[ProjectName]=OutputTable[[#This Row],[ProjectName]]),(ProjectInfoTable[ProjectName]=OutputTable[[#This Row],[ProjectName]])*ProjectInfoTable[NumberOfReplications]))</f>
        <v>30</v>
      </c>
      <c r="K692" s="5" cm="1">
        <f t="array" ref="K692">IFERROR(AVERAGE(IF((OutputTable[GroupByKey]=OutputTable[[#This Row],[GroupByKey]]),(OutputTable[GroupByKey]=OutputTable[[#This Row],[GroupByKey]])*OutputTable[RecordedValue])),0)</f>
        <v>39.900972800228722</v>
      </c>
      <c r="L692" s="5" cm="1">
        <f t="array" ref="L692">IFERROR(_xlfn.STDEV.S(IF((OutputTable[GroupByKey]=OutputTable[[#This Row],[GroupByKey]]),(OutputTable[GroupByKey]=OutputTable[[#This Row],[GroupByKey]])*OutputTable[RecordedValue])),0)</f>
        <v>22.922906975864144</v>
      </c>
      <c r="M692" s="5" cm="1">
        <f t="array" ref="M692">MAX(IF((ProjectInfoTable[ProjectName]=OutputTable[[#This Row],[ProjectName]]),(ProjectInfoTable[ProjectName]=OutputTable[[#This Row],[ProjectName]])*ProjectInfoTable[ConfidenceInterval]))</f>
        <v>0.95</v>
      </c>
      <c r="N6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692" s="5" cm="1">
        <f t="array" ref="O692">MIN(IF((OutputTable[GroupByKey]=OutputTable[[#This Row],[GroupByKey]]),(OutputTable[GroupByKey]=OutputTable[[#This Row],[GroupByKey]])*OutputTable[RecordedValue]))</f>
        <v>2.1708788192608899</v>
      </c>
      <c r="P692" s="5" cm="1">
        <f t="array" ref="P692">MAX(IF((OutputTable[GroupByKey]=OutputTable[[#This Row],[GroupByKey]]),(OutputTable[GroupByKey]=OutputTable[[#This Row],[GroupByKey]])*OutputTable[RecordedValue]))</f>
        <v>94.9142929398908</v>
      </c>
    </row>
    <row r="693" spans="1:16" x14ac:dyDescent="0.25">
      <c r="A693" t="s">
        <v>68</v>
      </c>
      <c r="B693" t="s">
        <v>70</v>
      </c>
      <c r="C693">
        <v>28</v>
      </c>
      <c r="D693" t="s">
        <v>127</v>
      </c>
      <c r="E693" t="s">
        <v>108</v>
      </c>
      <c r="F693" t="s">
        <v>81</v>
      </c>
      <c r="G693">
        <v>39</v>
      </c>
      <c r="H693">
        <v>0</v>
      </c>
      <c r="I693" s="5" t="str">
        <f>OutputTable[[#This Row],[ProjectName]]&amp;OutputTable[[#This Row],[Name]]&amp;OutputTable[[#This Row],[Type]]&amp;OutputTable[[#This Row],[Source]]</f>
        <v>Pedido CleintesPreparar orden Number InNumber InProcess</v>
      </c>
      <c r="J693" s="5" cm="1">
        <f t="array" ref="J693">MAX(IF((ProjectInfoTable[ProjectName]=OutputTable[[#This Row],[ProjectName]]),(ProjectInfoTable[ProjectName]=OutputTable[[#This Row],[ProjectName]])*ProjectInfoTable[NumberOfReplications]))</f>
        <v>30</v>
      </c>
      <c r="K693" s="5" cm="1">
        <f t="array" ref="K693">IFERROR(AVERAGE(IF((OutputTable[GroupByKey]=OutputTable[[#This Row],[GroupByKey]]),(OutputTable[GroupByKey]=OutputTable[[#This Row],[GroupByKey]])*OutputTable[RecordedValue])),0)</f>
        <v>39.666666666666664</v>
      </c>
      <c r="L693" s="5" cm="1">
        <f t="array" ref="L693">IFERROR(_xlfn.STDEV.S(IF((OutputTable[GroupByKey]=OutputTable[[#This Row],[GroupByKey]]),(OutputTable[GroupByKey]=OutputTable[[#This Row],[GroupByKey]])*OutputTable[RecordedValue])),0)</f>
        <v>6.0477030882540914</v>
      </c>
      <c r="M693" s="5" cm="1">
        <f t="array" ref="M693">MAX(IF((ProjectInfoTable[ProjectName]=OutputTable[[#This Row],[ProjectName]]),(ProjectInfoTable[ProjectName]=OutputTable[[#This Row],[ProjectName]])*ProjectInfoTable[ConfidenceInterval]))</f>
        <v>0.95</v>
      </c>
      <c r="N6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693" s="5" cm="1">
        <f t="array" ref="O693">MIN(IF((OutputTable[GroupByKey]=OutputTable[[#This Row],[GroupByKey]]),(OutputTable[GroupByKey]=OutputTable[[#This Row],[GroupByKey]])*OutputTable[RecordedValue]))</f>
        <v>26</v>
      </c>
      <c r="P693" s="5" cm="1">
        <f t="array" ref="P693">MAX(IF((OutputTable[GroupByKey]=OutputTable[[#This Row],[GroupByKey]]),(OutputTable[GroupByKey]=OutputTable[[#This Row],[GroupByKey]])*OutputTable[RecordedValue]))</f>
        <v>49</v>
      </c>
    </row>
    <row r="694" spans="1:16" x14ac:dyDescent="0.25">
      <c r="A694" t="s">
        <v>68</v>
      </c>
      <c r="B694" t="s">
        <v>70</v>
      </c>
      <c r="C694">
        <v>28</v>
      </c>
      <c r="D694" t="s">
        <v>128</v>
      </c>
      <c r="E694" t="s">
        <v>110</v>
      </c>
      <c r="F694" t="s">
        <v>81</v>
      </c>
      <c r="G694">
        <v>39</v>
      </c>
      <c r="H694">
        <v>0</v>
      </c>
      <c r="I694" s="5" t="str">
        <f>OutputTable[[#This Row],[ProjectName]]&amp;OutputTable[[#This Row],[Name]]&amp;OutputTable[[#This Row],[Type]]&amp;OutputTable[[#This Row],[Source]]</f>
        <v>Pedido CleintesPreparar orden Number OutNumber OutProcess</v>
      </c>
      <c r="J694" s="5" cm="1">
        <f t="array" ref="J694">MAX(IF((ProjectInfoTable[ProjectName]=OutputTable[[#This Row],[ProjectName]]),(ProjectInfoTable[ProjectName]=OutputTable[[#This Row],[ProjectName]])*ProjectInfoTable[NumberOfReplications]))</f>
        <v>30</v>
      </c>
      <c r="K694" s="5" cm="1">
        <f t="array" ref="K694">IFERROR(AVERAGE(IF((OutputTable[GroupByKey]=OutputTable[[#This Row],[GroupByKey]]),(OutputTable[GroupByKey]=OutputTable[[#This Row],[GroupByKey]])*OutputTable[RecordedValue])),0)</f>
        <v>38.93333333333333</v>
      </c>
      <c r="L694" s="5" cm="1">
        <f t="array" ref="L694">IFERROR(_xlfn.STDEV.S(IF((OutputTable[GroupByKey]=OutputTable[[#This Row],[GroupByKey]]),(OutputTable[GroupByKey]=OutputTable[[#This Row],[GroupByKey]])*OutputTable[RecordedValue])),0)</f>
        <v>5.9765826548191505</v>
      </c>
      <c r="M694" s="5" cm="1">
        <f t="array" ref="M694">MAX(IF((ProjectInfoTable[ProjectName]=OutputTable[[#This Row],[ProjectName]]),(ProjectInfoTable[ProjectName]=OutputTable[[#This Row],[ProjectName]])*ProjectInfoTable[ConfidenceInterval]))</f>
        <v>0.95</v>
      </c>
      <c r="N6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694" s="5" cm="1">
        <f t="array" ref="O694">MIN(IF((OutputTable[GroupByKey]=OutputTable[[#This Row],[GroupByKey]]),(OutputTable[GroupByKey]=OutputTable[[#This Row],[GroupByKey]])*OutputTable[RecordedValue]))</f>
        <v>25</v>
      </c>
      <c r="P694" s="5" cm="1">
        <f t="array" ref="P694">MAX(IF((OutputTable[GroupByKey]=OutputTable[[#This Row],[GroupByKey]]),(OutputTable[GroupByKey]=OutputTable[[#This Row],[GroupByKey]])*OutputTable[RecordedValue]))</f>
        <v>49</v>
      </c>
    </row>
    <row r="695" spans="1:16" x14ac:dyDescent="0.25">
      <c r="A695" t="s">
        <v>68</v>
      </c>
      <c r="B695" t="s">
        <v>70</v>
      </c>
      <c r="C695">
        <v>28</v>
      </c>
      <c r="D695" t="s">
        <v>129</v>
      </c>
      <c r="E695" t="s">
        <v>110</v>
      </c>
      <c r="F695" t="s">
        <v>130</v>
      </c>
      <c r="G695">
        <v>39</v>
      </c>
      <c r="H695">
        <v>0</v>
      </c>
      <c r="I695" s="5" t="str">
        <f>OutputTable[[#This Row],[ProjectName]]&amp;OutputTable[[#This Row],[Name]]&amp;OutputTable[[#This Row],[Type]]&amp;OutputTable[[#This Row],[Source]]</f>
        <v>Pedido CleintesSystem.NumberOutNumber OutSystem</v>
      </c>
      <c r="J695" s="5" cm="1">
        <f t="array" ref="J695">MAX(IF((ProjectInfoTable[ProjectName]=OutputTable[[#This Row],[ProjectName]]),(ProjectInfoTable[ProjectName]=OutputTable[[#This Row],[ProjectName]])*ProjectInfoTable[NumberOfReplications]))</f>
        <v>30</v>
      </c>
      <c r="K695" s="5" cm="1">
        <f t="array" ref="K695">IFERROR(AVERAGE(IF((OutputTable[GroupByKey]=OutputTable[[#This Row],[GroupByKey]]),(OutputTable[GroupByKey]=OutputTable[[#This Row],[GroupByKey]])*OutputTable[RecordedValue])),0)</f>
        <v>38.866666666666667</v>
      </c>
      <c r="L695" s="5" cm="1">
        <f t="array" ref="L695">IFERROR(_xlfn.STDEV.S(IF((OutputTable[GroupByKey]=OutputTable[[#This Row],[GroupByKey]]),(OutputTable[GroupByKey]=OutputTable[[#This Row],[GroupByKey]])*OutputTable[RecordedValue])),0)</f>
        <v>6.0840851369801694</v>
      </c>
      <c r="M695" s="5" cm="1">
        <f t="array" ref="M695">MAX(IF((ProjectInfoTable[ProjectName]=OutputTable[[#This Row],[ProjectName]]),(ProjectInfoTable[ProjectName]=OutputTable[[#This Row],[ProjectName]])*ProjectInfoTable[ConfidenceInterval]))</f>
        <v>0.95</v>
      </c>
      <c r="N6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695" s="5" cm="1">
        <f t="array" ref="O695">MIN(IF((OutputTable[GroupByKey]=OutputTable[[#This Row],[GroupByKey]]),(OutputTable[GroupByKey]=OutputTable[[#This Row],[GroupByKey]])*OutputTable[RecordedValue]))</f>
        <v>24</v>
      </c>
      <c r="P695" s="5" cm="1">
        <f t="array" ref="P695">MAX(IF((OutputTable[GroupByKey]=OutputTable[[#This Row],[GroupByKey]]),(OutputTable[GroupByKey]=OutputTable[[#This Row],[GroupByKey]])*OutputTable[RecordedValue]))</f>
        <v>49</v>
      </c>
    </row>
    <row r="696" spans="1:16" x14ac:dyDescent="0.25">
      <c r="A696" t="s">
        <v>68</v>
      </c>
      <c r="B696" t="s">
        <v>70</v>
      </c>
      <c r="C696">
        <v>28</v>
      </c>
      <c r="D696" t="s">
        <v>131</v>
      </c>
      <c r="E696" t="s">
        <v>132</v>
      </c>
      <c r="F696" t="s">
        <v>102</v>
      </c>
      <c r="G696">
        <v>39</v>
      </c>
      <c r="H696">
        <v>0</v>
      </c>
      <c r="I69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696" s="5" cm="1">
        <f t="array" ref="J696">MAX(IF((ProjectInfoTable[ProjectName]=OutputTable[[#This Row],[ProjectName]]),(ProjectInfoTable[ProjectName]=OutputTable[[#This Row],[ProjectName]])*ProjectInfoTable[NumberOfReplications]))</f>
        <v>30</v>
      </c>
      <c r="K696" s="5" cm="1">
        <f t="array" ref="K696">IFERROR(AVERAGE(IF((OutputTable[GroupByKey]=OutputTable[[#This Row],[GroupByKey]]),(OutputTable[GroupByKey]=OutputTable[[#This Row],[GroupByKey]])*OutputTable[RecordedValue])),0)</f>
        <v>39.4</v>
      </c>
      <c r="L696" s="5" cm="1">
        <f t="array" ref="L696">IFERROR(_xlfn.STDEV.S(IF((OutputTable[GroupByKey]=OutputTable[[#This Row],[GroupByKey]]),(OutputTable[GroupByKey]=OutputTable[[#This Row],[GroupByKey]])*OutputTable[RecordedValue])),0)</f>
        <v>5.8757244601014422</v>
      </c>
      <c r="M696" s="5" cm="1">
        <f t="array" ref="M696">MAX(IF((ProjectInfoTable[ProjectName]=OutputTable[[#This Row],[ProjectName]]),(ProjectInfoTable[ProjectName]=OutputTable[[#This Row],[ProjectName]])*ProjectInfoTable[ConfidenceInterval]))</f>
        <v>0.95</v>
      </c>
      <c r="N6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696" s="5" cm="1">
        <f t="array" ref="O696">MIN(IF((OutputTable[GroupByKey]=OutputTable[[#This Row],[GroupByKey]]),(OutputTable[GroupByKey]=OutputTable[[#This Row],[GroupByKey]])*OutputTable[RecordedValue]))</f>
        <v>26</v>
      </c>
      <c r="P696" s="5" cm="1">
        <f t="array" ref="P696">MAX(IF((OutputTable[GroupByKey]=OutputTable[[#This Row],[GroupByKey]]),(OutputTable[GroupByKey]=OutputTable[[#This Row],[GroupByKey]])*OutputTable[RecordedValue]))</f>
        <v>49</v>
      </c>
    </row>
    <row r="697" spans="1:16" x14ac:dyDescent="0.25">
      <c r="A697" t="s">
        <v>68</v>
      </c>
      <c r="B697" t="s">
        <v>70</v>
      </c>
      <c r="C697">
        <v>28</v>
      </c>
      <c r="D697" t="s">
        <v>133</v>
      </c>
      <c r="E697" t="s">
        <v>134</v>
      </c>
      <c r="F697" t="s">
        <v>102</v>
      </c>
      <c r="G697">
        <v>0.49100856755102501</v>
      </c>
      <c r="H697">
        <v>0</v>
      </c>
      <c r="I69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697" s="5" cm="1">
        <f t="array" ref="J697">MAX(IF((ProjectInfoTable[ProjectName]=OutputTable[[#This Row],[ProjectName]]),(ProjectInfoTable[ProjectName]=OutputTable[[#This Row],[ProjectName]])*ProjectInfoTable[NumberOfReplications]))</f>
        <v>30</v>
      </c>
      <c r="K697" s="5" cm="1">
        <f t="array" ref="K697">IFERROR(AVERAGE(IF((OutputTable[GroupByKey]=OutputTable[[#This Row],[GroupByKey]]),(OutputTable[GroupByKey]=OutputTable[[#This Row],[GroupByKey]])*OutputTable[RecordedValue])),0)</f>
        <v>0.48891840079317483</v>
      </c>
      <c r="L697" s="5" cm="1">
        <f t="array" ref="L697">IFERROR(_xlfn.STDEV.S(IF((OutputTable[GroupByKey]=OutputTable[[#This Row],[GroupByKey]]),(OutputTable[GroupByKey]=OutputTable[[#This Row],[GroupByKey]])*OutputTable[RecordedValue])),0)</f>
        <v>7.3627413122013347E-2</v>
      </c>
      <c r="M697" s="5" cm="1">
        <f t="array" ref="M697">MAX(IF((ProjectInfoTable[ProjectName]=OutputTable[[#This Row],[ProjectName]]),(ProjectInfoTable[ProjectName]=OutputTable[[#This Row],[ProjectName]])*ProjectInfoTable[ConfidenceInterval]))</f>
        <v>0.95</v>
      </c>
      <c r="N6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697" s="5" cm="1">
        <f t="array" ref="O697">MIN(IF((OutputTable[GroupByKey]=OutputTable[[#This Row],[GroupByKey]]),(OutputTable[GroupByKey]=OutputTable[[#This Row],[GroupByKey]])*OutputTable[RecordedValue]))</f>
        <v>0.31277577999924699</v>
      </c>
      <c r="P697" s="5" cm="1">
        <f t="array" ref="P697">MAX(IF((OutputTable[GroupByKey]=OutputTable[[#This Row],[GroupByKey]]),(OutputTable[GroupByKey]=OutputTable[[#This Row],[GroupByKey]])*OutputTable[RecordedValue]))</f>
        <v>0.60626731984831705</v>
      </c>
    </row>
    <row r="698" spans="1:16" x14ac:dyDescent="0.25">
      <c r="A698" t="s">
        <v>68</v>
      </c>
      <c r="B698" t="s">
        <v>70</v>
      </c>
      <c r="C698">
        <v>28</v>
      </c>
      <c r="D698" t="s">
        <v>135</v>
      </c>
      <c r="E698" t="s">
        <v>132</v>
      </c>
      <c r="F698" t="s">
        <v>102</v>
      </c>
      <c r="G698">
        <v>78</v>
      </c>
      <c r="H698">
        <v>0</v>
      </c>
      <c r="I69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698" s="5" cm="1">
        <f t="array" ref="J698">MAX(IF((ProjectInfoTable[ProjectName]=OutputTable[[#This Row],[ProjectName]]),(ProjectInfoTable[ProjectName]=OutputTable[[#This Row],[ProjectName]])*ProjectInfoTable[NumberOfReplications]))</f>
        <v>30</v>
      </c>
      <c r="K698" s="5" cm="1">
        <f t="array" ref="K698">IFERROR(AVERAGE(IF((OutputTable[GroupByKey]=OutputTable[[#This Row],[GroupByKey]]),(OutputTable[GroupByKey]=OutputTable[[#This Row],[GroupByKey]])*OutputTable[RecordedValue])),0)</f>
        <v>79.466666666666669</v>
      </c>
      <c r="L698" s="5" cm="1">
        <f t="array" ref="L698">IFERROR(_xlfn.STDEV.S(IF((OutputTable[GroupByKey]=OutputTable[[#This Row],[GroupByKey]]),(OutputTable[GroupByKey]=OutputTable[[#This Row],[GroupByKey]])*OutputTable[RecordedValue])),0)</f>
        <v>12.016463801753446</v>
      </c>
      <c r="M698" s="5" cm="1">
        <f t="array" ref="M698">MAX(IF((ProjectInfoTable[ProjectName]=OutputTable[[#This Row],[ProjectName]]),(ProjectInfoTable[ProjectName]=OutputTable[[#This Row],[ProjectName]])*ProjectInfoTable[ConfidenceInterval]))</f>
        <v>0.95</v>
      </c>
      <c r="N6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698" s="5" cm="1">
        <f t="array" ref="O698">MIN(IF((OutputTable[GroupByKey]=OutputTable[[#This Row],[GroupByKey]]),(OutputTable[GroupByKey]=OutputTable[[#This Row],[GroupByKey]])*OutputTable[RecordedValue]))</f>
        <v>53</v>
      </c>
      <c r="P698" s="5" cm="1">
        <f t="array" ref="P698">MAX(IF((OutputTable[GroupByKey]=OutputTable[[#This Row],[GroupByKey]]),(OutputTable[GroupByKey]=OutputTable[[#This Row],[GroupByKey]])*OutputTable[RecordedValue]))</f>
        <v>98</v>
      </c>
    </row>
    <row r="699" spans="1:16" x14ac:dyDescent="0.25">
      <c r="A699" t="s">
        <v>68</v>
      </c>
      <c r="B699" t="s">
        <v>70</v>
      </c>
      <c r="C699">
        <v>28</v>
      </c>
      <c r="D699" t="s">
        <v>136</v>
      </c>
      <c r="E699" t="s">
        <v>134</v>
      </c>
      <c r="F699" t="s">
        <v>102</v>
      </c>
      <c r="G699">
        <v>0.28127629083132</v>
      </c>
      <c r="H699">
        <v>0</v>
      </c>
      <c r="I69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699" s="5" cm="1">
        <f t="array" ref="J699">MAX(IF((ProjectInfoTable[ProjectName]=OutputTable[[#This Row],[ProjectName]]),(ProjectInfoTable[ProjectName]=OutputTable[[#This Row],[ProjectName]])*ProjectInfoTable[NumberOfReplications]))</f>
        <v>30</v>
      </c>
      <c r="K699" s="5" cm="1">
        <f t="array" ref="K699">IFERROR(AVERAGE(IF((OutputTable[GroupByKey]=OutputTable[[#This Row],[GroupByKey]]),(OutputTable[GroupByKey]=OutputTable[[#This Row],[GroupByKey]])*OutputTable[RecordedValue])),0)</f>
        <v>0.28976365927997022</v>
      </c>
      <c r="L699" s="5" cm="1">
        <f t="array" ref="L699">IFERROR(_xlfn.STDEV.S(IF((OutputTable[GroupByKey]=OutputTable[[#This Row],[GroupByKey]]),(OutputTable[GroupByKey]=OutputTable[[#This Row],[GroupByKey]])*OutputTable[RecordedValue])),0)</f>
        <v>4.4748273652133699E-2</v>
      </c>
      <c r="M699" s="5" cm="1">
        <f t="array" ref="M699">MAX(IF((ProjectInfoTable[ProjectName]=OutputTable[[#This Row],[ProjectName]]),(ProjectInfoTable[ProjectName]=OutputTable[[#This Row],[ProjectName]])*ProjectInfoTable[ConfidenceInterval]))</f>
        <v>0.95</v>
      </c>
      <c r="N6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699" s="5" cm="1">
        <f t="array" ref="O699">MIN(IF((OutputTable[GroupByKey]=OutputTable[[#This Row],[GroupByKey]]),(OutputTable[GroupByKey]=OutputTable[[#This Row],[GroupByKey]])*OutputTable[RecordedValue]))</f>
        <v>0.194735973294278</v>
      </c>
      <c r="P699" s="5" cm="1">
        <f t="array" ref="P699">MAX(IF((OutputTable[GroupByKey]=OutputTable[[#This Row],[GroupByKey]]),(OutputTable[GroupByKey]=OutputTable[[#This Row],[GroupByKey]])*OutputTable[RecordedValue]))</f>
        <v>0.35775345817659199</v>
      </c>
    </row>
    <row r="700" spans="1:16" x14ac:dyDescent="0.25">
      <c r="A700" t="s">
        <v>68</v>
      </c>
      <c r="B700" t="s">
        <v>70</v>
      </c>
      <c r="C700">
        <v>28</v>
      </c>
      <c r="D700" t="s">
        <v>137</v>
      </c>
      <c r="E700" t="s">
        <v>132</v>
      </c>
      <c r="F700" t="s">
        <v>102</v>
      </c>
      <c r="G700">
        <v>39</v>
      </c>
      <c r="H700">
        <v>0</v>
      </c>
      <c r="I70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700" s="5" cm="1">
        <f t="array" ref="J700">MAX(IF((ProjectInfoTable[ProjectName]=OutputTable[[#This Row],[ProjectName]]),(ProjectInfoTable[ProjectName]=OutputTable[[#This Row],[ProjectName]])*ProjectInfoTable[NumberOfReplications]))</f>
        <v>30</v>
      </c>
      <c r="K700" s="5" cm="1">
        <f t="array" ref="K700">IFERROR(AVERAGE(IF((OutputTable[GroupByKey]=OutputTable[[#This Row],[GroupByKey]]),(OutputTable[GroupByKey]=OutputTable[[#This Row],[GroupByKey]])*OutputTable[RecordedValue])),0)</f>
        <v>38.93333333333333</v>
      </c>
      <c r="L700" s="5" cm="1">
        <f t="array" ref="L700">IFERROR(_xlfn.STDEV.S(IF((OutputTable[GroupByKey]=OutputTable[[#This Row],[GroupByKey]]),(OutputTable[GroupByKey]=OutputTable[[#This Row],[GroupByKey]])*OutputTable[RecordedValue])),0)</f>
        <v>5.9765826548191505</v>
      </c>
      <c r="M700" s="5" cm="1">
        <f t="array" ref="M700">MAX(IF((ProjectInfoTable[ProjectName]=OutputTable[[#This Row],[ProjectName]]),(ProjectInfoTable[ProjectName]=OutputTable[[#This Row],[ProjectName]])*ProjectInfoTable[ConfidenceInterval]))</f>
        <v>0.95</v>
      </c>
      <c r="N7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00" s="5" cm="1">
        <f t="array" ref="O700">MIN(IF((OutputTable[GroupByKey]=OutputTable[[#This Row],[GroupByKey]]),(OutputTable[GroupByKey]=OutputTable[[#This Row],[GroupByKey]])*OutputTable[RecordedValue]))</f>
        <v>25</v>
      </c>
      <c r="P700" s="5" cm="1">
        <f t="array" ref="P700">MAX(IF((OutputTable[GroupByKey]=OutputTable[[#This Row],[GroupByKey]]),(OutputTable[GroupByKey]=OutputTable[[#This Row],[GroupByKey]])*OutputTable[RecordedValue]))</f>
        <v>49</v>
      </c>
    </row>
    <row r="701" spans="1:16" x14ac:dyDescent="0.25">
      <c r="A701" t="s">
        <v>68</v>
      </c>
      <c r="B701" t="s">
        <v>70</v>
      </c>
      <c r="C701">
        <v>28</v>
      </c>
      <c r="D701" t="s">
        <v>138</v>
      </c>
      <c r="E701" t="s">
        <v>134</v>
      </c>
      <c r="F701" t="s">
        <v>102</v>
      </c>
      <c r="G701">
        <v>7.9495447289137294E-2</v>
      </c>
      <c r="H701">
        <v>0</v>
      </c>
      <c r="I70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701" s="5" cm="1">
        <f t="array" ref="J701">MAX(IF((ProjectInfoTable[ProjectName]=OutputTable[[#This Row],[ProjectName]]),(ProjectInfoTable[ProjectName]=OutputTable[[#This Row],[ProjectName]])*ProjectInfoTable[NumberOfReplications]))</f>
        <v>30</v>
      </c>
      <c r="K701" s="5" cm="1">
        <f t="array" ref="K701">IFERROR(AVERAGE(IF((OutputTable[GroupByKey]=OutputTable[[#This Row],[GroupByKey]]),(OutputTable[GroupByKey]=OutputTable[[#This Row],[GroupByKey]])*OutputTable[RecordedValue])),0)</f>
        <v>8.2588852761398115E-2</v>
      </c>
      <c r="L701" s="5" cm="1">
        <f t="array" ref="L701">IFERROR(_xlfn.STDEV.S(IF((OutputTable[GroupByKey]=OutputTable[[#This Row],[GroupByKey]]),(OutputTable[GroupByKey]=OutputTable[[#This Row],[GroupByKey]])*OutputTable[RecordedValue])),0)</f>
        <v>1.3130964022328008E-2</v>
      </c>
      <c r="M701" s="5" cm="1">
        <f t="array" ref="M701">MAX(IF((ProjectInfoTable[ProjectName]=OutputTable[[#This Row],[ProjectName]]),(ProjectInfoTable[ProjectName]=OutputTable[[#This Row],[ProjectName]])*ProjectInfoTable[ConfidenceInterval]))</f>
        <v>0.95</v>
      </c>
      <c r="N7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701" s="5" cm="1">
        <f t="array" ref="O701">MIN(IF((OutputTable[GroupByKey]=OutputTable[[#This Row],[GroupByKey]]),(OutputTable[GroupByKey]=OutputTable[[#This Row],[GroupByKey]])*OutputTable[RecordedValue]))</f>
        <v>5.3757894868807901E-2</v>
      </c>
      <c r="P701" s="5" cm="1">
        <f t="array" ref="P701">MAX(IF((OutputTable[GroupByKey]=OutputTable[[#This Row],[GroupByKey]]),(OutputTable[GroupByKey]=OutputTable[[#This Row],[GroupByKey]])*OutputTable[RecordedValue]))</f>
        <v>0.103175045984152</v>
      </c>
    </row>
    <row r="702" spans="1:16" x14ac:dyDescent="0.25">
      <c r="A702" t="s">
        <v>68</v>
      </c>
      <c r="B702" t="s">
        <v>70</v>
      </c>
      <c r="C702">
        <v>29</v>
      </c>
      <c r="D702" t="s">
        <v>107</v>
      </c>
      <c r="E702" t="s">
        <v>108</v>
      </c>
      <c r="F702" t="s">
        <v>73</v>
      </c>
      <c r="G702">
        <v>143</v>
      </c>
      <c r="H702">
        <v>0</v>
      </c>
      <c r="I702" s="5" t="str">
        <f>OutputTable[[#This Row],[ProjectName]]&amp;OutputTable[[#This Row],[Name]]&amp;OutputTable[[#This Row],[Type]]&amp;OutputTable[[#This Row],[Source]]</f>
        <v>Pedido CleintesClientes.NumberInNumber InEntity</v>
      </c>
      <c r="J702" s="5" cm="1">
        <f t="array" ref="J702">MAX(IF((ProjectInfoTable[ProjectName]=OutputTable[[#This Row],[ProjectName]]),(ProjectInfoTable[ProjectName]=OutputTable[[#This Row],[ProjectName]])*ProjectInfoTable[NumberOfReplications]))</f>
        <v>30</v>
      </c>
      <c r="K702" s="5" cm="1">
        <f t="array" ref="K702">IFERROR(AVERAGE(IF((OutputTable[GroupByKey]=OutputTable[[#This Row],[GroupByKey]]),(OutputTable[GroupByKey]=OutputTable[[#This Row],[GroupByKey]])*OutputTable[RecordedValue])),0)</f>
        <v>118.5</v>
      </c>
      <c r="L702" s="5" cm="1">
        <f t="array" ref="L702">IFERROR(_xlfn.STDEV.S(IF((OutputTable[GroupByKey]=OutputTable[[#This Row],[GroupByKey]]),(OutputTable[GroupByKey]=OutputTable[[#This Row],[GroupByKey]])*OutputTable[RecordedValue])),0)</f>
        <v>18.009097317936192</v>
      </c>
      <c r="M702" s="5" cm="1">
        <f t="array" ref="M702">MAX(IF((ProjectInfoTable[ProjectName]=OutputTable[[#This Row],[ProjectName]]),(ProjectInfoTable[ProjectName]=OutputTable[[#This Row],[ProjectName]])*ProjectInfoTable[ConfidenceInterval]))</f>
        <v>0.95</v>
      </c>
      <c r="N7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702" s="5" cm="1">
        <f t="array" ref="O702">MIN(IF((OutputTable[GroupByKey]=OutputTable[[#This Row],[GroupByKey]]),(OutputTable[GroupByKey]=OutputTable[[#This Row],[GroupByKey]])*OutputTable[RecordedValue]))</f>
        <v>78</v>
      </c>
      <c r="P702" s="5" cm="1">
        <f t="array" ref="P702">MAX(IF((OutputTable[GroupByKey]=OutputTable[[#This Row],[GroupByKey]]),(OutputTable[GroupByKey]=OutputTable[[#This Row],[GroupByKey]])*OutputTable[RecordedValue]))</f>
        <v>147</v>
      </c>
    </row>
    <row r="703" spans="1:16" x14ac:dyDescent="0.25">
      <c r="A703" t="s">
        <v>68</v>
      </c>
      <c r="B703" t="s">
        <v>70</v>
      </c>
      <c r="C703">
        <v>29</v>
      </c>
      <c r="D703" t="s">
        <v>109</v>
      </c>
      <c r="E703" t="s">
        <v>110</v>
      </c>
      <c r="F703" t="s">
        <v>73</v>
      </c>
      <c r="G703">
        <v>141</v>
      </c>
      <c r="H703">
        <v>0</v>
      </c>
      <c r="I703" s="5" t="str">
        <f>OutputTable[[#This Row],[ProjectName]]&amp;OutputTable[[#This Row],[Name]]&amp;OutputTable[[#This Row],[Type]]&amp;OutputTable[[#This Row],[Source]]</f>
        <v>Pedido CleintesClientes.NumberOutNumber OutEntity</v>
      </c>
      <c r="J703" s="5" cm="1">
        <f t="array" ref="J703">MAX(IF((ProjectInfoTable[ProjectName]=OutputTable[[#This Row],[ProjectName]]),(ProjectInfoTable[ProjectName]=OutputTable[[#This Row],[ProjectName]])*ProjectInfoTable[NumberOfReplications]))</f>
        <v>30</v>
      </c>
      <c r="K703" s="5" cm="1">
        <f t="array" ref="K703">IFERROR(AVERAGE(IF((OutputTable[GroupByKey]=OutputTable[[#This Row],[GroupByKey]]),(OutputTable[GroupByKey]=OutputTable[[#This Row],[GroupByKey]])*OutputTable[RecordedValue])),0)</f>
        <v>116.6</v>
      </c>
      <c r="L703" s="5" cm="1">
        <f t="array" ref="L703">IFERROR(_xlfn.STDEV.S(IF((OutputTable[GroupByKey]=OutputTable[[#This Row],[GroupByKey]]),(OutputTable[GroupByKey]=OutputTable[[#This Row],[GroupByKey]])*OutputTable[RecordedValue])),0)</f>
        <v>18.252255410940514</v>
      </c>
      <c r="M703" s="5" cm="1">
        <f t="array" ref="M703">MAX(IF((ProjectInfoTable[ProjectName]=OutputTable[[#This Row],[ProjectName]]),(ProjectInfoTable[ProjectName]=OutputTable[[#This Row],[ProjectName]])*ProjectInfoTable[ConfidenceInterval]))</f>
        <v>0.95</v>
      </c>
      <c r="N7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703" s="5" cm="1">
        <f t="array" ref="O703">MIN(IF((OutputTable[GroupByKey]=OutputTable[[#This Row],[GroupByKey]]),(OutputTable[GroupByKey]=OutputTable[[#This Row],[GroupByKey]])*OutputTable[RecordedValue]))</f>
        <v>72</v>
      </c>
      <c r="P703" s="5" cm="1">
        <f t="array" ref="P703">MAX(IF((OutputTable[GroupByKey]=OutputTable[[#This Row],[GroupByKey]]),(OutputTable[GroupByKey]=OutputTable[[#This Row],[GroupByKey]])*OutputTable[RecordedValue]))</f>
        <v>147</v>
      </c>
    </row>
    <row r="704" spans="1:16" x14ac:dyDescent="0.25">
      <c r="A704" t="s">
        <v>68</v>
      </c>
      <c r="B704" t="s">
        <v>70</v>
      </c>
      <c r="C704">
        <v>29</v>
      </c>
      <c r="D704" t="s">
        <v>111</v>
      </c>
      <c r="E704" t="s">
        <v>112</v>
      </c>
      <c r="F704" t="s">
        <v>81</v>
      </c>
      <c r="G704">
        <v>24.762011036196501</v>
      </c>
      <c r="H704">
        <v>0</v>
      </c>
      <c r="I704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704" s="5" cm="1">
        <f t="array" ref="J704">MAX(IF((ProjectInfoTable[ProjectName]=OutputTable[[#This Row],[ProjectName]]),(ProjectInfoTable[ProjectName]=OutputTable[[#This Row],[ProjectName]])*ProjectInfoTable[NumberOfReplications]))</f>
        <v>30</v>
      </c>
      <c r="K704" s="5" cm="1">
        <f t="array" ref="K704">IFERROR(AVERAGE(IF((OutputTable[GroupByKey]=OutputTable[[#This Row],[GroupByKey]]),(OutputTable[GroupByKey]=OutputTable[[#This Row],[GroupByKey]])*OutputTable[RecordedValue])),0)</f>
        <v>19.806808580201274</v>
      </c>
      <c r="L704" s="5" cm="1">
        <f t="array" ref="L704">IFERROR(_xlfn.STDEV.S(IF((OutputTable[GroupByKey]=OutputTable[[#This Row],[GroupByKey]]),(OutputTable[GroupByKey]=OutputTable[[#This Row],[GroupByKey]])*OutputTable[RecordedValue])),0)</f>
        <v>3.1624794742170024</v>
      </c>
      <c r="M704" s="5" cm="1">
        <f t="array" ref="M704">MAX(IF((ProjectInfoTable[ProjectName]=OutputTable[[#This Row],[ProjectName]]),(ProjectInfoTable[ProjectName]=OutputTable[[#This Row],[ProjectName]])*ProjectInfoTable[ConfidenceInterval]))</f>
        <v>0.95</v>
      </c>
      <c r="N7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704" s="5" cm="1">
        <f t="array" ref="O704">MIN(IF((OutputTable[GroupByKey]=OutputTable[[#This Row],[GroupByKey]]),(OutputTable[GroupByKey]=OutputTable[[#This Row],[GroupByKey]])*OutputTable[RecordedValue]))</f>
        <v>12.812268330404599</v>
      </c>
      <c r="P704" s="5" cm="1">
        <f t="array" ref="P704">MAX(IF((OutputTable[GroupByKey]=OutputTable[[#This Row],[GroupByKey]]),(OutputTable[GroupByKey]=OutputTable[[#This Row],[GroupByKey]])*OutputTable[RecordedValue]))</f>
        <v>24.762011036196501</v>
      </c>
    </row>
    <row r="705" spans="1:16" x14ac:dyDescent="0.25">
      <c r="A705" t="s">
        <v>68</v>
      </c>
      <c r="B705" t="s">
        <v>70</v>
      </c>
      <c r="C705">
        <v>29</v>
      </c>
      <c r="D705" t="s">
        <v>113</v>
      </c>
      <c r="E705" t="s">
        <v>114</v>
      </c>
      <c r="F705" t="s">
        <v>81</v>
      </c>
      <c r="G705">
        <v>0</v>
      </c>
      <c r="H705">
        <v>0</v>
      </c>
      <c r="I705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705" s="5" cm="1">
        <f t="array" ref="J705">MAX(IF((ProjectInfoTable[ProjectName]=OutputTable[[#This Row],[ProjectName]]),(ProjectInfoTable[ProjectName]=OutputTable[[#This Row],[ProjectName]])*ProjectInfoTable[NumberOfReplications]))</f>
        <v>30</v>
      </c>
      <c r="K705" s="5" cm="1">
        <f t="array" ref="K705">IFERROR(AVERAGE(IF((OutputTable[GroupByKey]=OutputTable[[#This Row],[GroupByKey]]),(OutputTable[GroupByKey]=OutputTable[[#This Row],[GroupByKey]])*OutputTable[RecordedValue])),0)</f>
        <v>0</v>
      </c>
      <c r="L705" s="5" cm="1">
        <f t="array" ref="L705">IFERROR(_xlfn.STDEV.S(IF((OutputTable[GroupByKey]=OutputTable[[#This Row],[GroupByKey]]),(OutputTable[GroupByKey]=OutputTable[[#This Row],[GroupByKey]])*OutputTable[RecordedValue])),0)</f>
        <v>0</v>
      </c>
      <c r="M705" s="5" cm="1">
        <f t="array" ref="M705">MAX(IF((ProjectInfoTable[ProjectName]=OutputTable[[#This Row],[ProjectName]]),(ProjectInfoTable[ProjectName]=OutputTable[[#This Row],[ProjectName]])*ProjectInfoTable[ConfidenceInterval]))</f>
        <v>0.95</v>
      </c>
      <c r="N7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5" s="5" cm="1">
        <f t="array" ref="O705">MIN(IF((OutputTable[GroupByKey]=OutputTable[[#This Row],[GroupByKey]]),(OutputTable[GroupByKey]=OutputTable[[#This Row],[GroupByKey]])*OutputTable[RecordedValue]))</f>
        <v>0</v>
      </c>
      <c r="P705" s="5" cm="1">
        <f t="array" ref="P705">MAX(IF((OutputTable[GroupByKey]=OutputTable[[#This Row],[GroupByKey]]),(OutputTable[GroupByKey]=OutputTable[[#This Row],[GroupByKey]])*OutputTable[RecordedValue]))</f>
        <v>0</v>
      </c>
    </row>
    <row r="706" spans="1:16" x14ac:dyDescent="0.25">
      <c r="A706" t="s">
        <v>68</v>
      </c>
      <c r="B706" t="s">
        <v>70</v>
      </c>
      <c r="C706">
        <v>29</v>
      </c>
      <c r="D706" t="s">
        <v>115</v>
      </c>
      <c r="E706" t="s">
        <v>108</v>
      </c>
      <c r="F706" t="s">
        <v>81</v>
      </c>
      <c r="G706">
        <v>47</v>
      </c>
      <c r="H706">
        <v>0</v>
      </c>
      <c r="I706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706" s="5" cm="1">
        <f t="array" ref="J706">MAX(IF((ProjectInfoTable[ProjectName]=OutputTable[[#This Row],[ProjectName]]),(ProjectInfoTable[ProjectName]=OutputTable[[#This Row],[ProjectName]])*ProjectInfoTable[NumberOfReplications]))</f>
        <v>30</v>
      </c>
      <c r="K706" s="5" cm="1">
        <f t="array" ref="K706">IFERROR(AVERAGE(IF((OutputTable[GroupByKey]=OutputTable[[#This Row],[GroupByKey]]),(OutputTable[GroupByKey]=OutputTable[[#This Row],[GroupByKey]])*OutputTable[RecordedValue])),0)</f>
        <v>38.93333333333333</v>
      </c>
      <c r="L706" s="5" cm="1">
        <f t="array" ref="L706">IFERROR(_xlfn.STDEV.S(IF((OutputTable[GroupByKey]=OutputTable[[#This Row],[GroupByKey]]),(OutputTable[GroupByKey]=OutputTable[[#This Row],[GroupByKey]])*OutputTable[RecordedValue])),0)</f>
        <v>5.9765826548191505</v>
      </c>
      <c r="M706" s="5" cm="1">
        <f t="array" ref="M706">MAX(IF((ProjectInfoTable[ProjectName]=OutputTable[[#This Row],[ProjectName]]),(ProjectInfoTable[ProjectName]=OutputTable[[#This Row],[ProjectName]])*ProjectInfoTable[ConfidenceInterval]))</f>
        <v>0.95</v>
      </c>
      <c r="N7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06" s="5" cm="1">
        <f t="array" ref="O706">MIN(IF((OutputTable[GroupByKey]=OutputTable[[#This Row],[GroupByKey]]),(OutputTable[GroupByKey]=OutputTable[[#This Row],[GroupByKey]])*OutputTable[RecordedValue]))</f>
        <v>25</v>
      </c>
      <c r="P706" s="5" cm="1">
        <f t="array" ref="P706">MAX(IF((OutputTable[GroupByKey]=OutputTable[[#This Row],[GroupByKey]]),(OutputTable[GroupByKey]=OutputTable[[#This Row],[GroupByKey]])*OutputTable[RecordedValue]))</f>
        <v>49</v>
      </c>
    </row>
    <row r="707" spans="1:16" x14ac:dyDescent="0.25">
      <c r="A707" t="s">
        <v>68</v>
      </c>
      <c r="B707" t="s">
        <v>70</v>
      </c>
      <c r="C707">
        <v>29</v>
      </c>
      <c r="D707" t="s">
        <v>116</v>
      </c>
      <c r="E707" t="s">
        <v>110</v>
      </c>
      <c r="F707" t="s">
        <v>81</v>
      </c>
      <c r="G707">
        <v>47</v>
      </c>
      <c r="H707">
        <v>0</v>
      </c>
      <c r="I707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707" s="5" cm="1">
        <f t="array" ref="J707">MAX(IF((ProjectInfoTable[ProjectName]=OutputTable[[#This Row],[ProjectName]]),(ProjectInfoTable[ProjectName]=OutputTable[[#This Row],[ProjectName]])*ProjectInfoTable[NumberOfReplications]))</f>
        <v>30</v>
      </c>
      <c r="K707" s="5" cm="1">
        <f t="array" ref="K707">IFERROR(AVERAGE(IF((OutputTable[GroupByKey]=OutputTable[[#This Row],[GroupByKey]]),(OutputTable[GroupByKey]=OutputTable[[#This Row],[GroupByKey]])*OutputTable[RecordedValue])),0)</f>
        <v>38.866666666666667</v>
      </c>
      <c r="L707" s="5" cm="1">
        <f t="array" ref="L707">IFERROR(_xlfn.STDEV.S(IF((OutputTable[GroupByKey]=OutputTable[[#This Row],[GroupByKey]]),(OutputTable[GroupByKey]=OutputTable[[#This Row],[GroupByKey]])*OutputTable[RecordedValue])),0)</f>
        <v>6.0840851369801694</v>
      </c>
      <c r="M707" s="5" cm="1">
        <f t="array" ref="M707">MAX(IF((ProjectInfoTable[ProjectName]=OutputTable[[#This Row],[ProjectName]]),(ProjectInfoTable[ProjectName]=OutputTable[[#This Row],[ProjectName]])*ProjectInfoTable[ConfidenceInterval]))</f>
        <v>0.95</v>
      </c>
      <c r="N7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707" s="5" cm="1">
        <f t="array" ref="O707">MIN(IF((OutputTable[GroupByKey]=OutputTable[[#This Row],[GroupByKey]]),(OutputTable[GroupByKey]=OutputTable[[#This Row],[GroupByKey]])*OutputTable[RecordedValue]))</f>
        <v>24</v>
      </c>
      <c r="P707" s="5" cm="1">
        <f t="array" ref="P707">MAX(IF((OutputTable[GroupByKey]=OutputTable[[#This Row],[GroupByKey]]),(OutputTable[GroupByKey]=OutputTable[[#This Row],[GroupByKey]])*OutputTable[RecordedValue]))</f>
        <v>49</v>
      </c>
    </row>
    <row r="708" spans="1:16" x14ac:dyDescent="0.25">
      <c r="A708" t="s">
        <v>68</v>
      </c>
      <c r="B708" t="s">
        <v>70</v>
      </c>
      <c r="C708">
        <v>29</v>
      </c>
      <c r="D708" t="s">
        <v>117</v>
      </c>
      <c r="E708" t="s">
        <v>112</v>
      </c>
      <c r="F708" t="s">
        <v>81</v>
      </c>
      <c r="G708">
        <v>48.706388790541098</v>
      </c>
      <c r="H708">
        <v>0</v>
      </c>
      <c r="I708" s="5" t="str">
        <f>OutputTable[[#This Row],[ProjectName]]&amp;OutputTable[[#This Row],[Name]]&amp;OutputTable[[#This Row],[Type]]&amp;OutputTable[[#This Row],[Source]]</f>
        <v>Pedido CleintesOrdnes Accum VA TimeAccum VA TimeProcess</v>
      </c>
      <c r="J708" s="5" cm="1">
        <f t="array" ref="J708">MAX(IF((ProjectInfoTable[ProjectName]=OutputTable[[#This Row],[ProjectName]]),(ProjectInfoTable[ProjectName]=OutputTable[[#This Row],[ProjectName]])*ProjectInfoTable[NumberOfReplications]))</f>
        <v>30</v>
      </c>
      <c r="K708" s="5" cm="1">
        <f t="array" ref="K708">IFERROR(AVERAGE(IF((OutputTable[GroupByKey]=OutputTable[[#This Row],[GroupByKey]]),(OutputTable[GroupByKey]=OutputTable[[#This Row],[GroupByKey]])*OutputTable[RecordedValue])),0)</f>
        <v>39.878126992056487</v>
      </c>
      <c r="L708" s="5" cm="1">
        <f t="array" ref="L708">IFERROR(_xlfn.STDEV.S(IF((OutputTable[GroupByKey]=OutputTable[[#This Row],[GroupByKey]]),(OutputTable[GroupByKey]=OutputTable[[#This Row],[GroupByKey]])*OutputTable[RecordedValue])),0)</f>
        <v>6.1068580319474277</v>
      </c>
      <c r="M708" s="5" cm="1">
        <f t="array" ref="M708">MAX(IF((ProjectInfoTable[ProjectName]=OutputTable[[#This Row],[ProjectName]]),(ProjectInfoTable[ProjectName]=OutputTable[[#This Row],[ProjectName]])*ProjectInfoTable[ConfidenceInterval]))</f>
        <v>0.95</v>
      </c>
      <c r="N7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708" s="5" cm="1">
        <f t="array" ref="O708">MIN(IF((OutputTable[GroupByKey]=OutputTable[[#This Row],[GroupByKey]]),(OutputTable[GroupByKey]=OutputTable[[#This Row],[GroupByKey]])*OutputTable[RecordedValue]))</f>
        <v>26.106281767804099</v>
      </c>
      <c r="P708" s="5" cm="1">
        <f t="array" ref="P708">MAX(IF((OutputTable[GroupByKey]=OutputTable[[#This Row],[GroupByKey]]),(OutputTable[GroupByKey]=OutputTable[[#This Row],[GroupByKey]])*OutputTable[RecordedValue]))</f>
        <v>48.706388790541098</v>
      </c>
    </row>
    <row r="709" spans="1:16" x14ac:dyDescent="0.25">
      <c r="A709" t="s">
        <v>68</v>
      </c>
      <c r="B709" t="s">
        <v>70</v>
      </c>
      <c r="C709">
        <v>29</v>
      </c>
      <c r="D709" t="s">
        <v>118</v>
      </c>
      <c r="E709" t="s">
        <v>114</v>
      </c>
      <c r="F709" t="s">
        <v>81</v>
      </c>
      <c r="G709">
        <v>10.5888039249205</v>
      </c>
      <c r="H709">
        <v>0</v>
      </c>
      <c r="I709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709" s="5" cm="1">
        <f t="array" ref="J709">MAX(IF((ProjectInfoTable[ProjectName]=OutputTable[[#This Row],[ProjectName]]),(ProjectInfoTable[ProjectName]=OutputTable[[#This Row],[ProjectName]])*ProjectInfoTable[NumberOfReplications]))</f>
        <v>30</v>
      </c>
      <c r="K709" s="5" cm="1">
        <f t="array" ref="K709">IFERROR(AVERAGE(IF((OutputTable[GroupByKey]=OutputTable[[#This Row],[GroupByKey]]),(OutputTable[GroupByKey]=OutputTable[[#This Row],[GroupByKey]])*OutputTable[RecordedValue])),0)</f>
        <v>7.9804799821754404</v>
      </c>
      <c r="L709" s="5" cm="1">
        <f t="array" ref="L709">IFERROR(_xlfn.STDEV.S(IF((OutputTable[GroupByKey]=OutputTable[[#This Row],[GroupByKey]]),(OutputTable[GroupByKey]=OutputTable[[#This Row],[GroupByKey]])*OutputTable[RecordedValue])),0)</f>
        <v>4.8950382198155014</v>
      </c>
      <c r="M709" s="5" cm="1">
        <f t="array" ref="M709">MAX(IF((ProjectInfoTable[ProjectName]=OutputTable[[#This Row],[ProjectName]]),(ProjectInfoTable[ProjectName]=OutputTable[[#This Row],[ProjectName]])*ProjectInfoTable[ConfidenceInterval]))</f>
        <v>0.95</v>
      </c>
      <c r="N7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709" s="5" cm="1">
        <f t="array" ref="O709">MIN(IF((OutputTable[GroupByKey]=OutputTable[[#This Row],[GroupByKey]]),(OutputTable[GroupByKey]=OutputTable[[#This Row],[GroupByKey]])*OutputTable[RecordedValue]))</f>
        <v>0</v>
      </c>
      <c r="P709" s="5" cm="1">
        <f t="array" ref="P709">MAX(IF((OutputTable[GroupByKey]=OutputTable[[#This Row],[GroupByKey]]),(OutputTable[GroupByKey]=OutputTable[[#This Row],[GroupByKey]])*OutputTable[RecordedValue]))</f>
        <v>18.843855117811401</v>
      </c>
    </row>
    <row r="710" spans="1:16" x14ac:dyDescent="0.25">
      <c r="A710" t="s">
        <v>68</v>
      </c>
      <c r="B710" t="s">
        <v>70</v>
      </c>
      <c r="C710">
        <v>29</v>
      </c>
      <c r="D710" t="s">
        <v>119</v>
      </c>
      <c r="E710" t="s">
        <v>108</v>
      </c>
      <c r="F710" t="s">
        <v>81</v>
      </c>
      <c r="G710">
        <v>48</v>
      </c>
      <c r="H710">
        <v>0</v>
      </c>
      <c r="I710" s="5" t="str">
        <f>OutputTable[[#This Row],[ProjectName]]&amp;OutputTable[[#This Row],[Name]]&amp;OutputTable[[#This Row],[Type]]&amp;OutputTable[[#This Row],[Source]]</f>
        <v>Pedido CleintesOrdnes Number InNumber InProcess</v>
      </c>
      <c r="J710" s="5" cm="1">
        <f t="array" ref="J710">MAX(IF((ProjectInfoTable[ProjectName]=OutputTable[[#This Row],[ProjectName]]),(ProjectInfoTable[ProjectName]=OutputTable[[#This Row],[ProjectName]])*ProjectInfoTable[NumberOfReplications]))</f>
        <v>30</v>
      </c>
      <c r="K710" s="5" cm="1">
        <f t="array" ref="K710">IFERROR(AVERAGE(IF((OutputTable[GroupByKey]=OutputTable[[#This Row],[GroupByKey]]),(OutputTable[GroupByKey]=OutputTable[[#This Row],[GroupByKey]])*OutputTable[RecordedValue])),0)</f>
        <v>39.9</v>
      </c>
      <c r="L710" s="5" cm="1">
        <f t="array" ref="L710">IFERROR(_xlfn.STDEV.S(IF((OutputTable[GroupByKey]=OutputTable[[#This Row],[GroupByKey]]),(OutputTable[GroupByKey]=OutputTable[[#This Row],[GroupByKey]])*OutputTable[RecordedValue])),0)</f>
        <v>6.0648791101463475</v>
      </c>
      <c r="M710" s="5" cm="1">
        <f t="array" ref="M710">MAX(IF((ProjectInfoTable[ProjectName]=OutputTable[[#This Row],[ProjectName]]),(ProjectInfoTable[ProjectName]=OutputTable[[#This Row],[ProjectName]])*ProjectInfoTable[ConfidenceInterval]))</f>
        <v>0.95</v>
      </c>
      <c r="N7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710" s="5" cm="1">
        <f t="array" ref="O710">MIN(IF((OutputTable[GroupByKey]=OutputTable[[#This Row],[GroupByKey]]),(OutputTable[GroupByKey]=OutputTable[[#This Row],[GroupByKey]])*OutputTable[RecordedValue]))</f>
        <v>27</v>
      </c>
      <c r="P710" s="5" cm="1">
        <f t="array" ref="P710">MAX(IF((OutputTable[GroupByKey]=OutputTable[[#This Row],[GroupByKey]]),(OutputTable[GroupByKey]=OutputTable[[#This Row],[GroupByKey]])*OutputTable[RecordedValue]))</f>
        <v>49</v>
      </c>
    </row>
    <row r="711" spans="1:16" x14ac:dyDescent="0.25">
      <c r="A711" t="s">
        <v>68</v>
      </c>
      <c r="B711" t="s">
        <v>70</v>
      </c>
      <c r="C711">
        <v>29</v>
      </c>
      <c r="D711" t="s">
        <v>120</v>
      </c>
      <c r="E711" t="s">
        <v>110</v>
      </c>
      <c r="F711" t="s">
        <v>81</v>
      </c>
      <c r="G711">
        <v>48</v>
      </c>
      <c r="H711">
        <v>0</v>
      </c>
      <c r="I711" s="5" t="str">
        <f>OutputTable[[#This Row],[ProjectName]]&amp;OutputTable[[#This Row],[Name]]&amp;OutputTable[[#This Row],[Type]]&amp;OutputTable[[#This Row],[Source]]</f>
        <v>Pedido CleintesOrdnes Number OutNumber OutProcess</v>
      </c>
      <c r="J711" s="5" cm="1">
        <f t="array" ref="J711">MAX(IF((ProjectInfoTable[ProjectName]=OutputTable[[#This Row],[ProjectName]]),(ProjectInfoTable[ProjectName]=OutputTable[[#This Row],[ProjectName]])*ProjectInfoTable[NumberOfReplications]))</f>
        <v>30</v>
      </c>
      <c r="K711" s="5" cm="1">
        <f t="array" ref="K711">IFERROR(AVERAGE(IF((OutputTable[GroupByKey]=OutputTable[[#This Row],[GroupByKey]]),(OutputTable[GroupByKey]=OutputTable[[#This Row],[GroupByKey]])*OutputTable[RecordedValue])),0)</f>
        <v>39.666666666666664</v>
      </c>
      <c r="L711" s="5" cm="1">
        <f t="array" ref="L711">IFERROR(_xlfn.STDEV.S(IF((OutputTable[GroupByKey]=OutputTable[[#This Row],[GroupByKey]]),(OutputTable[GroupByKey]=OutputTable[[#This Row],[GroupByKey]])*OutputTable[RecordedValue])),0)</f>
        <v>6.0477030882540914</v>
      </c>
      <c r="M711" s="5" cm="1">
        <f t="array" ref="M711">MAX(IF((ProjectInfoTable[ProjectName]=OutputTable[[#This Row],[ProjectName]]),(ProjectInfoTable[ProjectName]=OutputTable[[#This Row],[ProjectName]])*ProjectInfoTable[ConfidenceInterval]))</f>
        <v>0.95</v>
      </c>
      <c r="N7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711" s="5" cm="1">
        <f t="array" ref="O711">MIN(IF((OutputTable[GroupByKey]=OutputTable[[#This Row],[GroupByKey]]),(OutputTable[GroupByKey]=OutputTable[[#This Row],[GroupByKey]])*OutputTable[RecordedValue]))</f>
        <v>26</v>
      </c>
      <c r="P711" s="5" cm="1">
        <f t="array" ref="P711">MAX(IF((OutputTable[GroupByKey]=OutputTable[[#This Row],[GroupByKey]]),(OutputTable[GroupByKey]=OutputTable[[#This Row],[GroupByKey]])*OutputTable[RecordedValue]))</f>
        <v>49</v>
      </c>
    </row>
    <row r="712" spans="1:16" x14ac:dyDescent="0.25">
      <c r="A712" t="s">
        <v>68</v>
      </c>
      <c r="B712" t="s">
        <v>70</v>
      </c>
      <c r="C712">
        <v>29</v>
      </c>
      <c r="D712" t="s">
        <v>121</v>
      </c>
      <c r="E712" t="s">
        <v>112</v>
      </c>
      <c r="F712" t="s">
        <v>81</v>
      </c>
      <c r="G712">
        <v>36.426987678198401</v>
      </c>
      <c r="H712">
        <v>0</v>
      </c>
      <c r="I712" s="5" t="str">
        <f>OutputTable[[#This Row],[ProjectName]]&amp;OutputTable[[#This Row],[Name]]&amp;OutputTable[[#This Row],[Type]]&amp;OutputTable[[#This Row],[Source]]</f>
        <v>Pedido CleintesPago Accum VA TimeAccum VA TimeProcess</v>
      </c>
      <c r="J712" s="5" cm="1">
        <f t="array" ref="J712">MAX(IF((ProjectInfoTable[ProjectName]=OutputTable[[#This Row],[ProjectName]]),(ProjectInfoTable[ProjectName]=OutputTable[[#This Row],[ProjectName]])*ProjectInfoTable[NumberOfReplications]))</f>
        <v>30</v>
      </c>
      <c r="K712" s="5" cm="1">
        <f t="array" ref="K712">IFERROR(AVERAGE(IF((OutputTable[GroupByKey]=OutputTable[[#This Row],[GroupByKey]]),(OutputTable[GroupByKey]=OutputTable[[#This Row],[GroupByKey]])*OutputTable[RecordedValue])),0)</f>
        <v>29.486262713858675</v>
      </c>
      <c r="L712" s="5" cm="1">
        <f t="array" ref="L712">IFERROR(_xlfn.STDEV.S(IF((OutputTable[GroupByKey]=OutputTable[[#This Row],[GroupByKey]]),(OutputTable[GroupByKey]=OutputTable[[#This Row],[GroupByKey]])*OutputTable[RecordedValue])),0)</f>
        <v>4.747176664010901</v>
      </c>
      <c r="M712" s="5" cm="1">
        <f t="array" ref="M712">MAX(IF((ProjectInfoTable[ProjectName]=OutputTable[[#This Row],[ProjectName]]),(ProjectInfoTable[ProjectName]=OutputTable[[#This Row],[ProjectName]])*ProjectInfoTable[ConfidenceInterval]))</f>
        <v>0.95</v>
      </c>
      <c r="N7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712" s="5" cm="1">
        <f t="array" ref="O712">MIN(IF((OutputTable[GroupByKey]=OutputTable[[#This Row],[GroupByKey]]),(OutputTable[GroupByKey]=OutputTable[[#This Row],[GroupByKey]])*OutputTable[RecordedValue]))</f>
        <v>19.573210250889101</v>
      </c>
      <c r="P712" s="5" cm="1">
        <f t="array" ref="P712">MAX(IF((OutputTable[GroupByKey]=OutputTable[[#This Row],[GroupByKey]]),(OutputTable[GroupByKey]=OutputTable[[#This Row],[GroupByKey]])*OutputTable[RecordedValue]))</f>
        <v>37.056974462114901</v>
      </c>
    </row>
    <row r="713" spans="1:16" x14ac:dyDescent="0.25">
      <c r="A713" t="s">
        <v>68</v>
      </c>
      <c r="B713" t="s">
        <v>70</v>
      </c>
      <c r="C713">
        <v>29</v>
      </c>
      <c r="D713" t="s">
        <v>122</v>
      </c>
      <c r="E713" t="s">
        <v>114</v>
      </c>
      <c r="F713" t="s">
        <v>81</v>
      </c>
      <c r="G713">
        <v>14.8060931794206</v>
      </c>
      <c r="H713">
        <v>0</v>
      </c>
      <c r="I713" s="5" t="str">
        <f>OutputTable[[#This Row],[ProjectName]]&amp;OutputTable[[#This Row],[Name]]&amp;OutputTable[[#This Row],[Type]]&amp;OutputTable[[#This Row],[Source]]</f>
        <v>Pedido CleintesPago Accum Wait TimeAccum Wait TimeProcess</v>
      </c>
      <c r="J713" s="5" cm="1">
        <f t="array" ref="J713">MAX(IF((ProjectInfoTable[ProjectName]=OutputTable[[#This Row],[ProjectName]]),(ProjectInfoTable[ProjectName]=OutputTable[[#This Row],[ProjectName]])*ProjectInfoTable[NumberOfReplications]))</f>
        <v>30</v>
      </c>
      <c r="K713" s="5" cm="1">
        <f t="array" ref="K713">IFERROR(AVERAGE(IF((OutputTable[GroupByKey]=OutputTable[[#This Row],[GroupByKey]]),(OutputTable[GroupByKey]=OutputTable[[#This Row],[GroupByKey]])*OutputTable[RecordedValue])),0)</f>
        <v>13.025761997568024</v>
      </c>
      <c r="L713" s="5" cm="1">
        <f t="array" ref="L713">IFERROR(_xlfn.STDEV.S(IF((OutputTable[GroupByKey]=OutputTable[[#This Row],[GroupByKey]]),(OutputTable[GroupByKey]=OutputTable[[#This Row],[GroupByKey]])*OutputTable[RecordedValue])),0)</f>
        <v>7.8467935605388783</v>
      </c>
      <c r="M713" s="5" cm="1">
        <f t="array" ref="M713">MAX(IF((ProjectInfoTable[ProjectName]=OutputTable[[#This Row],[ProjectName]]),(ProjectInfoTable[ProjectName]=OutputTable[[#This Row],[ProjectName]])*ProjectInfoTable[ConfidenceInterval]))</f>
        <v>0.95</v>
      </c>
      <c r="N7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713" s="5" cm="1">
        <f t="array" ref="O713">MIN(IF((OutputTable[GroupByKey]=OutputTable[[#This Row],[GroupByKey]]),(OutputTable[GroupByKey]=OutputTable[[#This Row],[GroupByKey]])*OutputTable[RecordedValue]))</f>
        <v>0</v>
      </c>
      <c r="P713" s="5" cm="1">
        <f t="array" ref="P713">MAX(IF((OutputTable[GroupByKey]=OutputTable[[#This Row],[GroupByKey]]),(OutputTable[GroupByKey]=OutputTable[[#This Row],[GroupByKey]])*OutputTable[RecordedValue]))</f>
        <v>32.770863925850499</v>
      </c>
    </row>
    <row r="714" spans="1:16" x14ac:dyDescent="0.25">
      <c r="A714" t="s">
        <v>68</v>
      </c>
      <c r="B714" t="s">
        <v>70</v>
      </c>
      <c r="C714">
        <v>29</v>
      </c>
      <c r="D714" t="s">
        <v>123</v>
      </c>
      <c r="E714" t="s">
        <v>108</v>
      </c>
      <c r="F714" t="s">
        <v>81</v>
      </c>
      <c r="G714">
        <v>48</v>
      </c>
      <c r="H714">
        <v>0</v>
      </c>
      <c r="I714" s="5" t="str">
        <f>OutputTable[[#This Row],[ProjectName]]&amp;OutputTable[[#This Row],[Name]]&amp;OutputTable[[#This Row],[Type]]&amp;OutputTable[[#This Row],[Source]]</f>
        <v>Pedido CleintesPago Number InNumber InProcess</v>
      </c>
      <c r="J714" s="5" cm="1">
        <f t="array" ref="J714">MAX(IF((ProjectInfoTable[ProjectName]=OutputTable[[#This Row],[ProjectName]]),(ProjectInfoTable[ProjectName]=OutputTable[[#This Row],[ProjectName]])*ProjectInfoTable[NumberOfReplications]))</f>
        <v>30</v>
      </c>
      <c r="K714" s="5" cm="1">
        <f t="array" ref="K714">IFERROR(AVERAGE(IF((OutputTable[GroupByKey]=OutputTable[[#This Row],[GroupByKey]]),(OutputTable[GroupByKey]=OutputTable[[#This Row],[GroupByKey]])*OutputTable[RecordedValue])),0)</f>
        <v>39.666666666666664</v>
      </c>
      <c r="L714" s="5" cm="1">
        <f t="array" ref="L714">IFERROR(_xlfn.STDEV.S(IF((OutputTable[GroupByKey]=OutputTable[[#This Row],[GroupByKey]]),(OutputTable[GroupByKey]=OutputTable[[#This Row],[GroupByKey]])*OutputTable[RecordedValue])),0)</f>
        <v>6.0477030882540914</v>
      </c>
      <c r="M714" s="5" cm="1">
        <f t="array" ref="M714">MAX(IF((ProjectInfoTable[ProjectName]=OutputTable[[#This Row],[ProjectName]]),(ProjectInfoTable[ProjectName]=OutputTable[[#This Row],[ProjectName]])*ProjectInfoTable[ConfidenceInterval]))</f>
        <v>0.95</v>
      </c>
      <c r="N7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714" s="5" cm="1">
        <f t="array" ref="O714">MIN(IF((OutputTable[GroupByKey]=OutputTable[[#This Row],[GroupByKey]]),(OutputTable[GroupByKey]=OutputTable[[#This Row],[GroupByKey]])*OutputTable[RecordedValue]))</f>
        <v>26</v>
      </c>
      <c r="P714" s="5" cm="1">
        <f t="array" ref="P714">MAX(IF((OutputTable[GroupByKey]=OutputTable[[#This Row],[GroupByKey]]),(OutputTable[GroupByKey]=OutputTable[[#This Row],[GroupByKey]])*OutputTable[RecordedValue]))</f>
        <v>49</v>
      </c>
    </row>
    <row r="715" spans="1:16" x14ac:dyDescent="0.25">
      <c r="A715" t="s">
        <v>68</v>
      </c>
      <c r="B715" t="s">
        <v>70</v>
      </c>
      <c r="C715">
        <v>29</v>
      </c>
      <c r="D715" t="s">
        <v>124</v>
      </c>
      <c r="E715" t="s">
        <v>110</v>
      </c>
      <c r="F715" t="s">
        <v>81</v>
      </c>
      <c r="G715">
        <v>47</v>
      </c>
      <c r="H715">
        <v>0</v>
      </c>
      <c r="I715" s="5" t="str">
        <f>OutputTable[[#This Row],[ProjectName]]&amp;OutputTable[[#This Row],[Name]]&amp;OutputTable[[#This Row],[Type]]&amp;OutputTable[[#This Row],[Source]]</f>
        <v>Pedido CleintesPago Number OutNumber OutProcess</v>
      </c>
      <c r="J715" s="5" cm="1">
        <f t="array" ref="J715">MAX(IF((ProjectInfoTable[ProjectName]=OutputTable[[#This Row],[ProjectName]]),(ProjectInfoTable[ProjectName]=OutputTable[[#This Row],[ProjectName]])*ProjectInfoTable[NumberOfReplications]))</f>
        <v>30</v>
      </c>
      <c r="K715" s="5" cm="1">
        <f t="array" ref="K715">IFERROR(AVERAGE(IF((OutputTable[GroupByKey]=OutputTable[[#This Row],[GroupByKey]]),(OutputTable[GroupByKey]=OutputTable[[#This Row],[GroupByKey]])*OutputTable[RecordedValue])),0)</f>
        <v>39.43333333333333</v>
      </c>
      <c r="L715" s="5" cm="1">
        <f t="array" ref="L715">IFERROR(_xlfn.STDEV.S(IF((OutputTable[GroupByKey]=OutputTable[[#This Row],[GroupByKey]]),(OutputTable[GroupByKey]=OutputTable[[#This Row],[GroupByKey]])*OutputTable[RecordedValue])),0)</f>
        <v>5.9171482724502509</v>
      </c>
      <c r="M715" s="5" cm="1">
        <f t="array" ref="M715">MAX(IF((ProjectInfoTable[ProjectName]=OutputTable[[#This Row],[ProjectName]]),(ProjectInfoTable[ProjectName]=OutputTable[[#This Row],[ProjectName]])*ProjectInfoTable[ConfidenceInterval]))</f>
        <v>0.95</v>
      </c>
      <c r="N7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715" s="5" cm="1">
        <f t="array" ref="O715">MIN(IF((OutputTable[GroupByKey]=OutputTable[[#This Row],[GroupByKey]]),(OutputTable[GroupByKey]=OutputTable[[#This Row],[GroupByKey]])*OutputTable[RecordedValue]))</f>
        <v>26</v>
      </c>
      <c r="P715" s="5" cm="1">
        <f t="array" ref="P715">MAX(IF((OutputTable[GroupByKey]=OutputTable[[#This Row],[GroupByKey]]),(OutputTable[GroupByKey]=OutputTable[[#This Row],[GroupByKey]])*OutputTable[RecordedValue]))</f>
        <v>49</v>
      </c>
    </row>
    <row r="716" spans="1:16" x14ac:dyDescent="0.25">
      <c r="A716" t="s">
        <v>68</v>
      </c>
      <c r="B716" t="s">
        <v>70</v>
      </c>
      <c r="C716">
        <v>29</v>
      </c>
      <c r="D716" t="s">
        <v>125</v>
      </c>
      <c r="E716" t="s">
        <v>112</v>
      </c>
      <c r="F716" t="s">
        <v>81</v>
      </c>
      <c r="G716">
        <v>140.86264127918801</v>
      </c>
      <c r="H716">
        <v>0</v>
      </c>
      <c r="I716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716" s="5" cm="1">
        <f t="array" ref="J716">MAX(IF((ProjectInfoTable[ProjectName]=OutputTable[[#This Row],[ProjectName]]),(ProjectInfoTable[ProjectName]=OutputTable[[#This Row],[ProjectName]])*ProjectInfoTable[NumberOfReplications]))</f>
        <v>30</v>
      </c>
      <c r="K716" s="5" cm="1">
        <f t="array" ref="K716">IFERROR(AVERAGE(IF((OutputTable[GroupByKey]=OutputTable[[#This Row],[GroupByKey]]),(OutputTable[GroupByKey]=OutputTable[[#This Row],[GroupByKey]])*OutputTable[RecordedValue])),0)</f>
        <v>116.64263458387505</v>
      </c>
      <c r="L716" s="5" cm="1">
        <f t="array" ref="L716">IFERROR(_xlfn.STDEV.S(IF((OutputTable[GroupByKey]=OutputTable[[#This Row],[GroupByKey]]),(OutputTable[GroupByKey]=OutputTable[[#This Row],[GroupByKey]])*OutputTable[RecordedValue])),0)</f>
        <v>17.825477946659205</v>
      </c>
      <c r="M716" s="5" cm="1">
        <f t="array" ref="M716">MAX(IF((ProjectInfoTable[ProjectName]=OutputTable[[#This Row],[ProjectName]]),(ProjectInfoTable[ProjectName]=OutputTable[[#This Row],[ProjectName]])*ProjectInfoTable[ConfidenceInterval]))</f>
        <v>0.95</v>
      </c>
      <c r="N7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716" s="5" cm="1">
        <f t="array" ref="O716">MIN(IF((OutputTable[GroupByKey]=OutputTable[[#This Row],[GroupByKey]]),(OutputTable[GroupByKey]=OutputTable[[#This Row],[GroupByKey]])*OutputTable[RecordedValue]))</f>
        <v>74.976560761710004</v>
      </c>
      <c r="P716" s="5" cm="1">
        <f t="array" ref="P716">MAX(IF((OutputTable[GroupByKey]=OutputTable[[#This Row],[GroupByKey]]),(OutputTable[GroupByKey]=OutputTable[[#This Row],[GroupByKey]])*OutputTable[RecordedValue]))</f>
        <v>145.504156763596</v>
      </c>
    </row>
    <row r="717" spans="1:16" x14ac:dyDescent="0.25">
      <c r="A717" t="s">
        <v>68</v>
      </c>
      <c r="B717" t="s">
        <v>70</v>
      </c>
      <c r="C717">
        <v>29</v>
      </c>
      <c r="D717" t="s">
        <v>126</v>
      </c>
      <c r="E717" t="s">
        <v>114</v>
      </c>
      <c r="F717" t="s">
        <v>81</v>
      </c>
      <c r="G717">
        <v>69.649409898508196</v>
      </c>
      <c r="H717">
        <v>0</v>
      </c>
      <c r="I717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717" s="5" cm="1">
        <f t="array" ref="J717">MAX(IF((ProjectInfoTable[ProjectName]=OutputTable[[#This Row],[ProjectName]]),(ProjectInfoTable[ProjectName]=OutputTable[[#This Row],[ProjectName]])*ProjectInfoTable[NumberOfReplications]))</f>
        <v>30</v>
      </c>
      <c r="K717" s="5" cm="1">
        <f t="array" ref="K717">IFERROR(AVERAGE(IF((OutputTable[GroupByKey]=OutputTable[[#This Row],[GroupByKey]]),(OutputTable[GroupByKey]=OutputTable[[#This Row],[GroupByKey]])*OutputTable[RecordedValue])),0)</f>
        <v>39.900972800228722</v>
      </c>
      <c r="L717" s="5" cm="1">
        <f t="array" ref="L717">IFERROR(_xlfn.STDEV.S(IF((OutputTable[GroupByKey]=OutputTable[[#This Row],[GroupByKey]]),(OutputTable[GroupByKey]=OutputTable[[#This Row],[GroupByKey]])*OutputTable[RecordedValue])),0)</f>
        <v>22.922906975864144</v>
      </c>
      <c r="M717" s="5" cm="1">
        <f t="array" ref="M717">MAX(IF((ProjectInfoTable[ProjectName]=OutputTable[[#This Row],[ProjectName]]),(ProjectInfoTable[ProjectName]=OutputTable[[#This Row],[ProjectName]])*ProjectInfoTable[ConfidenceInterval]))</f>
        <v>0.95</v>
      </c>
      <c r="N7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717" s="5" cm="1">
        <f t="array" ref="O717">MIN(IF((OutputTable[GroupByKey]=OutputTable[[#This Row],[GroupByKey]]),(OutputTable[GroupByKey]=OutputTable[[#This Row],[GroupByKey]])*OutputTable[RecordedValue]))</f>
        <v>2.1708788192608899</v>
      </c>
      <c r="P717" s="5" cm="1">
        <f t="array" ref="P717">MAX(IF((OutputTable[GroupByKey]=OutputTable[[#This Row],[GroupByKey]]),(OutputTable[GroupByKey]=OutputTable[[#This Row],[GroupByKey]])*OutputTable[RecordedValue]))</f>
        <v>94.9142929398908</v>
      </c>
    </row>
    <row r="718" spans="1:16" x14ac:dyDescent="0.25">
      <c r="A718" t="s">
        <v>68</v>
      </c>
      <c r="B718" t="s">
        <v>70</v>
      </c>
      <c r="C718">
        <v>29</v>
      </c>
      <c r="D718" t="s">
        <v>127</v>
      </c>
      <c r="E718" t="s">
        <v>108</v>
      </c>
      <c r="F718" t="s">
        <v>81</v>
      </c>
      <c r="G718">
        <v>48</v>
      </c>
      <c r="H718">
        <v>0</v>
      </c>
      <c r="I718" s="5" t="str">
        <f>OutputTable[[#This Row],[ProjectName]]&amp;OutputTable[[#This Row],[Name]]&amp;OutputTable[[#This Row],[Type]]&amp;OutputTable[[#This Row],[Source]]</f>
        <v>Pedido CleintesPreparar orden Number InNumber InProcess</v>
      </c>
      <c r="J718" s="5" cm="1">
        <f t="array" ref="J718">MAX(IF((ProjectInfoTable[ProjectName]=OutputTable[[#This Row],[ProjectName]]),(ProjectInfoTable[ProjectName]=OutputTable[[#This Row],[ProjectName]])*ProjectInfoTable[NumberOfReplications]))</f>
        <v>30</v>
      </c>
      <c r="K718" s="5" cm="1">
        <f t="array" ref="K718">IFERROR(AVERAGE(IF((OutputTable[GroupByKey]=OutputTable[[#This Row],[GroupByKey]]),(OutputTable[GroupByKey]=OutputTable[[#This Row],[GroupByKey]])*OutputTable[RecordedValue])),0)</f>
        <v>39.666666666666664</v>
      </c>
      <c r="L718" s="5" cm="1">
        <f t="array" ref="L718">IFERROR(_xlfn.STDEV.S(IF((OutputTable[GroupByKey]=OutputTable[[#This Row],[GroupByKey]]),(OutputTable[GroupByKey]=OutputTable[[#This Row],[GroupByKey]])*OutputTable[RecordedValue])),0)</f>
        <v>6.0477030882540914</v>
      </c>
      <c r="M718" s="5" cm="1">
        <f t="array" ref="M718">MAX(IF((ProjectInfoTable[ProjectName]=OutputTable[[#This Row],[ProjectName]]),(ProjectInfoTable[ProjectName]=OutputTable[[#This Row],[ProjectName]])*ProjectInfoTable[ConfidenceInterval]))</f>
        <v>0.95</v>
      </c>
      <c r="N7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718" s="5" cm="1">
        <f t="array" ref="O718">MIN(IF((OutputTable[GroupByKey]=OutputTable[[#This Row],[GroupByKey]]),(OutputTable[GroupByKey]=OutputTable[[#This Row],[GroupByKey]])*OutputTable[RecordedValue]))</f>
        <v>26</v>
      </c>
      <c r="P718" s="5" cm="1">
        <f t="array" ref="P718">MAX(IF((OutputTable[GroupByKey]=OutputTable[[#This Row],[GroupByKey]]),(OutputTable[GroupByKey]=OutputTable[[#This Row],[GroupByKey]])*OutputTable[RecordedValue]))</f>
        <v>49</v>
      </c>
    </row>
    <row r="719" spans="1:16" x14ac:dyDescent="0.25">
      <c r="A719" t="s">
        <v>68</v>
      </c>
      <c r="B719" t="s">
        <v>70</v>
      </c>
      <c r="C719">
        <v>29</v>
      </c>
      <c r="D719" t="s">
        <v>128</v>
      </c>
      <c r="E719" t="s">
        <v>110</v>
      </c>
      <c r="F719" t="s">
        <v>81</v>
      </c>
      <c r="G719">
        <v>47</v>
      </c>
      <c r="H719">
        <v>0</v>
      </c>
      <c r="I719" s="5" t="str">
        <f>OutputTable[[#This Row],[ProjectName]]&amp;OutputTable[[#This Row],[Name]]&amp;OutputTable[[#This Row],[Type]]&amp;OutputTable[[#This Row],[Source]]</f>
        <v>Pedido CleintesPreparar orden Number OutNumber OutProcess</v>
      </c>
      <c r="J719" s="5" cm="1">
        <f t="array" ref="J719">MAX(IF((ProjectInfoTable[ProjectName]=OutputTable[[#This Row],[ProjectName]]),(ProjectInfoTable[ProjectName]=OutputTable[[#This Row],[ProjectName]])*ProjectInfoTable[NumberOfReplications]))</f>
        <v>30</v>
      </c>
      <c r="K719" s="5" cm="1">
        <f t="array" ref="K719">IFERROR(AVERAGE(IF((OutputTable[GroupByKey]=OutputTable[[#This Row],[GroupByKey]]),(OutputTable[GroupByKey]=OutputTable[[#This Row],[GroupByKey]])*OutputTable[RecordedValue])),0)</f>
        <v>38.93333333333333</v>
      </c>
      <c r="L719" s="5" cm="1">
        <f t="array" ref="L719">IFERROR(_xlfn.STDEV.S(IF((OutputTable[GroupByKey]=OutputTable[[#This Row],[GroupByKey]]),(OutputTable[GroupByKey]=OutputTable[[#This Row],[GroupByKey]])*OutputTable[RecordedValue])),0)</f>
        <v>5.9765826548191505</v>
      </c>
      <c r="M719" s="5" cm="1">
        <f t="array" ref="M719">MAX(IF((ProjectInfoTable[ProjectName]=OutputTable[[#This Row],[ProjectName]]),(ProjectInfoTable[ProjectName]=OutputTable[[#This Row],[ProjectName]])*ProjectInfoTable[ConfidenceInterval]))</f>
        <v>0.95</v>
      </c>
      <c r="N7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19" s="5" cm="1">
        <f t="array" ref="O719">MIN(IF((OutputTable[GroupByKey]=OutputTable[[#This Row],[GroupByKey]]),(OutputTable[GroupByKey]=OutputTable[[#This Row],[GroupByKey]])*OutputTable[RecordedValue]))</f>
        <v>25</v>
      </c>
      <c r="P719" s="5" cm="1">
        <f t="array" ref="P719">MAX(IF((OutputTable[GroupByKey]=OutputTable[[#This Row],[GroupByKey]]),(OutputTable[GroupByKey]=OutputTable[[#This Row],[GroupByKey]])*OutputTable[RecordedValue]))</f>
        <v>49</v>
      </c>
    </row>
    <row r="720" spans="1:16" x14ac:dyDescent="0.25">
      <c r="A720" t="s">
        <v>68</v>
      </c>
      <c r="B720" t="s">
        <v>70</v>
      </c>
      <c r="C720">
        <v>29</v>
      </c>
      <c r="D720" t="s">
        <v>129</v>
      </c>
      <c r="E720" t="s">
        <v>110</v>
      </c>
      <c r="F720" t="s">
        <v>130</v>
      </c>
      <c r="G720">
        <v>47</v>
      </c>
      <c r="H720">
        <v>0</v>
      </c>
      <c r="I720" s="5" t="str">
        <f>OutputTable[[#This Row],[ProjectName]]&amp;OutputTable[[#This Row],[Name]]&amp;OutputTable[[#This Row],[Type]]&amp;OutputTable[[#This Row],[Source]]</f>
        <v>Pedido CleintesSystem.NumberOutNumber OutSystem</v>
      </c>
      <c r="J720" s="5" cm="1">
        <f t="array" ref="J720">MAX(IF((ProjectInfoTable[ProjectName]=OutputTable[[#This Row],[ProjectName]]),(ProjectInfoTable[ProjectName]=OutputTable[[#This Row],[ProjectName]])*ProjectInfoTable[NumberOfReplications]))</f>
        <v>30</v>
      </c>
      <c r="K720" s="5" cm="1">
        <f t="array" ref="K720">IFERROR(AVERAGE(IF((OutputTable[GroupByKey]=OutputTable[[#This Row],[GroupByKey]]),(OutputTable[GroupByKey]=OutputTable[[#This Row],[GroupByKey]])*OutputTable[RecordedValue])),0)</f>
        <v>38.866666666666667</v>
      </c>
      <c r="L720" s="5" cm="1">
        <f t="array" ref="L720">IFERROR(_xlfn.STDEV.S(IF((OutputTable[GroupByKey]=OutputTable[[#This Row],[GroupByKey]]),(OutputTable[GroupByKey]=OutputTable[[#This Row],[GroupByKey]])*OutputTable[RecordedValue])),0)</f>
        <v>6.0840851369801694</v>
      </c>
      <c r="M720" s="5" cm="1">
        <f t="array" ref="M720">MAX(IF((ProjectInfoTable[ProjectName]=OutputTable[[#This Row],[ProjectName]]),(ProjectInfoTable[ProjectName]=OutputTable[[#This Row],[ProjectName]])*ProjectInfoTable[ConfidenceInterval]))</f>
        <v>0.95</v>
      </c>
      <c r="N7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720" s="5" cm="1">
        <f t="array" ref="O720">MIN(IF((OutputTable[GroupByKey]=OutputTable[[#This Row],[GroupByKey]]),(OutputTable[GroupByKey]=OutputTable[[#This Row],[GroupByKey]])*OutputTable[RecordedValue]))</f>
        <v>24</v>
      </c>
      <c r="P720" s="5" cm="1">
        <f t="array" ref="P720">MAX(IF((OutputTable[GroupByKey]=OutputTable[[#This Row],[GroupByKey]]),(OutputTable[GroupByKey]=OutputTable[[#This Row],[GroupByKey]])*OutputTable[RecordedValue]))</f>
        <v>49</v>
      </c>
    </row>
    <row r="721" spans="1:16" x14ac:dyDescent="0.25">
      <c r="A721" t="s">
        <v>68</v>
      </c>
      <c r="B721" t="s">
        <v>70</v>
      </c>
      <c r="C721">
        <v>29</v>
      </c>
      <c r="D721" t="s">
        <v>131</v>
      </c>
      <c r="E721" t="s">
        <v>132</v>
      </c>
      <c r="F721" t="s">
        <v>102</v>
      </c>
      <c r="G721">
        <v>48</v>
      </c>
      <c r="H721">
        <v>0</v>
      </c>
      <c r="I721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721" s="5" cm="1">
        <f t="array" ref="J721">MAX(IF((ProjectInfoTable[ProjectName]=OutputTable[[#This Row],[ProjectName]]),(ProjectInfoTable[ProjectName]=OutputTable[[#This Row],[ProjectName]])*ProjectInfoTable[NumberOfReplications]))</f>
        <v>30</v>
      </c>
      <c r="K721" s="5" cm="1">
        <f t="array" ref="K721">IFERROR(AVERAGE(IF((OutputTable[GroupByKey]=OutputTable[[#This Row],[GroupByKey]]),(OutputTable[GroupByKey]=OutputTable[[#This Row],[GroupByKey]])*OutputTable[RecordedValue])),0)</f>
        <v>39.4</v>
      </c>
      <c r="L721" s="5" cm="1">
        <f t="array" ref="L721">IFERROR(_xlfn.STDEV.S(IF((OutputTable[GroupByKey]=OutputTable[[#This Row],[GroupByKey]]),(OutputTable[GroupByKey]=OutputTable[[#This Row],[GroupByKey]])*OutputTable[RecordedValue])),0)</f>
        <v>5.8757244601014422</v>
      </c>
      <c r="M721" s="5" cm="1">
        <f t="array" ref="M721">MAX(IF((ProjectInfoTable[ProjectName]=OutputTable[[#This Row],[ProjectName]]),(ProjectInfoTable[ProjectName]=OutputTable[[#This Row],[ProjectName]])*ProjectInfoTable[ConfidenceInterval]))</f>
        <v>0.95</v>
      </c>
      <c r="N7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721" s="5" cm="1">
        <f t="array" ref="O721">MIN(IF((OutputTable[GroupByKey]=OutputTable[[#This Row],[GroupByKey]]),(OutputTable[GroupByKey]=OutputTable[[#This Row],[GroupByKey]])*OutputTable[RecordedValue]))</f>
        <v>26</v>
      </c>
      <c r="P721" s="5" cm="1">
        <f t="array" ref="P721">MAX(IF((OutputTable[GroupByKey]=OutputTable[[#This Row],[GroupByKey]]),(OutputTable[GroupByKey]=OutputTable[[#This Row],[GroupByKey]])*OutputTable[RecordedValue]))</f>
        <v>49</v>
      </c>
    </row>
    <row r="722" spans="1:16" x14ac:dyDescent="0.25">
      <c r="A722" t="s">
        <v>68</v>
      </c>
      <c r="B722" t="s">
        <v>70</v>
      </c>
      <c r="C722">
        <v>29</v>
      </c>
      <c r="D722" t="s">
        <v>133</v>
      </c>
      <c r="E722" t="s">
        <v>134</v>
      </c>
      <c r="F722" t="s">
        <v>102</v>
      </c>
      <c r="G722">
        <v>0.58995872822012696</v>
      </c>
      <c r="H722">
        <v>0</v>
      </c>
      <c r="I722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722" s="5" cm="1">
        <f t="array" ref="J722">MAX(IF((ProjectInfoTable[ProjectName]=OutputTable[[#This Row],[ProjectName]]),(ProjectInfoTable[ProjectName]=OutputTable[[#This Row],[ProjectName]])*ProjectInfoTable[NumberOfReplications]))</f>
        <v>30</v>
      </c>
      <c r="K722" s="5" cm="1">
        <f t="array" ref="K722">IFERROR(AVERAGE(IF((OutputTable[GroupByKey]=OutputTable[[#This Row],[GroupByKey]]),(OutputTable[GroupByKey]=OutputTable[[#This Row],[GroupByKey]])*OutputTable[RecordedValue])),0)</f>
        <v>0.48891840079317483</v>
      </c>
      <c r="L722" s="5" cm="1">
        <f t="array" ref="L722">IFERROR(_xlfn.STDEV.S(IF((OutputTable[GroupByKey]=OutputTable[[#This Row],[GroupByKey]]),(OutputTable[GroupByKey]=OutputTable[[#This Row],[GroupByKey]])*OutputTable[RecordedValue])),0)</f>
        <v>7.3627413122013347E-2</v>
      </c>
      <c r="M722" s="5" cm="1">
        <f t="array" ref="M722">MAX(IF((ProjectInfoTable[ProjectName]=OutputTable[[#This Row],[ProjectName]]),(ProjectInfoTable[ProjectName]=OutputTable[[#This Row],[ProjectName]])*ProjectInfoTable[ConfidenceInterval]))</f>
        <v>0.95</v>
      </c>
      <c r="N7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722" s="5" cm="1">
        <f t="array" ref="O722">MIN(IF((OutputTable[GroupByKey]=OutputTable[[#This Row],[GroupByKey]]),(OutputTable[GroupByKey]=OutputTable[[#This Row],[GroupByKey]])*OutputTable[RecordedValue]))</f>
        <v>0.31277577999924699</v>
      </c>
      <c r="P722" s="5" cm="1">
        <f t="array" ref="P722">MAX(IF((OutputTable[GroupByKey]=OutputTable[[#This Row],[GroupByKey]]),(OutputTable[GroupByKey]=OutputTable[[#This Row],[GroupByKey]])*OutputTable[RecordedValue]))</f>
        <v>0.60626731984831705</v>
      </c>
    </row>
    <row r="723" spans="1:16" x14ac:dyDescent="0.25">
      <c r="A723" t="s">
        <v>68</v>
      </c>
      <c r="B723" t="s">
        <v>70</v>
      </c>
      <c r="C723">
        <v>29</v>
      </c>
      <c r="D723" t="s">
        <v>135</v>
      </c>
      <c r="E723" t="s">
        <v>132</v>
      </c>
      <c r="F723" t="s">
        <v>102</v>
      </c>
      <c r="G723">
        <v>96</v>
      </c>
      <c r="H723">
        <v>0</v>
      </c>
      <c r="I723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723" s="5" cm="1">
        <f t="array" ref="J723">MAX(IF((ProjectInfoTable[ProjectName]=OutputTable[[#This Row],[ProjectName]]),(ProjectInfoTable[ProjectName]=OutputTable[[#This Row],[ProjectName]])*ProjectInfoTable[NumberOfReplications]))</f>
        <v>30</v>
      </c>
      <c r="K723" s="5" cm="1">
        <f t="array" ref="K723">IFERROR(AVERAGE(IF((OutputTable[GroupByKey]=OutputTable[[#This Row],[GroupByKey]]),(OutputTable[GroupByKey]=OutputTable[[#This Row],[GroupByKey]])*OutputTable[RecordedValue])),0)</f>
        <v>79.466666666666669</v>
      </c>
      <c r="L723" s="5" cm="1">
        <f t="array" ref="L723">IFERROR(_xlfn.STDEV.S(IF((OutputTable[GroupByKey]=OutputTable[[#This Row],[GroupByKey]]),(OutputTable[GroupByKey]=OutputTable[[#This Row],[GroupByKey]])*OutputTable[RecordedValue])),0)</f>
        <v>12.016463801753446</v>
      </c>
      <c r="M723" s="5" cm="1">
        <f t="array" ref="M723">MAX(IF((ProjectInfoTable[ProjectName]=OutputTable[[#This Row],[ProjectName]]),(ProjectInfoTable[ProjectName]=OutputTable[[#This Row],[ProjectName]])*ProjectInfoTable[ConfidenceInterval]))</f>
        <v>0.95</v>
      </c>
      <c r="N7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723" s="5" cm="1">
        <f t="array" ref="O723">MIN(IF((OutputTable[GroupByKey]=OutputTable[[#This Row],[GroupByKey]]),(OutputTable[GroupByKey]=OutputTable[[#This Row],[GroupByKey]])*OutputTable[RecordedValue]))</f>
        <v>53</v>
      </c>
      <c r="P723" s="5" cm="1">
        <f t="array" ref="P723">MAX(IF((OutputTable[GroupByKey]=OutputTable[[#This Row],[GroupByKey]]),(OutputTable[GroupByKey]=OutputTable[[#This Row],[GroupByKey]])*OutputTable[RecordedValue]))</f>
        <v>98</v>
      </c>
    </row>
    <row r="724" spans="1:16" x14ac:dyDescent="0.25">
      <c r="A724" t="s">
        <v>68</v>
      </c>
      <c r="B724" t="s">
        <v>70</v>
      </c>
      <c r="C724">
        <v>29</v>
      </c>
      <c r="D724" t="s">
        <v>136</v>
      </c>
      <c r="E724" t="s">
        <v>134</v>
      </c>
      <c r="F724" t="s">
        <v>102</v>
      </c>
      <c r="G724">
        <v>0.35775345817659199</v>
      </c>
      <c r="H724">
        <v>0</v>
      </c>
      <c r="I724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724" s="5" cm="1">
        <f t="array" ref="J724">MAX(IF((ProjectInfoTable[ProjectName]=OutputTable[[#This Row],[ProjectName]]),(ProjectInfoTable[ProjectName]=OutputTable[[#This Row],[ProjectName]])*ProjectInfoTable[NumberOfReplications]))</f>
        <v>30</v>
      </c>
      <c r="K724" s="5" cm="1">
        <f t="array" ref="K724">IFERROR(AVERAGE(IF((OutputTable[GroupByKey]=OutputTable[[#This Row],[GroupByKey]]),(OutputTable[GroupByKey]=OutputTable[[#This Row],[GroupByKey]])*OutputTable[RecordedValue])),0)</f>
        <v>0.28976365927997022</v>
      </c>
      <c r="L724" s="5" cm="1">
        <f t="array" ref="L724">IFERROR(_xlfn.STDEV.S(IF((OutputTable[GroupByKey]=OutputTable[[#This Row],[GroupByKey]]),(OutputTable[GroupByKey]=OutputTable[[#This Row],[GroupByKey]])*OutputTable[RecordedValue])),0)</f>
        <v>4.4748273652133699E-2</v>
      </c>
      <c r="M724" s="5" cm="1">
        <f t="array" ref="M724">MAX(IF((ProjectInfoTable[ProjectName]=OutputTable[[#This Row],[ProjectName]]),(ProjectInfoTable[ProjectName]=OutputTable[[#This Row],[ProjectName]])*ProjectInfoTable[ConfidenceInterval]))</f>
        <v>0.95</v>
      </c>
      <c r="N7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724" s="5" cm="1">
        <f t="array" ref="O724">MIN(IF((OutputTable[GroupByKey]=OutputTable[[#This Row],[GroupByKey]]),(OutputTable[GroupByKey]=OutputTable[[#This Row],[GroupByKey]])*OutputTable[RecordedValue]))</f>
        <v>0.194735973294278</v>
      </c>
      <c r="P724" s="5" cm="1">
        <f t="array" ref="P724">MAX(IF((OutputTable[GroupByKey]=OutputTable[[#This Row],[GroupByKey]]),(OutputTable[GroupByKey]=OutputTable[[#This Row],[GroupByKey]])*OutputTable[RecordedValue]))</f>
        <v>0.35775345817659199</v>
      </c>
    </row>
    <row r="725" spans="1:16" x14ac:dyDescent="0.25">
      <c r="A725" t="s">
        <v>68</v>
      </c>
      <c r="B725" t="s">
        <v>70</v>
      </c>
      <c r="C725">
        <v>29</v>
      </c>
      <c r="D725" t="s">
        <v>137</v>
      </c>
      <c r="E725" t="s">
        <v>132</v>
      </c>
      <c r="F725" t="s">
        <v>102</v>
      </c>
      <c r="G725">
        <v>47</v>
      </c>
      <c r="H725">
        <v>0</v>
      </c>
      <c r="I725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725" s="5" cm="1">
        <f t="array" ref="J725">MAX(IF((ProjectInfoTable[ProjectName]=OutputTable[[#This Row],[ProjectName]]),(ProjectInfoTable[ProjectName]=OutputTable[[#This Row],[ProjectName]])*ProjectInfoTable[NumberOfReplications]))</f>
        <v>30</v>
      </c>
      <c r="K725" s="5" cm="1">
        <f t="array" ref="K725">IFERROR(AVERAGE(IF((OutputTable[GroupByKey]=OutputTable[[#This Row],[GroupByKey]]),(OutputTable[GroupByKey]=OutputTable[[#This Row],[GroupByKey]])*OutputTable[RecordedValue])),0)</f>
        <v>38.93333333333333</v>
      </c>
      <c r="L725" s="5" cm="1">
        <f t="array" ref="L725">IFERROR(_xlfn.STDEV.S(IF((OutputTable[GroupByKey]=OutputTable[[#This Row],[GroupByKey]]),(OutputTable[GroupByKey]=OutputTable[[#This Row],[GroupByKey]])*OutputTable[RecordedValue])),0)</f>
        <v>5.9765826548191505</v>
      </c>
      <c r="M725" s="5" cm="1">
        <f t="array" ref="M725">MAX(IF((ProjectInfoTable[ProjectName]=OutputTable[[#This Row],[ProjectName]]),(ProjectInfoTable[ProjectName]=OutputTable[[#This Row],[ProjectName]])*ProjectInfoTable[ConfidenceInterval]))</f>
        <v>0.95</v>
      </c>
      <c r="N7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25" s="5" cm="1">
        <f t="array" ref="O725">MIN(IF((OutputTable[GroupByKey]=OutputTable[[#This Row],[GroupByKey]]),(OutputTable[GroupByKey]=OutputTable[[#This Row],[GroupByKey]])*OutputTable[RecordedValue]))</f>
        <v>25</v>
      </c>
      <c r="P725" s="5" cm="1">
        <f t="array" ref="P725">MAX(IF((OutputTable[GroupByKey]=OutputTable[[#This Row],[GroupByKey]]),(OutputTable[GroupByKey]=OutputTable[[#This Row],[GroupByKey]])*OutputTable[RecordedValue]))</f>
        <v>49</v>
      </c>
    </row>
    <row r="726" spans="1:16" x14ac:dyDescent="0.25">
      <c r="A726" t="s">
        <v>68</v>
      </c>
      <c r="B726" t="s">
        <v>70</v>
      </c>
      <c r="C726">
        <v>29</v>
      </c>
      <c r="D726" t="s">
        <v>138</v>
      </c>
      <c r="E726" t="s">
        <v>134</v>
      </c>
      <c r="F726" t="s">
        <v>102</v>
      </c>
      <c r="G726">
        <v>0.103175045984152</v>
      </c>
      <c r="H726">
        <v>0</v>
      </c>
      <c r="I726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726" s="5" cm="1">
        <f t="array" ref="J726">MAX(IF((ProjectInfoTable[ProjectName]=OutputTable[[#This Row],[ProjectName]]),(ProjectInfoTable[ProjectName]=OutputTable[[#This Row],[ProjectName]])*ProjectInfoTable[NumberOfReplications]))</f>
        <v>30</v>
      </c>
      <c r="K726" s="5" cm="1">
        <f t="array" ref="K726">IFERROR(AVERAGE(IF((OutputTable[GroupByKey]=OutputTable[[#This Row],[GroupByKey]]),(OutputTable[GroupByKey]=OutputTable[[#This Row],[GroupByKey]])*OutputTable[RecordedValue])),0)</f>
        <v>8.2588852761398115E-2</v>
      </c>
      <c r="L726" s="5" cm="1">
        <f t="array" ref="L726">IFERROR(_xlfn.STDEV.S(IF((OutputTable[GroupByKey]=OutputTable[[#This Row],[GroupByKey]]),(OutputTable[GroupByKey]=OutputTable[[#This Row],[GroupByKey]])*OutputTable[RecordedValue])),0)</f>
        <v>1.3130964022328008E-2</v>
      </c>
      <c r="M726" s="5" cm="1">
        <f t="array" ref="M726">MAX(IF((ProjectInfoTable[ProjectName]=OutputTable[[#This Row],[ProjectName]]),(ProjectInfoTable[ProjectName]=OutputTable[[#This Row],[ProjectName]])*ProjectInfoTable[ConfidenceInterval]))</f>
        <v>0.95</v>
      </c>
      <c r="N7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726" s="5" cm="1">
        <f t="array" ref="O726">MIN(IF((OutputTable[GroupByKey]=OutputTable[[#This Row],[GroupByKey]]),(OutputTable[GroupByKey]=OutputTable[[#This Row],[GroupByKey]])*OutputTable[RecordedValue]))</f>
        <v>5.3757894868807901E-2</v>
      </c>
      <c r="P726" s="5" cm="1">
        <f t="array" ref="P726">MAX(IF((OutputTable[GroupByKey]=OutputTable[[#This Row],[GroupByKey]]),(OutputTable[GroupByKey]=OutputTable[[#This Row],[GroupByKey]])*OutputTable[RecordedValue]))</f>
        <v>0.103175045984152</v>
      </c>
    </row>
    <row r="727" spans="1:16" x14ac:dyDescent="0.25">
      <c r="A727" t="s">
        <v>68</v>
      </c>
      <c r="B727" t="s">
        <v>70</v>
      </c>
      <c r="C727">
        <v>30</v>
      </c>
      <c r="D727" t="s">
        <v>107</v>
      </c>
      <c r="E727" t="s">
        <v>108</v>
      </c>
      <c r="F727" t="s">
        <v>73</v>
      </c>
      <c r="G727">
        <v>105</v>
      </c>
      <c r="H727">
        <v>0</v>
      </c>
      <c r="I727" s="5" t="str">
        <f>OutputTable[[#This Row],[ProjectName]]&amp;OutputTable[[#This Row],[Name]]&amp;OutputTable[[#This Row],[Type]]&amp;OutputTable[[#This Row],[Source]]</f>
        <v>Pedido CleintesClientes.NumberInNumber InEntity</v>
      </c>
      <c r="J727" s="5" cm="1">
        <f t="array" ref="J727">MAX(IF((ProjectInfoTable[ProjectName]=OutputTable[[#This Row],[ProjectName]]),(ProjectInfoTable[ProjectName]=OutputTable[[#This Row],[ProjectName]])*ProjectInfoTable[NumberOfReplications]))</f>
        <v>30</v>
      </c>
      <c r="K727" s="5" cm="1">
        <f t="array" ref="K727">IFERROR(AVERAGE(IF((OutputTable[GroupByKey]=OutputTable[[#This Row],[GroupByKey]]),(OutputTable[GroupByKey]=OutputTable[[#This Row],[GroupByKey]])*OutputTable[RecordedValue])),0)</f>
        <v>118.5</v>
      </c>
      <c r="L727" s="5" cm="1">
        <f t="array" ref="L727">IFERROR(_xlfn.STDEV.S(IF((OutputTable[GroupByKey]=OutputTable[[#This Row],[GroupByKey]]),(OutputTable[GroupByKey]=OutputTable[[#This Row],[GroupByKey]])*OutputTable[RecordedValue])),0)</f>
        <v>18.009097317936192</v>
      </c>
      <c r="M727" s="5" cm="1">
        <f t="array" ref="M727">MAX(IF((ProjectInfoTable[ProjectName]=OutputTable[[#This Row],[ProjectName]]),(ProjectInfoTable[ProjectName]=OutputTable[[#This Row],[ProjectName]])*ProjectInfoTable[ConfidenceInterval]))</f>
        <v>0.95</v>
      </c>
      <c r="N7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6.7247074559912132</v>
      </c>
      <c r="O727" s="5" cm="1">
        <f t="array" ref="O727">MIN(IF((OutputTable[GroupByKey]=OutputTable[[#This Row],[GroupByKey]]),(OutputTable[GroupByKey]=OutputTable[[#This Row],[GroupByKey]])*OutputTable[RecordedValue]))</f>
        <v>78</v>
      </c>
      <c r="P727" s="5" cm="1">
        <f t="array" ref="P727">MAX(IF((OutputTable[GroupByKey]=OutputTable[[#This Row],[GroupByKey]]),(OutputTable[GroupByKey]=OutputTable[[#This Row],[GroupByKey]])*OutputTable[RecordedValue]))</f>
        <v>147</v>
      </c>
    </row>
    <row r="728" spans="1:16" x14ac:dyDescent="0.25">
      <c r="A728" t="s">
        <v>68</v>
      </c>
      <c r="B728" t="s">
        <v>70</v>
      </c>
      <c r="C728">
        <v>30</v>
      </c>
      <c r="D728" t="s">
        <v>109</v>
      </c>
      <c r="E728" t="s">
        <v>110</v>
      </c>
      <c r="F728" t="s">
        <v>73</v>
      </c>
      <c r="G728">
        <v>105</v>
      </c>
      <c r="H728">
        <v>0</v>
      </c>
      <c r="I728" s="5" t="str">
        <f>OutputTable[[#This Row],[ProjectName]]&amp;OutputTable[[#This Row],[Name]]&amp;OutputTable[[#This Row],[Type]]&amp;OutputTable[[#This Row],[Source]]</f>
        <v>Pedido CleintesClientes.NumberOutNumber OutEntity</v>
      </c>
      <c r="J728" s="5" cm="1">
        <f t="array" ref="J728">MAX(IF((ProjectInfoTable[ProjectName]=OutputTable[[#This Row],[ProjectName]]),(ProjectInfoTable[ProjectName]=OutputTable[[#This Row],[ProjectName]])*ProjectInfoTable[NumberOfReplications]))</f>
        <v>30</v>
      </c>
      <c r="K728" s="5" cm="1">
        <f t="array" ref="K728">IFERROR(AVERAGE(IF((OutputTable[GroupByKey]=OutputTable[[#This Row],[GroupByKey]]),(OutputTable[GroupByKey]=OutputTable[[#This Row],[GroupByKey]])*OutputTable[RecordedValue])),0)</f>
        <v>116.6</v>
      </c>
      <c r="L728" s="5" cm="1">
        <f t="array" ref="L728">IFERROR(_xlfn.STDEV.S(IF((OutputTable[GroupByKey]=OutputTable[[#This Row],[GroupByKey]]),(OutputTable[GroupByKey]=OutputTable[[#This Row],[GroupByKey]])*OutputTable[RecordedValue])),0)</f>
        <v>18.252255410940514</v>
      </c>
      <c r="M728" s="5" cm="1">
        <f t="array" ref="M728">MAX(IF((ProjectInfoTable[ProjectName]=OutputTable[[#This Row],[ProjectName]]),(ProjectInfoTable[ProjectName]=OutputTable[[#This Row],[ProjectName]])*ProjectInfoTable[ConfidenceInterval]))</f>
        <v>0.95</v>
      </c>
      <c r="N7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6.8155041801214233</v>
      </c>
      <c r="O728" s="5" cm="1">
        <f t="array" ref="O728">MIN(IF((OutputTable[GroupByKey]=OutputTable[[#This Row],[GroupByKey]]),(OutputTable[GroupByKey]=OutputTable[[#This Row],[GroupByKey]])*OutputTable[RecordedValue]))</f>
        <v>72</v>
      </c>
      <c r="P728" s="5" cm="1">
        <f t="array" ref="P728">MAX(IF((OutputTable[GroupByKey]=OutputTable[[#This Row],[GroupByKey]]),(OutputTable[GroupByKey]=OutputTable[[#This Row],[GroupByKey]])*OutputTable[RecordedValue]))</f>
        <v>147</v>
      </c>
    </row>
    <row r="729" spans="1:16" x14ac:dyDescent="0.25">
      <c r="A729" t="s">
        <v>68</v>
      </c>
      <c r="B729" t="s">
        <v>70</v>
      </c>
      <c r="C729">
        <v>30</v>
      </c>
      <c r="D729" t="s">
        <v>111</v>
      </c>
      <c r="E729" t="s">
        <v>112</v>
      </c>
      <c r="F729" t="s">
        <v>81</v>
      </c>
      <c r="G729">
        <v>16.910542863416602</v>
      </c>
      <c r="H729">
        <v>0</v>
      </c>
      <c r="I729" s="5" t="str">
        <f>OutputTable[[#This Row],[ProjectName]]&amp;OutputTable[[#This Row],[Name]]&amp;OutputTable[[#This Row],[Type]]&amp;OutputTable[[#This Row],[Source]]</f>
        <v>Pedido CleintesEmpaque de pedidos Accum VA TimeAccum VA TimeProcess</v>
      </c>
      <c r="J729" s="5" cm="1">
        <f t="array" ref="J729">MAX(IF((ProjectInfoTable[ProjectName]=OutputTable[[#This Row],[ProjectName]]),(ProjectInfoTable[ProjectName]=OutputTable[[#This Row],[ProjectName]])*ProjectInfoTable[NumberOfReplications]))</f>
        <v>30</v>
      </c>
      <c r="K729" s="5" cm="1">
        <f t="array" ref="K729">IFERROR(AVERAGE(IF((OutputTable[GroupByKey]=OutputTable[[#This Row],[GroupByKey]]),(OutputTable[GroupByKey]=OutputTable[[#This Row],[GroupByKey]])*OutputTable[RecordedValue])),0)</f>
        <v>19.806808580201274</v>
      </c>
      <c r="L729" s="5" cm="1">
        <f t="array" ref="L729">IFERROR(_xlfn.STDEV.S(IF((OutputTable[GroupByKey]=OutputTable[[#This Row],[GroupByKey]]),(OutputTable[GroupByKey]=OutputTable[[#This Row],[GroupByKey]])*OutputTable[RecordedValue])),0)</f>
        <v>3.1624794742170024</v>
      </c>
      <c r="M729" s="5" cm="1">
        <f t="array" ref="M729">MAX(IF((ProjectInfoTable[ProjectName]=OutputTable[[#This Row],[ProjectName]]),(ProjectInfoTable[ProjectName]=OutputTable[[#This Row],[ProjectName]])*ProjectInfoTable[ConfidenceInterval]))</f>
        <v>0.95</v>
      </c>
      <c r="N7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1.180889243044158</v>
      </c>
      <c r="O729" s="5" cm="1">
        <f t="array" ref="O729">MIN(IF((OutputTable[GroupByKey]=OutputTable[[#This Row],[GroupByKey]]),(OutputTable[GroupByKey]=OutputTable[[#This Row],[GroupByKey]])*OutputTable[RecordedValue]))</f>
        <v>12.812268330404599</v>
      </c>
      <c r="P729" s="5" cm="1">
        <f t="array" ref="P729">MAX(IF((OutputTable[GroupByKey]=OutputTable[[#This Row],[GroupByKey]]),(OutputTable[GroupByKey]=OutputTable[[#This Row],[GroupByKey]])*OutputTable[RecordedValue]))</f>
        <v>24.762011036196501</v>
      </c>
    </row>
    <row r="730" spans="1:16" x14ac:dyDescent="0.25">
      <c r="A730" t="s">
        <v>68</v>
      </c>
      <c r="B730" t="s">
        <v>70</v>
      </c>
      <c r="C730">
        <v>30</v>
      </c>
      <c r="D730" t="s">
        <v>113</v>
      </c>
      <c r="E730" t="s">
        <v>114</v>
      </c>
      <c r="F730" t="s">
        <v>81</v>
      </c>
      <c r="G730">
        <v>0</v>
      </c>
      <c r="H730">
        <v>0</v>
      </c>
      <c r="I730" s="5" t="str">
        <f>OutputTable[[#This Row],[ProjectName]]&amp;OutputTable[[#This Row],[Name]]&amp;OutputTable[[#This Row],[Type]]&amp;OutputTable[[#This Row],[Source]]</f>
        <v>Pedido CleintesEmpaque de pedidos Accum Wait TimeAccum Wait TimeProcess</v>
      </c>
      <c r="J730" s="5" cm="1">
        <f t="array" ref="J730">MAX(IF((ProjectInfoTable[ProjectName]=OutputTable[[#This Row],[ProjectName]]),(ProjectInfoTable[ProjectName]=OutputTable[[#This Row],[ProjectName]])*ProjectInfoTable[NumberOfReplications]))</f>
        <v>30</v>
      </c>
      <c r="K730" s="5" cm="1">
        <f t="array" ref="K730">IFERROR(AVERAGE(IF((OutputTable[GroupByKey]=OutputTable[[#This Row],[GroupByKey]]),(OutputTable[GroupByKey]=OutputTable[[#This Row],[GroupByKey]])*OutputTable[RecordedValue])),0)</f>
        <v>0</v>
      </c>
      <c r="L730" s="5" cm="1">
        <f t="array" ref="L730">IFERROR(_xlfn.STDEV.S(IF((OutputTable[GroupByKey]=OutputTable[[#This Row],[GroupByKey]]),(OutputTable[GroupByKey]=OutputTable[[#This Row],[GroupByKey]])*OutputTable[RecordedValue])),0)</f>
        <v>0</v>
      </c>
      <c r="M730" s="5" cm="1">
        <f t="array" ref="M730">MAX(IF((ProjectInfoTable[ProjectName]=OutputTable[[#This Row],[ProjectName]]),(ProjectInfoTable[ProjectName]=OutputTable[[#This Row],[ProjectName]])*ProjectInfoTable[ConfidenceInterval]))</f>
        <v>0.95</v>
      </c>
      <c r="N7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0" s="5" cm="1">
        <f t="array" ref="O730">MIN(IF((OutputTable[GroupByKey]=OutputTable[[#This Row],[GroupByKey]]),(OutputTable[GroupByKey]=OutputTable[[#This Row],[GroupByKey]])*OutputTable[RecordedValue]))</f>
        <v>0</v>
      </c>
      <c r="P730" s="5" cm="1">
        <f t="array" ref="P730">MAX(IF((OutputTable[GroupByKey]=OutputTable[[#This Row],[GroupByKey]]),(OutputTable[GroupByKey]=OutputTable[[#This Row],[GroupByKey]])*OutputTable[RecordedValue]))</f>
        <v>0</v>
      </c>
    </row>
    <row r="731" spans="1:16" x14ac:dyDescent="0.25">
      <c r="A731" t="s">
        <v>68</v>
      </c>
      <c r="B731" t="s">
        <v>70</v>
      </c>
      <c r="C731">
        <v>30</v>
      </c>
      <c r="D731" t="s">
        <v>115</v>
      </c>
      <c r="E731" t="s">
        <v>108</v>
      </c>
      <c r="F731" t="s">
        <v>81</v>
      </c>
      <c r="G731">
        <v>35</v>
      </c>
      <c r="H731">
        <v>0</v>
      </c>
      <c r="I731" s="5" t="str">
        <f>OutputTable[[#This Row],[ProjectName]]&amp;OutputTable[[#This Row],[Name]]&amp;OutputTable[[#This Row],[Type]]&amp;OutputTable[[#This Row],[Source]]</f>
        <v>Pedido CleintesEmpaque de pedidos Number InNumber InProcess</v>
      </c>
      <c r="J731" s="5" cm="1">
        <f t="array" ref="J731">MAX(IF((ProjectInfoTable[ProjectName]=OutputTable[[#This Row],[ProjectName]]),(ProjectInfoTable[ProjectName]=OutputTable[[#This Row],[ProjectName]])*ProjectInfoTable[NumberOfReplications]))</f>
        <v>30</v>
      </c>
      <c r="K731" s="5" cm="1">
        <f t="array" ref="K731">IFERROR(AVERAGE(IF((OutputTable[GroupByKey]=OutputTable[[#This Row],[GroupByKey]]),(OutputTable[GroupByKey]=OutputTable[[#This Row],[GroupByKey]])*OutputTable[RecordedValue])),0)</f>
        <v>38.93333333333333</v>
      </c>
      <c r="L731" s="5" cm="1">
        <f t="array" ref="L731">IFERROR(_xlfn.STDEV.S(IF((OutputTable[GroupByKey]=OutputTable[[#This Row],[GroupByKey]]),(OutputTable[GroupByKey]=OutputTable[[#This Row],[GroupByKey]])*OutputTable[RecordedValue])),0)</f>
        <v>5.9765826548191505</v>
      </c>
      <c r="M731" s="5" cm="1">
        <f t="array" ref="M731">MAX(IF((ProjectInfoTable[ProjectName]=OutputTable[[#This Row],[ProjectName]]),(ProjectInfoTable[ProjectName]=OutputTable[[#This Row],[ProjectName]])*ProjectInfoTable[ConfidenceInterval]))</f>
        <v>0.95</v>
      </c>
      <c r="N7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31" s="5" cm="1">
        <f t="array" ref="O731">MIN(IF((OutputTable[GroupByKey]=OutputTable[[#This Row],[GroupByKey]]),(OutputTable[GroupByKey]=OutputTable[[#This Row],[GroupByKey]])*OutputTable[RecordedValue]))</f>
        <v>25</v>
      </c>
      <c r="P731" s="5" cm="1">
        <f t="array" ref="P731">MAX(IF((OutputTable[GroupByKey]=OutputTable[[#This Row],[GroupByKey]]),(OutputTable[GroupByKey]=OutputTable[[#This Row],[GroupByKey]])*OutputTable[RecordedValue]))</f>
        <v>49</v>
      </c>
    </row>
    <row r="732" spans="1:16" x14ac:dyDescent="0.25">
      <c r="A732" t="s">
        <v>68</v>
      </c>
      <c r="B732" t="s">
        <v>70</v>
      </c>
      <c r="C732">
        <v>30</v>
      </c>
      <c r="D732" t="s">
        <v>116</v>
      </c>
      <c r="E732" t="s">
        <v>110</v>
      </c>
      <c r="F732" t="s">
        <v>81</v>
      </c>
      <c r="G732">
        <v>35</v>
      </c>
      <c r="H732">
        <v>0</v>
      </c>
      <c r="I732" s="5" t="str">
        <f>OutputTable[[#This Row],[ProjectName]]&amp;OutputTable[[#This Row],[Name]]&amp;OutputTable[[#This Row],[Type]]&amp;OutputTable[[#This Row],[Source]]</f>
        <v>Pedido CleintesEmpaque de pedidos Number OutNumber OutProcess</v>
      </c>
      <c r="J732" s="5" cm="1">
        <f t="array" ref="J732">MAX(IF((ProjectInfoTable[ProjectName]=OutputTable[[#This Row],[ProjectName]]),(ProjectInfoTable[ProjectName]=OutputTable[[#This Row],[ProjectName]])*ProjectInfoTable[NumberOfReplications]))</f>
        <v>30</v>
      </c>
      <c r="K732" s="5" cm="1">
        <f t="array" ref="K732">IFERROR(AVERAGE(IF((OutputTable[GroupByKey]=OutputTable[[#This Row],[GroupByKey]]),(OutputTable[GroupByKey]=OutputTable[[#This Row],[GroupByKey]])*OutputTable[RecordedValue])),0)</f>
        <v>38.866666666666667</v>
      </c>
      <c r="L732" s="5" cm="1">
        <f t="array" ref="L732">IFERROR(_xlfn.STDEV.S(IF((OutputTable[GroupByKey]=OutputTable[[#This Row],[GroupByKey]]),(OutputTable[GroupByKey]=OutputTable[[#This Row],[GroupByKey]])*OutputTable[RecordedValue])),0)</f>
        <v>6.0840851369801694</v>
      </c>
      <c r="M732" s="5" cm="1">
        <f t="array" ref="M732">MAX(IF((ProjectInfoTable[ProjectName]=OutputTable[[#This Row],[ProjectName]]),(ProjectInfoTable[ProjectName]=OutputTable[[#This Row],[ProjectName]])*ProjectInfoTable[ConfidenceInterval]))</f>
        <v>0.95</v>
      </c>
      <c r="N7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732" s="5" cm="1">
        <f t="array" ref="O732">MIN(IF((OutputTable[GroupByKey]=OutputTable[[#This Row],[GroupByKey]]),(OutputTable[GroupByKey]=OutputTable[[#This Row],[GroupByKey]])*OutputTable[RecordedValue]))</f>
        <v>24</v>
      </c>
      <c r="P732" s="5" cm="1">
        <f t="array" ref="P732">MAX(IF((OutputTable[GroupByKey]=OutputTable[[#This Row],[GroupByKey]]),(OutputTable[GroupByKey]=OutputTable[[#This Row],[GroupByKey]])*OutputTable[RecordedValue]))</f>
        <v>49</v>
      </c>
    </row>
    <row r="733" spans="1:16" x14ac:dyDescent="0.25">
      <c r="A733" t="s">
        <v>68</v>
      </c>
      <c r="B733" t="s">
        <v>70</v>
      </c>
      <c r="C733">
        <v>30</v>
      </c>
      <c r="D733" t="s">
        <v>117</v>
      </c>
      <c r="E733" t="s">
        <v>112</v>
      </c>
      <c r="F733" t="s">
        <v>81</v>
      </c>
      <c r="G733">
        <v>35.506081095300097</v>
      </c>
      <c r="H733">
        <v>0</v>
      </c>
      <c r="I733" s="5" t="str">
        <f>OutputTable[[#This Row],[ProjectName]]&amp;OutputTable[[#This Row],[Name]]&amp;OutputTable[[#This Row],[Type]]&amp;OutputTable[[#This Row],[Source]]</f>
        <v>Pedido CleintesOrdnes Accum VA TimeAccum VA TimeProcess</v>
      </c>
      <c r="J733" s="5" cm="1">
        <f t="array" ref="J733">MAX(IF((ProjectInfoTable[ProjectName]=OutputTable[[#This Row],[ProjectName]]),(ProjectInfoTable[ProjectName]=OutputTable[[#This Row],[ProjectName]])*ProjectInfoTable[NumberOfReplications]))</f>
        <v>30</v>
      </c>
      <c r="K733" s="5" cm="1">
        <f t="array" ref="K733">IFERROR(AVERAGE(IF((OutputTable[GroupByKey]=OutputTable[[#This Row],[GroupByKey]]),(OutputTable[GroupByKey]=OutputTable[[#This Row],[GroupByKey]])*OutputTable[RecordedValue])),0)</f>
        <v>39.878126992056487</v>
      </c>
      <c r="L733" s="5" cm="1">
        <f t="array" ref="L733">IFERROR(_xlfn.STDEV.S(IF((OutputTable[GroupByKey]=OutputTable[[#This Row],[GroupByKey]]),(OutputTable[GroupByKey]=OutputTable[[#This Row],[GroupByKey]])*OutputTable[RecordedValue])),0)</f>
        <v>6.1068580319474277</v>
      </c>
      <c r="M733" s="5" cm="1">
        <f t="array" ref="M733">MAX(IF((ProjectInfoTable[ProjectName]=OutputTable[[#This Row],[ProjectName]]),(ProjectInfoTable[ProjectName]=OutputTable[[#This Row],[ProjectName]])*ProjectInfoTable[ConfidenceInterval]))</f>
        <v>0.95</v>
      </c>
      <c r="N7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2.2803382654396627</v>
      </c>
      <c r="O733" s="5" cm="1">
        <f t="array" ref="O733">MIN(IF((OutputTable[GroupByKey]=OutputTable[[#This Row],[GroupByKey]]),(OutputTable[GroupByKey]=OutputTable[[#This Row],[GroupByKey]])*OutputTable[RecordedValue]))</f>
        <v>26.106281767804099</v>
      </c>
      <c r="P733" s="5" cm="1">
        <f t="array" ref="P733">MAX(IF((OutputTable[GroupByKey]=OutputTable[[#This Row],[GroupByKey]]),(OutputTable[GroupByKey]=OutputTable[[#This Row],[GroupByKey]])*OutputTable[RecordedValue]))</f>
        <v>48.706388790541098</v>
      </c>
    </row>
    <row r="734" spans="1:16" x14ac:dyDescent="0.25">
      <c r="A734" t="s">
        <v>68</v>
      </c>
      <c r="B734" t="s">
        <v>70</v>
      </c>
      <c r="C734">
        <v>30</v>
      </c>
      <c r="D734" t="s">
        <v>118</v>
      </c>
      <c r="E734" t="s">
        <v>114</v>
      </c>
      <c r="F734" t="s">
        <v>81</v>
      </c>
      <c r="G734">
        <v>8.5237405937333808</v>
      </c>
      <c r="H734">
        <v>0</v>
      </c>
      <c r="I734" s="5" t="str">
        <f>OutputTable[[#This Row],[ProjectName]]&amp;OutputTable[[#This Row],[Name]]&amp;OutputTable[[#This Row],[Type]]&amp;OutputTable[[#This Row],[Source]]</f>
        <v>Pedido CleintesOrdnes Accum Wait TimeAccum Wait TimeProcess</v>
      </c>
      <c r="J734" s="5" cm="1">
        <f t="array" ref="J734">MAX(IF((ProjectInfoTable[ProjectName]=OutputTable[[#This Row],[ProjectName]]),(ProjectInfoTable[ProjectName]=OutputTable[[#This Row],[ProjectName]])*ProjectInfoTable[NumberOfReplications]))</f>
        <v>30</v>
      </c>
      <c r="K734" s="5" cm="1">
        <f t="array" ref="K734">IFERROR(AVERAGE(IF((OutputTable[GroupByKey]=OutputTable[[#This Row],[GroupByKey]]),(OutputTable[GroupByKey]=OutputTable[[#This Row],[GroupByKey]])*OutputTable[RecordedValue])),0)</f>
        <v>7.9804799821754404</v>
      </c>
      <c r="L734" s="5" cm="1">
        <f t="array" ref="L734">IFERROR(_xlfn.STDEV.S(IF((OutputTable[GroupByKey]=OutputTable[[#This Row],[GroupByKey]]),(OutputTable[GroupByKey]=OutputTable[[#This Row],[GroupByKey]])*OutputTable[RecordedValue])),0)</f>
        <v>4.8950382198155014</v>
      </c>
      <c r="M734" s="5" cm="1">
        <f t="array" ref="M734">MAX(IF((ProjectInfoTable[ProjectName]=OutputTable[[#This Row],[ProjectName]]),(ProjectInfoTable[ProjectName]=OutputTable[[#This Row],[ProjectName]])*ProjectInfoTable[ConfidenceInterval]))</f>
        <v>0.95</v>
      </c>
      <c r="N7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1.8278373109445534</v>
      </c>
      <c r="O734" s="5" cm="1">
        <f t="array" ref="O734">MIN(IF((OutputTable[GroupByKey]=OutputTable[[#This Row],[GroupByKey]]),(OutputTable[GroupByKey]=OutputTable[[#This Row],[GroupByKey]])*OutputTable[RecordedValue]))</f>
        <v>0</v>
      </c>
      <c r="P734" s="5" cm="1">
        <f t="array" ref="P734">MAX(IF((OutputTable[GroupByKey]=OutputTable[[#This Row],[GroupByKey]]),(OutputTable[GroupByKey]=OutputTable[[#This Row],[GroupByKey]])*OutputTable[RecordedValue]))</f>
        <v>18.843855117811401</v>
      </c>
    </row>
    <row r="735" spans="1:16" x14ac:dyDescent="0.25">
      <c r="A735" t="s">
        <v>68</v>
      </c>
      <c r="B735" t="s">
        <v>70</v>
      </c>
      <c r="C735">
        <v>30</v>
      </c>
      <c r="D735" t="s">
        <v>119</v>
      </c>
      <c r="E735" t="s">
        <v>108</v>
      </c>
      <c r="F735" t="s">
        <v>81</v>
      </c>
      <c r="G735">
        <v>35</v>
      </c>
      <c r="H735">
        <v>0</v>
      </c>
      <c r="I735" s="5" t="str">
        <f>OutputTable[[#This Row],[ProjectName]]&amp;OutputTable[[#This Row],[Name]]&amp;OutputTable[[#This Row],[Type]]&amp;OutputTable[[#This Row],[Source]]</f>
        <v>Pedido CleintesOrdnes Number InNumber InProcess</v>
      </c>
      <c r="J735" s="5" cm="1">
        <f t="array" ref="J735">MAX(IF((ProjectInfoTable[ProjectName]=OutputTable[[#This Row],[ProjectName]]),(ProjectInfoTable[ProjectName]=OutputTable[[#This Row],[ProjectName]])*ProjectInfoTable[NumberOfReplications]))</f>
        <v>30</v>
      </c>
      <c r="K735" s="5" cm="1">
        <f t="array" ref="K735">IFERROR(AVERAGE(IF((OutputTable[GroupByKey]=OutputTable[[#This Row],[GroupByKey]]),(OutputTable[GroupByKey]=OutputTable[[#This Row],[GroupByKey]])*OutputTable[RecordedValue])),0)</f>
        <v>39.9</v>
      </c>
      <c r="L735" s="5" cm="1">
        <f t="array" ref="L735">IFERROR(_xlfn.STDEV.S(IF((OutputTable[GroupByKey]=OutputTable[[#This Row],[GroupByKey]]),(OutputTable[GroupByKey]=OutputTable[[#This Row],[GroupByKey]])*OutputTable[RecordedValue])),0)</f>
        <v>6.0648791101463475</v>
      </c>
      <c r="M735" s="5" cm="1">
        <f t="array" ref="M735">MAX(IF((ProjectInfoTable[ProjectName]=OutputTable[[#This Row],[ProjectName]]),(ProjectInfoTable[ProjectName]=OutputTable[[#This Row],[ProjectName]])*ProjectInfoTable[ConfidenceInterval]))</f>
        <v>0.95</v>
      </c>
      <c r="N7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2.2646630784246509</v>
      </c>
      <c r="O735" s="5" cm="1">
        <f t="array" ref="O735">MIN(IF((OutputTable[GroupByKey]=OutputTable[[#This Row],[GroupByKey]]),(OutputTable[GroupByKey]=OutputTable[[#This Row],[GroupByKey]])*OutputTable[RecordedValue]))</f>
        <v>27</v>
      </c>
      <c r="P735" s="5" cm="1">
        <f t="array" ref="P735">MAX(IF((OutputTable[GroupByKey]=OutputTable[[#This Row],[GroupByKey]]),(OutputTable[GroupByKey]=OutputTable[[#This Row],[GroupByKey]])*OutputTable[RecordedValue]))</f>
        <v>49</v>
      </c>
    </row>
    <row r="736" spans="1:16" x14ac:dyDescent="0.25">
      <c r="A736" t="s">
        <v>68</v>
      </c>
      <c r="B736" t="s">
        <v>70</v>
      </c>
      <c r="C736">
        <v>30</v>
      </c>
      <c r="D736" t="s">
        <v>120</v>
      </c>
      <c r="E736" t="s">
        <v>110</v>
      </c>
      <c r="F736" t="s">
        <v>81</v>
      </c>
      <c r="G736">
        <v>35</v>
      </c>
      <c r="H736">
        <v>0</v>
      </c>
      <c r="I736" s="5" t="str">
        <f>OutputTable[[#This Row],[ProjectName]]&amp;OutputTable[[#This Row],[Name]]&amp;OutputTable[[#This Row],[Type]]&amp;OutputTable[[#This Row],[Source]]</f>
        <v>Pedido CleintesOrdnes Number OutNumber OutProcess</v>
      </c>
      <c r="J736" s="5" cm="1">
        <f t="array" ref="J736">MAX(IF((ProjectInfoTable[ProjectName]=OutputTable[[#This Row],[ProjectName]]),(ProjectInfoTable[ProjectName]=OutputTable[[#This Row],[ProjectName]])*ProjectInfoTable[NumberOfReplications]))</f>
        <v>30</v>
      </c>
      <c r="K736" s="5" cm="1">
        <f t="array" ref="K736">IFERROR(AVERAGE(IF((OutputTable[GroupByKey]=OutputTable[[#This Row],[GroupByKey]]),(OutputTable[GroupByKey]=OutputTable[[#This Row],[GroupByKey]])*OutputTable[RecordedValue])),0)</f>
        <v>39.666666666666664</v>
      </c>
      <c r="L736" s="5" cm="1">
        <f t="array" ref="L736">IFERROR(_xlfn.STDEV.S(IF((OutputTable[GroupByKey]=OutputTable[[#This Row],[GroupByKey]]),(OutputTable[GroupByKey]=OutputTable[[#This Row],[GroupByKey]])*OutputTable[RecordedValue])),0)</f>
        <v>6.0477030882540914</v>
      </c>
      <c r="M736" s="5" cm="1">
        <f t="array" ref="M736">MAX(IF((ProjectInfoTable[ProjectName]=OutputTable[[#This Row],[ProjectName]]),(ProjectInfoTable[ProjectName]=OutputTable[[#This Row],[ProjectName]])*ProjectInfoTable[ConfidenceInterval]))</f>
        <v>0.95</v>
      </c>
      <c r="N7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736" s="5" cm="1">
        <f t="array" ref="O736">MIN(IF((OutputTable[GroupByKey]=OutputTable[[#This Row],[GroupByKey]]),(OutputTable[GroupByKey]=OutputTable[[#This Row],[GroupByKey]])*OutputTable[RecordedValue]))</f>
        <v>26</v>
      </c>
      <c r="P736" s="5" cm="1">
        <f t="array" ref="P736">MAX(IF((OutputTable[GroupByKey]=OutputTable[[#This Row],[GroupByKey]]),(OutputTable[GroupByKey]=OutputTable[[#This Row],[GroupByKey]])*OutputTable[RecordedValue]))</f>
        <v>49</v>
      </c>
    </row>
    <row r="737" spans="1:16" x14ac:dyDescent="0.25">
      <c r="A737" t="s">
        <v>68</v>
      </c>
      <c r="B737" t="s">
        <v>70</v>
      </c>
      <c r="C737">
        <v>30</v>
      </c>
      <c r="D737" t="s">
        <v>121</v>
      </c>
      <c r="E737" t="s">
        <v>112</v>
      </c>
      <c r="F737" t="s">
        <v>81</v>
      </c>
      <c r="G737">
        <v>25.515494805796799</v>
      </c>
      <c r="H737">
        <v>0</v>
      </c>
      <c r="I737" s="5" t="str">
        <f>OutputTable[[#This Row],[ProjectName]]&amp;OutputTable[[#This Row],[Name]]&amp;OutputTable[[#This Row],[Type]]&amp;OutputTable[[#This Row],[Source]]</f>
        <v>Pedido CleintesPago Accum VA TimeAccum VA TimeProcess</v>
      </c>
      <c r="J737" s="5" cm="1">
        <f t="array" ref="J737">MAX(IF((ProjectInfoTable[ProjectName]=OutputTable[[#This Row],[ProjectName]]),(ProjectInfoTable[ProjectName]=OutputTable[[#This Row],[ProjectName]])*ProjectInfoTable[NumberOfReplications]))</f>
        <v>30</v>
      </c>
      <c r="K737" s="5" cm="1">
        <f t="array" ref="K737">IFERROR(AVERAGE(IF((OutputTable[GroupByKey]=OutputTable[[#This Row],[GroupByKey]]),(OutputTable[GroupByKey]=OutputTable[[#This Row],[GroupByKey]])*OutputTable[RecordedValue])),0)</f>
        <v>29.486262713858675</v>
      </c>
      <c r="L737" s="5" cm="1">
        <f t="array" ref="L737">IFERROR(_xlfn.STDEV.S(IF((OutputTable[GroupByKey]=OutputTable[[#This Row],[GroupByKey]]),(OutputTable[GroupByKey]=OutputTable[[#This Row],[GroupByKey]])*OutputTable[RecordedValue])),0)</f>
        <v>4.747176664010901</v>
      </c>
      <c r="M737" s="5" cm="1">
        <f t="array" ref="M737">MAX(IF((ProjectInfoTable[ProjectName]=OutputTable[[#This Row],[ProjectName]]),(ProjectInfoTable[ProjectName]=OutputTable[[#This Row],[ProjectName]])*ProjectInfoTable[ConfidenceInterval]))</f>
        <v>0.95</v>
      </c>
      <c r="N7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1.7726248986165154</v>
      </c>
      <c r="O737" s="5" cm="1">
        <f t="array" ref="O737">MIN(IF((OutputTable[GroupByKey]=OutputTable[[#This Row],[GroupByKey]]),(OutputTable[GroupByKey]=OutputTable[[#This Row],[GroupByKey]])*OutputTable[RecordedValue]))</f>
        <v>19.573210250889101</v>
      </c>
      <c r="P737" s="5" cm="1">
        <f t="array" ref="P737">MAX(IF((OutputTable[GroupByKey]=OutputTable[[#This Row],[GroupByKey]]),(OutputTable[GroupByKey]=OutputTable[[#This Row],[GroupByKey]])*OutputTable[RecordedValue]))</f>
        <v>37.056974462114901</v>
      </c>
    </row>
    <row r="738" spans="1:16" x14ac:dyDescent="0.25">
      <c r="A738" t="s">
        <v>68</v>
      </c>
      <c r="B738" t="s">
        <v>70</v>
      </c>
      <c r="C738">
        <v>30</v>
      </c>
      <c r="D738" t="s">
        <v>122</v>
      </c>
      <c r="E738" t="s">
        <v>114</v>
      </c>
      <c r="F738" t="s">
        <v>81</v>
      </c>
      <c r="G738">
        <v>9.8273409442233195</v>
      </c>
      <c r="H738">
        <v>0</v>
      </c>
      <c r="I738" s="5" t="str">
        <f>OutputTable[[#This Row],[ProjectName]]&amp;OutputTable[[#This Row],[Name]]&amp;OutputTable[[#This Row],[Type]]&amp;OutputTable[[#This Row],[Source]]</f>
        <v>Pedido CleintesPago Accum Wait TimeAccum Wait TimeProcess</v>
      </c>
      <c r="J738" s="5" cm="1">
        <f t="array" ref="J738">MAX(IF((ProjectInfoTable[ProjectName]=OutputTable[[#This Row],[ProjectName]]),(ProjectInfoTable[ProjectName]=OutputTable[[#This Row],[ProjectName]])*ProjectInfoTable[NumberOfReplications]))</f>
        <v>30</v>
      </c>
      <c r="K738" s="5" cm="1">
        <f t="array" ref="K738">IFERROR(AVERAGE(IF((OutputTable[GroupByKey]=OutputTable[[#This Row],[GroupByKey]]),(OutputTable[GroupByKey]=OutputTable[[#This Row],[GroupByKey]])*OutputTable[RecordedValue])),0)</f>
        <v>13.025761997568024</v>
      </c>
      <c r="L738" s="5" cm="1">
        <f t="array" ref="L738">IFERROR(_xlfn.STDEV.S(IF((OutputTable[GroupByKey]=OutputTable[[#This Row],[GroupByKey]]),(OutputTable[GroupByKey]=OutputTable[[#This Row],[GroupByKey]])*OutputTable[RecordedValue])),0)</f>
        <v>7.8467935605388783</v>
      </c>
      <c r="M738" s="5" cm="1">
        <f t="array" ref="M738">MAX(IF((ProjectInfoTable[ProjectName]=OutputTable[[#This Row],[ProjectName]]),(ProjectInfoTable[ProjectName]=OutputTable[[#This Row],[ProjectName]])*ProjectInfoTable[ConfidenceInterval]))</f>
        <v>0.95</v>
      </c>
      <c r="N7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2.9300408693791589</v>
      </c>
      <c r="O738" s="5" cm="1">
        <f t="array" ref="O738">MIN(IF((OutputTable[GroupByKey]=OutputTable[[#This Row],[GroupByKey]]),(OutputTable[GroupByKey]=OutputTable[[#This Row],[GroupByKey]])*OutputTable[RecordedValue]))</f>
        <v>0</v>
      </c>
      <c r="P738" s="5" cm="1">
        <f t="array" ref="P738">MAX(IF((OutputTable[GroupByKey]=OutputTable[[#This Row],[GroupByKey]]),(OutputTable[GroupByKey]=OutputTable[[#This Row],[GroupByKey]])*OutputTable[RecordedValue]))</f>
        <v>32.770863925850499</v>
      </c>
    </row>
    <row r="739" spans="1:16" x14ac:dyDescent="0.25">
      <c r="A739" t="s">
        <v>68</v>
      </c>
      <c r="B739" t="s">
        <v>70</v>
      </c>
      <c r="C739">
        <v>30</v>
      </c>
      <c r="D739" t="s">
        <v>123</v>
      </c>
      <c r="E739" t="s">
        <v>108</v>
      </c>
      <c r="F739" t="s">
        <v>81</v>
      </c>
      <c r="G739">
        <v>35</v>
      </c>
      <c r="H739">
        <v>0</v>
      </c>
      <c r="I739" s="5" t="str">
        <f>OutputTable[[#This Row],[ProjectName]]&amp;OutputTable[[#This Row],[Name]]&amp;OutputTable[[#This Row],[Type]]&amp;OutputTable[[#This Row],[Source]]</f>
        <v>Pedido CleintesPago Number InNumber InProcess</v>
      </c>
      <c r="J739" s="5" cm="1">
        <f t="array" ref="J739">MAX(IF((ProjectInfoTable[ProjectName]=OutputTable[[#This Row],[ProjectName]]),(ProjectInfoTable[ProjectName]=OutputTable[[#This Row],[ProjectName]])*ProjectInfoTable[NumberOfReplications]))</f>
        <v>30</v>
      </c>
      <c r="K739" s="5" cm="1">
        <f t="array" ref="K739">IFERROR(AVERAGE(IF((OutputTable[GroupByKey]=OutputTable[[#This Row],[GroupByKey]]),(OutputTable[GroupByKey]=OutputTable[[#This Row],[GroupByKey]])*OutputTable[RecordedValue])),0)</f>
        <v>39.666666666666664</v>
      </c>
      <c r="L739" s="5" cm="1">
        <f t="array" ref="L739">IFERROR(_xlfn.STDEV.S(IF((OutputTable[GroupByKey]=OutputTable[[#This Row],[GroupByKey]]),(OutputTable[GroupByKey]=OutputTable[[#This Row],[GroupByKey]])*OutputTable[RecordedValue])),0)</f>
        <v>6.0477030882540914</v>
      </c>
      <c r="M739" s="5" cm="1">
        <f t="array" ref="M739">MAX(IF((ProjectInfoTable[ProjectName]=OutputTable[[#This Row],[ProjectName]]),(ProjectInfoTable[ProjectName]=OutputTable[[#This Row],[ProjectName]])*ProjectInfoTable[ConfidenceInterval]))</f>
        <v>0.95</v>
      </c>
      <c r="N7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739" s="5" cm="1">
        <f t="array" ref="O739">MIN(IF((OutputTable[GroupByKey]=OutputTable[[#This Row],[GroupByKey]]),(OutputTable[GroupByKey]=OutputTable[[#This Row],[GroupByKey]])*OutputTable[RecordedValue]))</f>
        <v>26</v>
      </c>
      <c r="P739" s="5" cm="1">
        <f t="array" ref="P739">MAX(IF((OutputTable[GroupByKey]=OutputTable[[#This Row],[GroupByKey]]),(OutputTable[GroupByKey]=OutputTable[[#This Row],[GroupByKey]])*OutputTable[RecordedValue]))</f>
        <v>49</v>
      </c>
    </row>
    <row r="740" spans="1:16" x14ac:dyDescent="0.25">
      <c r="A740" t="s">
        <v>68</v>
      </c>
      <c r="B740" t="s">
        <v>70</v>
      </c>
      <c r="C740">
        <v>30</v>
      </c>
      <c r="D740" t="s">
        <v>124</v>
      </c>
      <c r="E740" t="s">
        <v>110</v>
      </c>
      <c r="F740" t="s">
        <v>81</v>
      </c>
      <c r="G740">
        <v>35</v>
      </c>
      <c r="H740">
        <v>0</v>
      </c>
      <c r="I740" s="5" t="str">
        <f>OutputTable[[#This Row],[ProjectName]]&amp;OutputTable[[#This Row],[Name]]&amp;OutputTable[[#This Row],[Type]]&amp;OutputTable[[#This Row],[Source]]</f>
        <v>Pedido CleintesPago Number OutNumber OutProcess</v>
      </c>
      <c r="J740" s="5" cm="1">
        <f t="array" ref="J740">MAX(IF((ProjectInfoTable[ProjectName]=OutputTable[[#This Row],[ProjectName]]),(ProjectInfoTable[ProjectName]=OutputTable[[#This Row],[ProjectName]])*ProjectInfoTable[NumberOfReplications]))</f>
        <v>30</v>
      </c>
      <c r="K740" s="5" cm="1">
        <f t="array" ref="K740">IFERROR(AVERAGE(IF((OutputTable[GroupByKey]=OutputTable[[#This Row],[GroupByKey]]),(OutputTable[GroupByKey]=OutputTable[[#This Row],[GroupByKey]])*OutputTable[RecordedValue])),0)</f>
        <v>39.43333333333333</v>
      </c>
      <c r="L740" s="5" cm="1">
        <f t="array" ref="L740">IFERROR(_xlfn.STDEV.S(IF((OutputTable[GroupByKey]=OutputTable[[#This Row],[GroupByKey]]),(OutputTable[GroupByKey]=OutputTable[[#This Row],[GroupByKey]])*OutputTable[RecordedValue])),0)</f>
        <v>5.9171482724502509</v>
      </c>
      <c r="M740" s="5" cm="1">
        <f t="array" ref="M740">MAX(IF((ProjectInfoTable[ProjectName]=OutputTable[[#This Row],[ProjectName]]),(ProjectInfoTable[ProjectName]=OutputTable[[#This Row],[ProjectName]])*ProjectInfoTable[ConfidenceInterval]))</f>
        <v>0.95</v>
      </c>
      <c r="N7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2.2094994770405134</v>
      </c>
      <c r="O740" s="5" cm="1">
        <f t="array" ref="O740">MIN(IF((OutputTable[GroupByKey]=OutputTable[[#This Row],[GroupByKey]]),(OutputTable[GroupByKey]=OutputTable[[#This Row],[GroupByKey]])*OutputTable[RecordedValue]))</f>
        <v>26</v>
      </c>
      <c r="P740" s="5" cm="1">
        <f t="array" ref="P740">MAX(IF((OutputTable[GroupByKey]=OutputTable[[#This Row],[GroupByKey]]),(OutputTable[GroupByKey]=OutputTable[[#This Row],[GroupByKey]])*OutputTable[RecordedValue]))</f>
        <v>49</v>
      </c>
    </row>
    <row r="741" spans="1:16" x14ac:dyDescent="0.25">
      <c r="A741" t="s">
        <v>68</v>
      </c>
      <c r="B741" t="s">
        <v>70</v>
      </c>
      <c r="C741">
        <v>30</v>
      </c>
      <c r="D741" t="s">
        <v>125</v>
      </c>
      <c r="E741" t="s">
        <v>112</v>
      </c>
      <c r="F741" t="s">
        <v>81</v>
      </c>
      <c r="G741">
        <v>103.980749906035</v>
      </c>
      <c r="H741">
        <v>0</v>
      </c>
      <c r="I741" s="5" t="str">
        <f>OutputTable[[#This Row],[ProjectName]]&amp;OutputTable[[#This Row],[Name]]&amp;OutputTable[[#This Row],[Type]]&amp;OutputTable[[#This Row],[Source]]</f>
        <v>Pedido CleintesPreparar orden Accum VA TimeAccum VA TimeProcess</v>
      </c>
      <c r="J741" s="5" cm="1">
        <f t="array" ref="J741">MAX(IF((ProjectInfoTable[ProjectName]=OutputTable[[#This Row],[ProjectName]]),(ProjectInfoTable[ProjectName]=OutputTable[[#This Row],[ProjectName]])*ProjectInfoTable[NumberOfReplications]))</f>
        <v>30</v>
      </c>
      <c r="K741" s="5" cm="1">
        <f t="array" ref="K741">IFERROR(AVERAGE(IF((OutputTable[GroupByKey]=OutputTable[[#This Row],[GroupByKey]]),(OutputTable[GroupByKey]=OutputTable[[#This Row],[GroupByKey]])*OutputTable[RecordedValue])),0)</f>
        <v>116.64263458387505</v>
      </c>
      <c r="L741" s="5" cm="1">
        <f t="array" ref="L741">IFERROR(_xlfn.STDEV.S(IF((OutputTable[GroupByKey]=OutputTable[[#This Row],[GroupByKey]]),(OutputTable[GroupByKey]=OutputTable[[#This Row],[GroupByKey]])*OutputTable[RecordedValue])),0)</f>
        <v>17.825477946659205</v>
      </c>
      <c r="M741" s="5" cm="1">
        <f t="array" ref="M741">MAX(IF((ProjectInfoTable[ProjectName]=OutputTable[[#This Row],[ProjectName]]),(ProjectInfoTable[ProjectName]=OutputTable[[#This Row],[ProjectName]])*ProjectInfoTable[ConfidenceInterval]))</f>
        <v>0.95</v>
      </c>
      <c r="N7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6.6561428559287226</v>
      </c>
      <c r="O741" s="5" cm="1">
        <f t="array" ref="O741">MIN(IF((OutputTable[GroupByKey]=OutputTable[[#This Row],[GroupByKey]]),(OutputTable[GroupByKey]=OutputTable[[#This Row],[GroupByKey]])*OutputTable[RecordedValue]))</f>
        <v>74.976560761710004</v>
      </c>
      <c r="P741" s="5" cm="1">
        <f t="array" ref="P741">MAX(IF((OutputTable[GroupByKey]=OutputTable[[#This Row],[GroupByKey]]),(OutputTable[GroupByKey]=OutputTable[[#This Row],[GroupByKey]])*OutputTable[RecordedValue]))</f>
        <v>145.504156763596</v>
      </c>
    </row>
    <row r="742" spans="1:16" x14ac:dyDescent="0.25">
      <c r="A742" t="s">
        <v>68</v>
      </c>
      <c r="B742" t="s">
        <v>70</v>
      </c>
      <c r="C742">
        <v>30</v>
      </c>
      <c r="D742" t="s">
        <v>126</v>
      </c>
      <c r="E742" t="s">
        <v>114</v>
      </c>
      <c r="F742" t="s">
        <v>81</v>
      </c>
      <c r="G742">
        <v>30.927481629184701</v>
      </c>
      <c r="H742">
        <v>0</v>
      </c>
      <c r="I742" s="5" t="str">
        <f>OutputTable[[#This Row],[ProjectName]]&amp;OutputTable[[#This Row],[Name]]&amp;OutputTable[[#This Row],[Type]]&amp;OutputTable[[#This Row],[Source]]</f>
        <v>Pedido CleintesPreparar orden Accum Wait TimeAccum Wait TimeProcess</v>
      </c>
      <c r="J742" s="5" cm="1">
        <f t="array" ref="J742">MAX(IF((ProjectInfoTable[ProjectName]=OutputTable[[#This Row],[ProjectName]]),(ProjectInfoTable[ProjectName]=OutputTable[[#This Row],[ProjectName]])*ProjectInfoTable[NumberOfReplications]))</f>
        <v>30</v>
      </c>
      <c r="K742" s="5" cm="1">
        <f t="array" ref="K742">IFERROR(AVERAGE(IF((OutputTable[GroupByKey]=OutputTable[[#This Row],[GroupByKey]]),(OutputTable[GroupByKey]=OutputTable[[#This Row],[GroupByKey]])*OutputTable[RecordedValue])),0)</f>
        <v>39.900972800228722</v>
      </c>
      <c r="L742" s="5" cm="1">
        <f t="array" ref="L742">IFERROR(_xlfn.STDEV.S(IF((OutputTable[GroupByKey]=OutputTable[[#This Row],[GroupByKey]]),(OutputTable[GroupByKey]=OutputTable[[#This Row],[GroupByKey]])*OutputTable[RecordedValue])),0)</f>
        <v>22.922906975864144</v>
      </c>
      <c r="M742" s="5" cm="1">
        <f t="array" ref="M742">MAX(IF((ProjectInfoTable[ProjectName]=OutputTable[[#This Row],[ProjectName]]),(ProjectInfoTable[ProjectName]=OutputTable[[#This Row],[ProjectName]])*ProjectInfoTable[ConfidenceInterval]))</f>
        <v>0.95</v>
      </c>
      <c r="N7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8.5595541371227313</v>
      </c>
      <c r="O742" s="5" cm="1">
        <f t="array" ref="O742">MIN(IF((OutputTable[GroupByKey]=OutputTable[[#This Row],[GroupByKey]]),(OutputTable[GroupByKey]=OutputTable[[#This Row],[GroupByKey]])*OutputTable[RecordedValue]))</f>
        <v>2.1708788192608899</v>
      </c>
      <c r="P742" s="5" cm="1">
        <f t="array" ref="P742">MAX(IF((OutputTable[GroupByKey]=OutputTable[[#This Row],[GroupByKey]]),(OutputTable[GroupByKey]=OutputTable[[#This Row],[GroupByKey]])*OutputTable[RecordedValue]))</f>
        <v>94.9142929398908</v>
      </c>
    </row>
    <row r="743" spans="1:16" x14ac:dyDescent="0.25">
      <c r="A743" t="s">
        <v>68</v>
      </c>
      <c r="B743" t="s">
        <v>70</v>
      </c>
      <c r="C743">
        <v>30</v>
      </c>
      <c r="D743" t="s">
        <v>127</v>
      </c>
      <c r="E743" t="s">
        <v>108</v>
      </c>
      <c r="F743" t="s">
        <v>81</v>
      </c>
      <c r="G743">
        <v>35</v>
      </c>
      <c r="H743">
        <v>0</v>
      </c>
      <c r="I743" s="5" t="str">
        <f>OutputTable[[#This Row],[ProjectName]]&amp;OutputTable[[#This Row],[Name]]&amp;OutputTable[[#This Row],[Type]]&amp;OutputTable[[#This Row],[Source]]</f>
        <v>Pedido CleintesPreparar orden Number InNumber InProcess</v>
      </c>
      <c r="J743" s="5" cm="1">
        <f t="array" ref="J743">MAX(IF((ProjectInfoTable[ProjectName]=OutputTable[[#This Row],[ProjectName]]),(ProjectInfoTable[ProjectName]=OutputTable[[#This Row],[ProjectName]])*ProjectInfoTable[NumberOfReplications]))</f>
        <v>30</v>
      </c>
      <c r="K743" s="5" cm="1">
        <f t="array" ref="K743">IFERROR(AVERAGE(IF((OutputTable[GroupByKey]=OutputTable[[#This Row],[GroupByKey]]),(OutputTable[GroupByKey]=OutputTable[[#This Row],[GroupByKey]])*OutputTable[RecordedValue])),0)</f>
        <v>39.666666666666664</v>
      </c>
      <c r="L743" s="5" cm="1">
        <f t="array" ref="L743">IFERROR(_xlfn.STDEV.S(IF((OutputTable[GroupByKey]=OutputTable[[#This Row],[GroupByKey]]),(OutputTable[GroupByKey]=OutputTable[[#This Row],[GroupByKey]])*OutputTable[RecordedValue])),0)</f>
        <v>6.0477030882540914</v>
      </c>
      <c r="M743" s="5" cm="1">
        <f t="array" ref="M743">MAX(IF((ProjectInfoTable[ProjectName]=OutputTable[[#This Row],[ProjectName]]),(ProjectInfoTable[ProjectName]=OutputTable[[#This Row],[ProjectName]])*ProjectInfoTable[ConfidenceInterval]))</f>
        <v>0.95</v>
      </c>
      <c r="N7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2.2582494464449909</v>
      </c>
      <c r="O743" s="5" cm="1">
        <f t="array" ref="O743">MIN(IF((OutputTable[GroupByKey]=OutputTable[[#This Row],[GroupByKey]]),(OutputTable[GroupByKey]=OutputTable[[#This Row],[GroupByKey]])*OutputTable[RecordedValue]))</f>
        <v>26</v>
      </c>
      <c r="P743" s="5" cm="1">
        <f t="array" ref="P743">MAX(IF((OutputTable[GroupByKey]=OutputTable[[#This Row],[GroupByKey]]),(OutputTable[GroupByKey]=OutputTable[[#This Row],[GroupByKey]])*OutputTable[RecordedValue]))</f>
        <v>49</v>
      </c>
    </row>
    <row r="744" spans="1:16" x14ac:dyDescent="0.25">
      <c r="A744" t="s">
        <v>68</v>
      </c>
      <c r="B744" t="s">
        <v>70</v>
      </c>
      <c r="C744">
        <v>30</v>
      </c>
      <c r="D744" t="s">
        <v>128</v>
      </c>
      <c r="E744" t="s">
        <v>110</v>
      </c>
      <c r="F744" t="s">
        <v>81</v>
      </c>
      <c r="G744">
        <v>35</v>
      </c>
      <c r="H744">
        <v>0</v>
      </c>
      <c r="I744" s="5" t="str">
        <f>OutputTable[[#This Row],[ProjectName]]&amp;OutputTable[[#This Row],[Name]]&amp;OutputTable[[#This Row],[Type]]&amp;OutputTable[[#This Row],[Source]]</f>
        <v>Pedido CleintesPreparar orden Number OutNumber OutProcess</v>
      </c>
      <c r="J744" s="5" cm="1">
        <f t="array" ref="J744">MAX(IF((ProjectInfoTable[ProjectName]=OutputTable[[#This Row],[ProjectName]]),(ProjectInfoTable[ProjectName]=OutputTable[[#This Row],[ProjectName]])*ProjectInfoTable[NumberOfReplications]))</f>
        <v>30</v>
      </c>
      <c r="K744" s="5" cm="1">
        <f t="array" ref="K744">IFERROR(AVERAGE(IF((OutputTable[GroupByKey]=OutputTable[[#This Row],[GroupByKey]]),(OutputTable[GroupByKey]=OutputTable[[#This Row],[GroupByKey]])*OutputTable[RecordedValue])),0)</f>
        <v>38.93333333333333</v>
      </c>
      <c r="L744" s="5" cm="1">
        <f t="array" ref="L744">IFERROR(_xlfn.STDEV.S(IF((OutputTable[GroupByKey]=OutputTable[[#This Row],[GroupByKey]]),(OutputTable[GroupByKey]=OutputTable[[#This Row],[GroupByKey]])*OutputTable[RecordedValue])),0)</f>
        <v>5.9765826548191505</v>
      </c>
      <c r="M744" s="5" cm="1">
        <f t="array" ref="M744">MAX(IF((ProjectInfoTable[ProjectName]=OutputTable[[#This Row],[ProjectName]]),(ProjectInfoTable[ProjectName]=OutputTable[[#This Row],[ProjectName]])*ProjectInfoTable[ConfidenceInterval]))</f>
        <v>0.95</v>
      </c>
      <c r="N7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44" s="5" cm="1">
        <f t="array" ref="O744">MIN(IF((OutputTable[GroupByKey]=OutputTable[[#This Row],[GroupByKey]]),(OutputTable[GroupByKey]=OutputTable[[#This Row],[GroupByKey]])*OutputTable[RecordedValue]))</f>
        <v>25</v>
      </c>
      <c r="P744" s="5" cm="1">
        <f t="array" ref="P744">MAX(IF((OutputTable[GroupByKey]=OutputTable[[#This Row],[GroupByKey]]),(OutputTable[GroupByKey]=OutputTable[[#This Row],[GroupByKey]])*OutputTable[RecordedValue]))</f>
        <v>49</v>
      </c>
    </row>
    <row r="745" spans="1:16" x14ac:dyDescent="0.25">
      <c r="A745" t="s">
        <v>68</v>
      </c>
      <c r="B745" t="s">
        <v>70</v>
      </c>
      <c r="C745">
        <v>30</v>
      </c>
      <c r="D745" t="s">
        <v>129</v>
      </c>
      <c r="E745" t="s">
        <v>110</v>
      </c>
      <c r="F745" t="s">
        <v>130</v>
      </c>
      <c r="G745">
        <v>35</v>
      </c>
      <c r="H745">
        <v>0</v>
      </c>
      <c r="I745" s="5" t="str">
        <f>OutputTable[[#This Row],[ProjectName]]&amp;OutputTable[[#This Row],[Name]]&amp;OutputTable[[#This Row],[Type]]&amp;OutputTable[[#This Row],[Source]]</f>
        <v>Pedido CleintesSystem.NumberOutNumber OutSystem</v>
      </c>
      <c r="J745" s="5" cm="1">
        <f t="array" ref="J745">MAX(IF((ProjectInfoTable[ProjectName]=OutputTable[[#This Row],[ProjectName]]),(ProjectInfoTable[ProjectName]=OutputTable[[#This Row],[ProjectName]])*ProjectInfoTable[NumberOfReplications]))</f>
        <v>30</v>
      </c>
      <c r="K745" s="5" cm="1">
        <f t="array" ref="K745">IFERROR(AVERAGE(IF((OutputTable[GroupByKey]=OutputTable[[#This Row],[GroupByKey]]),(OutputTable[GroupByKey]=OutputTable[[#This Row],[GroupByKey]])*OutputTable[RecordedValue])),0)</f>
        <v>38.866666666666667</v>
      </c>
      <c r="L745" s="5" cm="1">
        <f t="array" ref="L745">IFERROR(_xlfn.STDEV.S(IF((OutputTable[GroupByKey]=OutputTable[[#This Row],[GroupByKey]]),(OutputTable[GroupByKey]=OutputTable[[#This Row],[GroupByKey]])*OutputTable[RecordedValue])),0)</f>
        <v>6.0840851369801694</v>
      </c>
      <c r="M745" s="5" cm="1">
        <f t="array" ref="M745">MAX(IF((ProjectInfoTable[ProjectName]=OutputTable[[#This Row],[ProjectName]]),(ProjectInfoTable[ProjectName]=OutputTable[[#This Row],[ProjectName]])*ProjectInfoTable[ConfidenceInterval]))</f>
        <v>0.95</v>
      </c>
      <c r="N7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2.2718347267071408</v>
      </c>
      <c r="O745" s="5" cm="1">
        <f t="array" ref="O745">MIN(IF((OutputTable[GroupByKey]=OutputTable[[#This Row],[GroupByKey]]),(OutputTable[GroupByKey]=OutputTable[[#This Row],[GroupByKey]])*OutputTable[RecordedValue]))</f>
        <v>24</v>
      </c>
      <c r="P745" s="5" cm="1">
        <f t="array" ref="P745">MAX(IF((OutputTable[GroupByKey]=OutputTable[[#This Row],[GroupByKey]]),(OutputTable[GroupByKey]=OutputTable[[#This Row],[GroupByKey]])*OutputTable[RecordedValue]))</f>
        <v>49</v>
      </c>
    </row>
    <row r="746" spans="1:16" x14ac:dyDescent="0.25">
      <c r="A746" t="s">
        <v>68</v>
      </c>
      <c r="B746" t="s">
        <v>70</v>
      </c>
      <c r="C746">
        <v>30</v>
      </c>
      <c r="D746" t="s">
        <v>131</v>
      </c>
      <c r="E746" t="s">
        <v>132</v>
      </c>
      <c r="F746" t="s">
        <v>102</v>
      </c>
      <c r="G746">
        <v>35</v>
      </c>
      <c r="H746">
        <v>0</v>
      </c>
      <c r="I746" s="5" t="str">
        <f>OutputTable[[#This Row],[ProjectName]]&amp;OutputTable[[#This Row],[Name]]&amp;OutputTable[[#This Row],[Type]]&amp;OutputTable[[#This Row],[Source]]</f>
        <v>Pedido CleintesrPreparador.NumberSeizedTotal Number SeizedResource</v>
      </c>
      <c r="J746" s="5" cm="1">
        <f t="array" ref="J746">MAX(IF((ProjectInfoTable[ProjectName]=OutputTable[[#This Row],[ProjectName]]),(ProjectInfoTable[ProjectName]=OutputTable[[#This Row],[ProjectName]])*ProjectInfoTable[NumberOfReplications]))</f>
        <v>30</v>
      </c>
      <c r="K746" s="5" cm="1">
        <f t="array" ref="K746">IFERROR(AVERAGE(IF((OutputTable[GroupByKey]=OutputTable[[#This Row],[GroupByKey]]),(OutputTable[GroupByKey]=OutputTable[[#This Row],[GroupByKey]])*OutputTable[RecordedValue])),0)</f>
        <v>39.4</v>
      </c>
      <c r="L746" s="5" cm="1">
        <f t="array" ref="L746">IFERROR(_xlfn.STDEV.S(IF((OutputTable[GroupByKey]=OutputTable[[#This Row],[GroupByKey]]),(OutputTable[GroupByKey]=OutputTable[[#This Row],[GroupByKey]])*OutputTable[RecordedValue])),0)</f>
        <v>5.8757244601014422</v>
      </c>
      <c r="M746" s="5" cm="1">
        <f t="array" ref="M746">MAX(IF((ProjectInfoTable[ProjectName]=OutputTable[[#This Row],[ProjectName]]),(ProjectInfoTable[ProjectName]=OutputTable[[#This Row],[ProjectName]])*ProjectInfoTable[ConfidenceInterval]))</f>
        <v>0.95</v>
      </c>
      <c r="N7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2.1940315713015526</v>
      </c>
      <c r="O746" s="5" cm="1">
        <f t="array" ref="O746">MIN(IF((OutputTable[GroupByKey]=OutputTable[[#This Row],[GroupByKey]]),(OutputTable[GroupByKey]=OutputTable[[#This Row],[GroupByKey]])*OutputTable[RecordedValue]))</f>
        <v>26</v>
      </c>
      <c r="P746" s="5" cm="1">
        <f t="array" ref="P746">MAX(IF((OutputTable[GroupByKey]=OutputTable[[#This Row],[GroupByKey]]),(OutputTable[GroupByKey]=OutputTable[[#This Row],[GroupByKey]])*OutputTable[RecordedValue]))</f>
        <v>49</v>
      </c>
    </row>
    <row r="747" spans="1:16" x14ac:dyDescent="0.25">
      <c r="A747" t="s">
        <v>68</v>
      </c>
      <c r="B747" t="s">
        <v>70</v>
      </c>
      <c r="C747">
        <v>30</v>
      </c>
      <c r="D747" t="s">
        <v>133</v>
      </c>
      <c r="E747" t="s">
        <v>134</v>
      </c>
      <c r="F747" t="s">
        <v>102</v>
      </c>
      <c r="G747">
        <v>0.43325312460847998</v>
      </c>
      <c r="H747">
        <v>0</v>
      </c>
      <c r="I747" s="5" t="str">
        <f>OutputTable[[#This Row],[ProjectName]]&amp;OutputTable[[#This Row],[Name]]&amp;OutputTable[[#This Row],[Type]]&amp;OutputTable[[#This Row],[Source]]</f>
        <v>Pedido CleintesrPreparador.ScheduledUtilizationScheduled UtilizationResource</v>
      </c>
      <c r="J747" s="5" cm="1">
        <f t="array" ref="J747">MAX(IF((ProjectInfoTable[ProjectName]=OutputTable[[#This Row],[ProjectName]]),(ProjectInfoTable[ProjectName]=OutputTable[[#This Row],[ProjectName]])*ProjectInfoTable[NumberOfReplications]))</f>
        <v>30</v>
      </c>
      <c r="K747" s="5" cm="1">
        <f t="array" ref="K747">IFERROR(AVERAGE(IF((OutputTable[GroupByKey]=OutputTable[[#This Row],[GroupByKey]]),(OutputTable[GroupByKey]=OutputTable[[#This Row],[GroupByKey]])*OutputTable[RecordedValue])),0)</f>
        <v>0.48891840079317483</v>
      </c>
      <c r="L747" s="5" cm="1">
        <f t="array" ref="L747">IFERROR(_xlfn.STDEV.S(IF((OutputTable[GroupByKey]=OutputTable[[#This Row],[GroupByKey]]),(OutputTable[GroupByKey]=OutputTable[[#This Row],[GroupByKey]])*OutputTable[RecordedValue])),0)</f>
        <v>7.3627413122013347E-2</v>
      </c>
      <c r="M747" s="5" cm="1">
        <f t="array" ref="M747">MAX(IF((ProjectInfoTable[ProjectName]=OutputTable[[#This Row],[ProjectName]]),(ProjectInfoTable[ProjectName]=OutputTable[[#This Row],[ProjectName]])*ProjectInfoTable[ConfidenceInterval]))</f>
        <v>0.95</v>
      </c>
      <c r="N7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2.7492927893383642E-2</v>
      </c>
      <c r="O747" s="5" cm="1">
        <f t="array" ref="O747">MIN(IF((OutputTable[GroupByKey]=OutputTable[[#This Row],[GroupByKey]]),(OutputTable[GroupByKey]=OutputTable[[#This Row],[GroupByKey]])*OutputTable[RecordedValue]))</f>
        <v>0.31277577999924699</v>
      </c>
      <c r="P747" s="5" cm="1">
        <f t="array" ref="P747">MAX(IF((OutputTable[GroupByKey]=OutputTable[[#This Row],[GroupByKey]]),(OutputTable[GroupByKey]=OutputTable[[#This Row],[GroupByKey]])*OutputTable[RecordedValue]))</f>
        <v>0.60626731984831705</v>
      </c>
    </row>
    <row r="748" spans="1:16" x14ac:dyDescent="0.25">
      <c r="A748" t="s">
        <v>68</v>
      </c>
      <c r="B748" t="s">
        <v>70</v>
      </c>
      <c r="C748">
        <v>30</v>
      </c>
      <c r="D748" t="s">
        <v>135</v>
      </c>
      <c r="E748" t="s">
        <v>132</v>
      </c>
      <c r="F748" t="s">
        <v>102</v>
      </c>
      <c r="G748">
        <v>70</v>
      </c>
      <c r="H748">
        <v>0</v>
      </c>
      <c r="I748" s="5" t="str">
        <f>OutputTable[[#This Row],[ProjectName]]&amp;OutputTable[[#This Row],[Name]]&amp;OutputTable[[#This Row],[Type]]&amp;OutputTable[[#This Row],[Source]]</f>
        <v>Pedido CleintesrPrimerTrabajador.NumberSeizedTotal Number SeizedResource</v>
      </c>
      <c r="J748" s="5" cm="1">
        <f t="array" ref="J748">MAX(IF((ProjectInfoTable[ProjectName]=OutputTable[[#This Row],[ProjectName]]),(ProjectInfoTable[ProjectName]=OutputTable[[#This Row],[ProjectName]])*ProjectInfoTable[NumberOfReplications]))</f>
        <v>30</v>
      </c>
      <c r="K748" s="5" cm="1">
        <f t="array" ref="K748">IFERROR(AVERAGE(IF((OutputTable[GroupByKey]=OutputTable[[#This Row],[GroupByKey]]),(OutputTable[GroupByKey]=OutputTable[[#This Row],[GroupByKey]])*OutputTable[RecordedValue])),0)</f>
        <v>79.466666666666669</v>
      </c>
      <c r="L748" s="5" cm="1">
        <f t="array" ref="L748">IFERROR(_xlfn.STDEV.S(IF((OutputTable[GroupByKey]=OutputTable[[#This Row],[GroupByKey]]),(OutputTable[GroupByKey]=OutputTable[[#This Row],[GroupByKey]])*OutputTable[RecordedValue])),0)</f>
        <v>12.016463801753446</v>
      </c>
      <c r="M748" s="5" cm="1">
        <f t="array" ref="M748">MAX(IF((ProjectInfoTable[ProjectName]=OutputTable[[#This Row],[ProjectName]]),(ProjectInfoTable[ProjectName]=OutputTable[[#This Row],[ProjectName]])*ProjectInfoTable[ConfidenceInterval]))</f>
        <v>0.95</v>
      </c>
      <c r="N7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4.487021325706305</v>
      </c>
      <c r="O748" s="5" cm="1">
        <f t="array" ref="O748">MIN(IF((OutputTable[GroupByKey]=OutputTable[[#This Row],[GroupByKey]]),(OutputTable[GroupByKey]=OutputTable[[#This Row],[GroupByKey]])*OutputTable[RecordedValue]))</f>
        <v>53</v>
      </c>
      <c r="P748" s="5" cm="1">
        <f t="array" ref="P748">MAX(IF((OutputTable[GroupByKey]=OutputTable[[#This Row],[GroupByKey]]),(OutputTable[GroupByKey]=OutputTable[[#This Row],[GroupByKey]])*OutputTable[RecordedValue]))</f>
        <v>98</v>
      </c>
    </row>
    <row r="749" spans="1:16" x14ac:dyDescent="0.25">
      <c r="A749" t="s">
        <v>68</v>
      </c>
      <c r="B749" t="s">
        <v>70</v>
      </c>
      <c r="C749">
        <v>30</v>
      </c>
      <c r="D749" t="s">
        <v>136</v>
      </c>
      <c r="E749" t="s">
        <v>134</v>
      </c>
      <c r="F749" t="s">
        <v>102</v>
      </c>
      <c r="G749">
        <v>0.25425656625457099</v>
      </c>
      <c r="H749">
        <v>0</v>
      </c>
      <c r="I749" s="5" t="str">
        <f>OutputTable[[#This Row],[ProjectName]]&amp;OutputTable[[#This Row],[Name]]&amp;OutputTable[[#This Row],[Type]]&amp;OutputTable[[#This Row],[Source]]</f>
        <v>Pedido CleintesrPrimerTrabajador.ScheduledUtilizationScheduled UtilizationResource</v>
      </c>
      <c r="J749" s="5" cm="1">
        <f t="array" ref="J749">MAX(IF((ProjectInfoTable[ProjectName]=OutputTable[[#This Row],[ProjectName]]),(ProjectInfoTable[ProjectName]=OutputTable[[#This Row],[ProjectName]])*ProjectInfoTable[NumberOfReplications]))</f>
        <v>30</v>
      </c>
      <c r="K749" s="5" cm="1">
        <f t="array" ref="K749">IFERROR(AVERAGE(IF((OutputTable[GroupByKey]=OutputTable[[#This Row],[GroupByKey]]),(OutputTable[GroupByKey]=OutputTable[[#This Row],[GroupByKey]])*OutputTable[RecordedValue])),0)</f>
        <v>0.28976365927997022</v>
      </c>
      <c r="L749" s="5" cm="1">
        <f t="array" ref="L749">IFERROR(_xlfn.STDEV.S(IF((OutputTable[GroupByKey]=OutputTable[[#This Row],[GroupByKey]]),(OutputTable[GroupByKey]=OutputTable[[#This Row],[GroupByKey]])*OutputTable[RecordedValue])),0)</f>
        <v>4.4748273652133699E-2</v>
      </c>
      <c r="M749" s="5" cm="1">
        <f t="array" ref="M749">MAX(IF((ProjectInfoTable[ProjectName]=OutputTable[[#This Row],[ProjectName]]),(ProjectInfoTable[ProjectName]=OutputTable[[#This Row],[ProjectName]])*ProjectInfoTable[ConfidenceInterval]))</f>
        <v>0.95</v>
      </c>
      <c r="N7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1.6709279991037516E-2</v>
      </c>
      <c r="O749" s="5" cm="1">
        <f t="array" ref="O749">MIN(IF((OutputTable[GroupByKey]=OutputTable[[#This Row],[GroupByKey]]),(OutputTable[GroupByKey]=OutputTable[[#This Row],[GroupByKey]])*OutputTable[RecordedValue]))</f>
        <v>0.194735973294278</v>
      </c>
      <c r="P749" s="5" cm="1">
        <f t="array" ref="P749">MAX(IF((OutputTable[GroupByKey]=OutputTable[[#This Row],[GroupByKey]]),(OutputTable[GroupByKey]=OutputTable[[#This Row],[GroupByKey]])*OutputTable[RecordedValue]))</f>
        <v>0.35775345817659199</v>
      </c>
    </row>
    <row r="750" spans="1:16" x14ac:dyDescent="0.25">
      <c r="A750" t="s">
        <v>68</v>
      </c>
      <c r="B750" t="s">
        <v>70</v>
      </c>
      <c r="C750">
        <v>30</v>
      </c>
      <c r="D750" t="s">
        <v>137</v>
      </c>
      <c r="E750" t="s">
        <v>132</v>
      </c>
      <c r="F750" t="s">
        <v>102</v>
      </c>
      <c r="G750">
        <v>35</v>
      </c>
      <c r="H750">
        <v>0</v>
      </c>
      <c r="I750" s="5" t="str">
        <f>OutputTable[[#This Row],[ProjectName]]&amp;OutputTable[[#This Row],[Name]]&amp;OutputTable[[#This Row],[Type]]&amp;OutputTable[[#This Row],[Source]]</f>
        <v>Pedido CleintesrSegundoTrabajador.NumberSeizedTotal Number SeizedResource</v>
      </c>
      <c r="J750" s="5" cm="1">
        <f t="array" ref="J750">MAX(IF((ProjectInfoTable[ProjectName]=OutputTable[[#This Row],[ProjectName]]),(ProjectInfoTable[ProjectName]=OutputTable[[#This Row],[ProjectName]])*ProjectInfoTable[NumberOfReplications]))</f>
        <v>30</v>
      </c>
      <c r="K750" s="5" cm="1">
        <f t="array" ref="K750">IFERROR(AVERAGE(IF((OutputTable[GroupByKey]=OutputTable[[#This Row],[GroupByKey]]),(OutputTable[GroupByKey]=OutputTable[[#This Row],[GroupByKey]])*OutputTable[RecordedValue])),0)</f>
        <v>38.93333333333333</v>
      </c>
      <c r="L750" s="5" cm="1">
        <f t="array" ref="L750">IFERROR(_xlfn.STDEV.S(IF((OutputTable[GroupByKey]=OutputTable[[#This Row],[GroupByKey]]),(OutputTable[GroupByKey]=OutputTable[[#This Row],[GroupByKey]])*OutputTable[RecordedValue])),0)</f>
        <v>5.9765826548191505</v>
      </c>
      <c r="M750" s="5" cm="1">
        <f t="array" ref="M750">MAX(IF((ProjectInfoTable[ProjectName]=OutputTable[[#This Row],[ProjectName]]),(ProjectInfoTable[ProjectName]=OutputTable[[#This Row],[ProjectName]])*ProjectInfoTable[ConfidenceInterval]))</f>
        <v>0.95</v>
      </c>
      <c r="N7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2.231692640151488</v>
      </c>
      <c r="O750" s="5" cm="1">
        <f t="array" ref="O750">MIN(IF((OutputTable[GroupByKey]=OutputTable[[#This Row],[GroupByKey]]),(OutputTable[GroupByKey]=OutputTable[[#This Row],[GroupByKey]])*OutputTable[RecordedValue]))</f>
        <v>25</v>
      </c>
      <c r="P750" s="5" cm="1">
        <f t="array" ref="P750">MAX(IF((OutputTable[GroupByKey]=OutputTable[[#This Row],[GroupByKey]]),(OutputTable[GroupByKey]=OutputTable[[#This Row],[GroupByKey]])*OutputTable[RecordedValue]))</f>
        <v>49</v>
      </c>
    </row>
    <row r="751" spans="1:16" x14ac:dyDescent="0.25">
      <c r="A751" t="s">
        <v>68</v>
      </c>
      <c r="B751" t="s">
        <v>70</v>
      </c>
      <c r="C751">
        <v>30</v>
      </c>
      <c r="D751" t="s">
        <v>138</v>
      </c>
      <c r="E751" t="s">
        <v>134</v>
      </c>
      <c r="F751" t="s">
        <v>102</v>
      </c>
      <c r="G751">
        <v>7.0460595264235801E-2</v>
      </c>
      <c r="H751">
        <v>0</v>
      </c>
      <c r="I751" s="5" t="str">
        <f>OutputTable[[#This Row],[ProjectName]]&amp;OutputTable[[#This Row],[Name]]&amp;OutputTable[[#This Row],[Type]]&amp;OutputTable[[#This Row],[Source]]</f>
        <v>Pedido CleintesrSegundoTrabajador.ScheduledUtilizationScheduled UtilizationResource</v>
      </c>
      <c r="J751" s="5" cm="1">
        <f t="array" ref="J751">MAX(IF((ProjectInfoTable[ProjectName]=OutputTable[[#This Row],[ProjectName]]),(ProjectInfoTable[ProjectName]=OutputTable[[#This Row],[ProjectName]])*ProjectInfoTable[NumberOfReplications]))</f>
        <v>30</v>
      </c>
      <c r="K751" s="5" cm="1">
        <f t="array" ref="K751">IFERROR(AVERAGE(IF((OutputTable[GroupByKey]=OutputTable[[#This Row],[GroupByKey]]),(OutputTable[GroupByKey]=OutputTable[[#This Row],[GroupByKey]])*OutputTable[RecordedValue])),0)</f>
        <v>8.2588852761398115E-2</v>
      </c>
      <c r="L751" s="5" cm="1">
        <f t="array" ref="L751">IFERROR(_xlfn.STDEV.S(IF((OutputTable[GroupByKey]=OutputTable[[#This Row],[GroupByKey]]),(OutputTable[GroupByKey]=OutputTable[[#This Row],[GroupByKey]])*OutputTable[RecordedValue])),0)</f>
        <v>1.3130964022328008E-2</v>
      </c>
      <c r="M751" s="5" cm="1">
        <f t="array" ref="M751">MAX(IF((ProjectInfoTable[ProjectName]=OutputTable[[#This Row],[ProjectName]]),(ProjectInfoTable[ProjectName]=OutputTable[[#This Row],[ProjectName]])*ProjectInfoTable[ConfidenceInterval]))</f>
        <v>0.95</v>
      </c>
      <c r="N7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4.9031825474871024E-3</v>
      </c>
      <c r="O751" s="5" cm="1">
        <f t="array" ref="O751">MIN(IF((OutputTable[GroupByKey]=OutputTable[[#This Row],[GroupByKey]]),(OutputTable[GroupByKey]=OutputTable[[#This Row],[GroupByKey]])*OutputTable[RecordedValue]))</f>
        <v>5.3757894868807901E-2</v>
      </c>
      <c r="P751" s="5" cm="1">
        <f t="array" ref="P751">MAX(IF((OutputTable[GroupByKey]=OutputTable[[#This Row],[GroupByKey]]),(OutputTable[GroupByKey]=OutputTable[[#This Row],[GroupByKey]])*OutputTable[RecordedValue]))</f>
        <v>0.103175045984152</v>
      </c>
    </row>
  </sheetData>
  <phoneticPr fontId="2" type="noConversion"/>
  <conditionalFormatting sqref="I2:P751">
    <cfRule type="expression" dxfId="3" priority="2">
      <formula>MOD(ROW(),2)=0</formula>
    </cfRule>
  </conditionalFormatting>
  <conditionalFormatting sqref="N2:N75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2025-05-22T00:19:03Z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